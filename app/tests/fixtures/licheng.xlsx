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05" yWindow="-105" windowWidth="23250" windowHeight="12450" activeTab="3"/>
  </bookViews>
  <sheets>
    <sheet name="9月" sheetId="63" r:id="rId1"/>
    <sheet name="10月" sheetId="64" r:id="rId2"/>
    <sheet name="11月" sheetId="66" r:id="rId3"/>
    <sheet name="12月" sheetId="67" r:id="rId4"/>
    <sheet name="12月 (2)" sheetId="68" state="hidden" r:id="rId5"/>
    <sheet name="Sheet3" sheetId="3" r:id="rId6"/>
  </sheets>
  <definedNames>
    <definedName name="_xlnm.Print_Area" localSheetId="1">'10月'!$A$1:$M$1365</definedName>
    <definedName name="_xlnm.Print_Area" localSheetId="2">'11月'!$A$1:$M$1316</definedName>
    <definedName name="_xlnm.Print_Area" localSheetId="3">'12月'!$A$1:$M$1367</definedName>
    <definedName name="_xlnm.Print_Area" localSheetId="4">'12月 (2)'!$A$1:$M$1364</definedName>
    <definedName name="_xlnm.Print_Area" localSheetId="0">'9月'!$A$1:$M$177</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67"/>
  <c r="K51" l="1"/>
  <c r="K95" s="1"/>
  <c r="K139" s="1"/>
  <c r="K183" s="1"/>
  <c r="K227" s="1"/>
  <c r="D48" i="68" l="1"/>
  <c r="D92" s="1"/>
  <c r="D136" s="1"/>
  <c r="D180" s="1"/>
  <c r="D224" s="1"/>
  <c r="D268" s="1"/>
  <c r="D312" s="1"/>
  <c r="D356" s="1"/>
  <c r="D400" s="1"/>
  <c r="D444" s="1"/>
  <c r="D488" s="1"/>
  <c r="D532" s="1"/>
  <c r="D576" s="1"/>
  <c r="D620" s="1"/>
  <c r="D664" s="1"/>
  <c r="D708" s="1"/>
  <c r="D752" s="1"/>
  <c r="D796" s="1"/>
  <c r="D840" s="1"/>
  <c r="D884" s="1"/>
  <c r="D928" s="1"/>
  <c r="D972" s="1"/>
  <c r="D1016" s="1"/>
  <c r="D1060" s="1"/>
  <c r="D1104" s="1"/>
  <c r="D1148" s="1"/>
  <c r="D1192" s="1"/>
  <c r="D1236" s="1"/>
  <c r="D1280" s="1"/>
  <c r="D1324" s="1"/>
  <c r="K47"/>
  <c r="K91" s="1"/>
  <c r="K135" s="1"/>
  <c r="K179" s="1"/>
  <c r="K223" s="1"/>
  <c r="K267" s="1"/>
  <c r="K311" s="1"/>
  <c r="K355" s="1"/>
  <c r="K399" s="1"/>
  <c r="K443" s="1"/>
  <c r="K487" s="1"/>
  <c r="K531" s="1"/>
  <c r="K575" s="1"/>
  <c r="K619" s="1"/>
  <c r="K663" s="1"/>
  <c r="K707" s="1"/>
  <c r="K751" s="1"/>
  <c r="K795" s="1"/>
  <c r="K839" s="1"/>
  <c r="K883" s="1"/>
  <c r="K927" s="1"/>
  <c r="K971" s="1"/>
  <c r="K1015" s="1"/>
  <c r="K1059" s="1"/>
  <c r="K1103" s="1"/>
  <c r="K1147" s="1"/>
  <c r="K1191" s="1"/>
  <c r="K1235" s="1"/>
  <c r="K1279" s="1"/>
  <c r="K1323" s="1"/>
  <c r="K7" i="66"/>
  <c r="D48" i="67" l="1"/>
  <c r="D92" s="1"/>
  <c r="D136" s="1"/>
  <c r="D180" s="1"/>
  <c r="D224" s="1"/>
  <c r="D268" s="1"/>
  <c r="D312" s="1"/>
  <c r="D356" s="1"/>
  <c r="D400" s="1"/>
  <c r="D444" s="1"/>
  <c r="D488" s="1"/>
  <c r="D532" s="1"/>
  <c r="D576" s="1"/>
  <c r="D620" s="1"/>
  <c r="D664" s="1"/>
  <c r="D708" s="1"/>
  <c r="D752" s="1"/>
  <c r="D796" s="1"/>
  <c r="D840" s="1"/>
  <c r="D884" s="1"/>
  <c r="D928" s="1"/>
  <c r="D972" s="1"/>
  <c r="D1016" s="1"/>
  <c r="D1060" s="1"/>
  <c r="D1104" s="1"/>
  <c r="D1148" s="1"/>
  <c r="D1192" s="1"/>
  <c r="D1236" s="1"/>
  <c r="D1280" s="1"/>
  <c r="D1324" s="1"/>
  <c r="K47"/>
  <c r="K91" s="1"/>
  <c r="K135" s="1"/>
  <c r="K179" s="1"/>
  <c r="K223" s="1"/>
  <c r="K267" s="1"/>
  <c r="K311" s="1"/>
  <c r="K355" s="1"/>
  <c r="K399" s="1"/>
  <c r="K443" s="1"/>
  <c r="K487" s="1"/>
  <c r="K531" s="1"/>
  <c r="K575" s="1"/>
  <c r="K619" s="1"/>
  <c r="K663" s="1"/>
  <c r="K707" s="1"/>
  <c r="K751" s="1"/>
  <c r="K795" s="1"/>
  <c r="K839" s="1"/>
  <c r="K883" s="1"/>
  <c r="K927" s="1"/>
  <c r="K971" s="1"/>
  <c r="K1015" s="1"/>
  <c r="K1059" s="1"/>
  <c r="K1103" s="1"/>
  <c r="K1147" s="1"/>
  <c r="K1191" s="1"/>
  <c r="K1235" s="1"/>
  <c r="K1279" s="1"/>
  <c r="K1323" s="1"/>
  <c r="M401" i="64"/>
  <c r="D47" i="66"/>
  <c r="D91" s="1"/>
  <c r="D134" s="1"/>
  <c r="D176" s="1"/>
  <c r="D218" s="1"/>
  <c r="D262" s="1"/>
  <c r="D306" s="1"/>
  <c r="D350" s="1"/>
  <c r="D394" s="1"/>
  <c r="D438" s="1"/>
  <c r="D482" s="1"/>
  <c r="D526" s="1"/>
  <c r="D570" s="1"/>
  <c r="D614" s="1"/>
  <c r="D658" s="1"/>
  <c r="D702" s="1"/>
  <c r="D746" s="1"/>
  <c r="D790" s="1"/>
  <c r="D834" s="1"/>
  <c r="D878" s="1"/>
  <c r="D922" s="1"/>
  <c r="D966" s="1"/>
  <c r="D1010" s="1"/>
  <c r="D1054" s="1"/>
  <c r="D1098" s="1"/>
  <c r="D1142" s="1"/>
  <c r="D1186" s="1"/>
  <c r="D1230" s="1"/>
  <c r="D1274" s="1"/>
  <c r="K46"/>
  <c r="K90" s="1"/>
  <c r="K133" s="1"/>
  <c r="K175" s="1"/>
  <c r="K217" s="1"/>
  <c r="K261" s="1"/>
  <c r="K305" s="1"/>
  <c r="K349" s="1"/>
  <c r="K393" s="1"/>
  <c r="K437" s="1"/>
  <c r="K481" s="1"/>
  <c r="K525" s="1"/>
  <c r="K569" s="1"/>
  <c r="K613" s="1"/>
  <c r="K657" s="1"/>
  <c r="K701" s="1"/>
  <c r="K745" s="1"/>
  <c r="K789" s="1"/>
  <c r="K833" s="1"/>
  <c r="K877" s="1"/>
  <c r="K921" s="1"/>
  <c r="K965" s="1"/>
  <c r="K1009" s="1"/>
  <c r="K1053" s="1"/>
  <c r="K1097" s="1"/>
  <c r="K1141" s="1"/>
  <c r="K1185" s="1"/>
  <c r="K1229" s="1"/>
  <c r="K1273" s="1"/>
  <c r="K7" i="63"/>
  <c r="K51" s="1"/>
  <c r="K95" s="1"/>
  <c r="K139" s="1"/>
  <c r="M5" i="64"/>
  <c r="M49" s="1"/>
  <c r="M93" s="1"/>
  <c r="M137" s="1"/>
  <c r="M181" s="1"/>
  <c r="M225" s="1"/>
  <c r="K138"/>
  <c r="K182" s="1"/>
  <c r="K226" s="1"/>
  <c r="D48"/>
  <c r="D92" s="1"/>
  <c r="D136" s="1"/>
  <c r="D180" s="1"/>
  <c r="D224" s="1"/>
  <c r="D268" s="1"/>
  <c r="D312" s="1"/>
  <c r="D356" s="1"/>
  <c r="D400" s="1"/>
  <c r="D444" s="1"/>
  <c r="D488" s="1"/>
  <c r="D532" s="1"/>
  <c r="D576" s="1"/>
  <c r="D620" s="1"/>
  <c r="D664" s="1"/>
  <c r="D708" s="1"/>
  <c r="D752" s="1"/>
  <c r="D796" s="1"/>
  <c r="D840" s="1"/>
  <c r="D884" s="1"/>
  <c r="D928" s="1"/>
  <c r="D972" s="1"/>
  <c r="D1016" s="1"/>
  <c r="D1060" s="1"/>
  <c r="D1104" s="1"/>
  <c r="D1148" s="1"/>
  <c r="D1192" s="1"/>
  <c r="D1236" s="1"/>
  <c r="D1280" s="1"/>
  <c r="D1324" s="1"/>
  <c r="K47"/>
  <c r="K91" s="1"/>
  <c r="K135" s="1"/>
  <c r="K179" s="1"/>
  <c r="K223" s="1"/>
  <c r="K267" s="1"/>
  <c r="K311" s="1"/>
  <c r="K355" s="1"/>
  <c r="K399" s="1"/>
  <c r="K443" s="1"/>
  <c r="K487" s="1"/>
  <c r="K531" s="1"/>
  <c r="K575" s="1"/>
  <c r="K619" s="1"/>
  <c r="K663" s="1"/>
  <c r="K707" s="1"/>
  <c r="K751" s="1"/>
  <c r="K795" s="1"/>
  <c r="K839" s="1"/>
  <c r="K883" s="1"/>
  <c r="K927" s="1"/>
  <c r="K971" s="1"/>
  <c r="K1015" s="1"/>
  <c r="K1059" s="1"/>
  <c r="K1103" s="1"/>
  <c r="K1147" s="1"/>
  <c r="K1191" s="1"/>
  <c r="K1235" s="1"/>
  <c r="K1279" s="1"/>
  <c r="K1323" s="1"/>
  <c r="D48" i="63"/>
  <c r="B46"/>
  <c r="K47"/>
  <c r="B49"/>
  <c r="F49"/>
  <c r="M49"/>
  <c r="D50"/>
  <c r="K50"/>
  <c r="K271" i="67" l="1"/>
  <c r="K7" i="68"/>
  <c r="K51" s="1"/>
  <c r="K95" s="1"/>
  <c r="K139" s="1"/>
  <c r="K183" s="1"/>
  <c r="K227" s="1"/>
  <c r="K271" s="1"/>
  <c r="K315" s="1"/>
  <c r="K359" s="1"/>
  <c r="K403" s="1"/>
  <c r="K447" s="1"/>
  <c r="K491" s="1"/>
  <c r="K535" s="1"/>
  <c r="K579" s="1"/>
  <c r="K623" s="1"/>
  <c r="K667" s="1"/>
  <c r="K711" s="1"/>
  <c r="K755" s="1"/>
  <c r="K799" s="1"/>
  <c r="K843" s="1"/>
  <c r="K887" s="1"/>
  <c r="K931" s="1"/>
  <c r="K975" s="1"/>
  <c r="K1019" s="1"/>
  <c r="K1063" s="1"/>
  <c r="K1107" s="1"/>
  <c r="K1151" s="1"/>
  <c r="K1195" s="1"/>
  <c r="K1239" s="1"/>
  <c r="K1283" s="1"/>
  <c r="K1327" s="1"/>
  <c r="K7" i="64"/>
  <c r="K51" s="1"/>
  <c r="K95" s="1"/>
  <c r="K227" s="1"/>
  <c r="K271" s="1"/>
  <c r="K315" s="1"/>
  <c r="K359" s="1"/>
  <c r="K535" s="1"/>
  <c r="K579" s="1"/>
  <c r="K623" s="1"/>
  <c r="K667" s="1"/>
  <c r="K711" s="1"/>
  <c r="K843" s="1"/>
  <c r="K50" i="66"/>
  <c r="K402" i="64"/>
  <c r="K446" s="1"/>
  <c r="K490" s="1"/>
  <c r="K754" s="1"/>
  <c r="K798" s="1"/>
  <c r="K842" s="1"/>
  <c r="K886" s="1"/>
  <c r="K930" s="1"/>
  <c r="K974" s="1"/>
  <c r="K1018" s="1"/>
  <c r="K1062" s="1"/>
  <c r="K1106" s="1"/>
  <c r="K1150" s="1"/>
  <c r="K1194" s="1"/>
  <c r="K1238" s="1"/>
  <c r="K1282" s="1"/>
  <c r="K1326" s="1"/>
  <c r="K6" i="68" s="1"/>
  <c r="K50" s="1"/>
  <c r="K94" s="1"/>
  <c r="K138" s="1"/>
  <c r="K182" s="1"/>
  <c r="K226" s="1"/>
  <c r="K270" s="1"/>
  <c r="K314" s="1"/>
  <c r="K358" s="1"/>
  <c r="K402" s="1"/>
  <c r="K446" s="1"/>
  <c r="K490" s="1"/>
  <c r="K534" s="1"/>
  <c r="K578" s="1"/>
  <c r="K622" s="1"/>
  <c r="K666" s="1"/>
  <c r="K710" s="1"/>
  <c r="K754" s="1"/>
  <c r="K798" s="1"/>
  <c r="K842" s="1"/>
  <c r="K886" s="1"/>
  <c r="K930" s="1"/>
  <c r="K974" s="1"/>
  <c r="K1018" s="1"/>
  <c r="K1062" s="1"/>
  <c r="K1106" s="1"/>
  <c r="K1150" s="1"/>
  <c r="K1194" s="1"/>
  <c r="K1238" s="1"/>
  <c r="K1282" s="1"/>
  <c r="K1326" s="1"/>
  <c r="M445" i="64"/>
  <c r="M489" s="1"/>
  <c r="M753" s="1"/>
  <c r="M797" s="1"/>
  <c r="M841" s="1"/>
  <c r="M885" s="1"/>
  <c r="M929" s="1"/>
  <c r="M973" s="1"/>
  <c r="M1017" s="1"/>
  <c r="M1061" s="1"/>
  <c r="M1105" s="1"/>
  <c r="M1149" s="1"/>
  <c r="M1193" s="1"/>
  <c r="M1237" s="1"/>
  <c r="M1281" s="1"/>
  <c r="M1325" s="1"/>
  <c r="M5" i="68" s="1"/>
  <c r="M49" s="1"/>
  <c r="M93" s="1"/>
  <c r="M137" s="1"/>
  <c r="M181" s="1"/>
  <c r="M225" s="1"/>
  <c r="M269" s="1"/>
  <c r="M313" s="1"/>
  <c r="M357" s="1"/>
  <c r="M401" s="1"/>
  <c r="M445" s="1"/>
  <c r="M489" s="1"/>
  <c r="M533" s="1"/>
  <c r="M577" s="1"/>
  <c r="M621" s="1"/>
  <c r="M665" s="1"/>
  <c r="M709" s="1"/>
  <c r="M753" s="1"/>
  <c r="M797" s="1"/>
  <c r="M841" s="1"/>
  <c r="M885" s="1"/>
  <c r="M929" s="1"/>
  <c r="M973" s="1"/>
  <c r="M1017" s="1"/>
  <c r="M1061" s="1"/>
  <c r="M1105" s="1"/>
  <c r="M1149" s="1"/>
  <c r="M1193" s="1"/>
  <c r="M1237" s="1"/>
  <c r="M1281" s="1"/>
  <c r="M1325" s="1"/>
  <c r="I49" i="63"/>
  <c r="K315" i="67" l="1"/>
  <c r="K359" s="1"/>
  <c r="K403" s="1"/>
  <c r="K447" s="1"/>
  <c r="K491" s="1"/>
  <c r="K94" i="66"/>
  <c r="M5"/>
  <c r="M48" s="1"/>
  <c r="M92" s="1"/>
  <c r="M135" s="1"/>
  <c r="M177" s="1"/>
  <c r="M219" s="1"/>
  <c r="M263" s="1"/>
  <c r="M307" s="1"/>
  <c r="M351" s="1"/>
  <c r="M395" s="1"/>
  <c r="M439" s="1"/>
  <c r="M483" s="1"/>
  <c r="M527" s="1"/>
  <c r="M571" s="1"/>
  <c r="M615" s="1"/>
  <c r="M659" s="1"/>
  <c r="M703" s="1"/>
  <c r="M747" s="1"/>
  <c r="K6"/>
  <c r="K49" s="1"/>
  <c r="K93" s="1"/>
  <c r="K136" s="1"/>
  <c r="K178" s="1"/>
  <c r="K220" s="1"/>
  <c r="K264" s="1"/>
  <c r="K308" s="1"/>
  <c r="K352" s="1"/>
  <c r="K396" s="1"/>
  <c r="K440" s="1"/>
  <c r="K484" s="1"/>
  <c r="K528" s="1"/>
  <c r="K572" s="1"/>
  <c r="K616" s="1"/>
  <c r="K660" s="1"/>
  <c r="K704" s="1"/>
  <c r="K748" s="1"/>
  <c r="K836" s="1"/>
  <c r="K880" s="1"/>
  <c r="K924" s="1"/>
  <c r="K968" s="1"/>
  <c r="K1012" s="1"/>
  <c r="K1056" s="1"/>
  <c r="K1100" s="1"/>
  <c r="K1144" s="1"/>
  <c r="K1188" s="1"/>
  <c r="K1232" s="1"/>
  <c r="K1276" s="1"/>
  <c r="K6" i="67" s="1"/>
  <c r="K138" s="1"/>
  <c r="K182" s="1"/>
  <c r="K226" s="1"/>
  <c r="K270" s="1"/>
  <c r="K314" s="1"/>
  <c r="K358" s="1"/>
  <c r="K402" s="1"/>
  <c r="K446" s="1"/>
  <c r="K490" s="1"/>
  <c r="K534" s="1"/>
  <c r="K578" s="1"/>
  <c r="K622" s="1"/>
  <c r="K666" s="1"/>
  <c r="K710" s="1"/>
  <c r="K754" s="1"/>
  <c r="K798" s="1"/>
  <c r="K842" s="1"/>
  <c r="K886" s="1"/>
  <c r="K930" s="1"/>
  <c r="K974" s="1"/>
  <c r="K1018" s="1"/>
  <c r="K1062" s="1"/>
  <c r="K1106" s="1"/>
  <c r="K1150" s="1"/>
  <c r="K1194" s="1"/>
  <c r="K1238" s="1"/>
  <c r="K1282" s="1"/>
  <c r="K1326" s="1"/>
  <c r="K1019" i="64"/>
  <c r="D92" i="63"/>
  <c r="D136" s="1"/>
  <c r="K91"/>
  <c r="K135" s="1"/>
  <c r="D94"/>
  <c r="D138" s="1"/>
  <c r="K535" i="67" l="1"/>
  <c r="K579" s="1"/>
  <c r="K623" s="1"/>
  <c r="K667" s="1"/>
  <c r="K711" s="1"/>
  <c r="K755" s="1"/>
  <c r="K799" s="1"/>
  <c r="K843" s="1"/>
  <c r="K887" s="1"/>
  <c r="K931" s="1"/>
  <c r="K975" s="1"/>
  <c r="K1019" s="1"/>
  <c r="K1063" s="1"/>
  <c r="K1107" s="1"/>
  <c r="K1151" s="1"/>
  <c r="K1195" s="1"/>
  <c r="K1239" s="1"/>
  <c r="K1283" s="1"/>
  <c r="K1327" s="1"/>
  <c r="D6"/>
  <c r="D50" s="1"/>
  <c r="D94" s="1"/>
  <c r="D138" s="1"/>
  <c r="D182" s="1"/>
  <c r="D226" s="1"/>
  <c r="D270" s="1"/>
  <c r="D314" s="1"/>
  <c r="D358" s="1"/>
  <c r="D402" s="1"/>
  <c r="D446" s="1"/>
  <c r="D490" s="1"/>
  <c r="D534" s="1"/>
  <c r="D578" s="1"/>
  <c r="D622" s="1"/>
  <c r="D666" s="1"/>
  <c r="D710" s="1"/>
  <c r="D754" s="1"/>
  <c r="D798" s="1"/>
  <c r="D842" s="1"/>
  <c r="D886" s="1"/>
  <c r="D930" s="1"/>
  <c r="D974" s="1"/>
  <c r="D1018" s="1"/>
  <c r="D1062" s="1"/>
  <c r="D1106" s="1"/>
  <c r="D1150" s="1"/>
  <c r="D1194" s="1"/>
  <c r="D1238" s="1"/>
  <c r="D1282" s="1"/>
  <c r="D1326" s="1"/>
  <c r="D6" i="68"/>
  <c r="D50" s="1"/>
  <c r="D94" s="1"/>
  <c r="D138" s="1"/>
  <c r="D182" s="1"/>
  <c r="D226" s="1"/>
  <c r="D270" s="1"/>
  <c r="D314" s="1"/>
  <c r="D358" s="1"/>
  <c r="D402" s="1"/>
  <c r="D446" s="1"/>
  <c r="D490" s="1"/>
  <c r="D534" s="1"/>
  <c r="D578" s="1"/>
  <c r="D622" s="1"/>
  <c r="D666" s="1"/>
  <c r="D710" s="1"/>
  <c r="D754" s="1"/>
  <c r="D798" s="1"/>
  <c r="D842" s="1"/>
  <c r="D886" s="1"/>
  <c r="D930" s="1"/>
  <c r="D974" s="1"/>
  <c r="D1018" s="1"/>
  <c r="D1062" s="1"/>
  <c r="D1106" s="1"/>
  <c r="D1150" s="1"/>
  <c r="D1194" s="1"/>
  <c r="D1238" s="1"/>
  <c r="D1282" s="1"/>
  <c r="D1326" s="1"/>
  <c r="K137" i="66"/>
  <c r="K179" s="1"/>
  <c r="M791"/>
  <c r="M835" s="1"/>
  <c r="M879" s="1"/>
  <c r="M923" s="1"/>
  <c r="M967" s="1"/>
  <c r="M1011" s="1"/>
  <c r="M1055" s="1"/>
  <c r="M1099" s="1"/>
  <c r="M1143" s="1"/>
  <c r="M1187" s="1"/>
  <c r="M1231" s="1"/>
  <c r="M1275" s="1"/>
  <c r="M5" i="67" s="1"/>
  <c r="D6" i="64"/>
  <c r="D50" s="1"/>
  <c r="D94" s="1"/>
  <c r="D138" s="1"/>
  <c r="D182" s="1"/>
  <c r="D226" s="1"/>
  <c r="D270" s="1"/>
  <c r="D314" s="1"/>
  <c r="D358" s="1"/>
  <c r="D402" s="1"/>
  <c r="D446" s="1"/>
  <c r="D490" s="1"/>
  <c r="D534" s="1"/>
  <c r="D578" s="1"/>
  <c r="D622" s="1"/>
  <c r="D666" s="1"/>
  <c r="D710" s="1"/>
  <c r="D754" s="1"/>
  <c r="D798" s="1"/>
  <c r="D842" s="1"/>
  <c r="D886" s="1"/>
  <c r="D930" s="1"/>
  <c r="D974" s="1"/>
  <c r="D1018" s="1"/>
  <c r="D1062" s="1"/>
  <c r="D1106" s="1"/>
  <c r="D1150" s="1"/>
  <c r="D1194" s="1"/>
  <c r="D1238" s="1"/>
  <c r="D1282" s="1"/>
  <c r="D1326" s="1"/>
  <c r="D6" i="66"/>
  <c r="D49" s="1"/>
  <c r="D93" s="1"/>
  <c r="D136" s="1"/>
  <c r="D178" s="1"/>
  <c r="D220" s="1"/>
  <c r="D264" s="1"/>
  <c r="D308" s="1"/>
  <c r="D352" s="1"/>
  <c r="D396" s="1"/>
  <c r="D440" s="1"/>
  <c r="D484" s="1"/>
  <c r="D528" s="1"/>
  <c r="D572" s="1"/>
  <c r="D616" s="1"/>
  <c r="D660" s="1"/>
  <c r="D704" s="1"/>
  <c r="D748" s="1"/>
  <c r="D792" s="1"/>
  <c r="D836" s="1"/>
  <c r="D880" s="1"/>
  <c r="D924" s="1"/>
  <c r="D968" s="1"/>
  <c r="D1012" s="1"/>
  <c r="D1056" s="1"/>
  <c r="D1100" s="1"/>
  <c r="D1144" s="1"/>
  <c r="D1188" s="1"/>
  <c r="D1232" s="1"/>
  <c r="D1276" s="1"/>
  <c r="F93" i="63"/>
  <c r="F137" s="1"/>
  <c r="B90"/>
  <c r="B134" s="1"/>
  <c r="M49" i="67" l="1"/>
  <c r="M93" s="1"/>
  <c r="M137" s="1"/>
  <c r="M181" s="1"/>
  <c r="M225" s="1"/>
  <c r="M269" s="1"/>
  <c r="M313" s="1"/>
  <c r="M357" s="1"/>
  <c r="M401" s="1"/>
  <c r="M445" s="1"/>
  <c r="M489" s="1"/>
  <c r="M533" s="1"/>
  <c r="M577" s="1"/>
  <c r="M621" s="1"/>
  <c r="M665" s="1"/>
  <c r="M709" s="1"/>
  <c r="M753" s="1"/>
  <c r="M797" s="1"/>
  <c r="M841" s="1"/>
  <c r="M885" s="1"/>
  <c r="M929" s="1"/>
  <c r="M973" s="1"/>
  <c r="M1017" s="1"/>
  <c r="M1061" s="1"/>
  <c r="M1105" s="1"/>
  <c r="M1149" s="1"/>
  <c r="M1193" s="1"/>
  <c r="M1237" s="1"/>
  <c r="M1281" s="1"/>
  <c r="M1325" s="1"/>
  <c r="K221" i="66"/>
  <c r="K265" s="1"/>
  <c r="K309" s="1"/>
  <c r="F5" i="64"/>
  <c r="F49" s="1"/>
  <c r="F93" s="1"/>
  <c r="F137" s="1"/>
  <c r="F181" s="1"/>
  <c r="F225" s="1"/>
  <c r="F269" s="1"/>
  <c r="F313" s="1"/>
  <c r="F357" s="1"/>
  <c r="F401" s="1"/>
  <c r="F445" s="1"/>
  <c r="F489" s="1"/>
  <c r="F533" s="1"/>
  <c r="F577" s="1"/>
  <c r="F621" s="1"/>
  <c r="F665" s="1"/>
  <c r="F709" s="1"/>
  <c r="F753" s="1"/>
  <c r="F797" s="1"/>
  <c r="F841" s="1"/>
  <c r="F885" s="1"/>
  <c r="F929" s="1"/>
  <c r="F973" s="1"/>
  <c r="F1017" s="1"/>
  <c r="F1061" s="1"/>
  <c r="F1105" s="1"/>
  <c r="F1149" s="1"/>
  <c r="F1193" s="1"/>
  <c r="F1237" s="1"/>
  <c r="F1281" s="1"/>
  <c r="F1325" s="1"/>
  <c r="F5" i="68" s="1"/>
  <c r="F49" s="1"/>
  <c r="F93" s="1"/>
  <c r="F137" s="1"/>
  <c r="F181" s="1"/>
  <c r="F225" s="1"/>
  <c r="F269" s="1"/>
  <c r="F313" s="1"/>
  <c r="F357" s="1"/>
  <c r="F401" s="1"/>
  <c r="F445" s="1"/>
  <c r="F489" s="1"/>
  <c r="F533" s="1"/>
  <c r="F577" s="1"/>
  <c r="F621" s="1"/>
  <c r="F665" s="1"/>
  <c r="F709" s="1"/>
  <c r="F753" s="1"/>
  <c r="F797" s="1"/>
  <c r="F841" s="1"/>
  <c r="F885" s="1"/>
  <c r="F929" s="1"/>
  <c r="F973" s="1"/>
  <c r="F1017" s="1"/>
  <c r="F1061" s="1"/>
  <c r="F1105" s="1"/>
  <c r="F1149" s="1"/>
  <c r="F1193" s="1"/>
  <c r="F1237" s="1"/>
  <c r="F1281" s="1"/>
  <c r="F1325" s="1"/>
  <c r="B2" i="64"/>
  <c r="B46" s="1"/>
  <c r="B90" s="1"/>
  <c r="B134" s="1"/>
  <c r="B178" s="1"/>
  <c r="B222" s="1"/>
  <c r="B266" s="1"/>
  <c r="B310" s="1"/>
  <c r="B354" s="1"/>
  <c r="B398" s="1"/>
  <c r="B442" s="1"/>
  <c r="B486" s="1"/>
  <c r="B530" s="1"/>
  <c r="B574" s="1"/>
  <c r="B618" s="1"/>
  <c r="B662" s="1"/>
  <c r="B706" s="1"/>
  <c r="B750" s="1"/>
  <c r="B794" s="1"/>
  <c r="B838" s="1"/>
  <c r="B882" s="1"/>
  <c r="B926" s="1"/>
  <c r="B970" s="1"/>
  <c r="B1014" s="1"/>
  <c r="B1058" s="1"/>
  <c r="B1102" s="1"/>
  <c r="B1146" s="1"/>
  <c r="B1190" s="1"/>
  <c r="B1234" s="1"/>
  <c r="B1278" s="1"/>
  <c r="B1322" s="1"/>
  <c r="B2" i="68" s="1"/>
  <c r="B46" s="1"/>
  <c r="B90" s="1"/>
  <c r="B134" s="1"/>
  <c r="B178" s="1"/>
  <c r="B222" s="1"/>
  <c r="B266" s="1"/>
  <c r="B310" s="1"/>
  <c r="B354" s="1"/>
  <c r="B398" s="1"/>
  <c r="B442" s="1"/>
  <c r="B486" s="1"/>
  <c r="B530" s="1"/>
  <c r="B574" s="1"/>
  <c r="B618" s="1"/>
  <c r="B662" s="1"/>
  <c r="B706" s="1"/>
  <c r="B750" s="1"/>
  <c r="B794" s="1"/>
  <c r="B838" s="1"/>
  <c r="B882" s="1"/>
  <c r="B926" s="1"/>
  <c r="B970" s="1"/>
  <c r="B1014" s="1"/>
  <c r="B1058" s="1"/>
  <c r="B1102" s="1"/>
  <c r="B1146" s="1"/>
  <c r="B1190" s="1"/>
  <c r="B1234" s="1"/>
  <c r="B1278" s="1"/>
  <c r="B1322" s="1"/>
  <c r="K94" i="63"/>
  <c r="K353" i="66" l="1"/>
  <c r="K397" s="1"/>
  <c r="F5"/>
  <c r="F48" s="1"/>
  <c r="F92" s="1"/>
  <c r="F135" s="1"/>
  <c r="F177" s="1"/>
  <c r="F219" s="1"/>
  <c r="F263" s="1"/>
  <c r="F307" s="1"/>
  <c r="F351" s="1"/>
  <c r="F395" s="1"/>
  <c r="F439" s="1"/>
  <c r="F483" s="1"/>
  <c r="F527" s="1"/>
  <c r="F571" s="1"/>
  <c r="F615" s="1"/>
  <c r="F659" s="1"/>
  <c r="F703" s="1"/>
  <c r="F747" s="1"/>
  <c r="F791" s="1"/>
  <c r="F835" s="1"/>
  <c r="F879" s="1"/>
  <c r="F923" s="1"/>
  <c r="F967" s="1"/>
  <c r="F1011" s="1"/>
  <c r="F1055" s="1"/>
  <c r="F1099" s="1"/>
  <c r="F1143" s="1"/>
  <c r="F1187" s="1"/>
  <c r="F1231" s="1"/>
  <c r="F1275" s="1"/>
  <c r="F5" i="67" s="1"/>
  <c r="F49" s="1"/>
  <c r="F93" s="1"/>
  <c r="F137" s="1"/>
  <c r="F181" s="1"/>
  <c r="F225" s="1"/>
  <c r="F269" s="1"/>
  <c r="F313" s="1"/>
  <c r="F357" s="1"/>
  <c r="F401" s="1"/>
  <c r="F445" s="1"/>
  <c r="F489" s="1"/>
  <c r="F533" s="1"/>
  <c r="F577" s="1"/>
  <c r="F621" s="1"/>
  <c r="F665" s="1"/>
  <c r="F709" s="1"/>
  <c r="F753" s="1"/>
  <c r="F797" s="1"/>
  <c r="F841" s="1"/>
  <c r="F885" s="1"/>
  <c r="F929" s="1"/>
  <c r="F973" s="1"/>
  <c r="F1017" s="1"/>
  <c r="F1061" s="1"/>
  <c r="F1105" s="1"/>
  <c r="F1149" s="1"/>
  <c r="F1193" s="1"/>
  <c r="F1237" s="1"/>
  <c r="F1281" s="1"/>
  <c r="F1325" s="1"/>
  <c r="B2" i="66"/>
  <c r="B45" s="1"/>
  <c r="B89" s="1"/>
  <c r="B132" s="1"/>
  <c r="B174" s="1"/>
  <c r="B216" s="1"/>
  <c r="B260" s="1"/>
  <c r="B304" s="1"/>
  <c r="B348" s="1"/>
  <c r="B392" s="1"/>
  <c r="B436" s="1"/>
  <c r="B480" s="1"/>
  <c r="B524" s="1"/>
  <c r="B568" s="1"/>
  <c r="B612" s="1"/>
  <c r="B656" s="1"/>
  <c r="B700" s="1"/>
  <c r="B744" s="1"/>
  <c r="B788" s="1"/>
  <c r="B832" s="1"/>
  <c r="B876" s="1"/>
  <c r="B920" s="1"/>
  <c r="B964" s="1"/>
  <c r="B1008" s="1"/>
  <c r="B1052" s="1"/>
  <c r="B1096" s="1"/>
  <c r="B1140" s="1"/>
  <c r="B1184" s="1"/>
  <c r="B1228" s="1"/>
  <c r="B1272" s="1"/>
  <c r="B2" i="67" s="1"/>
  <c r="B46" s="1"/>
  <c r="B90" s="1"/>
  <c r="B134" s="1"/>
  <c r="B178" s="1"/>
  <c r="B222" s="1"/>
  <c r="B266" s="1"/>
  <c r="B310" s="1"/>
  <c r="B354" s="1"/>
  <c r="B398" s="1"/>
  <c r="B442" s="1"/>
  <c r="B486" s="1"/>
  <c r="B530" s="1"/>
  <c r="B574" s="1"/>
  <c r="B618" s="1"/>
  <c r="B662" s="1"/>
  <c r="B706" s="1"/>
  <c r="B750" s="1"/>
  <c r="B794" s="1"/>
  <c r="B838" s="1"/>
  <c r="B882" s="1"/>
  <c r="B926" s="1"/>
  <c r="B970" s="1"/>
  <c r="B1014" s="1"/>
  <c r="B1058" s="1"/>
  <c r="B1102" s="1"/>
  <c r="B1146" s="1"/>
  <c r="B1190" s="1"/>
  <c r="B1234" s="1"/>
  <c r="B1278" s="1"/>
  <c r="B1322" s="1"/>
  <c r="M93" i="63"/>
  <c r="K441" i="66" l="1"/>
  <c r="K485" s="1"/>
  <c r="K529" s="1"/>
  <c r="K573" s="1"/>
  <c r="K617" s="1"/>
  <c r="I5" i="63"/>
  <c r="K661" i="66" l="1"/>
  <c r="K705" s="1"/>
  <c r="K749" s="1"/>
  <c r="K793" s="1"/>
  <c r="K837" s="1"/>
  <c r="K881" s="1"/>
  <c r="K925" s="1"/>
  <c r="B93" i="63"/>
  <c r="B137" s="1"/>
  <c r="K969" i="66" l="1"/>
  <c r="K1013" s="1"/>
  <c r="K1057" s="1"/>
  <c r="K1101" s="1"/>
  <c r="K1145" s="1"/>
  <c r="K1189" s="1"/>
  <c r="B5" i="64"/>
  <c r="I5" s="1"/>
  <c r="I93" i="63"/>
  <c r="K1233" i="66" l="1"/>
  <c r="K1277" s="1"/>
  <c r="B49" i="64"/>
  <c r="B93" s="1"/>
  <c r="I137" i="63"/>
  <c r="I49" i="64" l="1"/>
  <c r="B137"/>
  <c r="I93"/>
  <c r="B181" l="1"/>
  <c r="I137"/>
  <c r="I181" l="1"/>
  <c r="B225"/>
  <c r="B269" s="1"/>
  <c r="B313" s="1"/>
  <c r="B357" s="1"/>
  <c r="B401" s="1"/>
  <c r="I225" l="1"/>
  <c r="I269" l="1"/>
  <c r="I313" l="1"/>
  <c r="I357" l="1"/>
  <c r="I401" l="1"/>
  <c r="B445"/>
  <c r="I445" l="1"/>
  <c r="B489"/>
  <c r="B533" s="1"/>
  <c r="B577" s="1"/>
  <c r="B621" s="1"/>
  <c r="B665" s="1"/>
  <c r="B709" s="1"/>
  <c r="I489" l="1"/>
  <c r="I533" l="1"/>
  <c r="I577" l="1"/>
  <c r="I621" l="1"/>
  <c r="I665" l="1"/>
  <c r="B753" l="1"/>
  <c r="I709"/>
  <c r="B797" l="1"/>
  <c r="I753"/>
  <c r="I797" l="1"/>
  <c r="B841"/>
  <c r="B885" l="1"/>
  <c r="I841"/>
  <c r="I885" l="1"/>
  <c r="B929"/>
  <c r="B973" l="1"/>
  <c r="I929"/>
  <c r="I973" l="1"/>
  <c r="B1017"/>
  <c r="I1017" l="1"/>
  <c r="B1061"/>
  <c r="B1105" l="1"/>
  <c r="I1061"/>
  <c r="I1105" l="1"/>
  <c r="B1149"/>
  <c r="I1149" l="1"/>
  <c r="B1193"/>
  <c r="B1237" l="1"/>
  <c r="I1193"/>
  <c r="I1237" l="1"/>
  <c r="B1281"/>
  <c r="I1281" l="1"/>
  <c r="B1325"/>
  <c r="B5" i="68" s="1"/>
  <c r="B49" l="1"/>
  <c r="I5"/>
  <c r="I1325" i="64"/>
  <c r="B5" i="66"/>
  <c r="B93" i="68" l="1"/>
  <c r="I49"/>
  <c r="B48" i="66"/>
  <c r="I5"/>
  <c r="B137" i="68" l="1"/>
  <c r="I93"/>
  <c r="B92" i="66"/>
  <c r="I48"/>
  <c r="B181" i="68" l="1"/>
  <c r="I137"/>
  <c r="I92" i="66"/>
  <c r="B135"/>
  <c r="B225" i="68" l="1"/>
  <c r="I181"/>
  <c r="I135" i="66"/>
  <c r="B177"/>
  <c r="B269" i="68" l="1"/>
  <c r="I225"/>
  <c r="B219" i="66"/>
  <c r="I177"/>
  <c r="B313" i="68" l="1"/>
  <c r="I269"/>
  <c r="I219" i="66"/>
  <c r="B263"/>
  <c r="B357" i="68" l="1"/>
  <c r="I313"/>
  <c r="I263" i="66"/>
  <c r="B307"/>
  <c r="B401" i="68" l="1"/>
  <c r="I357"/>
  <c r="B351" i="66"/>
  <c r="I307"/>
  <c r="B445" i="68" l="1"/>
  <c r="I401"/>
  <c r="B395" i="66"/>
  <c r="I351"/>
  <c r="B489" i="68" l="1"/>
  <c r="I445"/>
  <c r="I395" i="66"/>
  <c r="B439"/>
  <c r="B533" i="68" l="1"/>
  <c r="I489"/>
  <c r="B483" i="66"/>
  <c r="I439"/>
  <c r="B577" i="68" l="1"/>
  <c r="I533"/>
  <c r="B527" i="66"/>
  <c r="I483"/>
  <c r="B621" i="68" l="1"/>
  <c r="I577"/>
  <c r="B571" i="66"/>
  <c r="I527"/>
  <c r="B665" i="68" l="1"/>
  <c r="I621"/>
  <c r="I571" i="66"/>
  <c r="B615"/>
  <c r="B709" i="68" l="1"/>
  <c r="I665"/>
  <c r="I615" i="66"/>
  <c r="B659"/>
  <c r="B753" i="68" l="1"/>
  <c r="I709"/>
  <c r="I659" i="66"/>
  <c r="B703"/>
  <c r="B797" i="68" l="1"/>
  <c r="I753"/>
  <c r="B747" i="66"/>
  <c r="B791" s="1"/>
  <c r="I703"/>
  <c r="B841" i="68" l="1"/>
  <c r="I797"/>
  <c r="I747" i="66"/>
  <c r="B885" i="68" l="1"/>
  <c r="I841"/>
  <c r="B835" i="66"/>
  <c r="I791"/>
  <c r="B929" i="68" l="1"/>
  <c r="I885"/>
  <c r="B879" i="66"/>
  <c r="I835"/>
  <c r="B973" i="68" l="1"/>
  <c r="I929"/>
  <c r="B923" i="66"/>
  <c r="I879"/>
  <c r="B1017" i="68" l="1"/>
  <c r="I973"/>
  <c r="I923" i="66"/>
  <c r="B967"/>
  <c r="B1061" i="68" l="1"/>
  <c r="I1017"/>
  <c r="B1011" i="66"/>
  <c r="I967"/>
  <c r="B1105" i="68" l="1"/>
  <c r="I1061"/>
  <c r="I1011" i="66"/>
  <c r="B1055"/>
  <c r="B1149" i="68" l="1"/>
  <c r="I1105"/>
  <c r="B1099" i="66"/>
  <c r="I1055"/>
  <c r="B1193" i="68" l="1"/>
  <c r="I1149"/>
  <c r="B1143" i="66"/>
  <c r="I1099"/>
  <c r="B1237" i="68" l="1"/>
  <c r="I1193"/>
  <c r="B1187" i="66"/>
  <c r="I1143"/>
  <c r="B1281" i="68" l="1"/>
  <c r="I1237"/>
  <c r="B1231" i="66"/>
  <c r="I1187"/>
  <c r="B1325" i="68" l="1"/>
  <c r="I1325" s="1"/>
  <c r="I1281"/>
  <c r="I1231" i="66"/>
  <c r="B1275"/>
  <c r="I1275" l="1"/>
  <c r="B5" i="67"/>
  <c r="B49" s="1"/>
  <c r="B93" s="1"/>
  <c r="I5" l="1"/>
  <c r="I49" l="1"/>
  <c r="B137" l="1"/>
  <c r="I93"/>
  <c r="B181" l="1"/>
  <c r="I137"/>
  <c r="B225" l="1"/>
  <c r="I181"/>
  <c r="B269" l="1"/>
  <c r="I225"/>
  <c r="B313" l="1"/>
  <c r="I269"/>
  <c r="B357" l="1"/>
  <c r="I313"/>
  <c r="B401" l="1"/>
  <c r="I357"/>
  <c r="B445" l="1"/>
  <c r="I401"/>
  <c r="I445" l="1"/>
  <c r="B489"/>
  <c r="I489" l="1"/>
  <c r="B533"/>
  <c r="B577" l="1"/>
  <c r="I533"/>
  <c r="B621" l="1"/>
  <c r="I577"/>
  <c r="B665" l="1"/>
  <c r="I621"/>
  <c r="I665" l="1"/>
  <c r="B709"/>
  <c r="B753" l="1"/>
  <c r="I709"/>
  <c r="B797" l="1"/>
  <c r="I753"/>
  <c r="B841" l="1"/>
  <c r="I797"/>
  <c r="B885" l="1"/>
  <c r="I841"/>
  <c r="B929" l="1"/>
  <c r="I885"/>
  <c r="B973" l="1"/>
  <c r="I929"/>
  <c r="B1017" l="1"/>
  <c r="I973"/>
  <c r="B1061" l="1"/>
  <c r="I1017"/>
  <c r="B1105" l="1"/>
  <c r="I1061"/>
  <c r="B1149" l="1"/>
  <c r="I1105"/>
  <c r="B1193" l="1"/>
  <c r="I1149"/>
  <c r="B1237" l="1"/>
  <c r="I1193"/>
  <c r="B1281" l="1"/>
  <c r="I1237"/>
  <c r="I1281" l="1"/>
  <c r="B1325"/>
  <c r="I1325" s="1"/>
</calcChain>
</file>

<file path=xl/sharedStrings.xml><?xml version="1.0" encoding="utf-8"?>
<sst xmlns="http://schemas.openxmlformats.org/spreadsheetml/2006/main" count="8230" uniqueCount="199">
  <si>
    <t>公共工程施工日誌</t>
  </si>
  <si>
    <t>工程名稱</t>
  </si>
  <si>
    <t>承攬廠商名稱</t>
  </si>
  <si>
    <t>核定工期</t>
  </si>
  <si>
    <t>累計工期</t>
  </si>
  <si>
    <t>剩餘工期</t>
  </si>
  <si>
    <t>工期展延天數</t>
  </si>
  <si>
    <t>開工日期</t>
  </si>
  <si>
    <t>完工日期</t>
  </si>
  <si>
    <t>一、依施工計畫書執行按圖施工概況（含約定之重要施工項目及完成數量等）：</t>
  </si>
  <si>
    <t>施工項目</t>
  </si>
  <si>
    <t>單位</t>
  </si>
  <si>
    <t>契約數量</t>
  </si>
  <si>
    <t>本日完成數量</t>
  </si>
  <si>
    <t>累計完成數量</t>
  </si>
  <si>
    <t>備註</t>
  </si>
  <si>
    <t>營造業專業工程特定施工項目</t>
  </si>
  <si>
    <t>A.</t>
  </si>
  <si>
    <t>B.</t>
  </si>
  <si>
    <t>二、工地材料管理概況（含約定之重要材料使用狀況及數量等）：</t>
  </si>
  <si>
    <t>材料名稱</t>
  </si>
  <si>
    <t>本日使用數量</t>
  </si>
  <si>
    <t>累計使用數量</t>
  </si>
  <si>
    <t>三、工地人員及機具管理（含約定之出工人數及機具使用情形及數量）：</t>
  </si>
  <si>
    <t>工別</t>
  </si>
  <si>
    <t>本日人數</t>
  </si>
  <si>
    <t>累計人數</t>
  </si>
  <si>
    <t>機具名稱</t>
  </si>
  <si>
    <r>
      <t xml:space="preserve">  </t>
    </r>
    <r>
      <rPr>
        <sz val="12"/>
        <color rgb="FFFF0000"/>
        <rFont val="Arial"/>
        <family val="2"/>
      </rPr>
      <t>(</t>
    </r>
    <r>
      <rPr>
        <sz val="12"/>
        <color rgb="FFFF0000"/>
        <rFont val="標楷體"/>
        <family val="4"/>
        <charset val="136"/>
      </rPr>
      <t>ㄧ</t>
    </r>
    <r>
      <rPr>
        <sz val="12"/>
        <color rgb="FFFF0000"/>
        <rFont val="Arial"/>
        <family val="2"/>
      </rPr>
      <t>)</t>
    </r>
    <r>
      <rPr>
        <sz val="12"/>
        <color rgb="FFFF0000"/>
        <rFont val="標楷體"/>
        <family val="4"/>
        <charset val="136"/>
      </rPr>
      <t>施工前檢查事項：</t>
    </r>
  </si>
  <si>
    <r>
      <t xml:space="preserve">  (</t>
    </r>
    <r>
      <rPr>
        <sz val="12"/>
        <color rgb="FFFF0000"/>
        <rFont val="標楷體"/>
        <family val="4"/>
        <charset val="136"/>
      </rPr>
      <t>二</t>
    </r>
    <r>
      <rPr>
        <sz val="12"/>
        <color rgb="FFFF0000"/>
        <rFont val="Arial"/>
        <family val="2"/>
      </rPr>
      <t>)</t>
    </r>
    <r>
      <rPr>
        <sz val="12"/>
        <color rgb="FFFF0000"/>
        <rFont val="標楷體"/>
        <family val="4"/>
        <charset val="136"/>
      </rPr>
      <t>其他事項：</t>
    </r>
  </si>
  <si>
    <t>六、施工取樣試驗紀錄：</t>
  </si>
  <si>
    <t>七、通知協力廠商辦理事項：</t>
  </si>
  <si>
    <t>表報編號：</t>
    <phoneticPr fontId="15" type="noConversion"/>
  </si>
  <si>
    <r>
      <t>本日天氣：上午：晴</t>
    </r>
    <r>
      <rPr>
        <sz val="12"/>
        <color rgb="FF000000"/>
        <rFont val="Arial"/>
        <family val="2"/>
      </rPr>
      <t xml:space="preserve">      </t>
    </r>
    <r>
      <rPr>
        <sz val="12"/>
        <color rgb="FF000000"/>
        <rFont val="標楷體"/>
        <family val="4"/>
        <charset val="136"/>
      </rPr>
      <t>下午：晴</t>
    </r>
    <r>
      <rPr>
        <sz val="12"/>
        <color rgb="FF000000"/>
        <rFont val="Arial"/>
        <family val="2"/>
      </rPr>
      <t xml:space="preserve">                         </t>
    </r>
    <r>
      <rPr>
        <sz val="10"/>
        <color rgb="FF000000"/>
        <rFont val="標楷體"/>
        <family val="4"/>
        <charset val="136"/>
      </rPr>
      <t/>
    </r>
    <phoneticPr fontId="15" type="noConversion"/>
  </si>
  <si>
    <t>填表日期：</t>
    <phoneticPr fontId="15" type="noConversion"/>
  </si>
  <si>
    <t>利成營造有限公司</t>
    <phoneticPr fontId="15" type="noConversion"/>
  </si>
  <si>
    <t>天</t>
    <phoneticPr fontId="15" type="noConversion"/>
  </si>
  <si>
    <r>
      <t>預定進度</t>
    </r>
    <r>
      <rPr>
        <sz val="12"/>
        <color rgb="FF000000"/>
        <rFont val="Arial"/>
        <family val="2"/>
      </rPr>
      <t>(%)</t>
    </r>
  </si>
  <si>
    <r>
      <t>實際進度</t>
    </r>
    <r>
      <rPr>
        <sz val="12"/>
        <color rgb="FF000000"/>
        <rFont val="Arial"/>
        <family val="2"/>
      </rPr>
      <t>(%)</t>
    </r>
  </si>
  <si>
    <t>契約數量</t>
    <phoneticPr fontId="15" type="noConversion"/>
  </si>
  <si>
    <r>
      <t>四、本日施工項目是否有須依「營造業專業工程特定施工項目應置之技術士種類、比率或人數標準表」規定應設置技術士之專業工程：□有</t>
    </r>
    <r>
      <rPr>
        <sz val="10.3"/>
        <rFont val="Arial"/>
        <family val="2"/>
      </rPr>
      <t xml:space="preserve"> </t>
    </r>
    <r>
      <rPr>
        <sz val="10.3"/>
        <rFont val="新細明體"/>
        <family val="1"/>
        <charset val="136"/>
      </rPr>
      <t>■</t>
    </r>
    <r>
      <rPr>
        <sz val="10.3"/>
        <rFont val="標楷體"/>
        <family val="4"/>
        <charset val="136"/>
      </rPr>
      <t>無（此項如勾選</t>
    </r>
    <r>
      <rPr>
        <sz val="10.3"/>
        <rFont val="Arial"/>
        <family val="2"/>
      </rPr>
      <t>”</t>
    </r>
    <r>
      <rPr>
        <sz val="10.3"/>
        <rFont val="標楷體"/>
        <family val="4"/>
        <charset val="136"/>
      </rPr>
      <t>有</t>
    </r>
    <r>
      <rPr>
        <sz val="10.3"/>
        <rFont val="Arial"/>
        <family val="2"/>
      </rPr>
      <t>”</t>
    </r>
    <r>
      <rPr>
        <sz val="10.3"/>
        <rFont val="標楷體"/>
        <family val="4"/>
        <charset val="136"/>
      </rPr>
      <t>，則應填寫後附「公共工程施工日誌之技術士簽章表」）</t>
    </r>
    <phoneticPr fontId="15" type="noConversion"/>
  </si>
  <si>
    <r>
      <t>五、工地</t>
    </r>
    <r>
      <rPr>
        <sz val="12"/>
        <color rgb="FFFF0000"/>
        <rFont val="標楷體"/>
        <family val="4"/>
        <charset val="136"/>
      </rPr>
      <t>職業</t>
    </r>
    <r>
      <rPr>
        <sz val="12"/>
        <color rgb="FF000000"/>
        <rFont val="標楷體"/>
        <family val="4"/>
        <charset val="136"/>
      </rPr>
      <t>安全衛生事項之督導、公共環境與安全之維護及其他工地行政事務：</t>
    </r>
  </si>
  <si>
    <r>
      <t xml:space="preserve">   1.</t>
    </r>
    <r>
      <rPr>
        <sz val="12"/>
        <color rgb="FFFF0000"/>
        <rFont val="標楷體"/>
        <family val="4"/>
        <charset val="136"/>
      </rPr>
      <t>實施勤前教育</t>
    </r>
    <r>
      <rPr>
        <sz val="12"/>
        <color rgb="FFFF0000"/>
        <rFont val="Arial"/>
        <family val="2"/>
      </rPr>
      <t>(</t>
    </r>
    <r>
      <rPr>
        <sz val="12"/>
        <color rgb="FFFF0000"/>
        <rFont val="標楷體"/>
        <family val="4"/>
        <charset val="136"/>
      </rPr>
      <t>含工地預防災變及危害告知</t>
    </r>
    <r>
      <rPr>
        <sz val="12"/>
        <color rgb="FFFF0000"/>
        <rFont val="Arial"/>
        <family val="2"/>
      </rPr>
      <t>)</t>
    </r>
    <r>
      <rPr>
        <sz val="12"/>
        <color rgb="FFFF0000"/>
        <rFont val="標楷體"/>
        <family val="4"/>
        <charset val="136"/>
      </rPr>
      <t>：</t>
    </r>
    <r>
      <rPr>
        <sz val="12"/>
        <color rgb="FFFF0000"/>
        <rFont val="新細明體"/>
        <family val="1"/>
        <charset val="136"/>
      </rPr>
      <t>□</t>
    </r>
    <r>
      <rPr>
        <sz val="12"/>
        <color rgb="FFFF0000"/>
        <rFont val="標楷體"/>
        <family val="4"/>
        <charset val="136"/>
      </rPr>
      <t>有 □無</t>
    </r>
    <phoneticPr fontId="15" type="noConversion"/>
  </si>
  <si>
    <r>
      <t xml:space="preserve">   2.</t>
    </r>
    <r>
      <rPr>
        <sz val="12"/>
        <color rgb="FFFF0000"/>
        <rFont val="標楷體"/>
        <family val="4"/>
        <charset val="136"/>
      </rPr>
      <t>確認新進勞工是否提報勞工保險</t>
    </r>
    <r>
      <rPr>
        <sz val="12"/>
        <color rgb="FFFF0000"/>
        <rFont val="Arial"/>
        <family val="2"/>
      </rPr>
      <t>(</t>
    </r>
    <r>
      <rPr>
        <sz val="12"/>
        <color rgb="FFFF0000"/>
        <rFont val="標楷體"/>
        <family val="4"/>
        <charset val="136"/>
      </rPr>
      <t>或其他商業保險</t>
    </r>
    <r>
      <rPr>
        <sz val="12"/>
        <color rgb="FFFF0000"/>
        <rFont val="Arial"/>
        <family val="2"/>
      </rPr>
      <t>)</t>
    </r>
    <r>
      <rPr>
        <sz val="12"/>
        <color rgb="FFFF0000"/>
        <rFont val="標楷體"/>
        <family val="4"/>
        <charset val="136"/>
      </rPr>
      <t>資料及安全衛生教育訓練紀錄：</t>
    </r>
    <r>
      <rPr>
        <sz val="12"/>
        <color rgb="FFFF0000"/>
        <rFont val="新細明體"/>
        <family val="1"/>
        <charset val="136"/>
      </rPr>
      <t>□</t>
    </r>
    <r>
      <rPr>
        <sz val="12"/>
        <color rgb="FFFF0000"/>
        <rFont val="標楷體"/>
        <family val="4"/>
        <charset val="136"/>
      </rPr>
      <t xml:space="preserve">有 □無 </t>
    </r>
    <phoneticPr fontId="15" type="noConversion"/>
  </si>
  <si>
    <r>
      <t xml:space="preserve">      </t>
    </r>
    <r>
      <rPr>
        <sz val="12"/>
        <color rgb="FFFF0000"/>
        <rFont val="新細明體"/>
        <family val="1"/>
        <charset val="136"/>
      </rPr>
      <t>□</t>
    </r>
    <r>
      <rPr>
        <sz val="12"/>
        <color rgb="FFFF0000"/>
        <rFont val="標楷體"/>
        <family val="4"/>
        <charset val="136"/>
      </rPr>
      <t>無新進勞工</t>
    </r>
    <phoneticPr fontId="15" type="noConversion"/>
  </si>
  <si>
    <r>
      <t xml:space="preserve">   3.</t>
    </r>
    <r>
      <rPr>
        <sz val="12"/>
        <color rgb="FFFF0000"/>
        <rFont val="標楷體"/>
        <family val="4"/>
        <charset val="136"/>
      </rPr>
      <t>檢查勞工個人防護具：</t>
    </r>
    <r>
      <rPr>
        <sz val="12"/>
        <color rgb="FFFF0000"/>
        <rFont val="新細明體"/>
        <family val="1"/>
        <charset val="136"/>
      </rPr>
      <t>□</t>
    </r>
    <r>
      <rPr>
        <sz val="12"/>
        <color rgb="FFFF0000"/>
        <rFont val="標楷體"/>
        <family val="4"/>
        <charset val="136"/>
      </rPr>
      <t>有 □無</t>
    </r>
    <phoneticPr fontId="15" type="noConversion"/>
  </si>
  <si>
    <r>
      <t>簽章：【工地負責人】（註</t>
    </r>
    <r>
      <rPr>
        <sz val="12"/>
        <rFont val="Arial"/>
        <family val="2"/>
      </rPr>
      <t>3</t>
    </r>
    <r>
      <rPr>
        <sz val="12"/>
        <rFont val="標楷體"/>
        <family val="4"/>
        <charset val="136"/>
      </rPr>
      <t>）：</t>
    </r>
    <phoneticPr fontId="15" type="noConversion"/>
  </si>
  <si>
    <r>
      <t>註：</t>
    </r>
    <r>
      <rPr>
        <sz val="7.5"/>
        <color rgb="FF000000"/>
        <rFont val="Arial"/>
        <family val="2"/>
      </rPr>
      <t>1.</t>
    </r>
    <r>
      <rPr>
        <sz val="7.5"/>
        <color rgb="FF000000"/>
        <rFont val="標楷體"/>
        <family val="4"/>
        <charset val="136"/>
      </rPr>
      <t>依營造業法第</t>
    </r>
    <r>
      <rPr>
        <sz val="7.5"/>
        <color rgb="FF000000"/>
        <rFont val="Arial"/>
        <family val="2"/>
      </rPr>
      <t>32</t>
    </r>
    <r>
      <rPr>
        <sz val="7.5"/>
        <color rgb="FF000000"/>
        <rFont val="標楷體"/>
        <family val="4"/>
        <charset val="136"/>
      </rPr>
      <t>條第</t>
    </r>
    <r>
      <rPr>
        <sz val="7.5"/>
        <color rgb="FF000000"/>
        <rFont val="Arial"/>
        <family val="2"/>
      </rPr>
      <t>1</t>
    </r>
    <r>
      <rPr>
        <sz val="7.5"/>
        <color rgb="FF000000"/>
        <rFont val="標楷體"/>
        <family val="4"/>
        <charset val="136"/>
      </rPr>
      <t>項第</t>
    </r>
    <r>
      <rPr>
        <sz val="7.5"/>
        <color rgb="FF000000"/>
        <rFont val="Arial"/>
        <family val="2"/>
      </rPr>
      <t>2</t>
    </r>
    <r>
      <rPr>
        <sz val="7.5"/>
        <color rgb="FF000000"/>
        <rFont val="標楷體"/>
        <family val="4"/>
        <charset val="136"/>
      </rPr>
      <t>款規定，工地主任應按日填報施工日誌。</t>
    </r>
    <phoneticPr fontId="15" type="noConversion"/>
  </si>
  <si>
    <r>
      <t xml:space="preserve">        2.</t>
    </r>
    <r>
      <rPr>
        <sz val="7.5"/>
        <color rgb="FF000000"/>
        <rFont val="標楷體"/>
        <family val="4"/>
        <charset val="136"/>
      </rPr>
      <t>本施工日誌格式僅供參考，惟原則應包含上開欄位，各機關亦得依工程性質及契約約定事項自行增訂之。</t>
    </r>
    <phoneticPr fontId="15" type="noConversion"/>
  </si>
  <si>
    <r>
      <t xml:space="preserve">        3.</t>
    </r>
    <r>
      <rPr>
        <sz val="7.5"/>
        <color rgb="FF000000"/>
        <rFont val="標楷體"/>
        <family val="4"/>
        <charset val="136"/>
      </rPr>
      <t>本工程依營造業法第</t>
    </r>
    <r>
      <rPr>
        <sz val="7.5"/>
        <color rgb="FF000000"/>
        <rFont val="Arial"/>
        <family val="2"/>
      </rPr>
      <t>30</t>
    </r>
    <r>
      <rPr>
        <sz val="7.5"/>
        <color rgb="FF000000"/>
        <rFont val="標楷體"/>
        <family val="4"/>
        <charset val="136"/>
      </rPr>
      <t>條規定須置工地主任者，由工地主任簽章；依上開規定免置工地主任者，則由營造業法第</t>
    </r>
    <r>
      <rPr>
        <sz val="7.5"/>
        <color rgb="FF000000"/>
        <rFont val="Arial"/>
        <family val="2"/>
      </rPr>
      <t>32</t>
    </r>
    <r>
      <rPr>
        <sz val="7.5"/>
        <color rgb="FF000000"/>
        <rFont val="標楷體"/>
        <family val="4"/>
        <charset val="136"/>
      </rPr>
      <t>條第</t>
    </r>
    <r>
      <rPr>
        <sz val="7.5"/>
        <color rgb="FF000000"/>
        <rFont val="Arial"/>
        <family val="2"/>
      </rPr>
      <t>2</t>
    </r>
    <r>
      <rPr>
        <sz val="7.5"/>
        <color rgb="FF000000"/>
        <rFont val="標楷體"/>
        <family val="4"/>
        <charset val="136"/>
      </rPr>
      <t>項所定之人員簽章。</t>
    </r>
    <phoneticPr fontId="15" type="noConversion"/>
  </si>
  <si>
    <r>
      <t xml:space="preserve">           </t>
    </r>
    <r>
      <rPr>
        <sz val="7.5"/>
        <color rgb="FF000000"/>
        <rFont val="標楷體"/>
        <family val="4"/>
        <charset val="136"/>
      </rPr>
      <t>廠商非</t>
    </r>
    <r>
      <rPr>
        <sz val="7.5"/>
        <color rgb="FF000000"/>
        <rFont val="Arial"/>
        <family val="2"/>
      </rPr>
      <t xml:space="preserve"> </t>
    </r>
    <r>
      <rPr>
        <sz val="7.5"/>
        <color rgb="FF000000"/>
        <rFont val="標楷體"/>
        <family val="4"/>
        <charset val="136"/>
      </rPr>
      <t>屬營造業者，由工地負責人簽章。</t>
    </r>
    <phoneticPr fontId="15" type="noConversion"/>
  </si>
  <si>
    <r>
      <t xml:space="preserve">        4.</t>
    </r>
    <r>
      <rPr>
        <sz val="7.5"/>
        <color rgb="FF000000"/>
        <rFont val="標楷體"/>
        <family val="4"/>
        <charset val="136"/>
      </rPr>
      <t>契約工期如有修正，應填修正後之契約工期，含展延工期及不計工期天數；如有依契約變更設計，預定進度及實際進度應填變更設計後計算之進度。</t>
    </r>
    <phoneticPr fontId="15" type="noConversion"/>
  </si>
  <si>
    <r>
      <t xml:space="preserve">        5.</t>
    </r>
    <r>
      <rPr>
        <sz val="7.5"/>
        <color rgb="FF000000"/>
        <rFont val="標楷體"/>
        <family val="4"/>
        <charset val="136"/>
      </rPr>
      <t>上開重要事項記錄包含（</t>
    </r>
    <r>
      <rPr>
        <sz val="7.5"/>
        <color rgb="FF000000"/>
        <rFont val="Arial"/>
        <family val="2"/>
      </rPr>
      <t>1</t>
    </r>
    <r>
      <rPr>
        <sz val="7.5"/>
        <color rgb="FF000000"/>
        <rFont val="標楷體"/>
        <family val="4"/>
        <charset val="136"/>
      </rPr>
      <t>）主辦機關及監造單位指示（</t>
    </r>
    <r>
      <rPr>
        <sz val="7.5"/>
        <color rgb="FF000000"/>
        <rFont val="Arial"/>
        <family val="2"/>
      </rPr>
      <t>2</t>
    </r>
    <r>
      <rPr>
        <sz val="7.5"/>
        <color rgb="FF000000"/>
        <rFont val="標楷體"/>
        <family val="4"/>
        <charset val="136"/>
      </rPr>
      <t>）工地遇緊急異常狀況之通報處理情形（</t>
    </r>
    <r>
      <rPr>
        <sz val="7.5"/>
        <color rgb="FF000000"/>
        <rFont val="Arial"/>
        <family val="2"/>
      </rPr>
      <t>3</t>
    </r>
    <r>
      <rPr>
        <sz val="7.5"/>
        <color rgb="FF000000"/>
        <rFont val="標楷體"/>
        <family val="4"/>
        <charset val="136"/>
      </rPr>
      <t>）本日是否由專任工程人員督察按圖施工、</t>
    </r>
    <phoneticPr fontId="15" type="noConversion"/>
  </si>
  <si>
    <r>
      <t xml:space="preserve">            </t>
    </r>
    <r>
      <rPr>
        <sz val="7.5"/>
        <color rgb="FF000000"/>
        <rFont val="標楷體"/>
        <family val="4"/>
        <charset val="136"/>
      </rPr>
      <t>解決施工技術問題等。</t>
    </r>
    <phoneticPr fontId="15" type="noConversion"/>
  </si>
  <si>
    <r>
      <t xml:space="preserve">    </t>
    </r>
    <r>
      <rPr>
        <sz val="7.5"/>
        <color rgb="FF000000"/>
        <rFont val="Arial"/>
        <family val="2"/>
      </rPr>
      <t>6</t>
    </r>
    <r>
      <rPr>
        <sz val="7.5"/>
        <color rgb="FF000000"/>
        <rFont val="標楷體"/>
        <family val="4"/>
        <charset val="136"/>
      </rPr>
      <t>.上開施工前檢查事項所列工作應由職業安全衛生管理辦法第3條規定所置職業安全衛生人員於每日施工前辦理(檢查紀錄參考範例如附工地職業安全</t>
    </r>
    <phoneticPr fontId="15" type="noConversion"/>
  </si>
  <si>
    <t xml:space="preserve">      安全衛生施工前檢查紀錄表)，工地主任負責督導及確認該事項完成後於施工日誌填載。</t>
    <phoneticPr fontId="15" type="noConversion"/>
  </si>
  <si>
    <r>
      <t xml:space="preserve">   1.</t>
    </r>
    <r>
      <rPr>
        <sz val="12"/>
        <color rgb="FFFF0000"/>
        <rFont val="標楷體"/>
        <family val="4"/>
        <charset val="136"/>
      </rPr>
      <t>實施勤前教育</t>
    </r>
    <r>
      <rPr>
        <sz val="12"/>
        <color rgb="FFFF0000"/>
        <rFont val="Arial"/>
        <family val="2"/>
      </rPr>
      <t>(</t>
    </r>
    <r>
      <rPr>
        <sz val="12"/>
        <color rgb="FFFF0000"/>
        <rFont val="標楷體"/>
        <family val="4"/>
        <charset val="136"/>
      </rPr>
      <t>含工地預防災變及危害告知</t>
    </r>
    <r>
      <rPr>
        <sz val="12"/>
        <color rgb="FFFF0000"/>
        <rFont val="Arial"/>
        <family val="2"/>
      </rPr>
      <t>)</t>
    </r>
    <r>
      <rPr>
        <sz val="12"/>
        <color rgb="FFFF0000"/>
        <rFont val="標楷體"/>
        <family val="4"/>
        <charset val="136"/>
      </rPr>
      <t>：</t>
    </r>
    <r>
      <rPr>
        <sz val="12"/>
        <color rgb="FFFF0000"/>
        <rFont val="新細明體"/>
        <family val="1"/>
        <charset val="136"/>
      </rPr>
      <t>■</t>
    </r>
    <r>
      <rPr>
        <sz val="12"/>
        <color rgb="FFFF0000"/>
        <rFont val="標楷體"/>
        <family val="4"/>
        <charset val="136"/>
      </rPr>
      <t>有 □無</t>
    </r>
    <phoneticPr fontId="5" type="noConversion"/>
  </si>
  <si>
    <r>
      <t xml:space="preserve">   2.</t>
    </r>
    <r>
      <rPr>
        <sz val="12"/>
        <color rgb="FFFF0000"/>
        <rFont val="標楷體"/>
        <family val="4"/>
        <charset val="136"/>
      </rPr>
      <t>確認新進勞工是否提報勞工保險</t>
    </r>
    <r>
      <rPr>
        <sz val="12"/>
        <color rgb="FFFF0000"/>
        <rFont val="Arial"/>
        <family val="2"/>
      </rPr>
      <t>(</t>
    </r>
    <r>
      <rPr>
        <sz val="12"/>
        <color rgb="FFFF0000"/>
        <rFont val="標楷體"/>
        <family val="4"/>
        <charset val="136"/>
      </rPr>
      <t>或其他商業保險</t>
    </r>
    <r>
      <rPr>
        <sz val="12"/>
        <color rgb="FFFF0000"/>
        <rFont val="Arial"/>
        <family val="2"/>
      </rPr>
      <t>)</t>
    </r>
    <r>
      <rPr>
        <sz val="12"/>
        <color rgb="FFFF0000"/>
        <rFont val="標楷體"/>
        <family val="4"/>
        <charset val="136"/>
      </rPr>
      <t>資料及安全衛生教育訓練紀錄：</t>
    </r>
    <r>
      <rPr>
        <sz val="12"/>
        <color rgb="FFFF0000"/>
        <rFont val="新細明體"/>
        <family val="1"/>
        <charset val="136"/>
      </rPr>
      <t>□</t>
    </r>
    <r>
      <rPr>
        <sz val="12"/>
        <color rgb="FFFF0000"/>
        <rFont val="標楷體"/>
        <family val="4"/>
        <charset val="136"/>
      </rPr>
      <t xml:space="preserve">有 □無 </t>
    </r>
    <phoneticPr fontId="5" type="noConversion"/>
  </si>
  <si>
    <r>
      <t xml:space="preserve">      </t>
    </r>
    <r>
      <rPr>
        <sz val="12"/>
        <color rgb="FFFF0000"/>
        <rFont val="新細明體"/>
        <family val="1"/>
        <charset val="136"/>
      </rPr>
      <t>■</t>
    </r>
    <r>
      <rPr>
        <sz val="12"/>
        <color rgb="FFFF0000"/>
        <rFont val="標楷體"/>
        <family val="4"/>
        <charset val="136"/>
      </rPr>
      <t>無新進勞工</t>
    </r>
    <phoneticPr fontId="5" type="noConversion"/>
  </si>
  <si>
    <r>
      <t xml:space="preserve">   3.</t>
    </r>
    <r>
      <rPr>
        <sz val="12"/>
        <color rgb="FFFF0000"/>
        <rFont val="標楷體"/>
        <family val="4"/>
        <charset val="136"/>
      </rPr>
      <t>檢查勞工個人防護具：</t>
    </r>
    <r>
      <rPr>
        <sz val="12"/>
        <color rgb="FFFF0000"/>
        <rFont val="新細明體"/>
        <family val="1"/>
        <charset val="136"/>
      </rPr>
      <t>■</t>
    </r>
    <r>
      <rPr>
        <sz val="12"/>
        <color rgb="FFFF0000"/>
        <rFont val="標楷體"/>
        <family val="4"/>
        <charset val="136"/>
      </rPr>
      <t>有 □無</t>
    </r>
    <phoneticPr fontId="5" type="noConversion"/>
  </si>
  <si>
    <r>
      <t>四、本日施工項目是否有須依「營造業專業工程特定施工項目應置之技術士種類、比率或人數標準表」規定應設置技術士之專業工程：□有</t>
    </r>
    <r>
      <rPr>
        <sz val="10.3"/>
        <rFont val="Arial"/>
        <family val="2"/>
      </rPr>
      <t xml:space="preserve"> </t>
    </r>
    <r>
      <rPr>
        <sz val="10.3"/>
        <rFont val="新細明體"/>
        <family val="1"/>
        <charset val="136"/>
      </rPr>
      <t>□</t>
    </r>
    <r>
      <rPr>
        <sz val="10.3"/>
        <rFont val="標楷體"/>
        <family val="4"/>
        <charset val="136"/>
      </rPr>
      <t>無（此項如勾選</t>
    </r>
    <r>
      <rPr>
        <sz val="10.3"/>
        <rFont val="Arial"/>
        <family val="2"/>
      </rPr>
      <t>”</t>
    </r>
    <r>
      <rPr>
        <sz val="10.3"/>
        <rFont val="標楷體"/>
        <family val="4"/>
        <charset val="136"/>
      </rPr>
      <t>有</t>
    </r>
    <r>
      <rPr>
        <sz val="10.3"/>
        <rFont val="Arial"/>
        <family val="2"/>
      </rPr>
      <t>”</t>
    </r>
    <r>
      <rPr>
        <sz val="10.3"/>
        <rFont val="標楷體"/>
        <family val="4"/>
        <charset val="136"/>
      </rPr>
      <t>，則應填寫後附「公共工程施工日誌之技術士簽章表」）</t>
    </r>
    <phoneticPr fontId="15" type="noConversion"/>
  </si>
  <si>
    <t>累計完成數量</t>
    <phoneticPr fontId="5" type="noConversion"/>
  </si>
  <si>
    <t>八、重要事項記錄：</t>
    <phoneticPr fontId="15" type="noConversion"/>
  </si>
  <si>
    <t>光明國中B與C區5樓老舊廁所整修工程</t>
    <phoneticPr fontId="5" type="noConversion"/>
  </si>
  <si>
    <t>115.2.3</t>
    <phoneticPr fontId="5" type="noConversion"/>
  </si>
  <si>
    <t>乙種施工圍籬、警示帶、安全警示燈等安全措施</t>
    <phoneticPr fontId="5" type="noConversion"/>
  </si>
  <si>
    <t>工程告示牌與職安衛告示牌</t>
    <phoneticPr fontId="5" type="noConversion"/>
  </si>
  <si>
    <t>114.9.27</t>
    <phoneticPr fontId="5" type="noConversion"/>
  </si>
  <si>
    <t>既有地坪、磁磚、衛生設備、給排水設施、搗擺及天花板等拆除;工區下方廁所保護措施與清潔復原;環境保護與清潔</t>
    <phoneticPr fontId="5" type="noConversion"/>
  </si>
  <si>
    <t>式</t>
    <phoneticPr fontId="5" type="noConversion"/>
  </si>
  <si>
    <t>普通工</t>
    <phoneticPr fontId="5" type="noConversion"/>
  </si>
  <si>
    <t>體力工</t>
    <phoneticPr fontId="5" type="noConversion"/>
  </si>
  <si>
    <t>八、重要事項記錄：廁所舊有設備拆除</t>
    <phoneticPr fontId="15" type="noConversion"/>
  </si>
  <si>
    <t>八、重要事項記錄：1.申報本日開工 2.廁所舊有設備拆除</t>
    <phoneticPr fontId="15" type="noConversion"/>
  </si>
  <si>
    <t>八、重要事項記錄：1.本日無施工 2.依據9月22日施工協調會紀錄,校方同意開工日起前4周上班日予以不計工期。</t>
    <phoneticPr fontId="15" type="noConversion"/>
  </si>
  <si>
    <t>115.2.4</t>
    <phoneticPr fontId="5" type="noConversion"/>
  </si>
  <si>
    <t>115.2.6</t>
    <phoneticPr fontId="5" type="noConversion"/>
  </si>
  <si>
    <t>115.2.7</t>
    <phoneticPr fontId="5" type="noConversion"/>
  </si>
  <si>
    <t>施工動線開闢與損壞復原，既有設備管線遷移與復原；測量與放樣</t>
    <phoneticPr fontId="5" type="noConversion"/>
  </si>
  <si>
    <t>式</t>
    <phoneticPr fontId="5" type="noConversion"/>
  </si>
  <si>
    <t>水電工</t>
    <phoneticPr fontId="5" type="noConversion"/>
  </si>
  <si>
    <t>水電工</t>
    <phoneticPr fontId="5" type="noConversion"/>
  </si>
  <si>
    <t>八、重要事項記錄：1.廁所舊有設備拆除及管線遷移 2.專任工程人員督導</t>
    <phoneticPr fontId="15" type="noConversion"/>
  </si>
  <si>
    <t>114.2.5</t>
    <phoneticPr fontId="5" type="noConversion"/>
  </si>
  <si>
    <t>115.2.8</t>
    <phoneticPr fontId="5" type="noConversion"/>
  </si>
  <si>
    <t>115.2.9</t>
    <phoneticPr fontId="5" type="noConversion"/>
  </si>
  <si>
    <t>115.2.10</t>
    <phoneticPr fontId="5" type="noConversion"/>
  </si>
  <si>
    <t>115.2.11</t>
    <phoneticPr fontId="5" type="noConversion"/>
  </si>
  <si>
    <t>115.2.12</t>
    <phoneticPr fontId="5" type="noConversion"/>
  </si>
  <si>
    <t>115.2.13</t>
    <phoneticPr fontId="5" type="noConversion"/>
  </si>
  <si>
    <t>115.2.14</t>
    <phoneticPr fontId="5" type="noConversion"/>
  </si>
  <si>
    <t>115.2.15</t>
    <phoneticPr fontId="5" type="noConversion"/>
  </si>
  <si>
    <t>給排水系統配管與安裝</t>
    <phoneticPr fontId="5" type="noConversion"/>
  </si>
  <si>
    <t>式</t>
    <phoneticPr fontId="5" type="noConversion"/>
  </si>
  <si>
    <t>水電工</t>
    <phoneticPr fontId="5" type="noConversion"/>
  </si>
  <si>
    <t>八、重要事項記錄：給排水配管施工</t>
    <phoneticPr fontId="15" type="noConversion"/>
  </si>
  <si>
    <t>八、重要事項記錄：1.廁所舊有設備拆除及管線遷移</t>
    <phoneticPr fontId="15" type="noConversion"/>
  </si>
  <si>
    <t>八、重要事項記錄：廁所舊有設備拆除及管線遷移</t>
    <phoneticPr fontId="15" type="noConversion"/>
  </si>
  <si>
    <t>八、重要事項記錄：本日無施工,材料準備</t>
    <phoneticPr fontId="15" type="noConversion"/>
  </si>
  <si>
    <t>八、重要事項記錄：本日無施工,施工準備</t>
    <phoneticPr fontId="15" type="noConversion"/>
  </si>
  <si>
    <t>給排水系統配管與安裝</t>
    <phoneticPr fontId="5" type="noConversion"/>
  </si>
  <si>
    <t>式</t>
    <phoneticPr fontId="5" type="noConversion"/>
  </si>
  <si>
    <t>八、重要事項記錄：1.給排水配管施工2.施工範圍內樓板穿管處與既有無用穿管及孔洞需以水泥砂漿封閉</t>
    <phoneticPr fontId="15" type="noConversion"/>
  </si>
  <si>
    <t>施工範圍內樓板穿管處與既有無用穿管及孔洞需以水泥砂漿封閉</t>
    <phoneticPr fontId="5" type="noConversion"/>
  </si>
  <si>
    <t>八、重要事項記錄：1.給排水配管施工2.施工範圍內樓板穿管處與既有無用穿管及孔洞需以水泥砂漿封閉</t>
    <phoneticPr fontId="15" type="noConversion"/>
  </si>
  <si>
    <t>八、重要事項記錄：給排水配管施工</t>
    <phoneticPr fontId="15" type="noConversion"/>
  </si>
  <si>
    <t>八、重要事項記錄：1.給排水配管施工 2.給排水系統配管施工自主檢查</t>
    <phoneticPr fontId="15" type="noConversion"/>
  </si>
  <si>
    <t>體力工</t>
    <phoneticPr fontId="5" type="noConversion"/>
  </si>
  <si>
    <t>水電工</t>
    <phoneticPr fontId="5" type="noConversion"/>
  </si>
  <si>
    <t>普通工</t>
    <phoneticPr fontId="5" type="noConversion"/>
  </si>
  <si>
    <t>八、重要事項記錄：本日無施工,備料</t>
    <phoneticPr fontId="15" type="noConversion"/>
  </si>
  <si>
    <t>既有地坪、磁磚、衛生設備、給排水設施、搗擺及天花板等拆除;工區下方廁所保護措施與清潔復原;環境保護與清潔</t>
    <phoneticPr fontId="5" type="noConversion"/>
  </si>
  <si>
    <t>八、重要事項記錄：1.給排水配管施工2.蹲式馬桶(腳踏式油壓兩段式沖水，加長型70公分)3.蹲便設備自主查驗</t>
    <phoneticPr fontId="15" type="noConversion"/>
  </si>
  <si>
    <t>八、重要事項記錄：1.本日無施工 2.依據9月22日施工協調會紀錄,校方同意開工日起前4周上班日予以不計工期 3.勞檢處督察。</t>
    <phoneticPr fontId="15" type="noConversion"/>
  </si>
  <si>
    <t>八、重要事項記錄：1.本日無施工 2.管路材料進場 3.汙排管材料自主檢查</t>
    <phoneticPr fontId="15" type="noConversion"/>
  </si>
  <si>
    <t>八、重要事項記錄：1.給排水配管施工  4.防汛及交通維持及環境保護自主檢查</t>
    <phoneticPr fontId="15" type="noConversion"/>
  </si>
  <si>
    <t>八、重要事項記錄：1.給排水配管施工2.蹲式馬桶安裝</t>
    <phoneticPr fontId="15" type="noConversion"/>
  </si>
  <si>
    <t>砌1/2B磚牆</t>
    <phoneticPr fontId="5" type="noConversion"/>
  </si>
  <si>
    <t>M2</t>
  </si>
  <si>
    <t>泥水工</t>
    <phoneticPr fontId="5" type="noConversion"/>
  </si>
  <si>
    <t>地坪與蹲便台階增築</t>
    <phoneticPr fontId="15" type="noConversion"/>
  </si>
  <si>
    <t>地坪、牆面1:3水泥砂漿粉刷</t>
    <phoneticPr fontId="5" type="noConversion"/>
  </si>
  <si>
    <t>八、重要事項記錄：1.地坪、牆面1:3水泥砂漿粉刷施工</t>
    <phoneticPr fontId="15" type="noConversion"/>
  </si>
  <si>
    <t>地坪及牆面(H=1.2m)防水層粉刷</t>
    <phoneticPr fontId="5" type="noConversion"/>
  </si>
  <si>
    <t>八、重要事項記錄：1.地坪及牆面(H=1.2m)防水層粉刷施工</t>
    <phoneticPr fontId="15" type="noConversion"/>
  </si>
  <si>
    <t>施做拖布盆(砌磚粉刷貼磁磚，H=35cm)</t>
    <phoneticPr fontId="5" type="noConversion"/>
  </si>
  <si>
    <t>M2</t>
    <phoneticPr fontId="5" type="noConversion"/>
  </si>
  <si>
    <r>
      <t>簽章：【工地負責人】（註</t>
    </r>
    <r>
      <rPr>
        <sz val="12"/>
        <rFont val="Arial"/>
        <family val="2"/>
      </rPr>
      <t>3</t>
    </r>
    <r>
      <rPr>
        <sz val="12"/>
        <rFont val="標楷體"/>
        <family val="4"/>
        <charset val="136"/>
      </rPr>
      <t>）：</t>
    </r>
    <phoneticPr fontId="15" type="noConversion"/>
  </si>
  <si>
    <t>八、重要事項記錄：1.給排水配管施工 2.專任工程人員督導</t>
    <phoneticPr fontId="15" type="noConversion"/>
  </si>
  <si>
    <t>八、重要事項記錄：本日無施工備料。</t>
    <phoneticPr fontId="15" type="noConversion"/>
  </si>
  <si>
    <t>給排水系統配管與安裝</t>
    <phoneticPr fontId="5" type="noConversion"/>
  </si>
  <si>
    <t>八、重要事項記錄：1.給排水配管施工</t>
    <phoneticPr fontId="15" type="noConversion"/>
  </si>
  <si>
    <t>八、重要事項記錄：1.給排水配管施工2.砌1/2B磚牆</t>
    <phoneticPr fontId="15" type="noConversion"/>
  </si>
  <si>
    <t>砌1/2B磚牆</t>
    <phoneticPr fontId="5" type="noConversion"/>
  </si>
  <si>
    <t>八、重要事項記錄：1.地坪與蹲便台階增築施工2.砌1/2B磚牆施工</t>
    <phoneticPr fontId="15" type="noConversion"/>
  </si>
  <si>
    <t>地坪與蹲便台階增築</t>
    <phoneticPr fontId="15" type="noConversion"/>
  </si>
  <si>
    <t>八、重要事項記錄：1.給排水配管施工</t>
    <phoneticPr fontId="15" type="noConversion"/>
  </si>
  <si>
    <t>八、重要事項記錄：蹲式馬桶安裝</t>
    <phoneticPr fontId="15" type="noConversion"/>
  </si>
  <si>
    <t>廁所安裝衛生設備</t>
    <phoneticPr fontId="5" type="noConversion"/>
  </si>
  <si>
    <t>八、重要事項記錄：1.地坪與蹲便台階增築施工</t>
    <phoneticPr fontId="15" type="noConversion"/>
  </si>
  <si>
    <t>施做拖布盆(砌磚粉刷貼磁磚，H=35cm)</t>
    <phoneticPr fontId="5" type="noConversion"/>
  </si>
  <si>
    <t>八、重要事項記錄：1.地坪、牆面1:3水泥砂漿粉刷施工2.施做拖布盆(砌磚粉刷貼磁磚，H=35cm)施工</t>
    <phoneticPr fontId="15" type="noConversion"/>
  </si>
  <si>
    <t>八、重要事項記錄：1.地坪、牆面1:3水泥砂漿粉刷施工 2.專任工程人員督導</t>
    <phoneticPr fontId="15" type="noConversion"/>
  </si>
  <si>
    <t>八、重要事項記錄：鳳凰颱風來襲，臺中市政府宣佈本日停班停課1日</t>
    <phoneticPr fontId="15" type="noConversion"/>
  </si>
  <si>
    <t>115.2.16</t>
    <phoneticPr fontId="5" type="noConversion"/>
  </si>
  <si>
    <t>八、重要事項記錄：1.地坪、牆面1:3水泥砂漿粉刷施工2.施做拖布盆(砌磚粉刷貼磁磚，H=35cm)施工3.114年11月19日光中總字第114000660號函同意颱風因素展延1日。</t>
    <phoneticPr fontId="15" type="noConversion"/>
  </si>
  <si>
    <t>地坪及牆面(H=1.2m)防水層粉刷</t>
    <phoneticPr fontId="5" type="noConversion"/>
  </si>
  <si>
    <t>牆面貼石英磚30*60cm</t>
    <phoneticPr fontId="5" type="noConversion"/>
  </si>
  <si>
    <t>八、重要事項記錄：牆面貼石英磚30*60cm施工</t>
    <phoneticPr fontId="15" type="noConversion"/>
  </si>
  <si>
    <t>地坪、牆面1:3水泥砂漿粉刷</t>
    <phoneticPr fontId="5" type="noConversion"/>
  </si>
  <si>
    <t>八、重要事項記錄：地坪及牆面(H=1.2m)防水層粉刷</t>
    <phoneticPr fontId="15" type="noConversion"/>
  </si>
  <si>
    <t>八、重要事項記錄：依據業主12月1日光中總字第1140006855號函指示12/2及12/3學校段考停工2日。</t>
    <phoneticPr fontId="15" type="noConversion"/>
  </si>
  <si>
    <t>115.2.17</t>
    <phoneticPr fontId="5" type="noConversion"/>
  </si>
  <si>
    <t>115.2.18</t>
    <phoneticPr fontId="5" type="noConversion"/>
  </si>
  <si>
    <t>牆面與平頂水泥漆粉刷</t>
    <phoneticPr fontId="5" type="noConversion"/>
  </si>
  <si>
    <t>油漆工</t>
    <phoneticPr fontId="5" type="noConversion"/>
  </si>
  <si>
    <t>八、重要事項記錄：1.牆面貼石英磚30*60cm施工2.牆面與平頂水泥漆粉刷施工</t>
    <phoneticPr fontId="15" type="noConversion"/>
  </si>
  <si>
    <t>雜項工程</t>
    <phoneticPr fontId="5" type="noConversion"/>
  </si>
  <si>
    <t>鋁窗</t>
    <phoneticPr fontId="5" type="noConversion"/>
  </si>
  <si>
    <t>地坪貼止滑石英磚30cm*30cm</t>
    <phoneticPr fontId="5" type="noConversion"/>
  </si>
  <si>
    <t>M2</t>
    <phoneticPr fontId="5" type="noConversion"/>
  </si>
  <si>
    <t>牆面貼石英磚30*60cm，白色水泥抹縫</t>
    <phoneticPr fontId="5" type="noConversion"/>
  </si>
  <si>
    <t>M2</t>
    <phoneticPr fontId="5" type="noConversion"/>
  </si>
  <si>
    <t>牆面貼石英磚30*60cm，白色水泥抹縫</t>
    <phoneticPr fontId="5" type="noConversion"/>
  </si>
  <si>
    <t>施做拖布盆(砌磚粉刷貼磁磚，H=35cm)</t>
    <phoneticPr fontId="5" type="noConversion"/>
  </si>
  <si>
    <t>八、重要事項記錄：1施做拖布盆(砌磚粉刷貼磁磚，H=35cm)2.鋁窗安裝</t>
    <phoneticPr fontId="15" type="noConversion"/>
  </si>
  <si>
    <t>八、重要事項記錄：1施做拖布盆(砌磚粉刷貼磁磚，H=35cm)</t>
    <phoneticPr fontId="15" type="noConversion"/>
  </si>
  <si>
    <t>廁所安裝衛生設備</t>
    <phoneticPr fontId="5" type="noConversion"/>
  </si>
  <si>
    <t>M2</t>
    <phoneticPr fontId="5" type="noConversion"/>
  </si>
  <si>
    <t>安裝不銹鋼方形地板落水頭</t>
    <phoneticPr fontId="5" type="noConversion"/>
  </si>
  <si>
    <t>組</t>
    <phoneticPr fontId="5" type="noConversion"/>
  </si>
  <si>
    <t>安裝塑鋼陽角線</t>
    <phoneticPr fontId="5" type="noConversion"/>
  </si>
  <si>
    <t>M</t>
    <phoneticPr fontId="5" type="noConversion"/>
  </si>
  <si>
    <t>地坪貼止滑石英磚30cm*30cm</t>
    <phoneticPr fontId="5" type="noConversion"/>
  </si>
  <si>
    <t>施工範圍內樓板穿管處與既有無用穿管及孔洞需以水泥砂漿封閉</t>
    <phoneticPr fontId="5" type="noConversion"/>
  </si>
  <si>
    <t>八、重要事項記錄：地坪、牆面1:3水泥砂漿粉刷</t>
    <phoneticPr fontId="15" type="noConversion"/>
  </si>
  <si>
    <t>八、重要事項記錄：本日無施工備料。</t>
    <phoneticPr fontId="15" type="noConversion"/>
  </si>
  <si>
    <t>地坪及牆面(H=1.2m)防水層粉刷</t>
    <phoneticPr fontId="5" type="noConversion"/>
  </si>
  <si>
    <t>牆面與平頂水泥漆粉刷</t>
    <phoneticPr fontId="5" type="noConversion"/>
  </si>
  <si>
    <t>地坪貼止滑石英磚30cm*30cm</t>
    <phoneticPr fontId="5" type="noConversion"/>
  </si>
  <si>
    <t>八、重要事項記錄：地坪貼止滑石英磚30cm*30cm及按裝落水頭</t>
    <phoneticPr fontId="15" type="noConversion"/>
  </si>
  <si>
    <t>地坪貼60cm*60cm止滑石英磚</t>
    <phoneticPr fontId="5" type="noConversion"/>
  </si>
  <si>
    <t>普通工</t>
    <phoneticPr fontId="5" type="noConversion"/>
  </si>
  <si>
    <t>泥水工</t>
    <phoneticPr fontId="5" type="noConversion"/>
  </si>
  <si>
    <t>地坪、牆面1:3水泥砂漿粉刷</t>
    <phoneticPr fontId="5" type="noConversion"/>
  </si>
  <si>
    <t>牆面貼石英磚30*60cm，白色水泥抹縫</t>
    <phoneticPr fontId="5" type="noConversion"/>
  </si>
  <si>
    <t>油漆工</t>
    <phoneticPr fontId="5" type="noConversion"/>
  </si>
  <si>
    <t>八、重要事項記錄：牆面貼石英磚30*60cm施工</t>
    <phoneticPr fontId="15" type="noConversion"/>
  </si>
  <si>
    <t>八、重要事項記錄：1.座式馬桶.壁掛式小便斗.扶手設備進場自主檢查 2.30*30地磚進場自主檢查</t>
    <phoneticPr fontId="15" type="noConversion"/>
  </si>
  <si>
    <t>八、重要事項記錄：1.安裝陽角線 2.專任工程人員督導</t>
    <phoneticPr fontId="15" type="noConversion"/>
  </si>
  <si>
    <t>八、重要事項記錄：1.地坪貼止滑石英磚30cm*30cm及60cm*60cm止滑石英磚施工2.貼磚施工自主檢查</t>
    <phoneticPr fontId="15" type="noConversion"/>
  </si>
  <si>
    <t>八、重要事項記錄：1.牆面與平頂水泥漆粉刷施工2.油漆施工自主檢查</t>
    <phoneticPr fontId="15" type="noConversion"/>
  </si>
  <si>
    <t>八、重要事項記錄：1.牆面貼石英磚30*60cm施工2.牆面與平頂水泥漆粉刷施工3.油漆施工自主檢查</t>
    <phoneticPr fontId="15" type="noConversion"/>
  </si>
  <si>
    <t>八、重要事項記錄：1.牆面貼石英磚30*60cm施工2.地坪、牆面1:3水泥砂漿粉刷3.地坪及牆面(H=1.2m)防水層粉刷4.防水粉刷施工自主檢查。</t>
    <phoneticPr fontId="15" type="noConversion"/>
  </si>
  <si>
    <t>八、重要事項記錄：1.牆面貼石英磚30*60cm施工2.施做拖布盆(砌磚粉刷貼磁磚，H=35cm)3.牆面貼磚施工自主檢查。</t>
    <phoneticPr fontId="15" type="noConversion"/>
  </si>
  <si>
    <t>八、重要事項記錄：1施做拖布盆(砌磚粉刷貼磁磚，H=35cm)2.鋁窗安裝</t>
    <phoneticPr fontId="15" type="noConversion"/>
  </si>
  <si>
    <t>施工範圍內樓板穿管處與既有無用穿管及孔洞需以水泥砂漿封閉並刷防水層;樓板防水層試水</t>
    <phoneticPr fontId="5" type="noConversion"/>
  </si>
  <si>
    <t>八、重要事項記錄：防水層試水。</t>
    <phoneticPr fontId="15" type="noConversion"/>
  </si>
  <si>
    <t>油漆工</t>
    <phoneticPr fontId="5" type="noConversion"/>
  </si>
</sst>
</file>

<file path=xl/styles.xml><?xml version="1.0" encoding="utf-8"?>
<styleSheet xmlns="http://schemas.openxmlformats.org/spreadsheetml/2006/main">
  <numFmts count="3">
    <numFmt numFmtId="41" formatCode="_-* #,##0_-;\-* #,##0_-;_-* &quot;-&quot;_-;_-@_-"/>
    <numFmt numFmtId="176" formatCode="[$-404]e&quot;年&quot;mm&quot;月&quot;dd&quot;日&quot;aaaa;@"/>
    <numFmt numFmtId="177" formatCode="#,##0_);[Red]\(#,##0\)"/>
  </numFmts>
  <fonts count="28">
    <font>
      <sz val="12"/>
      <color theme="1"/>
      <name val="新細明體"/>
      <family val="2"/>
      <charset val="136"/>
      <scheme val="minor"/>
    </font>
    <font>
      <sz val="12"/>
      <name val="標楷體"/>
      <family val="4"/>
      <charset val="136"/>
    </font>
    <font>
      <sz val="12"/>
      <name val="Arial"/>
      <family val="2"/>
    </font>
    <font>
      <sz val="12"/>
      <color rgb="FFFF0000"/>
      <name val="標楷體"/>
      <family val="4"/>
      <charset val="136"/>
    </font>
    <font>
      <sz val="12"/>
      <color rgb="FFFF0000"/>
      <name val="Arial"/>
      <family val="2"/>
    </font>
    <font>
      <sz val="9"/>
      <name val="新細明體"/>
      <family val="2"/>
      <charset val="136"/>
      <scheme val="minor"/>
    </font>
    <font>
      <sz val="12"/>
      <name val="新細明體"/>
      <family val="1"/>
      <charset val="136"/>
    </font>
    <font>
      <sz val="12"/>
      <color rgb="FFFF0000"/>
      <name val="新細明體"/>
      <family val="1"/>
      <charset val="136"/>
    </font>
    <font>
      <sz val="10.3"/>
      <name val="標楷體"/>
      <family val="4"/>
      <charset val="136"/>
    </font>
    <font>
      <sz val="10.3"/>
      <name val="Arial"/>
      <family val="2"/>
    </font>
    <font>
      <sz val="10.3"/>
      <name val="新細明體"/>
      <family val="1"/>
      <charset val="136"/>
    </font>
    <font>
      <sz val="12"/>
      <name val="細明體"/>
      <family val="3"/>
      <charset val="136"/>
    </font>
    <font>
      <b/>
      <sz val="18"/>
      <color rgb="FF000000"/>
      <name val="標楷體"/>
      <family val="4"/>
      <charset val="136"/>
    </font>
    <font>
      <sz val="12"/>
      <color theme="1"/>
      <name val="新細明體"/>
      <family val="2"/>
      <charset val="136"/>
    </font>
    <font>
      <sz val="12"/>
      <color rgb="FF000000"/>
      <name val="標楷體"/>
      <family val="4"/>
      <charset val="136"/>
    </font>
    <font>
      <sz val="9"/>
      <name val="新細明體"/>
      <family val="2"/>
      <charset val="136"/>
    </font>
    <font>
      <sz val="12"/>
      <color rgb="FF000000"/>
      <name val="Arial"/>
      <family val="2"/>
    </font>
    <font>
      <sz val="10"/>
      <color rgb="FF000000"/>
      <name val="標楷體"/>
      <family val="4"/>
      <charset val="136"/>
    </font>
    <font>
      <sz val="7.5"/>
      <color rgb="FF000000"/>
      <name val="標楷體"/>
      <family val="4"/>
      <charset val="136"/>
    </font>
    <font>
      <sz val="7.5"/>
      <color rgb="FF000000"/>
      <name val="Arial"/>
      <family val="2"/>
    </font>
    <font>
      <sz val="8"/>
      <name val="細明體"/>
      <family val="3"/>
      <charset val="136"/>
    </font>
    <font>
      <sz val="10"/>
      <name val="細明體"/>
      <family val="3"/>
    </font>
    <font>
      <sz val="14"/>
      <name val="Arial"/>
      <family val="2"/>
    </font>
    <font>
      <sz val="11"/>
      <color rgb="FF000000"/>
      <name val="標楷體"/>
      <family val="4"/>
      <charset val="136"/>
    </font>
    <font>
      <sz val="11"/>
      <color theme="1"/>
      <name val="標楷體"/>
      <family val="4"/>
      <charset val="136"/>
    </font>
    <font>
      <sz val="12"/>
      <name val="細明體"/>
      <family val="3"/>
    </font>
    <font>
      <sz val="10"/>
      <name val="細明體"/>
      <family val="3"/>
      <charset val="136"/>
    </font>
    <font>
      <sz val="9"/>
      <name val="細明體"/>
      <family val="3"/>
      <charset val="136"/>
    </font>
  </fonts>
  <fills count="5">
    <fill>
      <patternFill patternType="none"/>
    </fill>
    <fill>
      <patternFill patternType="gray125"/>
    </fill>
    <fill>
      <patternFill patternType="solid">
        <fgColor rgb="FFFFFFFF"/>
        <bgColor rgb="FF000000"/>
      </patternFill>
    </fill>
    <fill>
      <patternFill patternType="solid">
        <fgColor theme="0"/>
        <bgColor indexed="64"/>
      </patternFill>
    </fill>
    <fill>
      <patternFill patternType="solid">
        <fgColor theme="0"/>
        <bgColor rgb="FF000000"/>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thick">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style="thick">
        <color indexed="64"/>
      </bottom>
      <diagonal/>
    </border>
    <border>
      <left/>
      <right style="thick">
        <color indexed="64"/>
      </right>
      <top style="medium">
        <color indexed="64"/>
      </top>
      <bottom style="thick">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ck">
        <color indexed="64"/>
      </bottom>
      <diagonal/>
    </border>
    <border>
      <left/>
      <right/>
      <top/>
      <bottom style="thick">
        <color indexed="64"/>
      </bottom>
      <diagonal/>
    </border>
  </borders>
  <cellStyleXfs count="4">
    <xf numFmtId="0" fontId="0" fillId="0" borderId="0">
      <alignment vertical="center"/>
    </xf>
    <xf numFmtId="0" fontId="6" fillId="0" borderId="0"/>
    <xf numFmtId="0" fontId="6" fillId="0" borderId="0"/>
    <xf numFmtId="41" fontId="6" fillId="0" borderId="0" applyFont="0" applyFill="0" applyBorder="0" applyAlignment="0" applyProtection="0"/>
  </cellStyleXfs>
  <cellXfs count="169">
    <xf numFmtId="0" fontId="0" fillId="0" borderId="0" xfId="0">
      <alignment vertical="center"/>
    </xf>
    <xf numFmtId="0" fontId="0" fillId="3" borderId="0" xfId="0" applyFill="1">
      <alignment vertical="center"/>
    </xf>
    <xf numFmtId="0" fontId="11" fillId="4" borderId="3" xfId="0" applyFont="1" applyFill="1" applyBorder="1" applyAlignment="1">
      <alignment horizontal="center" vertical="center" wrapText="1"/>
    </xf>
    <xf numFmtId="0" fontId="13" fillId="4" borderId="0" xfId="0" applyFont="1" applyFill="1" applyBorder="1">
      <alignment vertical="center"/>
    </xf>
    <xf numFmtId="0" fontId="14" fillId="4" borderId="0" xfId="0" applyFont="1" applyFill="1" applyBorder="1">
      <alignment vertical="center"/>
    </xf>
    <xf numFmtId="0" fontId="14" fillId="4" borderId="0" xfId="0" applyFont="1" applyFill="1" applyBorder="1" applyAlignment="1">
      <alignment horizontal="left" vertical="center"/>
    </xf>
    <xf numFmtId="0" fontId="12" fillId="4" borderId="0" xfId="0" applyFont="1" applyFill="1" applyBorder="1" applyAlignment="1">
      <alignment horizontal="center" vertical="center"/>
    </xf>
    <xf numFmtId="0" fontId="14" fillId="4" borderId="0" xfId="0" applyFont="1" applyFill="1" applyBorder="1" applyAlignment="1">
      <alignment horizontal="right" vertical="center"/>
    </xf>
    <xf numFmtId="0" fontId="14" fillId="4" borderId="4"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4" fillId="4" borderId="3" xfId="0" applyFont="1" applyFill="1" applyBorder="1" applyAlignment="1">
      <alignment vertical="center" wrapText="1"/>
    </xf>
    <xf numFmtId="0" fontId="14" fillId="4" borderId="2" xfId="0" applyFont="1" applyFill="1" applyBorder="1" applyAlignment="1">
      <alignment horizontal="center" vertical="center" wrapText="1"/>
    </xf>
    <xf numFmtId="0" fontId="14" fillId="4" borderId="5" xfId="0" applyFont="1" applyFill="1" applyBorder="1" applyAlignment="1">
      <alignment vertical="center" wrapText="1"/>
    </xf>
    <xf numFmtId="0" fontId="14" fillId="4"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2" fillId="4" borderId="8" xfId="0" applyFont="1" applyFill="1" applyBorder="1" applyAlignment="1">
      <alignment horizontal="justify" vertical="center" wrapText="1"/>
    </xf>
    <xf numFmtId="0" fontId="13" fillId="4" borderId="0" xfId="0" applyFont="1" applyFill="1" applyBorder="1" applyAlignment="1">
      <alignment horizontal="center" vertical="center"/>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2" fillId="4" borderId="0" xfId="0" applyFont="1" applyFill="1" applyBorder="1" applyAlignment="1">
      <alignment horizontal="center" vertical="center"/>
    </xf>
    <xf numFmtId="0" fontId="2" fillId="4" borderId="5" xfId="0" applyFont="1" applyFill="1" applyBorder="1" applyAlignment="1">
      <alignment horizontal="justify" vertical="center" wrapText="1"/>
    </xf>
    <xf numFmtId="0" fontId="2" fillId="4" borderId="8" xfId="0" applyFont="1" applyFill="1" applyBorder="1" applyAlignment="1">
      <alignment horizontal="justify" vertical="center" wrapText="1"/>
    </xf>
    <xf numFmtId="0" fontId="2" fillId="4" borderId="8" xfId="0" applyFont="1" applyFill="1" applyBorder="1" applyAlignment="1">
      <alignment horizontal="justify" vertical="center" wrapText="1"/>
    </xf>
    <xf numFmtId="0" fontId="12" fillId="4" borderId="0" xfId="0" applyFont="1" applyFill="1" applyBorder="1" applyAlignment="1">
      <alignment horizontal="center" vertical="center"/>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14" fillId="4" borderId="1" xfId="0" applyFont="1" applyFill="1" applyBorder="1" applyAlignment="1">
      <alignment horizontal="center" vertical="center" wrapText="1"/>
    </xf>
    <xf numFmtId="0" fontId="12" fillId="4" borderId="0" xfId="0" applyFont="1" applyFill="1" applyBorder="1" applyAlignment="1">
      <alignment horizontal="center" vertical="center"/>
    </xf>
    <xf numFmtId="0" fontId="14" fillId="4" borderId="2"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12" fillId="4" borderId="0" xfId="0" applyFont="1" applyFill="1" applyBorder="1" applyAlignment="1">
      <alignment horizontal="center" vertical="center"/>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24" fillId="4" borderId="0" xfId="0" applyFont="1" applyFill="1" applyBorder="1">
      <alignment vertical="center"/>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12" fillId="4" borderId="0" xfId="0" applyFont="1" applyFill="1" applyBorder="1" applyAlignment="1">
      <alignment horizontal="center" vertical="center"/>
    </xf>
    <xf numFmtId="177" fontId="1" fillId="3" borderId="27" xfId="0" applyNumberFormat="1" applyFont="1" applyFill="1" applyBorder="1" applyAlignment="1">
      <alignment horizontal="center" vertical="center" wrapText="1"/>
    </xf>
    <xf numFmtId="0" fontId="11" fillId="4" borderId="27" xfId="0" applyFont="1" applyFill="1" applyBorder="1" applyAlignment="1">
      <alignment horizontal="center"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2" fillId="4" borderId="5" xfId="0" applyFont="1" applyFill="1" applyBorder="1" applyAlignment="1">
      <alignment horizontal="justify" vertical="center" wrapText="1"/>
    </xf>
    <xf numFmtId="177" fontId="1" fillId="3" borderId="4"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1" xfId="0" applyFont="1" applyFill="1" applyBorder="1" applyAlignment="1">
      <alignment horizontal="justify" vertical="center" wrapText="1"/>
    </xf>
    <xf numFmtId="0" fontId="2" fillId="4" borderId="3" xfId="0" applyFont="1" applyFill="1" applyBorder="1" applyAlignment="1">
      <alignment horizontal="justify" vertical="center" wrapText="1"/>
    </xf>
    <xf numFmtId="0" fontId="1" fillId="4" borderId="1" xfId="0" applyFont="1" applyFill="1" applyBorder="1" applyAlignment="1">
      <alignment horizontal="justify" vertical="center" wrapText="1"/>
    </xf>
    <xf numFmtId="0" fontId="1" fillId="4" borderId="2" xfId="0" applyFont="1" applyFill="1" applyBorder="1" applyAlignment="1">
      <alignment horizontal="justify" vertical="center" wrapText="1"/>
    </xf>
    <xf numFmtId="0" fontId="1" fillId="4" borderId="3" xfId="0" applyFont="1" applyFill="1" applyBorder="1" applyAlignment="1">
      <alignment horizontal="justify" vertical="center" wrapText="1"/>
    </xf>
    <xf numFmtId="0" fontId="20" fillId="4" borderId="1" xfId="0" applyFont="1" applyFill="1" applyBorder="1" applyAlignment="1">
      <alignment horizontal="left" vertical="center" wrapText="1" shrinkToFit="1"/>
    </xf>
    <xf numFmtId="0" fontId="20" fillId="4" borderId="2" xfId="0" applyFont="1" applyFill="1" applyBorder="1" applyAlignment="1">
      <alignment horizontal="left" vertical="center" wrapText="1" shrinkToFit="1"/>
    </xf>
    <xf numFmtId="0" fontId="20" fillId="4" borderId="3" xfId="0" applyFont="1" applyFill="1" applyBorder="1" applyAlignment="1">
      <alignment horizontal="left" vertical="center" wrapText="1" shrinkToFit="1"/>
    </xf>
    <xf numFmtId="0" fontId="1" fillId="4" borderId="17" xfId="0" applyFont="1" applyFill="1" applyBorder="1" applyAlignment="1">
      <alignment horizontal="justify" vertical="center" wrapText="1"/>
    </xf>
    <xf numFmtId="0" fontId="1" fillId="4" borderId="15" xfId="0" applyFont="1" applyFill="1" applyBorder="1" applyAlignment="1">
      <alignment horizontal="justify" vertical="center" wrapText="1"/>
    </xf>
    <xf numFmtId="0" fontId="1" fillId="4" borderId="16" xfId="0" applyFont="1" applyFill="1" applyBorder="1" applyAlignment="1">
      <alignment horizontal="justify" vertical="center" wrapText="1"/>
    </xf>
    <xf numFmtId="0" fontId="12" fillId="4" borderId="0" xfId="0" applyFont="1" applyFill="1" applyBorder="1" applyAlignment="1">
      <alignment horizontal="center" vertical="center"/>
    </xf>
    <xf numFmtId="0" fontId="14" fillId="4" borderId="6" xfId="0" applyFont="1" applyFill="1" applyBorder="1" applyAlignment="1">
      <alignment horizontal="right" vertical="center"/>
    </xf>
    <xf numFmtId="176" fontId="1" fillId="2" borderId="6" xfId="2" applyNumberFormat="1" applyFont="1" applyFill="1" applyBorder="1" applyAlignment="1">
      <alignment horizontal="right" vertical="center"/>
    </xf>
    <xf numFmtId="0" fontId="14" fillId="4" borderId="1" xfId="0" applyFont="1" applyFill="1" applyBorder="1" applyAlignment="1">
      <alignment horizontal="justify" vertical="center" wrapText="1"/>
    </xf>
    <xf numFmtId="0" fontId="14" fillId="4" borderId="2" xfId="0" applyFont="1" applyFill="1" applyBorder="1" applyAlignment="1">
      <alignment horizontal="justify" vertical="center" wrapText="1"/>
    </xf>
    <xf numFmtId="0" fontId="14" fillId="4" borderId="3" xfId="0" applyFont="1" applyFill="1" applyBorder="1" applyAlignment="1">
      <alignment horizontal="justify"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1" xfId="0" applyFont="1" applyFill="1" applyBorder="1" applyAlignment="1">
      <alignment horizontal="center" vertical="center" shrinkToFit="1"/>
    </xf>
    <xf numFmtId="0" fontId="1" fillId="4" borderId="3" xfId="0" applyFont="1" applyFill="1" applyBorder="1" applyAlignment="1">
      <alignment horizontal="center" vertical="center" shrinkToFit="1"/>
    </xf>
    <xf numFmtId="0" fontId="14" fillId="4" borderId="1"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4" fillId="4" borderId="3" xfId="0" applyFont="1" applyFill="1" applyBorder="1" applyAlignment="1">
      <alignment horizontal="center" vertical="center" wrapText="1"/>
    </xf>
    <xf numFmtId="10" fontId="16" fillId="4" borderId="1" xfId="0" applyNumberFormat="1" applyFont="1" applyFill="1" applyBorder="1" applyAlignment="1">
      <alignment horizontal="center" vertical="center" wrapText="1"/>
    </xf>
    <xf numFmtId="10" fontId="16" fillId="4" borderId="2" xfId="0" applyNumberFormat="1" applyFont="1" applyFill="1" applyBorder="1" applyAlignment="1">
      <alignment horizontal="center" vertical="center" wrapText="1"/>
    </xf>
    <xf numFmtId="10" fontId="16" fillId="4" borderId="3" xfId="0" applyNumberFormat="1" applyFont="1" applyFill="1" applyBorder="1" applyAlignment="1">
      <alignment horizontal="center" vertical="center" wrapText="1"/>
    </xf>
    <xf numFmtId="0" fontId="14" fillId="4" borderId="1" xfId="0" applyFont="1" applyFill="1" applyBorder="1" applyAlignment="1">
      <alignment horizontal="left" vertical="center" wrapText="1" shrinkToFit="1"/>
    </xf>
    <xf numFmtId="0" fontId="14" fillId="4" borderId="2" xfId="0" applyFont="1" applyFill="1" applyBorder="1" applyAlignment="1">
      <alignment horizontal="left" vertical="center" wrapText="1" shrinkToFit="1"/>
    </xf>
    <xf numFmtId="0" fontId="14" fillId="4" borderId="3" xfId="0" applyFont="1" applyFill="1" applyBorder="1" applyAlignment="1">
      <alignment horizontal="left" vertical="center" wrapText="1" shrinkToFit="1"/>
    </xf>
    <xf numFmtId="0" fontId="14" fillId="4" borderId="26" xfId="0" applyFont="1" applyFill="1" applyBorder="1" applyAlignment="1">
      <alignment horizontal="center" vertical="center" wrapText="1"/>
    </xf>
    <xf numFmtId="0" fontId="16" fillId="4" borderId="9" xfId="0" applyFont="1" applyFill="1" applyBorder="1" applyAlignment="1">
      <alignment horizontal="justify" vertical="center" wrapText="1"/>
    </xf>
    <xf numFmtId="0" fontId="16" fillId="4" borderId="0" xfId="0" applyFont="1" applyFill="1" applyBorder="1" applyAlignment="1">
      <alignment horizontal="justify" vertical="center" wrapText="1"/>
    </xf>
    <xf numFmtId="0" fontId="16" fillId="4" borderId="10" xfId="0" applyFont="1" applyFill="1" applyBorder="1" applyAlignment="1">
      <alignment horizontal="justify" vertical="center" wrapText="1"/>
    </xf>
    <xf numFmtId="0" fontId="4" fillId="3" borderId="9" xfId="0" applyFont="1" applyFill="1" applyBorder="1" applyAlignment="1">
      <alignment horizontal="justify" vertical="center" wrapText="1"/>
    </xf>
    <xf numFmtId="0" fontId="4" fillId="3" borderId="0" xfId="0" applyFont="1" applyFill="1" applyBorder="1" applyAlignment="1">
      <alignment horizontal="justify" vertical="center" wrapText="1"/>
    </xf>
    <xf numFmtId="0" fontId="4" fillId="3" borderId="10" xfId="0" applyFont="1" applyFill="1" applyBorder="1" applyAlignment="1">
      <alignment horizontal="justify" vertical="center" wrapText="1"/>
    </xf>
    <xf numFmtId="0" fontId="2" fillId="4" borderId="1" xfId="0" applyFont="1" applyFill="1" applyBorder="1" applyAlignment="1">
      <alignment horizontal="left" vertical="center" wrapText="1"/>
    </xf>
    <xf numFmtId="0" fontId="2" fillId="4" borderId="2" xfId="0" applyFont="1" applyFill="1" applyBorder="1" applyAlignment="1">
      <alignment horizontal="left" vertical="center" wrapText="1"/>
    </xf>
    <xf numFmtId="0" fontId="2" fillId="4" borderId="3"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8" fillId="4" borderId="0" xfId="0" applyFont="1" applyFill="1" applyBorder="1" applyAlignment="1">
      <alignment horizontal="left" vertical="center"/>
    </xf>
    <xf numFmtId="176" fontId="1" fillId="4" borderId="6" xfId="2" applyNumberFormat="1" applyFont="1" applyFill="1" applyBorder="1" applyAlignment="1">
      <alignment horizontal="right" vertical="center"/>
    </xf>
    <xf numFmtId="0" fontId="18" fillId="4" borderId="24" xfId="0" applyFont="1" applyFill="1" applyBorder="1" applyAlignment="1">
      <alignment horizontal="left" vertical="center"/>
    </xf>
    <xf numFmtId="0" fontId="19" fillId="4" borderId="0" xfId="0" applyFont="1" applyFill="1" applyBorder="1" applyAlignment="1">
      <alignment horizontal="left" vertical="center"/>
    </xf>
    <xf numFmtId="0" fontId="19" fillId="4" borderId="0" xfId="0" applyFont="1" applyFill="1" applyBorder="1" applyAlignment="1">
      <alignment horizontal="left" vertical="center" wrapText="1"/>
    </xf>
    <xf numFmtId="0" fontId="4" fillId="4" borderId="9" xfId="0" applyFont="1" applyFill="1" applyBorder="1" applyAlignment="1">
      <alignment horizontal="justify" vertical="center" wrapText="1"/>
    </xf>
    <xf numFmtId="0" fontId="4" fillId="4" borderId="0" xfId="0" applyFont="1" applyFill="1" applyBorder="1" applyAlignment="1">
      <alignment horizontal="justify" vertical="center" wrapText="1"/>
    </xf>
    <xf numFmtId="0" fontId="4" fillId="4" borderId="10" xfId="0" applyFont="1" applyFill="1" applyBorder="1" applyAlignment="1">
      <alignment horizontal="justify" vertical="center" wrapText="1"/>
    </xf>
    <xf numFmtId="0" fontId="16" fillId="4" borderId="7" xfId="0" applyFont="1" applyFill="1" applyBorder="1" applyAlignment="1">
      <alignment horizontal="justify" vertical="center" wrapText="1"/>
    </xf>
    <xf numFmtId="0" fontId="16" fillId="4" borderId="6" xfId="0" applyFont="1" applyFill="1" applyBorder="1" applyAlignment="1">
      <alignment horizontal="justify" vertical="center" wrapText="1"/>
    </xf>
    <xf numFmtId="0" fontId="16" fillId="4" borderId="5" xfId="0" applyFont="1" applyFill="1" applyBorder="1" applyAlignment="1">
      <alignment horizontal="justify" vertical="center" wrapText="1"/>
    </xf>
    <xf numFmtId="0" fontId="8" fillId="4" borderId="1" xfId="0" applyFont="1" applyFill="1" applyBorder="1" applyAlignment="1">
      <alignment horizontal="justify" vertical="center" wrapText="1"/>
    </xf>
    <xf numFmtId="0" fontId="8" fillId="4" borderId="2" xfId="0" applyFont="1" applyFill="1" applyBorder="1" applyAlignment="1">
      <alignment horizontal="justify" vertical="center" wrapText="1"/>
    </xf>
    <xf numFmtId="0" fontId="8" fillId="4" borderId="3" xfId="0" applyFont="1" applyFill="1" applyBorder="1" applyAlignment="1">
      <alignment horizontal="justify" vertical="center" wrapText="1"/>
    </xf>
    <xf numFmtId="0" fontId="14" fillId="4" borderId="23" xfId="0" applyFont="1" applyFill="1" applyBorder="1" applyAlignment="1">
      <alignment horizontal="justify" vertical="center" wrapText="1"/>
    </xf>
    <xf numFmtId="0" fontId="14" fillId="4" borderId="24" xfId="0" applyFont="1" applyFill="1" applyBorder="1" applyAlignment="1">
      <alignment horizontal="justify" vertical="center" wrapText="1"/>
    </xf>
    <xf numFmtId="0" fontId="14" fillId="4" borderId="25" xfId="0" applyFont="1" applyFill="1" applyBorder="1" applyAlignment="1">
      <alignment horizontal="justify" vertical="center" wrapText="1"/>
    </xf>
    <xf numFmtId="0" fontId="2" fillId="4" borderId="21" xfId="0" applyFont="1" applyFill="1" applyBorder="1" applyAlignment="1">
      <alignment horizontal="justify" vertical="center" wrapText="1"/>
    </xf>
    <xf numFmtId="0" fontId="2" fillId="4" borderId="12" xfId="0" applyFont="1" applyFill="1" applyBorder="1" applyAlignment="1">
      <alignment horizontal="justify" vertical="center" wrapText="1"/>
    </xf>
    <xf numFmtId="0" fontId="2" fillId="4" borderId="13" xfId="0" applyFont="1" applyFill="1" applyBorder="1" applyAlignment="1">
      <alignment horizontal="justify" vertical="center" wrapText="1"/>
    </xf>
    <xf numFmtId="0" fontId="2" fillId="4" borderId="11" xfId="0" applyFont="1" applyFill="1" applyBorder="1" applyAlignment="1">
      <alignment horizontal="justify" vertical="center" wrapText="1"/>
    </xf>
    <xf numFmtId="0" fontId="2" fillId="4" borderId="22" xfId="0" applyFont="1" applyFill="1" applyBorder="1" applyAlignment="1">
      <alignment horizontal="justify" vertical="center" wrapText="1"/>
    </xf>
    <xf numFmtId="0" fontId="11" fillId="4" borderId="7" xfId="0" applyFont="1" applyFill="1" applyBorder="1" applyAlignment="1">
      <alignment horizontal="left" vertical="center" shrinkToFit="1"/>
    </xf>
    <xf numFmtId="0" fontId="11" fillId="4" borderId="6" xfId="0" applyFont="1" applyFill="1" applyBorder="1" applyAlignment="1">
      <alignment horizontal="left" vertical="center" shrinkToFit="1"/>
    </xf>
    <xf numFmtId="0" fontId="11" fillId="4" borderId="5" xfId="0" applyFont="1" applyFill="1" applyBorder="1" applyAlignment="1">
      <alignment horizontal="left" vertical="center" shrinkToFit="1"/>
    </xf>
    <xf numFmtId="0" fontId="2" fillId="4" borderId="7"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7" xfId="0" applyFont="1" applyFill="1" applyBorder="1" applyAlignment="1">
      <alignment horizontal="justify" vertical="center" wrapText="1"/>
    </xf>
    <xf numFmtId="0" fontId="2" fillId="4" borderId="5" xfId="0" applyFont="1" applyFill="1" applyBorder="1" applyAlignment="1">
      <alignment horizontal="justify" vertical="center" wrapText="1"/>
    </xf>
    <xf numFmtId="0" fontId="1" fillId="4" borderId="14" xfId="0" applyFont="1" applyFill="1" applyBorder="1" applyAlignment="1">
      <alignment horizontal="justify" vertical="center" wrapText="1"/>
    </xf>
    <xf numFmtId="0" fontId="2" fillId="4" borderId="17" xfId="0" applyFont="1" applyFill="1" applyBorder="1" applyAlignment="1">
      <alignment horizontal="justify" vertical="center" wrapText="1"/>
    </xf>
    <xf numFmtId="0" fontId="2" fillId="4" borderId="16" xfId="0" applyFont="1" applyFill="1" applyBorder="1" applyAlignment="1">
      <alignment horizontal="justify" vertical="center" wrapText="1"/>
    </xf>
    <xf numFmtId="0" fontId="2" fillId="4" borderId="18" xfId="0" applyFont="1" applyFill="1" applyBorder="1" applyAlignment="1">
      <alignment horizontal="justify" vertical="center" wrapText="1"/>
    </xf>
    <xf numFmtId="0" fontId="2" fillId="4" borderId="19" xfId="0" applyFont="1" applyFill="1" applyBorder="1" applyAlignment="1">
      <alignment horizontal="justify" vertical="center" wrapText="1"/>
    </xf>
    <xf numFmtId="0" fontId="2" fillId="4" borderId="2" xfId="0" applyFont="1" applyFill="1" applyBorder="1" applyAlignment="1">
      <alignment horizontal="justify" vertical="center" wrapText="1"/>
    </xf>
    <xf numFmtId="0" fontId="2" fillId="4" borderId="20" xfId="0" applyFont="1" applyFill="1" applyBorder="1" applyAlignment="1">
      <alignment horizontal="justify" vertical="center" wrapText="1"/>
    </xf>
    <xf numFmtId="0" fontId="11" fillId="4" borderId="3" xfId="0" applyFont="1" applyFill="1" applyBorder="1" applyAlignment="1">
      <alignment horizontal="left" vertical="center" wrapText="1"/>
    </xf>
    <xf numFmtId="0" fontId="23" fillId="4" borderId="1" xfId="0" applyFont="1" applyFill="1" applyBorder="1" applyAlignment="1">
      <alignment horizontal="justify" vertical="center" wrapText="1"/>
    </xf>
    <xf numFmtId="0" fontId="23" fillId="4" borderId="2" xfId="0" applyFont="1" applyFill="1" applyBorder="1" applyAlignment="1">
      <alignment horizontal="justify" vertical="center" wrapText="1"/>
    </xf>
    <xf numFmtId="0" fontId="23" fillId="4" borderId="3" xfId="0" applyFont="1" applyFill="1" applyBorder="1" applyAlignment="1">
      <alignment horizontal="justify" vertical="center" wrapText="1"/>
    </xf>
    <xf numFmtId="0" fontId="11" fillId="4" borderId="1" xfId="0" applyFont="1" applyFill="1" applyBorder="1" applyAlignment="1">
      <alignment horizontal="left" vertical="center" shrinkToFit="1"/>
    </xf>
    <xf numFmtId="0" fontId="11" fillId="4" borderId="2" xfId="0" applyFont="1" applyFill="1" applyBorder="1" applyAlignment="1">
      <alignment horizontal="left" vertical="center" shrinkToFit="1"/>
    </xf>
    <xf numFmtId="0" fontId="11" fillId="4" borderId="3" xfId="0" applyFont="1" applyFill="1" applyBorder="1" applyAlignment="1">
      <alignment horizontal="left" vertical="center" shrinkToFit="1"/>
    </xf>
    <xf numFmtId="0" fontId="22" fillId="4" borderId="11" xfId="0" applyFont="1" applyFill="1" applyBorder="1" applyAlignment="1">
      <alignment horizontal="justify" vertical="center" wrapText="1"/>
    </xf>
    <xf numFmtId="0" fontId="22" fillId="4" borderId="13" xfId="0" applyFont="1" applyFill="1" applyBorder="1" applyAlignment="1">
      <alignment horizontal="justify" vertical="center" wrapText="1"/>
    </xf>
    <xf numFmtId="0" fontId="21" fillId="4" borderId="1" xfId="0" applyFont="1" applyFill="1" applyBorder="1" applyAlignment="1">
      <alignment horizontal="left" vertical="center" wrapText="1" shrinkToFit="1"/>
    </xf>
    <xf numFmtId="0" fontId="21" fillId="4" borderId="2" xfId="0" applyFont="1" applyFill="1" applyBorder="1" applyAlignment="1">
      <alignment horizontal="left" vertical="center" wrapText="1" shrinkToFit="1"/>
    </xf>
    <xf numFmtId="0" fontId="21" fillId="4" borderId="3" xfId="0" applyFont="1" applyFill="1" applyBorder="1" applyAlignment="1">
      <alignment horizontal="left" vertical="center" wrapText="1" shrinkToFit="1"/>
    </xf>
    <xf numFmtId="0" fontId="25" fillId="4" borderId="2" xfId="0" applyFont="1" applyFill="1" applyBorder="1" applyAlignment="1">
      <alignment horizontal="left" vertical="center" shrinkToFit="1"/>
    </xf>
    <xf numFmtId="0" fontId="25" fillId="4" borderId="3" xfId="0" applyFont="1" applyFill="1" applyBorder="1" applyAlignment="1">
      <alignment horizontal="left" vertical="center" shrinkToFit="1"/>
    </xf>
    <xf numFmtId="0" fontId="11" fillId="4" borderId="28" xfId="0" applyFont="1" applyFill="1" applyBorder="1" applyAlignment="1">
      <alignment horizontal="left" vertical="center" shrinkToFit="1"/>
    </xf>
    <xf numFmtId="0" fontId="11" fillId="4" borderId="29" xfId="0" applyFont="1" applyFill="1" applyBorder="1" applyAlignment="1">
      <alignment horizontal="left" vertical="center" shrinkToFit="1"/>
    </xf>
    <xf numFmtId="0" fontId="11" fillId="4" borderId="8" xfId="0" applyFont="1" applyFill="1" applyBorder="1" applyAlignment="1">
      <alignment horizontal="left" vertical="center" shrinkToFit="1"/>
    </xf>
    <xf numFmtId="0" fontId="2" fillId="4" borderId="2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28" xfId="0" applyFont="1" applyFill="1" applyBorder="1" applyAlignment="1">
      <alignment horizontal="justify" vertical="center" wrapText="1"/>
    </xf>
    <xf numFmtId="0" fontId="2" fillId="4" borderId="8" xfId="0" applyFont="1" applyFill="1" applyBorder="1" applyAlignment="1">
      <alignment horizontal="justify" vertical="center" wrapText="1"/>
    </xf>
    <xf numFmtId="0" fontId="2" fillId="4" borderId="11"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11" fillId="4" borderId="11" xfId="0" applyFont="1" applyFill="1" applyBorder="1" applyAlignment="1">
      <alignment horizontal="left" vertical="center" shrinkToFit="1"/>
    </xf>
    <xf numFmtId="0" fontId="11" fillId="4" borderId="12" xfId="0" applyFont="1" applyFill="1" applyBorder="1" applyAlignment="1">
      <alignment horizontal="left" vertical="center" shrinkToFit="1"/>
    </xf>
    <xf numFmtId="0" fontId="11" fillId="4" borderId="13" xfId="0" applyFont="1" applyFill="1" applyBorder="1" applyAlignment="1">
      <alignment horizontal="left" vertical="center" shrinkToFit="1"/>
    </xf>
    <xf numFmtId="0" fontId="26" fillId="4" borderId="11" xfId="0" applyFont="1" applyFill="1" applyBorder="1" applyAlignment="1">
      <alignment horizontal="left" vertical="center" wrapText="1" shrinkToFit="1"/>
    </xf>
    <xf numFmtId="0" fontId="26" fillId="4" borderId="12" xfId="0" applyFont="1" applyFill="1" applyBorder="1" applyAlignment="1">
      <alignment horizontal="left" vertical="center" wrapText="1" shrinkToFit="1"/>
    </xf>
    <xf numFmtId="0" fontId="26" fillId="4" borderId="13" xfId="0" applyFont="1" applyFill="1" applyBorder="1" applyAlignment="1">
      <alignment horizontal="left" vertical="center" wrapText="1" shrinkToFit="1"/>
    </xf>
    <xf numFmtId="0" fontId="27" fillId="4" borderId="11" xfId="0" applyFont="1" applyFill="1" applyBorder="1" applyAlignment="1">
      <alignment horizontal="left" vertical="center" wrapText="1" shrinkToFit="1"/>
    </xf>
    <xf numFmtId="0" fontId="27" fillId="4" borderId="12" xfId="0" applyFont="1" applyFill="1" applyBorder="1" applyAlignment="1">
      <alignment horizontal="left" vertical="center" wrapText="1" shrinkToFit="1"/>
    </xf>
    <xf numFmtId="0" fontId="27" fillId="4" borderId="13" xfId="0" applyFont="1" applyFill="1" applyBorder="1" applyAlignment="1">
      <alignment horizontal="left" vertical="center" wrapText="1" shrinkToFit="1"/>
    </xf>
  </cellXfs>
  <cellStyles count="4">
    <cellStyle name="一般" xfId="0" builtinId="0"/>
    <cellStyle name="一般 3" xfId="1"/>
    <cellStyle name="一般_大甲施工日報表2009-07-31" xfId="2"/>
    <cellStyle name="千分位[0]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O177"/>
  <sheetViews>
    <sheetView topLeftCell="A160" zoomScale="110" zoomScaleNormal="110" workbookViewId="0">
      <selection activeCell="A9" sqref="A9:D9"/>
    </sheetView>
  </sheetViews>
  <sheetFormatPr defaultColWidth="9" defaultRowHeight="16.5"/>
  <cols>
    <col min="1" max="1" width="10.375" style="3" customWidth="1"/>
    <col min="2" max="2" width="9" style="3"/>
    <col min="3" max="3" width="3.875" style="3" customWidth="1"/>
    <col min="4" max="4" width="10.5" style="3" customWidth="1"/>
    <col min="5" max="5" width="6.75" style="3" customWidth="1"/>
    <col min="6" max="6" width="7.5" style="3" customWidth="1"/>
    <col min="7" max="7" width="8" style="3" customWidth="1"/>
    <col min="8" max="8" width="10.125" style="3" customWidth="1"/>
    <col min="9" max="9" width="6" style="3" customWidth="1"/>
    <col min="10" max="10" width="3.25" style="3" customWidth="1"/>
    <col min="11" max="11" width="10.375" style="3" customWidth="1"/>
    <col min="12" max="12" width="4.625" style="3" customWidth="1"/>
    <col min="13" max="13" width="9.375" style="3" customWidth="1"/>
    <col min="14" max="16384" width="9" style="3"/>
  </cols>
  <sheetData>
    <row r="1" spans="1:15" ht="19.5" customHeight="1">
      <c r="A1" s="69" t="s">
        <v>0</v>
      </c>
      <c r="B1" s="69"/>
      <c r="C1" s="69"/>
      <c r="D1" s="69"/>
      <c r="E1" s="69"/>
      <c r="F1" s="69"/>
      <c r="G1" s="69"/>
      <c r="H1" s="69"/>
      <c r="I1" s="69"/>
      <c r="J1" s="69"/>
      <c r="K1" s="69"/>
      <c r="L1" s="69"/>
      <c r="M1" s="69"/>
    </row>
    <row r="2" spans="1:15" ht="20.100000000000001" customHeight="1">
      <c r="A2" s="4" t="s">
        <v>32</v>
      </c>
      <c r="B2" s="5">
        <v>1</v>
      </c>
      <c r="C2" s="6"/>
      <c r="D2" s="6"/>
      <c r="E2" s="6"/>
      <c r="F2" s="6"/>
      <c r="G2" s="6"/>
      <c r="H2" s="6"/>
      <c r="I2" s="6"/>
      <c r="J2" s="6"/>
      <c r="K2" s="6"/>
      <c r="L2" s="6"/>
      <c r="M2" s="6"/>
    </row>
    <row r="3" spans="1:15" ht="24" customHeight="1" thickBot="1">
      <c r="A3" s="4" t="s">
        <v>33</v>
      </c>
      <c r="H3" s="70" t="s">
        <v>34</v>
      </c>
      <c r="I3" s="70"/>
      <c r="J3" s="70"/>
      <c r="K3" s="71">
        <v>45927</v>
      </c>
      <c r="L3" s="71"/>
      <c r="M3" s="71"/>
      <c r="O3" s="7"/>
    </row>
    <row r="4" spans="1:15" ht="33.75" customHeight="1" thickBot="1">
      <c r="A4" s="80" t="s">
        <v>1</v>
      </c>
      <c r="B4" s="81"/>
      <c r="C4" s="82"/>
      <c r="D4" s="86" t="s">
        <v>63</v>
      </c>
      <c r="E4" s="87"/>
      <c r="F4" s="87"/>
      <c r="G4" s="88"/>
      <c r="H4" s="80" t="s">
        <v>2</v>
      </c>
      <c r="I4" s="81"/>
      <c r="J4" s="82"/>
      <c r="K4" s="80" t="s">
        <v>35</v>
      </c>
      <c r="L4" s="81"/>
      <c r="M4" s="82"/>
    </row>
    <row r="5" spans="1:15" ht="33.75" customHeight="1" thickBot="1">
      <c r="A5" s="8" t="s">
        <v>3</v>
      </c>
      <c r="B5" s="9">
        <v>130</v>
      </c>
      <c r="C5" s="10" t="s">
        <v>36</v>
      </c>
      <c r="D5" s="80" t="s">
        <v>4</v>
      </c>
      <c r="E5" s="89"/>
      <c r="F5" s="11">
        <v>1</v>
      </c>
      <c r="G5" s="12" t="s">
        <v>36</v>
      </c>
      <c r="H5" s="13" t="s">
        <v>5</v>
      </c>
      <c r="I5" s="9">
        <f>+B5-F5</f>
        <v>129</v>
      </c>
      <c r="J5" s="10" t="s">
        <v>36</v>
      </c>
      <c r="K5" s="80" t="s">
        <v>6</v>
      </c>
      <c r="L5" s="82"/>
      <c r="M5" s="13">
        <v>0</v>
      </c>
    </row>
    <row r="6" spans="1:15" ht="24" customHeight="1" thickBot="1">
      <c r="A6" s="80" t="s">
        <v>7</v>
      </c>
      <c r="B6" s="81"/>
      <c r="C6" s="82"/>
      <c r="D6" s="80" t="s">
        <v>67</v>
      </c>
      <c r="E6" s="81"/>
      <c r="F6" s="81"/>
      <c r="G6" s="82"/>
      <c r="H6" s="80" t="s">
        <v>8</v>
      </c>
      <c r="I6" s="81"/>
      <c r="J6" s="82"/>
      <c r="K6" s="80" t="s">
        <v>64</v>
      </c>
      <c r="L6" s="81"/>
      <c r="M6" s="82"/>
    </row>
    <row r="7" spans="1:15" ht="24" customHeight="1" thickBot="1">
      <c r="A7" s="80" t="s">
        <v>37</v>
      </c>
      <c r="B7" s="81"/>
      <c r="C7" s="82"/>
      <c r="D7" s="83">
        <v>0.01</v>
      </c>
      <c r="E7" s="84"/>
      <c r="F7" s="84"/>
      <c r="G7" s="85"/>
      <c r="H7" s="80" t="s">
        <v>38</v>
      </c>
      <c r="I7" s="81"/>
      <c r="J7" s="82"/>
      <c r="K7" s="83">
        <f>0.5%+0.5%+1.5%</f>
        <v>2.5000000000000001E-2</v>
      </c>
      <c r="L7" s="84"/>
      <c r="M7" s="85"/>
    </row>
    <row r="8" spans="1:15" ht="24" customHeight="1" thickBot="1">
      <c r="A8" s="72" t="s">
        <v>9</v>
      </c>
      <c r="B8" s="73"/>
      <c r="C8" s="73"/>
      <c r="D8" s="73"/>
      <c r="E8" s="73"/>
      <c r="F8" s="73"/>
      <c r="G8" s="73"/>
      <c r="H8" s="73"/>
      <c r="I8" s="73"/>
      <c r="J8" s="73"/>
      <c r="K8" s="73"/>
      <c r="L8" s="73"/>
      <c r="M8" s="74"/>
    </row>
    <row r="9" spans="1:15" ht="35.25" customHeight="1" thickBot="1">
      <c r="A9" s="75" t="s">
        <v>10</v>
      </c>
      <c r="B9" s="76"/>
      <c r="C9" s="76"/>
      <c r="D9" s="77"/>
      <c r="E9" s="14" t="s">
        <v>11</v>
      </c>
      <c r="F9" s="75" t="s">
        <v>12</v>
      </c>
      <c r="G9" s="77"/>
      <c r="H9" s="75" t="s">
        <v>13</v>
      </c>
      <c r="I9" s="77"/>
      <c r="J9" s="78" t="s">
        <v>14</v>
      </c>
      <c r="K9" s="79"/>
      <c r="L9" s="75" t="s">
        <v>15</v>
      </c>
      <c r="M9" s="77"/>
    </row>
    <row r="10" spans="1:15" ht="27" customHeight="1" thickBot="1">
      <c r="A10" s="63" t="s">
        <v>65</v>
      </c>
      <c r="B10" s="64"/>
      <c r="C10" s="64"/>
      <c r="D10" s="65"/>
      <c r="E10" s="2" t="s">
        <v>69</v>
      </c>
      <c r="F10" s="56">
        <v>1</v>
      </c>
      <c r="G10" s="57"/>
      <c r="H10" s="56">
        <v>1</v>
      </c>
      <c r="I10" s="57"/>
      <c r="J10" s="56">
        <v>1</v>
      </c>
      <c r="K10" s="57"/>
      <c r="L10" s="58"/>
      <c r="M10" s="59"/>
    </row>
    <row r="11" spans="1:15" ht="24" customHeight="1" thickBot="1">
      <c r="A11" s="63" t="s">
        <v>66</v>
      </c>
      <c r="B11" s="64"/>
      <c r="C11" s="64"/>
      <c r="D11" s="65"/>
      <c r="E11" s="2" t="s">
        <v>69</v>
      </c>
      <c r="F11" s="56">
        <v>1</v>
      </c>
      <c r="G11" s="57"/>
      <c r="H11" s="56">
        <v>1</v>
      </c>
      <c r="I11" s="57"/>
      <c r="J11" s="56">
        <v>1</v>
      </c>
      <c r="K11" s="57"/>
      <c r="L11" s="58"/>
      <c r="M11" s="59"/>
    </row>
    <row r="12" spans="1:15" ht="30.75" customHeight="1" thickBot="1">
      <c r="A12" s="63" t="s">
        <v>68</v>
      </c>
      <c r="B12" s="64"/>
      <c r="C12" s="64"/>
      <c r="D12" s="65"/>
      <c r="E12" s="2" t="s">
        <v>69</v>
      </c>
      <c r="F12" s="56">
        <v>1</v>
      </c>
      <c r="G12" s="57"/>
      <c r="H12" s="56">
        <v>0.1</v>
      </c>
      <c r="I12" s="57"/>
      <c r="J12" s="56">
        <v>0.1</v>
      </c>
      <c r="K12" s="57"/>
      <c r="L12" s="58"/>
      <c r="M12" s="59"/>
    </row>
    <row r="13" spans="1:15" ht="27" customHeight="1" thickBot="1">
      <c r="A13" s="63"/>
      <c r="B13" s="64"/>
      <c r="C13" s="64"/>
      <c r="D13" s="65"/>
      <c r="E13" s="2"/>
      <c r="F13" s="56"/>
      <c r="G13" s="57"/>
      <c r="H13" s="56"/>
      <c r="I13" s="57"/>
      <c r="J13" s="56"/>
      <c r="K13" s="57"/>
      <c r="L13" s="58"/>
      <c r="M13" s="59"/>
    </row>
    <row r="14" spans="1:15" ht="27" customHeight="1" thickBot="1">
      <c r="A14" s="63"/>
      <c r="B14" s="64"/>
      <c r="C14" s="64"/>
      <c r="D14" s="65"/>
      <c r="E14" s="2"/>
      <c r="F14" s="56"/>
      <c r="G14" s="57"/>
      <c r="H14" s="56"/>
      <c r="I14" s="57"/>
      <c r="J14" s="56"/>
      <c r="K14" s="57"/>
      <c r="L14" s="58"/>
      <c r="M14" s="59"/>
    </row>
    <row r="15" spans="1:15" ht="24" customHeight="1" thickTop="1" thickBot="1">
      <c r="A15" s="66" t="s">
        <v>19</v>
      </c>
      <c r="B15" s="67"/>
      <c r="C15" s="67"/>
      <c r="D15" s="67"/>
      <c r="E15" s="67"/>
      <c r="F15" s="67"/>
      <c r="G15" s="67"/>
      <c r="H15" s="67"/>
      <c r="I15" s="67"/>
      <c r="J15" s="67"/>
      <c r="K15" s="67"/>
      <c r="L15" s="67"/>
      <c r="M15" s="68"/>
    </row>
    <row r="16" spans="1:15" ht="35.25" customHeight="1" thickBot="1">
      <c r="A16" s="75" t="s">
        <v>20</v>
      </c>
      <c r="B16" s="76"/>
      <c r="C16" s="76"/>
      <c r="D16" s="77"/>
      <c r="E16" s="14" t="s">
        <v>11</v>
      </c>
      <c r="F16" s="75" t="s">
        <v>39</v>
      </c>
      <c r="G16" s="77"/>
      <c r="H16" s="75" t="s">
        <v>21</v>
      </c>
      <c r="I16" s="77"/>
      <c r="J16" s="78" t="s">
        <v>22</v>
      </c>
      <c r="K16" s="79"/>
      <c r="L16" s="75" t="s">
        <v>15</v>
      </c>
      <c r="M16" s="77"/>
    </row>
    <row r="17" spans="1:13" ht="24" customHeight="1" thickBot="1">
      <c r="A17" s="96"/>
      <c r="B17" s="97"/>
      <c r="C17" s="97"/>
      <c r="D17" s="98"/>
      <c r="E17" s="16"/>
      <c r="F17" s="58"/>
      <c r="G17" s="59"/>
      <c r="H17" s="58"/>
      <c r="I17" s="59"/>
      <c r="J17" s="56"/>
      <c r="K17" s="57"/>
      <c r="L17" s="58"/>
      <c r="M17" s="59"/>
    </row>
    <row r="18" spans="1:13" ht="24" customHeight="1" thickBot="1">
      <c r="A18" s="96"/>
      <c r="B18" s="97"/>
      <c r="C18" s="97"/>
      <c r="D18" s="98"/>
      <c r="E18" s="16"/>
      <c r="F18" s="58"/>
      <c r="G18" s="59"/>
      <c r="H18" s="58"/>
      <c r="I18" s="59"/>
      <c r="J18" s="56"/>
      <c r="K18" s="57"/>
      <c r="L18" s="58"/>
      <c r="M18" s="59"/>
    </row>
    <row r="19" spans="1:13" ht="24" customHeight="1" thickBot="1">
      <c r="A19" s="60" t="s">
        <v>23</v>
      </c>
      <c r="B19" s="61"/>
      <c r="C19" s="61"/>
      <c r="D19" s="61"/>
      <c r="E19" s="61"/>
      <c r="F19" s="61"/>
      <c r="G19" s="61"/>
      <c r="H19" s="61"/>
      <c r="I19" s="61"/>
      <c r="J19" s="61"/>
      <c r="K19" s="61"/>
      <c r="L19" s="61"/>
      <c r="M19" s="62"/>
    </row>
    <row r="20" spans="1:13" ht="35.25" customHeight="1" thickBot="1">
      <c r="A20" s="75" t="s">
        <v>24</v>
      </c>
      <c r="B20" s="77"/>
      <c r="C20" s="75" t="s">
        <v>25</v>
      </c>
      <c r="D20" s="77"/>
      <c r="E20" s="75" t="s">
        <v>26</v>
      </c>
      <c r="F20" s="76"/>
      <c r="G20" s="77"/>
      <c r="H20" s="75" t="s">
        <v>27</v>
      </c>
      <c r="I20" s="77"/>
      <c r="J20" s="78" t="s">
        <v>21</v>
      </c>
      <c r="K20" s="79"/>
      <c r="L20" s="75" t="s">
        <v>22</v>
      </c>
      <c r="M20" s="77"/>
    </row>
    <row r="21" spans="1:13" s="18" customFormat="1" ht="24.75" customHeight="1" thickBot="1">
      <c r="A21" s="99" t="s">
        <v>70</v>
      </c>
      <c r="B21" s="98"/>
      <c r="C21" s="56">
        <v>2</v>
      </c>
      <c r="D21" s="57"/>
      <c r="E21" s="56">
        <v>2</v>
      </c>
      <c r="F21" s="100"/>
      <c r="G21" s="57"/>
      <c r="H21" s="56"/>
      <c r="I21" s="57"/>
      <c r="J21" s="56"/>
      <c r="K21" s="57"/>
      <c r="L21" s="56"/>
      <c r="M21" s="57"/>
    </row>
    <row r="22" spans="1:13" s="18" customFormat="1" ht="25.5" customHeight="1" thickBot="1">
      <c r="A22" s="99" t="s">
        <v>71</v>
      </c>
      <c r="B22" s="98"/>
      <c r="C22" s="56">
        <v>6</v>
      </c>
      <c r="D22" s="57"/>
      <c r="E22" s="56">
        <v>6</v>
      </c>
      <c r="F22" s="100"/>
      <c r="G22" s="57"/>
      <c r="H22" s="56"/>
      <c r="I22" s="57"/>
      <c r="J22" s="56"/>
      <c r="K22" s="57"/>
      <c r="L22" s="56"/>
      <c r="M22" s="57"/>
    </row>
    <row r="23" spans="1:13" ht="33" customHeight="1" thickBot="1">
      <c r="A23" s="112" t="s">
        <v>40</v>
      </c>
      <c r="B23" s="113"/>
      <c r="C23" s="113"/>
      <c r="D23" s="113"/>
      <c r="E23" s="113"/>
      <c r="F23" s="113"/>
      <c r="G23" s="113"/>
      <c r="H23" s="113"/>
      <c r="I23" s="113"/>
      <c r="J23" s="113"/>
      <c r="K23" s="113"/>
      <c r="L23" s="113"/>
      <c r="M23" s="114"/>
    </row>
    <row r="24" spans="1:13" ht="16.5" customHeight="1">
      <c r="A24" s="115" t="s">
        <v>41</v>
      </c>
      <c r="B24" s="116"/>
      <c r="C24" s="116"/>
      <c r="D24" s="116"/>
      <c r="E24" s="116"/>
      <c r="F24" s="116"/>
      <c r="G24" s="116"/>
      <c r="H24" s="116"/>
      <c r="I24" s="116"/>
      <c r="J24" s="116"/>
      <c r="K24" s="116"/>
      <c r="L24" s="116"/>
      <c r="M24" s="117"/>
    </row>
    <row r="25" spans="1:13" ht="16.5" customHeight="1">
      <c r="A25" s="90" t="s">
        <v>28</v>
      </c>
      <c r="B25" s="91"/>
      <c r="C25" s="91"/>
      <c r="D25" s="91"/>
      <c r="E25" s="91"/>
      <c r="F25" s="91"/>
      <c r="G25" s="91"/>
      <c r="H25" s="91"/>
      <c r="I25" s="91"/>
      <c r="J25" s="91"/>
      <c r="K25" s="91"/>
      <c r="L25" s="91"/>
      <c r="M25" s="92"/>
    </row>
    <row r="26" spans="1:13" s="1" customFormat="1" ht="16.5" customHeight="1">
      <c r="A26" s="93" t="s">
        <v>56</v>
      </c>
      <c r="B26" s="94"/>
      <c r="C26" s="94"/>
      <c r="D26" s="94"/>
      <c r="E26" s="94"/>
      <c r="F26" s="94"/>
      <c r="G26" s="94"/>
      <c r="H26" s="94"/>
      <c r="I26" s="94"/>
      <c r="J26" s="94"/>
      <c r="K26" s="94"/>
      <c r="L26" s="94"/>
      <c r="M26" s="95"/>
    </row>
    <row r="27" spans="1:13" s="1" customFormat="1" ht="16.5" customHeight="1">
      <c r="A27" s="93" t="s">
        <v>57</v>
      </c>
      <c r="B27" s="94"/>
      <c r="C27" s="94"/>
      <c r="D27" s="94"/>
      <c r="E27" s="94"/>
      <c r="F27" s="94"/>
      <c r="G27" s="94"/>
      <c r="H27" s="94"/>
      <c r="I27" s="94"/>
      <c r="J27" s="94"/>
      <c r="K27" s="94"/>
      <c r="L27" s="94"/>
      <c r="M27" s="95"/>
    </row>
    <row r="28" spans="1:13" s="1" customFormat="1" ht="16.5" customHeight="1">
      <c r="A28" s="93" t="s">
        <v>58</v>
      </c>
      <c r="B28" s="94"/>
      <c r="C28" s="94"/>
      <c r="D28" s="94"/>
      <c r="E28" s="94"/>
      <c r="F28" s="94"/>
      <c r="G28" s="94"/>
      <c r="H28" s="94"/>
      <c r="I28" s="94"/>
      <c r="J28" s="94"/>
      <c r="K28" s="94"/>
      <c r="L28" s="94"/>
      <c r="M28" s="95"/>
    </row>
    <row r="29" spans="1:13" s="1" customFormat="1" ht="16.5" customHeight="1">
      <c r="A29" s="93" t="s">
        <v>59</v>
      </c>
      <c r="B29" s="94"/>
      <c r="C29" s="94"/>
      <c r="D29" s="94"/>
      <c r="E29" s="94"/>
      <c r="F29" s="94"/>
      <c r="G29" s="94"/>
      <c r="H29" s="94"/>
      <c r="I29" s="94"/>
      <c r="J29" s="94"/>
      <c r="K29" s="94"/>
      <c r="L29" s="94"/>
      <c r="M29" s="95"/>
    </row>
    <row r="30" spans="1:13" ht="16.5" customHeight="1">
      <c r="A30" s="106" t="s">
        <v>29</v>
      </c>
      <c r="B30" s="107"/>
      <c r="C30" s="107"/>
      <c r="D30" s="107"/>
      <c r="E30" s="107"/>
      <c r="F30" s="107"/>
      <c r="G30" s="107"/>
      <c r="H30" s="107"/>
      <c r="I30" s="107"/>
      <c r="J30" s="107"/>
      <c r="K30" s="107"/>
      <c r="L30" s="107"/>
      <c r="M30" s="108"/>
    </row>
    <row r="31" spans="1:13" ht="9.75" customHeight="1" thickBot="1">
      <c r="A31" s="109"/>
      <c r="B31" s="110"/>
      <c r="C31" s="110"/>
      <c r="D31" s="110"/>
      <c r="E31" s="110"/>
      <c r="F31" s="110"/>
      <c r="G31" s="110"/>
      <c r="H31" s="110"/>
      <c r="I31" s="110"/>
      <c r="J31" s="110"/>
      <c r="K31" s="110"/>
      <c r="L31" s="110"/>
      <c r="M31" s="111"/>
    </row>
    <row r="32" spans="1:13" ht="18.75" customHeight="1" thickBot="1">
      <c r="A32" s="72" t="s">
        <v>30</v>
      </c>
      <c r="B32" s="73"/>
      <c r="C32" s="73"/>
      <c r="D32" s="73"/>
      <c r="E32" s="73"/>
      <c r="F32" s="73"/>
      <c r="G32" s="73"/>
      <c r="H32" s="73"/>
      <c r="I32" s="73"/>
      <c r="J32" s="73"/>
      <c r="K32" s="73"/>
      <c r="L32" s="73"/>
      <c r="M32" s="74"/>
    </row>
    <row r="33" spans="1:15" ht="24" customHeight="1" thickBot="1">
      <c r="A33" s="72" t="s">
        <v>31</v>
      </c>
      <c r="B33" s="73"/>
      <c r="C33" s="73"/>
      <c r="D33" s="73"/>
      <c r="E33" s="73"/>
      <c r="F33" s="73"/>
      <c r="G33" s="73"/>
      <c r="H33" s="73"/>
      <c r="I33" s="73"/>
      <c r="J33" s="73"/>
      <c r="K33" s="73"/>
      <c r="L33" s="73"/>
      <c r="M33" s="74"/>
    </row>
    <row r="34" spans="1:15" ht="24.75" customHeight="1" thickBot="1">
      <c r="A34" s="72" t="s">
        <v>73</v>
      </c>
      <c r="B34" s="73"/>
      <c r="C34" s="73"/>
      <c r="D34" s="73"/>
      <c r="E34" s="73"/>
      <c r="F34" s="73"/>
      <c r="G34" s="73"/>
      <c r="H34" s="73"/>
      <c r="I34" s="73"/>
      <c r="J34" s="73"/>
      <c r="K34" s="73"/>
      <c r="L34" s="73"/>
      <c r="M34" s="74"/>
    </row>
    <row r="35" spans="1:15" ht="24" customHeight="1" thickBot="1">
      <c r="A35" s="60" t="s">
        <v>46</v>
      </c>
      <c r="B35" s="61"/>
      <c r="C35" s="61"/>
      <c r="D35" s="61"/>
      <c r="E35" s="61"/>
      <c r="F35" s="61"/>
      <c r="G35" s="61"/>
      <c r="H35" s="61"/>
      <c r="I35" s="61"/>
      <c r="J35" s="61"/>
      <c r="K35" s="61"/>
      <c r="L35" s="61"/>
      <c r="M35" s="62"/>
    </row>
    <row r="36" spans="1:15" ht="11.1" customHeight="1">
      <c r="A36" s="103" t="s">
        <v>47</v>
      </c>
      <c r="B36" s="103"/>
      <c r="C36" s="103"/>
      <c r="D36" s="103"/>
      <c r="E36" s="103"/>
      <c r="F36" s="103"/>
      <c r="G36" s="103"/>
      <c r="H36" s="103"/>
      <c r="I36" s="103"/>
      <c r="J36" s="103"/>
      <c r="K36" s="103"/>
      <c r="L36" s="103"/>
      <c r="M36" s="103"/>
    </row>
    <row r="37" spans="1:15" ht="11.1" customHeight="1">
      <c r="A37" s="104" t="s">
        <v>48</v>
      </c>
      <c r="B37" s="104"/>
      <c r="C37" s="104"/>
      <c r="D37" s="104"/>
      <c r="E37" s="104"/>
      <c r="F37" s="104"/>
      <c r="G37" s="104"/>
      <c r="H37" s="104"/>
      <c r="I37" s="104"/>
      <c r="J37" s="104"/>
      <c r="K37" s="104"/>
      <c r="L37" s="104"/>
      <c r="M37" s="104"/>
    </row>
    <row r="38" spans="1:15" ht="11.1" customHeight="1">
      <c r="A38" s="105" t="s">
        <v>49</v>
      </c>
      <c r="B38" s="105"/>
      <c r="C38" s="105"/>
      <c r="D38" s="105"/>
      <c r="E38" s="105"/>
      <c r="F38" s="105"/>
      <c r="G38" s="105"/>
      <c r="H38" s="105"/>
      <c r="I38" s="105"/>
      <c r="J38" s="105"/>
      <c r="K38" s="105"/>
      <c r="L38" s="105"/>
      <c r="M38" s="105"/>
    </row>
    <row r="39" spans="1:15" ht="11.1" customHeight="1">
      <c r="A39" s="105" t="s">
        <v>50</v>
      </c>
      <c r="B39" s="105"/>
      <c r="C39" s="105"/>
      <c r="D39" s="105"/>
      <c r="E39" s="105"/>
      <c r="F39" s="105"/>
      <c r="G39" s="105"/>
      <c r="H39" s="105"/>
      <c r="I39" s="105"/>
      <c r="J39" s="105"/>
      <c r="K39" s="105"/>
      <c r="L39" s="105"/>
      <c r="M39" s="105"/>
    </row>
    <row r="40" spans="1:15" ht="11.1" customHeight="1">
      <c r="A40" s="104" t="s">
        <v>51</v>
      </c>
      <c r="B40" s="104"/>
      <c r="C40" s="104"/>
      <c r="D40" s="104"/>
      <c r="E40" s="104"/>
      <c r="F40" s="104"/>
      <c r="G40" s="104"/>
      <c r="H40" s="104"/>
      <c r="I40" s="104"/>
      <c r="J40" s="104"/>
      <c r="K40" s="104"/>
      <c r="L40" s="104"/>
      <c r="M40" s="104"/>
    </row>
    <row r="41" spans="1:15" ht="11.1" customHeight="1">
      <c r="A41" s="104" t="s">
        <v>52</v>
      </c>
      <c r="B41" s="104"/>
      <c r="C41" s="104"/>
      <c r="D41" s="104"/>
      <c r="E41" s="104"/>
      <c r="F41" s="104"/>
      <c r="G41" s="104"/>
      <c r="H41" s="104"/>
      <c r="I41" s="104"/>
      <c r="J41" s="104"/>
      <c r="K41" s="104"/>
      <c r="L41" s="104"/>
      <c r="M41" s="104"/>
    </row>
    <row r="42" spans="1:15" ht="11.1" customHeight="1">
      <c r="A42" s="104" t="s">
        <v>53</v>
      </c>
      <c r="B42" s="104"/>
      <c r="C42" s="104"/>
      <c r="D42" s="104"/>
      <c r="E42" s="104"/>
      <c r="F42" s="104"/>
      <c r="G42" s="104"/>
      <c r="H42" s="104"/>
      <c r="I42" s="104"/>
      <c r="J42" s="104"/>
      <c r="K42" s="104"/>
      <c r="L42" s="104"/>
      <c r="M42" s="104"/>
    </row>
    <row r="43" spans="1:15" ht="11.1" customHeight="1">
      <c r="A43" s="101" t="s">
        <v>54</v>
      </c>
      <c r="B43" s="101"/>
      <c r="C43" s="101"/>
      <c r="D43" s="101"/>
      <c r="E43" s="101"/>
      <c r="F43" s="101"/>
      <c r="G43" s="101"/>
      <c r="H43" s="101"/>
      <c r="I43" s="101"/>
      <c r="J43" s="101"/>
      <c r="K43" s="101"/>
      <c r="L43" s="101"/>
      <c r="M43" s="101"/>
    </row>
    <row r="44" spans="1:15" ht="11.1" customHeight="1">
      <c r="A44" s="101" t="s">
        <v>55</v>
      </c>
      <c r="B44" s="101"/>
      <c r="C44" s="101"/>
      <c r="D44" s="101"/>
      <c r="E44" s="101"/>
      <c r="F44" s="101"/>
      <c r="G44" s="101"/>
      <c r="H44" s="101"/>
      <c r="I44" s="101"/>
      <c r="J44" s="101"/>
      <c r="K44" s="101"/>
      <c r="L44" s="101"/>
      <c r="M44" s="101"/>
    </row>
    <row r="45" spans="1:15" ht="19.5" customHeight="1">
      <c r="A45" s="69" t="s">
        <v>0</v>
      </c>
      <c r="B45" s="69"/>
      <c r="C45" s="69"/>
      <c r="D45" s="69"/>
      <c r="E45" s="69"/>
      <c r="F45" s="69"/>
      <c r="G45" s="69"/>
      <c r="H45" s="69"/>
      <c r="I45" s="69"/>
      <c r="J45" s="69"/>
      <c r="K45" s="69"/>
      <c r="L45" s="69"/>
      <c r="M45" s="69"/>
    </row>
    <row r="46" spans="1:15" ht="20.100000000000001" customHeight="1">
      <c r="A46" s="4" t="s">
        <v>32</v>
      </c>
      <c r="B46" s="5">
        <f>+B2+1</f>
        <v>2</v>
      </c>
      <c r="C46" s="21"/>
      <c r="D46" s="21"/>
      <c r="E46" s="21"/>
      <c r="F46" s="21"/>
      <c r="G46" s="21"/>
      <c r="H46" s="21"/>
      <c r="I46" s="21"/>
      <c r="J46" s="21"/>
      <c r="K46" s="21"/>
      <c r="L46" s="21"/>
      <c r="M46" s="21"/>
    </row>
    <row r="47" spans="1:15" ht="24" customHeight="1" thickBot="1">
      <c r="A47" s="4" t="s">
        <v>33</v>
      </c>
      <c r="H47" s="70" t="s">
        <v>34</v>
      </c>
      <c r="I47" s="70"/>
      <c r="J47" s="70"/>
      <c r="K47" s="102">
        <f>+K3+1</f>
        <v>45928</v>
      </c>
      <c r="L47" s="102"/>
      <c r="M47" s="102"/>
      <c r="O47" s="7"/>
    </row>
    <row r="48" spans="1:15" ht="33.75" customHeight="1" thickBot="1">
      <c r="A48" s="80" t="s">
        <v>1</v>
      </c>
      <c r="B48" s="81"/>
      <c r="C48" s="82"/>
      <c r="D48" s="86" t="str">
        <f>+D4</f>
        <v>光明國中B與C區5樓老舊廁所整修工程</v>
      </c>
      <c r="E48" s="87"/>
      <c r="F48" s="87"/>
      <c r="G48" s="88"/>
      <c r="H48" s="80" t="s">
        <v>2</v>
      </c>
      <c r="I48" s="81"/>
      <c r="J48" s="82"/>
      <c r="K48" s="80" t="s">
        <v>35</v>
      </c>
      <c r="L48" s="81"/>
      <c r="M48" s="82"/>
    </row>
    <row r="49" spans="1:13" ht="33.75" customHeight="1" thickBot="1">
      <c r="A49" s="8" t="s">
        <v>3</v>
      </c>
      <c r="B49" s="19">
        <f>+B5</f>
        <v>130</v>
      </c>
      <c r="C49" s="10" t="s">
        <v>36</v>
      </c>
      <c r="D49" s="80" t="s">
        <v>4</v>
      </c>
      <c r="E49" s="89"/>
      <c r="F49" s="20">
        <f>+F5+1</f>
        <v>2</v>
      </c>
      <c r="G49" s="12" t="s">
        <v>36</v>
      </c>
      <c r="H49" s="13" t="s">
        <v>5</v>
      </c>
      <c r="I49" s="19">
        <f>+B49-F49</f>
        <v>128</v>
      </c>
      <c r="J49" s="10" t="s">
        <v>36</v>
      </c>
      <c r="K49" s="80" t="s">
        <v>6</v>
      </c>
      <c r="L49" s="82"/>
      <c r="M49" s="13">
        <f>+M5</f>
        <v>0</v>
      </c>
    </row>
    <row r="50" spans="1:13" ht="24" customHeight="1" thickBot="1">
      <c r="A50" s="80" t="s">
        <v>7</v>
      </c>
      <c r="B50" s="81"/>
      <c r="C50" s="82"/>
      <c r="D50" s="80" t="str">
        <f>+D6</f>
        <v>114.9.27</v>
      </c>
      <c r="E50" s="81"/>
      <c r="F50" s="81"/>
      <c r="G50" s="82"/>
      <c r="H50" s="80" t="s">
        <v>8</v>
      </c>
      <c r="I50" s="81"/>
      <c r="J50" s="82"/>
      <c r="K50" s="80" t="str">
        <f>+K6</f>
        <v>115.2.3</v>
      </c>
      <c r="L50" s="81"/>
      <c r="M50" s="82"/>
    </row>
    <row r="51" spans="1:13" ht="24" customHeight="1" thickBot="1">
      <c r="A51" s="80" t="s">
        <v>37</v>
      </c>
      <c r="B51" s="81"/>
      <c r="C51" s="82"/>
      <c r="D51" s="83">
        <v>1.2E-2</v>
      </c>
      <c r="E51" s="84"/>
      <c r="F51" s="84"/>
      <c r="G51" s="85"/>
      <c r="H51" s="80" t="s">
        <v>38</v>
      </c>
      <c r="I51" s="81"/>
      <c r="J51" s="82"/>
      <c r="K51" s="83">
        <f>+K7+1.5%</f>
        <v>0.04</v>
      </c>
      <c r="L51" s="84"/>
      <c r="M51" s="85"/>
    </row>
    <row r="52" spans="1:13" ht="24" customHeight="1" thickBot="1">
      <c r="A52" s="72" t="s">
        <v>9</v>
      </c>
      <c r="B52" s="73"/>
      <c r="C52" s="73"/>
      <c r="D52" s="73"/>
      <c r="E52" s="73"/>
      <c r="F52" s="73"/>
      <c r="G52" s="73"/>
      <c r="H52" s="73"/>
      <c r="I52" s="73"/>
      <c r="J52" s="73"/>
      <c r="K52" s="73"/>
      <c r="L52" s="73"/>
      <c r="M52" s="74"/>
    </row>
    <row r="53" spans="1:13" ht="35.25" customHeight="1" thickBot="1">
      <c r="A53" s="75" t="s">
        <v>10</v>
      </c>
      <c r="B53" s="76"/>
      <c r="C53" s="76"/>
      <c r="D53" s="77"/>
      <c r="E53" s="14" t="s">
        <v>11</v>
      </c>
      <c r="F53" s="75" t="s">
        <v>12</v>
      </c>
      <c r="G53" s="77"/>
      <c r="H53" s="75" t="s">
        <v>13</v>
      </c>
      <c r="I53" s="77"/>
      <c r="J53" s="78" t="s">
        <v>14</v>
      </c>
      <c r="K53" s="79"/>
      <c r="L53" s="75" t="s">
        <v>15</v>
      </c>
      <c r="M53" s="77"/>
    </row>
    <row r="54" spans="1:13" ht="32.25" customHeight="1" thickBot="1">
      <c r="A54" s="63" t="s">
        <v>68</v>
      </c>
      <c r="B54" s="64"/>
      <c r="C54" s="64"/>
      <c r="D54" s="65"/>
      <c r="E54" s="2" t="s">
        <v>69</v>
      </c>
      <c r="F54" s="56">
        <v>1</v>
      </c>
      <c r="G54" s="57"/>
      <c r="H54" s="56">
        <v>0.1</v>
      </c>
      <c r="I54" s="57"/>
      <c r="J54" s="56">
        <v>0.2</v>
      </c>
      <c r="K54" s="57"/>
      <c r="L54" s="58"/>
      <c r="M54" s="59"/>
    </row>
    <row r="55" spans="1:13" ht="27" customHeight="1" thickBot="1">
      <c r="A55" s="123"/>
      <c r="B55" s="124"/>
      <c r="C55" s="124"/>
      <c r="D55" s="125"/>
      <c r="E55" s="15"/>
      <c r="F55" s="126"/>
      <c r="G55" s="127"/>
      <c r="H55" s="126"/>
      <c r="I55" s="127"/>
      <c r="J55" s="126"/>
      <c r="K55" s="127"/>
      <c r="L55" s="128"/>
      <c r="M55" s="129"/>
    </row>
    <row r="56" spans="1:13" ht="24.95" customHeight="1" thickTop="1" thickBot="1">
      <c r="A56" s="130" t="s">
        <v>16</v>
      </c>
      <c r="B56" s="67"/>
      <c r="C56" s="67"/>
      <c r="D56" s="68"/>
      <c r="E56" s="22"/>
      <c r="F56" s="131"/>
      <c r="G56" s="132"/>
      <c r="H56" s="131"/>
      <c r="I56" s="132"/>
      <c r="J56" s="131"/>
      <c r="K56" s="132"/>
      <c r="L56" s="131"/>
      <c r="M56" s="133"/>
    </row>
    <row r="57" spans="1:13" ht="24.95" customHeight="1" thickBot="1">
      <c r="A57" s="134" t="s">
        <v>17</v>
      </c>
      <c r="B57" s="135"/>
      <c r="C57" s="135"/>
      <c r="D57" s="59"/>
      <c r="E57" s="22"/>
      <c r="F57" s="58"/>
      <c r="G57" s="59"/>
      <c r="H57" s="58"/>
      <c r="I57" s="59"/>
      <c r="J57" s="58"/>
      <c r="K57" s="59"/>
      <c r="L57" s="58"/>
      <c r="M57" s="136"/>
    </row>
    <row r="58" spans="1:13" ht="24.95" customHeight="1" thickBot="1">
      <c r="A58" s="118" t="s">
        <v>18</v>
      </c>
      <c r="B58" s="119"/>
      <c r="C58" s="119"/>
      <c r="D58" s="120"/>
      <c r="E58" s="23"/>
      <c r="F58" s="121"/>
      <c r="G58" s="120"/>
      <c r="H58" s="121"/>
      <c r="I58" s="120"/>
      <c r="J58" s="121"/>
      <c r="K58" s="120"/>
      <c r="L58" s="121"/>
      <c r="M58" s="122"/>
    </row>
    <row r="59" spans="1:13" ht="24" customHeight="1" thickTop="1" thickBot="1">
      <c r="A59" s="66" t="s">
        <v>19</v>
      </c>
      <c r="B59" s="67"/>
      <c r="C59" s="67"/>
      <c r="D59" s="67"/>
      <c r="E59" s="67"/>
      <c r="F59" s="67"/>
      <c r="G59" s="67"/>
      <c r="H59" s="67"/>
      <c r="I59" s="67"/>
      <c r="J59" s="67"/>
      <c r="K59" s="67"/>
      <c r="L59" s="67"/>
      <c r="M59" s="68"/>
    </row>
    <row r="60" spans="1:13" ht="35.25" customHeight="1" thickBot="1">
      <c r="A60" s="75" t="s">
        <v>20</v>
      </c>
      <c r="B60" s="76"/>
      <c r="C60" s="76"/>
      <c r="D60" s="77"/>
      <c r="E60" s="14" t="s">
        <v>11</v>
      </c>
      <c r="F60" s="75" t="s">
        <v>39</v>
      </c>
      <c r="G60" s="77"/>
      <c r="H60" s="75" t="s">
        <v>21</v>
      </c>
      <c r="I60" s="77"/>
      <c r="J60" s="78" t="s">
        <v>22</v>
      </c>
      <c r="K60" s="79"/>
      <c r="L60" s="75" t="s">
        <v>15</v>
      </c>
      <c r="M60" s="77"/>
    </row>
    <row r="61" spans="1:13" ht="24" customHeight="1" thickBot="1">
      <c r="A61" s="96"/>
      <c r="B61" s="97"/>
      <c r="C61" s="97"/>
      <c r="D61" s="98"/>
      <c r="E61" s="22"/>
      <c r="F61" s="58"/>
      <c r="G61" s="59"/>
      <c r="H61" s="58"/>
      <c r="I61" s="59"/>
      <c r="J61" s="56"/>
      <c r="K61" s="57"/>
      <c r="L61" s="58"/>
      <c r="M61" s="59"/>
    </row>
    <row r="62" spans="1:13" ht="24" customHeight="1" thickBot="1">
      <c r="A62" s="96"/>
      <c r="B62" s="97"/>
      <c r="C62" s="97"/>
      <c r="D62" s="98"/>
      <c r="E62" s="22"/>
      <c r="F62" s="58"/>
      <c r="G62" s="59"/>
      <c r="H62" s="58"/>
      <c r="I62" s="59"/>
      <c r="J62" s="56"/>
      <c r="K62" s="57"/>
      <c r="L62" s="58"/>
      <c r="M62" s="59"/>
    </row>
    <row r="63" spans="1:13" ht="24" customHeight="1" thickBot="1">
      <c r="A63" s="60" t="s">
        <v>23</v>
      </c>
      <c r="B63" s="61"/>
      <c r="C63" s="61"/>
      <c r="D63" s="61"/>
      <c r="E63" s="61"/>
      <c r="F63" s="61"/>
      <c r="G63" s="61"/>
      <c r="H63" s="61"/>
      <c r="I63" s="61"/>
      <c r="J63" s="61"/>
      <c r="K63" s="61"/>
      <c r="L63" s="61"/>
      <c r="M63" s="62"/>
    </row>
    <row r="64" spans="1:13" ht="35.25" customHeight="1" thickBot="1">
      <c r="A64" s="75" t="s">
        <v>24</v>
      </c>
      <c r="B64" s="77"/>
      <c r="C64" s="75" t="s">
        <v>25</v>
      </c>
      <c r="D64" s="77"/>
      <c r="E64" s="75" t="s">
        <v>26</v>
      </c>
      <c r="F64" s="76"/>
      <c r="G64" s="77"/>
      <c r="H64" s="75" t="s">
        <v>27</v>
      </c>
      <c r="I64" s="77"/>
      <c r="J64" s="78" t="s">
        <v>21</v>
      </c>
      <c r="K64" s="79"/>
      <c r="L64" s="75" t="s">
        <v>22</v>
      </c>
      <c r="M64" s="77"/>
    </row>
    <row r="65" spans="1:13" s="18" customFormat="1" ht="24.75" customHeight="1" thickBot="1">
      <c r="A65" s="99" t="s">
        <v>71</v>
      </c>
      <c r="B65" s="137"/>
      <c r="C65" s="56">
        <v>6</v>
      </c>
      <c r="D65" s="57"/>
      <c r="E65" s="56">
        <v>12</v>
      </c>
      <c r="F65" s="100"/>
      <c r="G65" s="57"/>
      <c r="H65" s="56"/>
      <c r="I65" s="57"/>
      <c r="J65" s="56"/>
      <c r="K65" s="57"/>
      <c r="L65" s="56"/>
      <c r="M65" s="57"/>
    </row>
    <row r="66" spans="1:13" s="18" customFormat="1" ht="24.75" customHeight="1" thickBot="1">
      <c r="A66" s="99"/>
      <c r="B66" s="137"/>
      <c r="C66" s="56"/>
      <c r="D66" s="57"/>
      <c r="E66" s="56"/>
      <c r="F66" s="100"/>
      <c r="G66" s="57"/>
      <c r="H66" s="56"/>
      <c r="I66" s="57"/>
      <c r="J66" s="56"/>
      <c r="K66" s="57"/>
      <c r="L66" s="56"/>
      <c r="M66" s="57"/>
    </row>
    <row r="67" spans="1:13" ht="33" customHeight="1" thickBot="1">
      <c r="A67" s="112" t="s">
        <v>40</v>
      </c>
      <c r="B67" s="113"/>
      <c r="C67" s="113"/>
      <c r="D67" s="113"/>
      <c r="E67" s="113"/>
      <c r="F67" s="113"/>
      <c r="G67" s="113"/>
      <c r="H67" s="113"/>
      <c r="I67" s="113"/>
      <c r="J67" s="113"/>
      <c r="K67" s="113"/>
      <c r="L67" s="113"/>
      <c r="M67" s="114"/>
    </row>
    <row r="68" spans="1:13" ht="16.5" customHeight="1">
      <c r="A68" s="115" t="s">
        <v>41</v>
      </c>
      <c r="B68" s="116"/>
      <c r="C68" s="116"/>
      <c r="D68" s="116"/>
      <c r="E68" s="116"/>
      <c r="F68" s="116"/>
      <c r="G68" s="116"/>
      <c r="H68" s="116"/>
      <c r="I68" s="116"/>
      <c r="J68" s="116"/>
      <c r="K68" s="116"/>
      <c r="L68" s="116"/>
      <c r="M68" s="117"/>
    </row>
    <row r="69" spans="1:13" ht="16.5" customHeight="1">
      <c r="A69" s="90" t="s">
        <v>28</v>
      </c>
      <c r="B69" s="91"/>
      <c r="C69" s="91"/>
      <c r="D69" s="91"/>
      <c r="E69" s="91"/>
      <c r="F69" s="91"/>
      <c r="G69" s="91"/>
      <c r="H69" s="91"/>
      <c r="I69" s="91"/>
      <c r="J69" s="91"/>
      <c r="K69" s="91"/>
      <c r="L69" s="91"/>
      <c r="M69" s="92"/>
    </row>
    <row r="70" spans="1:13" s="1" customFormat="1" ht="16.5" customHeight="1">
      <c r="A70" s="93" t="s">
        <v>56</v>
      </c>
      <c r="B70" s="94"/>
      <c r="C70" s="94"/>
      <c r="D70" s="94"/>
      <c r="E70" s="94"/>
      <c r="F70" s="94"/>
      <c r="G70" s="94"/>
      <c r="H70" s="94"/>
      <c r="I70" s="94"/>
      <c r="J70" s="94"/>
      <c r="K70" s="94"/>
      <c r="L70" s="94"/>
      <c r="M70" s="95"/>
    </row>
    <row r="71" spans="1:13" s="1" customFormat="1" ht="16.5" customHeight="1">
      <c r="A71" s="93" t="s">
        <v>57</v>
      </c>
      <c r="B71" s="94"/>
      <c r="C71" s="94"/>
      <c r="D71" s="94"/>
      <c r="E71" s="94"/>
      <c r="F71" s="94"/>
      <c r="G71" s="94"/>
      <c r="H71" s="94"/>
      <c r="I71" s="94"/>
      <c r="J71" s="94"/>
      <c r="K71" s="94"/>
      <c r="L71" s="94"/>
      <c r="M71" s="95"/>
    </row>
    <row r="72" spans="1:13" s="1" customFormat="1" ht="16.5" customHeight="1">
      <c r="A72" s="93" t="s">
        <v>58</v>
      </c>
      <c r="B72" s="94"/>
      <c r="C72" s="94"/>
      <c r="D72" s="94"/>
      <c r="E72" s="94"/>
      <c r="F72" s="94"/>
      <c r="G72" s="94"/>
      <c r="H72" s="94"/>
      <c r="I72" s="94"/>
      <c r="J72" s="94"/>
      <c r="K72" s="94"/>
      <c r="L72" s="94"/>
      <c r="M72" s="95"/>
    </row>
    <row r="73" spans="1:13" s="1" customFormat="1" ht="16.5" customHeight="1">
      <c r="A73" s="93" t="s">
        <v>59</v>
      </c>
      <c r="B73" s="94"/>
      <c r="C73" s="94"/>
      <c r="D73" s="94"/>
      <c r="E73" s="94"/>
      <c r="F73" s="94"/>
      <c r="G73" s="94"/>
      <c r="H73" s="94"/>
      <c r="I73" s="94"/>
      <c r="J73" s="94"/>
      <c r="K73" s="94"/>
      <c r="L73" s="94"/>
      <c r="M73" s="95"/>
    </row>
    <row r="74" spans="1:13" ht="16.5" customHeight="1">
      <c r="A74" s="106" t="s">
        <v>29</v>
      </c>
      <c r="B74" s="107"/>
      <c r="C74" s="107"/>
      <c r="D74" s="107"/>
      <c r="E74" s="107"/>
      <c r="F74" s="107"/>
      <c r="G74" s="107"/>
      <c r="H74" s="107"/>
      <c r="I74" s="107"/>
      <c r="J74" s="107"/>
      <c r="K74" s="107"/>
      <c r="L74" s="107"/>
      <c r="M74" s="108"/>
    </row>
    <row r="75" spans="1:13" ht="9.75" customHeight="1" thickBot="1">
      <c r="A75" s="109"/>
      <c r="B75" s="110"/>
      <c r="C75" s="110"/>
      <c r="D75" s="110"/>
      <c r="E75" s="110"/>
      <c r="F75" s="110"/>
      <c r="G75" s="110"/>
      <c r="H75" s="110"/>
      <c r="I75" s="110"/>
      <c r="J75" s="110"/>
      <c r="K75" s="110"/>
      <c r="L75" s="110"/>
      <c r="M75" s="111"/>
    </row>
    <row r="76" spans="1:13" ht="18.75" customHeight="1" thickBot="1">
      <c r="A76" s="72" t="s">
        <v>30</v>
      </c>
      <c r="B76" s="73"/>
      <c r="C76" s="73"/>
      <c r="D76" s="73"/>
      <c r="E76" s="73"/>
      <c r="F76" s="73"/>
      <c r="G76" s="73"/>
      <c r="H76" s="73"/>
      <c r="I76" s="73"/>
      <c r="J76" s="73"/>
      <c r="K76" s="73"/>
      <c r="L76" s="73"/>
      <c r="M76" s="74"/>
    </row>
    <row r="77" spans="1:13" ht="24" customHeight="1" thickBot="1">
      <c r="A77" s="72" t="s">
        <v>31</v>
      </c>
      <c r="B77" s="73"/>
      <c r="C77" s="73"/>
      <c r="D77" s="73"/>
      <c r="E77" s="73"/>
      <c r="F77" s="73"/>
      <c r="G77" s="73"/>
      <c r="H77" s="73"/>
      <c r="I77" s="73"/>
      <c r="J77" s="73"/>
      <c r="K77" s="73"/>
      <c r="L77" s="73"/>
      <c r="M77" s="74"/>
    </row>
    <row r="78" spans="1:13" ht="24" customHeight="1" thickBot="1">
      <c r="A78" s="72" t="s">
        <v>72</v>
      </c>
      <c r="B78" s="73"/>
      <c r="C78" s="73"/>
      <c r="D78" s="73"/>
      <c r="E78" s="73"/>
      <c r="F78" s="73"/>
      <c r="G78" s="73"/>
      <c r="H78" s="73"/>
      <c r="I78" s="73"/>
      <c r="J78" s="73"/>
      <c r="K78" s="73"/>
      <c r="L78" s="73"/>
      <c r="M78" s="74"/>
    </row>
    <row r="79" spans="1:13" ht="24" customHeight="1" thickBot="1">
      <c r="A79" s="60" t="s">
        <v>46</v>
      </c>
      <c r="B79" s="61"/>
      <c r="C79" s="61"/>
      <c r="D79" s="61"/>
      <c r="E79" s="61"/>
      <c r="F79" s="61"/>
      <c r="G79" s="61"/>
      <c r="H79" s="61"/>
      <c r="I79" s="61"/>
      <c r="J79" s="61"/>
      <c r="K79" s="61"/>
      <c r="L79" s="61"/>
      <c r="M79" s="62"/>
    </row>
    <row r="80" spans="1:13" ht="11.1" customHeight="1">
      <c r="A80" s="103" t="s">
        <v>47</v>
      </c>
      <c r="B80" s="103"/>
      <c r="C80" s="103"/>
      <c r="D80" s="103"/>
      <c r="E80" s="103"/>
      <c r="F80" s="103"/>
      <c r="G80" s="103"/>
      <c r="H80" s="103"/>
      <c r="I80" s="103"/>
      <c r="J80" s="103"/>
      <c r="K80" s="103"/>
      <c r="L80" s="103"/>
      <c r="M80" s="103"/>
    </row>
    <row r="81" spans="1:15" ht="11.1" customHeight="1">
      <c r="A81" s="104" t="s">
        <v>48</v>
      </c>
      <c r="B81" s="104"/>
      <c r="C81" s="104"/>
      <c r="D81" s="104"/>
      <c r="E81" s="104"/>
      <c r="F81" s="104"/>
      <c r="G81" s="104"/>
      <c r="H81" s="104"/>
      <c r="I81" s="104"/>
      <c r="J81" s="104"/>
      <c r="K81" s="104"/>
      <c r="L81" s="104"/>
      <c r="M81" s="104"/>
    </row>
    <row r="82" spans="1:15" ht="11.1" customHeight="1">
      <c r="A82" s="105" t="s">
        <v>49</v>
      </c>
      <c r="B82" s="105"/>
      <c r="C82" s="105"/>
      <c r="D82" s="105"/>
      <c r="E82" s="105"/>
      <c r="F82" s="105"/>
      <c r="G82" s="105"/>
      <c r="H82" s="105"/>
      <c r="I82" s="105"/>
      <c r="J82" s="105"/>
      <c r="K82" s="105"/>
      <c r="L82" s="105"/>
      <c r="M82" s="105"/>
    </row>
    <row r="83" spans="1:15" ht="11.1" customHeight="1">
      <c r="A83" s="105" t="s">
        <v>50</v>
      </c>
      <c r="B83" s="105"/>
      <c r="C83" s="105"/>
      <c r="D83" s="105"/>
      <c r="E83" s="105"/>
      <c r="F83" s="105"/>
      <c r="G83" s="105"/>
      <c r="H83" s="105"/>
      <c r="I83" s="105"/>
      <c r="J83" s="105"/>
      <c r="K83" s="105"/>
      <c r="L83" s="105"/>
      <c r="M83" s="105"/>
    </row>
    <row r="84" spans="1:15" ht="11.1" customHeight="1">
      <c r="A84" s="104" t="s">
        <v>51</v>
      </c>
      <c r="B84" s="104"/>
      <c r="C84" s="104"/>
      <c r="D84" s="104"/>
      <c r="E84" s="104"/>
      <c r="F84" s="104"/>
      <c r="G84" s="104"/>
      <c r="H84" s="104"/>
      <c r="I84" s="104"/>
      <c r="J84" s="104"/>
      <c r="K84" s="104"/>
      <c r="L84" s="104"/>
      <c r="M84" s="104"/>
    </row>
    <row r="85" spans="1:15" ht="11.1" customHeight="1">
      <c r="A85" s="104" t="s">
        <v>52</v>
      </c>
      <c r="B85" s="104"/>
      <c r="C85" s="104"/>
      <c r="D85" s="104"/>
      <c r="E85" s="104"/>
      <c r="F85" s="104"/>
      <c r="G85" s="104"/>
      <c r="H85" s="104"/>
      <c r="I85" s="104"/>
      <c r="J85" s="104"/>
      <c r="K85" s="104"/>
      <c r="L85" s="104"/>
      <c r="M85" s="104"/>
    </row>
    <row r="86" spans="1:15" ht="11.1" customHeight="1">
      <c r="A86" s="104" t="s">
        <v>53</v>
      </c>
      <c r="B86" s="104"/>
      <c r="C86" s="104"/>
      <c r="D86" s="104"/>
      <c r="E86" s="104"/>
      <c r="F86" s="104"/>
      <c r="G86" s="104"/>
      <c r="H86" s="104"/>
      <c r="I86" s="104"/>
      <c r="J86" s="104"/>
      <c r="K86" s="104"/>
      <c r="L86" s="104"/>
      <c r="M86" s="104"/>
    </row>
    <row r="87" spans="1:15" ht="11.1" customHeight="1">
      <c r="A87" s="101" t="s">
        <v>54</v>
      </c>
      <c r="B87" s="101"/>
      <c r="C87" s="101"/>
      <c r="D87" s="101"/>
      <c r="E87" s="101"/>
      <c r="F87" s="101"/>
      <c r="G87" s="101"/>
      <c r="H87" s="101"/>
      <c r="I87" s="101"/>
      <c r="J87" s="101"/>
      <c r="K87" s="101"/>
      <c r="L87" s="101"/>
      <c r="M87" s="101"/>
    </row>
    <row r="88" spans="1:15" ht="11.1" customHeight="1">
      <c r="A88" s="101" t="s">
        <v>55</v>
      </c>
      <c r="B88" s="101"/>
      <c r="C88" s="101"/>
      <c r="D88" s="101"/>
      <c r="E88" s="101"/>
      <c r="F88" s="101"/>
      <c r="G88" s="101"/>
      <c r="H88" s="101"/>
      <c r="I88" s="101"/>
      <c r="J88" s="101"/>
      <c r="K88" s="101"/>
      <c r="L88" s="101"/>
      <c r="M88" s="101"/>
    </row>
    <row r="89" spans="1:15" ht="19.5" customHeight="1">
      <c r="A89" s="69" t="s">
        <v>0</v>
      </c>
      <c r="B89" s="69"/>
      <c r="C89" s="69"/>
      <c r="D89" s="69"/>
      <c r="E89" s="69"/>
      <c r="F89" s="69"/>
      <c r="G89" s="69"/>
      <c r="H89" s="69"/>
      <c r="I89" s="69"/>
      <c r="J89" s="69"/>
      <c r="K89" s="69"/>
      <c r="L89" s="69"/>
      <c r="M89" s="69"/>
    </row>
    <row r="90" spans="1:15" ht="20.100000000000001" customHeight="1">
      <c r="A90" s="4" t="s">
        <v>32</v>
      </c>
      <c r="B90" s="5">
        <f>+B46+1</f>
        <v>3</v>
      </c>
      <c r="C90" s="6"/>
      <c r="D90" s="6"/>
      <c r="E90" s="6"/>
      <c r="F90" s="6"/>
      <c r="G90" s="6"/>
      <c r="H90" s="6"/>
      <c r="I90" s="6"/>
      <c r="J90" s="6"/>
      <c r="K90" s="6"/>
      <c r="L90" s="6"/>
      <c r="M90" s="6"/>
    </row>
    <row r="91" spans="1:15" ht="24" customHeight="1" thickBot="1">
      <c r="A91" s="4" t="s">
        <v>33</v>
      </c>
      <c r="H91" s="70" t="s">
        <v>34</v>
      </c>
      <c r="I91" s="70"/>
      <c r="J91" s="70"/>
      <c r="K91" s="102">
        <f>+K47+1</f>
        <v>45929</v>
      </c>
      <c r="L91" s="102"/>
      <c r="M91" s="102"/>
      <c r="O91" s="7"/>
    </row>
    <row r="92" spans="1:15" ht="33.75" customHeight="1" thickBot="1">
      <c r="A92" s="80" t="s">
        <v>1</v>
      </c>
      <c r="B92" s="81"/>
      <c r="C92" s="82"/>
      <c r="D92" s="86" t="str">
        <f>+D48</f>
        <v>光明國中B與C區5樓老舊廁所整修工程</v>
      </c>
      <c r="E92" s="87"/>
      <c r="F92" s="87"/>
      <c r="G92" s="88"/>
      <c r="H92" s="80" t="s">
        <v>2</v>
      </c>
      <c r="I92" s="81"/>
      <c r="J92" s="82"/>
      <c r="K92" s="80" t="s">
        <v>35</v>
      </c>
      <c r="L92" s="81"/>
      <c r="M92" s="82"/>
    </row>
    <row r="93" spans="1:15" ht="33.75" customHeight="1" thickBot="1">
      <c r="A93" s="8" t="s">
        <v>3</v>
      </c>
      <c r="B93" s="9">
        <f>+B49</f>
        <v>130</v>
      </c>
      <c r="C93" s="10" t="s">
        <v>36</v>
      </c>
      <c r="D93" s="80" t="s">
        <v>4</v>
      </c>
      <c r="E93" s="89"/>
      <c r="F93" s="11">
        <f>+F49+1</f>
        <v>3</v>
      </c>
      <c r="G93" s="12" t="s">
        <v>36</v>
      </c>
      <c r="H93" s="13" t="s">
        <v>5</v>
      </c>
      <c r="I93" s="9">
        <f>+B93-F93</f>
        <v>127</v>
      </c>
      <c r="J93" s="10" t="s">
        <v>36</v>
      </c>
      <c r="K93" s="80" t="s">
        <v>6</v>
      </c>
      <c r="L93" s="82"/>
      <c r="M93" s="13">
        <f>+M49</f>
        <v>0</v>
      </c>
    </row>
    <row r="94" spans="1:15" ht="24" customHeight="1" thickBot="1">
      <c r="A94" s="80" t="s">
        <v>7</v>
      </c>
      <c r="B94" s="81"/>
      <c r="C94" s="82"/>
      <c r="D94" s="80" t="str">
        <f>+D50</f>
        <v>114.9.27</v>
      </c>
      <c r="E94" s="81"/>
      <c r="F94" s="81"/>
      <c r="G94" s="82"/>
      <c r="H94" s="80" t="s">
        <v>8</v>
      </c>
      <c r="I94" s="81"/>
      <c r="J94" s="82"/>
      <c r="K94" s="80" t="str">
        <f>+K50</f>
        <v>115.2.3</v>
      </c>
      <c r="L94" s="81"/>
      <c r="M94" s="82"/>
    </row>
    <row r="95" spans="1:15" ht="24" customHeight="1" thickBot="1">
      <c r="A95" s="80" t="s">
        <v>37</v>
      </c>
      <c r="B95" s="81"/>
      <c r="C95" s="82"/>
      <c r="D95" s="83">
        <v>1.4E-2</v>
      </c>
      <c r="E95" s="84"/>
      <c r="F95" s="84"/>
      <c r="G95" s="85"/>
      <c r="H95" s="80" t="s">
        <v>38</v>
      </c>
      <c r="I95" s="81"/>
      <c r="J95" s="82"/>
      <c r="K95" s="83">
        <f>+K51+1.5%+0.3%</f>
        <v>5.8000000000000003E-2</v>
      </c>
      <c r="L95" s="84"/>
      <c r="M95" s="85"/>
    </row>
    <row r="96" spans="1:15" ht="24" customHeight="1" thickBot="1">
      <c r="A96" s="72" t="s">
        <v>9</v>
      </c>
      <c r="B96" s="73"/>
      <c r="C96" s="73"/>
      <c r="D96" s="73"/>
      <c r="E96" s="73"/>
      <c r="F96" s="73"/>
      <c r="G96" s="73"/>
      <c r="H96" s="73"/>
      <c r="I96" s="73"/>
      <c r="J96" s="73"/>
      <c r="K96" s="73"/>
      <c r="L96" s="73"/>
      <c r="M96" s="74"/>
    </row>
    <row r="97" spans="1:13" ht="35.25" customHeight="1" thickBot="1">
      <c r="A97" s="75" t="s">
        <v>10</v>
      </c>
      <c r="B97" s="76"/>
      <c r="C97" s="76"/>
      <c r="D97" s="77"/>
      <c r="E97" s="14" t="s">
        <v>11</v>
      </c>
      <c r="F97" s="75" t="s">
        <v>12</v>
      </c>
      <c r="G97" s="77"/>
      <c r="H97" s="75" t="s">
        <v>13</v>
      </c>
      <c r="I97" s="77"/>
      <c r="J97" s="78" t="s">
        <v>14</v>
      </c>
      <c r="K97" s="79"/>
      <c r="L97" s="75" t="s">
        <v>15</v>
      </c>
      <c r="M97" s="77"/>
    </row>
    <row r="98" spans="1:13" ht="31.5" customHeight="1" thickBot="1">
      <c r="A98" s="63" t="s">
        <v>111</v>
      </c>
      <c r="B98" s="64"/>
      <c r="C98" s="64"/>
      <c r="D98" s="65"/>
      <c r="E98" s="2" t="s">
        <v>69</v>
      </c>
      <c r="F98" s="56">
        <v>1</v>
      </c>
      <c r="G98" s="57"/>
      <c r="H98" s="56">
        <v>0.1</v>
      </c>
      <c r="I98" s="57"/>
      <c r="J98" s="56">
        <v>0.3</v>
      </c>
      <c r="K98" s="57"/>
      <c r="L98" s="58"/>
      <c r="M98" s="59"/>
    </row>
    <row r="99" spans="1:13" ht="27" customHeight="1" thickBot="1">
      <c r="A99" s="63" t="s">
        <v>78</v>
      </c>
      <c r="B99" s="64"/>
      <c r="C99" s="64"/>
      <c r="D99" s="65"/>
      <c r="E99" s="15" t="s">
        <v>79</v>
      </c>
      <c r="F99" s="126">
        <v>1</v>
      </c>
      <c r="G99" s="127"/>
      <c r="H99" s="126">
        <v>0.2</v>
      </c>
      <c r="I99" s="127"/>
      <c r="J99" s="126">
        <v>0.2</v>
      </c>
      <c r="K99" s="127"/>
      <c r="L99" s="128"/>
      <c r="M99" s="129"/>
    </row>
    <row r="100" spans="1:13" ht="24.95" customHeight="1" thickTop="1" thickBot="1">
      <c r="A100" s="130" t="s">
        <v>16</v>
      </c>
      <c r="B100" s="67"/>
      <c r="C100" s="67"/>
      <c r="D100" s="68"/>
      <c r="E100" s="16"/>
      <c r="F100" s="131"/>
      <c r="G100" s="132"/>
      <c r="H100" s="131"/>
      <c r="I100" s="132"/>
      <c r="J100" s="131"/>
      <c r="K100" s="132"/>
      <c r="L100" s="131"/>
      <c r="M100" s="133"/>
    </row>
    <row r="101" spans="1:13" ht="24.95" customHeight="1" thickBot="1">
      <c r="A101" s="134" t="s">
        <v>17</v>
      </c>
      <c r="B101" s="135"/>
      <c r="C101" s="135"/>
      <c r="D101" s="59"/>
      <c r="E101" s="16"/>
      <c r="F101" s="58"/>
      <c r="G101" s="59"/>
      <c r="H101" s="58"/>
      <c r="I101" s="59"/>
      <c r="J101" s="58"/>
      <c r="K101" s="59"/>
      <c r="L101" s="58"/>
      <c r="M101" s="136"/>
    </row>
    <row r="102" spans="1:13" ht="24.95" customHeight="1" thickBot="1">
      <c r="A102" s="118" t="s">
        <v>18</v>
      </c>
      <c r="B102" s="119"/>
      <c r="C102" s="119"/>
      <c r="D102" s="120"/>
      <c r="E102" s="17"/>
      <c r="F102" s="121"/>
      <c r="G102" s="120"/>
      <c r="H102" s="121"/>
      <c r="I102" s="120"/>
      <c r="J102" s="121"/>
      <c r="K102" s="120"/>
      <c r="L102" s="121"/>
      <c r="M102" s="122"/>
    </row>
    <row r="103" spans="1:13" ht="24" customHeight="1" thickTop="1" thickBot="1">
      <c r="A103" s="66" t="s">
        <v>19</v>
      </c>
      <c r="B103" s="67"/>
      <c r="C103" s="67"/>
      <c r="D103" s="67"/>
      <c r="E103" s="67"/>
      <c r="F103" s="67"/>
      <c r="G103" s="67"/>
      <c r="H103" s="67"/>
      <c r="I103" s="67"/>
      <c r="J103" s="67"/>
      <c r="K103" s="67"/>
      <c r="L103" s="67"/>
      <c r="M103" s="68"/>
    </row>
    <row r="104" spans="1:13" ht="35.25" customHeight="1" thickBot="1">
      <c r="A104" s="75" t="s">
        <v>20</v>
      </c>
      <c r="B104" s="76"/>
      <c r="C104" s="76"/>
      <c r="D104" s="77"/>
      <c r="E104" s="14" t="s">
        <v>11</v>
      </c>
      <c r="F104" s="75" t="s">
        <v>39</v>
      </c>
      <c r="G104" s="77"/>
      <c r="H104" s="75" t="s">
        <v>21</v>
      </c>
      <c r="I104" s="77"/>
      <c r="J104" s="78" t="s">
        <v>22</v>
      </c>
      <c r="K104" s="79"/>
      <c r="L104" s="75" t="s">
        <v>15</v>
      </c>
      <c r="M104" s="77"/>
    </row>
    <row r="105" spans="1:13" ht="24" customHeight="1" thickBot="1">
      <c r="A105" s="96"/>
      <c r="B105" s="97"/>
      <c r="C105" s="97"/>
      <c r="D105" s="98"/>
      <c r="E105" s="16"/>
      <c r="F105" s="58"/>
      <c r="G105" s="59"/>
      <c r="H105" s="58"/>
      <c r="I105" s="59"/>
      <c r="J105" s="56"/>
      <c r="K105" s="57"/>
      <c r="L105" s="58"/>
      <c r="M105" s="59"/>
    </row>
    <row r="106" spans="1:13" ht="24" customHeight="1" thickBot="1">
      <c r="A106" s="96"/>
      <c r="B106" s="97"/>
      <c r="C106" s="97"/>
      <c r="D106" s="98"/>
      <c r="E106" s="16"/>
      <c r="F106" s="58"/>
      <c r="G106" s="59"/>
      <c r="H106" s="58"/>
      <c r="I106" s="59"/>
      <c r="J106" s="56"/>
      <c r="K106" s="57"/>
      <c r="L106" s="58"/>
      <c r="M106" s="59"/>
    </row>
    <row r="107" spans="1:13" ht="24" customHeight="1" thickBot="1">
      <c r="A107" s="60" t="s">
        <v>23</v>
      </c>
      <c r="B107" s="61"/>
      <c r="C107" s="61"/>
      <c r="D107" s="61"/>
      <c r="E107" s="61"/>
      <c r="F107" s="61"/>
      <c r="G107" s="61"/>
      <c r="H107" s="61"/>
      <c r="I107" s="61"/>
      <c r="J107" s="61"/>
      <c r="K107" s="61"/>
      <c r="L107" s="61"/>
      <c r="M107" s="62"/>
    </row>
    <row r="108" spans="1:13" ht="35.25" customHeight="1" thickBot="1">
      <c r="A108" s="75" t="s">
        <v>24</v>
      </c>
      <c r="B108" s="77"/>
      <c r="C108" s="75" t="s">
        <v>25</v>
      </c>
      <c r="D108" s="77"/>
      <c r="E108" s="75" t="s">
        <v>26</v>
      </c>
      <c r="F108" s="76"/>
      <c r="G108" s="77"/>
      <c r="H108" s="75" t="s">
        <v>27</v>
      </c>
      <c r="I108" s="77"/>
      <c r="J108" s="78" t="s">
        <v>21</v>
      </c>
      <c r="K108" s="79"/>
      <c r="L108" s="75" t="s">
        <v>22</v>
      </c>
      <c r="M108" s="77"/>
    </row>
    <row r="109" spans="1:13" s="18" customFormat="1" ht="24.75" customHeight="1" thickBot="1">
      <c r="A109" s="99" t="s">
        <v>71</v>
      </c>
      <c r="B109" s="137"/>
      <c r="C109" s="56">
        <v>6</v>
      </c>
      <c r="D109" s="57"/>
      <c r="E109" s="56">
        <v>18</v>
      </c>
      <c r="F109" s="100"/>
      <c r="G109" s="57"/>
      <c r="H109" s="56"/>
      <c r="I109" s="57"/>
      <c r="J109" s="56"/>
      <c r="K109" s="57"/>
      <c r="L109" s="56"/>
      <c r="M109" s="57"/>
    </row>
    <row r="110" spans="1:13" s="18" customFormat="1" ht="24.75" customHeight="1" thickBot="1">
      <c r="A110" s="99" t="s">
        <v>80</v>
      </c>
      <c r="B110" s="98"/>
      <c r="C110" s="56">
        <v>1</v>
      </c>
      <c r="D110" s="57"/>
      <c r="E110" s="56">
        <v>1</v>
      </c>
      <c r="F110" s="100"/>
      <c r="G110" s="57"/>
      <c r="H110" s="56"/>
      <c r="I110" s="57"/>
      <c r="J110" s="56"/>
      <c r="K110" s="57"/>
      <c r="L110" s="56"/>
      <c r="M110" s="57"/>
    </row>
    <row r="111" spans="1:13" ht="33" customHeight="1" thickBot="1">
      <c r="A111" s="112" t="s">
        <v>40</v>
      </c>
      <c r="B111" s="113"/>
      <c r="C111" s="113"/>
      <c r="D111" s="113"/>
      <c r="E111" s="113"/>
      <c r="F111" s="113"/>
      <c r="G111" s="113"/>
      <c r="H111" s="113"/>
      <c r="I111" s="113"/>
      <c r="J111" s="113"/>
      <c r="K111" s="113"/>
      <c r="L111" s="113"/>
      <c r="M111" s="114"/>
    </row>
    <row r="112" spans="1:13" ht="16.5" customHeight="1">
      <c r="A112" s="115" t="s">
        <v>41</v>
      </c>
      <c r="B112" s="116"/>
      <c r="C112" s="116"/>
      <c r="D112" s="116"/>
      <c r="E112" s="116"/>
      <c r="F112" s="116"/>
      <c r="G112" s="116"/>
      <c r="H112" s="116"/>
      <c r="I112" s="116"/>
      <c r="J112" s="116"/>
      <c r="K112" s="116"/>
      <c r="L112" s="116"/>
      <c r="M112" s="117"/>
    </row>
    <row r="113" spans="1:13" ht="16.5" customHeight="1">
      <c r="A113" s="90" t="s">
        <v>28</v>
      </c>
      <c r="B113" s="91"/>
      <c r="C113" s="91"/>
      <c r="D113" s="91"/>
      <c r="E113" s="91"/>
      <c r="F113" s="91"/>
      <c r="G113" s="91"/>
      <c r="H113" s="91"/>
      <c r="I113" s="91"/>
      <c r="J113" s="91"/>
      <c r="K113" s="91"/>
      <c r="L113" s="91"/>
      <c r="M113" s="92"/>
    </row>
    <row r="114" spans="1:13" s="1" customFormat="1" ht="16.5" customHeight="1">
      <c r="A114" s="93" t="s">
        <v>56</v>
      </c>
      <c r="B114" s="94"/>
      <c r="C114" s="94"/>
      <c r="D114" s="94"/>
      <c r="E114" s="94"/>
      <c r="F114" s="94"/>
      <c r="G114" s="94"/>
      <c r="H114" s="94"/>
      <c r="I114" s="94"/>
      <c r="J114" s="94"/>
      <c r="K114" s="94"/>
      <c r="L114" s="94"/>
      <c r="M114" s="95"/>
    </row>
    <row r="115" spans="1:13" s="1" customFormat="1" ht="16.5" customHeight="1">
      <c r="A115" s="93" t="s">
        <v>57</v>
      </c>
      <c r="B115" s="94"/>
      <c r="C115" s="94"/>
      <c r="D115" s="94"/>
      <c r="E115" s="94"/>
      <c r="F115" s="94"/>
      <c r="G115" s="94"/>
      <c r="H115" s="94"/>
      <c r="I115" s="94"/>
      <c r="J115" s="94"/>
      <c r="K115" s="94"/>
      <c r="L115" s="94"/>
      <c r="M115" s="95"/>
    </row>
    <row r="116" spans="1:13" s="1" customFormat="1" ht="16.5" customHeight="1">
      <c r="A116" s="93" t="s">
        <v>58</v>
      </c>
      <c r="B116" s="94"/>
      <c r="C116" s="94"/>
      <c r="D116" s="94"/>
      <c r="E116" s="94"/>
      <c r="F116" s="94"/>
      <c r="G116" s="94"/>
      <c r="H116" s="94"/>
      <c r="I116" s="94"/>
      <c r="J116" s="94"/>
      <c r="K116" s="94"/>
      <c r="L116" s="94"/>
      <c r="M116" s="95"/>
    </row>
    <row r="117" spans="1:13" s="1" customFormat="1" ht="16.5" customHeight="1">
      <c r="A117" s="93" t="s">
        <v>59</v>
      </c>
      <c r="B117" s="94"/>
      <c r="C117" s="94"/>
      <c r="D117" s="94"/>
      <c r="E117" s="94"/>
      <c r="F117" s="94"/>
      <c r="G117" s="94"/>
      <c r="H117" s="94"/>
      <c r="I117" s="94"/>
      <c r="J117" s="94"/>
      <c r="K117" s="94"/>
      <c r="L117" s="94"/>
      <c r="M117" s="95"/>
    </row>
    <row r="118" spans="1:13" ht="16.5" customHeight="1">
      <c r="A118" s="106" t="s">
        <v>29</v>
      </c>
      <c r="B118" s="107"/>
      <c r="C118" s="107"/>
      <c r="D118" s="107"/>
      <c r="E118" s="107"/>
      <c r="F118" s="107"/>
      <c r="G118" s="107"/>
      <c r="H118" s="107"/>
      <c r="I118" s="107"/>
      <c r="J118" s="107"/>
      <c r="K118" s="107"/>
      <c r="L118" s="107"/>
      <c r="M118" s="108"/>
    </row>
    <row r="119" spans="1:13" ht="9.75" customHeight="1" thickBot="1">
      <c r="A119" s="109"/>
      <c r="B119" s="110"/>
      <c r="C119" s="110"/>
      <c r="D119" s="110"/>
      <c r="E119" s="110"/>
      <c r="F119" s="110"/>
      <c r="G119" s="110"/>
      <c r="H119" s="110"/>
      <c r="I119" s="110"/>
      <c r="J119" s="110"/>
      <c r="K119" s="110"/>
      <c r="L119" s="110"/>
      <c r="M119" s="111"/>
    </row>
    <row r="120" spans="1:13" ht="18.75" customHeight="1" thickBot="1">
      <c r="A120" s="72" t="s">
        <v>30</v>
      </c>
      <c r="B120" s="73"/>
      <c r="C120" s="73"/>
      <c r="D120" s="73"/>
      <c r="E120" s="73"/>
      <c r="F120" s="73"/>
      <c r="G120" s="73"/>
      <c r="H120" s="73"/>
      <c r="I120" s="73"/>
      <c r="J120" s="73"/>
      <c r="K120" s="73"/>
      <c r="L120" s="73"/>
      <c r="M120" s="74"/>
    </row>
    <row r="121" spans="1:13" ht="24" customHeight="1" thickBot="1">
      <c r="A121" s="72" t="s">
        <v>31</v>
      </c>
      <c r="B121" s="73"/>
      <c r="C121" s="73"/>
      <c r="D121" s="73"/>
      <c r="E121" s="73"/>
      <c r="F121" s="73"/>
      <c r="G121" s="73"/>
      <c r="H121" s="73"/>
      <c r="I121" s="73"/>
      <c r="J121" s="73"/>
      <c r="K121" s="73"/>
      <c r="L121" s="73"/>
      <c r="M121" s="74"/>
    </row>
    <row r="122" spans="1:13" ht="24" customHeight="1" thickBot="1">
      <c r="A122" s="72" t="s">
        <v>82</v>
      </c>
      <c r="B122" s="73"/>
      <c r="C122" s="73"/>
      <c r="D122" s="73"/>
      <c r="E122" s="73"/>
      <c r="F122" s="73"/>
      <c r="G122" s="73"/>
      <c r="H122" s="73"/>
      <c r="I122" s="73"/>
      <c r="J122" s="73"/>
      <c r="K122" s="73"/>
      <c r="L122" s="73"/>
      <c r="M122" s="74"/>
    </row>
    <row r="123" spans="1:13" ht="24" customHeight="1" thickBot="1">
      <c r="A123" s="60" t="s">
        <v>46</v>
      </c>
      <c r="B123" s="61"/>
      <c r="C123" s="61"/>
      <c r="D123" s="61"/>
      <c r="E123" s="61"/>
      <c r="F123" s="61"/>
      <c r="G123" s="61"/>
      <c r="H123" s="61"/>
      <c r="I123" s="61"/>
      <c r="J123" s="61"/>
      <c r="K123" s="61"/>
      <c r="L123" s="61"/>
      <c r="M123" s="62"/>
    </row>
    <row r="124" spans="1:13" ht="11.1" customHeight="1">
      <c r="A124" s="103" t="s">
        <v>47</v>
      </c>
      <c r="B124" s="103"/>
      <c r="C124" s="103"/>
      <c r="D124" s="103"/>
      <c r="E124" s="103"/>
      <c r="F124" s="103"/>
      <c r="G124" s="103"/>
      <c r="H124" s="103"/>
      <c r="I124" s="103"/>
      <c r="J124" s="103"/>
      <c r="K124" s="103"/>
      <c r="L124" s="103"/>
      <c r="M124" s="103"/>
    </row>
    <row r="125" spans="1:13" ht="11.1" customHeight="1">
      <c r="A125" s="104" t="s">
        <v>48</v>
      </c>
      <c r="B125" s="104"/>
      <c r="C125" s="104"/>
      <c r="D125" s="104"/>
      <c r="E125" s="104"/>
      <c r="F125" s="104"/>
      <c r="G125" s="104"/>
      <c r="H125" s="104"/>
      <c r="I125" s="104"/>
      <c r="J125" s="104"/>
      <c r="K125" s="104"/>
      <c r="L125" s="104"/>
      <c r="M125" s="104"/>
    </row>
    <row r="126" spans="1:13" ht="11.1" customHeight="1">
      <c r="A126" s="105" t="s">
        <v>49</v>
      </c>
      <c r="B126" s="105"/>
      <c r="C126" s="105"/>
      <c r="D126" s="105"/>
      <c r="E126" s="105"/>
      <c r="F126" s="105"/>
      <c r="G126" s="105"/>
      <c r="H126" s="105"/>
      <c r="I126" s="105"/>
      <c r="J126" s="105"/>
      <c r="K126" s="105"/>
      <c r="L126" s="105"/>
      <c r="M126" s="105"/>
    </row>
    <row r="127" spans="1:13" ht="11.1" customHeight="1">
      <c r="A127" s="105" t="s">
        <v>50</v>
      </c>
      <c r="B127" s="105"/>
      <c r="C127" s="105"/>
      <c r="D127" s="105"/>
      <c r="E127" s="105"/>
      <c r="F127" s="105"/>
      <c r="G127" s="105"/>
      <c r="H127" s="105"/>
      <c r="I127" s="105"/>
      <c r="J127" s="105"/>
      <c r="K127" s="105"/>
      <c r="L127" s="105"/>
      <c r="M127" s="105"/>
    </row>
    <row r="128" spans="1:13" ht="11.1" customHeight="1">
      <c r="A128" s="104" t="s">
        <v>51</v>
      </c>
      <c r="B128" s="104"/>
      <c r="C128" s="104"/>
      <c r="D128" s="104"/>
      <c r="E128" s="104"/>
      <c r="F128" s="104"/>
      <c r="G128" s="104"/>
      <c r="H128" s="104"/>
      <c r="I128" s="104"/>
      <c r="J128" s="104"/>
      <c r="K128" s="104"/>
      <c r="L128" s="104"/>
      <c r="M128" s="104"/>
    </row>
    <row r="129" spans="1:15" ht="11.1" customHeight="1">
      <c r="A129" s="104" t="s">
        <v>52</v>
      </c>
      <c r="B129" s="104"/>
      <c r="C129" s="104"/>
      <c r="D129" s="104"/>
      <c r="E129" s="104"/>
      <c r="F129" s="104"/>
      <c r="G129" s="104"/>
      <c r="H129" s="104"/>
      <c r="I129" s="104"/>
      <c r="J129" s="104"/>
      <c r="K129" s="104"/>
      <c r="L129" s="104"/>
      <c r="M129" s="104"/>
    </row>
    <row r="130" spans="1:15" ht="11.1" customHeight="1">
      <c r="A130" s="104" t="s">
        <v>53</v>
      </c>
      <c r="B130" s="104"/>
      <c r="C130" s="104"/>
      <c r="D130" s="104"/>
      <c r="E130" s="104"/>
      <c r="F130" s="104"/>
      <c r="G130" s="104"/>
      <c r="H130" s="104"/>
      <c r="I130" s="104"/>
      <c r="J130" s="104"/>
      <c r="K130" s="104"/>
      <c r="L130" s="104"/>
      <c r="M130" s="104"/>
    </row>
    <row r="131" spans="1:15" ht="11.1" customHeight="1">
      <c r="A131" s="101" t="s">
        <v>54</v>
      </c>
      <c r="B131" s="101"/>
      <c r="C131" s="101"/>
      <c r="D131" s="101"/>
      <c r="E131" s="101"/>
      <c r="F131" s="101"/>
      <c r="G131" s="101"/>
      <c r="H131" s="101"/>
      <c r="I131" s="101"/>
      <c r="J131" s="101"/>
      <c r="K131" s="101"/>
      <c r="L131" s="101"/>
      <c r="M131" s="101"/>
    </row>
    <row r="132" spans="1:15" ht="11.1" customHeight="1">
      <c r="A132" s="101" t="s">
        <v>55</v>
      </c>
      <c r="B132" s="101"/>
      <c r="C132" s="101"/>
      <c r="D132" s="101"/>
      <c r="E132" s="101"/>
      <c r="F132" s="101"/>
      <c r="G132" s="101"/>
      <c r="H132" s="101"/>
      <c r="I132" s="101"/>
      <c r="J132" s="101"/>
      <c r="K132" s="101"/>
      <c r="L132" s="101"/>
      <c r="M132" s="101"/>
    </row>
    <row r="133" spans="1:15" ht="19.5" customHeight="1">
      <c r="A133" s="69" t="s">
        <v>0</v>
      </c>
      <c r="B133" s="69"/>
      <c r="C133" s="69"/>
      <c r="D133" s="69"/>
      <c r="E133" s="69"/>
      <c r="F133" s="69"/>
      <c r="G133" s="69"/>
      <c r="H133" s="69"/>
      <c r="I133" s="69"/>
      <c r="J133" s="69"/>
      <c r="K133" s="69"/>
      <c r="L133" s="69"/>
      <c r="M133" s="69"/>
    </row>
    <row r="134" spans="1:15" ht="20.100000000000001" customHeight="1">
      <c r="A134" s="4" t="s">
        <v>32</v>
      </c>
      <c r="B134" s="5">
        <f>+B90+1</f>
        <v>4</v>
      </c>
      <c r="C134" s="6"/>
      <c r="D134" s="6"/>
      <c r="E134" s="6"/>
      <c r="F134" s="6"/>
      <c r="G134" s="6"/>
      <c r="H134" s="6"/>
      <c r="I134" s="6"/>
      <c r="J134" s="6"/>
      <c r="K134" s="6"/>
      <c r="L134" s="6"/>
      <c r="M134" s="6"/>
    </row>
    <row r="135" spans="1:15" ht="24" customHeight="1" thickBot="1">
      <c r="A135" s="4" t="s">
        <v>33</v>
      </c>
      <c r="H135" s="70" t="s">
        <v>34</v>
      </c>
      <c r="I135" s="70"/>
      <c r="J135" s="70"/>
      <c r="K135" s="102">
        <f>+K91+1</f>
        <v>45930</v>
      </c>
      <c r="L135" s="102"/>
      <c r="M135" s="102"/>
      <c r="O135" s="7"/>
    </row>
    <row r="136" spans="1:15" ht="33.75" customHeight="1" thickBot="1">
      <c r="A136" s="80" t="s">
        <v>1</v>
      </c>
      <c r="B136" s="81"/>
      <c r="C136" s="82"/>
      <c r="D136" s="86" t="str">
        <f>+D92</f>
        <v>光明國中B與C區5樓老舊廁所整修工程</v>
      </c>
      <c r="E136" s="87"/>
      <c r="F136" s="87"/>
      <c r="G136" s="88"/>
      <c r="H136" s="80" t="s">
        <v>2</v>
      </c>
      <c r="I136" s="81"/>
      <c r="J136" s="82"/>
      <c r="K136" s="80" t="s">
        <v>35</v>
      </c>
      <c r="L136" s="81"/>
      <c r="M136" s="82"/>
    </row>
    <row r="137" spans="1:15" ht="33.75" customHeight="1" thickBot="1">
      <c r="A137" s="8" t="s">
        <v>3</v>
      </c>
      <c r="B137" s="9">
        <f>+B93+1</f>
        <v>131</v>
      </c>
      <c r="C137" s="10" t="s">
        <v>36</v>
      </c>
      <c r="D137" s="80" t="s">
        <v>4</v>
      </c>
      <c r="E137" s="89"/>
      <c r="F137" s="11">
        <f>+F93+1</f>
        <v>4</v>
      </c>
      <c r="G137" s="12" t="s">
        <v>36</v>
      </c>
      <c r="H137" s="13" t="s">
        <v>5</v>
      </c>
      <c r="I137" s="9">
        <f>+B137-F137</f>
        <v>127</v>
      </c>
      <c r="J137" s="10" t="s">
        <v>36</v>
      </c>
      <c r="K137" s="80" t="s">
        <v>6</v>
      </c>
      <c r="L137" s="82"/>
      <c r="M137" s="13">
        <v>1</v>
      </c>
    </row>
    <row r="138" spans="1:15" ht="24" customHeight="1" thickBot="1">
      <c r="A138" s="80" t="s">
        <v>7</v>
      </c>
      <c r="B138" s="81"/>
      <c r="C138" s="82"/>
      <c r="D138" s="80" t="str">
        <f>+D94</f>
        <v>114.9.27</v>
      </c>
      <c r="E138" s="81"/>
      <c r="F138" s="81"/>
      <c r="G138" s="82"/>
      <c r="H138" s="80" t="s">
        <v>8</v>
      </c>
      <c r="I138" s="81"/>
      <c r="J138" s="82"/>
      <c r="K138" s="80" t="s">
        <v>75</v>
      </c>
      <c r="L138" s="81"/>
      <c r="M138" s="82"/>
    </row>
    <row r="139" spans="1:15" ht="24" customHeight="1" thickBot="1">
      <c r="A139" s="80" t="s">
        <v>37</v>
      </c>
      <c r="B139" s="81"/>
      <c r="C139" s="82"/>
      <c r="D139" s="83">
        <v>1.6E-2</v>
      </c>
      <c r="E139" s="84"/>
      <c r="F139" s="84"/>
      <c r="G139" s="85"/>
      <c r="H139" s="80" t="s">
        <v>38</v>
      </c>
      <c r="I139" s="81"/>
      <c r="J139" s="82"/>
      <c r="K139" s="83">
        <f>+K95</f>
        <v>5.8000000000000003E-2</v>
      </c>
      <c r="L139" s="84"/>
      <c r="M139" s="85"/>
    </row>
    <row r="140" spans="1:15" ht="24" customHeight="1" thickBot="1">
      <c r="A140" s="72" t="s">
        <v>9</v>
      </c>
      <c r="B140" s="73"/>
      <c r="C140" s="73"/>
      <c r="D140" s="73"/>
      <c r="E140" s="73"/>
      <c r="F140" s="73"/>
      <c r="G140" s="73"/>
      <c r="H140" s="73"/>
      <c r="I140" s="73"/>
      <c r="J140" s="73"/>
      <c r="K140" s="73"/>
      <c r="L140" s="73"/>
      <c r="M140" s="74"/>
    </row>
    <row r="141" spans="1:15" ht="31.5" customHeight="1" thickBot="1">
      <c r="A141" s="75" t="s">
        <v>10</v>
      </c>
      <c r="B141" s="76"/>
      <c r="C141" s="76"/>
      <c r="D141" s="77"/>
      <c r="E141" s="14" t="s">
        <v>11</v>
      </c>
      <c r="F141" s="75" t="s">
        <v>12</v>
      </c>
      <c r="G141" s="77"/>
      <c r="H141" s="75" t="s">
        <v>13</v>
      </c>
      <c r="I141" s="77"/>
      <c r="J141" s="78" t="s">
        <v>14</v>
      </c>
      <c r="K141" s="79"/>
      <c r="L141" s="75" t="s">
        <v>15</v>
      </c>
      <c r="M141" s="77"/>
    </row>
    <row r="142" spans="1:15" ht="27" customHeight="1" thickBot="1">
      <c r="A142" s="63"/>
      <c r="B142" s="64"/>
      <c r="C142" s="64"/>
      <c r="D142" s="65"/>
      <c r="E142" s="2"/>
      <c r="F142" s="56"/>
      <c r="G142" s="57"/>
      <c r="H142" s="56"/>
      <c r="I142" s="57"/>
      <c r="J142" s="56"/>
      <c r="K142" s="57"/>
      <c r="L142" s="58"/>
      <c r="M142" s="59"/>
    </row>
    <row r="143" spans="1:15" ht="27" customHeight="1" thickBot="1">
      <c r="A143" s="123"/>
      <c r="B143" s="124"/>
      <c r="C143" s="124"/>
      <c r="D143" s="125"/>
      <c r="E143" s="15"/>
      <c r="F143" s="126"/>
      <c r="G143" s="127"/>
      <c r="H143" s="126"/>
      <c r="I143" s="127"/>
      <c r="J143" s="126"/>
      <c r="K143" s="127"/>
      <c r="L143" s="128"/>
      <c r="M143" s="129"/>
    </row>
    <row r="144" spans="1:15" ht="24.95" customHeight="1" thickTop="1" thickBot="1">
      <c r="A144" s="130" t="s">
        <v>16</v>
      </c>
      <c r="B144" s="67"/>
      <c r="C144" s="67"/>
      <c r="D144" s="68"/>
      <c r="E144" s="22"/>
      <c r="F144" s="131"/>
      <c r="G144" s="132"/>
      <c r="H144" s="131"/>
      <c r="I144" s="132"/>
      <c r="J144" s="131"/>
      <c r="K144" s="132"/>
      <c r="L144" s="131"/>
      <c r="M144" s="133"/>
    </row>
    <row r="145" spans="1:13" ht="24.95" customHeight="1" thickBot="1">
      <c r="A145" s="134" t="s">
        <v>17</v>
      </c>
      <c r="B145" s="135"/>
      <c r="C145" s="135"/>
      <c r="D145" s="59"/>
      <c r="E145" s="22"/>
      <c r="F145" s="58"/>
      <c r="G145" s="59"/>
      <c r="H145" s="58"/>
      <c r="I145" s="59"/>
      <c r="J145" s="58"/>
      <c r="K145" s="59"/>
      <c r="L145" s="58"/>
      <c r="M145" s="136"/>
    </row>
    <row r="146" spans="1:13" ht="24.95" customHeight="1" thickBot="1">
      <c r="A146" s="118" t="s">
        <v>18</v>
      </c>
      <c r="B146" s="119"/>
      <c r="C146" s="119"/>
      <c r="D146" s="120"/>
      <c r="E146" s="23"/>
      <c r="F146" s="121"/>
      <c r="G146" s="120"/>
      <c r="H146" s="121"/>
      <c r="I146" s="120"/>
      <c r="J146" s="121"/>
      <c r="K146" s="120"/>
      <c r="L146" s="121"/>
      <c r="M146" s="122"/>
    </row>
    <row r="147" spans="1:13" ht="24" customHeight="1" thickTop="1" thickBot="1">
      <c r="A147" s="66" t="s">
        <v>19</v>
      </c>
      <c r="B147" s="67"/>
      <c r="C147" s="67"/>
      <c r="D147" s="67"/>
      <c r="E147" s="67"/>
      <c r="F147" s="67"/>
      <c r="G147" s="67"/>
      <c r="H147" s="67"/>
      <c r="I147" s="67"/>
      <c r="J147" s="67"/>
      <c r="K147" s="67"/>
      <c r="L147" s="67"/>
      <c r="M147" s="68"/>
    </row>
    <row r="148" spans="1:13" ht="27" customHeight="1" thickBot="1">
      <c r="A148" s="75" t="s">
        <v>20</v>
      </c>
      <c r="B148" s="76"/>
      <c r="C148" s="76"/>
      <c r="D148" s="77"/>
      <c r="E148" s="14" t="s">
        <v>11</v>
      </c>
      <c r="F148" s="75" t="s">
        <v>39</v>
      </c>
      <c r="G148" s="77"/>
      <c r="H148" s="75" t="s">
        <v>21</v>
      </c>
      <c r="I148" s="77"/>
      <c r="J148" s="78" t="s">
        <v>22</v>
      </c>
      <c r="K148" s="79"/>
      <c r="L148" s="75" t="s">
        <v>15</v>
      </c>
      <c r="M148" s="77"/>
    </row>
    <row r="149" spans="1:13" ht="24" customHeight="1" thickBot="1">
      <c r="A149" s="96"/>
      <c r="B149" s="97"/>
      <c r="C149" s="97"/>
      <c r="D149" s="98"/>
      <c r="E149" s="16"/>
      <c r="F149" s="58"/>
      <c r="G149" s="59"/>
      <c r="H149" s="58"/>
      <c r="I149" s="59"/>
      <c r="J149" s="56"/>
      <c r="K149" s="57"/>
      <c r="L149" s="58"/>
      <c r="M149" s="59"/>
    </row>
    <row r="150" spans="1:13" ht="24" customHeight="1" thickBot="1">
      <c r="A150" s="96"/>
      <c r="B150" s="97"/>
      <c r="C150" s="97"/>
      <c r="D150" s="98"/>
      <c r="E150" s="16"/>
      <c r="F150" s="58"/>
      <c r="G150" s="59"/>
      <c r="H150" s="58"/>
      <c r="I150" s="59"/>
      <c r="J150" s="56"/>
      <c r="K150" s="57"/>
      <c r="L150" s="58"/>
      <c r="M150" s="59"/>
    </row>
    <row r="151" spans="1:13" ht="24" customHeight="1" thickBot="1">
      <c r="A151" s="60" t="s">
        <v>23</v>
      </c>
      <c r="B151" s="61"/>
      <c r="C151" s="61"/>
      <c r="D151" s="61"/>
      <c r="E151" s="61"/>
      <c r="F151" s="61"/>
      <c r="G151" s="61"/>
      <c r="H151" s="61"/>
      <c r="I151" s="61"/>
      <c r="J151" s="61"/>
      <c r="K151" s="61"/>
      <c r="L151" s="61"/>
      <c r="M151" s="62"/>
    </row>
    <row r="152" spans="1:13" ht="28.5" customHeight="1" thickBot="1">
      <c r="A152" s="75" t="s">
        <v>24</v>
      </c>
      <c r="B152" s="77"/>
      <c r="C152" s="75" t="s">
        <v>25</v>
      </c>
      <c r="D152" s="77"/>
      <c r="E152" s="75" t="s">
        <v>26</v>
      </c>
      <c r="F152" s="76"/>
      <c r="G152" s="77"/>
      <c r="H152" s="75" t="s">
        <v>27</v>
      </c>
      <c r="I152" s="77"/>
      <c r="J152" s="78" t="s">
        <v>21</v>
      </c>
      <c r="K152" s="79"/>
      <c r="L152" s="75" t="s">
        <v>22</v>
      </c>
      <c r="M152" s="77"/>
    </row>
    <row r="153" spans="1:13" s="18" customFormat="1" ht="24.75" customHeight="1" thickBot="1">
      <c r="A153" s="99" t="s">
        <v>109</v>
      </c>
      <c r="B153" s="98"/>
      <c r="C153" s="56">
        <v>0</v>
      </c>
      <c r="D153" s="57"/>
      <c r="E153" s="56">
        <v>2</v>
      </c>
      <c r="F153" s="100"/>
      <c r="G153" s="57"/>
      <c r="H153" s="56"/>
      <c r="I153" s="57"/>
      <c r="J153" s="56"/>
      <c r="K153" s="57"/>
      <c r="L153" s="56"/>
      <c r="M153" s="57"/>
    </row>
    <row r="154" spans="1:13" s="18" customFormat="1" ht="24.75" customHeight="1" thickBot="1">
      <c r="A154" s="99" t="s">
        <v>107</v>
      </c>
      <c r="B154" s="137"/>
      <c r="C154" s="56">
        <v>0</v>
      </c>
      <c r="D154" s="57"/>
      <c r="E154" s="56">
        <v>18</v>
      </c>
      <c r="F154" s="100"/>
      <c r="G154" s="57"/>
      <c r="H154" s="56"/>
      <c r="I154" s="57"/>
      <c r="J154" s="56"/>
      <c r="K154" s="57"/>
      <c r="L154" s="56"/>
      <c r="M154" s="57"/>
    </row>
    <row r="155" spans="1:13" s="18" customFormat="1" ht="24.75" customHeight="1" thickBot="1">
      <c r="A155" s="99" t="s">
        <v>81</v>
      </c>
      <c r="B155" s="98"/>
      <c r="C155" s="56">
        <v>0</v>
      </c>
      <c r="D155" s="57"/>
      <c r="E155" s="56">
        <v>1</v>
      </c>
      <c r="F155" s="100"/>
      <c r="G155" s="57"/>
      <c r="H155" s="56"/>
      <c r="I155" s="57"/>
      <c r="J155" s="56"/>
      <c r="K155" s="57"/>
      <c r="L155" s="56"/>
      <c r="M155" s="57"/>
    </row>
    <row r="156" spans="1:13" ht="30.75" customHeight="1" thickBot="1">
      <c r="A156" s="112" t="s">
        <v>60</v>
      </c>
      <c r="B156" s="113"/>
      <c r="C156" s="113"/>
      <c r="D156" s="113"/>
      <c r="E156" s="113"/>
      <c r="F156" s="113"/>
      <c r="G156" s="113"/>
      <c r="H156" s="113"/>
      <c r="I156" s="113"/>
      <c r="J156" s="113"/>
      <c r="K156" s="113"/>
      <c r="L156" s="113"/>
      <c r="M156" s="114"/>
    </row>
    <row r="157" spans="1:13" ht="16.5" customHeight="1">
      <c r="A157" s="115" t="s">
        <v>41</v>
      </c>
      <c r="B157" s="116"/>
      <c r="C157" s="116"/>
      <c r="D157" s="116"/>
      <c r="E157" s="116"/>
      <c r="F157" s="116"/>
      <c r="G157" s="116"/>
      <c r="H157" s="116"/>
      <c r="I157" s="116"/>
      <c r="J157" s="116"/>
      <c r="K157" s="116"/>
      <c r="L157" s="116"/>
      <c r="M157" s="117"/>
    </row>
    <row r="158" spans="1:13" ht="16.5" customHeight="1">
      <c r="A158" s="90" t="s">
        <v>28</v>
      </c>
      <c r="B158" s="91"/>
      <c r="C158" s="91"/>
      <c r="D158" s="91"/>
      <c r="E158" s="91"/>
      <c r="F158" s="91"/>
      <c r="G158" s="91"/>
      <c r="H158" s="91"/>
      <c r="I158" s="91"/>
      <c r="J158" s="91"/>
      <c r="K158" s="91"/>
      <c r="L158" s="91"/>
      <c r="M158" s="92"/>
    </row>
    <row r="159" spans="1:13" ht="16.5" customHeight="1">
      <c r="A159" s="106" t="s">
        <v>42</v>
      </c>
      <c r="B159" s="107"/>
      <c r="C159" s="107"/>
      <c r="D159" s="107"/>
      <c r="E159" s="107"/>
      <c r="F159" s="107"/>
      <c r="G159" s="107"/>
      <c r="H159" s="107"/>
      <c r="I159" s="107"/>
      <c r="J159" s="107"/>
      <c r="K159" s="107"/>
      <c r="L159" s="107"/>
      <c r="M159" s="108"/>
    </row>
    <row r="160" spans="1:13" ht="16.5" customHeight="1">
      <c r="A160" s="106" t="s">
        <v>43</v>
      </c>
      <c r="B160" s="107"/>
      <c r="C160" s="107"/>
      <c r="D160" s="107"/>
      <c r="E160" s="107"/>
      <c r="F160" s="107"/>
      <c r="G160" s="107"/>
      <c r="H160" s="107"/>
      <c r="I160" s="107"/>
      <c r="J160" s="107"/>
      <c r="K160" s="107"/>
      <c r="L160" s="107"/>
      <c r="M160" s="108"/>
    </row>
    <row r="161" spans="1:13" ht="16.5" customHeight="1">
      <c r="A161" s="106" t="s">
        <v>44</v>
      </c>
      <c r="B161" s="107"/>
      <c r="C161" s="107"/>
      <c r="D161" s="107"/>
      <c r="E161" s="107"/>
      <c r="F161" s="107"/>
      <c r="G161" s="107"/>
      <c r="H161" s="107"/>
      <c r="I161" s="107"/>
      <c r="J161" s="107"/>
      <c r="K161" s="107"/>
      <c r="L161" s="107"/>
      <c r="M161" s="108"/>
    </row>
    <row r="162" spans="1:13" ht="16.5" customHeight="1">
      <c r="A162" s="106" t="s">
        <v>45</v>
      </c>
      <c r="B162" s="107"/>
      <c r="C162" s="107"/>
      <c r="D162" s="107"/>
      <c r="E162" s="107"/>
      <c r="F162" s="107"/>
      <c r="G162" s="107"/>
      <c r="H162" s="107"/>
      <c r="I162" s="107"/>
      <c r="J162" s="107"/>
      <c r="K162" s="107"/>
      <c r="L162" s="107"/>
      <c r="M162" s="108"/>
    </row>
    <row r="163" spans="1:13" ht="16.5" customHeight="1">
      <c r="A163" s="106" t="s">
        <v>29</v>
      </c>
      <c r="B163" s="107"/>
      <c r="C163" s="107"/>
      <c r="D163" s="107"/>
      <c r="E163" s="107"/>
      <c r="F163" s="107"/>
      <c r="G163" s="107"/>
      <c r="H163" s="107"/>
      <c r="I163" s="107"/>
      <c r="J163" s="107"/>
      <c r="K163" s="107"/>
      <c r="L163" s="107"/>
      <c r="M163" s="108"/>
    </row>
    <row r="164" spans="1:13" ht="6" customHeight="1" thickBot="1">
      <c r="A164" s="109"/>
      <c r="B164" s="110"/>
      <c r="C164" s="110"/>
      <c r="D164" s="110"/>
      <c r="E164" s="110"/>
      <c r="F164" s="110"/>
      <c r="G164" s="110"/>
      <c r="H164" s="110"/>
      <c r="I164" s="110"/>
      <c r="J164" s="110"/>
      <c r="K164" s="110"/>
      <c r="L164" s="110"/>
      <c r="M164" s="111"/>
    </row>
    <row r="165" spans="1:13" ht="18.75" customHeight="1" thickBot="1">
      <c r="A165" s="72" t="s">
        <v>30</v>
      </c>
      <c r="B165" s="73"/>
      <c r="C165" s="73"/>
      <c r="D165" s="73"/>
      <c r="E165" s="73"/>
      <c r="F165" s="73"/>
      <c r="G165" s="73"/>
      <c r="H165" s="73"/>
      <c r="I165" s="73"/>
      <c r="J165" s="73"/>
      <c r="K165" s="73"/>
      <c r="L165" s="73"/>
      <c r="M165" s="74"/>
    </row>
    <row r="166" spans="1:13" ht="24" customHeight="1" thickBot="1">
      <c r="A166" s="72" t="s">
        <v>31</v>
      </c>
      <c r="B166" s="73"/>
      <c r="C166" s="73"/>
      <c r="D166" s="73"/>
      <c r="E166" s="73"/>
      <c r="F166" s="73"/>
      <c r="G166" s="73"/>
      <c r="H166" s="73"/>
      <c r="I166" s="73"/>
      <c r="J166" s="73"/>
      <c r="K166" s="73"/>
      <c r="L166" s="73"/>
      <c r="M166" s="74"/>
    </row>
    <row r="167" spans="1:13" ht="31.5" customHeight="1" thickBot="1">
      <c r="A167" s="72" t="s">
        <v>74</v>
      </c>
      <c r="B167" s="73"/>
      <c r="C167" s="73"/>
      <c r="D167" s="73"/>
      <c r="E167" s="73"/>
      <c r="F167" s="73"/>
      <c r="G167" s="73"/>
      <c r="H167" s="73"/>
      <c r="I167" s="73"/>
      <c r="J167" s="73"/>
      <c r="K167" s="73"/>
      <c r="L167" s="73"/>
      <c r="M167" s="74"/>
    </row>
    <row r="168" spans="1:13" ht="24" customHeight="1" thickBot="1">
      <c r="A168" s="60" t="s">
        <v>46</v>
      </c>
      <c r="B168" s="61"/>
      <c r="C168" s="61"/>
      <c r="D168" s="61"/>
      <c r="E168" s="61"/>
      <c r="F168" s="61"/>
      <c r="G168" s="61"/>
      <c r="H168" s="61"/>
      <c r="I168" s="61"/>
      <c r="J168" s="61"/>
      <c r="K168" s="61"/>
      <c r="L168" s="61"/>
      <c r="M168" s="62"/>
    </row>
    <row r="169" spans="1:13" ht="11.1" customHeight="1">
      <c r="A169" s="103" t="s">
        <v>47</v>
      </c>
      <c r="B169" s="103"/>
      <c r="C169" s="103"/>
      <c r="D169" s="103"/>
      <c r="E169" s="103"/>
      <c r="F169" s="103"/>
      <c r="G169" s="103"/>
      <c r="H169" s="103"/>
      <c r="I169" s="103"/>
      <c r="J169" s="103"/>
      <c r="K169" s="103"/>
      <c r="L169" s="103"/>
      <c r="M169" s="103"/>
    </row>
    <row r="170" spans="1:13" ht="11.1" customHeight="1">
      <c r="A170" s="104" t="s">
        <v>48</v>
      </c>
      <c r="B170" s="104"/>
      <c r="C170" s="104"/>
      <c r="D170" s="104"/>
      <c r="E170" s="104"/>
      <c r="F170" s="104"/>
      <c r="G170" s="104"/>
      <c r="H170" s="104"/>
      <c r="I170" s="104"/>
      <c r="J170" s="104"/>
      <c r="K170" s="104"/>
      <c r="L170" s="104"/>
      <c r="M170" s="104"/>
    </row>
    <row r="171" spans="1:13" ht="11.1" customHeight="1">
      <c r="A171" s="105" t="s">
        <v>49</v>
      </c>
      <c r="B171" s="105"/>
      <c r="C171" s="105"/>
      <c r="D171" s="105"/>
      <c r="E171" s="105"/>
      <c r="F171" s="105"/>
      <c r="G171" s="105"/>
      <c r="H171" s="105"/>
      <c r="I171" s="105"/>
      <c r="J171" s="105"/>
      <c r="K171" s="105"/>
      <c r="L171" s="105"/>
      <c r="M171" s="105"/>
    </row>
    <row r="172" spans="1:13" ht="11.1" customHeight="1">
      <c r="A172" s="105" t="s">
        <v>50</v>
      </c>
      <c r="B172" s="105"/>
      <c r="C172" s="105"/>
      <c r="D172" s="105"/>
      <c r="E172" s="105"/>
      <c r="F172" s="105"/>
      <c r="G172" s="105"/>
      <c r="H172" s="105"/>
      <c r="I172" s="105"/>
      <c r="J172" s="105"/>
      <c r="K172" s="105"/>
      <c r="L172" s="105"/>
      <c r="M172" s="105"/>
    </row>
    <row r="173" spans="1:13" ht="11.1" customHeight="1">
      <c r="A173" s="104" t="s">
        <v>51</v>
      </c>
      <c r="B173" s="104"/>
      <c r="C173" s="104"/>
      <c r="D173" s="104"/>
      <c r="E173" s="104"/>
      <c r="F173" s="104"/>
      <c r="G173" s="104"/>
      <c r="H173" s="104"/>
      <c r="I173" s="104"/>
      <c r="J173" s="104"/>
      <c r="K173" s="104"/>
      <c r="L173" s="104"/>
      <c r="M173" s="104"/>
    </row>
    <row r="174" spans="1:13" ht="11.1" customHeight="1">
      <c r="A174" s="104" t="s">
        <v>52</v>
      </c>
      <c r="B174" s="104"/>
      <c r="C174" s="104"/>
      <c r="D174" s="104"/>
      <c r="E174" s="104"/>
      <c r="F174" s="104"/>
      <c r="G174" s="104"/>
      <c r="H174" s="104"/>
      <c r="I174" s="104"/>
      <c r="J174" s="104"/>
      <c r="K174" s="104"/>
      <c r="L174" s="104"/>
      <c r="M174" s="104"/>
    </row>
    <row r="175" spans="1:13" ht="11.1" customHeight="1">
      <c r="A175" s="104" t="s">
        <v>53</v>
      </c>
      <c r="B175" s="104"/>
      <c r="C175" s="104"/>
      <c r="D175" s="104"/>
      <c r="E175" s="104"/>
      <c r="F175" s="104"/>
      <c r="G175" s="104"/>
      <c r="H175" s="104"/>
      <c r="I175" s="104"/>
      <c r="J175" s="104"/>
      <c r="K175" s="104"/>
      <c r="L175" s="104"/>
      <c r="M175" s="104"/>
    </row>
    <row r="176" spans="1:13" ht="11.1" customHeight="1">
      <c r="A176" s="101" t="s">
        <v>54</v>
      </c>
      <c r="B176" s="101"/>
      <c r="C176" s="101"/>
      <c r="D176" s="101"/>
      <c r="E176" s="101"/>
      <c r="F176" s="101"/>
      <c r="G176" s="101"/>
      <c r="H176" s="101"/>
      <c r="I176" s="101"/>
      <c r="J176" s="101"/>
      <c r="K176" s="101"/>
      <c r="L176" s="101"/>
      <c r="M176" s="101"/>
    </row>
    <row r="177" spans="1:13" ht="11.1" customHeight="1">
      <c r="A177" s="101" t="s">
        <v>55</v>
      </c>
      <c r="B177" s="101"/>
      <c r="C177" s="101"/>
      <c r="D177" s="101"/>
      <c r="E177" s="101"/>
      <c r="F177" s="101"/>
      <c r="G177" s="101"/>
      <c r="H177" s="101"/>
      <c r="I177" s="101"/>
      <c r="J177" s="101"/>
      <c r="K177" s="101"/>
      <c r="L177" s="101"/>
      <c r="M177" s="101"/>
    </row>
  </sheetData>
  <mergeCells count="426">
    <mergeCell ref="A177:M177"/>
    <mergeCell ref="A168:M168"/>
    <mergeCell ref="A169:M169"/>
    <mergeCell ref="A170:M170"/>
    <mergeCell ref="A171:M171"/>
    <mergeCell ref="A172:M172"/>
    <mergeCell ref="A173:M173"/>
    <mergeCell ref="A162:M162"/>
    <mergeCell ref="A163:M163"/>
    <mergeCell ref="A164:M164"/>
    <mergeCell ref="A165:M165"/>
    <mergeCell ref="A166:M166"/>
    <mergeCell ref="A167:M167"/>
    <mergeCell ref="A153:B153"/>
    <mergeCell ref="C153:D153"/>
    <mergeCell ref="E153:G153"/>
    <mergeCell ref="H153:I153"/>
    <mergeCell ref="J153:K153"/>
    <mergeCell ref="L153:M153"/>
    <mergeCell ref="A174:M174"/>
    <mergeCell ref="A175:M175"/>
    <mergeCell ref="A176:M176"/>
    <mergeCell ref="A156:M156"/>
    <mergeCell ref="A157:M157"/>
    <mergeCell ref="A158:M158"/>
    <mergeCell ref="A159:M159"/>
    <mergeCell ref="A160:M160"/>
    <mergeCell ref="A161:M161"/>
    <mergeCell ref="A154:B154"/>
    <mergeCell ref="C154:D154"/>
    <mergeCell ref="E154:G154"/>
    <mergeCell ref="H154:I154"/>
    <mergeCell ref="J154:K154"/>
    <mergeCell ref="L154:M154"/>
    <mergeCell ref="A155:B155"/>
    <mergeCell ref="C155:D155"/>
    <mergeCell ref="E155:G155"/>
    <mergeCell ref="A148:D148"/>
    <mergeCell ref="F148:G148"/>
    <mergeCell ref="H148:I148"/>
    <mergeCell ref="J148:K148"/>
    <mergeCell ref="L148:M148"/>
    <mergeCell ref="A149:D149"/>
    <mergeCell ref="F149:G149"/>
    <mergeCell ref="H149:I149"/>
    <mergeCell ref="J149:K149"/>
    <mergeCell ref="L149:M149"/>
    <mergeCell ref="A152:B152"/>
    <mergeCell ref="C152:D152"/>
    <mergeCell ref="E152:G152"/>
    <mergeCell ref="H152:I152"/>
    <mergeCell ref="J152:K152"/>
    <mergeCell ref="L152:M152"/>
    <mergeCell ref="A150:D150"/>
    <mergeCell ref="F150:G150"/>
    <mergeCell ref="H150:I150"/>
    <mergeCell ref="J150:K150"/>
    <mergeCell ref="L150:M150"/>
    <mergeCell ref="A151:M151"/>
    <mergeCell ref="A147:M147"/>
    <mergeCell ref="A144:D144"/>
    <mergeCell ref="F144:G144"/>
    <mergeCell ref="H144:I144"/>
    <mergeCell ref="J144:K144"/>
    <mergeCell ref="L144:M144"/>
    <mergeCell ref="A145:D145"/>
    <mergeCell ref="F145:G145"/>
    <mergeCell ref="H145:I145"/>
    <mergeCell ref="J145:K145"/>
    <mergeCell ref="L145:M145"/>
    <mergeCell ref="A136:C136"/>
    <mergeCell ref="D136:G136"/>
    <mergeCell ref="H136:J136"/>
    <mergeCell ref="K136:M136"/>
    <mergeCell ref="D137:E137"/>
    <mergeCell ref="K137:L137"/>
    <mergeCell ref="A146:D146"/>
    <mergeCell ref="F146:G146"/>
    <mergeCell ref="H146:I146"/>
    <mergeCell ref="J146:K146"/>
    <mergeCell ref="L146:M146"/>
    <mergeCell ref="A142:D142"/>
    <mergeCell ref="F142:G142"/>
    <mergeCell ref="H142:I142"/>
    <mergeCell ref="J142:K142"/>
    <mergeCell ref="L142:M142"/>
    <mergeCell ref="A143:D143"/>
    <mergeCell ref="F143:G143"/>
    <mergeCell ref="H143:I143"/>
    <mergeCell ref="J143:K143"/>
    <mergeCell ref="L143:M143"/>
    <mergeCell ref="A140:M140"/>
    <mergeCell ref="A141:D141"/>
    <mergeCell ref="F141:G141"/>
    <mergeCell ref="H141:I141"/>
    <mergeCell ref="J141:K141"/>
    <mergeCell ref="L141:M141"/>
    <mergeCell ref="A138:C138"/>
    <mergeCell ref="D138:G138"/>
    <mergeCell ref="H138:J138"/>
    <mergeCell ref="K138:M138"/>
    <mergeCell ref="A139:C139"/>
    <mergeCell ref="D139:G139"/>
    <mergeCell ref="H139:J139"/>
    <mergeCell ref="K139:M139"/>
    <mergeCell ref="A132:M132"/>
    <mergeCell ref="A133:M133"/>
    <mergeCell ref="H135:J135"/>
    <mergeCell ref="K135:M135"/>
    <mergeCell ref="A123:M123"/>
    <mergeCell ref="A124:M124"/>
    <mergeCell ref="A125:M125"/>
    <mergeCell ref="A126:M126"/>
    <mergeCell ref="A127:M127"/>
    <mergeCell ref="A128:M128"/>
    <mergeCell ref="A109:B109"/>
    <mergeCell ref="C109:D109"/>
    <mergeCell ref="E109:G109"/>
    <mergeCell ref="H109:I109"/>
    <mergeCell ref="J109:K109"/>
    <mergeCell ref="L109:M109"/>
    <mergeCell ref="A129:M129"/>
    <mergeCell ref="A130:M130"/>
    <mergeCell ref="A131:M131"/>
    <mergeCell ref="A117:M117"/>
    <mergeCell ref="A118:M118"/>
    <mergeCell ref="A119:M119"/>
    <mergeCell ref="A120:M120"/>
    <mergeCell ref="A121:M121"/>
    <mergeCell ref="A122:M122"/>
    <mergeCell ref="A111:M111"/>
    <mergeCell ref="A112:M112"/>
    <mergeCell ref="A113:M113"/>
    <mergeCell ref="A114:M114"/>
    <mergeCell ref="A115:M115"/>
    <mergeCell ref="A116:M116"/>
    <mergeCell ref="A110:B110"/>
    <mergeCell ref="C110:D110"/>
    <mergeCell ref="E110:G110"/>
    <mergeCell ref="H110:I110"/>
    <mergeCell ref="J110:K110"/>
    <mergeCell ref="L110:M110"/>
    <mergeCell ref="A104:D104"/>
    <mergeCell ref="F104:G104"/>
    <mergeCell ref="H104:I104"/>
    <mergeCell ref="J104:K104"/>
    <mergeCell ref="L104:M104"/>
    <mergeCell ref="A105:D105"/>
    <mergeCell ref="F105:G105"/>
    <mergeCell ref="H105:I105"/>
    <mergeCell ref="J105:K105"/>
    <mergeCell ref="L105:M105"/>
    <mergeCell ref="A108:B108"/>
    <mergeCell ref="C108:D108"/>
    <mergeCell ref="E108:G108"/>
    <mergeCell ref="H108:I108"/>
    <mergeCell ref="J108:K108"/>
    <mergeCell ref="L108:M108"/>
    <mergeCell ref="A106:D106"/>
    <mergeCell ref="F106:G106"/>
    <mergeCell ref="H106:I106"/>
    <mergeCell ref="J106:K106"/>
    <mergeCell ref="L106:M106"/>
    <mergeCell ref="A107:M107"/>
    <mergeCell ref="A103:M103"/>
    <mergeCell ref="A100:D100"/>
    <mergeCell ref="F100:G100"/>
    <mergeCell ref="H100:I100"/>
    <mergeCell ref="J100:K100"/>
    <mergeCell ref="L100:M100"/>
    <mergeCell ref="A101:D101"/>
    <mergeCell ref="F101:G101"/>
    <mergeCell ref="H101:I101"/>
    <mergeCell ref="J101:K101"/>
    <mergeCell ref="L101:M101"/>
    <mergeCell ref="A92:C92"/>
    <mergeCell ref="D92:G92"/>
    <mergeCell ref="H92:J92"/>
    <mergeCell ref="K92:M92"/>
    <mergeCell ref="D93:E93"/>
    <mergeCell ref="K93:L93"/>
    <mergeCell ref="A102:D102"/>
    <mergeCell ref="F102:G102"/>
    <mergeCell ref="H102:I102"/>
    <mergeCell ref="J102:K102"/>
    <mergeCell ref="L102:M102"/>
    <mergeCell ref="A98:D98"/>
    <mergeCell ref="F98:G98"/>
    <mergeCell ref="H98:I98"/>
    <mergeCell ref="J98:K98"/>
    <mergeCell ref="L98:M98"/>
    <mergeCell ref="A99:D99"/>
    <mergeCell ref="F99:G99"/>
    <mergeCell ref="H99:I99"/>
    <mergeCell ref="J99:K99"/>
    <mergeCell ref="L99:M99"/>
    <mergeCell ref="A96:M96"/>
    <mergeCell ref="A97:D97"/>
    <mergeCell ref="F97:G97"/>
    <mergeCell ref="H97:I97"/>
    <mergeCell ref="J97:K97"/>
    <mergeCell ref="L97:M97"/>
    <mergeCell ref="A94:C94"/>
    <mergeCell ref="D94:G94"/>
    <mergeCell ref="H94:J94"/>
    <mergeCell ref="K94:M94"/>
    <mergeCell ref="A95:C95"/>
    <mergeCell ref="D95:G95"/>
    <mergeCell ref="H95:J95"/>
    <mergeCell ref="K95:M95"/>
    <mergeCell ref="A88:M88"/>
    <mergeCell ref="A89:M89"/>
    <mergeCell ref="H91:J91"/>
    <mergeCell ref="K91:M91"/>
    <mergeCell ref="A79:M79"/>
    <mergeCell ref="A80:M80"/>
    <mergeCell ref="A81:M81"/>
    <mergeCell ref="A82:M82"/>
    <mergeCell ref="A83:M83"/>
    <mergeCell ref="A84:M84"/>
    <mergeCell ref="A65:B65"/>
    <mergeCell ref="C65:D65"/>
    <mergeCell ref="E65:G65"/>
    <mergeCell ref="H65:I65"/>
    <mergeCell ref="J65:K65"/>
    <mergeCell ref="L65:M65"/>
    <mergeCell ref="A85:M85"/>
    <mergeCell ref="A86:M86"/>
    <mergeCell ref="A87:M87"/>
    <mergeCell ref="A73:M73"/>
    <mergeCell ref="A74:M74"/>
    <mergeCell ref="A75:M75"/>
    <mergeCell ref="A76:M76"/>
    <mergeCell ref="A77:M77"/>
    <mergeCell ref="A78:M78"/>
    <mergeCell ref="A67:M67"/>
    <mergeCell ref="A68:M68"/>
    <mergeCell ref="A69:M69"/>
    <mergeCell ref="A70:M70"/>
    <mergeCell ref="A71:M71"/>
    <mergeCell ref="A72:M72"/>
    <mergeCell ref="A66:B66"/>
    <mergeCell ref="C66:D66"/>
    <mergeCell ref="E66:G66"/>
    <mergeCell ref="H66:I66"/>
    <mergeCell ref="J66:K66"/>
    <mergeCell ref="L66:M66"/>
    <mergeCell ref="A60:D60"/>
    <mergeCell ref="F60:G60"/>
    <mergeCell ref="H60:I60"/>
    <mergeCell ref="J60:K60"/>
    <mergeCell ref="L60:M60"/>
    <mergeCell ref="A61:D61"/>
    <mergeCell ref="F61:G61"/>
    <mergeCell ref="H61:I61"/>
    <mergeCell ref="J61:K61"/>
    <mergeCell ref="L61:M61"/>
    <mergeCell ref="A64:B64"/>
    <mergeCell ref="C64:D64"/>
    <mergeCell ref="E64:G64"/>
    <mergeCell ref="H64:I64"/>
    <mergeCell ref="J64:K64"/>
    <mergeCell ref="L64:M64"/>
    <mergeCell ref="A62:D62"/>
    <mergeCell ref="F62:G62"/>
    <mergeCell ref="H62:I62"/>
    <mergeCell ref="J62:K62"/>
    <mergeCell ref="L62:M62"/>
    <mergeCell ref="A63:M63"/>
    <mergeCell ref="A59:M59"/>
    <mergeCell ref="A56:D56"/>
    <mergeCell ref="F56:G56"/>
    <mergeCell ref="H56:I56"/>
    <mergeCell ref="J56:K56"/>
    <mergeCell ref="L56:M56"/>
    <mergeCell ref="A57:D57"/>
    <mergeCell ref="F57:G57"/>
    <mergeCell ref="H57:I57"/>
    <mergeCell ref="J57:K57"/>
    <mergeCell ref="L57:M57"/>
    <mergeCell ref="A48:C48"/>
    <mergeCell ref="D48:G48"/>
    <mergeCell ref="H48:J48"/>
    <mergeCell ref="K48:M48"/>
    <mergeCell ref="D49:E49"/>
    <mergeCell ref="K49:L49"/>
    <mergeCell ref="A58:D58"/>
    <mergeCell ref="F58:G58"/>
    <mergeCell ref="H58:I58"/>
    <mergeCell ref="J58:K58"/>
    <mergeCell ref="L58:M58"/>
    <mergeCell ref="A54:D54"/>
    <mergeCell ref="F54:G54"/>
    <mergeCell ref="H54:I54"/>
    <mergeCell ref="J54:K54"/>
    <mergeCell ref="L54:M54"/>
    <mergeCell ref="A55:D55"/>
    <mergeCell ref="F55:G55"/>
    <mergeCell ref="H55:I55"/>
    <mergeCell ref="J55:K55"/>
    <mergeCell ref="L55:M55"/>
    <mergeCell ref="A52:M52"/>
    <mergeCell ref="A53:D53"/>
    <mergeCell ref="F53:G53"/>
    <mergeCell ref="H53:I53"/>
    <mergeCell ref="J53:K53"/>
    <mergeCell ref="L53:M53"/>
    <mergeCell ref="A50:C50"/>
    <mergeCell ref="D50:G50"/>
    <mergeCell ref="H50:J50"/>
    <mergeCell ref="K50:M50"/>
    <mergeCell ref="A51:C51"/>
    <mergeCell ref="D51:G51"/>
    <mergeCell ref="H51:J51"/>
    <mergeCell ref="K51:M51"/>
    <mergeCell ref="A22:B22"/>
    <mergeCell ref="C22:D22"/>
    <mergeCell ref="E22:G22"/>
    <mergeCell ref="A44:M44"/>
    <mergeCell ref="A45:M45"/>
    <mergeCell ref="H47:J47"/>
    <mergeCell ref="K47:M47"/>
    <mergeCell ref="A35:M35"/>
    <mergeCell ref="A36:M36"/>
    <mergeCell ref="A37:M37"/>
    <mergeCell ref="A38:M38"/>
    <mergeCell ref="A39:M39"/>
    <mergeCell ref="A40:M40"/>
    <mergeCell ref="A41:M41"/>
    <mergeCell ref="A42:M42"/>
    <mergeCell ref="A43:M43"/>
    <mergeCell ref="A29:M29"/>
    <mergeCell ref="A30:M30"/>
    <mergeCell ref="A31:M31"/>
    <mergeCell ref="A32:M32"/>
    <mergeCell ref="A33:M33"/>
    <mergeCell ref="A34:M34"/>
    <mergeCell ref="A23:M23"/>
    <mergeCell ref="A24:M24"/>
    <mergeCell ref="L20:M20"/>
    <mergeCell ref="A18:D18"/>
    <mergeCell ref="F18:G18"/>
    <mergeCell ref="H18:I18"/>
    <mergeCell ref="J18:K18"/>
    <mergeCell ref="L18:M18"/>
    <mergeCell ref="A21:B21"/>
    <mergeCell ref="C21:D21"/>
    <mergeCell ref="E21:G21"/>
    <mergeCell ref="H21:I21"/>
    <mergeCell ref="J21:K21"/>
    <mergeCell ref="L21:M21"/>
    <mergeCell ref="C20:D20"/>
    <mergeCell ref="E20:G20"/>
    <mergeCell ref="H20:I20"/>
    <mergeCell ref="J20:K20"/>
    <mergeCell ref="A25:M25"/>
    <mergeCell ref="A26:M26"/>
    <mergeCell ref="A27:M27"/>
    <mergeCell ref="A28:M28"/>
    <mergeCell ref="F12:G12"/>
    <mergeCell ref="H12:I12"/>
    <mergeCell ref="J12:K12"/>
    <mergeCell ref="L12:M12"/>
    <mergeCell ref="A13:D13"/>
    <mergeCell ref="F13:G13"/>
    <mergeCell ref="H22:I22"/>
    <mergeCell ref="J22:K22"/>
    <mergeCell ref="L22:M22"/>
    <mergeCell ref="A16:D16"/>
    <mergeCell ref="F16:G16"/>
    <mergeCell ref="H16:I16"/>
    <mergeCell ref="J16:K16"/>
    <mergeCell ref="L16:M16"/>
    <mergeCell ref="A17:D17"/>
    <mergeCell ref="F17:G17"/>
    <mergeCell ref="H17:I17"/>
    <mergeCell ref="J17:K17"/>
    <mergeCell ref="L17:M17"/>
    <mergeCell ref="A20:B20"/>
    <mergeCell ref="A1:M1"/>
    <mergeCell ref="H3:J3"/>
    <mergeCell ref="K3:M3"/>
    <mergeCell ref="A8:M8"/>
    <mergeCell ref="A9:D9"/>
    <mergeCell ref="F9:G9"/>
    <mergeCell ref="H9:I9"/>
    <mergeCell ref="J9:K9"/>
    <mergeCell ref="L9:M9"/>
    <mergeCell ref="A6:C6"/>
    <mergeCell ref="D6:G6"/>
    <mergeCell ref="H6:J6"/>
    <mergeCell ref="K6:M6"/>
    <mergeCell ref="A7:C7"/>
    <mergeCell ref="D7:G7"/>
    <mergeCell ref="H7:J7"/>
    <mergeCell ref="K7:M7"/>
    <mergeCell ref="A4:C4"/>
    <mergeCell ref="D4:G4"/>
    <mergeCell ref="H4:J4"/>
    <mergeCell ref="K4:M4"/>
    <mergeCell ref="D5:E5"/>
    <mergeCell ref="K5:L5"/>
    <mergeCell ref="H155:I155"/>
    <mergeCell ref="J155:K155"/>
    <mergeCell ref="L155:M155"/>
    <mergeCell ref="H13:I13"/>
    <mergeCell ref="J13:K13"/>
    <mergeCell ref="L13:M13"/>
    <mergeCell ref="A19:M19"/>
    <mergeCell ref="A10:D10"/>
    <mergeCell ref="F10:G10"/>
    <mergeCell ref="H10:I10"/>
    <mergeCell ref="J10:K10"/>
    <mergeCell ref="L10:M10"/>
    <mergeCell ref="A11:D11"/>
    <mergeCell ref="F11:G11"/>
    <mergeCell ref="H11:I11"/>
    <mergeCell ref="J11:K11"/>
    <mergeCell ref="L11:M11"/>
    <mergeCell ref="A14:D14"/>
    <mergeCell ref="F14:G14"/>
    <mergeCell ref="H14:I14"/>
    <mergeCell ref="J14:K14"/>
    <mergeCell ref="L14:M14"/>
    <mergeCell ref="A15:M15"/>
    <mergeCell ref="A12:D12"/>
  </mergeCells>
  <phoneticPr fontId="5" type="noConversion"/>
  <printOptions horizontalCentered="1"/>
  <pageMargins left="0.55118110236220474" right="0.31496062992125984" top="0.47244094488188981" bottom="0.11811023622047245" header="0.31496062992125984" footer="0.31496062992125984"/>
  <pageSetup paperSize="9" scale="90" orientation="portrait" horizontalDpi="300" r:id="rId1"/>
</worksheet>
</file>

<file path=xl/worksheets/sheet2.xml><?xml version="1.0" encoding="utf-8"?>
<worksheet xmlns="http://schemas.openxmlformats.org/spreadsheetml/2006/main" xmlns:r="http://schemas.openxmlformats.org/officeDocument/2006/relationships">
  <dimension ref="A1:O1365"/>
  <sheetViews>
    <sheetView topLeftCell="A794" zoomScale="110" zoomScaleNormal="110" workbookViewId="0">
      <selection activeCell="A802" sqref="A802:D802"/>
    </sheetView>
  </sheetViews>
  <sheetFormatPr defaultColWidth="9" defaultRowHeight="16.5"/>
  <cols>
    <col min="1" max="1" width="10.375" style="3" customWidth="1"/>
    <col min="2" max="2" width="9" style="3"/>
    <col min="3" max="3" width="3.875" style="3" customWidth="1"/>
    <col min="4" max="4" width="10.5" style="3" customWidth="1"/>
    <col min="5" max="5" width="6.75" style="3" customWidth="1"/>
    <col min="6" max="6" width="7.5" style="3" customWidth="1"/>
    <col min="7" max="7" width="8" style="3" customWidth="1"/>
    <col min="8" max="8" width="10.125" style="3" customWidth="1"/>
    <col min="9" max="9" width="6" style="3" customWidth="1"/>
    <col min="10" max="10" width="3.25" style="3" customWidth="1"/>
    <col min="11" max="11" width="10.375" style="3" customWidth="1"/>
    <col min="12" max="12" width="4.625" style="3" customWidth="1"/>
    <col min="13" max="13" width="9.375" style="3" customWidth="1"/>
    <col min="14" max="16384" width="9" style="3"/>
  </cols>
  <sheetData>
    <row r="1" spans="1:15" ht="19.5" customHeight="1">
      <c r="A1" s="69" t="s">
        <v>0</v>
      </c>
      <c r="B1" s="69"/>
      <c r="C1" s="69"/>
      <c r="D1" s="69"/>
      <c r="E1" s="69"/>
      <c r="F1" s="69"/>
      <c r="G1" s="69"/>
      <c r="H1" s="69"/>
      <c r="I1" s="69"/>
      <c r="J1" s="69"/>
      <c r="K1" s="69"/>
      <c r="L1" s="69"/>
      <c r="M1" s="69"/>
    </row>
    <row r="2" spans="1:15" ht="20.100000000000001" customHeight="1">
      <c r="A2" s="4" t="s">
        <v>32</v>
      </c>
      <c r="B2" s="5">
        <f>+'9月'!B134+1</f>
        <v>5</v>
      </c>
      <c r="C2" s="25"/>
      <c r="D2" s="25"/>
      <c r="E2" s="25"/>
      <c r="F2" s="25"/>
      <c r="G2" s="25"/>
      <c r="H2" s="25"/>
      <c r="I2" s="25"/>
      <c r="J2" s="25"/>
      <c r="K2" s="25"/>
      <c r="L2" s="25"/>
      <c r="M2" s="25"/>
    </row>
    <row r="3" spans="1:15" ht="24" customHeight="1" thickBot="1">
      <c r="A3" s="4" t="s">
        <v>33</v>
      </c>
      <c r="H3" s="70" t="s">
        <v>34</v>
      </c>
      <c r="I3" s="70"/>
      <c r="J3" s="70"/>
      <c r="K3" s="71">
        <v>45931</v>
      </c>
      <c r="L3" s="71"/>
      <c r="M3" s="71"/>
      <c r="O3" s="7"/>
    </row>
    <row r="4" spans="1:15" ht="33.75" customHeight="1" thickBot="1">
      <c r="A4" s="80" t="s">
        <v>1</v>
      </c>
      <c r="B4" s="81"/>
      <c r="C4" s="82"/>
      <c r="D4" s="86" t="s">
        <v>63</v>
      </c>
      <c r="E4" s="87"/>
      <c r="F4" s="87"/>
      <c r="G4" s="88"/>
      <c r="H4" s="80" t="s">
        <v>2</v>
      </c>
      <c r="I4" s="81"/>
      <c r="J4" s="82"/>
      <c r="K4" s="80" t="s">
        <v>35</v>
      </c>
      <c r="L4" s="81"/>
      <c r="M4" s="82"/>
    </row>
    <row r="5" spans="1:15" ht="33.75" customHeight="1" thickBot="1">
      <c r="A5" s="8" t="s">
        <v>3</v>
      </c>
      <c r="B5" s="26">
        <f>+'9月'!B137+1</f>
        <v>132</v>
      </c>
      <c r="C5" s="10" t="s">
        <v>36</v>
      </c>
      <c r="D5" s="80" t="s">
        <v>4</v>
      </c>
      <c r="E5" s="89"/>
      <c r="F5" s="27">
        <f>+'9月'!F137+1</f>
        <v>5</v>
      </c>
      <c r="G5" s="12" t="s">
        <v>36</v>
      </c>
      <c r="H5" s="13" t="s">
        <v>5</v>
      </c>
      <c r="I5" s="26">
        <f>+B5-F5</f>
        <v>127</v>
      </c>
      <c r="J5" s="10" t="s">
        <v>36</v>
      </c>
      <c r="K5" s="80" t="s">
        <v>6</v>
      </c>
      <c r="L5" s="82"/>
      <c r="M5" s="13">
        <f>+'9月'!M137+1</f>
        <v>2</v>
      </c>
    </row>
    <row r="6" spans="1:15" ht="24" customHeight="1" thickBot="1">
      <c r="A6" s="80" t="s">
        <v>7</v>
      </c>
      <c r="B6" s="81"/>
      <c r="C6" s="82"/>
      <c r="D6" s="80" t="str">
        <f>+'9月'!D138:G138</f>
        <v>114.9.27</v>
      </c>
      <c r="E6" s="81"/>
      <c r="F6" s="81"/>
      <c r="G6" s="82"/>
      <c r="H6" s="80" t="s">
        <v>8</v>
      </c>
      <c r="I6" s="81"/>
      <c r="J6" s="82"/>
      <c r="K6" s="80" t="s">
        <v>83</v>
      </c>
      <c r="L6" s="81"/>
      <c r="M6" s="82"/>
    </row>
    <row r="7" spans="1:15" ht="24" customHeight="1" thickBot="1">
      <c r="A7" s="80" t="s">
        <v>37</v>
      </c>
      <c r="B7" s="81"/>
      <c r="C7" s="82"/>
      <c r="D7" s="83">
        <v>1.7999999999999999E-2</v>
      </c>
      <c r="E7" s="84"/>
      <c r="F7" s="84"/>
      <c r="G7" s="85"/>
      <c r="H7" s="80" t="s">
        <v>38</v>
      </c>
      <c r="I7" s="81"/>
      <c r="J7" s="82"/>
      <c r="K7" s="83">
        <f>+'9月'!K139:M139</f>
        <v>5.8000000000000003E-2</v>
      </c>
      <c r="L7" s="84"/>
      <c r="M7" s="85"/>
    </row>
    <row r="8" spans="1:15" ht="24" customHeight="1" thickBot="1">
      <c r="A8" s="72" t="s">
        <v>9</v>
      </c>
      <c r="B8" s="73"/>
      <c r="C8" s="73"/>
      <c r="D8" s="73"/>
      <c r="E8" s="73"/>
      <c r="F8" s="73"/>
      <c r="G8" s="73"/>
      <c r="H8" s="73"/>
      <c r="I8" s="73"/>
      <c r="J8" s="73"/>
      <c r="K8" s="73"/>
      <c r="L8" s="73"/>
      <c r="M8" s="74"/>
    </row>
    <row r="9" spans="1:15" ht="35.25" customHeight="1" thickBot="1">
      <c r="A9" s="75" t="s">
        <v>10</v>
      </c>
      <c r="B9" s="76"/>
      <c r="C9" s="76"/>
      <c r="D9" s="77"/>
      <c r="E9" s="14" t="s">
        <v>11</v>
      </c>
      <c r="F9" s="75" t="s">
        <v>12</v>
      </c>
      <c r="G9" s="77"/>
      <c r="H9" s="75" t="s">
        <v>13</v>
      </c>
      <c r="I9" s="77"/>
      <c r="J9" s="78" t="s">
        <v>14</v>
      </c>
      <c r="K9" s="79"/>
      <c r="L9" s="75" t="s">
        <v>15</v>
      </c>
      <c r="M9" s="77"/>
    </row>
    <row r="10" spans="1:15" ht="27" customHeight="1" thickBot="1">
      <c r="A10" s="63"/>
      <c r="B10" s="64"/>
      <c r="C10" s="64"/>
      <c r="D10" s="65"/>
      <c r="E10" s="2"/>
      <c r="F10" s="56"/>
      <c r="G10" s="57"/>
      <c r="H10" s="56"/>
      <c r="I10" s="57"/>
      <c r="J10" s="56"/>
      <c r="K10" s="57"/>
      <c r="L10" s="58"/>
      <c r="M10" s="59"/>
    </row>
    <row r="11" spans="1:15" ht="27" customHeight="1" thickBot="1">
      <c r="A11" s="123"/>
      <c r="B11" s="124"/>
      <c r="C11" s="124"/>
      <c r="D11" s="125"/>
      <c r="E11" s="15"/>
      <c r="F11" s="126"/>
      <c r="G11" s="127"/>
      <c r="H11" s="126"/>
      <c r="I11" s="127"/>
      <c r="J11" s="126"/>
      <c r="K11" s="127"/>
      <c r="L11" s="128"/>
      <c r="M11" s="129"/>
    </row>
    <row r="12" spans="1:15" ht="24.95" customHeight="1" thickTop="1" thickBot="1">
      <c r="A12" s="130" t="s">
        <v>16</v>
      </c>
      <c r="B12" s="67"/>
      <c r="C12" s="67"/>
      <c r="D12" s="68"/>
      <c r="E12" s="28"/>
      <c r="F12" s="131"/>
      <c r="G12" s="132"/>
      <c r="H12" s="131"/>
      <c r="I12" s="132"/>
      <c r="J12" s="131"/>
      <c r="K12" s="132"/>
      <c r="L12" s="131"/>
      <c r="M12" s="133"/>
    </row>
    <row r="13" spans="1:15" ht="24.95" customHeight="1" thickBot="1">
      <c r="A13" s="134" t="s">
        <v>17</v>
      </c>
      <c r="B13" s="135"/>
      <c r="C13" s="135"/>
      <c r="D13" s="59"/>
      <c r="E13" s="28"/>
      <c r="F13" s="58"/>
      <c r="G13" s="59"/>
      <c r="H13" s="58"/>
      <c r="I13" s="59"/>
      <c r="J13" s="58"/>
      <c r="K13" s="59"/>
      <c r="L13" s="58"/>
      <c r="M13" s="136"/>
    </row>
    <row r="14" spans="1:15" ht="24.95" customHeight="1" thickBot="1">
      <c r="A14" s="118" t="s">
        <v>18</v>
      </c>
      <c r="B14" s="119"/>
      <c r="C14" s="119"/>
      <c r="D14" s="120"/>
      <c r="E14" s="24"/>
      <c r="F14" s="121"/>
      <c r="G14" s="120"/>
      <c r="H14" s="121"/>
      <c r="I14" s="120"/>
      <c r="J14" s="121"/>
      <c r="K14" s="120"/>
      <c r="L14" s="121"/>
      <c r="M14" s="122"/>
    </row>
    <row r="15" spans="1:15" ht="24" customHeight="1" thickTop="1" thickBot="1">
      <c r="A15" s="66" t="s">
        <v>19</v>
      </c>
      <c r="B15" s="67"/>
      <c r="C15" s="67"/>
      <c r="D15" s="67"/>
      <c r="E15" s="67"/>
      <c r="F15" s="67"/>
      <c r="G15" s="67"/>
      <c r="H15" s="67"/>
      <c r="I15" s="67"/>
      <c r="J15" s="67"/>
      <c r="K15" s="67"/>
      <c r="L15" s="67"/>
      <c r="M15" s="68"/>
    </row>
    <row r="16" spans="1:15" ht="35.25" customHeight="1" thickBot="1">
      <c r="A16" s="75" t="s">
        <v>20</v>
      </c>
      <c r="B16" s="76"/>
      <c r="C16" s="76"/>
      <c r="D16" s="77"/>
      <c r="E16" s="14" t="s">
        <v>11</v>
      </c>
      <c r="F16" s="75" t="s">
        <v>39</v>
      </c>
      <c r="G16" s="77"/>
      <c r="H16" s="75" t="s">
        <v>21</v>
      </c>
      <c r="I16" s="77"/>
      <c r="J16" s="78" t="s">
        <v>22</v>
      </c>
      <c r="K16" s="79"/>
      <c r="L16" s="75" t="s">
        <v>15</v>
      </c>
      <c r="M16" s="77"/>
    </row>
    <row r="17" spans="1:13" ht="24" customHeight="1" thickBot="1">
      <c r="A17" s="96"/>
      <c r="B17" s="97"/>
      <c r="C17" s="97"/>
      <c r="D17" s="98"/>
      <c r="E17" s="28"/>
      <c r="F17" s="58"/>
      <c r="G17" s="59"/>
      <c r="H17" s="58"/>
      <c r="I17" s="59"/>
      <c r="J17" s="56"/>
      <c r="K17" s="57"/>
      <c r="L17" s="58"/>
      <c r="M17" s="59"/>
    </row>
    <row r="18" spans="1:13" ht="24" customHeight="1" thickBot="1">
      <c r="A18" s="96"/>
      <c r="B18" s="97"/>
      <c r="C18" s="97"/>
      <c r="D18" s="98"/>
      <c r="E18" s="28"/>
      <c r="F18" s="58"/>
      <c r="G18" s="59"/>
      <c r="H18" s="58"/>
      <c r="I18" s="59"/>
      <c r="J18" s="56"/>
      <c r="K18" s="57"/>
      <c r="L18" s="58"/>
      <c r="M18" s="59"/>
    </row>
    <row r="19" spans="1:13" ht="24" customHeight="1" thickBot="1">
      <c r="A19" s="60" t="s">
        <v>23</v>
      </c>
      <c r="B19" s="61"/>
      <c r="C19" s="61"/>
      <c r="D19" s="61"/>
      <c r="E19" s="61"/>
      <c r="F19" s="61"/>
      <c r="G19" s="61"/>
      <c r="H19" s="61"/>
      <c r="I19" s="61"/>
      <c r="J19" s="61"/>
      <c r="K19" s="61"/>
      <c r="L19" s="61"/>
      <c r="M19" s="62"/>
    </row>
    <row r="20" spans="1:13" ht="35.25" customHeight="1" thickBot="1">
      <c r="A20" s="75" t="s">
        <v>24</v>
      </c>
      <c r="B20" s="77"/>
      <c r="C20" s="75" t="s">
        <v>25</v>
      </c>
      <c r="D20" s="77"/>
      <c r="E20" s="75" t="s">
        <v>26</v>
      </c>
      <c r="F20" s="76"/>
      <c r="G20" s="77"/>
      <c r="H20" s="75" t="s">
        <v>27</v>
      </c>
      <c r="I20" s="77"/>
      <c r="J20" s="78" t="s">
        <v>21</v>
      </c>
      <c r="K20" s="79"/>
      <c r="L20" s="75" t="s">
        <v>22</v>
      </c>
      <c r="M20" s="77"/>
    </row>
    <row r="21" spans="1:13" s="18" customFormat="1" ht="24.75" customHeight="1" thickBot="1">
      <c r="A21" s="99"/>
      <c r="B21" s="98"/>
      <c r="C21" s="56"/>
      <c r="D21" s="57"/>
      <c r="E21" s="56"/>
      <c r="F21" s="100"/>
      <c r="G21" s="57"/>
      <c r="H21" s="56"/>
      <c r="I21" s="57"/>
      <c r="J21" s="56"/>
      <c r="K21" s="57"/>
      <c r="L21" s="56"/>
      <c r="M21" s="57"/>
    </row>
    <row r="22" spans="1:13" s="18" customFormat="1" ht="25.5" customHeight="1" thickBot="1">
      <c r="A22" s="99"/>
      <c r="B22" s="98"/>
      <c r="C22" s="56"/>
      <c r="D22" s="57"/>
      <c r="E22" s="56"/>
      <c r="F22" s="100"/>
      <c r="G22" s="57"/>
      <c r="H22" s="56"/>
      <c r="I22" s="57"/>
      <c r="J22" s="56"/>
      <c r="K22" s="57"/>
      <c r="L22" s="56"/>
      <c r="M22" s="57"/>
    </row>
    <row r="23" spans="1:13" ht="33" customHeight="1" thickBot="1">
      <c r="A23" s="112" t="s">
        <v>60</v>
      </c>
      <c r="B23" s="113"/>
      <c r="C23" s="113"/>
      <c r="D23" s="113"/>
      <c r="E23" s="113"/>
      <c r="F23" s="113"/>
      <c r="G23" s="113"/>
      <c r="H23" s="113"/>
      <c r="I23" s="113"/>
      <c r="J23" s="113"/>
      <c r="K23" s="113"/>
      <c r="L23" s="113"/>
      <c r="M23" s="114"/>
    </row>
    <row r="24" spans="1:13" ht="16.5" customHeight="1">
      <c r="A24" s="115" t="s">
        <v>41</v>
      </c>
      <c r="B24" s="116"/>
      <c r="C24" s="116"/>
      <c r="D24" s="116"/>
      <c r="E24" s="116"/>
      <c r="F24" s="116"/>
      <c r="G24" s="116"/>
      <c r="H24" s="116"/>
      <c r="I24" s="116"/>
      <c r="J24" s="116"/>
      <c r="K24" s="116"/>
      <c r="L24" s="116"/>
      <c r="M24" s="117"/>
    </row>
    <row r="25" spans="1:13" ht="16.5" customHeight="1">
      <c r="A25" s="90" t="s">
        <v>28</v>
      </c>
      <c r="B25" s="91"/>
      <c r="C25" s="91"/>
      <c r="D25" s="91"/>
      <c r="E25" s="91"/>
      <c r="F25" s="91"/>
      <c r="G25" s="91"/>
      <c r="H25" s="91"/>
      <c r="I25" s="91"/>
      <c r="J25" s="91"/>
      <c r="K25" s="91"/>
      <c r="L25" s="91"/>
      <c r="M25" s="92"/>
    </row>
    <row r="26" spans="1:13" ht="16.5" customHeight="1">
      <c r="A26" s="106" t="s">
        <v>42</v>
      </c>
      <c r="B26" s="107"/>
      <c r="C26" s="107"/>
      <c r="D26" s="107"/>
      <c r="E26" s="107"/>
      <c r="F26" s="107"/>
      <c r="G26" s="107"/>
      <c r="H26" s="107"/>
      <c r="I26" s="107"/>
      <c r="J26" s="107"/>
      <c r="K26" s="107"/>
      <c r="L26" s="107"/>
      <c r="M26" s="108"/>
    </row>
    <row r="27" spans="1:13" ht="16.5" customHeight="1">
      <c r="A27" s="106" t="s">
        <v>43</v>
      </c>
      <c r="B27" s="107"/>
      <c r="C27" s="107"/>
      <c r="D27" s="107"/>
      <c r="E27" s="107"/>
      <c r="F27" s="107"/>
      <c r="G27" s="107"/>
      <c r="H27" s="107"/>
      <c r="I27" s="107"/>
      <c r="J27" s="107"/>
      <c r="K27" s="107"/>
      <c r="L27" s="107"/>
      <c r="M27" s="108"/>
    </row>
    <row r="28" spans="1:13" ht="16.5" customHeight="1">
      <c r="A28" s="106" t="s">
        <v>44</v>
      </c>
      <c r="B28" s="107"/>
      <c r="C28" s="107"/>
      <c r="D28" s="107"/>
      <c r="E28" s="107"/>
      <c r="F28" s="107"/>
      <c r="G28" s="107"/>
      <c r="H28" s="107"/>
      <c r="I28" s="107"/>
      <c r="J28" s="107"/>
      <c r="K28" s="107"/>
      <c r="L28" s="107"/>
      <c r="M28" s="108"/>
    </row>
    <row r="29" spans="1:13" ht="16.5" customHeight="1">
      <c r="A29" s="106" t="s">
        <v>45</v>
      </c>
      <c r="B29" s="107"/>
      <c r="C29" s="107"/>
      <c r="D29" s="107"/>
      <c r="E29" s="107"/>
      <c r="F29" s="107"/>
      <c r="G29" s="107"/>
      <c r="H29" s="107"/>
      <c r="I29" s="107"/>
      <c r="J29" s="107"/>
      <c r="K29" s="107"/>
      <c r="L29" s="107"/>
      <c r="M29" s="108"/>
    </row>
    <row r="30" spans="1:13" ht="16.5" customHeight="1">
      <c r="A30" s="106" t="s">
        <v>29</v>
      </c>
      <c r="B30" s="107"/>
      <c r="C30" s="107"/>
      <c r="D30" s="107"/>
      <c r="E30" s="107"/>
      <c r="F30" s="107"/>
      <c r="G30" s="107"/>
      <c r="H30" s="107"/>
      <c r="I30" s="107"/>
      <c r="J30" s="107"/>
      <c r="K30" s="107"/>
      <c r="L30" s="107"/>
      <c r="M30" s="108"/>
    </row>
    <row r="31" spans="1:13" ht="9.75" customHeight="1" thickBot="1">
      <c r="A31" s="109"/>
      <c r="B31" s="110"/>
      <c r="C31" s="110"/>
      <c r="D31" s="110"/>
      <c r="E31" s="110"/>
      <c r="F31" s="110"/>
      <c r="G31" s="110"/>
      <c r="H31" s="110"/>
      <c r="I31" s="110"/>
      <c r="J31" s="110"/>
      <c r="K31" s="110"/>
      <c r="L31" s="110"/>
      <c r="M31" s="111"/>
    </row>
    <row r="32" spans="1:13" ht="18.75" customHeight="1" thickBot="1">
      <c r="A32" s="72" t="s">
        <v>30</v>
      </c>
      <c r="B32" s="73"/>
      <c r="C32" s="73"/>
      <c r="D32" s="73"/>
      <c r="E32" s="73"/>
      <c r="F32" s="73"/>
      <c r="G32" s="73"/>
      <c r="H32" s="73"/>
      <c r="I32" s="73"/>
      <c r="J32" s="73"/>
      <c r="K32" s="73"/>
      <c r="L32" s="73"/>
      <c r="M32" s="74"/>
    </row>
    <row r="33" spans="1:15" ht="24" customHeight="1" thickBot="1">
      <c r="A33" s="72" t="s">
        <v>31</v>
      </c>
      <c r="B33" s="73"/>
      <c r="C33" s="73"/>
      <c r="D33" s="73"/>
      <c r="E33" s="73"/>
      <c r="F33" s="73"/>
      <c r="G33" s="73"/>
      <c r="H33" s="73"/>
      <c r="I33" s="73"/>
      <c r="J33" s="73"/>
      <c r="K33" s="73"/>
      <c r="L33" s="73"/>
      <c r="M33" s="74"/>
    </row>
    <row r="34" spans="1:15" ht="31.5" customHeight="1" thickBot="1">
      <c r="A34" s="72" t="s">
        <v>74</v>
      </c>
      <c r="B34" s="73"/>
      <c r="C34" s="73"/>
      <c r="D34" s="73"/>
      <c r="E34" s="73"/>
      <c r="F34" s="73"/>
      <c r="G34" s="73"/>
      <c r="H34" s="73"/>
      <c r="I34" s="73"/>
      <c r="J34" s="73"/>
      <c r="K34" s="73"/>
      <c r="L34" s="73"/>
      <c r="M34" s="74"/>
    </row>
    <row r="35" spans="1:15" ht="24" customHeight="1" thickBot="1">
      <c r="A35" s="60" t="s">
        <v>46</v>
      </c>
      <c r="B35" s="61"/>
      <c r="C35" s="61"/>
      <c r="D35" s="61"/>
      <c r="E35" s="61"/>
      <c r="F35" s="61"/>
      <c r="G35" s="61"/>
      <c r="H35" s="61"/>
      <c r="I35" s="61"/>
      <c r="J35" s="61"/>
      <c r="K35" s="61"/>
      <c r="L35" s="61"/>
      <c r="M35" s="62"/>
    </row>
    <row r="36" spans="1:15" ht="11.1" customHeight="1">
      <c r="A36" s="103" t="s">
        <v>47</v>
      </c>
      <c r="B36" s="103"/>
      <c r="C36" s="103"/>
      <c r="D36" s="103"/>
      <c r="E36" s="103"/>
      <c r="F36" s="103"/>
      <c r="G36" s="103"/>
      <c r="H36" s="103"/>
      <c r="I36" s="103"/>
      <c r="J36" s="103"/>
      <c r="K36" s="103"/>
      <c r="L36" s="103"/>
      <c r="M36" s="103"/>
    </row>
    <row r="37" spans="1:15" ht="11.1" customHeight="1">
      <c r="A37" s="104" t="s">
        <v>48</v>
      </c>
      <c r="B37" s="104"/>
      <c r="C37" s="104"/>
      <c r="D37" s="104"/>
      <c r="E37" s="104"/>
      <c r="F37" s="104"/>
      <c r="G37" s="104"/>
      <c r="H37" s="104"/>
      <c r="I37" s="104"/>
      <c r="J37" s="104"/>
      <c r="K37" s="104"/>
      <c r="L37" s="104"/>
      <c r="M37" s="104"/>
    </row>
    <row r="38" spans="1:15" ht="11.1" customHeight="1">
      <c r="A38" s="105" t="s">
        <v>49</v>
      </c>
      <c r="B38" s="105"/>
      <c r="C38" s="105"/>
      <c r="D38" s="105"/>
      <c r="E38" s="105"/>
      <c r="F38" s="105"/>
      <c r="G38" s="105"/>
      <c r="H38" s="105"/>
      <c r="I38" s="105"/>
      <c r="J38" s="105"/>
      <c r="K38" s="105"/>
      <c r="L38" s="105"/>
      <c r="M38" s="105"/>
    </row>
    <row r="39" spans="1:15" ht="11.1" customHeight="1">
      <c r="A39" s="105" t="s">
        <v>50</v>
      </c>
      <c r="B39" s="105"/>
      <c r="C39" s="105"/>
      <c r="D39" s="105"/>
      <c r="E39" s="105"/>
      <c r="F39" s="105"/>
      <c r="G39" s="105"/>
      <c r="H39" s="105"/>
      <c r="I39" s="105"/>
      <c r="J39" s="105"/>
      <c r="K39" s="105"/>
      <c r="L39" s="105"/>
      <c r="M39" s="105"/>
    </row>
    <row r="40" spans="1:15" ht="11.1" customHeight="1">
      <c r="A40" s="104" t="s">
        <v>51</v>
      </c>
      <c r="B40" s="104"/>
      <c r="C40" s="104"/>
      <c r="D40" s="104"/>
      <c r="E40" s="104"/>
      <c r="F40" s="104"/>
      <c r="G40" s="104"/>
      <c r="H40" s="104"/>
      <c r="I40" s="104"/>
      <c r="J40" s="104"/>
      <c r="K40" s="104"/>
      <c r="L40" s="104"/>
      <c r="M40" s="104"/>
    </row>
    <row r="41" spans="1:15" ht="11.1" customHeight="1">
      <c r="A41" s="104" t="s">
        <v>52</v>
      </c>
      <c r="B41" s="104"/>
      <c r="C41" s="104"/>
      <c r="D41" s="104"/>
      <c r="E41" s="104"/>
      <c r="F41" s="104"/>
      <c r="G41" s="104"/>
      <c r="H41" s="104"/>
      <c r="I41" s="104"/>
      <c r="J41" s="104"/>
      <c r="K41" s="104"/>
      <c r="L41" s="104"/>
      <c r="M41" s="104"/>
    </row>
    <row r="42" spans="1:15" ht="11.1" customHeight="1">
      <c r="A42" s="104" t="s">
        <v>53</v>
      </c>
      <c r="B42" s="104"/>
      <c r="C42" s="104"/>
      <c r="D42" s="104"/>
      <c r="E42" s="104"/>
      <c r="F42" s="104"/>
      <c r="G42" s="104"/>
      <c r="H42" s="104"/>
      <c r="I42" s="104"/>
      <c r="J42" s="104"/>
      <c r="K42" s="104"/>
      <c r="L42" s="104"/>
      <c r="M42" s="104"/>
    </row>
    <row r="43" spans="1:15" ht="11.1" customHeight="1">
      <c r="A43" s="101" t="s">
        <v>54</v>
      </c>
      <c r="B43" s="101"/>
      <c r="C43" s="101"/>
      <c r="D43" s="101"/>
      <c r="E43" s="101"/>
      <c r="F43" s="101"/>
      <c r="G43" s="101"/>
      <c r="H43" s="101"/>
      <c r="I43" s="101"/>
      <c r="J43" s="101"/>
      <c r="K43" s="101"/>
      <c r="L43" s="101"/>
      <c r="M43" s="101"/>
    </row>
    <row r="44" spans="1:15" ht="11.1" customHeight="1">
      <c r="A44" s="101" t="s">
        <v>55</v>
      </c>
      <c r="B44" s="101"/>
      <c r="C44" s="101"/>
      <c r="D44" s="101"/>
      <c r="E44" s="101"/>
      <c r="F44" s="101"/>
      <c r="G44" s="101"/>
      <c r="H44" s="101"/>
      <c r="I44" s="101"/>
      <c r="J44" s="101"/>
      <c r="K44" s="101"/>
      <c r="L44" s="101"/>
      <c r="M44" s="101"/>
    </row>
    <row r="45" spans="1:15" ht="19.5" customHeight="1">
      <c r="A45" s="69" t="s">
        <v>0</v>
      </c>
      <c r="B45" s="69"/>
      <c r="C45" s="69"/>
      <c r="D45" s="69"/>
      <c r="E45" s="69"/>
      <c r="F45" s="69"/>
      <c r="G45" s="69"/>
      <c r="H45" s="69"/>
      <c r="I45" s="69"/>
      <c r="J45" s="69"/>
      <c r="K45" s="69"/>
      <c r="L45" s="69"/>
      <c r="M45" s="69"/>
    </row>
    <row r="46" spans="1:15" ht="20.100000000000001" customHeight="1">
      <c r="A46" s="4" t="s">
        <v>32</v>
      </c>
      <c r="B46" s="5">
        <f>+B2+1</f>
        <v>6</v>
      </c>
      <c r="C46" s="25"/>
      <c r="D46" s="25"/>
      <c r="E46" s="25"/>
      <c r="F46" s="25"/>
      <c r="G46" s="25"/>
      <c r="H46" s="25"/>
      <c r="I46" s="25"/>
      <c r="J46" s="25"/>
      <c r="K46" s="25"/>
      <c r="L46" s="25"/>
      <c r="M46" s="25"/>
    </row>
    <row r="47" spans="1:15" ht="24" customHeight="1" thickBot="1">
      <c r="A47" s="4" t="s">
        <v>33</v>
      </c>
      <c r="H47" s="70" t="s">
        <v>34</v>
      </c>
      <c r="I47" s="70"/>
      <c r="J47" s="70"/>
      <c r="K47" s="102">
        <f>+K3+1</f>
        <v>45932</v>
      </c>
      <c r="L47" s="102"/>
      <c r="M47" s="102"/>
      <c r="O47" s="7"/>
    </row>
    <row r="48" spans="1:15" ht="33.75" customHeight="1" thickBot="1">
      <c r="A48" s="80" t="s">
        <v>1</v>
      </c>
      <c r="B48" s="81"/>
      <c r="C48" s="82"/>
      <c r="D48" s="86" t="str">
        <f>+D4</f>
        <v>光明國中B與C區5樓老舊廁所整修工程</v>
      </c>
      <c r="E48" s="87"/>
      <c r="F48" s="87"/>
      <c r="G48" s="88"/>
      <c r="H48" s="80" t="s">
        <v>2</v>
      </c>
      <c r="I48" s="81"/>
      <c r="J48" s="82"/>
      <c r="K48" s="80" t="s">
        <v>35</v>
      </c>
      <c r="L48" s="81"/>
      <c r="M48" s="82"/>
    </row>
    <row r="49" spans="1:13" ht="33.75" customHeight="1" thickBot="1">
      <c r="A49" s="8" t="s">
        <v>3</v>
      </c>
      <c r="B49" s="26">
        <f>+B5+1</f>
        <v>133</v>
      </c>
      <c r="C49" s="10" t="s">
        <v>36</v>
      </c>
      <c r="D49" s="80" t="s">
        <v>4</v>
      </c>
      <c r="E49" s="89"/>
      <c r="F49" s="27">
        <f>+F5+1</f>
        <v>6</v>
      </c>
      <c r="G49" s="12" t="s">
        <v>36</v>
      </c>
      <c r="H49" s="13" t="s">
        <v>5</v>
      </c>
      <c r="I49" s="26">
        <f>+B49-F49</f>
        <v>127</v>
      </c>
      <c r="J49" s="10" t="s">
        <v>36</v>
      </c>
      <c r="K49" s="80" t="s">
        <v>6</v>
      </c>
      <c r="L49" s="82"/>
      <c r="M49" s="13">
        <f>+M5+1</f>
        <v>3</v>
      </c>
    </row>
    <row r="50" spans="1:13" ht="24" customHeight="1" thickBot="1">
      <c r="A50" s="80" t="s">
        <v>7</v>
      </c>
      <c r="B50" s="81"/>
      <c r="C50" s="82"/>
      <c r="D50" s="80" t="str">
        <f>+D6</f>
        <v>114.9.27</v>
      </c>
      <c r="E50" s="81"/>
      <c r="F50" s="81"/>
      <c r="G50" s="82"/>
      <c r="H50" s="80" t="s">
        <v>8</v>
      </c>
      <c r="I50" s="81"/>
      <c r="J50" s="82"/>
      <c r="K50" s="80" t="s">
        <v>76</v>
      </c>
      <c r="L50" s="81"/>
      <c r="M50" s="82"/>
    </row>
    <row r="51" spans="1:13" ht="24" customHeight="1" thickBot="1">
      <c r="A51" s="80" t="s">
        <v>37</v>
      </c>
      <c r="B51" s="81"/>
      <c r="C51" s="82"/>
      <c r="D51" s="83">
        <v>0.02</v>
      </c>
      <c r="E51" s="84"/>
      <c r="F51" s="84"/>
      <c r="G51" s="85"/>
      <c r="H51" s="80" t="s">
        <v>38</v>
      </c>
      <c r="I51" s="81"/>
      <c r="J51" s="82"/>
      <c r="K51" s="83">
        <f>+K7</f>
        <v>5.8000000000000003E-2</v>
      </c>
      <c r="L51" s="84"/>
      <c r="M51" s="85"/>
    </row>
    <row r="52" spans="1:13" ht="24" customHeight="1" thickBot="1">
      <c r="A52" s="72" t="s">
        <v>9</v>
      </c>
      <c r="B52" s="73"/>
      <c r="C52" s="73"/>
      <c r="D52" s="73"/>
      <c r="E52" s="73"/>
      <c r="F52" s="73"/>
      <c r="G52" s="73"/>
      <c r="H52" s="73"/>
      <c r="I52" s="73"/>
      <c r="J52" s="73"/>
      <c r="K52" s="73"/>
      <c r="L52" s="73"/>
      <c r="M52" s="74"/>
    </row>
    <row r="53" spans="1:13" ht="35.25" customHeight="1" thickBot="1">
      <c r="A53" s="75" t="s">
        <v>10</v>
      </c>
      <c r="B53" s="76"/>
      <c r="C53" s="76"/>
      <c r="D53" s="77"/>
      <c r="E53" s="14" t="s">
        <v>11</v>
      </c>
      <c r="F53" s="75" t="s">
        <v>12</v>
      </c>
      <c r="G53" s="77"/>
      <c r="H53" s="75" t="s">
        <v>13</v>
      </c>
      <c r="I53" s="77"/>
      <c r="J53" s="78" t="s">
        <v>14</v>
      </c>
      <c r="K53" s="79"/>
      <c r="L53" s="75" t="s">
        <v>15</v>
      </c>
      <c r="M53" s="77"/>
    </row>
    <row r="54" spans="1:13" ht="27" customHeight="1" thickBot="1">
      <c r="A54" s="63"/>
      <c r="B54" s="64"/>
      <c r="C54" s="64"/>
      <c r="D54" s="65"/>
      <c r="E54" s="2"/>
      <c r="F54" s="56"/>
      <c r="G54" s="57"/>
      <c r="H54" s="56"/>
      <c r="I54" s="57"/>
      <c r="J54" s="56"/>
      <c r="K54" s="57"/>
      <c r="L54" s="58"/>
      <c r="M54" s="59"/>
    </row>
    <row r="55" spans="1:13" ht="27" customHeight="1" thickBot="1">
      <c r="A55" s="123"/>
      <c r="B55" s="124"/>
      <c r="C55" s="124"/>
      <c r="D55" s="125"/>
      <c r="E55" s="15"/>
      <c r="F55" s="126"/>
      <c r="G55" s="127"/>
      <c r="H55" s="126"/>
      <c r="I55" s="127"/>
      <c r="J55" s="126"/>
      <c r="K55" s="127"/>
      <c r="L55" s="128"/>
      <c r="M55" s="129"/>
    </row>
    <row r="56" spans="1:13" ht="24.95" customHeight="1" thickTop="1" thickBot="1">
      <c r="A56" s="130" t="s">
        <v>16</v>
      </c>
      <c r="B56" s="67"/>
      <c r="C56" s="67"/>
      <c r="D56" s="68"/>
      <c r="E56" s="28"/>
      <c r="F56" s="131"/>
      <c r="G56" s="132"/>
      <c r="H56" s="131"/>
      <c r="I56" s="132"/>
      <c r="J56" s="131"/>
      <c r="K56" s="132"/>
      <c r="L56" s="131"/>
      <c r="M56" s="133"/>
    </row>
    <row r="57" spans="1:13" ht="24.95" customHeight="1" thickBot="1">
      <c r="A57" s="134" t="s">
        <v>17</v>
      </c>
      <c r="B57" s="135"/>
      <c r="C57" s="135"/>
      <c r="D57" s="59"/>
      <c r="E57" s="28"/>
      <c r="F57" s="58"/>
      <c r="G57" s="59"/>
      <c r="H57" s="58"/>
      <c r="I57" s="59"/>
      <c r="J57" s="58"/>
      <c r="K57" s="59"/>
      <c r="L57" s="58"/>
      <c r="M57" s="136"/>
    </row>
    <row r="58" spans="1:13" ht="24.95" customHeight="1" thickBot="1">
      <c r="A58" s="118" t="s">
        <v>18</v>
      </c>
      <c r="B58" s="119"/>
      <c r="C58" s="119"/>
      <c r="D58" s="120"/>
      <c r="E58" s="24"/>
      <c r="F58" s="121"/>
      <c r="G58" s="120"/>
      <c r="H58" s="121"/>
      <c r="I58" s="120"/>
      <c r="J58" s="121"/>
      <c r="K58" s="120"/>
      <c r="L58" s="121"/>
      <c r="M58" s="122"/>
    </row>
    <row r="59" spans="1:13" ht="24" customHeight="1" thickTop="1" thickBot="1">
      <c r="A59" s="66" t="s">
        <v>19</v>
      </c>
      <c r="B59" s="67"/>
      <c r="C59" s="67"/>
      <c r="D59" s="67"/>
      <c r="E59" s="67"/>
      <c r="F59" s="67"/>
      <c r="G59" s="67"/>
      <c r="H59" s="67"/>
      <c r="I59" s="67"/>
      <c r="J59" s="67"/>
      <c r="K59" s="67"/>
      <c r="L59" s="67"/>
      <c r="M59" s="68"/>
    </row>
    <row r="60" spans="1:13" ht="35.25" customHeight="1" thickBot="1">
      <c r="A60" s="75" t="s">
        <v>20</v>
      </c>
      <c r="B60" s="76"/>
      <c r="C60" s="76"/>
      <c r="D60" s="77"/>
      <c r="E60" s="14" t="s">
        <v>11</v>
      </c>
      <c r="F60" s="75" t="s">
        <v>39</v>
      </c>
      <c r="G60" s="77"/>
      <c r="H60" s="75" t="s">
        <v>21</v>
      </c>
      <c r="I60" s="77"/>
      <c r="J60" s="78" t="s">
        <v>22</v>
      </c>
      <c r="K60" s="79"/>
      <c r="L60" s="75" t="s">
        <v>15</v>
      </c>
      <c r="M60" s="77"/>
    </row>
    <row r="61" spans="1:13" ht="24" customHeight="1" thickBot="1">
      <c r="A61" s="96"/>
      <c r="B61" s="97"/>
      <c r="C61" s="97"/>
      <c r="D61" s="98"/>
      <c r="E61" s="28"/>
      <c r="F61" s="58"/>
      <c r="G61" s="59"/>
      <c r="H61" s="58"/>
      <c r="I61" s="59"/>
      <c r="J61" s="56"/>
      <c r="K61" s="57"/>
      <c r="L61" s="58"/>
      <c r="M61" s="59"/>
    </row>
    <row r="62" spans="1:13" ht="24" customHeight="1" thickBot="1">
      <c r="A62" s="96"/>
      <c r="B62" s="97"/>
      <c r="C62" s="97"/>
      <c r="D62" s="98"/>
      <c r="E62" s="28"/>
      <c r="F62" s="58"/>
      <c r="G62" s="59"/>
      <c r="H62" s="58"/>
      <c r="I62" s="59"/>
      <c r="J62" s="56"/>
      <c r="K62" s="57"/>
      <c r="L62" s="58"/>
      <c r="M62" s="59"/>
    </row>
    <row r="63" spans="1:13" ht="24" customHeight="1" thickBot="1">
      <c r="A63" s="60" t="s">
        <v>23</v>
      </c>
      <c r="B63" s="61"/>
      <c r="C63" s="61"/>
      <c r="D63" s="61"/>
      <c r="E63" s="61"/>
      <c r="F63" s="61"/>
      <c r="G63" s="61"/>
      <c r="H63" s="61"/>
      <c r="I63" s="61"/>
      <c r="J63" s="61"/>
      <c r="K63" s="61"/>
      <c r="L63" s="61"/>
      <c r="M63" s="62"/>
    </row>
    <row r="64" spans="1:13" ht="35.25" customHeight="1" thickBot="1">
      <c r="A64" s="75" t="s">
        <v>24</v>
      </c>
      <c r="B64" s="77"/>
      <c r="C64" s="75" t="s">
        <v>25</v>
      </c>
      <c r="D64" s="77"/>
      <c r="E64" s="75" t="s">
        <v>26</v>
      </c>
      <c r="F64" s="76"/>
      <c r="G64" s="77"/>
      <c r="H64" s="75" t="s">
        <v>27</v>
      </c>
      <c r="I64" s="77"/>
      <c r="J64" s="78" t="s">
        <v>21</v>
      </c>
      <c r="K64" s="79"/>
      <c r="L64" s="75" t="s">
        <v>22</v>
      </c>
      <c r="M64" s="77"/>
    </row>
    <row r="65" spans="1:13" s="18" customFormat="1" ht="24.75" customHeight="1" thickBot="1">
      <c r="A65" s="99"/>
      <c r="B65" s="137"/>
      <c r="C65" s="56"/>
      <c r="D65" s="57"/>
      <c r="E65" s="56"/>
      <c r="F65" s="100"/>
      <c r="G65" s="57"/>
      <c r="H65" s="56"/>
      <c r="I65" s="57"/>
      <c r="J65" s="56"/>
      <c r="K65" s="57"/>
      <c r="L65" s="56"/>
      <c r="M65" s="57"/>
    </row>
    <row r="66" spans="1:13" s="18" customFormat="1" ht="24.75" customHeight="1" thickBot="1">
      <c r="A66" s="99"/>
      <c r="B66" s="137"/>
      <c r="C66" s="56"/>
      <c r="D66" s="57"/>
      <c r="E66" s="56"/>
      <c r="F66" s="100"/>
      <c r="G66" s="57"/>
      <c r="H66" s="56"/>
      <c r="I66" s="57"/>
      <c r="J66" s="56"/>
      <c r="K66" s="57"/>
      <c r="L66" s="56"/>
      <c r="M66" s="57"/>
    </row>
    <row r="67" spans="1:13" ht="33" customHeight="1" thickBot="1">
      <c r="A67" s="112" t="s">
        <v>60</v>
      </c>
      <c r="B67" s="113"/>
      <c r="C67" s="113"/>
      <c r="D67" s="113"/>
      <c r="E67" s="113"/>
      <c r="F67" s="113"/>
      <c r="G67" s="113"/>
      <c r="H67" s="113"/>
      <c r="I67" s="113"/>
      <c r="J67" s="113"/>
      <c r="K67" s="113"/>
      <c r="L67" s="113"/>
      <c r="M67" s="114"/>
    </row>
    <row r="68" spans="1:13" ht="16.5" customHeight="1">
      <c r="A68" s="115" t="s">
        <v>41</v>
      </c>
      <c r="B68" s="116"/>
      <c r="C68" s="116"/>
      <c r="D68" s="116"/>
      <c r="E68" s="116"/>
      <c r="F68" s="116"/>
      <c r="G68" s="116"/>
      <c r="H68" s="116"/>
      <c r="I68" s="116"/>
      <c r="J68" s="116"/>
      <c r="K68" s="116"/>
      <c r="L68" s="116"/>
      <c r="M68" s="117"/>
    </row>
    <row r="69" spans="1:13" ht="16.5" customHeight="1">
      <c r="A69" s="90" t="s">
        <v>28</v>
      </c>
      <c r="B69" s="91"/>
      <c r="C69" s="91"/>
      <c r="D69" s="91"/>
      <c r="E69" s="91"/>
      <c r="F69" s="91"/>
      <c r="G69" s="91"/>
      <c r="H69" s="91"/>
      <c r="I69" s="91"/>
      <c r="J69" s="91"/>
      <c r="K69" s="91"/>
      <c r="L69" s="91"/>
      <c r="M69" s="92"/>
    </row>
    <row r="70" spans="1:13" ht="16.5" customHeight="1">
      <c r="A70" s="106" t="s">
        <v>42</v>
      </c>
      <c r="B70" s="107"/>
      <c r="C70" s="107"/>
      <c r="D70" s="107"/>
      <c r="E70" s="107"/>
      <c r="F70" s="107"/>
      <c r="G70" s="107"/>
      <c r="H70" s="107"/>
      <c r="I70" s="107"/>
      <c r="J70" s="107"/>
      <c r="K70" s="107"/>
      <c r="L70" s="107"/>
      <c r="M70" s="108"/>
    </row>
    <row r="71" spans="1:13" ht="16.5" customHeight="1">
      <c r="A71" s="106" t="s">
        <v>43</v>
      </c>
      <c r="B71" s="107"/>
      <c r="C71" s="107"/>
      <c r="D71" s="107"/>
      <c r="E71" s="107"/>
      <c r="F71" s="107"/>
      <c r="G71" s="107"/>
      <c r="H71" s="107"/>
      <c r="I71" s="107"/>
      <c r="J71" s="107"/>
      <c r="K71" s="107"/>
      <c r="L71" s="107"/>
      <c r="M71" s="108"/>
    </row>
    <row r="72" spans="1:13" ht="16.5" customHeight="1">
      <c r="A72" s="106" t="s">
        <v>44</v>
      </c>
      <c r="B72" s="107"/>
      <c r="C72" s="107"/>
      <c r="D72" s="107"/>
      <c r="E72" s="107"/>
      <c r="F72" s="107"/>
      <c r="G72" s="107"/>
      <c r="H72" s="107"/>
      <c r="I72" s="107"/>
      <c r="J72" s="107"/>
      <c r="K72" s="107"/>
      <c r="L72" s="107"/>
      <c r="M72" s="108"/>
    </row>
    <row r="73" spans="1:13" ht="16.5" customHeight="1">
      <c r="A73" s="106" t="s">
        <v>45</v>
      </c>
      <c r="B73" s="107"/>
      <c r="C73" s="107"/>
      <c r="D73" s="107"/>
      <c r="E73" s="107"/>
      <c r="F73" s="107"/>
      <c r="G73" s="107"/>
      <c r="H73" s="107"/>
      <c r="I73" s="107"/>
      <c r="J73" s="107"/>
      <c r="K73" s="107"/>
      <c r="L73" s="107"/>
      <c r="M73" s="108"/>
    </row>
    <row r="74" spans="1:13" ht="16.5" customHeight="1">
      <c r="A74" s="106" t="s">
        <v>29</v>
      </c>
      <c r="B74" s="107"/>
      <c r="C74" s="107"/>
      <c r="D74" s="107"/>
      <c r="E74" s="107"/>
      <c r="F74" s="107"/>
      <c r="G74" s="107"/>
      <c r="H74" s="107"/>
      <c r="I74" s="107"/>
      <c r="J74" s="107"/>
      <c r="K74" s="107"/>
      <c r="L74" s="107"/>
      <c r="M74" s="108"/>
    </row>
    <row r="75" spans="1:13" ht="9.75" customHeight="1" thickBot="1">
      <c r="A75" s="109"/>
      <c r="B75" s="110"/>
      <c r="C75" s="110"/>
      <c r="D75" s="110"/>
      <c r="E75" s="110"/>
      <c r="F75" s="110"/>
      <c r="G75" s="110"/>
      <c r="H75" s="110"/>
      <c r="I75" s="110"/>
      <c r="J75" s="110"/>
      <c r="K75" s="110"/>
      <c r="L75" s="110"/>
      <c r="M75" s="111"/>
    </row>
    <row r="76" spans="1:13" ht="18.75" customHeight="1" thickBot="1">
      <c r="A76" s="72" t="s">
        <v>30</v>
      </c>
      <c r="B76" s="73"/>
      <c r="C76" s="73"/>
      <c r="D76" s="73"/>
      <c r="E76" s="73"/>
      <c r="F76" s="73"/>
      <c r="G76" s="73"/>
      <c r="H76" s="73"/>
      <c r="I76" s="73"/>
      <c r="J76" s="73"/>
      <c r="K76" s="73"/>
      <c r="L76" s="73"/>
      <c r="M76" s="74"/>
    </row>
    <row r="77" spans="1:13" ht="24" customHeight="1" thickBot="1">
      <c r="A77" s="72" t="s">
        <v>31</v>
      </c>
      <c r="B77" s="73"/>
      <c r="C77" s="73"/>
      <c r="D77" s="73"/>
      <c r="E77" s="73"/>
      <c r="F77" s="73"/>
      <c r="G77" s="73"/>
      <c r="H77" s="73"/>
      <c r="I77" s="73"/>
      <c r="J77" s="73"/>
      <c r="K77" s="73"/>
      <c r="L77" s="73"/>
      <c r="M77" s="74"/>
    </row>
    <row r="78" spans="1:13" ht="31.5" customHeight="1" thickBot="1">
      <c r="A78" s="72" t="s">
        <v>74</v>
      </c>
      <c r="B78" s="73"/>
      <c r="C78" s="73"/>
      <c r="D78" s="73"/>
      <c r="E78" s="73"/>
      <c r="F78" s="73"/>
      <c r="G78" s="73"/>
      <c r="H78" s="73"/>
      <c r="I78" s="73"/>
      <c r="J78" s="73"/>
      <c r="K78" s="73"/>
      <c r="L78" s="73"/>
      <c r="M78" s="74"/>
    </row>
    <row r="79" spans="1:13" ht="24" customHeight="1" thickBot="1">
      <c r="A79" s="60" t="s">
        <v>46</v>
      </c>
      <c r="B79" s="61"/>
      <c r="C79" s="61"/>
      <c r="D79" s="61"/>
      <c r="E79" s="61"/>
      <c r="F79" s="61"/>
      <c r="G79" s="61"/>
      <c r="H79" s="61"/>
      <c r="I79" s="61"/>
      <c r="J79" s="61"/>
      <c r="K79" s="61"/>
      <c r="L79" s="61"/>
      <c r="M79" s="62"/>
    </row>
    <row r="80" spans="1:13" ht="11.1" customHeight="1">
      <c r="A80" s="103" t="s">
        <v>47</v>
      </c>
      <c r="B80" s="103"/>
      <c r="C80" s="103"/>
      <c r="D80" s="103"/>
      <c r="E80" s="103"/>
      <c r="F80" s="103"/>
      <c r="G80" s="103"/>
      <c r="H80" s="103"/>
      <c r="I80" s="103"/>
      <c r="J80" s="103"/>
      <c r="K80" s="103"/>
      <c r="L80" s="103"/>
      <c r="M80" s="103"/>
    </row>
    <row r="81" spans="1:15" ht="11.1" customHeight="1">
      <c r="A81" s="104" t="s">
        <v>48</v>
      </c>
      <c r="B81" s="104"/>
      <c r="C81" s="104"/>
      <c r="D81" s="104"/>
      <c r="E81" s="104"/>
      <c r="F81" s="104"/>
      <c r="G81" s="104"/>
      <c r="H81" s="104"/>
      <c r="I81" s="104"/>
      <c r="J81" s="104"/>
      <c r="K81" s="104"/>
      <c r="L81" s="104"/>
      <c r="M81" s="104"/>
    </row>
    <row r="82" spans="1:15" ht="11.1" customHeight="1">
      <c r="A82" s="105" t="s">
        <v>49</v>
      </c>
      <c r="B82" s="105"/>
      <c r="C82" s="105"/>
      <c r="D82" s="105"/>
      <c r="E82" s="105"/>
      <c r="F82" s="105"/>
      <c r="G82" s="105"/>
      <c r="H82" s="105"/>
      <c r="I82" s="105"/>
      <c r="J82" s="105"/>
      <c r="K82" s="105"/>
      <c r="L82" s="105"/>
      <c r="M82" s="105"/>
    </row>
    <row r="83" spans="1:15" ht="11.1" customHeight="1">
      <c r="A83" s="105" t="s">
        <v>50</v>
      </c>
      <c r="B83" s="105"/>
      <c r="C83" s="105"/>
      <c r="D83" s="105"/>
      <c r="E83" s="105"/>
      <c r="F83" s="105"/>
      <c r="G83" s="105"/>
      <c r="H83" s="105"/>
      <c r="I83" s="105"/>
      <c r="J83" s="105"/>
      <c r="K83" s="105"/>
      <c r="L83" s="105"/>
      <c r="M83" s="105"/>
    </row>
    <row r="84" spans="1:15" ht="11.1" customHeight="1">
      <c r="A84" s="104" t="s">
        <v>51</v>
      </c>
      <c r="B84" s="104"/>
      <c r="C84" s="104"/>
      <c r="D84" s="104"/>
      <c r="E84" s="104"/>
      <c r="F84" s="104"/>
      <c r="G84" s="104"/>
      <c r="H84" s="104"/>
      <c r="I84" s="104"/>
      <c r="J84" s="104"/>
      <c r="K84" s="104"/>
      <c r="L84" s="104"/>
      <c r="M84" s="104"/>
    </row>
    <row r="85" spans="1:15" ht="11.1" customHeight="1">
      <c r="A85" s="104" t="s">
        <v>52</v>
      </c>
      <c r="B85" s="104"/>
      <c r="C85" s="104"/>
      <c r="D85" s="104"/>
      <c r="E85" s="104"/>
      <c r="F85" s="104"/>
      <c r="G85" s="104"/>
      <c r="H85" s="104"/>
      <c r="I85" s="104"/>
      <c r="J85" s="104"/>
      <c r="K85" s="104"/>
      <c r="L85" s="104"/>
      <c r="M85" s="104"/>
    </row>
    <row r="86" spans="1:15" ht="11.1" customHeight="1">
      <c r="A86" s="104" t="s">
        <v>53</v>
      </c>
      <c r="B86" s="104"/>
      <c r="C86" s="104"/>
      <c r="D86" s="104"/>
      <c r="E86" s="104"/>
      <c r="F86" s="104"/>
      <c r="G86" s="104"/>
      <c r="H86" s="104"/>
      <c r="I86" s="104"/>
      <c r="J86" s="104"/>
      <c r="K86" s="104"/>
      <c r="L86" s="104"/>
      <c r="M86" s="104"/>
    </row>
    <row r="87" spans="1:15" ht="11.1" customHeight="1">
      <c r="A87" s="101" t="s">
        <v>54</v>
      </c>
      <c r="B87" s="101"/>
      <c r="C87" s="101"/>
      <c r="D87" s="101"/>
      <c r="E87" s="101"/>
      <c r="F87" s="101"/>
      <c r="G87" s="101"/>
      <c r="H87" s="101"/>
      <c r="I87" s="101"/>
      <c r="J87" s="101"/>
      <c r="K87" s="101"/>
      <c r="L87" s="101"/>
      <c r="M87" s="101"/>
    </row>
    <row r="88" spans="1:15" ht="11.1" customHeight="1">
      <c r="A88" s="101" t="s">
        <v>55</v>
      </c>
      <c r="B88" s="101"/>
      <c r="C88" s="101"/>
      <c r="D88" s="101"/>
      <c r="E88" s="101"/>
      <c r="F88" s="101"/>
      <c r="G88" s="101"/>
      <c r="H88" s="101"/>
      <c r="I88" s="101"/>
      <c r="J88" s="101"/>
      <c r="K88" s="101"/>
      <c r="L88" s="101"/>
      <c r="M88" s="101"/>
    </row>
    <row r="89" spans="1:15" ht="19.5" customHeight="1">
      <c r="A89" s="69" t="s">
        <v>0</v>
      </c>
      <c r="B89" s="69"/>
      <c r="C89" s="69"/>
      <c r="D89" s="69"/>
      <c r="E89" s="69"/>
      <c r="F89" s="69"/>
      <c r="G89" s="69"/>
      <c r="H89" s="69"/>
      <c r="I89" s="69"/>
      <c r="J89" s="69"/>
      <c r="K89" s="69"/>
      <c r="L89" s="69"/>
      <c r="M89" s="69"/>
    </row>
    <row r="90" spans="1:15" ht="20.100000000000001" customHeight="1">
      <c r="A90" s="4" t="s">
        <v>32</v>
      </c>
      <c r="B90" s="5">
        <f>+B46+1</f>
        <v>7</v>
      </c>
      <c r="C90" s="25"/>
      <c r="D90" s="25"/>
      <c r="E90" s="25"/>
      <c r="F90" s="25"/>
      <c r="G90" s="25"/>
      <c r="H90" s="25"/>
      <c r="I90" s="25"/>
      <c r="J90" s="25"/>
      <c r="K90" s="25"/>
      <c r="L90" s="25"/>
      <c r="M90" s="25"/>
    </row>
    <row r="91" spans="1:15" ht="24" customHeight="1" thickBot="1">
      <c r="A91" s="4" t="s">
        <v>33</v>
      </c>
      <c r="H91" s="70" t="s">
        <v>34</v>
      </c>
      <c r="I91" s="70"/>
      <c r="J91" s="70"/>
      <c r="K91" s="102">
        <f>+K47+1</f>
        <v>45933</v>
      </c>
      <c r="L91" s="102"/>
      <c r="M91" s="102"/>
      <c r="O91" s="7"/>
    </row>
    <row r="92" spans="1:15" ht="33.75" customHeight="1" thickBot="1">
      <c r="A92" s="80" t="s">
        <v>1</v>
      </c>
      <c r="B92" s="81"/>
      <c r="C92" s="82"/>
      <c r="D92" s="86" t="str">
        <f>+D48</f>
        <v>光明國中B與C區5樓老舊廁所整修工程</v>
      </c>
      <c r="E92" s="87"/>
      <c r="F92" s="87"/>
      <c r="G92" s="88"/>
      <c r="H92" s="80" t="s">
        <v>2</v>
      </c>
      <c r="I92" s="81"/>
      <c r="J92" s="82"/>
      <c r="K92" s="80" t="s">
        <v>35</v>
      </c>
      <c r="L92" s="81"/>
      <c r="M92" s="82"/>
    </row>
    <row r="93" spans="1:15" ht="33.75" customHeight="1" thickBot="1">
      <c r="A93" s="8" t="s">
        <v>3</v>
      </c>
      <c r="B93" s="26">
        <f>+B49+1</f>
        <v>134</v>
      </c>
      <c r="C93" s="10" t="s">
        <v>36</v>
      </c>
      <c r="D93" s="80" t="s">
        <v>4</v>
      </c>
      <c r="E93" s="89"/>
      <c r="F93" s="27">
        <f>+F49+1</f>
        <v>7</v>
      </c>
      <c r="G93" s="12" t="s">
        <v>36</v>
      </c>
      <c r="H93" s="13" t="s">
        <v>5</v>
      </c>
      <c r="I93" s="26">
        <f>+B93-F93</f>
        <v>127</v>
      </c>
      <c r="J93" s="10" t="s">
        <v>36</v>
      </c>
      <c r="K93" s="80" t="s">
        <v>6</v>
      </c>
      <c r="L93" s="82"/>
      <c r="M93" s="13">
        <f>+M49+1</f>
        <v>4</v>
      </c>
    </row>
    <row r="94" spans="1:15" ht="24" customHeight="1" thickBot="1">
      <c r="A94" s="80" t="s">
        <v>7</v>
      </c>
      <c r="B94" s="81"/>
      <c r="C94" s="82"/>
      <c r="D94" s="80" t="str">
        <f>+D50</f>
        <v>114.9.27</v>
      </c>
      <c r="E94" s="81"/>
      <c r="F94" s="81"/>
      <c r="G94" s="82"/>
      <c r="H94" s="80" t="s">
        <v>8</v>
      </c>
      <c r="I94" s="81"/>
      <c r="J94" s="82"/>
      <c r="K94" s="80" t="s">
        <v>77</v>
      </c>
      <c r="L94" s="81"/>
      <c r="M94" s="82"/>
    </row>
    <row r="95" spans="1:15" ht="24" customHeight="1" thickBot="1">
      <c r="A95" s="80" t="s">
        <v>37</v>
      </c>
      <c r="B95" s="81"/>
      <c r="C95" s="82"/>
      <c r="D95" s="83">
        <v>2.1999999999999999E-2</v>
      </c>
      <c r="E95" s="84"/>
      <c r="F95" s="84"/>
      <c r="G95" s="85"/>
      <c r="H95" s="80" t="s">
        <v>38</v>
      </c>
      <c r="I95" s="81"/>
      <c r="J95" s="82"/>
      <c r="K95" s="83">
        <f>+K51</f>
        <v>5.8000000000000003E-2</v>
      </c>
      <c r="L95" s="84"/>
      <c r="M95" s="85"/>
    </row>
    <row r="96" spans="1:15" ht="24" customHeight="1" thickBot="1">
      <c r="A96" s="72" t="s">
        <v>9</v>
      </c>
      <c r="B96" s="73"/>
      <c r="C96" s="73"/>
      <c r="D96" s="73"/>
      <c r="E96" s="73"/>
      <c r="F96" s="73"/>
      <c r="G96" s="73"/>
      <c r="H96" s="73"/>
      <c r="I96" s="73"/>
      <c r="J96" s="73"/>
      <c r="K96" s="73"/>
      <c r="L96" s="73"/>
      <c r="M96" s="74"/>
    </row>
    <row r="97" spans="1:13" ht="35.25" customHeight="1" thickBot="1">
      <c r="A97" s="75" t="s">
        <v>10</v>
      </c>
      <c r="B97" s="76"/>
      <c r="C97" s="76"/>
      <c r="D97" s="77"/>
      <c r="E97" s="14" t="s">
        <v>11</v>
      </c>
      <c r="F97" s="75" t="s">
        <v>12</v>
      </c>
      <c r="G97" s="77"/>
      <c r="H97" s="75" t="s">
        <v>13</v>
      </c>
      <c r="I97" s="77"/>
      <c r="J97" s="78" t="s">
        <v>14</v>
      </c>
      <c r="K97" s="79"/>
      <c r="L97" s="75" t="s">
        <v>15</v>
      </c>
      <c r="M97" s="77"/>
    </row>
    <row r="98" spans="1:13" ht="27" customHeight="1" thickBot="1">
      <c r="A98" s="63"/>
      <c r="B98" s="64"/>
      <c r="C98" s="64"/>
      <c r="D98" s="65"/>
      <c r="E98" s="2"/>
      <c r="F98" s="56"/>
      <c r="G98" s="57"/>
      <c r="H98" s="56"/>
      <c r="I98" s="57"/>
      <c r="J98" s="56"/>
      <c r="K98" s="57"/>
      <c r="L98" s="58"/>
      <c r="M98" s="59"/>
    </row>
    <row r="99" spans="1:13" ht="27" customHeight="1" thickBot="1">
      <c r="A99" s="123"/>
      <c r="B99" s="124"/>
      <c r="C99" s="124"/>
      <c r="D99" s="125"/>
      <c r="E99" s="15"/>
      <c r="F99" s="126"/>
      <c r="G99" s="127"/>
      <c r="H99" s="126"/>
      <c r="I99" s="127"/>
      <c r="J99" s="126"/>
      <c r="K99" s="127"/>
      <c r="L99" s="128"/>
      <c r="M99" s="129"/>
    </row>
    <row r="100" spans="1:13" ht="24.95" customHeight="1" thickTop="1" thickBot="1">
      <c r="A100" s="130" t="s">
        <v>16</v>
      </c>
      <c r="B100" s="67"/>
      <c r="C100" s="67"/>
      <c r="D100" s="68"/>
      <c r="E100" s="28"/>
      <c r="F100" s="131"/>
      <c r="G100" s="132"/>
      <c r="H100" s="131"/>
      <c r="I100" s="132"/>
      <c r="J100" s="131"/>
      <c r="K100" s="132"/>
      <c r="L100" s="131"/>
      <c r="M100" s="133"/>
    </row>
    <row r="101" spans="1:13" ht="24.95" customHeight="1" thickBot="1">
      <c r="A101" s="134" t="s">
        <v>17</v>
      </c>
      <c r="B101" s="135"/>
      <c r="C101" s="135"/>
      <c r="D101" s="59"/>
      <c r="E101" s="28"/>
      <c r="F101" s="58"/>
      <c r="G101" s="59"/>
      <c r="H101" s="58"/>
      <c r="I101" s="59"/>
      <c r="J101" s="58"/>
      <c r="K101" s="59"/>
      <c r="L101" s="58"/>
      <c r="M101" s="136"/>
    </row>
    <row r="102" spans="1:13" ht="24.95" customHeight="1" thickBot="1">
      <c r="A102" s="118" t="s">
        <v>18</v>
      </c>
      <c r="B102" s="119"/>
      <c r="C102" s="119"/>
      <c r="D102" s="120"/>
      <c r="E102" s="24"/>
      <c r="F102" s="121"/>
      <c r="G102" s="120"/>
      <c r="H102" s="121"/>
      <c r="I102" s="120"/>
      <c r="J102" s="121"/>
      <c r="K102" s="120"/>
      <c r="L102" s="121"/>
      <c r="M102" s="122"/>
    </row>
    <row r="103" spans="1:13" ht="24" customHeight="1" thickTop="1" thickBot="1">
      <c r="A103" s="66" t="s">
        <v>19</v>
      </c>
      <c r="B103" s="67"/>
      <c r="C103" s="67"/>
      <c r="D103" s="67"/>
      <c r="E103" s="67"/>
      <c r="F103" s="67"/>
      <c r="G103" s="67"/>
      <c r="H103" s="67"/>
      <c r="I103" s="67"/>
      <c r="J103" s="67"/>
      <c r="K103" s="67"/>
      <c r="L103" s="67"/>
      <c r="M103" s="68"/>
    </row>
    <row r="104" spans="1:13" ht="35.25" customHeight="1" thickBot="1">
      <c r="A104" s="75" t="s">
        <v>20</v>
      </c>
      <c r="B104" s="76"/>
      <c r="C104" s="76"/>
      <c r="D104" s="77"/>
      <c r="E104" s="14" t="s">
        <v>11</v>
      </c>
      <c r="F104" s="75" t="s">
        <v>39</v>
      </c>
      <c r="G104" s="77"/>
      <c r="H104" s="75" t="s">
        <v>21</v>
      </c>
      <c r="I104" s="77"/>
      <c r="J104" s="78" t="s">
        <v>22</v>
      </c>
      <c r="K104" s="79"/>
      <c r="L104" s="75" t="s">
        <v>15</v>
      </c>
      <c r="M104" s="77"/>
    </row>
    <row r="105" spans="1:13" ht="24" customHeight="1" thickBot="1">
      <c r="A105" s="96"/>
      <c r="B105" s="97"/>
      <c r="C105" s="97"/>
      <c r="D105" s="98"/>
      <c r="E105" s="28"/>
      <c r="F105" s="58"/>
      <c r="G105" s="59"/>
      <c r="H105" s="58"/>
      <c r="I105" s="59"/>
      <c r="J105" s="56"/>
      <c r="K105" s="57"/>
      <c r="L105" s="58"/>
      <c r="M105" s="59"/>
    </row>
    <row r="106" spans="1:13" ht="24" customHeight="1" thickBot="1">
      <c r="A106" s="96"/>
      <c r="B106" s="97"/>
      <c r="C106" s="97"/>
      <c r="D106" s="98"/>
      <c r="E106" s="28"/>
      <c r="F106" s="58"/>
      <c r="G106" s="59"/>
      <c r="H106" s="58"/>
      <c r="I106" s="59"/>
      <c r="J106" s="56"/>
      <c r="K106" s="57"/>
      <c r="L106" s="58"/>
      <c r="M106" s="59"/>
    </row>
    <row r="107" spans="1:13" ht="24" customHeight="1" thickBot="1">
      <c r="A107" s="60" t="s">
        <v>23</v>
      </c>
      <c r="B107" s="61"/>
      <c r="C107" s="61"/>
      <c r="D107" s="61"/>
      <c r="E107" s="61"/>
      <c r="F107" s="61"/>
      <c r="G107" s="61"/>
      <c r="H107" s="61"/>
      <c r="I107" s="61"/>
      <c r="J107" s="61"/>
      <c r="K107" s="61"/>
      <c r="L107" s="61"/>
      <c r="M107" s="62"/>
    </row>
    <row r="108" spans="1:13" ht="35.25" customHeight="1" thickBot="1">
      <c r="A108" s="75" t="s">
        <v>24</v>
      </c>
      <c r="B108" s="77"/>
      <c r="C108" s="75" t="s">
        <v>25</v>
      </c>
      <c r="D108" s="77"/>
      <c r="E108" s="75" t="s">
        <v>26</v>
      </c>
      <c r="F108" s="76"/>
      <c r="G108" s="77"/>
      <c r="H108" s="75" t="s">
        <v>27</v>
      </c>
      <c r="I108" s="77"/>
      <c r="J108" s="78" t="s">
        <v>21</v>
      </c>
      <c r="K108" s="79"/>
      <c r="L108" s="75" t="s">
        <v>22</v>
      </c>
      <c r="M108" s="77"/>
    </row>
    <row r="109" spans="1:13" s="18" customFormat="1" ht="24.75" customHeight="1" thickBot="1">
      <c r="A109" s="99"/>
      <c r="B109" s="98"/>
      <c r="C109" s="56"/>
      <c r="D109" s="57"/>
      <c r="E109" s="56"/>
      <c r="F109" s="100"/>
      <c r="G109" s="57"/>
      <c r="H109" s="56"/>
      <c r="I109" s="57"/>
      <c r="J109" s="56"/>
      <c r="K109" s="57"/>
      <c r="L109" s="56"/>
      <c r="M109" s="57"/>
    </row>
    <row r="110" spans="1:13" s="18" customFormat="1" ht="24.75" customHeight="1" thickBot="1">
      <c r="A110" s="99"/>
      <c r="B110" s="98"/>
      <c r="C110" s="56"/>
      <c r="D110" s="57"/>
      <c r="E110" s="56"/>
      <c r="F110" s="100"/>
      <c r="G110" s="57"/>
      <c r="H110" s="56"/>
      <c r="I110" s="57"/>
      <c r="J110" s="56"/>
      <c r="K110" s="57"/>
      <c r="L110" s="56"/>
      <c r="M110" s="57"/>
    </row>
    <row r="111" spans="1:13" ht="33" customHeight="1" thickBot="1">
      <c r="A111" s="112" t="s">
        <v>60</v>
      </c>
      <c r="B111" s="113"/>
      <c r="C111" s="113"/>
      <c r="D111" s="113"/>
      <c r="E111" s="113"/>
      <c r="F111" s="113"/>
      <c r="G111" s="113"/>
      <c r="H111" s="113"/>
      <c r="I111" s="113"/>
      <c r="J111" s="113"/>
      <c r="K111" s="113"/>
      <c r="L111" s="113"/>
      <c r="M111" s="114"/>
    </row>
    <row r="112" spans="1:13" ht="16.5" customHeight="1">
      <c r="A112" s="115" t="s">
        <v>41</v>
      </c>
      <c r="B112" s="116"/>
      <c r="C112" s="116"/>
      <c r="D112" s="116"/>
      <c r="E112" s="116"/>
      <c r="F112" s="116"/>
      <c r="G112" s="116"/>
      <c r="H112" s="116"/>
      <c r="I112" s="116"/>
      <c r="J112" s="116"/>
      <c r="K112" s="116"/>
      <c r="L112" s="116"/>
      <c r="M112" s="117"/>
    </row>
    <row r="113" spans="1:13" ht="16.5" customHeight="1">
      <c r="A113" s="90" t="s">
        <v>28</v>
      </c>
      <c r="B113" s="91"/>
      <c r="C113" s="91"/>
      <c r="D113" s="91"/>
      <c r="E113" s="91"/>
      <c r="F113" s="91"/>
      <c r="G113" s="91"/>
      <c r="H113" s="91"/>
      <c r="I113" s="91"/>
      <c r="J113" s="91"/>
      <c r="K113" s="91"/>
      <c r="L113" s="91"/>
      <c r="M113" s="92"/>
    </row>
    <row r="114" spans="1:13" ht="16.5" customHeight="1">
      <c r="A114" s="106" t="s">
        <v>42</v>
      </c>
      <c r="B114" s="107"/>
      <c r="C114" s="107"/>
      <c r="D114" s="107"/>
      <c r="E114" s="107"/>
      <c r="F114" s="107"/>
      <c r="G114" s="107"/>
      <c r="H114" s="107"/>
      <c r="I114" s="107"/>
      <c r="J114" s="107"/>
      <c r="K114" s="107"/>
      <c r="L114" s="107"/>
      <c r="M114" s="108"/>
    </row>
    <row r="115" spans="1:13" ht="16.5" customHeight="1">
      <c r="A115" s="106" t="s">
        <v>43</v>
      </c>
      <c r="B115" s="107"/>
      <c r="C115" s="107"/>
      <c r="D115" s="107"/>
      <c r="E115" s="107"/>
      <c r="F115" s="107"/>
      <c r="G115" s="107"/>
      <c r="H115" s="107"/>
      <c r="I115" s="107"/>
      <c r="J115" s="107"/>
      <c r="K115" s="107"/>
      <c r="L115" s="107"/>
      <c r="M115" s="108"/>
    </row>
    <row r="116" spans="1:13" ht="16.5" customHeight="1">
      <c r="A116" s="106" t="s">
        <v>44</v>
      </c>
      <c r="B116" s="107"/>
      <c r="C116" s="107"/>
      <c r="D116" s="107"/>
      <c r="E116" s="107"/>
      <c r="F116" s="107"/>
      <c r="G116" s="107"/>
      <c r="H116" s="107"/>
      <c r="I116" s="107"/>
      <c r="J116" s="107"/>
      <c r="K116" s="107"/>
      <c r="L116" s="107"/>
      <c r="M116" s="108"/>
    </row>
    <row r="117" spans="1:13" ht="16.5" customHeight="1">
      <c r="A117" s="106" t="s">
        <v>45</v>
      </c>
      <c r="B117" s="107"/>
      <c r="C117" s="107"/>
      <c r="D117" s="107"/>
      <c r="E117" s="107"/>
      <c r="F117" s="107"/>
      <c r="G117" s="107"/>
      <c r="H117" s="107"/>
      <c r="I117" s="107"/>
      <c r="J117" s="107"/>
      <c r="K117" s="107"/>
      <c r="L117" s="107"/>
      <c r="M117" s="108"/>
    </row>
    <row r="118" spans="1:13" ht="16.5" customHeight="1">
      <c r="A118" s="106" t="s">
        <v>29</v>
      </c>
      <c r="B118" s="107"/>
      <c r="C118" s="107"/>
      <c r="D118" s="107"/>
      <c r="E118" s="107"/>
      <c r="F118" s="107"/>
      <c r="G118" s="107"/>
      <c r="H118" s="107"/>
      <c r="I118" s="107"/>
      <c r="J118" s="107"/>
      <c r="K118" s="107"/>
      <c r="L118" s="107"/>
      <c r="M118" s="108"/>
    </row>
    <row r="119" spans="1:13" ht="9.75" customHeight="1" thickBot="1">
      <c r="A119" s="109"/>
      <c r="B119" s="110"/>
      <c r="C119" s="110"/>
      <c r="D119" s="110"/>
      <c r="E119" s="110"/>
      <c r="F119" s="110"/>
      <c r="G119" s="110"/>
      <c r="H119" s="110"/>
      <c r="I119" s="110"/>
      <c r="J119" s="110"/>
      <c r="K119" s="110"/>
      <c r="L119" s="110"/>
      <c r="M119" s="111"/>
    </row>
    <row r="120" spans="1:13" ht="18.75" customHeight="1" thickBot="1">
      <c r="A120" s="72" t="s">
        <v>30</v>
      </c>
      <c r="B120" s="73"/>
      <c r="C120" s="73"/>
      <c r="D120" s="73"/>
      <c r="E120" s="73"/>
      <c r="F120" s="73"/>
      <c r="G120" s="73"/>
      <c r="H120" s="73"/>
      <c r="I120" s="73"/>
      <c r="J120" s="73"/>
      <c r="K120" s="73"/>
      <c r="L120" s="73"/>
      <c r="M120" s="74"/>
    </row>
    <row r="121" spans="1:13" ht="24" customHeight="1" thickBot="1">
      <c r="A121" s="72" t="s">
        <v>31</v>
      </c>
      <c r="B121" s="73"/>
      <c r="C121" s="73"/>
      <c r="D121" s="73"/>
      <c r="E121" s="73"/>
      <c r="F121" s="73"/>
      <c r="G121" s="73"/>
      <c r="H121" s="73"/>
      <c r="I121" s="73"/>
      <c r="J121" s="73"/>
      <c r="K121" s="73"/>
      <c r="L121" s="73"/>
      <c r="M121" s="74"/>
    </row>
    <row r="122" spans="1:13" ht="31.5" customHeight="1" thickBot="1">
      <c r="A122" s="72" t="s">
        <v>74</v>
      </c>
      <c r="B122" s="73"/>
      <c r="C122" s="73"/>
      <c r="D122" s="73"/>
      <c r="E122" s="73"/>
      <c r="F122" s="73"/>
      <c r="G122" s="73"/>
      <c r="H122" s="73"/>
      <c r="I122" s="73"/>
      <c r="J122" s="73"/>
      <c r="K122" s="73"/>
      <c r="L122" s="73"/>
      <c r="M122" s="74"/>
    </row>
    <row r="123" spans="1:13" ht="24" customHeight="1" thickBot="1">
      <c r="A123" s="60" t="s">
        <v>46</v>
      </c>
      <c r="B123" s="61"/>
      <c r="C123" s="61"/>
      <c r="D123" s="61"/>
      <c r="E123" s="61"/>
      <c r="F123" s="61"/>
      <c r="G123" s="61"/>
      <c r="H123" s="61"/>
      <c r="I123" s="61"/>
      <c r="J123" s="61"/>
      <c r="K123" s="61"/>
      <c r="L123" s="61"/>
      <c r="M123" s="62"/>
    </row>
    <row r="124" spans="1:13" ht="11.1" customHeight="1">
      <c r="A124" s="103" t="s">
        <v>47</v>
      </c>
      <c r="B124" s="103"/>
      <c r="C124" s="103"/>
      <c r="D124" s="103"/>
      <c r="E124" s="103"/>
      <c r="F124" s="103"/>
      <c r="G124" s="103"/>
      <c r="H124" s="103"/>
      <c r="I124" s="103"/>
      <c r="J124" s="103"/>
      <c r="K124" s="103"/>
      <c r="L124" s="103"/>
      <c r="M124" s="103"/>
    </row>
    <row r="125" spans="1:13" ht="11.1" customHeight="1">
      <c r="A125" s="104" t="s">
        <v>48</v>
      </c>
      <c r="B125" s="104"/>
      <c r="C125" s="104"/>
      <c r="D125" s="104"/>
      <c r="E125" s="104"/>
      <c r="F125" s="104"/>
      <c r="G125" s="104"/>
      <c r="H125" s="104"/>
      <c r="I125" s="104"/>
      <c r="J125" s="104"/>
      <c r="K125" s="104"/>
      <c r="L125" s="104"/>
      <c r="M125" s="104"/>
    </row>
    <row r="126" spans="1:13" ht="11.1" customHeight="1">
      <c r="A126" s="105" t="s">
        <v>49</v>
      </c>
      <c r="B126" s="105"/>
      <c r="C126" s="105"/>
      <c r="D126" s="105"/>
      <c r="E126" s="105"/>
      <c r="F126" s="105"/>
      <c r="G126" s="105"/>
      <c r="H126" s="105"/>
      <c r="I126" s="105"/>
      <c r="J126" s="105"/>
      <c r="K126" s="105"/>
      <c r="L126" s="105"/>
      <c r="M126" s="105"/>
    </row>
    <row r="127" spans="1:13" ht="11.1" customHeight="1">
      <c r="A127" s="105" t="s">
        <v>50</v>
      </c>
      <c r="B127" s="105"/>
      <c r="C127" s="105"/>
      <c r="D127" s="105"/>
      <c r="E127" s="105"/>
      <c r="F127" s="105"/>
      <c r="G127" s="105"/>
      <c r="H127" s="105"/>
      <c r="I127" s="105"/>
      <c r="J127" s="105"/>
      <c r="K127" s="105"/>
      <c r="L127" s="105"/>
      <c r="M127" s="105"/>
    </row>
    <row r="128" spans="1:13" ht="11.1" customHeight="1">
      <c r="A128" s="104" t="s">
        <v>51</v>
      </c>
      <c r="B128" s="104"/>
      <c r="C128" s="104"/>
      <c r="D128" s="104"/>
      <c r="E128" s="104"/>
      <c r="F128" s="104"/>
      <c r="G128" s="104"/>
      <c r="H128" s="104"/>
      <c r="I128" s="104"/>
      <c r="J128" s="104"/>
      <c r="K128" s="104"/>
      <c r="L128" s="104"/>
      <c r="M128" s="104"/>
    </row>
    <row r="129" spans="1:15" ht="11.1" customHeight="1">
      <c r="A129" s="104" t="s">
        <v>52</v>
      </c>
      <c r="B129" s="104"/>
      <c r="C129" s="104"/>
      <c r="D129" s="104"/>
      <c r="E129" s="104"/>
      <c r="F129" s="104"/>
      <c r="G129" s="104"/>
      <c r="H129" s="104"/>
      <c r="I129" s="104"/>
      <c r="J129" s="104"/>
      <c r="K129" s="104"/>
      <c r="L129" s="104"/>
      <c r="M129" s="104"/>
    </row>
    <row r="130" spans="1:15" ht="11.1" customHeight="1">
      <c r="A130" s="104" t="s">
        <v>53</v>
      </c>
      <c r="B130" s="104"/>
      <c r="C130" s="104"/>
      <c r="D130" s="104"/>
      <c r="E130" s="104"/>
      <c r="F130" s="104"/>
      <c r="G130" s="104"/>
      <c r="H130" s="104"/>
      <c r="I130" s="104"/>
      <c r="J130" s="104"/>
      <c r="K130" s="104"/>
      <c r="L130" s="104"/>
      <c r="M130" s="104"/>
    </row>
    <row r="131" spans="1:15" ht="11.1" customHeight="1">
      <c r="A131" s="101" t="s">
        <v>54</v>
      </c>
      <c r="B131" s="101"/>
      <c r="C131" s="101"/>
      <c r="D131" s="101"/>
      <c r="E131" s="101"/>
      <c r="F131" s="101"/>
      <c r="G131" s="101"/>
      <c r="H131" s="101"/>
      <c r="I131" s="101"/>
      <c r="J131" s="101"/>
      <c r="K131" s="101"/>
      <c r="L131" s="101"/>
      <c r="M131" s="101"/>
    </row>
    <row r="132" spans="1:15" ht="11.1" customHeight="1">
      <c r="A132" s="101" t="s">
        <v>55</v>
      </c>
      <c r="B132" s="101"/>
      <c r="C132" s="101"/>
      <c r="D132" s="101"/>
      <c r="E132" s="101"/>
      <c r="F132" s="101"/>
      <c r="G132" s="101"/>
      <c r="H132" s="101"/>
      <c r="I132" s="101"/>
      <c r="J132" s="101"/>
      <c r="K132" s="101"/>
      <c r="L132" s="101"/>
      <c r="M132" s="101"/>
    </row>
    <row r="133" spans="1:15" ht="19.5" customHeight="1">
      <c r="A133" s="69" t="s">
        <v>0</v>
      </c>
      <c r="B133" s="69"/>
      <c r="C133" s="69"/>
      <c r="D133" s="69"/>
      <c r="E133" s="69"/>
      <c r="F133" s="69"/>
      <c r="G133" s="69"/>
      <c r="H133" s="69"/>
      <c r="I133" s="69"/>
      <c r="J133" s="69"/>
      <c r="K133" s="69"/>
      <c r="L133" s="69"/>
      <c r="M133" s="69"/>
    </row>
    <row r="134" spans="1:15" ht="20.100000000000001" customHeight="1">
      <c r="A134" s="4" t="s">
        <v>32</v>
      </c>
      <c r="B134" s="5">
        <f>+B90+1</f>
        <v>8</v>
      </c>
      <c r="C134" s="25"/>
      <c r="D134" s="25"/>
      <c r="E134" s="25"/>
      <c r="F134" s="25"/>
      <c r="G134" s="25"/>
      <c r="H134" s="25"/>
      <c r="I134" s="25"/>
      <c r="J134" s="25"/>
      <c r="K134" s="25"/>
      <c r="L134" s="25"/>
      <c r="M134" s="25"/>
    </row>
    <row r="135" spans="1:15" ht="24" customHeight="1" thickBot="1">
      <c r="A135" s="4" t="s">
        <v>33</v>
      </c>
      <c r="H135" s="70" t="s">
        <v>34</v>
      </c>
      <c r="I135" s="70"/>
      <c r="J135" s="70"/>
      <c r="K135" s="102">
        <f>+K91+1</f>
        <v>45934</v>
      </c>
      <c r="L135" s="102"/>
      <c r="M135" s="102"/>
      <c r="O135" s="7"/>
    </row>
    <row r="136" spans="1:15" ht="33.75" customHeight="1" thickBot="1">
      <c r="A136" s="80" t="s">
        <v>1</v>
      </c>
      <c r="B136" s="81"/>
      <c r="C136" s="82"/>
      <c r="D136" s="86" t="str">
        <f>+D92</f>
        <v>光明國中B與C區5樓老舊廁所整修工程</v>
      </c>
      <c r="E136" s="87"/>
      <c r="F136" s="87"/>
      <c r="G136" s="88"/>
      <c r="H136" s="80" t="s">
        <v>2</v>
      </c>
      <c r="I136" s="81"/>
      <c r="J136" s="82"/>
      <c r="K136" s="80" t="s">
        <v>35</v>
      </c>
      <c r="L136" s="81"/>
      <c r="M136" s="82"/>
    </row>
    <row r="137" spans="1:15" ht="33.75" customHeight="1" thickBot="1">
      <c r="A137" s="8" t="s">
        <v>3</v>
      </c>
      <c r="B137" s="26">
        <f>+B93</f>
        <v>134</v>
      </c>
      <c r="C137" s="10" t="s">
        <v>36</v>
      </c>
      <c r="D137" s="80" t="s">
        <v>4</v>
      </c>
      <c r="E137" s="89"/>
      <c r="F137" s="27">
        <f>+F93+1</f>
        <v>8</v>
      </c>
      <c r="G137" s="12" t="s">
        <v>36</v>
      </c>
      <c r="H137" s="13" t="s">
        <v>5</v>
      </c>
      <c r="I137" s="26">
        <f>+B137-F137</f>
        <v>126</v>
      </c>
      <c r="J137" s="10" t="s">
        <v>36</v>
      </c>
      <c r="K137" s="80" t="s">
        <v>6</v>
      </c>
      <c r="L137" s="82"/>
      <c r="M137" s="13">
        <f>+M93</f>
        <v>4</v>
      </c>
    </row>
    <row r="138" spans="1:15" ht="24" customHeight="1" thickBot="1">
      <c r="A138" s="80" t="s">
        <v>7</v>
      </c>
      <c r="B138" s="81"/>
      <c r="C138" s="82"/>
      <c r="D138" s="80" t="str">
        <f>+D94</f>
        <v>114.9.27</v>
      </c>
      <c r="E138" s="81"/>
      <c r="F138" s="81"/>
      <c r="G138" s="82"/>
      <c r="H138" s="80" t="s">
        <v>8</v>
      </c>
      <c r="I138" s="81"/>
      <c r="J138" s="82"/>
      <c r="K138" s="80" t="str">
        <f>+K94</f>
        <v>115.2.7</v>
      </c>
      <c r="L138" s="81"/>
      <c r="M138" s="82"/>
    </row>
    <row r="139" spans="1:15" ht="24" customHeight="1" thickBot="1">
      <c r="A139" s="80" t="s">
        <v>37</v>
      </c>
      <c r="B139" s="81"/>
      <c r="C139" s="82"/>
      <c r="D139" s="83">
        <v>2.4E-2</v>
      </c>
      <c r="E139" s="84"/>
      <c r="F139" s="84"/>
      <c r="G139" s="85"/>
      <c r="H139" s="80" t="s">
        <v>38</v>
      </c>
      <c r="I139" s="81"/>
      <c r="J139" s="82"/>
      <c r="K139" s="83">
        <v>6.4000000000000001E-2</v>
      </c>
      <c r="L139" s="84"/>
      <c r="M139" s="85"/>
    </row>
    <row r="140" spans="1:15" ht="24" customHeight="1" thickBot="1">
      <c r="A140" s="72" t="s">
        <v>9</v>
      </c>
      <c r="B140" s="73"/>
      <c r="C140" s="73"/>
      <c r="D140" s="73"/>
      <c r="E140" s="73"/>
      <c r="F140" s="73"/>
      <c r="G140" s="73"/>
      <c r="H140" s="73"/>
      <c r="I140" s="73"/>
      <c r="J140" s="73"/>
      <c r="K140" s="73"/>
      <c r="L140" s="73"/>
      <c r="M140" s="74"/>
    </row>
    <row r="141" spans="1:15" ht="30" customHeight="1" thickBot="1">
      <c r="A141" s="75" t="s">
        <v>10</v>
      </c>
      <c r="B141" s="76"/>
      <c r="C141" s="76"/>
      <c r="D141" s="77"/>
      <c r="E141" s="14" t="s">
        <v>11</v>
      </c>
      <c r="F141" s="75" t="s">
        <v>12</v>
      </c>
      <c r="G141" s="77"/>
      <c r="H141" s="75" t="s">
        <v>13</v>
      </c>
      <c r="I141" s="77"/>
      <c r="J141" s="78" t="s">
        <v>14</v>
      </c>
      <c r="K141" s="79"/>
      <c r="L141" s="75" t="s">
        <v>15</v>
      </c>
      <c r="M141" s="77"/>
    </row>
    <row r="142" spans="1:15" ht="33" customHeight="1" thickBot="1">
      <c r="A142" s="63" t="s">
        <v>68</v>
      </c>
      <c r="B142" s="64"/>
      <c r="C142" s="64"/>
      <c r="D142" s="65"/>
      <c r="E142" s="2" t="s">
        <v>69</v>
      </c>
      <c r="F142" s="56">
        <v>1</v>
      </c>
      <c r="G142" s="57"/>
      <c r="H142" s="56">
        <v>0.1</v>
      </c>
      <c r="I142" s="57"/>
      <c r="J142" s="56">
        <v>0.4</v>
      </c>
      <c r="K142" s="57"/>
      <c r="L142" s="58"/>
      <c r="M142" s="59"/>
    </row>
    <row r="143" spans="1:15" ht="27" customHeight="1" thickBot="1">
      <c r="A143" s="63" t="s">
        <v>78</v>
      </c>
      <c r="B143" s="64"/>
      <c r="C143" s="64"/>
      <c r="D143" s="65"/>
      <c r="E143" s="15" t="s">
        <v>69</v>
      </c>
      <c r="F143" s="126">
        <v>1</v>
      </c>
      <c r="G143" s="127"/>
      <c r="H143" s="126">
        <v>0.2</v>
      </c>
      <c r="I143" s="127"/>
      <c r="J143" s="126">
        <v>0.4</v>
      </c>
      <c r="K143" s="127"/>
      <c r="L143" s="128"/>
      <c r="M143" s="129"/>
    </row>
    <row r="144" spans="1:15" ht="24.95" customHeight="1" thickTop="1" thickBot="1">
      <c r="A144" s="130" t="s">
        <v>16</v>
      </c>
      <c r="B144" s="67"/>
      <c r="C144" s="67"/>
      <c r="D144" s="68"/>
      <c r="E144" s="28"/>
      <c r="F144" s="131"/>
      <c r="G144" s="132"/>
      <c r="H144" s="131"/>
      <c r="I144" s="132"/>
      <c r="J144" s="131"/>
      <c r="K144" s="132"/>
      <c r="L144" s="131"/>
      <c r="M144" s="133"/>
    </row>
    <row r="145" spans="1:13" ht="24.95" customHeight="1" thickBot="1">
      <c r="A145" s="134" t="s">
        <v>17</v>
      </c>
      <c r="B145" s="135"/>
      <c r="C145" s="135"/>
      <c r="D145" s="59"/>
      <c r="E145" s="28"/>
      <c r="F145" s="58"/>
      <c r="G145" s="59"/>
      <c r="H145" s="58"/>
      <c r="I145" s="59"/>
      <c r="J145" s="58"/>
      <c r="K145" s="59"/>
      <c r="L145" s="58"/>
      <c r="M145" s="136"/>
    </row>
    <row r="146" spans="1:13" ht="24.95" customHeight="1" thickBot="1">
      <c r="A146" s="118" t="s">
        <v>18</v>
      </c>
      <c r="B146" s="119"/>
      <c r="C146" s="119"/>
      <c r="D146" s="120"/>
      <c r="E146" s="24"/>
      <c r="F146" s="121"/>
      <c r="G146" s="120"/>
      <c r="H146" s="121"/>
      <c r="I146" s="120"/>
      <c r="J146" s="121"/>
      <c r="K146" s="120"/>
      <c r="L146" s="121"/>
      <c r="M146" s="122"/>
    </row>
    <row r="147" spans="1:13" ht="24" customHeight="1" thickTop="1" thickBot="1">
      <c r="A147" s="66" t="s">
        <v>19</v>
      </c>
      <c r="B147" s="67"/>
      <c r="C147" s="67"/>
      <c r="D147" s="67"/>
      <c r="E147" s="67"/>
      <c r="F147" s="67"/>
      <c r="G147" s="67"/>
      <c r="H147" s="67"/>
      <c r="I147" s="67"/>
      <c r="J147" s="67"/>
      <c r="K147" s="67"/>
      <c r="L147" s="67"/>
      <c r="M147" s="68"/>
    </row>
    <row r="148" spans="1:13" ht="35.25" customHeight="1" thickBot="1">
      <c r="A148" s="75" t="s">
        <v>20</v>
      </c>
      <c r="B148" s="76"/>
      <c r="C148" s="76"/>
      <c r="D148" s="77"/>
      <c r="E148" s="14" t="s">
        <v>11</v>
      </c>
      <c r="F148" s="75" t="s">
        <v>39</v>
      </c>
      <c r="G148" s="77"/>
      <c r="H148" s="75" t="s">
        <v>21</v>
      </c>
      <c r="I148" s="77"/>
      <c r="J148" s="78" t="s">
        <v>22</v>
      </c>
      <c r="K148" s="79"/>
      <c r="L148" s="75" t="s">
        <v>15</v>
      </c>
      <c r="M148" s="77"/>
    </row>
    <row r="149" spans="1:13" ht="24" customHeight="1" thickBot="1">
      <c r="A149" s="96"/>
      <c r="B149" s="97"/>
      <c r="C149" s="97"/>
      <c r="D149" s="98"/>
      <c r="E149" s="28"/>
      <c r="F149" s="58"/>
      <c r="G149" s="59"/>
      <c r="H149" s="58"/>
      <c r="I149" s="59"/>
      <c r="J149" s="56"/>
      <c r="K149" s="57"/>
      <c r="L149" s="58"/>
      <c r="M149" s="59"/>
    </row>
    <row r="150" spans="1:13" ht="24" customHeight="1" thickBot="1">
      <c r="A150" s="96"/>
      <c r="B150" s="97"/>
      <c r="C150" s="97"/>
      <c r="D150" s="98"/>
      <c r="E150" s="28"/>
      <c r="F150" s="58"/>
      <c r="G150" s="59"/>
      <c r="H150" s="58"/>
      <c r="I150" s="59"/>
      <c r="J150" s="56"/>
      <c r="K150" s="57"/>
      <c r="L150" s="58"/>
      <c r="M150" s="59"/>
    </row>
    <row r="151" spans="1:13" ht="24" customHeight="1" thickBot="1">
      <c r="A151" s="60" t="s">
        <v>23</v>
      </c>
      <c r="B151" s="61"/>
      <c r="C151" s="61"/>
      <c r="D151" s="61"/>
      <c r="E151" s="61"/>
      <c r="F151" s="61"/>
      <c r="G151" s="61"/>
      <c r="H151" s="61"/>
      <c r="I151" s="61"/>
      <c r="J151" s="61"/>
      <c r="K151" s="61"/>
      <c r="L151" s="61"/>
      <c r="M151" s="62"/>
    </row>
    <row r="152" spans="1:13" ht="35.25" customHeight="1" thickBot="1">
      <c r="A152" s="75" t="s">
        <v>24</v>
      </c>
      <c r="B152" s="77"/>
      <c r="C152" s="75" t="s">
        <v>25</v>
      </c>
      <c r="D152" s="77"/>
      <c r="E152" s="75" t="s">
        <v>26</v>
      </c>
      <c r="F152" s="76"/>
      <c r="G152" s="77"/>
      <c r="H152" s="75" t="s">
        <v>27</v>
      </c>
      <c r="I152" s="77"/>
      <c r="J152" s="78" t="s">
        <v>21</v>
      </c>
      <c r="K152" s="79"/>
      <c r="L152" s="75" t="s">
        <v>22</v>
      </c>
      <c r="M152" s="77"/>
    </row>
    <row r="153" spans="1:13" s="18" customFormat="1" ht="24.75" customHeight="1" thickBot="1">
      <c r="A153" s="99" t="s">
        <v>71</v>
      </c>
      <c r="B153" s="137"/>
      <c r="C153" s="56">
        <v>6</v>
      </c>
      <c r="D153" s="57"/>
      <c r="E153" s="56">
        <v>24</v>
      </c>
      <c r="F153" s="100"/>
      <c r="G153" s="57"/>
      <c r="H153" s="56"/>
      <c r="I153" s="57"/>
      <c r="J153" s="56"/>
      <c r="K153" s="57"/>
      <c r="L153" s="56"/>
      <c r="M153" s="57"/>
    </row>
    <row r="154" spans="1:13" s="18" customFormat="1" ht="24.75" customHeight="1" thickBot="1">
      <c r="A154" s="99"/>
      <c r="B154" s="98"/>
      <c r="C154" s="56"/>
      <c r="D154" s="57"/>
      <c r="E154" s="56"/>
      <c r="F154" s="100"/>
      <c r="G154" s="57"/>
      <c r="H154" s="56"/>
      <c r="I154" s="57"/>
      <c r="J154" s="56"/>
      <c r="K154" s="57"/>
      <c r="L154" s="56"/>
      <c r="M154" s="57"/>
    </row>
    <row r="155" spans="1:13" ht="33" customHeight="1" thickBot="1">
      <c r="A155" s="112" t="s">
        <v>40</v>
      </c>
      <c r="B155" s="113"/>
      <c r="C155" s="113"/>
      <c r="D155" s="113"/>
      <c r="E155" s="113"/>
      <c r="F155" s="113"/>
      <c r="G155" s="113"/>
      <c r="H155" s="113"/>
      <c r="I155" s="113"/>
      <c r="J155" s="113"/>
      <c r="K155" s="113"/>
      <c r="L155" s="113"/>
      <c r="M155" s="114"/>
    </row>
    <row r="156" spans="1:13" ht="16.5" customHeight="1">
      <c r="A156" s="115" t="s">
        <v>41</v>
      </c>
      <c r="B156" s="116"/>
      <c r="C156" s="116"/>
      <c r="D156" s="116"/>
      <c r="E156" s="116"/>
      <c r="F156" s="116"/>
      <c r="G156" s="116"/>
      <c r="H156" s="116"/>
      <c r="I156" s="116"/>
      <c r="J156" s="116"/>
      <c r="K156" s="116"/>
      <c r="L156" s="116"/>
      <c r="M156" s="117"/>
    </row>
    <row r="157" spans="1:13" ht="16.5" customHeight="1">
      <c r="A157" s="90" t="s">
        <v>28</v>
      </c>
      <c r="B157" s="91"/>
      <c r="C157" s="91"/>
      <c r="D157" s="91"/>
      <c r="E157" s="91"/>
      <c r="F157" s="91"/>
      <c r="G157" s="91"/>
      <c r="H157" s="91"/>
      <c r="I157" s="91"/>
      <c r="J157" s="91"/>
      <c r="K157" s="91"/>
      <c r="L157" s="91"/>
      <c r="M157" s="92"/>
    </row>
    <row r="158" spans="1:13" s="1" customFormat="1" ht="16.5" customHeight="1">
      <c r="A158" s="93" t="s">
        <v>56</v>
      </c>
      <c r="B158" s="94"/>
      <c r="C158" s="94"/>
      <c r="D158" s="94"/>
      <c r="E158" s="94"/>
      <c r="F158" s="94"/>
      <c r="G158" s="94"/>
      <c r="H158" s="94"/>
      <c r="I158" s="94"/>
      <c r="J158" s="94"/>
      <c r="K158" s="94"/>
      <c r="L158" s="94"/>
      <c r="M158" s="95"/>
    </row>
    <row r="159" spans="1:13" s="1" customFormat="1" ht="16.5" customHeight="1">
      <c r="A159" s="93" t="s">
        <v>57</v>
      </c>
      <c r="B159" s="94"/>
      <c r="C159" s="94"/>
      <c r="D159" s="94"/>
      <c r="E159" s="94"/>
      <c r="F159" s="94"/>
      <c r="G159" s="94"/>
      <c r="H159" s="94"/>
      <c r="I159" s="94"/>
      <c r="J159" s="94"/>
      <c r="K159" s="94"/>
      <c r="L159" s="94"/>
      <c r="M159" s="95"/>
    </row>
    <row r="160" spans="1:13" s="1" customFormat="1" ht="16.5" customHeight="1">
      <c r="A160" s="93" t="s">
        <v>58</v>
      </c>
      <c r="B160" s="94"/>
      <c r="C160" s="94"/>
      <c r="D160" s="94"/>
      <c r="E160" s="94"/>
      <c r="F160" s="94"/>
      <c r="G160" s="94"/>
      <c r="H160" s="94"/>
      <c r="I160" s="94"/>
      <c r="J160" s="94"/>
      <c r="K160" s="94"/>
      <c r="L160" s="94"/>
      <c r="M160" s="95"/>
    </row>
    <row r="161" spans="1:13" s="1" customFormat="1" ht="16.5" customHeight="1">
      <c r="A161" s="93" t="s">
        <v>59</v>
      </c>
      <c r="B161" s="94"/>
      <c r="C161" s="94"/>
      <c r="D161" s="94"/>
      <c r="E161" s="94"/>
      <c r="F161" s="94"/>
      <c r="G161" s="94"/>
      <c r="H161" s="94"/>
      <c r="I161" s="94"/>
      <c r="J161" s="94"/>
      <c r="K161" s="94"/>
      <c r="L161" s="94"/>
      <c r="M161" s="95"/>
    </row>
    <row r="162" spans="1:13" ht="16.5" customHeight="1">
      <c r="A162" s="106" t="s">
        <v>29</v>
      </c>
      <c r="B162" s="107"/>
      <c r="C162" s="107"/>
      <c r="D162" s="107"/>
      <c r="E162" s="107"/>
      <c r="F162" s="107"/>
      <c r="G162" s="107"/>
      <c r="H162" s="107"/>
      <c r="I162" s="107"/>
      <c r="J162" s="107"/>
      <c r="K162" s="107"/>
      <c r="L162" s="107"/>
      <c r="M162" s="108"/>
    </row>
    <row r="163" spans="1:13" ht="9.75" customHeight="1" thickBot="1">
      <c r="A163" s="109"/>
      <c r="B163" s="110"/>
      <c r="C163" s="110"/>
      <c r="D163" s="110"/>
      <c r="E163" s="110"/>
      <c r="F163" s="110"/>
      <c r="G163" s="110"/>
      <c r="H163" s="110"/>
      <c r="I163" s="110"/>
      <c r="J163" s="110"/>
      <c r="K163" s="110"/>
      <c r="L163" s="110"/>
      <c r="M163" s="111"/>
    </row>
    <row r="164" spans="1:13" ht="18.75" customHeight="1" thickBot="1">
      <c r="A164" s="72" t="s">
        <v>30</v>
      </c>
      <c r="B164" s="73"/>
      <c r="C164" s="73"/>
      <c r="D164" s="73"/>
      <c r="E164" s="73"/>
      <c r="F164" s="73"/>
      <c r="G164" s="73"/>
      <c r="H164" s="73"/>
      <c r="I164" s="73"/>
      <c r="J164" s="73"/>
      <c r="K164" s="73"/>
      <c r="L164" s="73"/>
      <c r="M164" s="74"/>
    </row>
    <row r="165" spans="1:13" ht="24" customHeight="1" thickBot="1">
      <c r="A165" s="72" t="s">
        <v>31</v>
      </c>
      <c r="B165" s="73"/>
      <c r="C165" s="73"/>
      <c r="D165" s="73"/>
      <c r="E165" s="73"/>
      <c r="F165" s="73"/>
      <c r="G165" s="73"/>
      <c r="H165" s="73"/>
      <c r="I165" s="73"/>
      <c r="J165" s="73"/>
      <c r="K165" s="73"/>
      <c r="L165" s="73"/>
      <c r="M165" s="74"/>
    </row>
    <row r="166" spans="1:13" ht="27" customHeight="1" thickBot="1">
      <c r="A166" s="72" t="s">
        <v>96</v>
      </c>
      <c r="B166" s="73"/>
      <c r="C166" s="73"/>
      <c r="D166" s="73"/>
      <c r="E166" s="73"/>
      <c r="F166" s="73"/>
      <c r="G166" s="73"/>
      <c r="H166" s="73"/>
      <c r="I166" s="73"/>
      <c r="J166" s="73"/>
      <c r="K166" s="73"/>
      <c r="L166" s="73"/>
      <c r="M166" s="74"/>
    </row>
    <row r="167" spans="1:13" ht="24" customHeight="1" thickBot="1">
      <c r="A167" s="60" t="s">
        <v>46</v>
      </c>
      <c r="B167" s="61"/>
      <c r="C167" s="61"/>
      <c r="D167" s="61"/>
      <c r="E167" s="61"/>
      <c r="F167" s="61"/>
      <c r="G167" s="61"/>
      <c r="H167" s="61"/>
      <c r="I167" s="61"/>
      <c r="J167" s="61"/>
      <c r="K167" s="61"/>
      <c r="L167" s="61"/>
      <c r="M167" s="62"/>
    </row>
    <row r="168" spans="1:13" ht="11.1" customHeight="1">
      <c r="A168" s="103" t="s">
        <v>47</v>
      </c>
      <c r="B168" s="103"/>
      <c r="C168" s="103"/>
      <c r="D168" s="103"/>
      <c r="E168" s="103"/>
      <c r="F168" s="103"/>
      <c r="G168" s="103"/>
      <c r="H168" s="103"/>
      <c r="I168" s="103"/>
      <c r="J168" s="103"/>
      <c r="K168" s="103"/>
      <c r="L168" s="103"/>
      <c r="M168" s="103"/>
    </row>
    <row r="169" spans="1:13" ht="11.1" customHeight="1">
      <c r="A169" s="104" t="s">
        <v>48</v>
      </c>
      <c r="B169" s="104"/>
      <c r="C169" s="104"/>
      <c r="D169" s="104"/>
      <c r="E169" s="104"/>
      <c r="F169" s="104"/>
      <c r="G169" s="104"/>
      <c r="H169" s="104"/>
      <c r="I169" s="104"/>
      <c r="J169" s="104"/>
      <c r="K169" s="104"/>
      <c r="L169" s="104"/>
      <c r="M169" s="104"/>
    </row>
    <row r="170" spans="1:13" ht="11.1" customHeight="1">
      <c r="A170" s="105" t="s">
        <v>49</v>
      </c>
      <c r="B170" s="105"/>
      <c r="C170" s="105"/>
      <c r="D170" s="105"/>
      <c r="E170" s="105"/>
      <c r="F170" s="105"/>
      <c r="G170" s="105"/>
      <c r="H170" s="105"/>
      <c r="I170" s="105"/>
      <c r="J170" s="105"/>
      <c r="K170" s="105"/>
      <c r="L170" s="105"/>
      <c r="M170" s="105"/>
    </row>
    <row r="171" spans="1:13" ht="11.1" customHeight="1">
      <c r="A171" s="105" t="s">
        <v>50</v>
      </c>
      <c r="B171" s="105"/>
      <c r="C171" s="105"/>
      <c r="D171" s="105"/>
      <c r="E171" s="105"/>
      <c r="F171" s="105"/>
      <c r="G171" s="105"/>
      <c r="H171" s="105"/>
      <c r="I171" s="105"/>
      <c r="J171" s="105"/>
      <c r="K171" s="105"/>
      <c r="L171" s="105"/>
      <c r="M171" s="105"/>
    </row>
    <row r="172" spans="1:13" ht="11.1" customHeight="1">
      <c r="A172" s="104" t="s">
        <v>51</v>
      </c>
      <c r="B172" s="104"/>
      <c r="C172" s="104"/>
      <c r="D172" s="104"/>
      <c r="E172" s="104"/>
      <c r="F172" s="104"/>
      <c r="G172" s="104"/>
      <c r="H172" s="104"/>
      <c r="I172" s="104"/>
      <c r="J172" s="104"/>
      <c r="K172" s="104"/>
      <c r="L172" s="104"/>
      <c r="M172" s="104"/>
    </row>
    <row r="173" spans="1:13" ht="11.1" customHeight="1">
      <c r="A173" s="104" t="s">
        <v>52</v>
      </c>
      <c r="B173" s="104"/>
      <c r="C173" s="104"/>
      <c r="D173" s="104"/>
      <c r="E173" s="104"/>
      <c r="F173" s="104"/>
      <c r="G173" s="104"/>
      <c r="H173" s="104"/>
      <c r="I173" s="104"/>
      <c r="J173" s="104"/>
      <c r="K173" s="104"/>
      <c r="L173" s="104"/>
      <c r="M173" s="104"/>
    </row>
    <row r="174" spans="1:13" ht="11.1" customHeight="1">
      <c r="A174" s="104" t="s">
        <v>53</v>
      </c>
      <c r="B174" s="104"/>
      <c r="C174" s="104"/>
      <c r="D174" s="104"/>
      <c r="E174" s="104"/>
      <c r="F174" s="104"/>
      <c r="G174" s="104"/>
      <c r="H174" s="104"/>
      <c r="I174" s="104"/>
      <c r="J174" s="104"/>
      <c r="K174" s="104"/>
      <c r="L174" s="104"/>
      <c r="M174" s="104"/>
    </row>
    <row r="175" spans="1:13" ht="11.1" customHeight="1">
      <c r="A175" s="101" t="s">
        <v>54</v>
      </c>
      <c r="B175" s="101"/>
      <c r="C175" s="101"/>
      <c r="D175" s="101"/>
      <c r="E175" s="101"/>
      <c r="F175" s="101"/>
      <c r="G175" s="101"/>
      <c r="H175" s="101"/>
      <c r="I175" s="101"/>
      <c r="J175" s="101"/>
      <c r="K175" s="101"/>
      <c r="L175" s="101"/>
      <c r="M175" s="101"/>
    </row>
    <row r="176" spans="1:13" ht="11.1" customHeight="1">
      <c r="A176" s="101" t="s">
        <v>55</v>
      </c>
      <c r="B176" s="101"/>
      <c r="C176" s="101"/>
      <c r="D176" s="101"/>
      <c r="E176" s="101"/>
      <c r="F176" s="101"/>
      <c r="G176" s="101"/>
      <c r="H176" s="101"/>
      <c r="I176" s="101"/>
      <c r="J176" s="101"/>
      <c r="K176" s="101"/>
      <c r="L176" s="101"/>
      <c r="M176" s="101"/>
    </row>
    <row r="177" spans="1:15" ht="19.5" customHeight="1">
      <c r="A177" s="69" t="s">
        <v>0</v>
      </c>
      <c r="B177" s="69"/>
      <c r="C177" s="69"/>
      <c r="D177" s="69"/>
      <c r="E177" s="69"/>
      <c r="F177" s="69"/>
      <c r="G177" s="69"/>
      <c r="H177" s="69"/>
      <c r="I177" s="69"/>
      <c r="J177" s="69"/>
      <c r="K177" s="69"/>
      <c r="L177" s="69"/>
      <c r="M177" s="69"/>
    </row>
    <row r="178" spans="1:15" ht="20.100000000000001" customHeight="1">
      <c r="A178" s="4" t="s">
        <v>32</v>
      </c>
      <c r="B178" s="5">
        <f>+B134+1</f>
        <v>9</v>
      </c>
      <c r="C178" s="25"/>
      <c r="D178" s="25"/>
      <c r="E178" s="25"/>
      <c r="F178" s="25"/>
      <c r="G178" s="25"/>
      <c r="H178" s="25"/>
      <c r="I178" s="25"/>
      <c r="J178" s="25"/>
      <c r="K178" s="25"/>
      <c r="L178" s="25"/>
      <c r="M178" s="25"/>
    </row>
    <row r="179" spans="1:15" ht="24" customHeight="1" thickBot="1">
      <c r="A179" s="4" t="s">
        <v>33</v>
      </c>
      <c r="H179" s="70" t="s">
        <v>34</v>
      </c>
      <c r="I179" s="70"/>
      <c r="J179" s="70"/>
      <c r="K179" s="102">
        <f>+K135+1</f>
        <v>45935</v>
      </c>
      <c r="L179" s="102"/>
      <c r="M179" s="102"/>
      <c r="O179" s="7"/>
    </row>
    <row r="180" spans="1:15" ht="33.75" customHeight="1" thickBot="1">
      <c r="A180" s="80" t="s">
        <v>1</v>
      </c>
      <c r="B180" s="81"/>
      <c r="C180" s="82"/>
      <c r="D180" s="86" t="str">
        <f>+D136</f>
        <v>光明國中B與C區5樓老舊廁所整修工程</v>
      </c>
      <c r="E180" s="87"/>
      <c r="F180" s="87"/>
      <c r="G180" s="88"/>
      <c r="H180" s="80" t="s">
        <v>2</v>
      </c>
      <c r="I180" s="81"/>
      <c r="J180" s="82"/>
      <c r="K180" s="80" t="s">
        <v>35</v>
      </c>
      <c r="L180" s="81"/>
      <c r="M180" s="82"/>
    </row>
    <row r="181" spans="1:15" ht="33.75" customHeight="1" thickBot="1">
      <c r="A181" s="8" t="s">
        <v>3</v>
      </c>
      <c r="B181" s="26">
        <f>+B137</f>
        <v>134</v>
      </c>
      <c r="C181" s="10" t="s">
        <v>36</v>
      </c>
      <c r="D181" s="80" t="s">
        <v>4</v>
      </c>
      <c r="E181" s="89"/>
      <c r="F181" s="27">
        <f>+F137+1</f>
        <v>9</v>
      </c>
      <c r="G181" s="12" t="s">
        <v>36</v>
      </c>
      <c r="H181" s="13" t="s">
        <v>5</v>
      </c>
      <c r="I181" s="26">
        <f>+B181-F181</f>
        <v>125</v>
      </c>
      <c r="J181" s="10" t="s">
        <v>36</v>
      </c>
      <c r="K181" s="80" t="s">
        <v>6</v>
      </c>
      <c r="L181" s="82"/>
      <c r="M181" s="13">
        <f>+M137</f>
        <v>4</v>
      </c>
    </row>
    <row r="182" spans="1:15" ht="24" customHeight="1" thickBot="1">
      <c r="A182" s="80" t="s">
        <v>7</v>
      </c>
      <c r="B182" s="81"/>
      <c r="C182" s="82"/>
      <c r="D182" s="80" t="str">
        <f>+D138</f>
        <v>114.9.27</v>
      </c>
      <c r="E182" s="81"/>
      <c r="F182" s="81"/>
      <c r="G182" s="82"/>
      <c r="H182" s="80" t="s">
        <v>8</v>
      </c>
      <c r="I182" s="81"/>
      <c r="J182" s="82"/>
      <c r="K182" s="80" t="str">
        <f>+K138</f>
        <v>115.2.7</v>
      </c>
      <c r="L182" s="81"/>
      <c r="M182" s="82"/>
    </row>
    <row r="183" spans="1:15" ht="24" customHeight="1" thickBot="1">
      <c r="A183" s="80" t="s">
        <v>37</v>
      </c>
      <c r="B183" s="81"/>
      <c r="C183" s="82"/>
      <c r="D183" s="83">
        <v>2.5999999999999999E-2</v>
      </c>
      <c r="E183" s="84"/>
      <c r="F183" s="84"/>
      <c r="G183" s="85"/>
      <c r="H183" s="80" t="s">
        <v>38</v>
      </c>
      <c r="I183" s="81"/>
      <c r="J183" s="82"/>
      <c r="K183" s="83">
        <v>7.1999999999999995E-2</v>
      </c>
      <c r="L183" s="84"/>
      <c r="M183" s="85"/>
    </row>
    <row r="184" spans="1:15" ht="24" customHeight="1" thickBot="1">
      <c r="A184" s="72" t="s">
        <v>9</v>
      </c>
      <c r="B184" s="73"/>
      <c r="C184" s="73"/>
      <c r="D184" s="73"/>
      <c r="E184" s="73"/>
      <c r="F184" s="73"/>
      <c r="G184" s="73"/>
      <c r="H184" s="73"/>
      <c r="I184" s="73"/>
      <c r="J184" s="73"/>
      <c r="K184" s="73"/>
      <c r="L184" s="73"/>
      <c r="M184" s="74"/>
    </row>
    <row r="185" spans="1:15" ht="31.5" customHeight="1" thickBot="1">
      <c r="A185" s="75" t="s">
        <v>10</v>
      </c>
      <c r="B185" s="76"/>
      <c r="C185" s="76"/>
      <c r="D185" s="77"/>
      <c r="E185" s="14" t="s">
        <v>11</v>
      </c>
      <c r="F185" s="75" t="s">
        <v>12</v>
      </c>
      <c r="G185" s="77"/>
      <c r="H185" s="75" t="s">
        <v>13</v>
      </c>
      <c r="I185" s="77"/>
      <c r="J185" s="78" t="s">
        <v>14</v>
      </c>
      <c r="K185" s="79"/>
      <c r="L185" s="75" t="s">
        <v>15</v>
      </c>
      <c r="M185" s="77"/>
    </row>
    <row r="186" spans="1:15" ht="32.25" customHeight="1" thickBot="1">
      <c r="A186" s="63" t="s">
        <v>68</v>
      </c>
      <c r="B186" s="64"/>
      <c r="C186" s="64"/>
      <c r="D186" s="65"/>
      <c r="E186" s="2" t="s">
        <v>69</v>
      </c>
      <c r="F186" s="56">
        <v>1</v>
      </c>
      <c r="G186" s="57"/>
      <c r="H186" s="56">
        <v>0.1</v>
      </c>
      <c r="I186" s="57"/>
      <c r="J186" s="56">
        <v>0.5</v>
      </c>
      <c r="K186" s="57"/>
      <c r="L186" s="58"/>
      <c r="M186" s="59"/>
    </row>
    <row r="187" spans="1:15" ht="27" customHeight="1" thickBot="1">
      <c r="A187" s="63" t="s">
        <v>78</v>
      </c>
      <c r="B187" s="64"/>
      <c r="C187" s="64"/>
      <c r="D187" s="65"/>
      <c r="E187" s="15" t="s">
        <v>69</v>
      </c>
      <c r="F187" s="126">
        <v>1</v>
      </c>
      <c r="G187" s="127"/>
      <c r="H187" s="126">
        <v>0.1</v>
      </c>
      <c r="I187" s="127"/>
      <c r="J187" s="126">
        <v>0.5</v>
      </c>
      <c r="K187" s="127"/>
      <c r="L187" s="128"/>
      <c r="M187" s="129"/>
    </row>
    <row r="188" spans="1:15" ht="24.95" customHeight="1" thickTop="1" thickBot="1">
      <c r="A188" s="130" t="s">
        <v>16</v>
      </c>
      <c r="B188" s="67"/>
      <c r="C188" s="67"/>
      <c r="D188" s="68"/>
      <c r="E188" s="28"/>
      <c r="F188" s="131"/>
      <c r="G188" s="132"/>
      <c r="H188" s="131"/>
      <c r="I188" s="132"/>
      <c r="J188" s="131"/>
      <c r="K188" s="132"/>
      <c r="L188" s="131"/>
      <c r="M188" s="133"/>
    </row>
    <row r="189" spans="1:15" ht="24.95" customHeight="1" thickBot="1">
      <c r="A189" s="134"/>
      <c r="B189" s="135"/>
      <c r="C189" s="135"/>
      <c r="D189" s="59"/>
      <c r="E189" s="28"/>
      <c r="F189" s="58"/>
      <c r="G189" s="59"/>
      <c r="H189" s="58"/>
      <c r="I189" s="59"/>
      <c r="J189" s="58"/>
      <c r="K189" s="59"/>
      <c r="L189" s="58"/>
      <c r="M189" s="136"/>
    </row>
    <row r="190" spans="1:15" ht="24.95" customHeight="1" thickBot="1">
      <c r="A190" s="118"/>
      <c r="B190" s="119"/>
      <c r="C190" s="119"/>
      <c r="D190" s="120"/>
      <c r="E190" s="24"/>
      <c r="F190" s="121"/>
      <c r="G190" s="120"/>
      <c r="H190" s="121"/>
      <c r="I190" s="120"/>
      <c r="J190" s="121"/>
      <c r="K190" s="120"/>
      <c r="L190" s="121"/>
      <c r="M190" s="122"/>
    </row>
    <row r="191" spans="1:15" ht="24" customHeight="1" thickTop="1" thickBot="1">
      <c r="A191" s="66" t="s">
        <v>19</v>
      </c>
      <c r="B191" s="67"/>
      <c r="C191" s="67"/>
      <c r="D191" s="67"/>
      <c r="E191" s="67"/>
      <c r="F191" s="67"/>
      <c r="G191" s="67"/>
      <c r="H191" s="67"/>
      <c r="I191" s="67"/>
      <c r="J191" s="67"/>
      <c r="K191" s="67"/>
      <c r="L191" s="67"/>
      <c r="M191" s="68"/>
    </row>
    <row r="192" spans="1:15" ht="35.25" customHeight="1" thickBot="1">
      <c r="A192" s="75" t="s">
        <v>20</v>
      </c>
      <c r="B192" s="76"/>
      <c r="C192" s="76"/>
      <c r="D192" s="77"/>
      <c r="E192" s="14" t="s">
        <v>11</v>
      </c>
      <c r="F192" s="75" t="s">
        <v>39</v>
      </c>
      <c r="G192" s="77"/>
      <c r="H192" s="75" t="s">
        <v>21</v>
      </c>
      <c r="I192" s="77"/>
      <c r="J192" s="78" t="s">
        <v>22</v>
      </c>
      <c r="K192" s="79"/>
      <c r="L192" s="75" t="s">
        <v>15</v>
      </c>
      <c r="M192" s="77"/>
    </row>
    <row r="193" spans="1:13" ht="24" customHeight="1" thickBot="1">
      <c r="A193" s="96"/>
      <c r="B193" s="97"/>
      <c r="C193" s="97"/>
      <c r="D193" s="98"/>
      <c r="E193" s="28"/>
      <c r="F193" s="58"/>
      <c r="G193" s="59"/>
      <c r="H193" s="58"/>
      <c r="I193" s="59"/>
      <c r="J193" s="56"/>
      <c r="K193" s="57"/>
      <c r="L193" s="58"/>
      <c r="M193" s="59"/>
    </row>
    <row r="194" spans="1:13" ht="24" customHeight="1" thickBot="1">
      <c r="A194" s="96"/>
      <c r="B194" s="97"/>
      <c r="C194" s="97"/>
      <c r="D194" s="98"/>
      <c r="E194" s="28"/>
      <c r="F194" s="58"/>
      <c r="G194" s="59"/>
      <c r="H194" s="58"/>
      <c r="I194" s="59"/>
      <c r="J194" s="56"/>
      <c r="K194" s="57"/>
      <c r="L194" s="58"/>
      <c r="M194" s="59"/>
    </row>
    <row r="195" spans="1:13" ht="24" customHeight="1" thickBot="1">
      <c r="A195" s="60" t="s">
        <v>23</v>
      </c>
      <c r="B195" s="61"/>
      <c r="C195" s="61"/>
      <c r="D195" s="61"/>
      <c r="E195" s="61"/>
      <c r="F195" s="61"/>
      <c r="G195" s="61"/>
      <c r="H195" s="61"/>
      <c r="I195" s="61"/>
      <c r="J195" s="61"/>
      <c r="K195" s="61"/>
      <c r="L195" s="61"/>
      <c r="M195" s="62"/>
    </row>
    <row r="196" spans="1:13" ht="30" customHeight="1" thickBot="1">
      <c r="A196" s="75" t="s">
        <v>24</v>
      </c>
      <c r="B196" s="77"/>
      <c r="C196" s="75" t="s">
        <v>25</v>
      </c>
      <c r="D196" s="77"/>
      <c r="E196" s="75" t="s">
        <v>26</v>
      </c>
      <c r="F196" s="76"/>
      <c r="G196" s="77"/>
      <c r="H196" s="75" t="s">
        <v>27</v>
      </c>
      <c r="I196" s="77"/>
      <c r="J196" s="78" t="s">
        <v>21</v>
      </c>
      <c r="K196" s="79"/>
      <c r="L196" s="75" t="s">
        <v>22</v>
      </c>
      <c r="M196" s="77"/>
    </row>
    <row r="197" spans="1:13" s="18" customFormat="1" ht="24.75" customHeight="1" thickBot="1">
      <c r="A197" s="99" t="s">
        <v>71</v>
      </c>
      <c r="B197" s="137"/>
      <c r="C197" s="56">
        <v>6</v>
      </c>
      <c r="D197" s="57"/>
      <c r="E197" s="56">
        <v>30</v>
      </c>
      <c r="F197" s="100"/>
      <c r="G197" s="57"/>
      <c r="H197" s="56"/>
      <c r="I197" s="57"/>
      <c r="J197" s="56"/>
      <c r="K197" s="57"/>
      <c r="L197" s="56"/>
      <c r="M197" s="57"/>
    </row>
    <row r="198" spans="1:13" s="18" customFormat="1" ht="24.75" customHeight="1" thickBot="1">
      <c r="A198" s="99"/>
      <c r="B198" s="98"/>
      <c r="C198" s="56"/>
      <c r="D198" s="57"/>
      <c r="E198" s="56"/>
      <c r="F198" s="100"/>
      <c r="G198" s="57"/>
      <c r="H198" s="56"/>
      <c r="I198" s="57"/>
      <c r="J198" s="56"/>
      <c r="K198" s="57"/>
      <c r="L198" s="56"/>
      <c r="M198" s="57"/>
    </row>
    <row r="199" spans="1:13" ht="33" customHeight="1" thickBot="1">
      <c r="A199" s="112" t="s">
        <v>40</v>
      </c>
      <c r="B199" s="113"/>
      <c r="C199" s="113"/>
      <c r="D199" s="113"/>
      <c r="E199" s="113"/>
      <c r="F199" s="113"/>
      <c r="G199" s="113"/>
      <c r="H199" s="113"/>
      <c r="I199" s="113"/>
      <c r="J199" s="113"/>
      <c r="K199" s="113"/>
      <c r="L199" s="113"/>
      <c r="M199" s="114"/>
    </row>
    <row r="200" spans="1:13" ht="16.5" customHeight="1">
      <c r="A200" s="115" t="s">
        <v>41</v>
      </c>
      <c r="B200" s="116"/>
      <c r="C200" s="116"/>
      <c r="D200" s="116"/>
      <c r="E200" s="116"/>
      <c r="F200" s="116"/>
      <c r="G200" s="116"/>
      <c r="H200" s="116"/>
      <c r="I200" s="116"/>
      <c r="J200" s="116"/>
      <c r="K200" s="116"/>
      <c r="L200" s="116"/>
      <c r="M200" s="117"/>
    </row>
    <row r="201" spans="1:13" ht="16.5" customHeight="1">
      <c r="A201" s="90" t="s">
        <v>28</v>
      </c>
      <c r="B201" s="91"/>
      <c r="C201" s="91"/>
      <c r="D201" s="91"/>
      <c r="E201" s="91"/>
      <c r="F201" s="91"/>
      <c r="G201" s="91"/>
      <c r="H201" s="91"/>
      <c r="I201" s="91"/>
      <c r="J201" s="91"/>
      <c r="K201" s="91"/>
      <c r="L201" s="91"/>
      <c r="M201" s="92"/>
    </row>
    <row r="202" spans="1:13" s="1" customFormat="1" ht="16.5" customHeight="1">
      <c r="A202" s="93" t="s">
        <v>56</v>
      </c>
      <c r="B202" s="94"/>
      <c r="C202" s="94"/>
      <c r="D202" s="94"/>
      <c r="E202" s="94"/>
      <c r="F202" s="94"/>
      <c r="G202" s="94"/>
      <c r="H202" s="94"/>
      <c r="I202" s="94"/>
      <c r="J202" s="94"/>
      <c r="K202" s="94"/>
      <c r="L202" s="94"/>
      <c r="M202" s="95"/>
    </row>
    <row r="203" spans="1:13" s="1" customFormat="1" ht="16.5" customHeight="1">
      <c r="A203" s="93" t="s">
        <v>57</v>
      </c>
      <c r="B203" s="94"/>
      <c r="C203" s="94"/>
      <c r="D203" s="94"/>
      <c r="E203" s="94"/>
      <c r="F203" s="94"/>
      <c r="G203" s="94"/>
      <c r="H203" s="94"/>
      <c r="I203" s="94"/>
      <c r="J203" s="94"/>
      <c r="K203" s="94"/>
      <c r="L203" s="94"/>
      <c r="M203" s="95"/>
    </row>
    <row r="204" spans="1:13" s="1" customFormat="1" ht="16.5" customHeight="1">
      <c r="A204" s="93" t="s">
        <v>58</v>
      </c>
      <c r="B204" s="94"/>
      <c r="C204" s="94"/>
      <c r="D204" s="94"/>
      <c r="E204" s="94"/>
      <c r="F204" s="94"/>
      <c r="G204" s="94"/>
      <c r="H204" s="94"/>
      <c r="I204" s="94"/>
      <c r="J204" s="94"/>
      <c r="K204" s="94"/>
      <c r="L204" s="94"/>
      <c r="M204" s="95"/>
    </row>
    <row r="205" spans="1:13" s="1" customFormat="1" ht="16.5" customHeight="1">
      <c r="A205" s="93" t="s">
        <v>59</v>
      </c>
      <c r="B205" s="94"/>
      <c r="C205" s="94"/>
      <c r="D205" s="94"/>
      <c r="E205" s="94"/>
      <c r="F205" s="94"/>
      <c r="G205" s="94"/>
      <c r="H205" s="94"/>
      <c r="I205" s="94"/>
      <c r="J205" s="94"/>
      <c r="K205" s="94"/>
      <c r="L205" s="94"/>
      <c r="M205" s="95"/>
    </row>
    <row r="206" spans="1:13" ht="16.5" customHeight="1">
      <c r="A206" s="106" t="s">
        <v>29</v>
      </c>
      <c r="B206" s="107"/>
      <c r="C206" s="107"/>
      <c r="D206" s="107"/>
      <c r="E206" s="107"/>
      <c r="F206" s="107"/>
      <c r="G206" s="107"/>
      <c r="H206" s="107"/>
      <c r="I206" s="107"/>
      <c r="J206" s="107"/>
      <c r="K206" s="107"/>
      <c r="L206" s="107"/>
      <c r="M206" s="108"/>
    </row>
    <row r="207" spans="1:13" ht="9.75" customHeight="1" thickBot="1">
      <c r="A207" s="109"/>
      <c r="B207" s="110"/>
      <c r="C207" s="110"/>
      <c r="D207" s="110"/>
      <c r="E207" s="110"/>
      <c r="F207" s="110"/>
      <c r="G207" s="110"/>
      <c r="H207" s="110"/>
      <c r="I207" s="110"/>
      <c r="J207" s="110"/>
      <c r="K207" s="110"/>
      <c r="L207" s="110"/>
      <c r="M207" s="111"/>
    </row>
    <row r="208" spans="1:13" ht="18.75" customHeight="1" thickBot="1">
      <c r="A208" s="72" t="s">
        <v>30</v>
      </c>
      <c r="B208" s="73"/>
      <c r="C208" s="73"/>
      <c r="D208" s="73"/>
      <c r="E208" s="73"/>
      <c r="F208" s="73"/>
      <c r="G208" s="73"/>
      <c r="H208" s="73"/>
      <c r="I208" s="73"/>
      <c r="J208" s="73"/>
      <c r="K208" s="73"/>
      <c r="L208" s="73"/>
      <c r="M208" s="74"/>
    </row>
    <row r="209" spans="1:15" ht="24" customHeight="1" thickBot="1">
      <c r="A209" s="72" t="s">
        <v>31</v>
      </c>
      <c r="B209" s="73"/>
      <c r="C209" s="73"/>
      <c r="D209" s="73"/>
      <c r="E209" s="73"/>
      <c r="F209" s="73"/>
      <c r="G209" s="73"/>
      <c r="H209" s="73"/>
      <c r="I209" s="73"/>
      <c r="J209" s="73"/>
      <c r="K209" s="73"/>
      <c r="L209" s="73"/>
      <c r="M209" s="74"/>
    </row>
    <row r="210" spans="1:15" ht="27" customHeight="1" thickBot="1">
      <c r="A210" s="72" t="s">
        <v>97</v>
      </c>
      <c r="B210" s="73"/>
      <c r="C210" s="73"/>
      <c r="D210" s="73"/>
      <c r="E210" s="73"/>
      <c r="F210" s="73"/>
      <c r="G210" s="73"/>
      <c r="H210" s="73"/>
      <c r="I210" s="73"/>
      <c r="J210" s="73"/>
      <c r="K210" s="73"/>
      <c r="L210" s="73"/>
      <c r="M210" s="74"/>
    </row>
    <row r="211" spans="1:15" ht="24" customHeight="1" thickBot="1">
      <c r="A211" s="60" t="s">
        <v>46</v>
      </c>
      <c r="B211" s="61"/>
      <c r="C211" s="61"/>
      <c r="D211" s="61"/>
      <c r="E211" s="61"/>
      <c r="F211" s="61"/>
      <c r="G211" s="61"/>
      <c r="H211" s="61"/>
      <c r="I211" s="61"/>
      <c r="J211" s="61"/>
      <c r="K211" s="61"/>
      <c r="L211" s="61"/>
      <c r="M211" s="62"/>
    </row>
    <row r="212" spans="1:15" ht="11.1" customHeight="1">
      <c r="A212" s="103" t="s">
        <v>47</v>
      </c>
      <c r="B212" s="103"/>
      <c r="C212" s="103"/>
      <c r="D212" s="103"/>
      <c r="E212" s="103"/>
      <c r="F212" s="103"/>
      <c r="G212" s="103"/>
      <c r="H212" s="103"/>
      <c r="I212" s="103"/>
      <c r="J212" s="103"/>
      <c r="K212" s="103"/>
      <c r="L212" s="103"/>
      <c r="M212" s="103"/>
    </row>
    <row r="213" spans="1:15" ht="11.1" customHeight="1">
      <c r="A213" s="104" t="s">
        <v>48</v>
      </c>
      <c r="B213" s="104"/>
      <c r="C213" s="104"/>
      <c r="D213" s="104"/>
      <c r="E213" s="104"/>
      <c r="F213" s="104"/>
      <c r="G213" s="104"/>
      <c r="H213" s="104"/>
      <c r="I213" s="104"/>
      <c r="J213" s="104"/>
      <c r="K213" s="104"/>
      <c r="L213" s="104"/>
      <c r="M213" s="104"/>
    </row>
    <row r="214" spans="1:15" ht="11.1" customHeight="1">
      <c r="A214" s="105" t="s">
        <v>49</v>
      </c>
      <c r="B214" s="105"/>
      <c r="C214" s="105"/>
      <c r="D214" s="105"/>
      <c r="E214" s="105"/>
      <c r="F214" s="105"/>
      <c r="G214" s="105"/>
      <c r="H214" s="105"/>
      <c r="I214" s="105"/>
      <c r="J214" s="105"/>
      <c r="K214" s="105"/>
      <c r="L214" s="105"/>
      <c r="M214" s="105"/>
    </row>
    <row r="215" spans="1:15" ht="11.1" customHeight="1">
      <c r="A215" s="105" t="s">
        <v>50</v>
      </c>
      <c r="B215" s="105"/>
      <c r="C215" s="105"/>
      <c r="D215" s="105"/>
      <c r="E215" s="105"/>
      <c r="F215" s="105"/>
      <c r="G215" s="105"/>
      <c r="H215" s="105"/>
      <c r="I215" s="105"/>
      <c r="J215" s="105"/>
      <c r="K215" s="105"/>
      <c r="L215" s="105"/>
      <c r="M215" s="105"/>
    </row>
    <row r="216" spans="1:15" ht="11.1" customHeight="1">
      <c r="A216" s="104" t="s">
        <v>51</v>
      </c>
      <c r="B216" s="104"/>
      <c r="C216" s="104"/>
      <c r="D216" s="104"/>
      <c r="E216" s="104"/>
      <c r="F216" s="104"/>
      <c r="G216" s="104"/>
      <c r="H216" s="104"/>
      <c r="I216" s="104"/>
      <c r="J216" s="104"/>
      <c r="K216" s="104"/>
      <c r="L216" s="104"/>
      <c r="M216" s="104"/>
    </row>
    <row r="217" spans="1:15" ht="11.1" customHeight="1">
      <c r="A217" s="104" t="s">
        <v>52</v>
      </c>
      <c r="B217" s="104"/>
      <c r="C217" s="104"/>
      <c r="D217" s="104"/>
      <c r="E217" s="104"/>
      <c r="F217" s="104"/>
      <c r="G217" s="104"/>
      <c r="H217" s="104"/>
      <c r="I217" s="104"/>
      <c r="J217" s="104"/>
      <c r="K217" s="104"/>
      <c r="L217" s="104"/>
      <c r="M217" s="104"/>
    </row>
    <row r="218" spans="1:15" ht="11.1" customHeight="1">
      <c r="A218" s="104" t="s">
        <v>53</v>
      </c>
      <c r="B218" s="104"/>
      <c r="C218" s="104"/>
      <c r="D218" s="104"/>
      <c r="E218" s="104"/>
      <c r="F218" s="104"/>
      <c r="G218" s="104"/>
      <c r="H218" s="104"/>
      <c r="I218" s="104"/>
      <c r="J218" s="104"/>
      <c r="K218" s="104"/>
      <c r="L218" s="104"/>
      <c r="M218" s="104"/>
    </row>
    <row r="219" spans="1:15" ht="11.1" customHeight="1">
      <c r="A219" s="101" t="s">
        <v>54</v>
      </c>
      <c r="B219" s="101"/>
      <c r="C219" s="101"/>
      <c r="D219" s="101"/>
      <c r="E219" s="101"/>
      <c r="F219" s="101"/>
      <c r="G219" s="101"/>
      <c r="H219" s="101"/>
      <c r="I219" s="101"/>
      <c r="J219" s="101"/>
      <c r="K219" s="101"/>
      <c r="L219" s="101"/>
      <c r="M219" s="101"/>
    </row>
    <row r="220" spans="1:15" ht="11.1" customHeight="1">
      <c r="A220" s="101" t="s">
        <v>55</v>
      </c>
      <c r="B220" s="101"/>
      <c r="C220" s="101"/>
      <c r="D220" s="101"/>
      <c r="E220" s="101"/>
      <c r="F220" s="101"/>
      <c r="G220" s="101"/>
      <c r="H220" s="101"/>
      <c r="I220" s="101"/>
      <c r="J220" s="101"/>
      <c r="K220" s="101"/>
      <c r="L220" s="101"/>
      <c r="M220" s="101"/>
    </row>
    <row r="221" spans="1:15" ht="19.5" customHeight="1">
      <c r="A221" s="69" t="s">
        <v>0</v>
      </c>
      <c r="B221" s="69"/>
      <c r="C221" s="69"/>
      <c r="D221" s="69"/>
      <c r="E221" s="69"/>
      <c r="F221" s="69"/>
      <c r="G221" s="69"/>
      <c r="H221" s="69"/>
      <c r="I221" s="69"/>
      <c r="J221" s="69"/>
      <c r="K221" s="69"/>
      <c r="L221" s="69"/>
      <c r="M221" s="69"/>
    </row>
    <row r="222" spans="1:15" ht="20.100000000000001" customHeight="1">
      <c r="A222" s="4" t="s">
        <v>32</v>
      </c>
      <c r="B222" s="5">
        <f>+B178+1</f>
        <v>10</v>
      </c>
      <c r="C222" s="25"/>
      <c r="D222" s="25"/>
      <c r="E222" s="25"/>
      <c r="F222" s="25"/>
      <c r="G222" s="25"/>
      <c r="H222" s="25"/>
      <c r="I222" s="25"/>
      <c r="J222" s="25"/>
      <c r="K222" s="25"/>
      <c r="L222" s="25"/>
      <c r="M222" s="25"/>
    </row>
    <row r="223" spans="1:15" ht="24" customHeight="1" thickBot="1">
      <c r="A223" s="4" t="s">
        <v>33</v>
      </c>
      <c r="H223" s="70" t="s">
        <v>34</v>
      </c>
      <c r="I223" s="70"/>
      <c r="J223" s="70"/>
      <c r="K223" s="102">
        <f>+K179+1</f>
        <v>45936</v>
      </c>
      <c r="L223" s="102"/>
      <c r="M223" s="102"/>
      <c r="O223" s="7"/>
    </row>
    <row r="224" spans="1:15" ht="33.75" customHeight="1" thickBot="1">
      <c r="A224" s="80" t="s">
        <v>1</v>
      </c>
      <c r="B224" s="81"/>
      <c r="C224" s="82"/>
      <c r="D224" s="86" t="str">
        <f>+D180</f>
        <v>光明國中B與C區5樓老舊廁所整修工程</v>
      </c>
      <c r="E224" s="87"/>
      <c r="F224" s="87"/>
      <c r="G224" s="88"/>
      <c r="H224" s="80" t="s">
        <v>2</v>
      </c>
      <c r="I224" s="81"/>
      <c r="J224" s="82"/>
      <c r="K224" s="80" t="s">
        <v>35</v>
      </c>
      <c r="L224" s="81"/>
      <c r="M224" s="82"/>
    </row>
    <row r="225" spans="1:13" ht="33.75" customHeight="1" thickBot="1">
      <c r="A225" s="8" t="s">
        <v>3</v>
      </c>
      <c r="B225" s="26">
        <f>+B181</f>
        <v>134</v>
      </c>
      <c r="C225" s="10" t="s">
        <v>36</v>
      </c>
      <c r="D225" s="80" t="s">
        <v>4</v>
      </c>
      <c r="E225" s="89"/>
      <c r="F225" s="27">
        <f>+F181+1</f>
        <v>10</v>
      </c>
      <c r="G225" s="12" t="s">
        <v>36</v>
      </c>
      <c r="H225" s="13" t="s">
        <v>5</v>
      </c>
      <c r="I225" s="26">
        <f>+B225-F225</f>
        <v>124</v>
      </c>
      <c r="J225" s="10" t="s">
        <v>36</v>
      </c>
      <c r="K225" s="80" t="s">
        <v>6</v>
      </c>
      <c r="L225" s="82"/>
      <c r="M225" s="13">
        <f>+M181</f>
        <v>4</v>
      </c>
    </row>
    <row r="226" spans="1:13" ht="24" customHeight="1" thickBot="1">
      <c r="A226" s="80" t="s">
        <v>7</v>
      </c>
      <c r="B226" s="81"/>
      <c r="C226" s="82"/>
      <c r="D226" s="80" t="str">
        <f>+D182</f>
        <v>114.9.27</v>
      </c>
      <c r="E226" s="81"/>
      <c r="F226" s="81"/>
      <c r="G226" s="82"/>
      <c r="H226" s="80" t="s">
        <v>8</v>
      </c>
      <c r="I226" s="81"/>
      <c r="J226" s="82"/>
      <c r="K226" s="80" t="str">
        <f>+K182</f>
        <v>115.2.7</v>
      </c>
      <c r="L226" s="81"/>
      <c r="M226" s="82"/>
    </row>
    <row r="227" spans="1:13" ht="24" customHeight="1" thickBot="1">
      <c r="A227" s="80" t="s">
        <v>37</v>
      </c>
      <c r="B227" s="81"/>
      <c r="C227" s="82"/>
      <c r="D227" s="83">
        <v>2.8000000000000001E-2</v>
      </c>
      <c r="E227" s="84"/>
      <c r="F227" s="84"/>
      <c r="G227" s="85"/>
      <c r="H227" s="80" t="s">
        <v>38</v>
      </c>
      <c r="I227" s="81"/>
      <c r="J227" s="82"/>
      <c r="K227" s="83">
        <f>+K183</f>
        <v>7.1999999999999995E-2</v>
      </c>
      <c r="L227" s="84"/>
      <c r="M227" s="85"/>
    </row>
    <row r="228" spans="1:13" ht="24" customHeight="1" thickBot="1">
      <c r="A228" s="72" t="s">
        <v>9</v>
      </c>
      <c r="B228" s="73"/>
      <c r="C228" s="73"/>
      <c r="D228" s="73"/>
      <c r="E228" s="73"/>
      <c r="F228" s="73"/>
      <c r="G228" s="73"/>
      <c r="H228" s="73"/>
      <c r="I228" s="73"/>
      <c r="J228" s="73"/>
      <c r="K228" s="73"/>
      <c r="L228" s="73"/>
      <c r="M228" s="74"/>
    </row>
    <row r="229" spans="1:13" ht="35.25" customHeight="1" thickBot="1">
      <c r="A229" s="75" t="s">
        <v>10</v>
      </c>
      <c r="B229" s="76"/>
      <c r="C229" s="76"/>
      <c r="D229" s="77"/>
      <c r="E229" s="14" t="s">
        <v>11</v>
      </c>
      <c r="F229" s="75" t="s">
        <v>12</v>
      </c>
      <c r="G229" s="77"/>
      <c r="H229" s="75" t="s">
        <v>13</v>
      </c>
      <c r="I229" s="77"/>
      <c r="J229" s="78" t="s">
        <v>14</v>
      </c>
      <c r="K229" s="79"/>
      <c r="L229" s="75" t="s">
        <v>15</v>
      </c>
      <c r="M229" s="77"/>
    </row>
    <row r="230" spans="1:13" ht="27.95" customHeight="1" thickBot="1">
      <c r="A230" s="141"/>
      <c r="B230" s="142"/>
      <c r="C230" s="142"/>
      <c r="D230" s="143"/>
      <c r="E230" s="2"/>
      <c r="F230" s="56"/>
      <c r="G230" s="57"/>
      <c r="H230" s="56"/>
      <c r="I230" s="57"/>
      <c r="J230" s="56"/>
      <c r="K230" s="57"/>
      <c r="L230" s="58"/>
      <c r="M230" s="59"/>
    </row>
    <row r="231" spans="1:13" ht="27.95" customHeight="1" thickBot="1">
      <c r="A231" s="141"/>
      <c r="B231" s="142"/>
      <c r="C231" s="142"/>
      <c r="D231" s="143"/>
      <c r="E231" s="15"/>
      <c r="F231" s="56"/>
      <c r="G231" s="57"/>
      <c r="H231" s="56"/>
      <c r="I231" s="57"/>
      <c r="J231" s="56"/>
      <c r="K231" s="57"/>
      <c r="L231" s="58"/>
      <c r="M231" s="59"/>
    </row>
    <row r="232" spans="1:13" ht="24.95" customHeight="1" thickTop="1" thickBot="1">
      <c r="A232" s="130" t="s">
        <v>16</v>
      </c>
      <c r="B232" s="67"/>
      <c r="C232" s="67"/>
      <c r="D232" s="68"/>
      <c r="E232" s="28"/>
      <c r="F232" s="131"/>
      <c r="G232" s="132"/>
      <c r="H232" s="131"/>
      <c r="I232" s="132"/>
      <c r="J232" s="131"/>
      <c r="K232" s="132"/>
      <c r="L232" s="131"/>
      <c r="M232" s="133"/>
    </row>
    <row r="233" spans="1:13" ht="24.95" customHeight="1" thickBot="1">
      <c r="A233" s="134"/>
      <c r="B233" s="135"/>
      <c r="C233" s="135"/>
      <c r="D233" s="59"/>
      <c r="E233" s="28"/>
      <c r="F233" s="58"/>
      <c r="G233" s="59"/>
      <c r="H233" s="58"/>
      <c r="I233" s="59"/>
      <c r="J233" s="58"/>
      <c r="K233" s="59"/>
      <c r="L233" s="58"/>
      <c r="M233" s="136"/>
    </row>
    <row r="234" spans="1:13" ht="24.95" customHeight="1" thickBot="1">
      <c r="A234" s="118"/>
      <c r="B234" s="119"/>
      <c r="C234" s="119"/>
      <c r="D234" s="120"/>
      <c r="E234" s="24"/>
      <c r="F234" s="121"/>
      <c r="G234" s="120"/>
      <c r="H234" s="121"/>
      <c r="I234" s="120"/>
      <c r="J234" s="121"/>
      <c r="K234" s="120"/>
      <c r="L234" s="121"/>
      <c r="M234" s="122"/>
    </row>
    <row r="235" spans="1:13" ht="24" customHeight="1" thickTop="1" thickBot="1">
      <c r="A235" s="66" t="s">
        <v>19</v>
      </c>
      <c r="B235" s="67"/>
      <c r="C235" s="67"/>
      <c r="D235" s="67"/>
      <c r="E235" s="67"/>
      <c r="F235" s="67"/>
      <c r="G235" s="67"/>
      <c r="H235" s="67"/>
      <c r="I235" s="67"/>
      <c r="J235" s="67"/>
      <c r="K235" s="67"/>
      <c r="L235" s="67"/>
      <c r="M235" s="68"/>
    </row>
    <row r="236" spans="1:13" ht="35.25" customHeight="1" thickBot="1">
      <c r="A236" s="75" t="s">
        <v>20</v>
      </c>
      <c r="B236" s="76"/>
      <c r="C236" s="76"/>
      <c r="D236" s="77"/>
      <c r="E236" s="14" t="s">
        <v>11</v>
      </c>
      <c r="F236" s="75" t="s">
        <v>39</v>
      </c>
      <c r="G236" s="77"/>
      <c r="H236" s="75" t="s">
        <v>21</v>
      </c>
      <c r="I236" s="77"/>
      <c r="J236" s="78" t="s">
        <v>22</v>
      </c>
      <c r="K236" s="79"/>
      <c r="L236" s="75" t="s">
        <v>15</v>
      </c>
      <c r="M236" s="77"/>
    </row>
    <row r="237" spans="1:13" ht="24" customHeight="1" thickBot="1">
      <c r="A237" s="96"/>
      <c r="B237" s="97"/>
      <c r="C237" s="97"/>
      <c r="D237" s="98"/>
      <c r="E237" s="28"/>
      <c r="F237" s="58"/>
      <c r="G237" s="59"/>
      <c r="H237" s="58"/>
      <c r="I237" s="59"/>
      <c r="J237" s="56"/>
      <c r="K237" s="57"/>
      <c r="L237" s="58"/>
      <c r="M237" s="59"/>
    </row>
    <row r="238" spans="1:13" ht="24" customHeight="1" thickBot="1">
      <c r="A238" s="96"/>
      <c r="B238" s="97"/>
      <c r="C238" s="97"/>
      <c r="D238" s="98"/>
      <c r="E238" s="28"/>
      <c r="F238" s="58"/>
      <c r="G238" s="59"/>
      <c r="H238" s="58"/>
      <c r="I238" s="59"/>
      <c r="J238" s="56"/>
      <c r="K238" s="57"/>
      <c r="L238" s="58"/>
      <c r="M238" s="59"/>
    </row>
    <row r="239" spans="1:13" ht="24" customHeight="1" thickBot="1">
      <c r="A239" s="60" t="s">
        <v>23</v>
      </c>
      <c r="B239" s="61"/>
      <c r="C239" s="61"/>
      <c r="D239" s="61"/>
      <c r="E239" s="61"/>
      <c r="F239" s="61"/>
      <c r="G239" s="61"/>
      <c r="H239" s="61"/>
      <c r="I239" s="61"/>
      <c r="J239" s="61"/>
      <c r="K239" s="61"/>
      <c r="L239" s="61"/>
      <c r="M239" s="62"/>
    </row>
    <row r="240" spans="1:13" ht="35.25" customHeight="1" thickBot="1">
      <c r="A240" s="75" t="s">
        <v>24</v>
      </c>
      <c r="B240" s="77"/>
      <c r="C240" s="75" t="s">
        <v>25</v>
      </c>
      <c r="D240" s="77"/>
      <c r="E240" s="75" t="s">
        <v>26</v>
      </c>
      <c r="F240" s="76"/>
      <c r="G240" s="77"/>
      <c r="H240" s="75" t="s">
        <v>27</v>
      </c>
      <c r="I240" s="77"/>
      <c r="J240" s="78" t="s">
        <v>21</v>
      </c>
      <c r="K240" s="79"/>
      <c r="L240" s="75" t="s">
        <v>22</v>
      </c>
      <c r="M240" s="77"/>
    </row>
    <row r="241" spans="1:13" s="18" customFormat="1" ht="24.75" customHeight="1" thickBot="1">
      <c r="A241" s="99"/>
      <c r="B241" s="98"/>
      <c r="C241" s="56"/>
      <c r="D241" s="57"/>
      <c r="E241" s="56"/>
      <c r="F241" s="100"/>
      <c r="G241" s="57"/>
      <c r="H241" s="56"/>
      <c r="I241" s="57"/>
      <c r="J241" s="56"/>
      <c r="K241" s="57"/>
      <c r="L241" s="56"/>
      <c r="M241" s="57"/>
    </row>
    <row r="242" spans="1:13" s="18" customFormat="1" ht="24.75" customHeight="1" thickBot="1">
      <c r="A242" s="99"/>
      <c r="B242" s="98"/>
      <c r="C242" s="56"/>
      <c r="D242" s="57"/>
      <c r="E242" s="56"/>
      <c r="F242" s="100"/>
      <c r="G242" s="57"/>
      <c r="H242" s="56"/>
      <c r="I242" s="57"/>
      <c r="J242" s="56"/>
      <c r="K242" s="57"/>
      <c r="L242" s="56"/>
      <c r="M242" s="57"/>
    </row>
    <row r="243" spans="1:13" ht="33" customHeight="1" thickBot="1">
      <c r="A243" s="112" t="s">
        <v>60</v>
      </c>
      <c r="B243" s="113"/>
      <c r="C243" s="113"/>
      <c r="D243" s="113"/>
      <c r="E243" s="113"/>
      <c r="F243" s="113"/>
      <c r="G243" s="113"/>
      <c r="H243" s="113"/>
      <c r="I243" s="113"/>
      <c r="J243" s="113"/>
      <c r="K243" s="113"/>
      <c r="L243" s="113"/>
      <c r="M243" s="114"/>
    </row>
    <row r="244" spans="1:13" ht="16.5" customHeight="1">
      <c r="A244" s="115" t="s">
        <v>41</v>
      </c>
      <c r="B244" s="116"/>
      <c r="C244" s="116"/>
      <c r="D244" s="116"/>
      <c r="E244" s="116"/>
      <c r="F244" s="116"/>
      <c r="G244" s="116"/>
      <c r="H244" s="116"/>
      <c r="I244" s="116"/>
      <c r="J244" s="116"/>
      <c r="K244" s="116"/>
      <c r="L244" s="116"/>
      <c r="M244" s="117"/>
    </row>
    <row r="245" spans="1:13" ht="16.5" customHeight="1">
      <c r="A245" s="90" t="s">
        <v>28</v>
      </c>
      <c r="B245" s="91"/>
      <c r="C245" s="91"/>
      <c r="D245" s="91"/>
      <c r="E245" s="91"/>
      <c r="F245" s="91"/>
      <c r="G245" s="91"/>
      <c r="H245" s="91"/>
      <c r="I245" s="91"/>
      <c r="J245" s="91"/>
      <c r="K245" s="91"/>
      <c r="L245" s="91"/>
      <c r="M245" s="92"/>
    </row>
    <row r="246" spans="1:13" ht="16.5" customHeight="1">
      <c r="A246" s="106" t="s">
        <v>42</v>
      </c>
      <c r="B246" s="107"/>
      <c r="C246" s="107"/>
      <c r="D246" s="107"/>
      <c r="E246" s="107"/>
      <c r="F246" s="107"/>
      <c r="G246" s="107"/>
      <c r="H246" s="107"/>
      <c r="I246" s="107"/>
      <c r="J246" s="107"/>
      <c r="K246" s="107"/>
      <c r="L246" s="107"/>
      <c r="M246" s="108"/>
    </row>
    <row r="247" spans="1:13" ht="16.5" customHeight="1">
      <c r="A247" s="106" t="s">
        <v>43</v>
      </c>
      <c r="B247" s="107"/>
      <c r="C247" s="107"/>
      <c r="D247" s="107"/>
      <c r="E247" s="107"/>
      <c r="F247" s="107"/>
      <c r="G247" s="107"/>
      <c r="H247" s="107"/>
      <c r="I247" s="107"/>
      <c r="J247" s="107"/>
      <c r="K247" s="107"/>
      <c r="L247" s="107"/>
      <c r="M247" s="108"/>
    </row>
    <row r="248" spans="1:13" ht="16.5" customHeight="1">
      <c r="A248" s="106" t="s">
        <v>44</v>
      </c>
      <c r="B248" s="107"/>
      <c r="C248" s="107"/>
      <c r="D248" s="107"/>
      <c r="E248" s="107"/>
      <c r="F248" s="107"/>
      <c r="G248" s="107"/>
      <c r="H248" s="107"/>
      <c r="I248" s="107"/>
      <c r="J248" s="107"/>
      <c r="K248" s="107"/>
      <c r="L248" s="107"/>
      <c r="M248" s="108"/>
    </row>
    <row r="249" spans="1:13" ht="16.5" customHeight="1">
      <c r="A249" s="106" t="s">
        <v>45</v>
      </c>
      <c r="B249" s="107"/>
      <c r="C249" s="107"/>
      <c r="D249" s="107"/>
      <c r="E249" s="107"/>
      <c r="F249" s="107"/>
      <c r="G249" s="107"/>
      <c r="H249" s="107"/>
      <c r="I249" s="107"/>
      <c r="J249" s="107"/>
      <c r="K249" s="107"/>
      <c r="L249" s="107"/>
      <c r="M249" s="108"/>
    </row>
    <row r="250" spans="1:13" ht="16.5" customHeight="1">
      <c r="A250" s="106" t="s">
        <v>29</v>
      </c>
      <c r="B250" s="107"/>
      <c r="C250" s="107"/>
      <c r="D250" s="107"/>
      <c r="E250" s="107"/>
      <c r="F250" s="107"/>
      <c r="G250" s="107"/>
      <c r="H250" s="107"/>
      <c r="I250" s="107"/>
      <c r="J250" s="107"/>
      <c r="K250" s="107"/>
      <c r="L250" s="107"/>
      <c r="M250" s="108"/>
    </row>
    <row r="251" spans="1:13" ht="4.5" customHeight="1" thickBot="1">
      <c r="A251" s="109"/>
      <c r="B251" s="110"/>
      <c r="C251" s="110"/>
      <c r="D251" s="110"/>
      <c r="E251" s="110"/>
      <c r="F251" s="110"/>
      <c r="G251" s="110"/>
      <c r="H251" s="110"/>
      <c r="I251" s="110"/>
      <c r="J251" s="110"/>
      <c r="K251" s="110"/>
      <c r="L251" s="110"/>
      <c r="M251" s="111"/>
    </row>
    <row r="252" spans="1:13" ht="18.75" customHeight="1" thickBot="1">
      <c r="A252" s="72" t="s">
        <v>30</v>
      </c>
      <c r="B252" s="73"/>
      <c r="C252" s="73"/>
      <c r="D252" s="73"/>
      <c r="E252" s="73"/>
      <c r="F252" s="73"/>
      <c r="G252" s="73"/>
      <c r="H252" s="73"/>
      <c r="I252" s="73"/>
      <c r="J252" s="73"/>
      <c r="K252" s="73"/>
      <c r="L252" s="73"/>
      <c r="M252" s="74"/>
    </row>
    <row r="253" spans="1:13" ht="24" customHeight="1" thickBot="1">
      <c r="A253" s="72" t="s">
        <v>31</v>
      </c>
      <c r="B253" s="73"/>
      <c r="C253" s="73"/>
      <c r="D253" s="73"/>
      <c r="E253" s="73"/>
      <c r="F253" s="73"/>
      <c r="G253" s="73"/>
      <c r="H253" s="73"/>
      <c r="I253" s="73"/>
      <c r="J253" s="73"/>
      <c r="K253" s="73"/>
      <c r="L253" s="73"/>
      <c r="M253" s="74"/>
    </row>
    <row r="254" spans="1:13" ht="27.75" customHeight="1" thickBot="1">
      <c r="A254" s="72" t="s">
        <v>110</v>
      </c>
      <c r="B254" s="73"/>
      <c r="C254" s="73"/>
      <c r="D254" s="73"/>
      <c r="E254" s="73"/>
      <c r="F254" s="73"/>
      <c r="G254" s="73"/>
      <c r="H254" s="73"/>
      <c r="I254" s="73"/>
      <c r="J254" s="73"/>
      <c r="K254" s="73"/>
      <c r="L254" s="73"/>
      <c r="M254" s="74"/>
    </row>
    <row r="255" spans="1:13" ht="24" customHeight="1" thickBot="1">
      <c r="A255" s="60" t="s">
        <v>46</v>
      </c>
      <c r="B255" s="61"/>
      <c r="C255" s="61"/>
      <c r="D255" s="61"/>
      <c r="E255" s="61"/>
      <c r="F255" s="61"/>
      <c r="G255" s="61"/>
      <c r="H255" s="61"/>
      <c r="I255" s="61"/>
      <c r="J255" s="61"/>
      <c r="K255" s="61"/>
      <c r="L255" s="61"/>
      <c r="M255" s="62"/>
    </row>
    <row r="256" spans="1:13" ht="11.1" customHeight="1">
      <c r="A256" s="103" t="s">
        <v>47</v>
      </c>
      <c r="B256" s="103"/>
      <c r="C256" s="103"/>
      <c r="D256" s="103"/>
      <c r="E256" s="103"/>
      <c r="F256" s="103"/>
      <c r="G256" s="103"/>
      <c r="H256" s="103"/>
      <c r="I256" s="103"/>
      <c r="J256" s="103"/>
      <c r="K256" s="103"/>
      <c r="L256" s="103"/>
      <c r="M256" s="103"/>
    </row>
    <row r="257" spans="1:15" ht="11.1" customHeight="1">
      <c r="A257" s="104" t="s">
        <v>48</v>
      </c>
      <c r="B257" s="104"/>
      <c r="C257" s="104"/>
      <c r="D257" s="104"/>
      <c r="E257" s="104"/>
      <c r="F257" s="104"/>
      <c r="G257" s="104"/>
      <c r="H257" s="104"/>
      <c r="I257" s="104"/>
      <c r="J257" s="104"/>
      <c r="K257" s="104"/>
      <c r="L257" s="104"/>
      <c r="M257" s="104"/>
    </row>
    <row r="258" spans="1:15" ht="11.1" customHeight="1">
      <c r="A258" s="105" t="s">
        <v>49</v>
      </c>
      <c r="B258" s="105"/>
      <c r="C258" s="105"/>
      <c r="D258" s="105"/>
      <c r="E258" s="105"/>
      <c r="F258" s="105"/>
      <c r="G258" s="105"/>
      <c r="H258" s="105"/>
      <c r="I258" s="105"/>
      <c r="J258" s="105"/>
      <c r="K258" s="105"/>
      <c r="L258" s="105"/>
      <c r="M258" s="105"/>
    </row>
    <row r="259" spans="1:15" ht="11.1" customHeight="1">
      <c r="A259" s="105" t="s">
        <v>50</v>
      </c>
      <c r="B259" s="105"/>
      <c r="C259" s="105"/>
      <c r="D259" s="105"/>
      <c r="E259" s="105"/>
      <c r="F259" s="105"/>
      <c r="G259" s="105"/>
      <c r="H259" s="105"/>
      <c r="I259" s="105"/>
      <c r="J259" s="105"/>
      <c r="K259" s="105"/>
      <c r="L259" s="105"/>
      <c r="M259" s="105"/>
    </row>
    <row r="260" spans="1:15" ht="11.1" customHeight="1">
      <c r="A260" s="104" t="s">
        <v>51</v>
      </c>
      <c r="B260" s="104"/>
      <c r="C260" s="104"/>
      <c r="D260" s="104"/>
      <c r="E260" s="104"/>
      <c r="F260" s="104"/>
      <c r="G260" s="104"/>
      <c r="H260" s="104"/>
      <c r="I260" s="104"/>
      <c r="J260" s="104"/>
      <c r="K260" s="104"/>
      <c r="L260" s="104"/>
      <c r="M260" s="104"/>
    </row>
    <row r="261" spans="1:15" ht="11.1" customHeight="1">
      <c r="A261" s="104" t="s">
        <v>52</v>
      </c>
      <c r="B261" s="104"/>
      <c r="C261" s="104"/>
      <c r="D261" s="104"/>
      <c r="E261" s="104"/>
      <c r="F261" s="104"/>
      <c r="G261" s="104"/>
      <c r="H261" s="104"/>
      <c r="I261" s="104"/>
      <c r="J261" s="104"/>
      <c r="K261" s="104"/>
      <c r="L261" s="104"/>
      <c r="M261" s="104"/>
    </row>
    <row r="262" spans="1:15" ht="11.1" customHeight="1">
      <c r="A262" s="104" t="s">
        <v>53</v>
      </c>
      <c r="B262" s="104"/>
      <c r="C262" s="104"/>
      <c r="D262" s="104"/>
      <c r="E262" s="104"/>
      <c r="F262" s="104"/>
      <c r="G262" s="104"/>
      <c r="H262" s="104"/>
      <c r="I262" s="104"/>
      <c r="J262" s="104"/>
      <c r="K262" s="104"/>
      <c r="L262" s="104"/>
      <c r="M262" s="104"/>
    </row>
    <row r="263" spans="1:15" ht="11.1" customHeight="1">
      <c r="A263" s="101" t="s">
        <v>54</v>
      </c>
      <c r="B263" s="101"/>
      <c r="C263" s="101"/>
      <c r="D263" s="101"/>
      <c r="E263" s="101"/>
      <c r="F263" s="101"/>
      <c r="G263" s="101"/>
      <c r="H263" s="101"/>
      <c r="I263" s="101"/>
      <c r="J263" s="101"/>
      <c r="K263" s="101"/>
      <c r="L263" s="101"/>
      <c r="M263" s="101"/>
    </row>
    <row r="264" spans="1:15" ht="11.1" customHeight="1">
      <c r="A264" s="101" t="s">
        <v>55</v>
      </c>
      <c r="B264" s="101"/>
      <c r="C264" s="101"/>
      <c r="D264" s="101"/>
      <c r="E264" s="101"/>
      <c r="F264" s="101"/>
      <c r="G264" s="101"/>
      <c r="H264" s="101"/>
      <c r="I264" s="101"/>
      <c r="J264" s="101"/>
      <c r="K264" s="101"/>
      <c r="L264" s="101"/>
      <c r="M264" s="101"/>
    </row>
    <row r="265" spans="1:15" ht="19.5" customHeight="1">
      <c r="A265" s="69" t="s">
        <v>0</v>
      </c>
      <c r="B265" s="69"/>
      <c r="C265" s="69"/>
      <c r="D265" s="69"/>
      <c r="E265" s="69"/>
      <c r="F265" s="69"/>
      <c r="G265" s="69"/>
      <c r="H265" s="69"/>
      <c r="I265" s="69"/>
      <c r="J265" s="69"/>
      <c r="K265" s="69"/>
      <c r="L265" s="69"/>
      <c r="M265" s="69"/>
    </row>
    <row r="266" spans="1:15" ht="20.100000000000001" customHeight="1">
      <c r="A266" s="4" t="s">
        <v>32</v>
      </c>
      <c r="B266" s="5">
        <f>+B222+1</f>
        <v>11</v>
      </c>
      <c r="C266" s="25"/>
      <c r="D266" s="25"/>
      <c r="E266" s="25"/>
      <c r="F266" s="25"/>
      <c r="G266" s="25"/>
      <c r="H266" s="25"/>
      <c r="I266" s="25"/>
      <c r="J266" s="25"/>
      <c r="K266" s="25"/>
      <c r="L266" s="25"/>
      <c r="M266" s="25"/>
    </row>
    <row r="267" spans="1:15" ht="24" customHeight="1" thickBot="1">
      <c r="A267" s="4" t="s">
        <v>33</v>
      </c>
      <c r="H267" s="70" t="s">
        <v>34</v>
      </c>
      <c r="I267" s="70"/>
      <c r="J267" s="70"/>
      <c r="K267" s="102">
        <f>+K223+1</f>
        <v>45937</v>
      </c>
      <c r="L267" s="102"/>
      <c r="M267" s="102"/>
      <c r="O267" s="7"/>
    </row>
    <row r="268" spans="1:15" ht="33.75" customHeight="1" thickBot="1">
      <c r="A268" s="80" t="s">
        <v>1</v>
      </c>
      <c r="B268" s="81"/>
      <c r="C268" s="82"/>
      <c r="D268" s="86" t="str">
        <f>+D224</f>
        <v>光明國中B與C區5樓老舊廁所整修工程</v>
      </c>
      <c r="E268" s="87"/>
      <c r="F268" s="87"/>
      <c r="G268" s="88"/>
      <c r="H268" s="80" t="s">
        <v>2</v>
      </c>
      <c r="I268" s="81"/>
      <c r="J268" s="82"/>
      <c r="K268" s="80" t="s">
        <v>35</v>
      </c>
      <c r="L268" s="81"/>
      <c r="M268" s="82"/>
    </row>
    <row r="269" spans="1:15" ht="33.75" customHeight="1" thickBot="1">
      <c r="A269" s="8" t="s">
        <v>3</v>
      </c>
      <c r="B269" s="26">
        <f>+B225+1</f>
        <v>135</v>
      </c>
      <c r="C269" s="10" t="s">
        <v>36</v>
      </c>
      <c r="D269" s="80" t="s">
        <v>4</v>
      </c>
      <c r="E269" s="89"/>
      <c r="F269" s="27">
        <f>+F225+1</f>
        <v>11</v>
      </c>
      <c r="G269" s="12" t="s">
        <v>36</v>
      </c>
      <c r="H269" s="13" t="s">
        <v>5</v>
      </c>
      <c r="I269" s="26">
        <f>+B269-F269</f>
        <v>124</v>
      </c>
      <c r="J269" s="10" t="s">
        <v>36</v>
      </c>
      <c r="K269" s="80" t="s">
        <v>6</v>
      </c>
      <c r="L269" s="82"/>
      <c r="M269" s="13">
        <v>5</v>
      </c>
    </row>
    <row r="270" spans="1:15" ht="24" customHeight="1" thickBot="1">
      <c r="A270" s="80" t="s">
        <v>7</v>
      </c>
      <c r="B270" s="81"/>
      <c r="C270" s="82"/>
      <c r="D270" s="80" t="str">
        <f>+D226</f>
        <v>114.9.27</v>
      </c>
      <c r="E270" s="81"/>
      <c r="F270" s="81"/>
      <c r="G270" s="82"/>
      <c r="H270" s="80" t="s">
        <v>8</v>
      </c>
      <c r="I270" s="81"/>
      <c r="J270" s="82"/>
      <c r="K270" s="80" t="s">
        <v>84</v>
      </c>
      <c r="L270" s="81"/>
      <c r="M270" s="82"/>
    </row>
    <row r="271" spans="1:15" ht="24" customHeight="1" thickBot="1">
      <c r="A271" s="80" t="s">
        <v>37</v>
      </c>
      <c r="B271" s="81"/>
      <c r="C271" s="82"/>
      <c r="D271" s="83">
        <v>0.03</v>
      </c>
      <c r="E271" s="84"/>
      <c r="F271" s="84"/>
      <c r="G271" s="85"/>
      <c r="H271" s="80" t="s">
        <v>38</v>
      </c>
      <c r="I271" s="81"/>
      <c r="J271" s="82"/>
      <c r="K271" s="83">
        <f>+K227</f>
        <v>7.1999999999999995E-2</v>
      </c>
      <c r="L271" s="84"/>
      <c r="M271" s="85"/>
    </row>
    <row r="272" spans="1:15" ht="24" customHeight="1" thickBot="1">
      <c r="A272" s="72" t="s">
        <v>9</v>
      </c>
      <c r="B272" s="73"/>
      <c r="C272" s="73"/>
      <c r="D272" s="73"/>
      <c r="E272" s="73"/>
      <c r="F272" s="73"/>
      <c r="G272" s="73"/>
      <c r="H272" s="73"/>
      <c r="I272" s="73"/>
      <c r="J272" s="73"/>
      <c r="K272" s="73"/>
      <c r="L272" s="73"/>
      <c r="M272" s="74"/>
    </row>
    <row r="273" spans="1:13" ht="35.25" customHeight="1" thickBot="1">
      <c r="A273" s="75" t="s">
        <v>10</v>
      </c>
      <c r="B273" s="76"/>
      <c r="C273" s="76"/>
      <c r="D273" s="77"/>
      <c r="E273" s="14" t="s">
        <v>11</v>
      </c>
      <c r="F273" s="75" t="s">
        <v>12</v>
      </c>
      <c r="G273" s="77"/>
      <c r="H273" s="75" t="s">
        <v>13</v>
      </c>
      <c r="I273" s="77"/>
      <c r="J273" s="78" t="s">
        <v>14</v>
      </c>
      <c r="K273" s="79"/>
      <c r="L273" s="75" t="s">
        <v>15</v>
      </c>
      <c r="M273" s="77"/>
    </row>
    <row r="274" spans="1:13" ht="27.95" customHeight="1" thickBot="1">
      <c r="A274" s="141"/>
      <c r="B274" s="142"/>
      <c r="C274" s="142"/>
      <c r="D274" s="143"/>
      <c r="E274" s="2"/>
      <c r="F274" s="56"/>
      <c r="G274" s="57"/>
      <c r="H274" s="56"/>
      <c r="I274" s="57"/>
      <c r="J274" s="56"/>
      <c r="K274" s="57"/>
      <c r="L274" s="58"/>
      <c r="M274" s="59"/>
    </row>
    <row r="275" spans="1:13" ht="27.95" customHeight="1" thickBot="1">
      <c r="A275" s="141"/>
      <c r="B275" s="142"/>
      <c r="C275" s="142"/>
      <c r="D275" s="143"/>
      <c r="E275" s="15"/>
      <c r="F275" s="56"/>
      <c r="G275" s="57"/>
      <c r="H275" s="56"/>
      <c r="I275" s="57"/>
      <c r="J275" s="56"/>
      <c r="K275" s="57"/>
      <c r="L275" s="58"/>
      <c r="M275" s="59"/>
    </row>
    <row r="276" spans="1:13" ht="24.95" customHeight="1" thickTop="1" thickBot="1">
      <c r="A276" s="130" t="s">
        <v>16</v>
      </c>
      <c r="B276" s="67"/>
      <c r="C276" s="67"/>
      <c r="D276" s="68"/>
      <c r="E276" s="28"/>
      <c r="F276" s="131"/>
      <c r="G276" s="132"/>
      <c r="H276" s="131"/>
      <c r="I276" s="132"/>
      <c r="J276" s="131"/>
      <c r="K276" s="132"/>
      <c r="L276" s="131"/>
      <c r="M276" s="133"/>
    </row>
    <row r="277" spans="1:13" ht="24.95" customHeight="1" thickBot="1">
      <c r="A277" s="134"/>
      <c r="B277" s="135"/>
      <c r="C277" s="135"/>
      <c r="D277" s="59"/>
      <c r="E277" s="28"/>
      <c r="F277" s="58"/>
      <c r="G277" s="59"/>
      <c r="H277" s="58"/>
      <c r="I277" s="59"/>
      <c r="J277" s="58"/>
      <c r="K277" s="59"/>
      <c r="L277" s="58"/>
      <c r="M277" s="136"/>
    </row>
    <row r="278" spans="1:13" ht="24.95" customHeight="1" thickBot="1">
      <c r="A278" s="118"/>
      <c r="B278" s="119"/>
      <c r="C278" s="119"/>
      <c r="D278" s="120"/>
      <c r="E278" s="24"/>
      <c r="F278" s="121"/>
      <c r="G278" s="120"/>
      <c r="H278" s="121"/>
      <c r="I278" s="120"/>
      <c r="J278" s="121"/>
      <c r="K278" s="120"/>
      <c r="L278" s="121"/>
      <c r="M278" s="122"/>
    </row>
    <row r="279" spans="1:13" ht="24" customHeight="1" thickTop="1" thickBot="1">
      <c r="A279" s="66" t="s">
        <v>19</v>
      </c>
      <c r="B279" s="67"/>
      <c r="C279" s="67"/>
      <c r="D279" s="67"/>
      <c r="E279" s="67"/>
      <c r="F279" s="67"/>
      <c r="G279" s="67"/>
      <c r="H279" s="67"/>
      <c r="I279" s="67"/>
      <c r="J279" s="67"/>
      <c r="K279" s="67"/>
      <c r="L279" s="67"/>
      <c r="M279" s="68"/>
    </row>
    <row r="280" spans="1:13" ht="35.25" customHeight="1" thickBot="1">
      <c r="A280" s="75" t="s">
        <v>20</v>
      </c>
      <c r="B280" s="76"/>
      <c r="C280" s="76"/>
      <c r="D280" s="77"/>
      <c r="E280" s="14" t="s">
        <v>11</v>
      </c>
      <c r="F280" s="75" t="s">
        <v>39</v>
      </c>
      <c r="G280" s="77"/>
      <c r="H280" s="75" t="s">
        <v>21</v>
      </c>
      <c r="I280" s="77"/>
      <c r="J280" s="78" t="s">
        <v>22</v>
      </c>
      <c r="K280" s="79"/>
      <c r="L280" s="75" t="s">
        <v>15</v>
      </c>
      <c r="M280" s="77"/>
    </row>
    <row r="281" spans="1:13" ht="24" customHeight="1" thickBot="1">
      <c r="A281" s="96"/>
      <c r="B281" s="97"/>
      <c r="C281" s="97"/>
      <c r="D281" s="98"/>
      <c r="E281" s="28"/>
      <c r="F281" s="58"/>
      <c r="G281" s="59"/>
      <c r="H281" s="58"/>
      <c r="I281" s="59"/>
      <c r="J281" s="56"/>
      <c r="K281" s="57"/>
      <c r="L281" s="58"/>
      <c r="M281" s="59"/>
    </row>
    <row r="282" spans="1:13" ht="24" customHeight="1" thickBot="1">
      <c r="A282" s="96"/>
      <c r="B282" s="97"/>
      <c r="C282" s="97"/>
      <c r="D282" s="98"/>
      <c r="E282" s="28"/>
      <c r="F282" s="58"/>
      <c r="G282" s="59"/>
      <c r="H282" s="58"/>
      <c r="I282" s="59"/>
      <c r="J282" s="56"/>
      <c r="K282" s="57"/>
      <c r="L282" s="58"/>
      <c r="M282" s="59"/>
    </row>
    <row r="283" spans="1:13" ht="24" customHeight="1" thickBot="1">
      <c r="A283" s="60" t="s">
        <v>23</v>
      </c>
      <c r="B283" s="61"/>
      <c r="C283" s="61"/>
      <c r="D283" s="61"/>
      <c r="E283" s="61"/>
      <c r="F283" s="61"/>
      <c r="G283" s="61"/>
      <c r="H283" s="61"/>
      <c r="I283" s="61"/>
      <c r="J283" s="61"/>
      <c r="K283" s="61"/>
      <c r="L283" s="61"/>
      <c r="M283" s="62"/>
    </row>
    <row r="284" spans="1:13" ht="35.25" customHeight="1" thickBot="1">
      <c r="A284" s="75" t="s">
        <v>24</v>
      </c>
      <c r="B284" s="77"/>
      <c r="C284" s="75" t="s">
        <v>25</v>
      </c>
      <c r="D284" s="77"/>
      <c r="E284" s="75" t="s">
        <v>26</v>
      </c>
      <c r="F284" s="76"/>
      <c r="G284" s="77"/>
      <c r="H284" s="75" t="s">
        <v>27</v>
      </c>
      <c r="I284" s="77"/>
      <c r="J284" s="78" t="s">
        <v>21</v>
      </c>
      <c r="K284" s="79"/>
      <c r="L284" s="75" t="s">
        <v>22</v>
      </c>
      <c r="M284" s="77"/>
    </row>
    <row r="285" spans="1:13" s="18" customFormat="1" ht="24.75" customHeight="1" thickBot="1">
      <c r="A285" s="99"/>
      <c r="B285" s="98"/>
      <c r="C285" s="56"/>
      <c r="D285" s="57"/>
      <c r="E285" s="56"/>
      <c r="F285" s="100"/>
      <c r="G285" s="57"/>
      <c r="H285" s="56"/>
      <c r="I285" s="57"/>
      <c r="J285" s="56"/>
      <c r="K285" s="57"/>
      <c r="L285" s="56"/>
      <c r="M285" s="57"/>
    </row>
    <row r="286" spans="1:13" s="18" customFormat="1" ht="24.75" customHeight="1" thickBot="1">
      <c r="A286" s="99"/>
      <c r="B286" s="98"/>
      <c r="C286" s="56"/>
      <c r="D286" s="57"/>
      <c r="E286" s="56"/>
      <c r="F286" s="100"/>
      <c r="G286" s="57"/>
      <c r="H286" s="56"/>
      <c r="I286" s="57"/>
      <c r="J286" s="56"/>
      <c r="K286" s="57"/>
      <c r="L286" s="56"/>
      <c r="M286" s="57"/>
    </row>
    <row r="287" spans="1:13" ht="33" customHeight="1" thickBot="1">
      <c r="A287" s="112" t="s">
        <v>60</v>
      </c>
      <c r="B287" s="113"/>
      <c r="C287" s="113"/>
      <c r="D287" s="113"/>
      <c r="E287" s="113"/>
      <c r="F287" s="113"/>
      <c r="G287" s="113"/>
      <c r="H287" s="113"/>
      <c r="I287" s="113"/>
      <c r="J287" s="113"/>
      <c r="K287" s="113"/>
      <c r="L287" s="113"/>
      <c r="M287" s="114"/>
    </row>
    <row r="288" spans="1:13" ht="16.5" customHeight="1">
      <c r="A288" s="115" t="s">
        <v>41</v>
      </c>
      <c r="B288" s="116"/>
      <c r="C288" s="116"/>
      <c r="D288" s="116"/>
      <c r="E288" s="116"/>
      <c r="F288" s="116"/>
      <c r="G288" s="116"/>
      <c r="H288" s="116"/>
      <c r="I288" s="116"/>
      <c r="J288" s="116"/>
      <c r="K288" s="116"/>
      <c r="L288" s="116"/>
      <c r="M288" s="117"/>
    </row>
    <row r="289" spans="1:13" ht="16.5" customHeight="1">
      <c r="A289" s="90" t="s">
        <v>28</v>
      </c>
      <c r="B289" s="91"/>
      <c r="C289" s="91"/>
      <c r="D289" s="91"/>
      <c r="E289" s="91"/>
      <c r="F289" s="91"/>
      <c r="G289" s="91"/>
      <c r="H289" s="91"/>
      <c r="I289" s="91"/>
      <c r="J289" s="91"/>
      <c r="K289" s="91"/>
      <c r="L289" s="91"/>
      <c r="M289" s="92"/>
    </row>
    <row r="290" spans="1:13" ht="16.5" customHeight="1">
      <c r="A290" s="106" t="s">
        <v>42</v>
      </c>
      <c r="B290" s="107"/>
      <c r="C290" s="107"/>
      <c r="D290" s="107"/>
      <c r="E290" s="107"/>
      <c r="F290" s="107"/>
      <c r="G290" s="107"/>
      <c r="H290" s="107"/>
      <c r="I290" s="107"/>
      <c r="J290" s="107"/>
      <c r="K290" s="107"/>
      <c r="L290" s="107"/>
      <c r="M290" s="108"/>
    </row>
    <row r="291" spans="1:13" ht="16.5" customHeight="1">
      <c r="A291" s="106" t="s">
        <v>43</v>
      </c>
      <c r="B291" s="107"/>
      <c r="C291" s="107"/>
      <c r="D291" s="107"/>
      <c r="E291" s="107"/>
      <c r="F291" s="107"/>
      <c r="G291" s="107"/>
      <c r="H291" s="107"/>
      <c r="I291" s="107"/>
      <c r="J291" s="107"/>
      <c r="K291" s="107"/>
      <c r="L291" s="107"/>
      <c r="M291" s="108"/>
    </row>
    <row r="292" spans="1:13" ht="16.5" customHeight="1">
      <c r="A292" s="106" t="s">
        <v>44</v>
      </c>
      <c r="B292" s="107"/>
      <c r="C292" s="107"/>
      <c r="D292" s="107"/>
      <c r="E292" s="107"/>
      <c r="F292" s="107"/>
      <c r="G292" s="107"/>
      <c r="H292" s="107"/>
      <c r="I292" s="107"/>
      <c r="J292" s="107"/>
      <c r="K292" s="107"/>
      <c r="L292" s="107"/>
      <c r="M292" s="108"/>
    </row>
    <row r="293" spans="1:13" ht="16.5" customHeight="1">
      <c r="A293" s="106" t="s">
        <v>45</v>
      </c>
      <c r="B293" s="107"/>
      <c r="C293" s="107"/>
      <c r="D293" s="107"/>
      <c r="E293" s="107"/>
      <c r="F293" s="107"/>
      <c r="G293" s="107"/>
      <c r="H293" s="107"/>
      <c r="I293" s="107"/>
      <c r="J293" s="107"/>
      <c r="K293" s="107"/>
      <c r="L293" s="107"/>
      <c r="M293" s="108"/>
    </row>
    <row r="294" spans="1:13" ht="16.5" customHeight="1">
      <c r="A294" s="106" t="s">
        <v>29</v>
      </c>
      <c r="B294" s="107"/>
      <c r="C294" s="107"/>
      <c r="D294" s="107"/>
      <c r="E294" s="107"/>
      <c r="F294" s="107"/>
      <c r="G294" s="107"/>
      <c r="H294" s="107"/>
      <c r="I294" s="107"/>
      <c r="J294" s="107"/>
      <c r="K294" s="107"/>
      <c r="L294" s="107"/>
      <c r="M294" s="108"/>
    </row>
    <row r="295" spans="1:13" ht="5.25" customHeight="1" thickBot="1">
      <c r="A295" s="109"/>
      <c r="B295" s="110"/>
      <c r="C295" s="110"/>
      <c r="D295" s="110"/>
      <c r="E295" s="110"/>
      <c r="F295" s="110"/>
      <c r="G295" s="110"/>
      <c r="H295" s="110"/>
      <c r="I295" s="110"/>
      <c r="J295" s="110"/>
      <c r="K295" s="110"/>
      <c r="L295" s="110"/>
      <c r="M295" s="111"/>
    </row>
    <row r="296" spans="1:13" ht="18.75" customHeight="1" thickBot="1">
      <c r="A296" s="72" t="s">
        <v>30</v>
      </c>
      <c r="B296" s="73"/>
      <c r="C296" s="73"/>
      <c r="D296" s="73"/>
      <c r="E296" s="73"/>
      <c r="F296" s="73"/>
      <c r="G296" s="73"/>
      <c r="H296" s="73"/>
      <c r="I296" s="73"/>
      <c r="J296" s="73"/>
      <c r="K296" s="73"/>
      <c r="L296" s="73"/>
      <c r="M296" s="74"/>
    </row>
    <row r="297" spans="1:13" ht="24" customHeight="1" thickBot="1">
      <c r="A297" s="72" t="s">
        <v>31</v>
      </c>
      <c r="B297" s="73"/>
      <c r="C297" s="73"/>
      <c r="D297" s="73"/>
      <c r="E297" s="73"/>
      <c r="F297" s="73"/>
      <c r="G297" s="73"/>
      <c r="H297" s="73"/>
      <c r="I297" s="73"/>
      <c r="J297" s="73"/>
      <c r="K297" s="73"/>
      <c r="L297" s="73"/>
      <c r="M297" s="74"/>
    </row>
    <row r="298" spans="1:13" ht="31.5" customHeight="1" thickBot="1">
      <c r="A298" s="72" t="s">
        <v>74</v>
      </c>
      <c r="B298" s="73"/>
      <c r="C298" s="73"/>
      <c r="D298" s="73"/>
      <c r="E298" s="73"/>
      <c r="F298" s="73"/>
      <c r="G298" s="73"/>
      <c r="H298" s="73"/>
      <c r="I298" s="73"/>
      <c r="J298" s="73"/>
      <c r="K298" s="73"/>
      <c r="L298" s="73"/>
      <c r="M298" s="74"/>
    </row>
    <row r="299" spans="1:13" ht="24" customHeight="1" thickBot="1">
      <c r="A299" s="60" t="s">
        <v>46</v>
      </c>
      <c r="B299" s="61"/>
      <c r="C299" s="61"/>
      <c r="D299" s="61"/>
      <c r="E299" s="61"/>
      <c r="F299" s="61"/>
      <c r="G299" s="61"/>
      <c r="H299" s="61"/>
      <c r="I299" s="61"/>
      <c r="J299" s="61"/>
      <c r="K299" s="61"/>
      <c r="L299" s="61"/>
      <c r="M299" s="62"/>
    </row>
    <row r="300" spans="1:13" ht="11.1" customHeight="1">
      <c r="A300" s="103" t="s">
        <v>47</v>
      </c>
      <c r="B300" s="103"/>
      <c r="C300" s="103"/>
      <c r="D300" s="103"/>
      <c r="E300" s="103"/>
      <c r="F300" s="103"/>
      <c r="G300" s="103"/>
      <c r="H300" s="103"/>
      <c r="I300" s="103"/>
      <c r="J300" s="103"/>
      <c r="K300" s="103"/>
      <c r="L300" s="103"/>
      <c r="M300" s="103"/>
    </row>
    <row r="301" spans="1:13" ht="11.1" customHeight="1">
      <c r="A301" s="104" t="s">
        <v>48</v>
      </c>
      <c r="B301" s="104"/>
      <c r="C301" s="104"/>
      <c r="D301" s="104"/>
      <c r="E301" s="104"/>
      <c r="F301" s="104"/>
      <c r="G301" s="104"/>
      <c r="H301" s="104"/>
      <c r="I301" s="104"/>
      <c r="J301" s="104"/>
      <c r="K301" s="104"/>
      <c r="L301" s="104"/>
      <c r="M301" s="104"/>
    </row>
    <row r="302" spans="1:13" ht="11.1" customHeight="1">
      <c r="A302" s="105" t="s">
        <v>49</v>
      </c>
      <c r="B302" s="105"/>
      <c r="C302" s="105"/>
      <c r="D302" s="105"/>
      <c r="E302" s="105"/>
      <c r="F302" s="105"/>
      <c r="G302" s="105"/>
      <c r="H302" s="105"/>
      <c r="I302" s="105"/>
      <c r="J302" s="105"/>
      <c r="K302" s="105"/>
      <c r="L302" s="105"/>
      <c r="M302" s="105"/>
    </row>
    <row r="303" spans="1:13" ht="11.1" customHeight="1">
      <c r="A303" s="105" t="s">
        <v>50</v>
      </c>
      <c r="B303" s="105"/>
      <c r="C303" s="105"/>
      <c r="D303" s="105"/>
      <c r="E303" s="105"/>
      <c r="F303" s="105"/>
      <c r="G303" s="105"/>
      <c r="H303" s="105"/>
      <c r="I303" s="105"/>
      <c r="J303" s="105"/>
      <c r="K303" s="105"/>
      <c r="L303" s="105"/>
      <c r="M303" s="105"/>
    </row>
    <row r="304" spans="1:13" ht="11.1" customHeight="1">
      <c r="A304" s="104" t="s">
        <v>51</v>
      </c>
      <c r="B304" s="104"/>
      <c r="C304" s="104"/>
      <c r="D304" s="104"/>
      <c r="E304" s="104"/>
      <c r="F304" s="104"/>
      <c r="G304" s="104"/>
      <c r="H304" s="104"/>
      <c r="I304" s="104"/>
      <c r="J304" s="104"/>
      <c r="K304" s="104"/>
      <c r="L304" s="104"/>
      <c r="M304" s="104"/>
    </row>
    <row r="305" spans="1:15" ht="11.1" customHeight="1">
      <c r="A305" s="104" t="s">
        <v>52</v>
      </c>
      <c r="B305" s="104"/>
      <c r="C305" s="104"/>
      <c r="D305" s="104"/>
      <c r="E305" s="104"/>
      <c r="F305" s="104"/>
      <c r="G305" s="104"/>
      <c r="H305" s="104"/>
      <c r="I305" s="104"/>
      <c r="J305" s="104"/>
      <c r="K305" s="104"/>
      <c r="L305" s="104"/>
      <c r="M305" s="104"/>
    </row>
    <row r="306" spans="1:15" ht="11.1" customHeight="1">
      <c r="A306" s="104" t="s">
        <v>53</v>
      </c>
      <c r="B306" s="104"/>
      <c r="C306" s="104"/>
      <c r="D306" s="104"/>
      <c r="E306" s="104"/>
      <c r="F306" s="104"/>
      <c r="G306" s="104"/>
      <c r="H306" s="104"/>
      <c r="I306" s="104"/>
      <c r="J306" s="104"/>
      <c r="K306" s="104"/>
      <c r="L306" s="104"/>
      <c r="M306" s="104"/>
    </row>
    <row r="307" spans="1:15" ht="11.1" customHeight="1">
      <c r="A307" s="101" t="s">
        <v>54</v>
      </c>
      <c r="B307" s="101"/>
      <c r="C307" s="101"/>
      <c r="D307" s="101"/>
      <c r="E307" s="101"/>
      <c r="F307" s="101"/>
      <c r="G307" s="101"/>
      <c r="H307" s="101"/>
      <c r="I307" s="101"/>
      <c r="J307" s="101"/>
      <c r="K307" s="101"/>
      <c r="L307" s="101"/>
      <c r="M307" s="101"/>
    </row>
    <row r="308" spans="1:15" ht="11.1" customHeight="1">
      <c r="A308" s="101" t="s">
        <v>55</v>
      </c>
      <c r="B308" s="101"/>
      <c r="C308" s="101"/>
      <c r="D308" s="101"/>
      <c r="E308" s="101"/>
      <c r="F308" s="101"/>
      <c r="G308" s="101"/>
      <c r="H308" s="101"/>
      <c r="I308" s="101"/>
      <c r="J308" s="101"/>
      <c r="K308" s="101"/>
      <c r="L308" s="101"/>
      <c r="M308" s="101"/>
    </row>
    <row r="309" spans="1:15" ht="19.5" customHeight="1">
      <c r="A309" s="69" t="s">
        <v>0</v>
      </c>
      <c r="B309" s="69"/>
      <c r="C309" s="69"/>
      <c r="D309" s="69"/>
      <c r="E309" s="69"/>
      <c r="F309" s="69"/>
      <c r="G309" s="69"/>
      <c r="H309" s="69"/>
      <c r="I309" s="69"/>
      <c r="J309" s="69"/>
      <c r="K309" s="69"/>
      <c r="L309" s="69"/>
      <c r="M309" s="69"/>
    </row>
    <row r="310" spans="1:15" ht="20.100000000000001" customHeight="1">
      <c r="A310" s="4" t="s">
        <v>32</v>
      </c>
      <c r="B310" s="5">
        <f>+B266+1</f>
        <v>12</v>
      </c>
      <c r="C310" s="25"/>
      <c r="D310" s="25"/>
      <c r="E310" s="25"/>
      <c r="F310" s="25"/>
      <c r="G310" s="25"/>
      <c r="H310" s="25"/>
      <c r="I310" s="25"/>
      <c r="J310" s="25"/>
      <c r="K310" s="25"/>
      <c r="L310" s="25"/>
      <c r="M310" s="25"/>
    </row>
    <row r="311" spans="1:15" ht="24" customHeight="1" thickBot="1">
      <c r="A311" s="4" t="s">
        <v>33</v>
      </c>
      <c r="H311" s="70" t="s">
        <v>34</v>
      </c>
      <c r="I311" s="70"/>
      <c r="J311" s="70"/>
      <c r="K311" s="102">
        <f>+K267+1</f>
        <v>45938</v>
      </c>
      <c r="L311" s="102"/>
      <c r="M311" s="102"/>
      <c r="O311" s="7"/>
    </row>
    <row r="312" spans="1:15" ht="33.75" customHeight="1" thickBot="1">
      <c r="A312" s="80" t="s">
        <v>1</v>
      </c>
      <c r="B312" s="81"/>
      <c r="C312" s="82"/>
      <c r="D312" s="86" t="str">
        <f>+D268</f>
        <v>光明國中B與C區5樓老舊廁所整修工程</v>
      </c>
      <c r="E312" s="87"/>
      <c r="F312" s="87"/>
      <c r="G312" s="88"/>
      <c r="H312" s="80" t="s">
        <v>2</v>
      </c>
      <c r="I312" s="81"/>
      <c r="J312" s="82"/>
      <c r="K312" s="80" t="s">
        <v>35</v>
      </c>
      <c r="L312" s="81"/>
      <c r="M312" s="82"/>
    </row>
    <row r="313" spans="1:15" ht="33.75" customHeight="1" thickBot="1">
      <c r="A313" s="8" t="s">
        <v>3</v>
      </c>
      <c r="B313" s="26">
        <f>+B269+1</f>
        <v>136</v>
      </c>
      <c r="C313" s="10" t="s">
        <v>36</v>
      </c>
      <c r="D313" s="80" t="s">
        <v>4</v>
      </c>
      <c r="E313" s="89"/>
      <c r="F313" s="27">
        <f>+F269+1</f>
        <v>12</v>
      </c>
      <c r="G313" s="12" t="s">
        <v>36</v>
      </c>
      <c r="H313" s="13" t="s">
        <v>5</v>
      </c>
      <c r="I313" s="26">
        <f>+B313-F313</f>
        <v>124</v>
      </c>
      <c r="J313" s="10" t="s">
        <v>36</v>
      </c>
      <c r="K313" s="80" t="s">
        <v>6</v>
      </c>
      <c r="L313" s="82"/>
      <c r="M313" s="13">
        <v>6</v>
      </c>
    </row>
    <row r="314" spans="1:15" ht="24" customHeight="1" thickBot="1">
      <c r="A314" s="80" t="s">
        <v>7</v>
      </c>
      <c r="B314" s="81"/>
      <c r="C314" s="82"/>
      <c r="D314" s="80" t="str">
        <f>+D270</f>
        <v>114.9.27</v>
      </c>
      <c r="E314" s="81"/>
      <c r="F314" s="81"/>
      <c r="G314" s="82"/>
      <c r="H314" s="80" t="s">
        <v>8</v>
      </c>
      <c r="I314" s="81"/>
      <c r="J314" s="82"/>
      <c r="K314" s="80" t="s">
        <v>85</v>
      </c>
      <c r="L314" s="81"/>
      <c r="M314" s="82"/>
    </row>
    <row r="315" spans="1:15" ht="24" customHeight="1" thickBot="1">
      <c r="A315" s="80" t="s">
        <v>37</v>
      </c>
      <c r="B315" s="81"/>
      <c r="C315" s="82"/>
      <c r="D315" s="83">
        <v>3.2000000000000001E-2</v>
      </c>
      <c r="E315" s="84"/>
      <c r="F315" s="84"/>
      <c r="G315" s="85"/>
      <c r="H315" s="80" t="s">
        <v>38</v>
      </c>
      <c r="I315" s="81"/>
      <c r="J315" s="82"/>
      <c r="K315" s="83">
        <f>+K271</f>
        <v>7.1999999999999995E-2</v>
      </c>
      <c r="L315" s="84"/>
      <c r="M315" s="85"/>
    </row>
    <row r="316" spans="1:15" ht="24" customHeight="1" thickBot="1">
      <c r="A316" s="72" t="s">
        <v>9</v>
      </c>
      <c r="B316" s="73"/>
      <c r="C316" s="73"/>
      <c r="D316" s="73"/>
      <c r="E316" s="73"/>
      <c r="F316" s="73"/>
      <c r="G316" s="73"/>
      <c r="H316" s="73"/>
      <c r="I316" s="73"/>
      <c r="J316" s="73"/>
      <c r="K316" s="73"/>
      <c r="L316" s="73"/>
      <c r="M316" s="74"/>
    </row>
    <row r="317" spans="1:15" ht="35.25" customHeight="1" thickBot="1">
      <c r="A317" s="75" t="s">
        <v>10</v>
      </c>
      <c r="B317" s="76"/>
      <c r="C317" s="76"/>
      <c r="D317" s="77"/>
      <c r="E317" s="14" t="s">
        <v>11</v>
      </c>
      <c r="F317" s="75" t="s">
        <v>12</v>
      </c>
      <c r="G317" s="77"/>
      <c r="H317" s="75" t="s">
        <v>13</v>
      </c>
      <c r="I317" s="77"/>
      <c r="J317" s="78" t="s">
        <v>14</v>
      </c>
      <c r="K317" s="79"/>
      <c r="L317" s="75" t="s">
        <v>15</v>
      </c>
      <c r="M317" s="77"/>
    </row>
    <row r="318" spans="1:15" ht="27.95" customHeight="1" thickBot="1">
      <c r="A318" s="141"/>
      <c r="B318" s="142"/>
      <c r="C318" s="142"/>
      <c r="D318" s="143"/>
      <c r="E318" s="2"/>
      <c r="F318" s="56"/>
      <c r="G318" s="57"/>
      <c r="H318" s="56"/>
      <c r="I318" s="57"/>
      <c r="J318" s="56"/>
      <c r="K318" s="57"/>
      <c r="L318" s="58"/>
      <c r="M318" s="59"/>
    </row>
    <row r="319" spans="1:15" ht="27.95" customHeight="1" thickBot="1">
      <c r="A319" s="141"/>
      <c r="B319" s="142"/>
      <c r="C319" s="142"/>
      <c r="D319" s="143"/>
      <c r="E319" s="15"/>
      <c r="F319" s="56"/>
      <c r="G319" s="57"/>
      <c r="H319" s="56"/>
      <c r="I319" s="57"/>
      <c r="J319" s="56"/>
      <c r="K319" s="57"/>
      <c r="L319" s="58"/>
      <c r="M319" s="59"/>
    </row>
    <row r="320" spans="1:15" ht="24.95" customHeight="1" thickTop="1" thickBot="1">
      <c r="A320" s="130" t="s">
        <v>16</v>
      </c>
      <c r="B320" s="67"/>
      <c r="C320" s="67"/>
      <c r="D320" s="68"/>
      <c r="E320" s="28"/>
      <c r="F320" s="131"/>
      <c r="G320" s="132"/>
      <c r="H320" s="131"/>
      <c r="I320" s="132"/>
      <c r="J320" s="131"/>
      <c r="K320" s="132"/>
      <c r="L320" s="131"/>
      <c r="M320" s="133"/>
    </row>
    <row r="321" spans="1:13" ht="24.95" customHeight="1" thickBot="1">
      <c r="A321" s="134"/>
      <c r="B321" s="135"/>
      <c r="C321" s="135"/>
      <c r="D321" s="59"/>
      <c r="E321" s="28"/>
      <c r="F321" s="58"/>
      <c r="G321" s="59"/>
      <c r="H321" s="58"/>
      <c r="I321" s="59"/>
      <c r="J321" s="58"/>
      <c r="K321" s="59"/>
      <c r="L321" s="58"/>
      <c r="M321" s="136"/>
    </row>
    <row r="322" spans="1:13" ht="24.95" customHeight="1" thickBot="1">
      <c r="A322" s="118"/>
      <c r="B322" s="119"/>
      <c r="C322" s="119"/>
      <c r="D322" s="120"/>
      <c r="E322" s="24"/>
      <c r="F322" s="121"/>
      <c r="G322" s="120"/>
      <c r="H322" s="121"/>
      <c r="I322" s="120"/>
      <c r="J322" s="121"/>
      <c r="K322" s="120"/>
      <c r="L322" s="121"/>
      <c r="M322" s="122"/>
    </row>
    <row r="323" spans="1:13" ht="24" customHeight="1" thickTop="1" thickBot="1">
      <c r="A323" s="66" t="s">
        <v>19</v>
      </c>
      <c r="B323" s="67"/>
      <c r="C323" s="67"/>
      <c r="D323" s="67"/>
      <c r="E323" s="67"/>
      <c r="F323" s="67"/>
      <c r="G323" s="67"/>
      <c r="H323" s="67"/>
      <c r="I323" s="67"/>
      <c r="J323" s="67"/>
      <c r="K323" s="67"/>
      <c r="L323" s="67"/>
      <c r="M323" s="68"/>
    </row>
    <row r="324" spans="1:13" ht="35.25" customHeight="1" thickBot="1">
      <c r="A324" s="75" t="s">
        <v>20</v>
      </c>
      <c r="B324" s="76"/>
      <c r="C324" s="76"/>
      <c r="D324" s="77"/>
      <c r="E324" s="14" t="s">
        <v>11</v>
      </c>
      <c r="F324" s="75" t="s">
        <v>39</v>
      </c>
      <c r="G324" s="77"/>
      <c r="H324" s="75" t="s">
        <v>21</v>
      </c>
      <c r="I324" s="77"/>
      <c r="J324" s="78" t="s">
        <v>22</v>
      </c>
      <c r="K324" s="79"/>
      <c r="L324" s="75" t="s">
        <v>15</v>
      </c>
      <c r="M324" s="77"/>
    </row>
    <row r="325" spans="1:13" ht="24" customHeight="1" thickBot="1">
      <c r="A325" s="96"/>
      <c r="B325" s="97"/>
      <c r="C325" s="97"/>
      <c r="D325" s="98"/>
      <c r="E325" s="28"/>
      <c r="F325" s="58"/>
      <c r="G325" s="59"/>
      <c r="H325" s="58"/>
      <c r="I325" s="59"/>
      <c r="J325" s="56"/>
      <c r="K325" s="57"/>
      <c r="L325" s="58"/>
      <c r="M325" s="59"/>
    </row>
    <row r="326" spans="1:13" ht="24" customHeight="1" thickBot="1">
      <c r="A326" s="96"/>
      <c r="B326" s="97"/>
      <c r="C326" s="97"/>
      <c r="D326" s="98"/>
      <c r="E326" s="28"/>
      <c r="F326" s="58"/>
      <c r="G326" s="59"/>
      <c r="H326" s="58"/>
      <c r="I326" s="59"/>
      <c r="J326" s="56"/>
      <c r="K326" s="57"/>
      <c r="L326" s="58"/>
      <c r="M326" s="59"/>
    </row>
    <row r="327" spans="1:13" ht="24" customHeight="1" thickBot="1">
      <c r="A327" s="60" t="s">
        <v>23</v>
      </c>
      <c r="B327" s="61"/>
      <c r="C327" s="61"/>
      <c r="D327" s="61"/>
      <c r="E327" s="61"/>
      <c r="F327" s="61"/>
      <c r="G327" s="61"/>
      <c r="H327" s="61"/>
      <c r="I327" s="61"/>
      <c r="J327" s="61"/>
      <c r="K327" s="61"/>
      <c r="L327" s="61"/>
      <c r="M327" s="62"/>
    </row>
    <row r="328" spans="1:13" ht="35.25" customHeight="1" thickBot="1">
      <c r="A328" s="75" t="s">
        <v>24</v>
      </c>
      <c r="B328" s="77"/>
      <c r="C328" s="75" t="s">
        <v>25</v>
      </c>
      <c r="D328" s="77"/>
      <c r="E328" s="75" t="s">
        <v>26</v>
      </c>
      <c r="F328" s="76"/>
      <c r="G328" s="77"/>
      <c r="H328" s="75" t="s">
        <v>27</v>
      </c>
      <c r="I328" s="77"/>
      <c r="J328" s="78" t="s">
        <v>21</v>
      </c>
      <c r="K328" s="79"/>
      <c r="L328" s="75" t="s">
        <v>22</v>
      </c>
      <c r="M328" s="77"/>
    </row>
    <row r="329" spans="1:13" s="18" customFormat="1" ht="24.75" customHeight="1" thickBot="1">
      <c r="A329" s="99"/>
      <c r="B329" s="98"/>
      <c r="C329" s="56"/>
      <c r="D329" s="57"/>
      <c r="E329" s="56"/>
      <c r="F329" s="100"/>
      <c r="G329" s="57"/>
      <c r="H329" s="56"/>
      <c r="I329" s="57"/>
      <c r="J329" s="56"/>
      <c r="K329" s="57"/>
      <c r="L329" s="56"/>
      <c r="M329" s="57"/>
    </row>
    <row r="330" spans="1:13" s="18" customFormat="1" ht="25.5" customHeight="1" thickBot="1">
      <c r="A330" s="99"/>
      <c r="B330" s="98"/>
      <c r="C330" s="56"/>
      <c r="D330" s="57"/>
      <c r="E330" s="56"/>
      <c r="F330" s="100"/>
      <c r="G330" s="57"/>
      <c r="H330" s="56"/>
      <c r="I330" s="57"/>
      <c r="J330" s="56"/>
      <c r="K330" s="57"/>
      <c r="L330" s="56"/>
      <c r="M330" s="57"/>
    </row>
    <row r="331" spans="1:13" ht="33" customHeight="1" thickBot="1">
      <c r="A331" s="112" t="s">
        <v>60</v>
      </c>
      <c r="B331" s="113"/>
      <c r="C331" s="113"/>
      <c r="D331" s="113"/>
      <c r="E331" s="113"/>
      <c r="F331" s="113"/>
      <c r="G331" s="113"/>
      <c r="H331" s="113"/>
      <c r="I331" s="113"/>
      <c r="J331" s="113"/>
      <c r="K331" s="113"/>
      <c r="L331" s="113"/>
      <c r="M331" s="114"/>
    </row>
    <row r="332" spans="1:13" ht="16.5" customHeight="1">
      <c r="A332" s="115" t="s">
        <v>41</v>
      </c>
      <c r="B332" s="116"/>
      <c r="C332" s="116"/>
      <c r="D332" s="116"/>
      <c r="E332" s="116"/>
      <c r="F332" s="116"/>
      <c r="G332" s="116"/>
      <c r="H332" s="116"/>
      <c r="I332" s="116"/>
      <c r="J332" s="116"/>
      <c r="K332" s="116"/>
      <c r="L332" s="116"/>
      <c r="M332" s="117"/>
    </row>
    <row r="333" spans="1:13" ht="16.5" customHeight="1">
      <c r="A333" s="90" t="s">
        <v>28</v>
      </c>
      <c r="B333" s="91"/>
      <c r="C333" s="91"/>
      <c r="D333" s="91"/>
      <c r="E333" s="91"/>
      <c r="F333" s="91"/>
      <c r="G333" s="91"/>
      <c r="H333" s="91"/>
      <c r="I333" s="91"/>
      <c r="J333" s="91"/>
      <c r="K333" s="91"/>
      <c r="L333" s="91"/>
      <c r="M333" s="92"/>
    </row>
    <row r="334" spans="1:13" ht="16.5" customHeight="1">
      <c r="A334" s="106" t="s">
        <v>42</v>
      </c>
      <c r="B334" s="107"/>
      <c r="C334" s="107"/>
      <c r="D334" s="107"/>
      <c r="E334" s="107"/>
      <c r="F334" s="107"/>
      <c r="G334" s="107"/>
      <c r="H334" s="107"/>
      <c r="I334" s="107"/>
      <c r="J334" s="107"/>
      <c r="K334" s="107"/>
      <c r="L334" s="107"/>
      <c r="M334" s="108"/>
    </row>
    <row r="335" spans="1:13" ht="16.5" customHeight="1">
      <c r="A335" s="106" t="s">
        <v>43</v>
      </c>
      <c r="B335" s="107"/>
      <c r="C335" s="107"/>
      <c r="D335" s="107"/>
      <c r="E335" s="107"/>
      <c r="F335" s="107"/>
      <c r="G335" s="107"/>
      <c r="H335" s="107"/>
      <c r="I335" s="107"/>
      <c r="J335" s="107"/>
      <c r="K335" s="107"/>
      <c r="L335" s="107"/>
      <c r="M335" s="108"/>
    </row>
    <row r="336" spans="1:13" ht="16.5" customHeight="1">
      <c r="A336" s="106" t="s">
        <v>44</v>
      </c>
      <c r="B336" s="107"/>
      <c r="C336" s="107"/>
      <c r="D336" s="107"/>
      <c r="E336" s="107"/>
      <c r="F336" s="107"/>
      <c r="G336" s="107"/>
      <c r="H336" s="107"/>
      <c r="I336" s="107"/>
      <c r="J336" s="107"/>
      <c r="K336" s="107"/>
      <c r="L336" s="107"/>
      <c r="M336" s="108"/>
    </row>
    <row r="337" spans="1:13" ht="16.5" customHeight="1">
      <c r="A337" s="106" t="s">
        <v>45</v>
      </c>
      <c r="B337" s="107"/>
      <c r="C337" s="107"/>
      <c r="D337" s="107"/>
      <c r="E337" s="107"/>
      <c r="F337" s="107"/>
      <c r="G337" s="107"/>
      <c r="H337" s="107"/>
      <c r="I337" s="107"/>
      <c r="J337" s="107"/>
      <c r="K337" s="107"/>
      <c r="L337" s="107"/>
      <c r="M337" s="108"/>
    </row>
    <row r="338" spans="1:13" ht="16.5" customHeight="1">
      <c r="A338" s="106" t="s">
        <v>29</v>
      </c>
      <c r="B338" s="107"/>
      <c r="C338" s="107"/>
      <c r="D338" s="107"/>
      <c r="E338" s="107"/>
      <c r="F338" s="107"/>
      <c r="G338" s="107"/>
      <c r="H338" s="107"/>
      <c r="I338" s="107"/>
      <c r="J338" s="107"/>
      <c r="K338" s="107"/>
      <c r="L338" s="107"/>
      <c r="M338" s="108"/>
    </row>
    <row r="339" spans="1:13" ht="6" customHeight="1" thickBot="1">
      <c r="A339" s="109"/>
      <c r="B339" s="110"/>
      <c r="C339" s="110"/>
      <c r="D339" s="110"/>
      <c r="E339" s="110"/>
      <c r="F339" s="110"/>
      <c r="G339" s="110"/>
      <c r="H339" s="110"/>
      <c r="I339" s="110"/>
      <c r="J339" s="110"/>
      <c r="K339" s="110"/>
      <c r="L339" s="110"/>
      <c r="M339" s="111"/>
    </row>
    <row r="340" spans="1:13" ht="18.75" customHeight="1" thickBot="1">
      <c r="A340" s="72" t="s">
        <v>30</v>
      </c>
      <c r="B340" s="73"/>
      <c r="C340" s="73"/>
      <c r="D340" s="73"/>
      <c r="E340" s="73"/>
      <c r="F340" s="73"/>
      <c r="G340" s="73"/>
      <c r="H340" s="73"/>
      <c r="I340" s="73"/>
      <c r="J340" s="73"/>
      <c r="K340" s="73"/>
      <c r="L340" s="73"/>
      <c r="M340" s="74"/>
    </row>
    <row r="341" spans="1:13" ht="24" customHeight="1" thickBot="1">
      <c r="A341" s="72" t="s">
        <v>31</v>
      </c>
      <c r="B341" s="73"/>
      <c r="C341" s="73"/>
      <c r="D341" s="73"/>
      <c r="E341" s="73"/>
      <c r="F341" s="73"/>
      <c r="G341" s="73"/>
      <c r="H341" s="73"/>
      <c r="I341" s="73"/>
      <c r="J341" s="73"/>
      <c r="K341" s="73"/>
      <c r="L341" s="73"/>
      <c r="M341" s="74"/>
    </row>
    <row r="342" spans="1:13" ht="31.5" customHeight="1" thickBot="1">
      <c r="A342" s="72" t="s">
        <v>74</v>
      </c>
      <c r="B342" s="73"/>
      <c r="C342" s="73"/>
      <c r="D342" s="73"/>
      <c r="E342" s="73"/>
      <c r="F342" s="73"/>
      <c r="G342" s="73"/>
      <c r="H342" s="73"/>
      <c r="I342" s="73"/>
      <c r="J342" s="73"/>
      <c r="K342" s="73"/>
      <c r="L342" s="73"/>
      <c r="M342" s="74"/>
    </row>
    <row r="343" spans="1:13" ht="24" customHeight="1" thickBot="1">
      <c r="A343" s="60" t="s">
        <v>46</v>
      </c>
      <c r="B343" s="61"/>
      <c r="C343" s="61"/>
      <c r="D343" s="61"/>
      <c r="E343" s="61"/>
      <c r="F343" s="61"/>
      <c r="G343" s="61"/>
      <c r="H343" s="61"/>
      <c r="I343" s="61"/>
      <c r="J343" s="61"/>
      <c r="K343" s="61"/>
      <c r="L343" s="61"/>
      <c r="M343" s="62"/>
    </row>
    <row r="344" spans="1:13" ht="11.1" customHeight="1">
      <c r="A344" s="103" t="s">
        <v>47</v>
      </c>
      <c r="B344" s="103"/>
      <c r="C344" s="103"/>
      <c r="D344" s="103"/>
      <c r="E344" s="103"/>
      <c r="F344" s="103"/>
      <c r="G344" s="103"/>
      <c r="H344" s="103"/>
      <c r="I344" s="103"/>
      <c r="J344" s="103"/>
      <c r="K344" s="103"/>
      <c r="L344" s="103"/>
      <c r="M344" s="103"/>
    </row>
    <row r="345" spans="1:13" ht="11.1" customHeight="1">
      <c r="A345" s="104" t="s">
        <v>48</v>
      </c>
      <c r="B345" s="104"/>
      <c r="C345" s="104"/>
      <c r="D345" s="104"/>
      <c r="E345" s="104"/>
      <c r="F345" s="104"/>
      <c r="G345" s="104"/>
      <c r="H345" s="104"/>
      <c r="I345" s="104"/>
      <c r="J345" s="104"/>
      <c r="K345" s="104"/>
      <c r="L345" s="104"/>
      <c r="M345" s="104"/>
    </row>
    <row r="346" spans="1:13" ht="11.1" customHeight="1">
      <c r="A346" s="105" t="s">
        <v>49</v>
      </c>
      <c r="B346" s="105"/>
      <c r="C346" s="105"/>
      <c r="D346" s="105"/>
      <c r="E346" s="105"/>
      <c r="F346" s="105"/>
      <c r="G346" s="105"/>
      <c r="H346" s="105"/>
      <c r="I346" s="105"/>
      <c r="J346" s="105"/>
      <c r="K346" s="105"/>
      <c r="L346" s="105"/>
      <c r="M346" s="105"/>
    </row>
    <row r="347" spans="1:13" ht="11.1" customHeight="1">
      <c r="A347" s="105" t="s">
        <v>50</v>
      </c>
      <c r="B347" s="105"/>
      <c r="C347" s="105"/>
      <c r="D347" s="105"/>
      <c r="E347" s="105"/>
      <c r="F347" s="105"/>
      <c r="G347" s="105"/>
      <c r="H347" s="105"/>
      <c r="I347" s="105"/>
      <c r="J347" s="105"/>
      <c r="K347" s="105"/>
      <c r="L347" s="105"/>
      <c r="M347" s="105"/>
    </row>
    <row r="348" spans="1:13" ht="11.1" customHeight="1">
      <c r="A348" s="104" t="s">
        <v>51</v>
      </c>
      <c r="B348" s="104"/>
      <c r="C348" s="104"/>
      <c r="D348" s="104"/>
      <c r="E348" s="104"/>
      <c r="F348" s="104"/>
      <c r="G348" s="104"/>
      <c r="H348" s="104"/>
      <c r="I348" s="104"/>
      <c r="J348" s="104"/>
      <c r="K348" s="104"/>
      <c r="L348" s="104"/>
      <c r="M348" s="104"/>
    </row>
    <row r="349" spans="1:13" ht="11.1" customHeight="1">
      <c r="A349" s="104" t="s">
        <v>52</v>
      </c>
      <c r="B349" s="104"/>
      <c r="C349" s="104"/>
      <c r="D349" s="104"/>
      <c r="E349" s="104"/>
      <c r="F349" s="104"/>
      <c r="G349" s="104"/>
      <c r="H349" s="104"/>
      <c r="I349" s="104"/>
      <c r="J349" s="104"/>
      <c r="K349" s="104"/>
      <c r="L349" s="104"/>
      <c r="M349" s="104"/>
    </row>
    <row r="350" spans="1:13" ht="11.1" customHeight="1">
      <c r="A350" s="104" t="s">
        <v>53</v>
      </c>
      <c r="B350" s="104"/>
      <c r="C350" s="104"/>
      <c r="D350" s="104"/>
      <c r="E350" s="104"/>
      <c r="F350" s="104"/>
      <c r="G350" s="104"/>
      <c r="H350" s="104"/>
      <c r="I350" s="104"/>
      <c r="J350" s="104"/>
      <c r="K350" s="104"/>
      <c r="L350" s="104"/>
      <c r="M350" s="104"/>
    </row>
    <row r="351" spans="1:13" ht="11.1" customHeight="1">
      <c r="A351" s="101" t="s">
        <v>54</v>
      </c>
      <c r="B351" s="101"/>
      <c r="C351" s="101"/>
      <c r="D351" s="101"/>
      <c r="E351" s="101"/>
      <c r="F351" s="101"/>
      <c r="G351" s="101"/>
      <c r="H351" s="101"/>
      <c r="I351" s="101"/>
      <c r="J351" s="101"/>
      <c r="K351" s="101"/>
      <c r="L351" s="101"/>
      <c r="M351" s="101"/>
    </row>
    <row r="352" spans="1:13" ht="11.1" customHeight="1">
      <c r="A352" s="101" t="s">
        <v>55</v>
      </c>
      <c r="B352" s="101"/>
      <c r="C352" s="101"/>
      <c r="D352" s="101"/>
      <c r="E352" s="101"/>
      <c r="F352" s="101"/>
      <c r="G352" s="101"/>
      <c r="H352" s="101"/>
      <c r="I352" s="101"/>
      <c r="J352" s="101"/>
      <c r="K352" s="101"/>
      <c r="L352" s="101"/>
      <c r="M352" s="101"/>
    </row>
    <row r="353" spans="1:15" ht="19.5" customHeight="1">
      <c r="A353" s="69" t="s">
        <v>0</v>
      </c>
      <c r="B353" s="69"/>
      <c r="C353" s="69"/>
      <c r="D353" s="69"/>
      <c r="E353" s="69"/>
      <c r="F353" s="69"/>
      <c r="G353" s="69"/>
      <c r="H353" s="69"/>
      <c r="I353" s="69"/>
      <c r="J353" s="69"/>
      <c r="K353" s="69"/>
      <c r="L353" s="69"/>
      <c r="M353" s="69"/>
    </row>
    <row r="354" spans="1:15" ht="20.100000000000001" customHeight="1">
      <c r="A354" s="4" t="s">
        <v>32</v>
      </c>
      <c r="B354" s="5">
        <f>+B310+1</f>
        <v>13</v>
      </c>
      <c r="C354" s="25"/>
      <c r="D354" s="25"/>
      <c r="E354" s="25"/>
      <c r="F354" s="25"/>
      <c r="G354" s="25"/>
      <c r="H354" s="25"/>
      <c r="I354" s="25"/>
      <c r="J354" s="25"/>
      <c r="K354" s="25"/>
      <c r="L354" s="25"/>
      <c r="M354" s="25"/>
    </row>
    <row r="355" spans="1:15" ht="24" customHeight="1" thickBot="1">
      <c r="A355" s="4" t="s">
        <v>33</v>
      </c>
      <c r="H355" s="70" t="s">
        <v>34</v>
      </c>
      <c r="I355" s="70"/>
      <c r="J355" s="70"/>
      <c r="K355" s="102">
        <f>+K311+1</f>
        <v>45939</v>
      </c>
      <c r="L355" s="102"/>
      <c r="M355" s="102"/>
      <c r="O355" s="7"/>
    </row>
    <row r="356" spans="1:15" ht="33.75" customHeight="1" thickBot="1">
      <c r="A356" s="80" t="s">
        <v>1</v>
      </c>
      <c r="B356" s="81"/>
      <c r="C356" s="82"/>
      <c r="D356" s="86" t="str">
        <f>+D312</f>
        <v>光明國中B與C區5樓老舊廁所整修工程</v>
      </c>
      <c r="E356" s="87"/>
      <c r="F356" s="87"/>
      <c r="G356" s="88"/>
      <c r="H356" s="80" t="s">
        <v>2</v>
      </c>
      <c r="I356" s="81"/>
      <c r="J356" s="82"/>
      <c r="K356" s="80" t="s">
        <v>35</v>
      </c>
      <c r="L356" s="81"/>
      <c r="M356" s="82"/>
    </row>
    <row r="357" spans="1:15" ht="33.75" customHeight="1" thickBot="1">
      <c r="A357" s="8" t="s">
        <v>3</v>
      </c>
      <c r="B357" s="26">
        <f>+B313+1</f>
        <v>137</v>
      </c>
      <c r="C357" s="10" t="s">
        <v>36</v>
      </c>
      <c r="D357" s="80" t="s">
        <v>4</v>
      </c>
      <c r="E357" s="89"/>
      <c r="F357" s="27">
        <f>+F313+1</f>
        <v>13</v>
      </c>
      <c r="G357" s="12" t="s">
        <v>36</v>
      </c>
      <c r="H357" s="13" t="s">
        <v>5</v>
      </c>
      <c r="I357" s="26">
        <f>+B357-F357</f>
        <v>124</v>
      </c>
      <c r="J357" s="10" t="s">
        <v>36</v>
      </c>
      <c r="K357" s="80" t="s">
        <v>6</v>
      </c>
      <c r="L357" s="82"/>
      <c r="M357" s="13">
        <v>7</v>
      </c>
    </row>
    <row r="358" spans="1:15" ht="24" customHeight="1" thickBot="1">
      <c r="A358" s="80" t="s">
        <v>7</v>
      </c>
      <c r="B358" s="81"/>
      <c r="C358" s="82"/>
      <c r="D358" s="80" t="str">
        <f>+D314</f>
        <v>114.9.27</v>
      </c>
      <c r="E358" s="81"/>
      <c r="F358" s="81"/>
      <c r="G358" s="82"/>
      <c r="H358" s="80" t="s">
        <v>8</v>
      </c>
      <c r="I358" s="81"/>
      <c r="J358" s="82"/>
      <c r="K358" s="80" t="s">
        <v>86</v>
      </c>
      <c r="L358" s="81"/>
      <c r="M358" s="82"/>
    </row>
    <row r="359" spans="1:15" ht="24" customHeight="1" thickBot="1">
      <c r="A359" s="80" t="s">
        <v>37</v>
      </c>
      <c r="B359" s="81"/>
      <c r="C359" s="82"/>
      <c r="D359" s="83">
        <v>3.4000000000000002E-2</v>
      </c>
      <c r="E359" s="84"/>
      <c r="F359" s="84"/>
      <c r="G359" s="85"/>
      <c r="H359" s="80" t="s">
        <v>38</v>
      </c>
      <c r="I359" s="81"/>
      <c r="J359" s="82"/>
      <c r="K359" s="83">
        <f>+K315</f>
        <v>7.1999999999999995E-2</v>
      </c>
      <c r="L359" s="84"/>
      <c r="M359" s="85"/>
    </row>
    <row r="360" spans="1:15" ht="24" customHeight="1" thickBot="1">
      <c r="A360" s="72" t="s">
        <v>9</v>
      </c>
      <c r="B360" s="73"/>
      <c r="C360" s="73"/>
      <c r="D360" s="73"/>
      <c r="E360" s="73"/>
      <c r="F360" s="73"/>
      <c r="G360" s="73"/>
      <c r="H360" s="73"/>
      <c r="I360" s="73"/>
      <c r="J360" s="73"/>
      <c r="K360" s="73"/>
      <c r="L360" s="73"/>
      <c r="M360" s="74"/>
    </row>
    <row r="361" spans="1:15" ht="35.25" customHeight="1" thickBot="1">
      <c r="A361" s="75" t="s">
        <v>10</v>
      </c>
      <c r="B361" s="76"/>
      <c r="C361" s="76"/>
      <c r="D361" s="77"/>
      <c r="E361" s="14" t="s">
        <v>11</v>
      </c>
      <c r="F361" s="75" t="s">
        <v>12</v>
      </c>
      <c r="G361" s="77"/>
      <c r="H361" s="75" t="s">
        <v>13</v>
      </c>
      <c r="I361" s="77"/>
      <c r="J361" s="78" t="s">
        <v>61</v>
      </c>
      <c r="K361" s="79"/>
      <c r="L361" s="75" t="s">
        <v>15</v>
      </c>
      <c r="M361" s="77"/>
    </row>
    <row r="362" spans="1:15" ht="27.95" customHeight="1" thickBot="1">
      <c r="A362" s="141"/>
      <c r="B362" s="142"/>
      <c r="C362" s="142"/>
      <c r="D362" s="143"/>
      <c r="E362" s="2"/>
      <c r="F362" s="56"/>
      <c r="G362" s="57"/>
      <c r="H362" s="56"/>
      <c r="I362" s="57"/>
      <c r="J362" s="56"/>
      <c r="K362" s="57"/>
      <c r="L362" s="58"/>
      <c r="M362" s="59"/>
    </row>
    <row r="363" spans="1:15" ht="27.95" customHeight="1" thickBot="1">
      <c r="A363" s="141"/>
      <c r="B363" s="142"/>
      <c r="C363" s="142"/>
      <c r="D363" s="143"/>
      <c r="E363" s="15"/>
      <c r="F363" s="56"/>
      <c r="G363" s="57"/>
      <c r="H363" s="56"/>
      <c r="I363" s="57"/>
      <c r="J363" s="56"/>
      <c r="K363" s="57"/>
      <c r="L363" s="58"/>
      <c r="M363" s="59"/>
    </row>
    <row r="364" spans="1:15" ht="24.95" customHeight="1" thickTop="1" thickBot="1">
      <c r="A364" s="130" t="s">
        <v>16</v>
      </c>
      <c r="B364" s="67"/>
      <c r="C364" s="67"/>
      <c r="D364" s="68"/>
      <c r="E364" s="28"/>
      <c r="F364" s="131"/>
      <c r="G364" s="132"/>
      <c r="H364" s="131"/>
      <c r="I364" s="132"/>
      <c r="J364" s="131"/>
      <c r="K364" s="132"/>
      <c r="L364" s="131"/>
      <c r="M364" s="133"/>
    </row>
    <row r="365" spans="1:15" ht="24.95" customHeight="1" thickBot="1">
      <c r="A365" s="134" t="s">
        <v>17</v>
      </c>
      <c r="B365" s="135"/>
      <c r="C365" s="135"/>
      <c r="D365" s="59"/>
      <c r="E365" s="28"/>
      <c r="F365" s="58"/>
      <c r="G365" s="59"/>
      <c r="H365" s="58"/>
      <c r="I365" s="59"/>
      <c r="J365" s="58"/>
      <c r="K365" s="59"/>
      <c r="L365" s="58"/>
      <c r="M365" s="136"/>
    </row>
    <row r="366" spans="1:15" ht="24.95" customHeight="1" thickBot="1">
      <c r="A366" s="118" t="s">
        <v>18</v>
      </c>
      <c r="B366" s="119"/>
      <c r="C366" s="119"/>
      <c r="D366" s="120"/>
      <c r="E366" s="24"/>
      <c r="F366" s="121"/>
      <c r="G366" s="120"/>
      <c r="H366" s="121"/>
      <c r="I366" s="120"/>
      <c r="J366" s="121"/>
      <c r="K366" s="120"/>
      <c r="L366" s="121"/>
      <c r="M366" s="122"/>
    </row>
    <row r="367" spans="1:15" ht="24" customHeight="1" thickTop="1" thickBot="1">
      <c r="A367" s="66" t="s">
        <v>19</v>
      </c>
      <c r="B367" s="67"/>
      <c r="C367" s="67"/>
      <c r="D367" s="67"/>
      <c r="E367" s="67"/>
      <c r="F367" s="67"/>
      <c r="G367" s="67"/>
      <c r="H367" s="67"/>
      <c r="I367" s="67"/>
      <c r="J367" s="67"/>
      <c r="K367" s="67"/>
      <c r="L367" s="67"/>
      <c r="M367" s="68"/>
    </row>
    <row r="368" spans="1:15" ht="35.25" customHeight="1" thickBot="1">
      <c r="A368" s="75" t="s">
        <v>20</v>
      </c>
      <c r="B368" s="76"/>
      <c r="C368" s="76"/>
      <c r="D368" s="77"/>
      <c r="E368" s="14" t="s">
        <v>11</v>
      </c>
      <c r="F368" s="75" t="s">
        <v>39</v>
      </c>
      <c r="G368" s="77"/>
      <c r="H368" s="75" t="s">
        <v>21</v>
      </c>
      <c r="I368" s="77"/>
      <c r="J368" s="78" t="s">
        <v>22</v>
      </c>
      <c r="K368" s="79"/>
      <c r="L368" s="75" t="s">
        <v>15</v>
      </c>
      <c r="M368" s="77"/>
    </row>
    <row r="369" spans="1:13" ht="24" customHeight="1" thickBot="1">
      <c r="A369" s="96"/>
      <c r="B369" s="97"/>
      <c r="C369" s="97"/>
      <c r="D369" s="98"/>
      <c r="E369" s="28"/>
      <c r="F369" s="58"/>
      <c r="G369" s="59"/>
      <c r="H369" s="58"/>
      <c r="I369" s="59"/>
      <c r="J369" s="56"/>
      <c r="K369" s="57"/>
      <c r="L369" s="58"/>
      <c r="M369" s="59"/>
    </row>
    <row r="370" spans="1:13" ht="24" customHeight="1" thickBot="1">
      <c r="A370" s="96"/>
      <c r="B370" s="97"/>
      <c r="C370" s="97"/>
      <c r="D370" s="98"/>
      <c r="E370" s="28"/>
      <c r="F370" s="58"/>
      <c r="G370" s="59"/>
      <c r="H370" s="58"/>
      <c r="I370" s="59"/>
      <c r="J370" s="56"/>
      <c r="K370" s="57"/>
      <c r="L370" s="58"/>
      <c r="M370" s="59"/>
    </row>
    <row r="371" spans="1:13" ht="24" customHeight="1" thickBot="1">
      <c r="A371" s="60" t="s">
        <v>23</v>
      </c>
      <c r="B371" s="61"/>
      <c r="C371" s="61"/>
      <c r="D371" s="61"/>
      <c r="E371" s="61"/>
      <c r="F371" s="61"/>
      <c r="G371" s="61"/>
      <c r="H371" s="61"/>
      <c r="I371" s="61"/>
      <c r="J371" s="61"/>
      <c r="K371" s="61"/>
      <c r="L371" s="61"/>
      <c r="M371" s="62"/>
    </row>
    <row r="372" spans="1:13" ht="35.25" customHeight="1" thickBot="1">
      <c r="A372" s="75" t="s">
        <v>24</v>
      </c>
      <c r="B372" s="77"/>
      <c r="C372" s="75" t="s">
        <v>25</v>
      </c>
      <c r="D372" s="77"/>
      <c r="E372" s="75" t="s">
        <v>26</v>
      </c>
      <c r="F372" s="76"/>
      <c r="G372" s="77"/>
      <c r="H372" s="75" t="s">
        <v>27</v>
      </c>
      <c r="I372" s="77"/>
      <c r="J372" s="78" t="s">
        <v>21</v>
      </c>
      <c r="K372" s="79"/>
      <c r="L372" s="75" t="s">
        <v>22</v>
      </c>
      <c r="M372" s="77"/>
    </row>
    <row r="373" spans="1:13" s="18" customFormat="1" ht="24.75" customHeight="1" thickBot="1">
      <c r="A373" s="99"/>
      <c r="B373" s="98"/>
      <c r="C373" s="56"/>
      <c r="D373" s="57"/>
      <c r="E373" s="56"/>
      <c r="F373" s="100"/>
      <c r="G373" s="57"/>
      <c r="H373" s="56"/>
      <c r="I373" s="57"/>
      <c r="J373" s="56"/>
      <c r="K373" s="57"/>
      <c r="L373" s="56"/>
      <c r="M373" s="57"/>
    </row>
    <row r="374" spans="1:13" s="18" customFormat="1" ht="25.5" customHeight="1" thickBot="1">
      <c r="A374" s="99"/>
      <c r="B374" s="98"/>
      <c r="C374" s="56"/>
      <c r="D374" s="57"/>
      <c r="E374" s="56"/>
      <c r="F374" s="100"/>
      <c r="G374" s="57"/>
      <c r="H374" s="56"/>
      <c r="I374" s="57"/>
      <c r="J374" s="56"/>
      <c r="K374" s="57"/>
      <c r="L374" s="56"/>
      <c r="M374" s="57"/>
    </row>
    <row r="375" spans="1:13" ht="33" customHeight="1" thickBot="1">
      <c r="A375" s="112" t="s">
        <v>60</v>
      </c>
      <c r="B375" s="113"/>
      <c r="C375" s="113"/>
      <c r="D375" s="113"/>
      <c r="E375" s="113"/>
      <c r="F375" s="113"/>
      <c r="G375" s="113"/>
      <c r="H375" s="113"/>
      <c r="I375" s="113"/>
      <c r="J375" s="113"/>
      <c r="K375" s="113"/>
      <c r="L375" s="113"/>
      <c r="M375" s="114"/>
    </row>
    <row r="376" spans="1:13" ht="16.5" customHeight="1">
      <c r="A376" s="115" t="s">
        <v>41</v>
      </c>
      <c r="B376" s="116"/>
      <c r="C376" s="116"/>
      <c r="D376" s="116"/>
      <c r="E376" s="116"/>
      <c r="F376" s="116"/>
      <c r="G376" s="116"/>
      <c r="H376" s="116"/>
      <c r="I376" s="116"/>
      <c r="J376" s="116"/>
      <c r="K376" s="116"/>
      <c r="L376" s="116"/>
      <c r="M376" s="117"/>
    </row>
    <row r="377" spans="1:13" ht="16.5" customHeight="1">
      <c r="A377" s="90" t="s">
        <v>28</v>
      </c>
      <c r="B377" s="91"/>
      <c r="C377" s="91"/>
      <c r="D377" s="91"/>
      <c r="E377" s="91"/>
      <c r="F377" s="91"/>
      <c r="G377" s="91"/>
      <c r="H377" s="91"/>
      <c r="I377" s="91"/>
      <c r="J377" s="91"/>
      <c r="K377" s="91"/>
      <c r="L377" s="91"/>
      <c r="M377" s="92"/>
    </row>
    <row r="378" spans="1:13" ht="16.5" customHeight="1">
      <c r="A378" s="106" t="s">
        <v>42</v>
      </c>
      <c r="B378" s="107"/>
      <c r="C378" s="107"/>
      <c r="D378" s="107"/>
      <c r="E378" s="107"/>
      <c r="F378" s="107"/>
      <c r="G378" s="107"/>
      <c r="H378" s="107"/>
      <c r="I378" s="107"/>
      <c r="J378" s="107"/>
      <c r="K378" s="107"/>
      <c r="L378" s="107"/>
      <c r="M378" s="108"/>
    </row>
    <row r="379" spans="1:13" ht="16.5" customHeight="1">
      <c r="A379" s="106" t="s">
        <v>43</v>
      </c>
      <c r="B379" s="107"/>
      <c r="C379" s="107"/>
      <c r="D379" s="107"/>
      <c r="E379" s="107"/>
      <c r="F379" s="107"/>
      <c r="G379" s="107"/>
      <c r="H379" s="107"/>
      <c r="I379" s="107"/>
      <c r="J379" s="107"/>
      <c r="K379" s="107"/>
      <c r="L379" s="107"/>
      <c r="M379" s="108"/>
    </row>
    <row r="380" spans="1:13" ht="16.5" customHeight="1">
      <c r="A380" s="106" t="s">
        <v>44</v>
      </c>
      <c r="B380" s="107"/>
      <c r="C380" s="107"/>
      <c r="D380" s="107"/>
      <c r="E380" s="107"/>
      <c r="F380" s="107"/>
      <c r="G380" s="107"/>
      <c r="H380" s="107"/>
      <c r="I380" s="107"/>
      <c r="J380" s="107"/>
      <c r="K380" s="107"/>
      <c r="L380" s="107"/>
      <c r="M380" s="108"/>
    </row>
    <row r="381" spans="1:13" ht="16.5" customHeight="1">
      <c r="A381" s="106" t="s">
        <v>45</v>
      </c>
      <c r="B381" s="107"/>
      <c r="C381" s="107"/>
      <c r="D381" s="107"/>
      <c r="E381" s="107"/>
      <c r="F381" s="107"/>
      <c r="G381" s="107"/>
      <c r="H381" s="107"/>
      <c r="I381" s="107"/>
      <c r="J381" s="107"/>
      <c r="K381" s="107"/>
      <c r="L381" s="107"/>
      <c r="M381" s="108"/>
    </row>
    <row r="382" spans="1:13" ht="16.5" customHeight="1">
      <c r="A382" s="106" t="s">
        <v>29</v>
      </c>
      <c r="B382" s="107"/>
      <c r="C382" s="107"/>
      <c r="D382" s="107"/>
      <c r="E382" s="107"/>
      <c r="F382" s="107"/>
      <c r="G382" s="107"/>
      <c r="H382" s="107"/>
      <c r="I382" s="107"/>
      <c r="J382" s="107"/>
      <c r="K382" s="107"/>
      <c r="L382" s="107"/>
      <c r="M382" s="108"/>
    </row>
    <row r="383" spans="1:13" ht="5.25" customHeight="1" thickBot="1">
      <c r="A383" s="109"/>
      <c r="B383" s="110"/>
      <c r="C383" s="110"/>
      <c r="D383" s="110"/>
      <c r="E383" s="110"/>
      <c r="F383" s="110"/>
      <c r="G383" s="110"/>
      <c r="H383" s="110"/>
      <c r="I383" s="110"/>
      <c r="J383" s="110"/>
      <c r="K383" s="110"/>
      <c r="L383" s="110"/>
      <c r="M383" s="111"/>
    </row>
    <row r="384" spans="1:13" ht="18.75" customHeight="1" thickBot="1">
      <c r="A384" s="72" t="s">
        <v>30</v>
      </c>
      <c r="B384" s="73"/>
      <c r="C384" s="73"/>
      <c r="D384" s="73"/>
      <c r="E384" s="73"/>
      <c r="F384" s="73"/>
      <c r="G384" s="73"/>
      <c r="H384" s="73"/>
      <c r="I384" s="73"/>
      <c r="J384" s="73"/>
      <c r="K384" s="73"/>
      <c r="L384" s="73"/>
      <c r="M384" s="74"/>
    </row>
    <row r="385" spans="1:15" ht="24" customHeight="1" thickBot="1">
      <c r="A385" s="72" t="s">
        <v>31</v>
      </c>
      <c r="B385" s="73"/>
      <c r="C385" s="73"/>
      <c r="D385" s="73"/>
      <c r="E385" s="73"/>
      <c r="F385" s="73"/>
      <c r="G385" s="73"/>
      <c r="H385" s="73"/>
      <c r="I385" s="73"/>
      <c r="J385" s="73"/>
      <c r="K385" s="73"/>
      <c r="L385" s="73"/>
      <c r="M385" s="74"/>
    </row>
    <row r="386" spans="1:15" ht="31.5" customHeight="1" thickBot="1">
      <c r="A386" s="72" t="s">
        <v>74</v>
      </c>
      <c r="B386" s="73"/>
      <c r="C386" s="73"/>
      <c r="D386" s="73"/>
      <c r="E386" s="73"/>
      <c r="F386" s="73"/>
      <c r="G386" s="73"/>
      <c r="H386" s="73"/>
      <c r="I386" s="73"/>
      <c r="J386" s="73"/>
      <c r="K386" s="73"/>
      <c r="L386" s="73"/>
      <c r="M386" s="74"/>
    </row>
    <row r="387" spans="1:15" ht="24" customHeight="1" thickBot="1">
      <c r="A387" s="60" t="s">
        <v>46</v>
      </c>
      <c r="B387" s="61"/>
      <c r="C387" s="61"/>
      <c r="D387" s="61"/>
      <c r="E387" s="61"/>
      <c r="F387" s="61"/>
      <c r="G387" s="61"/>
      <c r="H387" s="61"/>
      <c r="I387" s="61"/>
      <c r="J387" s="61"/>
      <c r="K387" s="61"/>
      <c r="L387" s="61"/>
      <c r="M387" s="62"/>
    </row>
    <row r="388" spans="1:15" ht="11.1" customHeight="1">
      <c r="A388" s="103" t="s">
        <v>47</v>
      </c>
      <c r="B388" s="103"/>
      <c r="C388" s="103"/>
      <c r="D388" s="103"/>
      <c r="E388" s="103"/>
      <c r="F388" s="103"/>
      <c r="G388" s="103"/>
      <c r="H388" s="103"/>
      <c r="I388" s="103"/>
      <c r="J388" s="103"/>
      <c r="K388" s="103"/>
      <c r="L388" s="103"/>
      <c r="M388" s="103"/>
    </row>
    <row r="389" spans="1:15" ht="11.1" customHeight="1">
      <c r="A389" s="104" t="s">
        <v>48</v>
      </c>
      <c r="B389" s="104"/>
      <c r="C389" s="104"/>
      <c r="D389" s="104"/>
      <c r="E389" s="104"/>
      <c r="F389" s="104"/>
      <c r="G389" s="104"/>
      <c r="H389" s="104"/>
      <c r="I389" s="104"/>
      <c r="J389" s="104"/>
      <c r="K389" s="104"/>
      <c r="L389" s="104"/>
      <c r="M389" s="104"/>
    </row>
    <row r="390" spans="1:15" ht="11.1" customHeight="1">
      <c r="A390" s="105" t="s">
        <v>49</v>
      </c>
      <c r="B390" s="105"/>
      <c r="C390" s="105"/>
      <c r="D390" s="105"/>
      <c r="E390" s="105"/>
      <c r="F390" s="105"/>
      <c r="G390" s="105"/>
      <c r="H390" s="105"/>
      <c r="I390" s="105"/>
      <c r="J390" s="105"/>
      <c r="K390" s="105"/>
      <c r="L390" s="105"/>
      <c r="M390" s="105"/>
    </row>
    <row r="391" spans="1:15" ht="11.1" customHeight="1">
      <c r="A391" s="105" t="s">
        <v>50</v>
      </c>
      <c r="B391" s="105"/>
      <c r="C391" s="105"/>
      <c r="D391" s="105"/>
      <c r="E391" s="105"/>
      <c r="F391" s="105"/>
      <c r="G391" s="105"/>
      <c r="H391" s="105"/>
      <c r="I391" s="105"/>
      <c r="J391" s="105"/>
      <c r="K391" s="105"/>
      <c r="L391" s="105"/>
      <c r="M391" s="105"/>
    </row>
    <row r="392" spans="1:15" ht="11.1" customHeight="1">
      <c r="A392" s="104" t="s">
        <v>51</v>
      </c>
      <c r="B392" s="104"/>
      <c r="C392" s="104"/>
      <c r="D392" s="104"/>
      <c r="E392" s="104"/>
      <c r="F392" s="104"/>
      <c r="G392" s="104"/>
      <c r="H392" s="104"/>
      <c r="I392" s="104"/>
      <c r="J392" s="104"/>
      <c r="K392" s="104"/>
      <c r="L392" s="104"/>
      <c r="M392" s="104"/>
    </row>
    <row r="393" spans="1:15" ht="11.1" customHeight="1">
      <c r="A393" s="104" t="s">
        <v>52</v>
      </c>
      <c r="B393" s="104"/>
      <c r="C393" s="104"/>
      <c r="D393" s="104"/>
      <c r="E393" s="104"/>
      <c r="F393" s="104"/>
      <c r="G393" s="104"/>
      <c r="H393" s="104"/>
      <c r="I393" s="104"/>
      <c r="J393" s="104"/>
      <c r="K393" s="104"/>
      <c r="L393" s="104"/>
      <c r="M393" s="104"/>
    </row>
    <row r="394" spans="1:15" ht="11.1" customHeight="1">
      <c r="A394" s="104" t="s">
        <v>53</v>
      </c>
      <c r="B394" s="104"/>
      <c r="C394" s="104"/>
      <c r="D394" s="104"/>
      <c r="E394" s="104"/>
      <c r="F394" s="104"/>
      <c r="G394" s="104"/>
      <c r="H394" s="104"/>
      <c r="I394" s="104"/>
      <c r="J394" s="104"/>
      <c r="K394" s="104"/>
      <c r="L394" s="104"/>
      <c r="M394" s="104"/>
    </row>
    <row r="395" spans="1:15" ht="11.1" customHeight="1">
      <c r="A395" s="101" t="s">
        <v>54</v>
      </c>
      <c r="B395" s="101"/>
      <c r="C395" s="101"/>
      <c r="D395" s="101"/>
      <c r="E395" s="101"/>
      <c r="F395" s="101"/>
      <c r="G395" s="101"/>
      <c r="H395" s="101"/>
      <c r="I395" s="101"/>
      <c r="J395" s="101"/>
      <c r="K395" s="101"/>
      <c r="L395" s="101"/>
      <c r="M395" s="101"/>
    </row>
    <row r="396" spans="1:15" ht="11.1" customHeight="1">
      <c r="A396" s="101" t="s">
        <v>55</v>
      </c>
      <c r="B396" s="101"/>
      <c r="C396" s="101"/>
      <c r="D396" s="101"/>
      <c r="E396" s="101"/>
      <c r="F396" s="101"/>
      <c r="G396" s="101"/>
      <c r="H396" s="101"/>
      <c r="I396" s="101"/>
      <c r="J396" s="101"/>
      <c r="K396" s="101"/>
      <c r="L396" s="101"/>
      <c r="M396" s="101"/>
    </row>
    <row r="397" spans="1:15" ht="19.5" customHeight="1">
      <c r="A397" s="69" t="s">
        <v>0</v>
      </c>
      <c r="B397" s="69"/>
      <c r="C397" s="69"/>
      <c r="D397" s="69"/>
      <c r="E397" s="69"/>
      <c r="F397" s="69"/>
      <c r="G397" s="69"/>
      <c r="H397" s="69"/>
      <c r="I397" s="69"/>
      <c r="J397" s="69"/>
      <c r="K397" s="69"/>
      <c r="L397" s="69"/>
      <c r="M397" s="69"/>
    </row>
    <row r="398" spans="1:15" ht="20.100000000000001" customHeight="1">
      <c r="A398" s="4" t="s">
        <v>32</v>
      </c>
      <c r="B398" s="5">
        <f>+B354+1</f>
        <v>14</v>
      </c>
      <c r="C398" s="25"/>
      <c r="D398" s="25"/>
      <c r="E398" s="25"/>
      <c r="F398" s="25"/>
      <c r="G398" s="25"/>
      <c r="H398" s="25"/>
      <c r="I398" s="25"/>
      <c r="J398" s="25"/>
      <c r="K398" s="25"/>
      <c r="L398" s="25"/>
      <c r="M398" s="25"/>
    </row>
    <row r="399" spans="1:15" ht="24" customHeight="1" thickBot="1">
      <c r="A399" s="4" t="s">
        <v>33</v>
      </c>
      <c r="H399" s="70" t="s">
        <v>34</v>
      </c>
      <c r="I399" s="70"/>
      <c r="J399" s="70"/>
      <c r="K399" s="102">
        <f>+K355+1</f>
        <v>45940</v>
      </c>
      <c r="L399" s="102"/>
      <c r="M399" s="102"/>
      <c r="O399" s="7"/>
    </row>
    <row r="400" spans="1:15" ht="33.75" customHeight="1" thickBot="1">
      <c r="A400" s="80" t="s">
        <v>1</v>
      </c>
      <c r="B400" s="81"/>
      <c r="C400" s="82"/>
      <c r="D400" s="86" t="str">
        <f>+D356</f>
        <v>光明國中B與C區5樓老舊廁所整修工程</v>
      </c>
      <c r="E400" s="87"/>
      <c r="F400" s="87"/>
      <c r="G400" s="88"/>
      <c r="H400" s="80" t="s">
        <v>2</v>
      </c>
      <c r="I400" s="81"/>
      <c r="J400" s="82"/>
      <c r="K400" s="80" t="s">
        <v>35</v>
      </c>
      <c r="L400" s="81"/>
      <c r="M400" s="82"/>
    </row>
    <row r="401" spans="1:13" ht="33.75" customHeight="1" thickBot="1">
      <c r="A401" s="8" t="s">
        <v>3</v>
      </c>
      <c r="B401" s="26">
        <f>+B357</f>
        <v>137</v>
      </c>
      <c r="C401" s="10" t="s">
        <v>36</v>
      </c>
      <c r="D401" s="80" t="s">
        <v>4</v>
      </c>
      <c r="E401" s="89"/>
      <c r="F401" s="27">
        <f>+F357+1</f>
        <v>14</v>
      </c>
      <c r="G401" s="12" t="s">
        <v>36</v>
      </c>
      <c r="H401" s="13" t="s">
        <v>5</v>
      </c>
      <c r="I401" s="26">
        <f>+B401-F401</f>
        <v>123</v>
      </c>
      <c r="J401" s="10" t="s">
        <v>36</v>
      </c>
      <c r="K401" s="80" t="s">
        <v>6</v>
      </c>
      <c r="L401" s="82"/>
      <c r="M401" s="13">
        <f>+M357</f>
        <v>7</v>
      </c>
    </row>
    <row r="402" spans="1:13" ht="24" customHeight="1" thickBot="1">
      <c r="A402" s="80" t="s">
        <v>7</v>
      </c>
      <c r="B402" s="81"/>
      <c r="C402" s="82"/>
      <c r="D402" s="80" t="str">
        <f>+D358</f>
        <v>114.9.27</v>
      </c>
      <c r="E402" s="81"/>
      <c r="F402" s="81"/>
      <c r="G402" s="82"/>
      <c r="H402" s="80" t="s">
        <v>8</v>
      </c>
      <c r="I402" s="81"/>
      <c r="J402" s="82"/>
      <c r="K402" s="80" t="str">
        <f>+K358</f>
        <v>115.2.10</v>
      </c>
      <c r="L402" s="81"/>
      <c r="M402" s="82"/>
    </row>
    <row r="403" spans="1:13" ht="24" customHeight="1" thickBot="1">
      <c r="A403" s="80" t="s">
        <v>37</v>
      </c>
      <c r="B403" s="81"/>
      <c r="C403" s="82"/>
      <c r="D403" s="83">
        <v>3.5999999999999997E-2</v>
      </c>
      <c r="E403" s="84"/>
      <c r="F403" s="84"/>
      <c r="G403" s="85"/>
      <c r="H403" s="80" t="s">
        <v>38</v>
      </c>
      <c r="I403" s="81"/>
      <c r="J403" s="82"/>
      <c r="K403" s="83">
        <v>8.2000000000000003E-2</v>
      </c>
      <c r="L403" s="84"/>
      <c r="M403" s="85"/>
    </row>
    <row r="404" spans="1:13" ht="24" customHeight="1" thickBot="1">
      <c r="A404" s="72" t="s">
        <v>9</v>
      </c>
      <c r="B404" s="73"/>
      <c r="C404" s="73"/>
      <c r="D404" s="73"/>
      <c r="E404" s="73"/>
      <c r="F404" s="73"/>
      <c r="G404" s="73"/>
      <c r="H404" s="73"/>
      <c r="I404" s="73"/>
      <c r="J404" s="73"/>
      <c r="K404" s="73"/>
      <c r="L404" s="73"/>
      <c r="M404" s="74"/>
    </row>
    <row r="405" spans="1:13" ht="31.5" customHeight="1" thickBot="1">
      <c r="A405" s="75" t="s">
        <v>10</v>
      </c>
      <c r="B405" s="76"/>
      <c r="C405" s="76"/>
      <c r="D405" s="77"/>
      <c r="E405" s="14" t="s">
        <v>11</v>
      </c>
      <c r="F405" s="75" t="s">
        <v>12</v>
      </c>
      <c r="G405" s="77"/>
      <c r="H405" s="75" t="s">
        <v>13</v>
      </c>
      <c r="I405" s="77"/>
      <c r="J405" s="78" t="s">
        <v>14</v>
      </c>
      <c r="K405" s="79"/>
      <c r="L405" s="75" t="s">
        <v>15</v>
      </c>
      <c r="M405" s="77"/>
    </row>
    <row r="406" spans="1:13" ht="32.25" customHeight="1" thickBot="1">
      <c r="A406" s="63" t="s">
        <v>111</v>
      </c>
      <c r="B406" s="64"/>
      <c r="C406" s="64"/>
      <c r="D406" s="65"/>
      <c r="E406" s="2" t="s">
        <v>101</v>
      </c>
      <c r="F406" s="56">
        <v>1</v>
      </c>
      <c r="G406" s="57"/>
      <c r="H406" s="56">
        <v>0.1</v>
      </c>
      <c r="I406" s="57"/>
      <c r="J406" s="56">
        <v>0.6</v>
      </c>
      <c r="K406" s="57"/>
      <c r="L406" s="58"/>
      <c r="M406" s="59"/>
    </row>
    <row r="407" spans="1:13" ht="27.95" customHeight="1" thickBot="1">
      <c r="A407" s="63" t="s">
        <v>78</v>
      </c>
      <c r="B407" s="64"/>
      <c r="C407" s="64"/>
      <c r="D407" s="65"/>
      <c r="E407" s="15" t="s">
        <v>69</v>
      </c>
      <c r="F407" s="126">
        <v>1</v>
      </c>
      <c r="G407" s="127"/>
      <c r="H407" s="126">
        <v>0.1</v>
      </c>
      <c r="I407" s="127"/>
      <c r="J407" s="126">
        <v>0.6</v>
      </c>
      <c r="K407" s="127"/>
      <c r="L407" s="58"/>
      <c r="M407" s="59"/>
    </row>
    <row r="408" spans="1:13" ht="24.95" customHeight="1" thickTop="1" thickBot="1">
      <c r="A408" s="130" t="s">
        <v>16</v>
      </c>
      <c r="B408" s="67"/>
      <c r="C408" s="67"/>
      <c r="D408" s="68"/>
      <c r="E408" s="28"/>
      <c r="F408" s="131"/>
      <c r="G408" s="132"/>
      <c r="H408" s="131"/>
      <c r="I408" s="132"/>
      <c r="J408" s="131"/>
      <c r="K408" s="132"/>
      <c r="L408" s="131"/>
      <c r="M408" s="133"/>
    </row>
    <row r="409" spans="1:13" ht="24.95" customHeight="1" thickBot="1">
      <c r="A409" s="134" t="s">
        <v>17</v>
      </c>
      <c r="B409" s="135"/>
      <c r="C409" s="135"/>
      <c r="D409" s="59"/>
      <c r="E409" s="28"/>
      <c r="F409" s="58"/>
      <c r="G409" s="59"/>
      <c r="H409" s="58"/>
      <c r="I409" s="59"/>
      <c r="J409" s="58"/>
      <c r="K409" s="59"/>
      <c r="L409" s="58"/>
      <c r="M409" s="136"/>
    </row>
    <row r="410" spans="1:13" ht="24.95" customHeight="1" thickBot="1">
      <c r="A410" s="118" t="s">
        <v>18</v>
      </c>
      <c r="B410" s="119"/>
      <c r="C410" s="119"/>
      <c r="D410" s="120"/>
      <c r="E410" s="24"/>
      <c r="F410" s="121"/>
      <c r="G410" s="120"/>
      <c r="H410" s="121"/>
      <c r="I410" s="120"/>
      <c r="J410" s="121"/>
      <c r="K410" s="120"/>
      <c r="L410" s="121"/>
      <c r="M410" s="122"/>
    </row>
    <row r="411" spans="1:13" ht="24" customHeight="1" thickTop="1" thickBot="1">
      <c r="A411" s="66" t="s">
        <v>19</v>
      </c>
      <c r="B411" s="67"/>
      <c r="C411" s="67"/>
      <c r="D411" s="67"/>
      <c r="E411" s="67"/>
      <c r="F411" s="67"/>
      <c r="G411" s="67"/>
      <c r="H411" s="67"/>
      <c r="I411" s="67"/>
      <c r="J411" s="67"/>
      <c r="K411" s="67"/>
      <c r="L411" s="67"/>
      <c r="M411" s="68"/>
    </row>
    <row r="412" spans="1:13" ht="31.5" customHeight="1" thickBot="1">
      <c r="A412" s="75" t="s">
        <v>20</v>
      </c>
      <c r="B412" s="76"/>
      <c r="C412" s="76"/>
      <c r="D412" s="77"/>
      <c r="E412" s="14" t="s">
        <v>11</v>
      </c>
      <c r="F412" s="75" t="s">
        <v>39</v>
      </c>
      <c r="G412" s="77"/>
      <c r="H412" s="75" t="s">
        <v>21</v>
      </c>
      <c r="I412" s="77"/>
      <c r="J412" s="78" t="s">
        <v>22</v>
      </c>
      <c r="K412" s="79"/>
      <c r="L412" s="75" t="s">
        <v>15</v>
      </c>
      <c r="M412" s="77"/>
    </row>
    <row r="413" spans="1:13" ht="24" customHeight="1" thickBot="1">
      <c r="A413" s="96"/>
      <c r="B413" s="97"/>
      <c r="C413" s="97"/>
      <c r="D413" s="98"/>
      <c r="E413" s="28"/>
      <c r="F413" s="58"/>
      <c r="G413" s="59"/>
      <c r="H413" s="58"/>
      <c r="I413" s="59"/>
      <c r="J413" s="56"/>
      <c r="K413" s="57"/>
      <c r="L413" s="58"/>
      <c r="M413" s="59"/>
    </row>
    <row r="414" spans="1:13" ht="24" customHeight="1" thickBot="1">
      <c r="A414" s="96"/>
      <c r="B414" s="97"/>
      <c r="C414" s="97"/>
      <c r="D414" s="98"/>
      <c r="E414" s="28"/>
      <c r="F414" s="58"/>
      <c r="G414" s="59"/>
      <c r="H414" s="58"/>
      <c r="I414" s="59"/>
      <c r="J414" s="56"/>
      <c r="K414" s="57"/>
      <c r="L414" s="58"/>
      <c r="M414" s="59"/>
    </row>
    <row r="415" spans="1:13" ht="24" customHeight="1" thickBot="1">
      <c r="A415" s="60" t="s">
        <v>23</v>
      </c>
      <c r="B415" s="61"/>
      <c r="C415" s="61"/>
      <c r="D415" s="61"/>
      <c r="E415" s="61"/>
      <c r="F415" s="61"/>
      <c r="G415" s="61"/>
      <c r="H415" s="61"/>
      <c r="I415" s="61"/>
      <c r="J415" s="61"/>
      <c r="K415" s="61"/>
      <c r="L415" s="61"/>
      <c r="M415" s="62"/>
    </row>
    <row r="416" spans="1:13" ht="40.5" customHeight="1" thickBot="1">
      <c r="A416" s="75" t="s">
        <v>24</v>
      </c>
      <c r="B416" s="77"/>
      <c r="C416" s="75" t="s">
        <v>25</v>
      </c>
      <c r="D416" s="77"/>
      <c r="E416" s="75" t="s">
        <v>26</v>
      </c>
      <c r="F416" s="76"/>
      <c r="G416" s="77"/>
      <c r="H416" s="75" t="s">
        <v>27</v>
      </c>
      <c r="I416" s="77"/>
      <c r="J416" s="78" t="s">
        <v>21</v>
      </c>
      <c r="K416" s="79"/>
      <c r="L416" s="75" t="s">
        <v>22</v>
      </c>
      <c r="M416" s="77"/>
    </row>
    <row r="417" spans="1:13" s="18" customFormat="1" ht="24.75" customHeight="1" thickBot="1">
      <c r="A417" s="99" t="s">
        <v>71</v>
      </c>
      <c r="B417" s="137"/>
      <c r="C417" s="56">
        <v>6</v>
      </c>
      <c r="D417" s="57"/>
      <c r="E417" s="56">
        <v>36</v>
      </c>
      <c r="F417" s="100"/>
      <c r="G417" s="57"/>
      <c r="H417" s="56"/>
      <c r="I417" s="57"/>
      <c r="J417" s="56"/>
      <c r="K417" s="57"/>
      <c r="L417" s="56"/>
      <c r="M417" s="57"/>
    </row>
    <row r="418" spans="1:13" s="18" customFormat="1" ht="25.5" customHeight="1" thickBot="1">
      <c r="A418" s="99"/>
      <c r="B418" s="98"/>
      <c r="C418" s="56"/>
      <c r="D418" s="57"/>
      <c r="E418" s="56"/>
      <c r="F418" s="100"/>
      <c r="G418" s="57"/>
      <c r="H418" s="56"/>
      <c r="I418" s="57"/>
      <c r="J418" s="56"/>
      <c r="K418" s="57"/>
      <c r="L418" s="56"/>
      <c r="M418" s="57"/>
    </row>
    <row r="419" spans="1:13" ht="33" customHeight="1" thickBot="1">
      <c r="A419" s="112" t="s">
        <v>40</v>
      </c>
      <c r="B419" s="113"/>
      <c r="C419" s="113"/>
      <c r="D419" s="113"/>
      <c r="E419" s="113"/>
      <c r="F419" s="113"/>
      <c r="G419" s="113"/>
      <c r="H419" s="113"/>
      <c r="I419" s="113"/>
      <c r="J419" s="113"/>
      <c r="K419" s="113"/>
      <c r="L419" s="113"/>
      <c r="M419" s="114"/>
    </row>
    <row r="420" spans="1:13" ht="16.5" customHeight="1">
      <c r="A420" s="115" t="s">
        <v>41</v>
      </c>
      <c r="B420" s="116"/>
      <c r="C420" s="116"/>
      <c r="D420" s="116"/>
      <c r="E420" s="116"/>
      <c r="F420" s="116"/>
      <c r="G420" s="116"/>
      <c r="H420" s="116"/>
      <c r="I420" s="116"/>
      <c r="J420" s="116"/>
      <c r="K420" s="116"/>
      <c r="L420" s="116"/>
      <c r="M420" s="117"/>
    </row>
    <row r="421" spans="1:13" ht="16.5" customHeight="1">
      <c r="A421" s="90" t="s">
        <v>28</v>
      </c>
      <c r="B421" s="91"/>
      <c r="C421" s="91"/>
      <c r="D421" s="91"/>
      <c r="E421" s="91"/>
      <c r="F421" s="91"/>
      <c r="G421" s="91"/>
      <c r="H421" s="91"/>
      <c r="I421" s="91"/>
      <c r="J421" s="91"/>
      <c r="K421" s="91"/>
      <c r="L421" s="91"/>
      <c r="M421" s="92"/>
    </row>
    <row r="422" spans="1:13" s="1" customFormat="1" ht="16.5" customHeight="1">
      <c r="A422" s="93" t="s">
        <v>56</v>
      </c>
      <c r="B422" s="94"/>
      <c r="C422" s="94"/>
      <c r="D422" s="94"/>
      <c r="E422" s="94"/>
      <c r="F422" s="94"/>
      <c r="G422" s="94"/>
      <c r="H422" s="94"/>
      <c r="I422" s="94"/>
      <c r="J422" s="94"/>
      <c r="K422" s="94"/>
      <c r="L422" s="94"/>
      <c r="M422" s="95"/>
    </row>
    <row r="423" spans="1:13" s="1" customFormat="1" ht="16.5" customHeight="1">
      <c r="A423" s="93" t="s">
        <v>57</v>
      </c>
      <c r="B423" s="94"/>
      <c r="C423" s="94"/>
      <c r="D423" s="94"/>
      <c r="E423" s="94"/>
      <c r="F423" s="94"/>
      <c r="G423" s="94"/>
      <c r="H423" s="94"/>
      <c r="I423" s="94"/>
      <c r="J423" s="94"/>
      <c r="K423" s="94"/>
      <c r="L423" s="94"/>
      <c r="M423" s="95"/>
    </row>
    <row r="424" spans="1:13" s="1" customFormat="1" ht="16.5" customHeight="1">
      <c r="A424" s="93" t="s">
        <v>58</v>
      </c>
      <c r="B424" s="94"/>
      <c r="C424" s="94"/>
      <c r="D424" s="94"/>
      <c r="E424" s="94"/>
      <c r="F424" s="94"/>
      <c r="G424" s="94"/>
      <c r="H424" s="94"/>
      <c r="I424" s="94"/>
      <c r="J424" s="94"/>
      <c r="K424" s="94"/>
      <c r="L424" s="94"/>
      <c r="M424" s="95"/>
    </row>
    <row r="425" spans="1:13" s="1" customFormat="1" ht="16.5" customHeight="1">
      <c r="A425" s="93" t="s">
        <v>59</v>
      </c>
      <c r="B425" s="94"/>
      <c r="C425" s="94"/>
      <c r="D425" s="94"/>
      <c r="E425" s="94"/>
      <c r="F425" s="94"/>
      <c r="G425" s="94"/>
      <c r="H425" s="94"/>
      <c r="I425" s="94"/>
      <c r="J425" s="94"/>
      <c r="K425" s="94"/>
      <c r="L425" s="94"/>
      <c r="M425" s="95"/>
    </row>
    <row r="426" spans="1:13" ht="16.5" customHeight="1">
      <c r="A426" s="106" t="s">
        <v>29</v>
      </c>
      <c r="B426" s="107"/>
      <c r="C426" s="107"/>
      <c r="D426" s="107"/>
      <c r="E426" s="107"/>
      <c r="F426" s="107"/>
      <c r="G426" s="107"/>
      <c r="H426" s="107"/>
      <c r="I426" s="107"/>
      <c r="J426" s="107"/>
      <c r="K426" s="107"/>
      <c r="L426" s="107"/>
      <c r="M426" s="108"/>
    </row>
    <row r="427" spans="1:13" ht="8.25" customHeight="1" thickBot="1">
      <c r="A427" s="109"/>
      <c r="B427" s="110"/>
      <c r="C427" s="110"/>
      <c r="D427" s="110"/>
      <c r="E427" s="110"/>
      <c r="F427" s="110"/>
      <c r="G427" s="110"/>
      <c r="H427" s="110"/>
      <c r="I427" s="110"/>
      <c r="J427" s="110"/>
      <c r="K427" s="110"/>
      <c r="L427" s="110"/>
      <c r="M427" s="111"/>
    </row>
    <row r="428" spans="1:13" ht="18.75" customHeight="1" thickBot="1">
      <c r="A428" s="72" t="s">
        <v>30</v>
      </c>
      <c r="B428" s="73"/>
      <c r="C428" s="73"/>
      <c r="D428" s="73"/>
      <c r="E428" s="73"/>
      <c r="F428" s="73"/>
      <c r="G428" s="73"/>
      <c r="H428" s="73"/>
      <c r="I428" s="73"/>
      <c r="J428" s="73"/>
      <c r="K428" s="73"/>
      <c r="L428" s="73"/>
      <c r="M428" s="74"/>
    </row>
    <row r="429" spans="1:13" ht="24" customHeight="1" thickBot="1">
      <c r="A429" s="72" t="s">
        <v>31</v>
      </c>
      <c r="B429" s="73"/>
      <c r="C429" s="73"/>
      <c r="D429" s="73"/>
      <c r="E429" s="73"/>
      <c r="F429" s="73"/>
      <c r="G429" s="73"/>
      <c r="H429" s="73"/>
      <c r="I429" s="73"/>
      <c r="J429" s="73"/>
      <c r="K429" s="73"/>
      <c r="L429" s="73"/>
      <c r="M429" s="74"/>
    </row>
    <row r="430" spans="1:13" ht="24" customHeight="1" thickBot="1">
      <c r="A430" s="72" t="s">
        <v>96</v>
      </c>
      <c r="B430" s="73"/>
      <c r="C430" s="73"/>
      <c r="D430" s="73"/>
      <c r="E430" s="73"/>
      <c r="F430" s="73"/>
      <c r="G430" s="73"/>
      <c r="H430" s="73"/>
      <c r="I430" s="73"/>
      <c r="J430" s="73"/>
      <c r="K430" s="73"/>
      <c r="L430" s="73"/>
      <c r="M430" s="74"/>
    </row>
    <row r="431" spans="1:13" ht="24" customHeight="1" thickBot="1">
      <c r="A431" s="60" t="s">
        <v>46</v>
      </c>
      <c r="B431" s="61"/>
      <c r="C431" s="61"/>
      <c r="D431" s="61"/>
      <c r="E431" s="61"/>
      <c r="F431" s="61"/>
      <c r="G431" s="61"/>
      <c r="H431" s="61"/>
      <c r="I431" s="61"/>
      <c r="J431" s="61"/>
      <c r="K431" s="61"/>
      <c r="L431" s="61"/>
      <c r="M431" s="62"/>
    </row>
    <row r="432" spans="1:13" ht="11.1" customHeight="1">
      <c r="A432" s="103" t="s">
        <v>47</v>
      </c>
      <c r="B432" s="103"/>
      <c r="C432" s="103"/>
      <c r="D432" s="103"/>
      <c r="E432" s="103"/>
      <c r="F432" s="103"/>
      <c r="G432" s="103"/>
      <c r="H432" s="103"/>
      <c r="I432" s="103"/>
      <c r="J432" s="103"/>
      <c r="K432" s="103"/>
      <c r="L432" s="103"/>
      <c r="M432" s="103"/>
    </row>
    <row r="433" spans="1:15" ht="11.1" customHeight="1">
      <c r="A433" s="104" t="s">
        <v>48</v>
      </c>
      <c r="B433" s="104"/>
      <c r="C433" s="104"/>
      <c r="D433" s="104"/>
      <c r="E433" s="104"/>
      <c r="F433" s="104"/>
      <c r="G433" s="104"/>
      <c r="H433" s="104"/>
      <c r="I433" s="104"/>
      <c r="J433" s="104"/>
      <c r="K433" s="104"/>
      <c r="L433" s="104"/>
      <c r="M433" s="104"/>
    </row>
    <row r="434" spans="1:15" ht="11.1" customHeight="1">
      <c r="A434" s="105" t="s">
        <v>49</v>
      </c>
      <c r="B434" s="105"/>
      <c r="C434" s="105"/>
      <c r="D434" s="105"/>
      <c r="E434" s="105"/>
      <c r="F434" s="105"/>
      <c r="G434" s="105"/>
      <c r="H434" s="105"/>
      <c r="I434" s="105"/>
      <c r="J434" s="105"/>
      <c r="K434" s="105"/>
      <c r="L434" s="105"/>
      <c r="M434" s="105"/>
    </row>
    <row r="435" spans="1:15" ht="11.1" customHeight="1">
      <c r="A435" s="105" t="s">
        <v>50</v>
      </c>
      <c r="B435" s="105"/>
      <c r="C435" s="105"/>
      <c r="D435" s="105"/>
      <c r="E435" s="105"/>
      <c r="F435" s="105"/>
      <c r="G435" s="105"/>
      <c r="H435" s="105"/>
      <c r="I435" s="105"/>
      <c r="J435" s="105"/>
      <c r="K435" s="105"/>
      <c r="L435" s="105"/>
      <c r="M435" s="105"/>
    </row>
    <row r="436" spans="1:15" ht="11.1" customHeight="1">
      <c r="A436" s="104" t="s">
        <v>51</v>
      </c>
      <c r="B436" s="104"/>
      <c r="C436" s="104"/>
      <c r="D436" s="104"/>
      <c r="E436" s="104"/>
      <c r="F436" s="104"/>
      <c r="G436" s="104"/>
      <c r="H436" s="104"/>
      <c r="I436" s="104"/>
      <c r="J436" s="104"/>
      <c r="K436" s="104"/>
      <c r="L436" s="104"/>
      <c r="M436" s="104"/>
    </row>
    <row r="437" spans="1:15" ht="11.1" customHeight="1">
      <c r="A437" s="104" t="s">
        <v>52</v>
      </c>
      <c r="B437" s="104"/>
      <c r="C437" s="104"/>
      <c r="D437" s="104"/>
      <c r="E437" s="104"/>
      <c r="F437" s="104"/>
      <c r="G437" s="104"/>
      <c r="H437" s="104"/>
      <c r="I437" s="104"/>
      <c r="J437" s="104"/>
      <c r="K437" s="104"/>
      <c r="L437" s="104"/>
      <c r="M437" s="104"/>
    </row>
    <row r="438" spans="1:15" ht="11.1" customHeight="1">
      <c r="A438" s="104" t="s">
        <v>53</v>
      </c>
      <c r="B438" s="104"/>
      <c r="C438" s="104"/>
      <c r="D438" s="104"/>
      <c r="E438" s="104"/>
      <c r="F438" s="104"/>
      <c r="G438" s="104"/>
      <c r="H438" s="104"/>
      <c r="I438" s="104"/>
      <c r="J438" s="104"/>
      <c r="K438" s="104"/>
      <c r="L438" s="104"/>
      <c r="M438" s="104"/>
    </row>
    <row r="439" spans="1:15" ht="11.1" customHeight="1">
      <c r="A439" s="101" t="s">
        <v>54</v>
      </c>
      <c r="B439" s="101"/>
      <c r="C439" s="101"/>
      <c r="D439" s="101"/>
      <c r="E439" s="101"/>
      <c r="F439" s="101"/>
      <c r="G439" s="101"/>
      <c r="H439" s="101"/>
      <c r="I439" s="101"/>
      <c r="J439" s="101"/>
      <c r="K439" s="101"/>
      <c r="L439" s="101"/>
      <c r="M439" s="101"/>
    </row>
    <row r="440" spans="1:15" ht="11.1" customHeight="1">
      <c r="A440" s="101" t="s">
        <v>55</v>
      </c>
      <c r="B440" s="101"/>
      <c r="C440" s="101"/>
      <c r="D440" s="101"/>
      <c r="E440" s="101"/>
      <c r="F440" s="101"/>
      <c r="G440" s="101"/>
      <c r="H440" s="101"/>
      <c r="I440" s="101"/>
      <c r="J440" s="101"/>
      <c r="K440" s="101"/>
      <c r="L440" s="101"/>
      <c r="M440" s="101"/>
    </row>
    <row r="441" spans="1:15" ht="19.5" customHeight="1">
      <c r="A441" s="69" t="s">
        <v>0</v>
      </c>
      <c r="B441" s="69"/>
      <c r="C441" s="69"/>
      <c r="D441" s="69"/>
      <c r="E441" s="69"/>
      <c r="F441" s="69"/>
      <c r="G441" s="69"/>
      <c r="H441" s="69"/>
      <c r="I441" s="69"/>
      <c r="J441" s="69"/>
      <c r="K441" s="69"/>
      <c r="L441" s="69"/>
      <c r="M441" s="69"/>
    </row>
    <row r="442" spans="1:15" ht="20.100000000000001" customHeight="1">
      <c r="A442" s="4" t="s">
        <v>32</v>
      </c>
      <c r="B442" s="5">
        <f>+B398+1</f>
        <v>15</v>
      </c>
      <c r="C442" s="25"/>
      <c r="D442" s="25"/>
      <c r="E442" s="25"/>
      <c r="F442" s="25"/>
      <c r="G442" s="25"/>
      <c r="H442" s="25"/>
      <c r="I442" s="25"/>
      <c r="J442" s="25"/>
      <c r="K442" s="25"/>
      <c r="L442" s="25"/>
      <c r="M442" s="25"/>
    </row>
    <row r="443" spans="1:15" ht="24" customHeight="1" thickBot="1">
      <c r="A443" s="4" t="s">
        <v>33</v>
      </c>
      <c r="H443" s="70" t="s">
        <v>34</v>
      </c>
      <c r="I443" s="70"/>
      <c r="J443" s="70"/>
      <c r="K443" s="102">
        <f>+K399+1</f>
        <v>45941</v>
      </c>
      <c r="L443" s="102"/>
      <c r="M443" s="102"/>
      <c r="O443" s="7"/>
    </row>
    <row r="444" spans="1:15" ht="33.75" customHeight="1" thickBot="1">
      <c r="A444" s="80" t="s">
        <v>1</v>
      </c>
      <c r="B444" s="81"/>
      <c r="C444" s="82"/>
      <c r="D444" s="86" t="str">
        <f>+D400</f>
        <v>光明國中B與C區5樓老舊廁所整修工程</v>
      </c>
      <c r="E444" s="87"/>
      <c r="F444" s="87"/>
      <c r="G444" s="88"/>
      <c r="H444" s="80" t="s">
        <v>2</v>
      </c>
      <c r="I444" s="81"/>
      <c r="J444" s="82"/>
      <c r="K444" s="80" t="s">
        <v>35</v>
      </c>
      <c r="L444" s="81"/>
      <c r="M444" s="82"/>
    </row>
    <row r="445" spans="1:15" ht="33.75" customHeight="1" thickBot="1">
      <c r="A445" s="8" t="s">
        <v>3</v>
      </c>
      <c r="B445" s="26">
        <f>+B401</f>
        <v>137</v>
      </c>
      <c r="C445" s="10" t="s">
        <v>36</v>
      </c>
      <c r="D445" s="80" t="s">
        <v>4</v>
      </c>
      <c r="E445" s="89"/>
      <c r="F445" s="27">
        <f>+F401+1</f>
        <v>15</v>
      </c>
      <c r="G445" s="12" t="s">
        <v>36</v>
      </c>
      <c r="H445" s="13" t="s">
        <v>5</v>
      </c>
      <c r="I445" s="26">
        <f>+B445-F445</f>
        <v>122</v>
      </c>
      <c r="J445" s="10" t="s">
        <v>36</v>
      </c>
      <c r="K445" s="80" t="s">
        <v>6</v>
      </c>
      <c r="L445" s="82"/>
      <c r="M445" s="13">
        <f>+M401</f>
        <v>7</v>
      </c>
    </row>
    <row r="446" spans="1:15" ht="24" customHeight="1" thickBot="1">
      <c r="A446" s="80" t="s">
        <v>7</v>
      </c>
      <c r="B446" s="81"/>
      <c r="C446" s="82"/>
      <c r="D446" s="80" t="str">
        <f>+D402</f>
        <v>114.9.27</v>
      </c>
      <c r="E446" s="81"/>
      <c r="F446" s="81"/>
      <c r="G446" s="82"/>
      <c r="H446" s="80" t="s">
        <v>8</v>
      </c>
      <c r="I446" s="81"/>
      <c r="J446" s="82"/>
      <c r="K446" s="80" t="str">
        <f>+K402</f>
        <v>115.2.10</v>
      </c>
      <c r="L446" s="81"/>
      <c r="M446" s="82"/>
    </row>
    <row r="447" spans="1:15" ht="24" customHeight="1" thickBot="1">
      <c r="A447" s="80" t="s">
        <v>37</v>
      </c>
      <c r="B447" s="81"/>
      <c r="C447" s="82"/>
      <c r="D447" s="83">
        <v>3.7999999999999999E-2</v>
      </c>
      <c r="E447" s="84"/>
      <c r="F447" s="84"/>
      <c r="G447" s="85"/>
      <c r="H447" s="80" t="s">
        <v>38</v>
      </c>
      <c r="I447" s="81"/>
      <c r="J447" s="82"/>
      <c r="K447" s="83">
        <v>9.1999999999999998E-2</v>
      </c>
      <c r="L447" s="84"/>
      <c r="M447" s="85"/>
    </row>
    <row r="448" spans="1:15" ht="24" customHeight="1" thickBot="1">
      <c r="A448" s="72" t="s">
        <v>9</v>
      </c>
      <c r="B448" s="73"/>
      <c r="C448" s="73"/>
      <c r="D448" s="73"/>
      <c r="E448" s="73"/>
      <c r="F448" s="73"/>
      <c r="G448" s="73"/>
      <c r="H448" s="73"/>
      <c r="I448" s="73"/>
      <c r="J448" s="73"/>
      <c r="K448" s="73"/>
      <c r="L448" s="73"/>
      <c r="M448" s="74"/>
    </row>
    <row r="449" spans="1:13" ht="31.5" customHeight="1" thickBot="1">
      <c r="A449" s="75" t="s">
        <v>10</v>
      </c>
      <c r="B449" s="76"/>
      <c r="C449" s="76"/>
      <c r="D449" s="77"/>
      <c r="E449" s="14" t="s">
        <v>11</v>
      </c>
      <c r="F449" s="75" t="s">
        <v>12</v>
      </c>
      <c r="G449" s="77"/>
      <c r="H449" s="75" t="s">
        <v>13</v>
      </c>
      <c r="I449" s="77"/>
      <c r="J449" s="78" t="s">
        <v>14</v>
      </c>
      <c r="K449" s="79"/>
      <c r="L449" s="75" t="s">
        <v>15</v>
      </c>
      <c r="M449" s="77"/>
    </row>
    <row r="450" spans="1:13" ht="32.25" customHeight="1" thickBot="1">
      <c r="A450" s="63" t="s">
        <v>111</v>
      </c>
      <c r="B450" s="64"/>
      <c r="C450" s="64"/>
      <c r="D450" s="65"/>
      <c r="E450" s="2" t="s">
        <v>101</v>
      </c>
      <c r="F450" s="56">
        <v>1</v>
      </c>
      <c r="G450" s="57"/>
      <c r="H450" s="56">
        <v>0.1</v>
      </c>
      <c r="I450" s="57"/>
      <c r="J450" s="56">
        <v>0.7</v>
      </c>
      <c r="K450" s="57"/>
      <c r="L450" s="58"/>
      <c r="M450" s="59"/>
    </row>
    <row r="451" spans="1:13" ht="27.95" customHeight="1" thickBot="1">
      <c r="A451" s="63" t="s">
        <v>78</v>
      </c>
      <c r="B451" s="64"/>
      <c r="C451" s="64"/>
      <c r="D451" s="65"/>
      <c r="E451" s="15" t="s">
        <v>69</v>
      </c>
      <c r="F451" s="126">
        <v>1</v>
      </c>
      <c r="G451" s="127"/>
      <c r="H451" s="126">
        <v>0.1</v>
      </c>
      <c r="I451" s="127"/>
      <c r="J451" s="126">
        <v>0.7</v>
      </c>
      <c r="K451" s="127"/>
      <c r="L451" s="58"/>
      <c r="M451" s="59"/>
    </row>
    <row r="452" spans="1:13" ht="24.95" customHeight="1" thickTop="1" thickBot="1">
      <c r="A452" s="130" t="s">
        <v>16</v>
      </c>
      <c r="B452" s="67"/>
      <c r="C452" s="67"/>
      <c r="D452" s="68"/>
      <c r="E452" s="33"/>
      <c r="F452" s="131"/>
      <c r="G452" s="132"/>
      <c r="H452" s="131"/>
      <c r="I452" s="132"/>
      <c r="J452" s="131"/>
      <c r="K452" s="132"/>
      <c r="L452" s="131"/>
      <c r="M452" s="133"/>
    </row>
    <row r="453" spans="1:13" ht="24.95" customHeight="1" thickBot="1">
      <c r="A453" s="134" t="s">
        <v>17</v>
      </c>
      <c r="B453" s="135"/>
      <c r="C453" s="135"/>
      <c r="D453" s="59"/>
      <c r="E453" s="33"/>
      <c r="F453" s="58"/>
      <c r="G453" s="59"/>
      <c r="H453" s="58"/>
      <c r="I453" s="59"/>
      <c r="J453" s="58"/>
      <c r="K453" s="59"/>
      <c r="L453" s="58"/>
      <c r="M453" s="136"/>
    </row>
    <row r="454" spans="1:13" ht="24.95" customHeight="1" thickBot="1">
      <c r="A454" s="118" t="s">
        <v>18</v>
      </c>
      <c r="B454" s="119"/>
      <c r="C454" s="119"/>
      <c r="D454" s="120"/>
      <c r="E454" s="24"/>
      <c r="F454" s="121"/>
      <c r="G454" s="120"/>
      <c r="H454" s="121"/>
      <c r="I454" s="120"/>
      <c r="J454" s="121"/>
      <c r="K454" s="120"/>
      <c r="L454" s="121"/>
      <c r="M454" s="122"/>
    </row>
    <row r="455" spans="1:13" ht="24" customHeight="1" thickTop="1" thickBot="1">
      <c r="A455" s="66" t="s">
        <v>19</v>
      </c>
      <c r="B455" s="67"/>
      <c r="C455" s="67"/>
      <c r="D455" s="67"/>
      <c r="E455" s="67"/>
      <c r="F455" s="67"/>
      <c r="G455" s="67"/>
      <c r="H455" s="67"/>
      <c r="I455" s="67"/>
      <c r="J455" s="67"/>
      <c r="K455" s="67"/>
      <c r="L455" s="67"/>
      <c r="M455" s="68"/>
    </row>
    <row r="456" spans="1:13" ht="35.25" customHeight="1" thickBot="1">
      <c r="A456" s="75" t="s">
        <v>20</v>
      </c>
      <c r="B456" s="76"/>
      <c r="C456" s="76"/>
      <c r="D456" s="77"/>
      <c r="E456" s="14" t="s">
        <v>11</v>
      </c>
      <c r="F456" s="75" t="s">
        <v>39</v>
      </c>
      <c r="G456" s="77"/>
      <c r="H456" s="75" t="s">
        <v>21</v>
      </c>
      <c r="I456" s="77"/>
      <c r="J456" s="78" t="s">
        <v>22</v>
      </c>
      <c r="K456" s="79"/>
      <c r="L456" s="75" t="s">
        <v>15</v>
      </c>
      <c r="M456" s="77"/>
    </row>
    <row r="457" spans="1:13" ht="24" customHeight="1" thickBot="1">
      <c r="A457" s="96"/>
      <c r="B457" s="97"/>
      <c r="C457" s="97"/>
      <c r="D457" s="98"/>
      <c r="E457" s="33"/>
      <c r="F457" s="58"/>
      <c r="G457" s="59"/>
      <c r="H457" s="58"/>
      <c r="I457" s="59"/>
      <c r="J457" s="56"/>
      <c r="K457" s="57"/>
      <c r="L457" s="58"/>
      <c r="M457" s="59"/>
    </row>
    <row r="458" spans="1:13" ht="24" customHeight="1" thickBot="1">
      <c r="A458" s="96"/>
      <c r="B458" s="97"/>
      <c r="C458" s="97"/>
      <c r="D458" s="98"/>
      <c r="E458" s="33"/>
      <c r="F458" s="58"/>
      <c r="G458" s="59"/>
      <c r="H458" s="58"/>
      <c r="I458" s="59"/>
      <c r="J458" s="56"/>
      <c r="K458" s="57"/>
      <c r="L458" s="58"/>
      <c r="M458" s="59"/>
    </row>
    <row r="459" spans="1:13" ht="24" customHeight="1" thickBot="1">
      <c r="A459" s="60" t="s">
        <v>23</v>
      </c>
      <c r="B459" s="61"/>
      <c r="C459" s="61"/>
      <c r="D459" s="61"/>
      <c r="E459" s="61"/>
      <c r="F459" s="61"/>
      <c r="G459" s="61"/>
      <c r="H459" s="61"/>
      <c r="I459" s="61"/>
      <c r="J459" s="61"/>
      <c r="K459" s="61"/>
      <c r="L459" s="61"/>
      <c r="M459" s="62"/>
    </row>
    <row r="460" spans="1:13" ht="32.25" customHeight="1" thickBot="1">
      <c r="A460" s="75" t="s">
        <v>24</v>
      </c>
      <c r="B460" s="77"/>
      <c r="C460" s="75" t="s">
        <v>25</v>
      </c>
      <c r="D460" s="77"/>
      <c r="E460" s="75" t="s">
        <v>26</v>
      </c>
      <c r="F460" s="76"/>
      <c r="G460" s="77"/>
      <c r="H460" s="75" t="s">
        <v>27</v>
      </c>
      <c r="I460" s="77"/>
      <c r="J460" s="78" t="s">
        <v>21</v>
      </c>
      <c r="K460" s="79"/>
      <c r="L460" s="75" t="s">
        <v>22</v>
      </c>
      <c r="M460" s="77"/>
    </row>
    <row r="461" spans="1:13" s="18" customFormat="1" ht="24.75" customHeight="1" thickBot="1">
      <c r="A461" s="99" t="s">
        <v>71</v>
      </c>
      <c r="B461" s="137"/>
      <c r="C461" s="56">
        <v>5</v>
      </c>
      <c r="D461" s="57"/>
      <c r="E461" s="56">
        <v>41</v>
      </c>
      <c r="F461" s="100"/>
      <c r="G461" s="57"/>
      <c r="H461" s="56"/>
      <c r="I461" s="57"/>
      <c r="J461" s="56"/>
      <c r="K461" s="57"/>
      <c r="L461" s="56"/>
      <c r="M461" s="57"/>
    </row>
    <row r="462" spans="1:13" s="18" customFormat="1" ht="25.5" customHeight="1" thickBot="1">
      <c r="A462" s="99"/>
      <c r="B462" s="98"/>
      <c r="C462" s="56"/>
      <c r="D462" s="57"/>
      <c r="E462" s="56"/>
      <c r="F462" s="100"/>
      <c r="G462" s="57"/>
      <c r="H462" s="56"/>
      <c r="I462" s="57"/>
      <c r="J462" s="56"/>
      <c r="K462" s="57"/>
      <c r="L462" s="56"/>
      <c r="M462" s="57"/>
    </row>
    <row r="463" spans="1:13" ht="33" customHeight="1" thickBot="1">
      <c r="A463" s="112" t="s">
        <v>40</v>
      </c>
      <c r="B463" s="113"/>
      <c r="C463" s="113"/>
      <c r="D463" s="113"/>
      <c r="E463" s="113"/>
      <c r="F463" s="113"/>
      <c r="G463" s="113"/>
      <c r="H463" s="113"/>
      <c r="I463" s="113"/>
      <c r="J463" s="113"/>
      <c r="K463" s="113"/>
      <c r="L463" s="113"/>
      <c r="M463" s="114"/>
    </row>
    <row r="464" spans="1:13" ht="16.5" customHeight="1">
      <c r="A464" s="115" t="s">
        <v>41</v>
      </c>
      <c r="B464" s="116"/>
      <c r="C464" s="116"/>
      <c r="D464" s="116"/>
      <c r="E464" s="116"/>
      <c r="F464" s="116"/>
      <c r="G464" s="116"/>
      <c r="H464" s="116"/>
      <c r="I464" s="116"/>
      <c r="J464" s="116"/>
      <c r="K464" s="116"/>
      <c r="L464" s="116"/>
      <c r="M464" s="117"/>
    </row>
    <row r="465" spans="1:13" ht="16.5" customHeight="1">
      <c r="A465" s="90" t="s">
        <v>28</v>
      </c>
      <c r="B465" s="91"/>
      <c r="C465" s="91"/>
      <c r="D465" s="91"/>
      <c r="E465" s="91"/>
      <c r="F465" s="91"/>
      <c r="G465" s="91"/>
      <c r="H465" s="91"/>
      <c r="I465" s="91"/>
      <c r="J465" s="91"/>
      <c r="K465" s="91"/>
      <c r="L465" s="91"/>
      <c r="M465" s="92"/>
    </row>
    <row r="466" spans="1:13" s="1" customFormat="1" ht="16.5" customHeight="1">
      <c r="A466" s="93" t="s">
        <v>56</v>
      </c>
      <c r="B466" s="94"/>
      <c r="C466" s="94"/>
      <c r="D466" s="94"/>
      <c r="E466" s="94"/>
      <c r="F466" s="94"/>
      <c r="G466" s="94"/>
      <c r="H466" s="94"/>
      <c r="I466" s="94"/>
      <c r="J466" s="94"/>
      <c r="K466" s="94"/>
      <c r="L466" s="94"/>
      <c r="M466" s="95"/>
    </row>
    <row r="467" spans="1:13" s="1" customFormat="1" ht="16.5" customHeight="1">
      <c r="A467" s="93" t="s">
        <v>57</v>
      </c>
      <c r="B467" s="94"/>
      <c r="C467" s="94"/>
      <c r="D467" s="94"/>
      <c r="E467" s="94"/>
      <c r="F467" s="94"/>
      <c r="G467" s="94"/>
      <c r="H467" s="94"/>
      <c r="I467" s="94"/>
      <c r="J467" s="94"/>
      <c r="K467" s="94"/>
      <c r="L467" s="94"/>
      <c r="M467" s="95"/>
    </row>
    <row r="468" spans="1:13" s="1" customFormat="1" ht="16.5" customHeight="1">
      <c r="A468" s="93" t="s">
        <v>58</v>
      </c>
      <c r="B468" s="94"/>
      <c r="C468" s="94"/>
      <c r="D468" s="94"/>
      <c r="E468" s="94"/>
      <c r="F468" s="94"/>
      <c r="G468" s="94"/>
      <c r="H468" s="94"/>
      <c r="I468" s="94"/>
      <c r="J468" s="94"/>
      <c r="K468" s="94"/>
      <c r="L468" s="94"/>
      <c r="M468" s="95"/>
    </row>
    <row r="469" spans="1:13" s="1" customFormat="1" ht="16.5" customHeight="1">
      <c r="A469" s="93" t="s">
        <v>59</v>
      </c>
      <c r="B469" s="94"/>
      <c r="C469" s="94"/>
      <c r="D469" s="94"/>
      <c r="E469" s="94"/>
      <c r="F469" s="94"/>
      <c r="G469" s="94"/>
      <c r="H469" s="94"/>
      <c r="I469" s="94"/>
      <c r="J469" s="94"/>
      <c r="K469" s="94"/>
      <c r="L469" s="94"/>
      <c r="M469" s="95"/>
    </row>
    <row r="470" spans="1:13" ht="16.5" customHeight="1">
      <c r="A470" s="106" t="s">
        <v>29</v>
      </c>
      <c r="B470" s="107"/>
      <c r="C470" s="107"/>
      <c r="D470" s="107"/>
      <c r="E470" s="107"/>
      <c r="F470" s="107"/>
      <c r="G470" s="107"/>
      <c r="H470" s="107"/>
      <c r="I470" s="107"/>
      <c r="J470" s="107"/>
      <c r="K470" s="107"/>
      <c r="L470" s="107"/>
      <c r="M470" s="108"/>
    </row>
    <row r="471" spans="1:13" ht="5.25" customHeight="1" thickBot="1">
      <c r="A471" s="109"/>
      <c r="B471" s="110"/>
      <c r="C471" s="110"/>
      <c r="D471" s="110"/>
      <c r="E471" s="110"/>
      <c r="F471" s="110"/>
      <c r="G471" s="110"/>
      <c r="H471" s="110"/>
      <c r="I471" s="110"/>
      <c r="J471" s="110"/>
      <c r="K471" s="110"/>
      <c r="L471" s="110"/>
      <c r="M471" s="111"/>
    </row>
    <row r="472" spans="1:13" ht="18.75" customHeight="1" thickBot="1">
      <c r="A472" s="72" t="s">
        <v>30</v>
      </c>
      <c r="B472" s="73"/>
      <c r="C472" s="73"/>
      <c r="D472" s="73"/>
      <c r="E472" s="73"/>
      <c r="F472" s="73"/>
      <c r="G472" s="73"/>
      <c r="H472" s="73"/>
      <c r="I472" s="73"/>
      <c r="J472" s="73"/>
      <c r="K472" s="73"/>
      <c r="L472" s="73"/>
      <c r="M472" s="74"/>
    </row>
    <row r="473" spans="1:13" ht="24" customHeight="1" thickBot="1">
      <c r="A473" s="72" t="s">
        <v>31</v>
      </c>
      <c r="B473" s="73"/>
      <c r="C473" s="73"/>
      <c r="D473" s="73"/>
      <c r="E473" s="73"/>
      <c r="F473" s="73"/>
      <c r="G473" s="73"/>
      <c r="H473" s="73"/>
      <c r="I473" s="73"/>
      <c r="J473" s="73"/>
      <c r="K473" s="73"/>
      <c r="L473" s="73"/>
      <c r="M473" s="74"/>
    </row>
    <row r="474" spans="1:13" ht="24" customHeight="1" thickBot="1">
      <c r="A474" s="72" t="s">
        <v>96</v>
      </c>
      <c r="B474" s="73"/>
      <c r="C474" s="73"/>
      <c r="D474" s="73"/>
      <c r="E474" s="73"/>
      <c r="F474" s="73"/>
      <c r="G474" s="73"/>
      <c r="H474" s="73"/>
      <c r="I474" s="73"/>
      <c r="J474" s="73"/>
      <c r="K474" s="73"/>
      <c r="L474" s="73"/>
      <c r="M474" s="74"/>
    </row>
    <row r="475" spans="1:13" ht="24" customHeight="1" thickBot="1">
      <c r="A475" s="60" t="s">
        <v>46</v>
      </c>
      <c r="B475" s="61"/>
      <c r="C475" s="61"/>
      <c r="D475" s="61"/>
      <c r="E475" s="61"/>
      <c r="F475" s="61"/>
      <c r="G475" s="61"/>
      <c r="H475" s="61"/>
      <c r="I475" s="61"/>
      <c r="J475" s="61"/>
      <c r="K475" s="61"/>
      <c r="L475" s="61"/>
      <c r="M475" s="62"/>
    </row>
    <row r="476" spans="1:13" ht="11.1" customHeight="1">
      <c r="A476" s="103" t="s">
        <v>47</v>
      </c>
      <c r="B476" s="103"/>
      <c r="C476" s="103"/>
      <c r="D476" s="103"/>
      <c r="E476" s="103"/>
      <c r="F476" s="103"/>
      <c r="G476" s="103"/>
      <c r="H476" s="103"/>
      <c r="I476" s="103"/>
      <c r="J476" s="103"/>
      <c r="K476" s="103"/>
      <c r="L476" s="103"/>
      <c r="M476" s="103"/>
    </row>
    <row r="477" spans="1:13" ht="11.1" customHeight="1">
      <c r="A477" s="104" t="s">
        <v>48</v>
      </c>
      <c r="B477" s="104"/>
      <c r="C477" s="104"/>
      <c r="D477" s="104"/>
      <c r="E477" s="104"/>
      <c r="F477" s="104"/>
      <c r="G477" s="104"/>
      <c r="H477" s="104"/>
      <c r="I477" s="104"/>
      <c r="J477" s="104"/>
      <c r="K477" s="104"/>
      <c r="L477" s="104"/>
      <c r="M477" s="104"/>
    </row>
    <row r="478" spans="1:13" ht="11.1" customHeight="1">
      <c r="A478" s="105" t="s">
        <v>49</v>
      </c>
      <c r="B478" s="105"/>
      <c r="C478" s="105"/>
      <c r="D478" s="105"/>
      <c r="E478" s="105"/>
      <c r="F478" s="105"/>
      <c r="G478" s="105"/>
      <c r="H478" s="105"/>
      <c r="I478" s="105"/>
      <c r="J478" s="105"/>
      <c r="K478" s="105"/>
      <c r="L478" s="105"/>
      <c r="M478" s="105"/>
    </row>
    <row r="479" spans="1:13" ht="11.1" customHeight="1">
      <c r="A479" s="105" t="s">
        <v>50</v>
      </c>
      <c r="B479" s="105"/>
      <c r="C479" s="105"/>
      <c r="D479" s="105"/>
      <c r="E479" s="105"/>
      <c r="F479" s="105"/>
      <c r="G479" s="105"/>
      <c r="H479" s="105"/>
      <c r="I479" s="105"/>
      <c r="J479" s="105"/>
      <c r="K479" s="105"/>
      <c r="L479" s="105"/>
      <c r="M479" s="105"/>
    </row>
    <row r="480" spans="1:13" ht="11.1" customHeight="1">
      <c r="A480" s="104" t="s">
        <v>51</v>
      </c>
      <c r="B480" s="104"/>
      <c r="C480" s="104"/>
      <c r="D480" s="104"/>
      <c r="E480" s="104"/>
      <c r="F480" s="104"/>
      <c r="G480" s="104"/>
      <c r="H480" s="104"/>
      <c r="I480" s="104"/>
      <c r="J480" s="104"/>
      <c r="K480" s="104"/>
      <c r="L480" s="104"/>
      <c r="M480" s="104"/>
    </row>
    <row r="481" spans="1:15" ht="11.1" customHeight="1">
      <c r="A481" s="104" t="s">
        <v>52</v>
      </c>
      <c r="B481" s="104"/>
      <c r="C481" s="104"/>
      <c r="D481" s="104"/>
      <c r="E481" s="104"/>
      <c r="F481" s="104"/>
      <c r="G481" s="104"/>
      <c r="H481" s="104"/>
      <c r="I481" s="104"/>
      <c r="J481" s="104"/>
      <c r="K481" s="104"/>
      <c r="L481" s="104"/>
      <c r="M481" s="104"/>
    </row>
    <row r="482" spans="1:15" ht="11.1" customHeight="1">
      <c r="A482" s="104" t="s">
        <v>53</v>
      </c>
      <c r="B482" s="104"/>
      <c r="C482" s="104"/>
      <c r="D482" s="104"/>
      <c r="E482" s="104"/>
      <c r="F482" s="104"/>
      <c r="G482" s="104"/>
      <c r="H482" s="104"/>
      <c r="I482" s="104"/>
      <c r="J482" s="104"/>
      <c r="K482" s="104"/>
      <c r="L482" s="104"/>
      <c r="M482" s="104"/>
    </row>
    <row r="483" spans="1:15" ht="11.1" customHeight="1">
      <c r="A483" s="101" t="s">
        <v>54</v>
      </c>
      <c r="B483" s="101"/>
      <c r="C483" s="101"/>
      <c r="D483" s="101"/>
      <c r="E483" s="101"/>
      <c r="F483" s="101"/>
      <c r="G483" s="101"/>
      <c r="H483" s="101"/>
      <c r="I483" s="101"/>
      <c r="J483" s="101"/>
      <c r="K483" s="101"/>
      <c r="L483" s="101"/>
      <c r="M483" s="101"/>
    </row>
    <row r="484" spans="1:15" ht="11.1" customHeight="1">
      <c r="A484" s="101" t="s">
        <v>55</v>
      </c>
      <c r="B484" s="101"/>
      <c r="C484" s="101"/>
      <c r="D484" s="101"/>
      <c r="E484" s="101"/>
      <c r="F484" s="101"/>
      <c r="G484" s="101"/>
      <c r="H484" s="101"/>
      <c r="I484" s="101"/>
      <c r="J484" s="101"/>
      <c r="K484" s="101"/>
      <c r="L484" s="101"/>
      <c r="M484" s="101"/>
    </row>
    <row r="485" spans="1:15" ht="19.5" customHeight="1">
      <c r="A485" s="69" t="s">
        <v>0</v>
      </c>
      <c r="B485" s="69"/>
      <c r="C485" s="69"/>
      <c r="D485" s="69"/>
      <c r="E485" s="69"/>
      <c r="F485" s="69"/>
      <c r="G485" s="69"/>
      <c r="H485" s="69"/>
      <c r="I485" s="69"/>
      <c r="J485" s="69"/>
      <c r="K485" s="69"/>
      <c r="L485" s="69"/>
      <c r="M485" s="69"/>
    </row>
    <row r="486" spans="1:15" ht="20.100000000000001" customHeight="1">
      <c r="A486" s="4" t="s">
        <v>32</v>
      </c>
      <c r="B486" s="5">
        <f>+B442+1</f>
        <v>16</v>
      </c>
      <c r="C486" s="25"/>
      <c r="D486" s="25"/>
      <c r="E486" s="25"/>
      <c r="F486" s="25"/>
      <c r="G486" s="25"/>
      <c r="H486" s="25"/>
      <c r="I486" s="25"/>
      <c r="J486" s="25"/>
      <c r="K486" s="25"/>
      <c r="L486" s="25"/>
      <c r="M486" s="25"/>
    </row>
    <row r="487" spans="1:15" ht="24" customHeight="1" thickBot="1">
      <c r="A487" s="4" t="s">
        <v>33</v>
      </c>
      <c r="H487" s="70" t="s">
        <v>34</v>
      </c>
      <c r="I487" s="70"/>
      <c r="J487" s="70"/>
      <c r="K487" s="102">
        <f>+K443+1</f>
        <v>45942</v>
      </c>
      <c r="L487" s="102"/>
      <c r="M487" s="102"/>
      <c r="O487" s="7"/>
    </row>
    <row r="488" spans="1:15" ht="33.75" customHeight="1" thickBot="1">
      <c r="A488" s="80" t="s">
        <v>1</v>
      </c>
      <c r="B488" s="81"/>
      <c r="C488" s="82"/>
      <c r="D488" s="86" t="str">
        <f>+D444</f>
        <v>光明國中B與C區5樓老舊廁所整修工程</v>
      </c>
      <c r="E488" s="87"/>
      <c r="F488" s="87"/>
      <c r="G488" s="88"/>
      <c r="H488" s="80" t="s">
        <v>2</v>
      </c>
      <c r="I488" s="81"/>
      <c r="J488" s="82"/>
      <c r="K488" s="80" t="s">
        <v>35</v>
      </c>
      <c r="L488" s="81"/>
      <c r="M488" s="82"/>
    </row>
    <row r="489" spans="1:15" ht="33.75" customHeight="1" thickBot="1">
      <c r="A489" s="8" t="s">
        <v>3</v>
      </c>
      <c r="B489" s="26">
        <f>+B445</f>
        <v>137</v>
      </c>
      <c r="C489" s="10" t="s">
        <v>36</v>
      </c>
      <c r="D489" s="80" t="s">
        <v>4</v>
      </c>
      <c r="E489" s="89"/>
      <c r="F489" s="27">
        <f>+F445+1</f>
        <v>16</v>
      </c>
      <c r="G489" s="12" t="s">
        <v>36</v>
      </c>
      <c r="H489" s="13" t="s">
        <v>5</v>
      </c>
      <c r="I489" s="26">
        <f>+B489-F489</f>
        <v>121</v>
      </c>
      <c r="J489" s="10" t="s">
        <v>36</v>
      </c>
      <c r="K489" s="80" t="s">
        <v>6</v>
      </c>
      <c r="L489" s="82"/>
      <c r="M489" s="13">
        <f>+M445</f>
        <v>7</v>
      </c>
    </row>
    <row r="490" spans="1:15" ht="24" customHeight="1" thickBot="1">
      <c r="A490" s="80" t="s">
        <v>7</v>
      </c>
      <c r="B490" s="81"/>
      <c r="C490" s="82"/>
      <c r="D490" s="80" t="str">
        <f>+D446</f>
        <v>114.9.27</v>
      </c>
      <c r="E490" s="81"/>
      <c r="F490" s="81"/>
      <c r="G490" s="82"/>
      <c r="H490" s="80" t="s">
        <v>8</v>
      </c>
      <c r="I490" s="81"/>
      <c r="J490" s="82"/>
      <c r="K490" s="80" t="str">
        <f>+K446</f>
        <v>115.2.10</v>
      </c>
      <c r="L490" s="81"/>
      <c r="M490" s="82"/>
    </row>
    <row r="491" spans="1:15" ht="24" customHeight="1" thickBot="1">
      <c r="A491" s="80" t="s">
        <v>37</v>
      </c>
      <c r="B491" s="81"/>
      <c r="C491" s="82"/>
      <c r="D491" s="83">
        <v>0.04</v>
      </c>
      <c r="E491" s="84"/>
      <c r="F491" s="84"/>
      <c r="G491" s="85"/>
      <c r="H491" s="80" t="s">
        <v>38</v>
      </c>
      <c r="I491" s="81"/>
      <c r="J491" s="82"/>
      <c r="K491" s="83">
        <v>0.10199999999999999</v>
      </c>
      <c r="L491" s="84"/>
      <c r="M491" s="85"/>
    </row>
    <row r="492" spans="1:15" ht="24" customHeight="1" thickBot="1">
      <c r="A492" s="72" t="s">
        <v>9</v>
      </c>
      <c r="B492" s="73"/>
      <c r="C492" s="73"/>
      <c r="D492" s="73"/>
      <c r="E492" s="73"/>
      <c r="F492" s="73"/>
      <c r="G492" s="73"/>
      <c r="H492" s="73"/>
      <c r="I492" s="73"/>
      <c r="J492" s="73"/>
      <c r="K492" s="73"/>
      <c r="L492" s="73"/>
      <c r="M492" s="74"/>
    </row>
    <row r="493" spans="1:15" ht="31.5" customHeight="1" thickBot="1">
      <c r="A493" s="75" t="s">
        <v>10</v>
      </c>
      <c r="B493" s="76"/>
      <c r="C493" s="76"/>
      <c r="D493" s="77"/>
      <c r="E493" s="14" t="s">
        <v>11</v>
      </c>
      <c r="F493" s="75" t="s">
        <v>12</v>
      </c>
      <c r="G493" s="77"/>
      <c r="H493" s="75" t="s">
        <v>13</v>
      </c>
      <c r="I493" s="77"/>
      <c r="J493" s="78" t="s">
        <v>14</v>
      </c>
      <c r="K493" s="79"/>
      <c r="L493" s="75" t="s">
        <v>15</v>
      </c>
      <c r="M493" s="77"/>
    </row>
    <row r="494" spans="1:15" ht="32.25" customHeight="1" thickBot="1">
      <c r="A494" s="63" t="s">
        <v>111</v>
      </c>
      <c r="B494" s="64"/>
      <c r="C494" s="64"/>
      <c r="D494" s="65"/>
      <c r="E494" s="2" t="s">
        <v>101</v>
      </c>
      <c r="F494" s="56">
        <v>1</v>
      </c>
      <c r="G494" s="57"/>
      <c r="H494" s="56">
        <v>0.1</v>
      </c>
      <c r="I494" s="57"/>
      <c r="J494" s="56">
        <v>0.8</v>
      </c>
      <c r="K494" s="57"/>
      <c r="L494" s="58"/>
      <c r="M494" s="59"/>
    </row>
    <row r="495" spans="1:15" ht="27.95" customHeight="1" thickBot="1">
      <c r="A495" s="63" t="s">
        <v>78</v>
      </c>
      <c r="B495" s="64"/>
      <c r="C495" s="64"/>
      <c r="D495" s="65"/>
      <c r="E495" s="15" t="s">
        <v>69</v>
      </c>
      <c r="F495" s="126">
        <v>1</v>
      </c>
      <c r="G495" s="127"/>
      <c r="H495" s="126">
        <v>0.1</v>
      </c>
      <c r="I495" s="127"/>
      <c r="J495" s="126">
        <v>0.8</v>
      </c>
      <c r="K495" s="127"/>
      <c r="L495" s="58"/>
      <c r="M495" s="59"/>
    </row>
    <row r="496" spans="1:15" ht="24.95" customHeight="1" thickTop="1" thickBot="1">
      <c r="A496" s="130" t="s">
        <v>16</v>
      </c>
      <c r="B496" s="67"/>
      <c r="C496" s="67"/>
      <c r="D496" s="68"/>
      <c r="E496" s="33"/>
      <c r="F496" s="131"/>
      <c r="G496" s="132"/>
      <c r="H496" s="131"/>
      <c r="I496" s="132"/>
      <c r="J496" s="131"/>
      <c r="K496" s="132"/>
      <c r="L496" s="131"/>
      <c r="M496" s="133"/>
    </row>
    <row r="497" spans="1:13" ht="24.95" customHeight="1" thickBot="1">
      <c r="A497" s="134" t="s">
        <v>17</v>
      </c>
      <c r="B497" s="135"/>
      <c r="C497" s="135"/>
      <c r="D497" s="59"/>
      <c r="E497" s="33"/>
      <c r="F497" s="58"/>
      <c r="G497" s="59"/>
      <c r="H497" s="58"/>
      <c r="I497" s="59"/>
      <c r="J497" s="58"/>
      <c r="K497" s="59"/>
      <c r="L497" s="58"/>
      <c r="M497" s="136"/>
    </row>
    <row r="498" spans="1:13" ht="24.95" customHeight="1" thickBot="1">
      <c r="A498" s="118" t="s">
        <v>18</v>
      </c>
      <c r="B498" s="119"/>
      <c r="C498" s="119"/>
      <c r="D498" s="120"/>
      <c r="E498" s="24"/>
      <c r="F498" s="121"/>
      <c r="G498" s="120"/>
      <c r="H498" s="121"/>
      <c r="I498" s="120"/>
      <c r="J498" s="121"/>
      <c r="K498" s="120"/>
      <c r="L498" s="121"/>
      <c r="M498" s="122"/>
    </row>
    <row r="499" spans="1:13" ht="24" customHeight="1" thickTop="1" thickBot="1">
      <c r="A499" s="66" t="s">
        <v>19</v>
      </c>
      <c r="B499" s="67"/>
      <c r="C499" s="67"/>
      <c r="D499" s="67"/>
      <c r="E499" s="67"/>
      <c r="F499" s="67"/>
      <c r="G499" s="67"/>
      <c r="H499" s="67"/>
      <c r="I499" s="67"/>
      <c r="J499" s="67"/>
      <c r="K499" s="67"/>
      <c r="L499" s="67"/>
      <c r="M499" s="68"/>
    </row>
    <row r="500" spans="1:13" ht="35.25" customHeight="1" thickBot="1">
      <c r="A500" s="75" t="s">
        <v>20</v>
      </c>
      <c r="B500" s="76"/>
      <c r="C500" s="76"/>
      <c r="D500" s="77"/>
      <c r="E500" s="14" t="s">
        <v>11</v>
      </c>
      <c r="F500" s="75" t="s">
        <v>39</v>
      </c>
      <c r="G500" s="77"/>
      <c r="H500" s="75" t="s">
        <v>21</v>
      </c>
      <c r="I500" s="77"/>
      <c r="J500" s="78" t="s">
        <v>22</v>
      </c>
      <c r="K500" s="79"/>
      <c r="L500" s="75" t="s">
        <v>15</v>
      </c>
      <c r="M500" s="77"/>
    </row>
    <row r="501" spans="1:13" ht="24" customHeight="1" thickBot="1">
      <c r="A501" s="96"/>
      <c r="B501" s="97"/>
      <c r="C501" s="97"/>
      <c r="D501" s="98"/>
      <c r="E501" s="33"/>
      <c r="F501" s="58"/>
      <c r="G501" s="59"/>
      <c r="H501" s="58"/>
      <c r="I501" s="59"/>
      <c r="J501" s="56"/>
      <c r="K501" s="57"/>
      <c r="L501" s="58"/>
      <c r="M501" s="59"/>
    </row>
    <row r="502" spans="1:13" ht="24" customHeight="1" thickBot="1">
      <c r="A502" s="96"/>
      <c r="B502" s="97"/>
      <c r="C502" s="97"/>
      <c r="D502" s="98"/>
      <c r="E502" s="33"/>
      <c r="F502" s="58"/>
      <c r="G502" s="59"/>
      <c r="H502" s="58"/>
      <c r="I502" s="59"/>
      <c r="J502" s="56"/>
      <c r="K502" s="57"/>
      <c r="L502" s="58"/>
      <c r="M502" s="59"/>
    </row>
    <row r="503" spans="1:13" ht="24" customHeight="1" thickBot="1">
      <c r="A503" s="60" t="s">
        <v>23</v>
      </c>
      <c r="B503" s="61"/>
      <c r="C503" s="61"/>
      <c r="D503" s="61"/>
      <c r="E503" s="61"/>
      <c r="F503" s="61"/>
      <c r="G503" s="61"/>
      <c r="H503" s="61"/>
      <c r="I503" s="61"/>
      <c r="J503" s="61"/>
      <c r="K503" s="61"/>
      <c r="L503" s="61"/>
      <c r="M503" s="62"/>
    </row>
    <row r="504" spans="1:13" ht="35.25" customHeight="1" thickBot="1">
      <c r="A504" s="75" t="s">
        <v>24</v>
      </c>
      <c r="B504" s="77"/>
      <c r="C504" s="75" t="s">
        <v>25</v>
      </c>
      <c r="D504" s="77"/>
      <c r="E504" s="75" t="s">
        <v>26</v>
      </c>
      <c r="F504" s="76"/>
      <c r="G504" s="77"/>
      <c r="H504" s="75" t="s">
        <v>27</v>
      </c>
      <c r="I504" s="77"/>
      <c r="J504" s="78" t="s">
        <v>21</v>
      </c>
      <c r="K504" s="79"/>
      <c r="L504" s="75" t="s">
        <v>22</v>
      </c>
      <c r="M504" s="77"/>
    </row>
    <row r="505" spans="1:13" s="18" customFormat="1" ht="24.75" customHeight="1" thickBot="1">
      <c r="A505" s="99" t="s">
        <v>71</v>
      </c>
      <c r="B505" s="137"/>
      <c r="C505" s="56">
        <v>5</v>
      </c>
      <c r="D505" s="57"/>
      <c r="E505" s="56">
        <v>46</v>
      </c>
      <c r="F505" s="100"/>
      <c r="G505" s="57"/>
      <c r="H505" s="56"/>
      <c r="I505" s="57"/>
      <c r="J505" s="56"/>
      <c r="K505" s="57"/>
      <c r="L505" s="56"/>
      <c r="M505" s="57"/>
    </row>
    <row r="506" spans="1:13" s="18" customFormat="1" ht="24.75" customHeight="1" thickBot="1">
      <c r="A506" s="99"/>
      <c r="B506" s="98"/>
      <c r="C506" s="56"/>
      <c r="D506" s="57"/>
      <c r="E506" s="56"/>
      <c r="F506" s="100"/>
      <c r="G506" s="57"/>
      <c r="H506" s="56"/>
      <c r="I506" s="57"/>
      <c r="J506" s="56"/>
      <c r="K506" s="57"/>
      <c r="L506" s="56"/>
      <c r="M506" s="57"/>
    </row>
    <row r="507" spans="1:13" ht="33" customHeight="1" thickBot="1">
      <c r="A507" s="112" t="s">
        <v>40</v>
      </c>
      <c r="B507" s="113"/>
      <c r="C507" s="113"/>
      <c r="D507" s="113"/>
      <c r="E507" s="113"/>
      <c r="F507" s="113"/>
      <c r="G507" s="113"/>
      <c r="H507" s="113"/>
      <c r="I507" s="113"/>
      <c r="J507" s="113"/>
      <c r="K507" s="113"/>
      <c r="L507" s="113"/>
      <c r="M507" s="114"/>
    </row>
    <row r="508" spans="1:13" ht="16.5" customHeight="1">
      <c r="A508" s="115" t="s">
        <v>41</v>
      </c>
      <c r="B508" s="116"/>
      <c r="C508" s="116"/>
      <c r="D508" s="116"/>
      <c r="E508" s="116"/>
      <c r="F508" s="116"/>
      <c r="G508" s="116"/>
      <c r="H508" s="116"/>
      <c r="I508" s="116"/>
      <c r="J508" s="116"/>
      <c r="K508" s="116"/>
      <c r="L508" s="116"/>
      <c r="M508" s="117"/>
    </row>
    <row r="509" spans="1:13" ht="16.5" customHeight="1">
      <c r="A509" s="90" t="s">
        <v>28</v>
      </c>
      <c r="B509" s="91"/>
      <c r="C509" s="91"/>
      <c r="D509" s="91"/>
      <c r="E509" s="91"/>
      <c r="F509" s="91"/>
      <c r="G509" s="91"/>
      <c r="H509" s="91"/>
      <c r="I509" s="91"/>
      <c r="J509" s="91"/>
      <c r="K509" s="91"/>
      <c r="L509" s="91"/>
      <c r="M509" s="92"/>
    </row>
    <row r="510" spans="1:13" s="1" customFormat="1" ht="16.5" customHeight="1">
      <c r="A510" s="93" t="s">
        <v>56</v>
      </c>
      <c r="B510" s="94"/>
      <c r="C510" s="94"/>
      <c r="D510" s="94"/>
      <c r="E510" s="94"/>
      <c r="F510" s="94"/>
      <c r="G510" s="94"/>
      <c r="H510" s="94"/>
      <c r="I510" s="94"/>
      <c r="J510" s="94"/>
      <c r="K510" s="94"/>
      <c r="L510" s="94"/>
      <c r="M510" s="95"/>
    </row>
    <row r="511" spans="1:13" s="1" customFormat="1" ht="16.5" customHeight="1">
      <c r="A511" s="93" t="s">
        <v>57</v>
      </c>
      <c r="B511" s="94"/>
      <c r="C511" s="94"/>
      <c r="D511" s="94"/>
      <c r="E511" s="94"/>
      <c r="F511" s="94"/>
      <c r="G511" s="94"/>
      <c r="H511" s="94"/>
      <c r="I511" s="94"/>
      <c r="J511" s="94"/>
      <c r="K511" s="94"/>
      <c r="L511" s="94"/>
      <c r="M511" s="95"/>
    </row>
    <row r="512" spans="1:13" s="1" customFormat="1" ht="16.5" customHeight="1">
      <c r="A512" s="93" t="s">
        <v>58</v>
      </c>
      <c r="B512" s="94"/>
      <c r="C512" s="94"/>
      <c r="D512" s="94"/>
      <c r="E512" s="94"/>
      <c r="F512" s="94"/>
      <c r="G512" s="94"/>
      <c r="H512" s="94"/>
      <c r="I512" s="94"/>
      <c r="J512" s="94"/>
      <c r="K512" s="94"/>
      <c r="L512" s="94"/>
      <c r="M512" s="95"/>
    </row>
    <row r="513" spans="1:13" s="1" customFormat="1" ht="16.5" customHeight="1">
      <c r="A513" s="93" t="s">
        <v>59</v>
      </c>
      <c r="B513" s="94"/>
      <c r="C513" s="94"/>
      <c r="D513" s="94"/>
      <c r="E513" s="94"/>
      <c r="F513" s="94"/>
      <c r="G513" s="94"/>
      <c r="H513" s="94"/>
      <c r="I513" s="94"/>
      <c r="J513" s="94"/>
      <c r="K513" s="94"/>
      <c r="L513" s="94"/>
      <c r="M513" s="95"/>
    </row>
    <row r="514" spans="1:13" ht="16.5" customHeight="1">
      <c r="A514" s="106" t="s">
        <v>29</v>
      </c>
      <c r="B514" s="107"/>
      <c r="C514" s="107"/>
      <c r="D514" s="107"/>
      <c r="E514" s="107"/>
      <c r="F514" s="107"/>
      <c r="G514" s="107"/>
      <c r="H514" s="107"/>
      <c r="I514" s="107"/>
      <c r="J514" s="107"/>
      <c r="K514" s="107"/>
      <c r="L514" s="107"/>
      <c r="M514" s="108"/>
    </row>
    <row r="515" spans="1:13" ht="9.75" customHeight="1" thickBot="1">
      <c r="A515" s="109"/>
      <c r="B515" s="110"/>
      <c r="C515" s="110"/>
      <c r="D515" s="110"/>
      <c r="E515" s="110"/>
      <c r="F515" s="110"/>
      <c r="G515" s="110"/>
      <c r="H515" s="110"/>
      <c r="I515" s="110"/>
      <c r="J515" s="110"/>
      <c r="K515" s="110"/>
      <c r="L515" s="110"/>
      <c r="M515" s="111"/>
    </row>
    <row r="516" spans="1:13" ht="18.75" customHeight="1" thickBot="1">
      <c r="A516" s="72" t="s">
        <v>30</v>
      </c>
      <c r="B516" s="73"/>
      <c r="C516" s="73"/>
      <c r="D516" s="73"/>
      <c r="E516" s="73"/>
      <c r="F516" s="73"/>
      <c r="G516" s="73"/>
      <c r="H516" s="73"/>
      <c r="I516" s="73"/>
      <c r="J516" s="73"/>
      <c r="K516" s="73"/>
      <c r="L516" s="73"/>
      <c r="M516" s="74"/>
    </row>
    <row r="517" spans="1:13" ht="24" customHeight="1" thickBot="1">
      <c r="A517" s="72" t="s">
        <v>31</v>
      </c>
      <c r="B517" s="73"/>
      <c r="C517" s="73"/>
      <c r="D517" s="73"/>
      <c r="E517" s="73"/>
      <c r="F517" s="73"/>
      <c r="G517" s="73"/>
      <c r="H517" s="73"/>
      <c r="I517" s="73"/>
      <c r="J517" s="73"/>
      <c r="K517" s="73"/>
      <c r="L517" s="73"/>
      <c r="M517" s="74"/>
    </row>
    <row r="518" spans="1:13" ht="24" customHeight="1" thickBot="1">
      <c r="A518" s="72" t="s">
        <v>96</v>
      </c>
      <c r="B518" s="73"/>
      <c r="C518" s="73"/>
      <c r="D518" s="73"/>
      <c r="E518" s="73"/>
      <c r="F518" s="73"/>
      <c r="G518" s="73"/>
      <c r="H518" s="73"/>
      <c r="I518" s="73"/>
      <c r="J518" s="73"/>
      <c r="K518" s="73"/>
      <c r="L518" s="73"/>
      <c r="M518" s="74"/>
    </row>
    <row r="519" spans="1:13" ht="24" customHeight="1" thickBot="1">
      <c r="A519" s="60" t="s">
        <v>46</v>
      </c>
      <c r="B519" s="61"/>
      <c r="C519" s="61"/>
      <c r="D519" s="61"/>
      <c r="E519" s="61"/>
      <c r="F519" s="61"/>
      <c r="G519" s="61"/>
      <c r="H519" s="61"/>
      <c r="I519" s="61"/>
      <c r="J519" s="61"/>
      <c r="K519" s="61"/>
      <c r="L519" s="61"/>
      <c r="M519" s="62"/>
    </row>
    <row r="520" spans="1:13" ht="11.1" customHeight="1">
      <c r="A520" s="103" t="s">
        <v>47</v>
      </c>
      <c r="B520" s="103"/>
      <c r="C520" s="103"/>
      <c r="D520" s="103"/>
      <c r="E520" s="103"/>
      <c r="F520" s="103"/>
      <c r="G520" s="103"/>
      <c r="H520" s="103"/>
      <c r="I520" s="103"/>
      <c r="J520" s="103"/>
      <c r="K520" s="103"/>
      <c r="L520" s="103"/>
      <c r="M520" s="103"/>
    </row>
    <row r="521" spans="1:13" ht="11.1" customHeight="1">
      <c r="A521" s="104" t="s">
        <v>48</v>
      </c>
      <c r="B521" s="104"/>
      <c r="C521" s="104"/>
      <c r="D521" s="104"/>
      <c r="E521" s="104"/>
      <c r="F521" s="104"/>
      <c r="G521" s="104"/>
      <c r="H521" s="104"/>
      <c r="I521" s="104"/>
      <c r="J521" s="104"/>
      <c r="K521" s="104"/>
      <c r="L521" s="104"/>
      <c r="M521" s="104"/>
    </row>
    <row r="522" spans="1:13" ht="11.1" customHeight="1">
      <c r="A522" s="105" t="s">
        <v>49</v>
      </c>
      <c r="B522" s="105"/>
      <c r="C522" s="105"/>
      <c r="D522" s="105"/>
      <c r="E522" s="105"/>
      <c r="F522" s="105"/>
      <c r="G522" s="105"/>
      <c r="H522" s="105"/>
      <c r="I522" s="105"/>
      <c r="J522" s="105"/>
      <c r="K522" s="105"/>
      <c r="L522" s="105"/>
      <c r="M522" s="105"/>
    </row>
    <row r="523" spans="1:13" ht="11.1" customHeight="1">
      <c r="A523" s="105" t="s">
        <v>50</v>
      </c>
      <c r="B523" s="105"/>
      <c r="C523" s="105"/>
      <c r="D523" s="105"/>
      <c r="E523" s="105"/>
      <c r="F523" s="105"/>
      <c r="G523" s="105"/>
      <c r="H523" s="105"/>
      <c r="I523" s="105"/>
      <c r="J523" s="105"/>
      <c r="K523" s="105"/>
      <c r="L523" s="105"/>
      <c r="M523" s="105"/>
    </row>
    <row r="524" spans="1:13" ht="11.1" customHeight="1">
      <c r="A524" s="104" t="s">
        <v>51</v>
      </c>
      <c r="B524" s="104"/>
      <c r="C524" s="104"/>
      <c r="D524" s="104"/>
      <c r="E524" s="104"/>
      <c r="F524" s="104"/>
      <c r="G524" s="104"/>
      <c r="H524" s="104"/>
      <c r="I524" s="104"/>
      <c r="J524" s="104"/>
      <c r="K524" s="104"/>
      <c r="L524" s="104"/>
      <c r="M524" s="104"/>
    </row>
    <row r="525" spans="1:13" ht="11.1" customHeight="1">
      <c r="A525" s="104" t="s">
        <v>52</v>
      </c>
      <c r="B525" s="104"/>
      <c r="C525" s="104"/>
      <c r="D525" s="104"/>
      <c r="E525" s="104"/>
      <c r="F525" s="104"/>
      <c r="G525" s="104"/>
      <c r="H525" s="104"/>
      <c r="I525" s="104"/>
      <c r="J525" s="104"/>
      <c r="K525" s="104"/>
      <c r="L525" s="104"/>
      <c r="M525" s="104"/>
    </row>
    <row r="526" spans="1:13" ht="11.1" customHeight="1">
      <c r="A526" s="104" t="s">
        <v>53</v>
      </c>
      <c r="B526" s="104"/>
      <c r="C526" s="104"/>
      <c r="D526" s="104"/>
      <c r="E526" s="104"/>
      <c r="F526" s="104"/>
      <c r="G526" s="104"/>
      <c r="H526" s="104"/>
      <c r="I526" s="104"/>
      <c r="J526" s="104"/>
      <c r="K526" s="104"/>
      <c r="L526" s="104"/>
      <c r="M526" s="104"/>
    </row>
    <row r="527" spans="1:13" ht="11.1" customHeight="1">
      <c r="A527" s="101" t="s">
        <v>54</v>
      </c>
      <c r="B527" s="101"/>
      <c r="C527" s="101"/>
      <c r="D527" s="101"/>
      <c r="E527" s="101"/>
      <c r="F527" s="101"/>
      <c r="G527" s="101"/>
      <c r="H527" s="101"/>
      <c r="I527" s="101"/>
      <c r="J527" s="101"/>
      <c r="K527" s="101"/>
      <c r="L527" s="101"/>
      <c r="M527" s="101"/>
    </row>
    <row r="528" spans="1:13" ht="11.1" customHeight="1">
      <c r="A528" s="101" t="s">
        <v>55</v>
      </c>
      <c r="B528" s="101"/>
      <c r="C528" s="101"/>
      <c r="D528" s="101"/>
      <c r="E528" s="101"/>
      <c r="F528" s="101"/>
      <c r="G528" s="101"/>
      <c r="H528" s="101"/>
      <c r="I528" s="101"/>
      <c r="J528" s="101"/>
      <c r="K528" s="101"/>
      <c r="L528" s="101"/>
      <c r="M528" s="101"/>
    </row>
    <row r="529" spans="1:15" ht="19.5" customHeight="1">
      <c r="A529" s="69" t="s">
        <v>0</v>
      </c>
      <c r="B529" s="69"/>
      <c r="C529" s="69"/>
      <c r="D529" s="69"/>
      <c r="E529" s="69"/>
      <c r="F529" s="69"/>
      <c r="G529" s="69"/>
      <c r="H529" s="69"/>
      <c r="I529" s="69"/>
      <c r="J529" s="69"/>
      <c r="K529" s="69"/>
      <c r="L529" s="69"/>
      <c r="M529" s="69"/>
    </row>
    <row r="530" spans="1:15" ht="20.100000000000001" customHeight="1">
      <c r="A530" s="4" t="s">
        <v>32</v>
      </c>
      <c r="B530" s="5">
        <f>+B486+1</f>
        <v>17</v>
      </c>
      <c r="C530" s="25"/>
      <c r="D530" s="25"/>
      <c r="E530" s="25"/>
      <c r="F530" s="25"/>
      <c r="G530" s="25"/>
      <c r="H530" s="25"/>
      <c r="I530" s="25"/>
      <c r="J530" s="25"/>
      <c r="K530" s="25"/>
      <c r="L530" s="25"/>
      <c r="M530" s="25"/>
    </row>
    <row r="531" spans="1:15" ht="24" customHeight="1" thickBot="1">
      <c r="A531" s="4" t="s">
        <v>33</v>
      </c>
      <c r="H531" s="70" t="s">
        <v>34</v>
      </c>
      <c r="I531" s="70"/>
      <c r="J531" s="70"/>
      <c r="K531" s="102">
        <f>+K487+1</f>
        <v>45943</v>
      </c>
      <c r="L531" s="102"/>
      <c r="M531" s="102"/>
      <c r="O531" s="7"/>
    </row>
    <row r="532" spans="1:15" ht="33.75" customHeight="1" thickBot="1">
      <c r="A532" s="80" t="s">
        <v>1</v>
      </c>
      <c r="B532" s="81"/>
      <c r="C532" s="82"/>
      <c r="D532" s="86" t="str">
        <f>+D488</f>
        <v>光明國中B與C區5樓老舊廁所整修工程</v>
      </c>
      <c r="E532" s="87"/>
      <c r="F532" s="87"/>
      <c r="G532" s="88"/>
      <c r="H532" s="80" t="s">
        <v>2</v>
      </c>
      <c r="I532" s="81"/>
      <c r="J532" s="82"/>
      <c r="K532" s="80" t="s">
        <v>35</v>
      </c>
      <c r="L532" s="81"/>
      <c r="M532" s="82"/>
    </row>
    <row r="533" spans="1:15" ht="33.75" customHeight="1" thickBot="1">
      <c r="A533" s="8" t="s">
        <v>3</v>
      </c>
      <c r="B533" s="26">
        <f>+B489+1</f>
        <v>138</v>
      </c>
      <c r="C533" s="10" t="s">
        <v>36</v>
      </c>
      <c r="D533" s="80" t="s">
        <v>4</v>
      </c>
      <c r="E533" s="89"/>
      <c r="F533" s="27">
        <f>+F489+1</f>
        <v>17</v>
      </c>
      <c r="G533" s="12" t="s">
        <v>36</v>
      </c>
      <c r="H533" s="13" t="s">
        <v>5</v>
      </c>
      <c r="I533" s="26">
        <f>+B533-F533</f>
        <v>121</v>
      </c>
      <c r="J533" s="10" t="s">
        <v>36</v>
      </c>
      <c r="K533" s="80" t="s">
        <v>6</v>
      </c>
      <c r="L533" s="82"/>
      <c r="M533" s="13">
        <v>8</v>
      </c>
    </row>
    <row r="534" spans="1:15" ht="24" customHeight="1" thickBot="1">
      <c r="A534" s="80" t="s">
        <v>7</v>
      </c>
      <c r="B534" s="81"/>
      <c r="C534" s="82"/>
      <c r="D534" s="80" t="str">
        <f>+D490</f>
        <v>114.9.27</v>
      </c>
      <c r="E534" s="81"/>
      <c r="F534" s="81"/>
      <c r="G534" s="82"/>
      <c r="H534" s="80" t="s">
        <v>8</v>
      </c>
      <c r="I534" s="81"/>
      <c r="J534" s="82"/>
      <c r="K534" s="80" t="s">
        <v>87</v>
      </c>
      <c r="L534" s="81"/>
      <c r="M534" s="82"/>
    </row>
    <row r="535" spans="1:15" ht="24" customHeight="1" thickBot="1">
      <c r="A535" s="80" t="s">
        <v>37</v>
      </c>
      <c r="B535" s="81"/>
      <c r="C535" s="82"/>
      <c r="D535" s="83">
        <v>4.2000000000000003E-2</v>
      </c>
      <c r="E535" s="84"/>
      <c r="F535" s="84"/>
      <c r="G535" s="85"/>
      <c r="H535" s="80" t="s">
        <v>38</v>
      </c>
      <c r="I535" s="81"/>
      <c r="J535" s="82"/>
      <c r="K535" s="83">
        <f>+K491</f>
        <v>0.10199999999999999</v>
      </c>
      <c r="L535" s="84"/>
      <c r="M535" s="85"/>
    </row>
    <row r="536" spans="1:15" ht="24" customHeight="1" thickBot="1">
      <c r="A536" s="72" t="s">
        <v>9</v>
      </c>
      <c r="B536" s="73"/>
      <c r="C536" s="73"/>
      <c r="D536" s="73"/>
      <c r="E536" s="73"/>
      <c r="F536" s="73"/>
      <c r="G536" s="73"/>
      <c r="H536" s="73"/>
      <c r="I536" s="73"/>
      <c r="J536" s="73"/>
      <c r="K536" s="73"/>
      <c r="L536" s="73"/>
      <c r="M536" s="74"/>
    </row>
    <row r="537" spans="1:15" ht="35.25" customHeight="1" thickBot="1">
      <c r="A537" s="75" t="s">
        <v>10</v>
      </c>
      <c r="B537" s="76"/>
      <c r="C537" s="76"/>
      <c r="D537" s="77"/>
      <c r="E537" s="14" t="s">
        <v>11</v>
      </c>
      <c r="F537" s="75" t="s">
        <v>12</v>
      </c>
      <c r="G537" s="77"/>
      <c r="H537" s="75" t="s">
        <v>13</v>
      </c>
      <c r="I537" s="77"/>
      <c r="J537" s="78" t="s">
        <v>14</v>
      </c>
      <c r="K537" s="79"/>
      <c r="L537" s="75" t="s">
        <v>15</v>
      </c>
      <c r="M537" s="77"/>
    </row>
    <row r="538" spans="1:15" ht="27.95" customHeight="1" thickBot="1">
      <c r="A538" s="141"/>
      <c r="B538" s="142"/>
      <c r="C538" s="142"/>
      <c r="D538" s="143"/>
      <c r="E538" s="2"/>
      <c r="F538" s="56"/>
      <c r="G538" s="57"/>
      <c r="H538" s="56"/>
      <c r="I538" s="57"/>
      <c r="J538" s="56"/>
      <c r="K538" s="57"/>
      <c r="L538" s="58"/>
      <c r="M538" s="59"/>
    </row>
    <row r="539" spans="1:15" ht="27.95" customHeight="1" thickBot="1">
      <c r="A539" s="141"/>
      <c r="B539" s="142"/>
      <c r="C539" s="142"/>
      <c r="D539" s="143"/>
      <c r="E539" s="15"/>
      <c r="F539" s="56"/>
      <c r="G539" s="57"/>
      <c r="H539" s="56"/>
      <c r="I539" s="57"/>
      <c r="J539" s="56"/>
      <c r="K539" s="57"/>
      <c r="L539" s="58"/>
      <c r="M539" s="59"/>
    </row>
    <row r="540" spans="1:15" ht="24.95" customHeight="1" thickTop="1" thickBot="1">
      <c r="A540" s="130" t="s">
        <v>16</v>
      </c>
      <c r="B540" s="67"/>
      <c r="C540" s="67"/>
      <c r="D540" s="68"/>
      <c r="E540" s="28"/>
      <c r="F540" s="131"/>
      <c r="G540" s="132"/>
      <c r="H540" s="131"/>
      <c r="I540" s="132"/>
      <c r="J540" s="131"/>
      <c r="K540" s="132"/>
      <c r="L540" s="131"/>
      <c r="M540" s="133"/>
    </row>
    <row r="541" spans="1:15" ht="24.95" customHeight="1" thickBot="1">
      <c r="A541" s="134" t="s">
        <v>17</v>
      </c>
      <c r="B541" s="135"/>
      <c r="C541" s="135"/>
      <c r="D541" s="59"/>
      <c r="E541" s="28"/>
      <c r="F541" s="58"/>
      <c r="G541" s="59"/>
      <c r="H541" s="58"/>
      <c r="I541" s="59"/>
      <c r="J541" s="58"/>
      <c r="K541" s="59"/>
      <c r="L541" s="58"/>
      <c r="M541" s="136"/>
    </row>
    <row r="542" spans="1:15" ht="24.95" customHeight="1" thickBot="1">
      <c r="A542" s="118" t="s">
        <v>18</v>
      </c>
      <c r="B542" s="119"/>
      <c r="C542" s="119"/>
      <c r="D542" s="120"/>
      <c r="E542" s="24"/>
      <c r="F542" s="121"/>
      <c r="G542" s="120"/>
      <c r="H542" s="121"/>
      <c r="I542" s="120"/>
      <c r="J542" s="121"/>
      <c r="K542" s="120"/>
      <c r="L542" s="121"/>
      <c r="M542" s="122"/>
    </row>
    <row r="543" spans="1:15" ht="24" customHeight="1" thickTop="1" thickBot="1">
      <c r="A543" s="66" t="s">
        <v>19</v>
      </c>
      <c r="B543" s="67"/>
      <c r="C543" s="67"/>
      <c r="D543" s="67"/>
      <c r="E543" s="67"/>
      <c r="F543" s="67"/>
      <c r="G543" s="67"/>
      <c r="H543" s="67"/>
      <c r="I543" s="67"/>
      <c r="J543" s="67"/>
      <c r="K543" s="67"/>
      <c r="L543" s="67"/>
      <c r="M543" s="68"/>
    </row>
    <row r="544" spans="1:15" ht="35.25" customHeight="1" thickBot="1">
      <c r="A544" s="75" t="s">
        <v>20</v>
      </c>
      <c r="B544" s="76"/>
      <c r="C544" s="76"/>
      <c r="D544" s="77"/>
      <c r="E544" s="14" t="s">
        <v>11</v>
      </c>
      <c r="F544" s="75" t="s">
        <v>39</v>
      </c>
      <c r="G544" s="77"/>
      <c r="H544" s="75" t="s">
        <v>21</v>
      </c>
      <c r="I544" s="77"/>
      <c r="J544" s="78" t="s">
        <v>22</v>
      </c>
      <c r="K544" s="79"/>
      <c r="L544" s="75" t="s">
        <v>15</v>
      </c>
      <c r="M544" s="77"/>
    </row>
    <row r="545" spans="1:13" ht="24" customHeight="1" thickBot="1">
      <c r="A545" s="96"/>
      <c r="B545" s="97"/>
      <c r="C545" s="97"/>
      <c r="D545" s="98"/>
      <c r="E545" s="28"/>
      <c r="F545" s="58"/>
      <c r="G545" s="59"/>
      <c r="H545" s="58"/>
      <c r="I545" s="59"/>
      <c r="J545" s="56"/>
      <c r="K545" s="57"/>
      <c r="L545" s="58"/>
      <c r="M545" s="59"/>
    </row>
    <row r="546" spans="1:13" ht="24" customHeight="1" thickBot="1">
      <c r="A546" s="96"/>
      <c r="B546" s="97"/>
      <c r="C546" s="97"/>
      <c r="D546" s="98"/>
      <c r="E546" s="28"/>
      <c r="F546" s="58"/>
      <c r="G546" s="59"/>
      <c r="H546" s="58"/>
      <c r="I546" s="59"/>
      <c r="J546" s="56"/>
      <c r="K546" s="57"/>
      <c r="L546" s="58"/>
      <c r="M546" s="59"/>
    </row>
    <row r="547" spans="1:13" ht="24" customHeight="1" thickBot="1">
      <c r="A547" s="60" t="s">
        <v>23</v>
      </c>
      <c r="B547" s="61"/>
      <c r="C547" s="61"/>
      <c r="D547" s="61"/>
      <c r="E547" s="61"/>
      <c r="F547" s="61"/>
      <c r="G547" s="61"/>
      <c r="H547" s="61"/>
      <c r="I547" s="61"/>
      <c r="J547" s="61"/>
      <c r="K547" s="61"/>
      <c r="L547" s="61"/>
      <c r="M547" s="62"/>
    </row>
    <row r="548" spans="1:13" ht="35.25" customHeight="1" thickBot="1">
      <c r="A548" s="75" t="s">
        <v>24</v>
      </c>
      <c r="B548" s="77"/>
      <c r="C548" s="75" t="s">
        <v>25</v>
      </c>
      <c r="D548" s="77"/>
      <c r="E548" s="75" t="s">
        <v>26</v>
      </c>
      <c r="F548" s="76"/>
      <c r="G548" s="77"/>
      <c r="H548" s="75" t="s">
        <v>27</v>
      </c>
      <c r="I548" s="77"/>
      <c r="J548" s="78" t="s">
        <v>21</v>
      </c>
      <c r="K548" s="79"/>
      <c r="L548" s="75" t="s">
        <v>22</v>
      </c>
      <c r="M548" s="77"/>
    </row>
    <row r="549" spans="1:13" s="18" customFormat="1" ht="24.75" customHeight="1" thickBot="1">
      <c r="A549" s="99"/>
      <c r="B549" s="98"/>
      <c r="C549" s="56"/>
      <c r="D549" s="57"/>
      <c r="E549" s="56"/>
      <c r="F549" s="100"/>
      <c r="G549" s="57"/>
      <c r="H549" s="56"/>
      <c r="I549" s="57"/>
      <c r="J549" s="56"/>
      <c r="K549" s="57"/>
      <c r="L549" s="56"/>
      <c r="M549" s="57"/>
    </row>
    <row r="550" spans="1:13" s="18" customFormat="1" ht="24.75" customHeight="1" thickBot="1">
      <c r="A550" s="99"/>
      <c r="B550" s="98"/>
      <c r="C550" s="56"/>
      <c r="D550" s="57"/>
      <c r="E550" s="56"/>
      <c r="F550" s="100"/>
      <c r="G550" s="57"/>
      <c r="H550" s="56"/>
      <c r="I550" s="57"/>
      <c r="J550" s="56"/>
      <c r="K550" s="57"/>
      <c r="L550" s="56"/>
      <c r="M550" s="57"/>
    </row>
    <row r="551" spans="1:13" ht="33" customHeight="1" thickBot="1">
      <c r="A551" s="112" t="s">
        <v>60</v>
      </c>
      <c r="B551" s="113"/>
      <c r="C551" s="113"/>
      <c r="D551" s="113"/>
      <c r="E551" s="113"/>
      <c r="F551" s="113"/>
      <c r="G551" s="113"/>
      <c r="H551" s="113"/>
      <c r="I551" s="113"/>
      <c r="J551" s="113"/>
      <c r="K551" s="113"/>
      <c r="L551" s="113"/>
      <c r="M551" s="114"/>
    </row>
    <row r="552" spans="1:13" ht="16.5" customHeight="1">
      <c r="A552" s="115" t="s">
        <v>41</v>
      </c>
      <c r="B552" s="116"/>
      <c r="C552" s="116"/>
      <c r="D552" s="116"/>
      <c r="E552" s="116"/>
      <c r="F552" s="116"/>
      <c r="G552" s="116"/>
      <c r="H552" s="116"/>
      <c r="I552" s="116"/>
      <c r="J552" s="116"/>
      <c r="K552" s="116"/>
      <c r="L552" s="116"/>
      <c r="M552" s="117"/>
    </row>
    <row r="553" spans="1:13" ht="16.5" customHeight="1">
      <c r="A553" s="90" t="s">
        <v>28</v>
      </c>
      <c r="B553" s="91"/>
      <c r="C553" s="91"/>
      <c r="D553" s="91"/>
      <c r="E553" s="91"/>
      <c r="F553" s="91"/>
      <c r="G553" s="91"/>
      <c r="H553" s="91"/>
      <c r="I553" s="91"/>
      <c r="J553" s="91"/>
      <c r="K553" s="91"/>
      <c r="L553" s="91"/>
      <c r="M553" s="92"/>
    </row>
    <row r="554" spans="1:13" ht="16.5" customHeight="1">
      <c r="A554" s="106" t="s">
        <v>42</v>
      </c>
      <c r="B554" s="107"/>
      <c r="C554" s="107"/>
      <c r="D554" s="107"/>
      <c r="E554" s="107"/>
      <c r="F554" s="107"/>
      <c r="G554" s="107"/>
      <c r="H554" s="107"/>
      <c r="I554" s="107"/>
      <c r="J554" s="107"/>
      <c r="K554" s="107"/>
      <c r="L554" s="107"/>
      <c r="M554" s="108"/>
    </row>
    <row r="555" spans="1:13" ht="16.5" customHeight="1">
      <c r="A555" s="106" t="s">
        <v>43</v>
      </c>
      <c r="B555" s="107"/>
      <c r="C555" s="107"/>
      <c r="D555" s="107"/>
      <c r="E555" s="107"/>
      <c r="F555" s="107"/>
      <c r="G555" s="107"/>
      <c r="H555" s="107"/>
      <c r="I555" s="107"/>
      <c r="J555" s="107"/>
      <c r="K555" s="107"/>
      <c r="L555" s="107"/>
      <c r="M555" s="108"/>
    </row>
    <row r="556" spans="1:13" ht="16.5" customHeight="1">
      <c r="A556" s="106" t="s">
        <v>44</v>
      </c>
      <c r="B556" s="107"/>
      <c r="C556" s="107"/>
      <c r="D556" s="107"/>
      <c r="E556" s="107"/>
      <c r="F556" s="107"/>
      <c r="G556" s="107"/>
      <c r="H556" s="107"/>
      <c r="I556" s="107"/>
      <c r="J556" s="107"/>
      <c r="K556" s="107"/>
      <c r="L556" s="107"/>
      <c r="M556" s="108"/>
    </row>
    <row r="557" spans="1:13" ht="16.5" customHeight="1">
      <c r="A557" s="106" t="s">
        <v>45</v>
      </c>
      <c r="B557" s="107"/>
      <c r="C557" s="107"/>
      <c r="D557" s="107"/>
      <c r="E557" s="107"/>
      <c r="F557" s="107"/>
      <c r="G557" s="107"/>
      <c r="H557" s="107"/>
      <c r="I557" s="107"/>
      <c r="J557" s="107"/>
      <c r="K557" s="107"/>
      <c r="L557" s="107"/>
      <c r="M557" s="108"/>
    </row>
    <row r="558" spans="1:13" ht="16.5" customHeight="1">
      <c r="A558" s="106" t="s">
        <v>29</v>
      </c>
      <c r="B558" s="107"/>
      <c r="C558" s="107"/>
      <c r="D558" s="107"/>
      <c r="E558" s="107"/>
      <c r="F558" s="107"/>
      <c r="G558" s="107"/>
      <c r="H558" s="107"/>
      <c r="I558" s="107"/>
      <c r="J558" s="107"/>
      <c r="K558" s="107"/>
      <c r="L558" s="107"/>
      <c r="M558" s="108"/>
    </row>
    <row r="559" spans="1:13" ht="4.5" customHeight="1" thickBot="1">
      <c r="A559" s="109"/>
      <c r="B559" s="110"/>
      <c r="C559" s="110"/>
      <c r="D559" s="110"/>
      <c r="E559" s="110"/>
      <c r="F559" s="110"/>
      <c r="G559" s="110"/>
      <c r="H559" s="110"/>
      <c r="I559" s="110"/>
      <c r="J559" s="110"/>
      <c r="K559" s="110"/>
      <c r="L559" s="110"/>
      <c r="M559" s="111"/>
    </row>
    <row r="560" spans="1:13" ht="18.75" customHeight="1" thickBot="1">
      <c r="A560" s="72" t="s">
        <v>30</v>
      </c>
      <c r="B560" s="73"/>
      <c r="C560" s="73"/>
      <c r="D560" s="73"/>
      <c r="E560" s="73"/>
      <c r="F560" s="73"/>
      <c r="G560" s="73"/>
      <c r="H560" s="73"/>
      <c r="I560" s="73"/>
      <c r="J560" s="73"/>
      <c r="K560" s="73"/>
      <c r="L560" s="73"/>
      <c r="M560" s="74"/>
    </row>
    <row r="561" spans="1:15" ht="24" customHeight="1" thickBot="1">
      <c r="A561" s="72" t="s">
        <v>31</v>
      </c>
      <c r="B561" s="73"/>
      <c r="C561" s="73"/>
      <c r="D561" s="73"/>
      <c r="E561" s="73"/>
      <c r="F561" s="73"/>
      <c r="G561" s="73"/>
      <c r="H561" s="73"/>
      <c r="I561" s="73"/>
      <c r="J561" s="73"/>
      <c r="K561" s="73"/>
      <c r="L561" s="73"/>
      <c r="M561" s="74"/>
    </row>
    <row r="562" spans="1:15" ht="31.5" customHeight="1" thickBot="1">
      <c r="A562" s="72" t="s">
        <v>74</v>
      </c>
      <c r="B562" s="73"/>
      <c r="C562" s="73"/>
      <c r="D562" s="73"/>
      <c r="E562" s="73"/>
      <c r="F562" s="73"/>
      <c r="G562" s="73"/>
      <c r="H562" s="73"/>
      <c r="I562" s="73"/>
      <c r="J562" s="73"/>
      <c r="K562" s="73"/>
      <c r="L562" s="73"/>
      <c r="M562" s="74"/>
    </row>
    <row r="563" spans="1:15" ht="24" customHeight="1" thickBot="1">
      <c r="A563" s="60" t="s">
        <v>46</v>
      </c>
      <c r="B563" s="61"/>
      <c r="C563" s="61"/>
      <c r="D563" s="61"/>
      <c r="E563" s="61"/>
      <c r="F563" s="61"/>
      <c r="G563" s="61"/>
      <c r="H563" s="61"/>
      <c r="I563" s="61"/>
      <c r="J563" s="61"/>
      <c r="K563" s="61"/>
      <c r="L563" s="61"/>
      <c r="M563" s="62"/>
    </row>
    <row r="564" spans="1:15" ht="11.1" customHeight="1">
      <c r="A564" s="103" t="s">
        <v>47</v>
      </c>
      <c r="B564" s="103"/>
      <c r="C564" s="103"/>
      <c r="D564" s="103"/>
      <c r="E564" s="103"/>
      <c r="F564" s="103"/>
      <c r="G564" s="103"/>
      <c r="H564" s="103"/>
      <c r="I564" s="103"/>
      <c r="J564" s="103"/>
      <c r="K564" s="103"/>
      <c r="L564" s="103"/>
      <c r="M564" s="103"/>
    </row>
    <row r="565" spans="1:15" ht="11.1" customHeight="1">
      <c r="A565" s="104" t="s">
        <v>48</v>
      </c>
      <c r="B565" s="104"/>
      <c r="C565" s="104"/>
      <c r="D565" s="104"/>
      <c r="E565" s="104"/>
      <c r="F565" s="104"/>
      <c r="G565" s="104"/>
      <c r="H565" s="104"/>
      <c r="I565" s="104"/>
      <c r="J565" s="104"/>
      <c r="K565" s="104"/>
      <c r="L565" s="104"/>
      <c r="M565" s="104"/>
    </row>
    <row r="566" spans="1:15" ht="11.1" customHeight="1">
      <c r="A566" s="105" t="s">
        <v>49</v>
      </c>
      <c r="B566" s="105"/>
      <c r="C566" s="105"/>
      <c r="D566" s="105"/>
      <c r="E566" s="105"/>
      <c r="F566" s="105"/>
      <c r="G566" s="105"/>
      <c r="H566" s="105"/>
      <c r="I566" s="105"/>
      <c r="J566" s="105"/>
      <c r="K566" s="105"/>
      <c r="L566" s="105"/>
      <c r="M566" s="105"/>
    </row>
    <row r="567" spans="1:15" ht="11.1" customHeight="1">
      <c r="A567" s="105" t="s">
        <v>50</v>
      </c>
      <c r="B567" s="105"/>
      <c r="C567" s="105"/>
      <c r="D567" s="105"/>
      <c r="E567" s="105"/>
      <c r="F567" s="105"/>
      <c r="G567" s="105"/>
      <c r="H567" s="105"/>
      <c r="I567" s="105"/>
      <c r="J567" s="105"/>
      <c r="K567" s="105"/>
      <c r="L567" s="105"/>
      <c r="M567" s="105"/>
    </row>
    <row r="568" spans="1:15" ht="11.1" customHeight="1">
      <c r="A568" s="104" t="s">
        <v>51</v>
      </c>
      <c r="B568" s="104"/>
      <c r="C568" s="104"/>
      <c r="D568" s="104"/>
      <c r="E568" s="104"/>
      <c r="F568" s="104"/>
      <c r="G568" s="104"/>
      <c r="H568" s="104"/>
      <c r="I568" s="104"/>
      <c r="J568" s="104"/>
      <c r="K568" s="104"/>
      <c r="L568" s="104"/>
      <c r="M568" s="104"/>
    </row>
    <row r="569" spans="1:15" ht="11.1" customHeight="1">
      <c r="A569" s="104" t="s">
        <v>52</v>
      </c>
      <c r="B569" s="104"/>
      <c r="C569" s="104"/>
      <c r="D569" s="104"/>
      <c r="E569" s="104"/>
      <c r="F569" s="104"/>
      <c r="G569" s="104"/>
      <c r="H569" s="104"/>
      <c r="I569" s="104"/>
      <c r="J569" s="104"/>
      <c r="K569" s="104"/>
      <c r="L569" s="104"/>
      <c r="M569" s="104"/>
    </row>
    <row r="570" spans="1:15" ht="11.1" customHeight="1">
      <c r="A570" s="104" t="s">
        <v>53</v>
      </c>
      <c r="B570" s="104"/>
      <c r="C570" s="104"/>
      <c r="D570" s="104"/>
      <c r="E570" s="104"/>
      <c r="F570" s="104"/>
      <c r="G570" s="104"/>
      <c r="H570" s="104"/>
      <c r="I570" s="104"/>
      <c r="J570" s="104"/>
      <c r="K570" s="104"/>
      <c r="L570" s="104"/>
      <c r="M570" s="104"/>
    </row>
    <row r="571" spans="1:15" ht="11.1" customHeight="1">
      <c r="A571" s="101" t="s">
        <v>54</v>
      </c>
      <c r="B571" s="101"/>
      <c r="C571" s="101"/>
      <c r="D571" s="101"/>
      <c r="E571" s="101"/>
      <c r="F571" s="101"/>
      <c r="G571" s="101"/>
      <c r="H571" s="101"/>
      <c r="I571" s="101"/>
      <c r="J571" s="101"/>
      <c r="K571" s="101"/>
      <c r="L571" s="101"/>
      <c r="M571" s="101"/>
    </row>
    <row r="572" spans="1:15" ht="11.1" customHeight="1">
      <c r="A572" s="101" t="s">
        <v>55</v>
      </c>
      <c r="B572" s="101"/>
      <c r="C572" s="101"/>
      <c r="D572" s="101"/>
      <c r="E572" s="101"/>
      <c r="F572" s="101"/>
      <c r="G572" s="101"/>
      <c r="H572" s="101"/>
      <c r="I572" s="101"/>
      <c r="J572" s="101"/>
      <c r="K572" s="101"/>
      <c r="L572" s="101"/>
      <c r="M572" s="101"/>
    </row>
    <row r="573" spans="1:15" ht="19.5" customHeight="1">
      <c r="A573" s="69" t="s">
        <v>0</v>
      </c>
      <c r="B573" s="69"/>
      <c r="C573" s="69"/>
      <c r="D573" s="69"/>
      <c r="E573" s="69"/>
      <c r="F573" s="69"/>
      <c r="G573" s="69"/>
      <c r="H573" s="69"/>
      <c r="I573" s="69"/>
      <c r="J573" s="69"/>
      <c r="K573" s="69"/>
      <c r="L573" s="69"/>
      <c r="M573" s="69"/>
    </row>
    <row r="574" spans="1:15" ht="20.100000000000001" customHeight="1">
      <c r="A574" s="4" t="s">
        <v>32</v>
      </c>
      <c r="B574" s="5">
        <f>+B530+1</f>
        <v>18</v>
      </c>
      <c r="C574" s="25"/>
      <c r="D574" s="25"/>
      <c r="E574" s="25"/>
      <c r="F574" s="25"/>
      <c r="G574" s="25"/>
      <c r="H574" s="25"/>
      <c r="I574" s="25"/>
      <c r="J574" s="25"/>
      <c r="K574" s="25"/>
      <c r="L574" s="25"/>
      <c r="M574" s="25"/>
    </row>
    <row r="575" spans="1:15" ht="24" customHeight="1" thickBot="1">
      <c r="A575" s="4" t="s">
        <v>33</v>
      </c>
      <c r="H575" s="70" t="s">
        <v>34</v>
      </c>
      <c r="I575" s="70"/>
      <c r="J575" s="70"/>
      <c r="K575" s="102">
        <f>+K531+1</f>
        <v>45944</v>
      </c>
      <c r="L575" s="102"/>
      <c r="M575" s="102"/>
      <c r="O575" s="7"/>
    </row>
    <row r="576" spans="1:15" ht="33.75" customHeight="1" thickBot="1">
      <c r="A576" s="80" t="s">
        <v>1</v>
      </c>
      <c r="B576" s="81"/>
      <c r="C576" s="82"/>
      <c r="D576" s="86" t="str">
        <f>+D532</f>
        <v>光明國中B與C區5樓老舊廁所整修工程</v>
      </c>
      <c r="E576" s="87"/>
      <c r="F576" s="87"/>
      <c r="G576" s="88"/>
      <c r="H576" s="80" t="s">
        <v>2</v>
      </c>
      <c r="I576" s="81"/>
      <c r="J576" s="82"/>
      <c r="K576" s="80" t="s">
        <v>35</v>
      </c>
      <c r="L576" s="81"/>
      <c r="M576" s="82"/>
    </row>
    <row r="577" spans="1:13" ht="33.75" customHeight="1" thickBot="1">
      <c r="A577" s="8" t="s">
        <v>3</v>
      </c>
      <c r="B577" s="26">
        <f>+B533+1</f>
        <v>139</v>
      </c>
      <c r="C577" s="10" t="s">
        <v>36</v>
      </c>
      <c r="D577" s="80" t="s">
        <v>4</v>
      </c>
      <c r="E577" s="89"/>
      <c r="F577" s="27">
        <f>+F533+1</f>
        <v>18</v>
      </c>
      <c r="G577" s="12" t="s">
        <v>36</v>
      </c>
      <c r="H577" s="13" t="s">
        <v>5</v>
      </c>
      <c r="I577" s="26">
        <f>+B577-F577</f>
        <v>121</v>
      </c>
      <c r="J577" s="10" t="s">
        <v>36</v>
      </c>
      <c r="K577" s="80" t="s">
        <v>6</v>
      </c>
      <c r="L577" s="82"/>
      <c r="M577" s="13">
        <v>9</v>
      </c>
    </row>
    <row r="578" spans="1:13" ht="24" customHeight="1" thickBot="1">
      <c r="A578" s="80" t="s">
        <v>7</v>
      </c>
      <c r="B578" s="81"/>
      <c r="C578" s="82"/>
      <c r="D578" s="80" t="str">
        <f>+D534</f>
        <v>114.9.27</v>
      </c>
      <c r="E578" s="81"/>
      <c r="F578" s="81"/>
      <c r="G578" s="82"/>
      <c r="H578" s="80" t="s">
        <v>8</v>
      </c>
      <c r="I578" s="81"/>
      <c r="J578" s="82"/>
      <c r="K578" s="80" t="s">
        <v>88</v>
      </c>
      <c r="L578" s="81"/>
      <c r="M578" s="82"/>
    </row>
    <row r="579" spans="1:13" ht="24" customHeight="1" thickBot="1">
      <c r="A579" s="80" t="s">
        <v>37</v>
      </c>
      <c r="B579" s="81"/>
      <c r="C579" s="82"/>
      <c r="D579" s="83">
        <v>4.3999999999999997E-2</v>
      </c>
      <c r="E579" s="84"/>
      <c r="F579" s="84"/>
      <c r="G579" s="85"/>
      <c r="H579" s="80" t="s">
        <v>38</v>
      </c>
      <c r="I579" s="81"/>
      <c r="J579" s="82"/>
      <c r="K579" s="83">
        <f>+K535</f>
        <v>0.10199999999999999</v>
      </c>
      <c r="L579" s="84"/>
      <c r="M579" s="85"/>
    </row>
    <row r="580" spans="1:13" ht="24" customHeight="1" thickBot="1">
      <c r="A580" s="72" t="s">
        <v>9</v>
      </c>
      <c r="B580" s="73"/>
      <c r="C580" s="73"/>
      <c r="D580" s="73"/>
      <c r="E580" s="73"/>
      <c r="F580" s="73"/>
      <c r="G580" s="73"/>
      <c r="H580" s="73"/>
      <c r="I580" s="73"/>
      <c r="J580" s="73"/>
      <c r="K580" s="73"/>
      <c r="L580" s="73"/>
      <c r="M580" s="74"/>
    </row>
    <row r="581" spans="1:13" ht="35.25" customHeight="1" thickBot="1">
      <c r="A581" s="75" t="s">
        <v>10</v>
      </c>
      <c r="B581" s="76"/>
      <c r="C581" s="76"/>
      <c r="D581" s="77"/>
      <c r="E581" s="14" t="s">
        <v>11</v>
      </c>
      <c r="F581" s="75" t="s">
        <v>12</v>
      </c>
      <c r="G581" s="77"/>
      <c r="H581" s="75" t="s">
        <v>13</v>
      </c>
      <c r="I581" s="77"/>
      <c r="J581" s="78" t="s">
        <v>14</v>
      </c>
      <c r="K581" s="79"/>
      <c r="L581" s="75" t="s">
        <v>15</v>
      </c>
      <c r="M581" s="77"/>
    </row>
    <row r="582" spans="1:13" ht="27.95" customHeight="1" thickBot="1">
      <c r="A582" s="141"/>
      <c r="B582" s="142"/>
      <c r="C582" s="142"/>
      <c r="D582" s="143"/>
      <c r="E582" s="2"/>
      <c r="F582" s="56"/>
      <c r="G582" s="57"/>
      <c r="H582" s="56"/>
      <c r="I582" s="57"/>
      <c r="J582" s="56"/>
      <c r="K582" s="57"/>
      <c r="L582" s="58"/>
      <c r="M582" s="59"/>
    </row>
    <row r="583" spans="1:13" ht="27.95" customHeight="1" thickBot="1">
      <c r="A583" s="141"/>
      <c r="B583" s="142"/>
      <c r="C583" s="142"/>
      <c r="D583" s="143"/>
      <c r="E583" s="15"/>
      <c r="F583" s="56"/>
      <c r="G583" s="57"/>
      <c r="H583" s="56"/>
      <c r="I583" s="57"/>
      <c r="J583" s="56"/>
      <c r="K583" s="57"/>
      <c r="L583" s="58"/>
      <c r="M583" s="59"/>
    </row>
    <row r="584" spans="1:13" ht="24.95" customHeight="1" thickTop="1" thickBot="1">
      <c r="A584" s="130" t="s">
        <v>16</v>
      </c>
      <c r="B584" s="67"/>
      <c r="C584" s="67"/>
      <c r="D584" s="68"/>
      <c r="E584" s="28"/>
      <c r="F584" s="131"/>
      <c r="G584" s="132"/>
      <c r="H584" s="131"/>
      <c r="I584" s="132"/>
      <c r="J584" s="131"/>
      <c r="K584" s="132"/>
      <c r="L584" s="131"/>
      <c r="M584" s="133"/>
    </row>
    <row r="585" spans="1:13" ht="24.95" customHeight="1" thickBot="1">
      <c r="A585" s="134" t="s">
        <v>17</v>
      </c>
      <c r="B585" s="135"/>
      <c r="C585" s="135"/>
      <c r="D585" s="59"/>
      <c r="E585" s="28"/>
      <c r="F585" s="58"/>
      <c r="G585" s="59"/>
      <c r="H585" s="58"/>
      <c r="I585" s="59"/>
      <c r="J585" s="58"/>
      <c r="K585" s="59"/>
      <c r="L585" s="58"/>
      <c r="M585" s="136"/>
    </row>
    <row r="586" spans="1:13" ht="24.95" customHeight="1" thickBot="1">
      <c r="A586" s="118" t="s">
        <v>18</v>
      </c>
      <c r="B586" s="119"/>
      <c r="C586" s="119"/>
      <c r="D586" s="120"/>
      <c r="E586" s="24"/>
      <c r="F586" s="121"/>
      <c r="G586" s="120"/>
      <c r="H586" s="121"/>
      <c r="I586" s="120"/>
      <c r="J586" s="121"/>
      <c r="K586" s="120"/>
      <c r="L586" s="121"/>
      <c r="M586" s="122"/>
    </row>
    <row r="587" spans="1:13" ht="24" customHeight="1" thickTop="1" thickBot="1">
      <c r="A587" s="66" t="s">
        <v>19</v>
      </c>
      <c r="B587" s="67"/>
      <c r="C587" s="67"/>
      <c r="D587" s="67"/>
      <c r="E587" s="67"/>
      <c r="F587" s="67"/>
      <c r="G587" s="67"/>
      <c r="H587" s="67"/>
      <c r="I587" s="67"/>
      <c r="J587" s="67"/>
      <c r="K587" s="67"/>
      <c r="L587" s="67"/>
      <c r="M587" s="68"/>
    </row>
    <row r="588" spans="1:13" ht="35.25" customHeight="1" thickBot="1">
      <c r="A588" s="75" t="s">
        <v>20</v>
      </c>
      <c r="B588" s="76"/>
      <c r="C588" s="76"/>
      <c r="D588" s="77"/>
      <c r="E588" s="14" t="s">
        <v>11</v>
      </c>
      <c r="F588" s="75" t="s">
        <v>39</v>
      </c>
      <c r="G588" s="77"/>
      <c r="H588" s="75" t="s">
        <v>21</v>
      </c>
      <c r="I588" s="77"/>
      <c r="J588" s="78" t="s">
        <v>22</v>
      </c>
      <c r="K588" s="79"/>
      <c r="L588" s="75" t="s">
        <v>15</v>
      </c>
      <c r="M588" s="77"/>
    </row>
    <row r="589" spans="1:13" ht="24" customHeight="1" thickBot="1">
      <c r="A589" s="96"/>
      <c r="B589" s="97"/>
      <c r="C589" s="97"/>
      <c r="D589" s="98"/>
      <c r="E589" s="28"/>
      <c r="F589" s="58"/>
      <c r="G589" s="59"/>
      <c r="H589" s="58"/>
      <c r="I589" s="59"/>
      <c r="J589" s="56"/>
      <c r="K589" s="57"/>
      <c r="L589" s="58"/>
      <c r="M589" s="59"/>
    </row>
    <row r="590" spans="1:13" ht="24" customHeight="1" thickBot="1">
      <c r="A590" s="96"/>
      <c r="B590" s="97"/>
      <c r="C590" s="97"/>
      <c r="D590" s="98"/>
      <c r="E590" s="28"/>
      <c r="F590" s="58"/>
      <c r="G590" s="59"/>
      <c r="H590" s="58"/>
      <c r="I590" s="59"/>
      <c r="J590" s="56"/>
      <c r="K590" s="57"/>
      <c r="L590" s="58"/>
      <c r="M590" s="59"/>
    </row>
    <row r="591" spans="1:13" ht="24" customHeight="1" thickBot="1">
      <c r="A591" s="60" t="s">
        <v>23</v>
      </c>
      <c r="B591" s="61"/>
      <c r="C591" s="61"/>
      <c r="D591" s="61"/>
      <c r="E591" s="61"/>
      <c r="F591" s="61"/>
      <c r="G591" s="61"/>
      <c r="H591" s="61"/>
      <c r="I591" s="61"/>
      <c r="J591" s="61"/>
      <c r="K591" s="61"/>
      <c r="L591" s="61"/>
      <c r="M591" s="62"/>
    </row>
    <row r="592" spans="1:13" ht="35.25" customHeight="1" thickBot="1">
      <c r="A592" s="75" t="s">
        <v>24</v>
      </c>
      <c r="B592" s="77"/>
      <c r="C592" s="75" t="s">
        <v>25</v>
      </c>
      <c r="D592" s="77"/>
      <c r="E592" s="75" t="s">
        <v>26</v>
      </c>
      <c r="F592" s="76"/>
      <c r="G592" s="77"/>
      <c r="H592" s="75" t="s">
        <v>27</v>
      </c>
      <c r="I592" s="77"/>
      <c r="J592" s="78" t="s">
        <v>21</v>
      </c>
      <c r="K592" s="79"/>
      <c r="L592" s="75" t="s">
        <v>22</v>
      </c>
      <c r="M592" s="77"/>
    </row>
    <row r="593" spans="1:13" s="18" customFormat="1" ht="24.75" customHeight="1" thickBot="1">
      <c r="A593" s="99"/>
      <c r="B593" s="98"/>
      <c r="C593" s="56"/>
      <c r="D593" s="57"/>
      <c r="E593" s="56"/>
      <c r="F593" s="100"/>
      <c r="G593" s="57"/>
      <c r="H593" s="56"/>
      <c r="I593" s="57"/>
      <c r="J593" s="56"/>
      <c r="K593" s="57"/>
      <c r="L593" s="56"/>
      <c r="M593" s="57"/>
    </row>
    <row r="594" spans="1:13" s="18" customFormat="1" ht="24.75" customHeight="1" thickBot="1">
      <c r="A594" s="99"/>
      <c r="B594" s="98"/>
      <c r="C594" s="56"/>
      <c r="D594" s="57"/>
      <c r="E594" s="56"/>
      <c r="F594" s="100"/>
      <c r="G594" s="57"/>
      <c r="H594" s="56"/>
      <c r="I594" s="57"/>
      <c r="J594" s="56"/>
      <c r="K594" s="57"/>
      <c r="L594" s="56"/>
      <c r="M594" s="57"/>
    </row>
    <row r="595" spans="1:13" ht="33" customHeight="1" thickBot="1">
      <c r="A595" s="112" t="s">
        <v>60</v>
      </c>
      <c r="B595" s="113"/>
      <c r="C595" s="113"/>
      <c r="D595" s="113"/>
      <c r="E595" s="113"/>
      <c r="F595" s="113"/>
      <c r="G595" s="113"/>
      <c r="H595" s="113"/>
      <c r="I595" s="113"/>
      <c r="J595" s="113"/>
      <c r="K595" s="113"/>
      <c r="L595" s="113"/>
      <c r="M595" s="114"/>
    </row>
    <row r="596" spans="1:13" ht="16.5" customHeight="1">
      <c r="A596" s="115" t="s">
        <v>41</v>
      </c>
      <c r="B596" s="116"/>
      <c r="C596" s="116"/>
      <c r="D596" s="116"/>
      <c r="E596" s="116"/>
      <c r="F596" s="116"/>
      <c r="G596" s="116"/>
      <c r="H596" s="116"/>
      <c r="I596" s="116"/>
      <c r="J596" s="116"/>
      <c r="K596" s="116"/>
      <c r="L596" s="116"/>
      <c r="M596" s="117"/>
    </row>
    <row r="597" spans="1:13" ht="16.5" customHeight="1">
      <c r="A597" s="90" t="s">
        <v>28</v>
      </c>
      <c r="B597" s="91"/>
      <c r="C597" s="91"/>
      <c r="D597" s="91"/>
      <c r="E597" s="91"/>
      <c r="F597" s="91"/>
      <c r="G597" s="91"/>
      <c r="H597" s="91"/>
      <c r="I597" s="91"/>
      <c r="J597" s="91"/>
      <c r="K597" s="91"/>
      <c r="L597" s="91"/>
      <c r="M597" s="92"/>
    </row>
    <row r="598" spans="1:13" ht="16.5" customHeight="1">
      <c r="A598" s="106" t="s">
        <v>42</v>
      </c>
      <c r="B598" s="107"/>
      <c r="C598" s="107"/>
      <c r="D598" s="107"/>
      <c r="E598" s="107"/>
      <c r="F598" s="107"/>
      <c r="G598" s="107"/>
      <c r="H598" s="107"/>
      <c r="I598" s="107"/>
      <c r="J598" s="107"/>
      <c r="K598" s="107"/>
      <c r="L598" s="107"/>
      <c r="M598" s="108"/>
    </row>
    <row r="599" spans="1:13" ht="16.5" customHeight="1">
      <c r="A599" s="106" t="s">
        <v>43</v>
      </c>
      <c r="B599" s="107"/>
      <c r="C599" s="107"/>
      <c r="D599" s="107"/>
      <c r="E599" s="107"/>
      <c r="F599" s="107"/>
      <c r="G599" s="107"/>
      <c r="H599" s="107"/>
      <c r="I599" s="107"/>
      <c r="J599" s="107"/>
      <c r="K599" s="107"/>
      <c r="L599" s="107"/>
      <c r="M599" s="108"/>
    </row>
    <row r="600" spans="1:13" ht="16.5" customHeight="1">
      <c r="A600" s="106" t="s">
        <v>44</v>
      </c>
      <c r="B600" s="107"/>
      <c r="C600" s="107"/>
      <c r="D600" s="107"/>
      <c r="E600" s="107"/>
      <c r="F600" s="107"/>
      <c r="G600" s="107"/>
      <c r="H600" s="107"/>
      <c r="I600" s="107"/>
      <c r="J600" s="107"/>
      <c r="K600" s="107"/>
      <c r="L600" s="107"/>
      <c r="M600" s="108"/>
    </row>
    <row r="601" spans="1:13" ht="16.5" customHeight="1">
      <c r="A601" s="106" t="s">
        <v>45</v>
      </c>
      <c r="B601" s="107"/>
      <c r="C601" s="107"/>
      <c r="D601" s="107"/>
      <c r="E601" s="107"/>
      <c r="F601" s="107"/>
      <c r="G601" s="107"/>
      <c r="H601" s="107"/>
      <c r="I601" s="107"/>
      <c r="J601" s="107"/>
      <c r="K601" s="107"/>
      <c r="L601" s="107"/>
      <c r="M601" s="108"/>
    </row>
    <row r="602" spans="1:13" ht="16.5" customHeight="1">
      <c r="A602" s="106" t="s">
        <v>29</v>
      </c>
      <c r="B602" s="107"/>
      <c r="C602" s="107"/>
      <c r="D602" s="107"/>
      <c r="E602" s="107"/>
      <c r="F602" s="107"/>
      <c r="G602" s="107"/>
      <c r="H602" s="107"/>
      <c r="I602" s="107"/>
      <c r="J602" s="107"/>
      <c r="K602" s="107"/>
      <c r="L602" s="107"/>
      <c r="M602" s="108"/>
    </row>
    <row r="603" spans="1:13" ht="5.25" customHeight="1" thickBot="1">
      <c r="A603" s="109"/>
      <c r="B603" s="110"/>
      <c r="C603" s="110"/>
      <c r="D603" s="110"/>
      <c r="E603" s="110"/>
      <c r="F603" s="110"/>
      <c r="G603" s="110"/>
      <c r="H603" s="110"/>
      <c r="I603" s="110"/>
      <c r="J603" s="110"/>
      <c r="K603" s="110"/>
      <c r="L603" s="110"/>
      <c r="M603" s="111"/>
    </row>
    <row r="604" spans="1:13" ht="18.75" customHeight="1" thickBot="1">
      <c r="A604" s="72" t="s">
        <v>30</v>
      </c>
      <c r="B604" s="73"/>
      <c r="C604" s="73"/>
      <c r="D604" s="73"/>
      <c r="E604" s="73"/>
      <c r="F604" s="73"/>
      <c r="G604" s="73"/>
      <c r="H604" s="73"/>
      <c r="I604" s="73"/>
      <c r="J604" s="73"/>
      <c r="K604" s="73"/>
      <c r="L604" s="73"/>
      <c r="M604" s="74"/>
    </row>
    <row r="605" spans="1:13" ht="24" customHeight="1" thickBot="1">
      <c r="A605" s="72" t="s">
        <v>31</v>
      </c>
      <c r="B605" s="73"/>
      <c r="C605" s="73"/>
      <c r="D605" s="73"/>
      <c r="E605" s="73"/>
      <c r="F605" s="73"/>
      <c r="G605" s="73"/>
      <c r="H605" s="73"/>
      <c r="I605" s="73"/>
      <c r="J605" s="73"/>
      <c r="K605" s="73"/>
      <c r="L605" s="73"/>
      <c r="M605" s="74"/>
    </row>
    <row r="606" spans="1:13" ht="31.5" customHeight="1" thickBot="1">
      <c r="A606" s="72" t="s">
        <v>74</v>
      </c>
      <c r="B606" s="73"/>
      <c r="C606" s="73"/>
      <c r="D606" s="73"/>
      <c r="E606" s="73"/>
      <c r="F606" s="73"/>
      <c r="G606" s="73"/>
      <c r="H606" s="73"/>
      <c r="I606" s="73"/>
      <c r="J606" s="73"/>
      <c r="K606" s="73"/>
      <c r="L606" s="73"/>
      <c r="M606" s="74"/>
    </row>
    <row r="607" spans="1:13" ht="24" customHeight="1" thickBot="1">
      <c r="A607" s="60" t="s">
        <v>46</v>
      </c>
      <c r="B607" s="61"/>
      <c r="C607" s="61"/>
      <c r="D607" s="61"/>
      <c r="E607" s="61"/>
      <c r="F607" s="61"/>
      <c r="G607" s="61"/>
      <c r="H607" s="61"/>
      <c r="I607" s="61"/>
      <c r="J607" s="61"/>
      <c r="K607" s="61"/>
      <c r="L607" s="61"/>
      <c r="M607" s="62"/>
    </row>
    <row r="608" spans="1:13" ht="11.1" customHeight="1">
      <c r="A608" s="103" t="s">
        <v>47</v>
      </c>
      <c r="B608" s="103"/>
      <c r="C608" s="103"/>
      <c r="D608" s="103"/>
      <c r="E608" s="103"/>
      <c r="F608" s="103"/>
      <c r="G608" s="103"/>
      <c r="H608" s="103"/>
      <c r="I608" s="103"/>
      <c r="J608" s="103"/>
      <c r="K608" s="103"/>
      <c r="L608" s="103"/>
      <c r="M608" s="103"/>
    </row>
    <row r="609" spans="1:15" ht="11.1" customHeight="1">
      <c r="A609" s="104" t="s">
        <v>48</v>
      </c>
      <c r="B609" s="104"/>
      <c r="C609" s="104"/>
      <c r="D609" s="104"/>
      <c r="E609" s="104"/>
      <c r="F609" s="104"/>
      <c r="G609" s="104"/>
      <c r="H609" s="104"/>
      <c r="I609" s="104"/>
      <c r="J609" s="104"/>
      <c r="K609" s="104"/>
      <c r="L609" s="104"/>
      <c r="M609" s="104"/>
    </row>
    <row r="610" spans="1:15" ht="11.1" customHeight="1">
      <c r="A610" s="105" t="s">
        <v>49</v>
      </c>
      <c r="B610" s="105"/>
      <c r="C610" s="105"/>
      <c r="D610" s="105"/>
      <c r="E610" s="105"/>
      <c r="F610" s="105"/>
      <c r="G610" s="105"/>
      <c r="H610" s="105"/>
      <c r="I610" s="105"/>
      <c r="J610" s="105"/>
      <c r="K610" s="105"/>
      <c r="L610" s="105"/>
      <c r="M610" s="105"/>
    </row>
    <row r="611" spans="1:15" ht="11.1" customHeight="1">
      <c r="A611" s="105" t="s">
        <v>50</v>
      </c>
      <c r="B611" s="105"/>
      <c r="C611" s="105"/>
      <c r="D611" s="105"/>
      <c r="E611" s="105"/>
      <c r="F611" s="105"/>
      <c r="G611" s="105"/>
      <c r="H611" s="105"/>
      <c r="I611" s="105"/>
      <c r="J611" s="105"/>
      <c r="K611" s="105"/>
      <c r="L611" s="105"/>
      <c r="M611" s="105"/>
    </row>
    <row r="612" spans="1:15" ht="11.1" customHeight="1">
      <c r="A612" s="104" t="s">
        <v>51</v>
      </c>
      <c r="B612" s="104"/>
      <c r="C612" s="104"/>
      <c r="D612" s="104"/>
      <c r="E612" s="104"/>
      <c r="F612" s="104"/>
      <c r="G612" s="104"/>
      <c r="H612" s="104"/>
      <c r="I612" s="104"/>
      <c r="J612" s="104"/>
      <c r="K612" s="104"/>
      <c r="L612" s="104"/>
      <c r="M612" s="104"/>
    </row>
    <row r="613" spans="1:15" ht="11.1" customHeight="1">
      <c r="A613" s="104" t="s">
        <v>52</v>
      </c>
      <c r="B613" s="104"/>
      <c r="C613" s="104"/>
      <c r="D613" s="104"/>
      <c r="E613" s="104"/>
      <c r="F613" s="104"/>
      <c r="G613" s="104"/>
      <c r="H613" s="104"/>
      <c r="I613" s="104"/>
      <c r="J613" s="104"/>
      <c r="K613" s="104"/>
      <c r="L613" s="104"/>
      <c r="M613" s="104"/>
    </row>
    <row r="614" spans="1:15" ht="11.1" customHeight="1">
      <c r="A614" s="104" t="s">
        <v>53</v>
      </c>
      <c r="B614" s="104"/>
      <c r="C614" s="104"/>
      <c r="D614" s="104"/>
      <c r="E614" s="104"/>
      <c r="F614" s="104"/>
      <c r="G614" s="104"/>
      <c r="H614" s="104"/>
      <c r="I614" s="104"/>
      <c r="J614" s="104"/>
      <c r="K614" s="104"/>
      <c r="L614" s="104"/>
      <c r="M614" s="104"/>
    </row>
    <row r="615" spans="1:15" ht="11.1" customHeight="1">
      <c r="A615" s="101" t="s">
        <v>54</v>
      </c>
      <c r="B615" s="101"/>
      <c r="C615" s="101"/>
      <c r="D615" s="101"/>
      <c r="E615" s="101"/>
      <c r="F615" s="101"/>
      <c r="G615" s="101"/>
      <c r="H615" s="101"/>
      <c r="I615" s="101"/>
      <c r="J615" s="101"/>
      <c r="K615" s="101"/>
      <c r="L615" s="101"/>
      <c r="M615" s="101"/>
    </row>
    <row r="616" spans="1:15" ht="11.1" customHeight="1">
      <c r="A616" s="101" t="s">
        <v>55</v>
      </c>
      <c r="B616" s="101"/>
      <c r="C616" s="101"/>
      <c r="D616" s="101"/>
      <c r="E616" s="101"/>
      <c r="F616" s="101"/>
      <c r="G616" s="101"/>
      <c r="H616" s="101"/>
      <c r="I616" s="101"/>
      <c r="J616" s="101"/>
      <c r="K616" s="101"/>
      <c r="L616" s="101"/>
      <c r="M616" s="101"/>
    </row>
    <row r="617" spans="1:15" ht="19.5" customHeight="1">
      <c r="A617" s="69" t="s">
        <v>0</v>
      </c>
      <c r="B617" s="69"/>
      <c r="C617" s="69"/>
      <c r="D617" s="69"/>
      <c r="E617" s="69"/>
      <c r="F617" s="69"/>
      <c r="G617" s="69"/>
      <c r="H617" s="69"/>
      <c r="I617" s="69"/>
      <c r="J617" s="69"/>
      <c r="K617" s="69"/>
      <c r="L617" s="69"/>
      <c r="M617" s="69"/>
    </row>
    <row r="618" spans="1:15" ht="20.100000000000001" customHeight="1">
      <c r="A618" s="4" t="s">
        <v>32</v>
      </c>
      <c r="B618" s="5">
        <f>+B574+1</f>
        <v>19</v>
      </c>
      <c r="C618" s="25"/>
      <c r="D618" s="25"/>
      <c r="E618" s="25"/>
      <c r="F618" s="25"/>
      <c r="G618" s="25"/>
      <c r="H618" s="25"/>
      <c r="I618" s="25"/>
      <c r="J618" s="25"/>
      <c r="K618" s="25"/>
      <c r="L618" s="25"/>
      <c r="M618" s="25"/>
    </row>
    <row r="619" spans="1:15" ht="24" customHeight="1" thickBot="1">
      <c r="A619" s="4" t="s">
        <v>33</v>
      </c>
      <c r="H619" s="70" t="s">
        <v>34</v>
      </c>
      <c r="I619" s="70"/>
      <c r="J619" s="70"/>
      <c r="K619" s="102">
        <f>+K575+1</f>
        <v>45945</v>
      </c>
      <c r="L619" s="102"/>
      <c r="M619" s="102"/>
      <c r="O619" s="7"/>
    </row>
    <row r="620" spans="1:15" ht="33.75" customHeight="1" thickBot="1">
      <c r="A620" s="80" t="s">
        <v>1</v>
      </c>
      <c r="B620" s="81"/>
      <c r="C620" s="82"/>
      <c r="D620" s="86" t="str">
        <f>+D576</f>
        <v>光明國中B與C區5樓老舊廁所整修工程</v>
      </c>
      <c r="E620" s="87"/>
      <c r="F620" s="87"/>
      <c r="G620" s="88"/>
      <c r="H620" s="80" t="s">
        <v>2</v>
      </c>
      <c r="I620" s="81"/>
      <c r="J620" s="82"/>
      <c r="K620" s="80" t="s">
        <v>35</v>
      </c>
      <c r="L620" s="81"/>
      <c r="M620" s="82"/>
    </row>
    <row r="621" spans="1:15" ht="33.75" customHeight="1" thickBot="1">
      <c r="A621" s="8" t="s">
        <v>3</v>
      </c>
      <c r="B621" s="26">
        <f>+B577+1</f>
        <v>140</v>
      </c>
      <c r="C621" s="10" t="s">
        <v>36</v>
      </c>
      <c r="D621" s="80" t="s">
        <v>4</v>
      </c>
      <c r="E621" s="89"/>
      <c r="F621" s="27">
        <f>+F577+1</f>
        <v>19</v>
      </c>
      <c r="G621" s="12" t="s">
        <v>36</v>
      </c>
      <c r="H621" s="13" t="s">
        <v>5</v>
      </c>
      <c r="I621" s="26">
        <f>+B621-F621</f>
        <v>121</v>
      </c>
      <c r="J621" s="10" t="s">
        <v>36</v>
      </c>
      <c r="K621" s="80" t="s">
        <v>6</v>
      </c>
      <c r="L621" s="82"/>
      <c r="M621" s="13">
        <v>10</v>
      </c>
    </row>
    <row r="622" spans="1:15" ht="24" customHeight="1" thickBot="1">
      <c r="A622" s="80" t="s">
        <v>7</v>
      </c>
      <c r="B622" s="81"/>
      <c r="C622" s="82"/>
      <c r="D622" s="80" t="str">
        <f>+D578</f>
        <v>114.9.27</v>
      </c>
      <c r="E622" s="81"/>
      <c r="F622" s="81"/>
      <c r="G622" s="82"/>
      <c r="H622" s="80" t="s">
        <v>8</v>
      </c>
      <c r="I622" s="81"/>
      <c r="J622" s="82"/>
      <c r="K622" s="80" t="s">
        <v>89</v>
      </c>
      <c r="L622" s="81"/>
      <c r="M622" s="82"/>
    </row>
    <row r="623" spans="1:15" ht="24" customHeight="1" thickBot="1">
      <c r="A623" s="80" t="s">
        <v>37</v>
      </c>
      <c r="B623" s="81"/>
      <c r="C623" s="82"/>
      <c r="D623" s="83">
        <v>4.5999999999999999E-2</v>
      </c>
      <c r="E623" s="84"/>
      <c r="F623" s="84"/>
      <c r="G623" s="85"/>
      <c r="H623" s="80" t="s">
        <v>38</v>
      </c>
      <c r="I623" s="81"/>
      <c r="J623" s="82"/>
      <c r="K623" s="83">
        <f>+K579</f>
        <v>0.10199999999999999</v>
      </c>
      <c r="L623" s="84"/>
      <c r="M623" s="85"/>
    </row>
    <row r="624" spans="1:15" ht="24" customHeight="1" thickBot="1">
      <c r="A624" s="72" t="s">
        <v>9</v>
      </c>
      <c r="B624" s="73"/>
      <c r="C624" s="73"/>
      <c r="D624" s="73"/>
      <c r="E624" s="73"/>
      <c r="F624" s="73"/>
      <c r="G624" s="73"/>
      <c r="H624" s="73"/>
      <c r="I624" s="73"/>
      <c r="J624" s="73"/>
      <c r="K624" s="73"/>
      <c r="L624" s="73"/>
      <c r="M624" s="74"/>
    </row>
    <row r="625" spans="1:13" ht="35.25" customHeight="1" thickBot="1">
      <c r="A625" s="75" t="s">
        <v>10</v>
      </c>
      <c r="B625" s="76"/>
      <c r="C625" s="76"/>
      <c r="D625" s="77"/>
      <c r="E625" s="14" t="s">
        <v>11</v>
      </c>
      <c r="F625" s="75" t="s">
        <v>12</v>
      </c>
      <c r="G625" s="77"/>
      <c r="H625" s="75" t="s">
        <v>13</v>
      </c>
      <c r="I625" s="77"/>
      <c r="J625" s="78" t="s">
        <v>14</v>
      </c>
      <c r="K625" s="79"/>
      <c r="L625" s="75" t="s">
        <v>15</v>
      </c>
      <c r="M625" s="77"/>
    </row>
    <row r="626" spans="1:13" ht="27.95" customHeight="1" thickBot="1">
      <c r="A626" s="141"/>
      <c r="B626" s="142"/>
      <c r="C626" s="142"/>
      <c r="D626" s="143"/>
      <c r="E626" s="2"/>
      <c r="F626" s="56"/>
      <c r="G626" s="57"/>
      <c r="H626" s="56"/>
      <c r="I626" s="57"/>
      <c r="J626" s="56"/>
      <c r="K626" s="57"/>
      <c r="L626" s="58"/>
      <c r="M626" s="59"/>
    </row>
    <row r="627" spans="1:13" ht="27.95" customHeight="1" thickBot="1">
      <c r="A627" s="141"/>
      <c r="B627" s="142"/>
      <c r="C627" s="142"/>
      <c r="D627" s="143"/>
      <c r="E627" s="15"/>
      <c r="F627" s="56"/>
      <c r="G627" s="57"/>
      <c r="H627" s="56"/>
      <c r="I627" s="57"/>
      <c r="J627" s="56"/>
      <c r="K627" s="57"/>
      <c r="L627" s="58"/>
      <c r="M627" s="59"/>
    </row>
    <row r="628" spans="1:13" ht="24.95" customHeight="1" thickTop="1" thickBot="1">
      <c r="A628" s="130" t="s">
        <v>16</v>
      </c>
      <c r="B628" s="67"/>
      <c r="C628" s="67"/>
      <c r="D628" s="68"/>
      <c r="E628" s="28"/>
      <c r="F628" s="131"/>
      <c r="G628" s="132"/>
      <c r="H628" s="131"/>
      <c r="I628" s="132"/>
      <c r="J628" s="131"/>
      <c r="K628" s="132"/>
      <c r="L628" s="131"/>
      <c r="M628" s="133"/>
    </row>
    <row r="629" spans="1:13" ht="24.95" customHeight="1" thickBot="1">
      <c r="A629" s="134" t="s">
        <v>17</v>
      </c>
      <c r="B629" s="135"/>
      <c r="C629" s="135"/>
      <c r="D629" s="59"/>
      <c r="E629" s="28"/>
      <c r="F629" s="58"/>
      <c r="G629" s="59"/>
      <c r="H629" s="58"/>
      <c r="I629" s="59"/>
      <c r="J629" s="58"/>
      <c r="K629" s="59"/>
      <c r="L629" s="58"/>
      <c r="M629" s="136"/>
    </row>
    <row r="630" spans="1:13" ht="24.95" customHeight="1" thickBot="1">
      <c r="A630" s="118" t="s">
        <v>18</v>
      </c>
      <c r="B630" s="119"/>
      <c r="C630" s="119"/>
      <c r="D630" s="120"/>
      <c r="E630" s="24"/>
      <c r="F630" s="121"/>
      <c r="G630" s="120"/>
      <c r="H630" s="121"/>
      <c r="I630" s="120"/>
      <c r="J630" s="121"/>
      <c r="K630" s="120"/>
      <c r="L630" s="121"/>
      <c r="M630" s="122"/>
    </row>
    <row r="631" spans="1:13" ht="24" customHeight="1" thickTop="1" thickBot="1">
      <c r="A631" s="66" t="s">
        <v>19</v>
      </c>
      <c r="B631" s="67"/>
      <c r="C631" s="67"/>
      <c r="D631" s="67"/>
      <c r="E631" s="67"/>
      <c r="F631" s="67"/>
      <c r="G631" s="67"/>
      <c r="H631" s="67"/>
      <c r="I631" s="67"/>
      <c r="J631" s="67"/>
      <c r="K631" s="67"/>
      <c r="L631" s="67"/>
      <c r="M631" s="68"/>
    </row>
    <row r="632" spans="1:13" ht="35.25" customHeight="1" thickBot="1">
      <c r="A632" s="75" t="s">
        <v>20</v>
      </c>
      <c r="B632" s="76"/>
      <c r="C632" s="76"/>
      <c r="D632" s="77"/>
      <c r="E632" s="14" t="s">
        <v>11</v>
      </c>
      <c r="F632" s="75" t="s">
        <v>39</v>
      </c>
      <c r="G632" s="77"/>
      <c r="H632" s="75" t="s">
        <v>21</v>
      </c>
      <c r="I632" s="77"/>
      <c r="J632" s="78" t="s">
        <v>22</v>
      </c>
      <c r="K632" s="79"/>
      <c r="L632" s="75" t="s">
        <v>15</v>
      </c>
      <c r="M632" s="77"/>
    </row>
    <row r="633" spans="1:13" ht="24" customHeight="1" thickBot="1">
      <c r="A633" s="96"/>
      <c r="B633" s="97"/>
      <c r="C633" s="97"/>
      <c r="D633" s="98"/>
      <c r="E633" s="28"/>
      <c r="F633" s="58"/>
      <c r="G633" s="59"/>
      <c r="H633" s="58"/>
      <c r="I633" s="59"/>
      <c r="J633" s="56"/>
      <c r="K633" s="57"/>
      <c r="L633" s="58"/>
      <c r="M633" s="59"/>
    </row>
    <row r="634" spans="1:13" ht="24" customHeight="1" thickBot="1">
      <c r="A634" s="96"/>
      <c r="B634" s="97"/>
      <c r="C634" s="97"/>
      <c r="D634" s="98"/>
      <c r="E634" s="28"/>
      <c r="F634" s="58"/>
      <c r="G634" s="59"/>
      <c r="H634" s="58"/>
      <c r="I634" s="59"/>
      <c r="J634" s="56"/>
      <c r="K634" s="57"/>
      <c r="L634" s="58"/>
      <c r="M634" s="59"/>
    </row>
    <row r="635" spans="1:13" ht="24" customHeight="1" thickBot="1">
      <c r="A635" s="60" t="s">
        <v>23</v>
      </c>
      <c r="B635" s="61"/>
      <c r="C635" s="61"/>
      <c r="D635" s="61"/>
      <c r="E635" s="61"/>
      <c r="F635" s="61"/>
      <c r="G635" s="61"/>
      <c r="H635" s="61"/>
      <c r="I635" s="61"/>
      <c r="J635" s="61"/>
      <c r="K635" s="61"/>
      <c r="L635" s="61"/>
      <c r="M635" s="62"/>
    </row>
    <row r="636" spans="1:13" ht="35.25" customHeight="1" thickBot="1">
      <c r="A636" s="75" t="s">
        <v>24</v>
      </c>
      <c r="B636" s="77"/>
      <c r="C636" s="75" t="s">
        <v>25</v>
      </c>
      <c r="D636" s="77"/>
      <c r="E636" s="75" t="s">
        <v>26</v>
      </c>
      <c r="F636" s="76"/>
      <c r="G636" s="77"/>
      <c r="H636" s="75" t="s">
        <v>27</v>
      </c>
      <c r="I636" s="77"/>
      <c r="J636" s="78" t="s">
        <v>21</v>
      </c>
      <c r="K636" s="79"/>
      <c r="L636" s="75" t="s">
        <v>22</v>
      </c>
      <c r="M636" s="77"/>
    </row>
    <row r="637" spans="1:13" s="18" customFormat="1" ht="24.75" customHeight="1" thickBot="1">
      <c r="A637" s="99"/>
      <c r="B637" s="98"/>
      <c r="C637" s="56"/>
      <c r="D637" s="57"/>
      <c r="E637" s="56"/>
      <c r="F637" s="100"/>
      <c r="G637" s="57"/>
      <c r="H637" s="56"/>
      <c r="I637" s="57"/>
      <c r="J637" s="56"/>
      <c r="K637" s="57"/>
      <c r="L637" s="56"/>
      <c r="M637" s="57"/>
    </row>
    <row r="638" spans="1:13" s="18" customFormat="1" ht="24.75" customHeight="1" thickBot="1">
      <c r="A638" s="99"/>
      <c r="B638" s="98"/>
      <c r="C638" s="56"/>
      <c r="D638" s="57"/>
      <c r="E638" s="56"/>
      <c r="F638" s="100"/>
      <c r="G638" s="57"/>
      <c r="H638" s="56"/>
      <c r="I638" s="57"/>
      <c r="J638" s="56"/>
      <c r="K638" s="57"/>
      <c r="L638" s="56"/>
      <c r="M638" s="57"/>
    </row>
    <row r="639" spans="1:13" ht="33" customHeight="1" thickBot="1">
      <c r="A639" s="112" t="s">
        <v>60</v>
      </c>
      <c r="B639" s="113"/>
      <c r="C639" s="113"/>
      <c r="D639" s="113"/>
      <c r="E639" s="113"/>
      <c r="F639" s="113"/>
      <c r="G639" s="113"/>
      <c r="H639" s="113"/>
      <c r="I639" s="113"/>
      <c r="J639" s="113"/>
      <c r="K639" s="113"/>
      <c r="L639" s="113"/>
      <c r="M639" s="114"/>
    </row>
    <row r="640" spans="1:13" ht="16.5" customHeight="1">
      <c r="A640" s="115" t="s">
        <v>41</v>
      </c>
      <c r="B640" s="116"/>
      <c r="C640" s="116"/>
      <c r="D640" s="116"/>
      <c r="E640" s="116"/>
      <c r="F640" s="116"/>
      <c r="G640" s="116"/>
      <c r="H640" s="116"/>
      <c r="I640" s="116"/>
      <c r="J640" s="116"/>
      <c r="K640" s="116"/>
      <c r="L640" s="116"/>
      <c r="M640" s="117"/>
    </row>
    <row r="641" spans="1:13" ht="16.5" customHeight="1">
      <c r="A641" s="90" t="s">
        <v>28</v>
      </c>
      <c r="B641" s="91"/>
      <c r="C641" s="91"/>
      <c r="D641" s="91"/>
      <c r="E641" s="91"/>
      <c r="F641" s="91"/>
      <c r="G641" s="91"/>
      <c r="H641" s="91"/>
      <c r="I641" s="91"/>
      <c r="J641" s="91"/>
      <c r="K641" s="91"/>
      <c r="L641" s="91"/>
      <c r="M641" s="92"/>
    </row>
    <row r="642" spans="1:13" ht="16.5" customHeight="1">
      <c r="A642" s="106" t="s">
        <v>42</v>
      </c>
      <c r="B642" s="107"/>
      <c r="C642" s="107"/>
      <c r="D642" s="107"/>
      <c r="E642" s="107"/>
      <c r="F642" s="107"/>
      <c r="G642" s="107"/>
      <c r="H642" s="107"/>
      <c r="I642" s="107"/>
      <c r="J642" s="107"/>
      <c r="K642" s="107"/>
      <c r="L642" s="107"/>
      <c r="M642" s="108"/>
    </row>
    <row r="643" spans="1:13" ht="16.5" customHeight="1">
      <c r="A643" s="106" t="s">
        <v>43</v>
      </c>
      <c r="B643" s="107"/>
      <c r="C643" s="107"/>
      <c r="D643" s="107"/>
      <c r="E643" s="107"/>
      <c r="F643" s="107"/>
      <c r="G643" s="107"/>
      <c r="H643" s="107"/>
      <c r="I643" s="107"/>
      <c r="J643" s="107"/>
      <c r="K643" s="107"/>
      <c r="L643" s="107"/>
      <c r="M643" s="108"/>
    </row>
    <row r="644" spans="1:13" ht="16.5" customHeight="1">
      <c r="A644" s="106" t="s">
        <v>44</v>
      </c>
      <c r="B644" s="107"/>
      <c r="C644" s="107"/>
      <c r="D644" s="107"/>
      <c r="E644" s="107"/>
      <c r="F644" s="107"/>
      <c r="G644" s="107"/>
      <c r="H644" s="107"/>
      <c r="I644" s="107"/>
      <c r="J644" s="107"/>
      <c r="K644" s="107"/>
      <c r="L644" s="107"/>
      <c r="M644" s="108"/>
    </row>
    <row r="645" spans="1:13" ht="16.5" customHeight="1">
      <c r="A645" s="106" t="s">
        <v>45</v>
      </c>
      <c r="B645" s="107"/>
      <c r="C645" s="107"/>
      <c r="D645" s="107"/>
      <c r="E645" s="107"/>
      <c r="F645" s="107"/>
      <c r="G645" s="107"/>
      <c r="H645" s="107"/>
      <c r="I645" s="107"/>
      <c r="J645" s="107"/>
      <c r="K645" s="107"/>
      <c r="L645" s="107"/>
      <c r="M645" s="108"/>
    </row>
    <row r="646" spans="1:13" ht="16.5" customHeight="1">
      <c r="A646" s="106" t="s">
        <v>29</v>
      </c>
      <c r="B646" s="107"/>
      <c r="C646" s="107"/>
      <c r="D646" s="107"/>
      <c r="E646" s="107"/>
      <c r="F646" s="107"/>
      <c r="G646" s="107"/>
      <c r="H646" s="107"/>
      <c r="I646" s="107"/>
      <c r="J646" s="107"/>
      <c r="K646" s="107"/>
      <c r="L646" s="107"/>
      <c r="M646" s="108"/>
    </row>
    <row r="647" spans="1:13" ht="6.75" customHeight="1" thickBot="1">
      <c r="A647" s="109"/>
      <c r="B647" s="110"/>
      <c r="C647" s="110"/>
      <c r="D647" s="110"/>
      <c r="E647" s="110"/>
      <c r="F647" s="110"/>
      <c r="G647" s="110"/>
      <c r="H647" s="110"/>
      <c r="I647" s="110"/>
      <c r="J647" s="110"/>
      <c r="K647" s="110"/>
      <c r="L647" s="110"/>
      <c r="M647" s="111"/>
    </row>
    <row r="648" spans="1:13" ht="18.75" customHeight="1" thickBot="1">
      <c r="A648" s="72" t="s">
        <v>30</v>
      </c>
      <c r="B648" s="73"/>
      <c r="C648" s="73"/>
      <c r="D648" s="73"/>
      <c r="E648" s="73"/>
      <c r="F648" s="73"/>
      <c r="G648" s="73"/>
      <c r="H648" s="73"/>
      <c r="I648" s="73"/>
      <c r="J648" s="73"/>
      <c r="K648" s="73"/>
      <c r="L648" s="73"/>
      <c r="M648" s="74"/>
    </row>
    <row r="649" spans="1:13" ht="24" customHeight="1" thickBot="1">
      <c r="A649" s="72" t="s">
        <v>31</v>
      </c>
      <c r="B649" s="73"/>
      <c r="C649" s="73"/>
      <c r="D649" s="73"/>
      <c r="E649" s="73"/>
      <c r="F649" s="73"/>
      <c r="G649" s="73"/>
      <c r="H649" s="73"/>
      <c r="I649" s="73"/>
      <c r="J649" s="73"/>
      <c r="K649" s="73"/>
      <c r="L649" s="73"/>
      <c r="M649" s="74"/>
    </row>
    <row r="650" spans="1:13" ht="31.5" customHeight="1" thickBot="1">
      <c r="A650" s="72" t="s">
        <v>74</v>
      </c>
      <c r="B650" s="73"/>
      <c r="C650" s="73"/>
      <c r="D650" s="73"/>
      <c r="E650" s="73"/>
      <c r="F650" s="73"/>
      <c r="G650" s="73"/>
      <c r="H650" s="73"/>
      <c r="I650" s="73"/>
      <c r="J650" s="73"/>
      <c r="K650" s="73"/>
      <c r="L650" s="73"/>
      <c r="M650" s="74"/>
    </row>
    <row r="651" spans="1:13" ht="24" customHeight="1" thickBot="1">
      <c r="A651" s="60" t="s">
        <v>46</v>
      </c>
      <c r="B651" s="61"/>
      <c r="C651" s="61"/>
      <c r="D651" s="61"/>
      <c r="E651" s="61"/>
      <c r="F651" s="61"/>
      <c r="G651" s="61"/>
      <c r="H651" s="61"/>
      <c r="I651" s="61"/>
      <c r="J651" s="61"/>
      <c r="K651" s="61"/>
      <c r="L651" s="61"/>
      <c r="M651" s="62"/>
    </row>
    <row r="652" spans="1:13" ht="11.1" customHeight="1">
      <c r="A652" s="103" t="s">
        <v>47</v>
      </c>
      <c r="B652" s="103"/>
      <c r="C652" s="103"/>
      <c r="D652" s="103"/>
      <c r="E652" s="103"/>
      <c r="F652" s="103"/>
      <c r="G652" s="103"/>
      <c r="H652" s="103"/>
      <c r="I652" s="103"/>
      <c r="J652" s="103"/>
      <c r="K652" s="103"/>
      <c r="L652" s="103"/>
      <c r="M652" s="103"/>
    </row>
    <row r="653" spans="1:13" ht="11.1" customHeight="1">
      <c r="A653" s="104" t="s">
        <v>48</v>
      </c>
      <c r="B653" s="104"/>
      <c r="C653" s="104"/>
      <c r="D653" s="104"/>
      <c r="E653" s="104"/>
      <c r="F653" s="104"/>
      <c r="G653" s="104"/>
      <c r="H653" s="104"/>
      <c r="I653" s="104"/>
      <c r="J653" s="104"/>
      <c r="K653" s="104"/>
      <c r="L653" s="104"/>
      <c r="M653" s="104"/>
    </row>
    <row r="654" spans="1:13" ht="11.1" customHeight="1">
      <c r="A654" s="105" t="s">
        <v>49</v>
      </c>
      <c r="B654" s="105"/>
      <c r="C654" s="105"/>
      <c r="D654" s="105"/>
      <c r="E654" s="105"/>
      <c r="F654" s="105"/>
      <c r="G654" s="105"/>
      <c r="H654" s="105"/>
      <c r="I654" s="105"/>
      <c r="J654" s="105"/>
      <c r="K654" s="105"/>
      <c r="L654" s="105"/>
      <c r="M654" s="105"/>
    </row>
    <row r="655" spans="1:13" ht="11.1" customHeight="1">
      <c r="A655" s="105" t="s">
        <v>50</v>
      </c>
      <c r="B655" s="105"/>
      <c r="C655" s="105"/>
      <c r="D655" s="105"/>
      <c r="E655" s="105"/>
      <c r="F655" s="105"/>
      <c r="G655" s="105"/>
      <c r="H655" s="105"/>
      <c r="I655" s="105"/>
      <c r="J655" s="105"/>
      <c r="K655" s="105"/>
      <c r="L655" s="105"/>
      <c r="M655" s="105"/>
    </row>
    <row r="656" spans="1:13" ht="11.1" customHeight="1">
      <c r="A656" s="104" t="s">
        <v>51</v>
      </c>
      <c r="B656" s="104"/>
      <c r="C656" s="104"/>
      <c r="D656" s="104"/>
      <c r="E656" s="104"/>
      <c r="F656" s="104"/>
      <c r="G656" s="104"/>
      <c r="H656" s="104"/>
      <c r="I656" s="104"/>
      <c r="J656" s="104"/>
      <c r="K656" s="104"/>
      <c r="L656" s="104"/>
      <c r="M656" s="104"/>
    </row>
    <row r="657" spans="1:15" ht="11.1" customHeight="1">
      <c r="A657" s="104" t="s">
        <v>52</v>
      </c>
      <c r="B657" s="104"/>
      <c r="C657" s="104"/>
      <c r="D657" s="104"/>
      <c r="E657" s="104"/>
      <c r="F657" s="104"/>
      <c r="G657" s="104"/>
      <c r="H657" s="104"/>
      <c r="I657" s="104"/>
      <c r="J657" s="104"/>
      <c r="K657" s="104"/>
      <c r="L657" s="104"/>
      <c r="M657" s="104"/>
    </row>
    <row r="658" spans="1:15" ht="11.1" customHeight="1">
      <c r="A658" s="104" t="s">
        <v>53</v>
      </c>
      <c r="B658" s="104"/>
      <c r="C658" s="104"/>
      <c r="D658" s="104"/>
      <c r="E658" s="104"/>
      <c r="F658" s="104"/>
      <c r="G658" s="104"/>
      <c r="H658" s="104"/>
      <c r="I658" s="104"/>
      <c r="J658" s="104"/>
      <c r="K658" s="104"/>
      <c r="L658" s="104"/>
      <c r="M658" s="104"/>
    </row>
    <row r="659" spans="1:15" ht="11.1" customHeight="1">
      <c r="A659" s="101" t="s">
        <v>54</v>
      </c>
      <c r="B659" s="101"/>
      <c r="C659" s="101"/>
      <c r="D659" s="101"/>
      <c r="E659" s="101"/>
      <c r="F659" s="101"/>
      <c r="G659" s="101"/>
      <c r="H659" s="101"/>
      <c r="I659" s="101"/>
      <c r="J659" s="101"/>
      <c r="K659" s="101"/>
      <c r="L659" s="101"/>
      <c r="M659" s="101"/>
    </row>
    <row r="660" spans="1:15" ht="11.1" customHeight="1">
      <c r="A660" s="101" t="s">
        <v>55</v>
      </c>
      <c r="B660" s="101"/>
      <c r="C660" s="101"/>
      <c r="D660" s="101"/>
      <c r="E660" s="101"/>
      <c r="F660" s="101"/>
      <c r="G660" s="101"/>
      <c r="H660" s="101"/>
      <c r="I660" s="101"/>
      <c r="J660" s="101"/>
      <c r="K660" s="101"/>
      <c r="L660" s="101"/>
      <c r="M660" s="101"/>
    </row>
    <row r="661" spans="1:15" ht="19.5" customHeight="1">
      <c r="A661" s="69" t="s">
        <v>0</v>
      </c>
      <c r="B661" s="69"/>
      <c r="C661" s="69"/>
      <c r="D661" s="69"/>
      <c r="E661" s="69"/>
      <c r="F661" s="69"/>
      <c r="G661" s="69"/>
      <c r="H661" s="69"/>
      <c r="I661" s="69"/>
      <c r="J661" s="69"/>
      <c r="K661" s="69"/>
      <c r="L661" s="69"/>
      <c r="M661" s="69"/>
    </row>
    <row r="662" spans="1:15" ht="20.100000000000001" customHeight="1">
      <c r="A662" s="4" t="s">
        <v>32</v>
      </c>
      <c r="B662" s="5">
        <f>+B618+1</f>
        <v>20</v>
      </c>
      <c r="C662" s="25"/>
      <c r="D662" s="25"/>
      <c r="E662" s="25"/>
      <c r="F662" s="25"/>
      <c r="G662" s="25"/>
      <c r="H662" s="25"/>
      <c r="I662" s="25"/>
      <c r="J662" s="25"/>
      <c r="K662" s="25"/>
      <c r="L662" s="25"/>
      <c r="M662" s="25"/>
    </row>
    <row r="663" spans="1:15" ht="24" customHeight="1" thickBot="1">
      <c r="A663" s="4" t="s">
        <v>33</v>
      </c>
      <c r="H663" s="70" t="s">
        <v>34</v>
      </c>
      <c r="I663" s="70"/>
      <c r="J663" s="70"/>
      <c r="K663" s="102">
        <f>+K619+1</f>
        <v>45946</v>
      </c>
      <c r="L663" s="102"/>
      <c r="M663" s="102"/>
      <c r="O663" s="7"/>
    </row>
    <row r="664" spans="1:15" ht="33.75" customHeight="1" thickBot="1">
      <c r="A664" s="80" t="s">
        <v>1</v>
      </c>
      <c r="B664" s="81"/>
      <c r="C664" s="82"/>
      <c r="D664" s="86" t="str">
        <f>+D620</f>
        <v>光明國中B與C區5樓老舊廁所整修工程</v>
      </c>
      <c r="E664" s="87"/>
      <c r="F664" s="87"/>
      <c r="G664" s="88"/>
      <c r="H664" s="80" t="s">
        <v>2</v>
      </c>
      <c r="I664" s="81"/>
      <c r="J664" s="82"/>
      <c r="K664" s="80" t="s">
        <v>35</v>
      </c>
      <c r="L664" s="81"/>
      <c r="M664" s="82"/>
    </row>
    <row r="665" spans="1:15" ht="33.75" customHeight="1" thickBot="1">
      <c r="A665" s="8" t="s">
        <v>3</v>
      </c>
      <c r="B665" s="26">
        <f>+B621+1</f>
        <v>141</v>
      </c>
      <c r="C665" s="10" t="s">
        <v>36</v>
      </c>
      <c r="D665" s="80" t="s">
        <v>4</v>
      </c>
      <c r="E665" s="89"/>
      <c r="F665" s="27">
        <f>+F621+1</f>
        <v>20</v>
      </c>
      <c r="G665" s="12" t="s">
        <v>36</v>
      </c>
      <c r="H665" s="13" t="s">
        <v>5</v>
      </c>
      <c r="I665" s="26">
        <f>+B665-F665</f>
        <v>121</v>
      </c>
      <c r="J665" s="10" t="s">
        <v>36</v>
      </c>
      <c r="K665" s="80" t="s">
        <v>6</v>
      </c>
      <c r="L665" s="82"/>
      <c r="M665" s="13">
        <v>11</v>
      </c>
    </row>
    <row r="666" spans="1:15" ht="24" customHeight="1" thickBot="1">
      <c r="A666" s="80" t="s">
        <v>7</v>
      </c>
      <c r="B666" s="81"/>
      <c r="C666" s="82"/>
      <c r="D666" s="80" t="str">
        <f>+D622</f>
        <v>114.9.27</v>
      </c>
      <c r="E666" s="81"/>
      <c r="F666" s="81"/>
      <c r="G666" s="82"/>
      <c r="H666" s="80" t="s">
        <v>8</v>
      </c>
      <c r="I666" s="81"/>
      <c r="J666" s="82"/>
      <c r="K666" s="80" t="s">
        <v>90</v>
      </c>
      <c r="L666" s="81"/>
      <c r="M666" s="82"/>
    </row>
    <row r="667" spans="1:15" ht="24" customHeight="1" thickBot="1">
      <c r="A667" s="80" t="s">
        <v>37</v>
      </c>
      <c r="B667" s="81"/>
      <c r="C667" s="82"/>
      <c r="D667" s="83">
        <v>4.8000000000000001E-2</v>
      </c>
      <c r="E667" s="84"/>
      <c r="F667" s="84"/>
      <c r="G667" s="85"/>
      <c r="H667" s="80" t="s">
        <v>38</v>
      </c>
      <c r="I667" s="81"/>
      <c r="J667" s="82"/>
      <c r="K667" s="83">
        <f>+K623</f>
        <v>0.10199999999999999</v>
      </c>
      <c r="L667" s="84"/>
      <c r="M667" s="85"/>
    </row>
    <row r="668" spans="1:15" ht="24" customHeight="1" thickBot="1">
      <c r="A668" s="72" t="s">
        <v>9</v>
      </c>
      <c r="B668" s="73"/>
      <c r="C668" s="73"/>
      <c r="D668" s="73"/>
      <c r="E668" s="73"/>
      <c r="F668" s="73"/>
      <c r="G668" s="73"/>
      <c r="H668" s="73"/>
      <c r="I668" s="73"/>
      <c r="J668" s="73"/>
      <c r="K668" s="73"/>
      <c r="L668" s="73"/>
      <c r="M668" s="74"/>
    </row>
    <row r="669" spans="1:15" ht="35.25" customHeight="1" thickBot="1">
      <c r="A669" s="75" t="s">
        <v>10</v>
      </c>
      <c r="B669" s="76"/>
      <c r="C669" s="76"/>
      <c r="D669" s="77"/>
      <c r="E669" s="14" t="s">
        <v>11</v>
      </c>
      <c r="F669" s="75" t="s">
        <v>12</v>
      </c>
      <c r="G669" s="77"/>
      <c r="H669" s="75" t="s">
        <v>13</v>
      </c>
      <c r="I669" s="77"/>
      <c r="J669" s="78" t="s">
        <v>14</v>
      </c>
      <c r="K669" s="79"/>
      <c r="L669" s="75" t="s">
        <v>15</v>
      </c>
      <c r="M669" s="77"/>
    </row>
    <row r="670" spans="1:15" ht="27.95" customHeight="1" thickBot="1">
      <c r="A670" s="141"/>
      <c r="B670" s="142"/>
      <c r="C670" s="142"/>
      <c r="D670" s="143"/>
      <c r="E670" s="2"/>
      <c r="F670" s="56"/>
      <c r="G670" s="57"/>
      <c r="H670" s="56"/>
      <c r="I670" s="57"/>
      <c r="J670" s="56"/>
      <c r="K670" s="57"/>
      <c r="L670" s="58"/>
      <c r="M670" s="59"/>
    </row>
    <row r="671" spans="1:15" ht="27.95" customHeight="1" thickBot="1">
      <c r="A671" s="141"/>
      <c r="B671" s="142"/>
      <c r="C671" s="142"/>
      <c r="D671" s="143"/>
      <c r="E671" s="15"/>
      <c r="F671" s="56"/>
      <c r="G671" s="57"/>
      <c r="H671" s="56"/>
      <c r="I671" s="57"/>
      <c r="J671" s="56"/>
      <c r="K671" s="57"/>
      <c r="L671" s="58"/>
      <c r="M671" s="59"/>
    </row>
    <row r="672" spans="1:15" ht="24.95" customHeight="1" thickTop="1" thickBot="1">
      <c r="A672" s="130" t="s">
        <v>16</v>
      </c>
      <c r="B672" s="67"/>
      <c r="C672" s="67"/>
      <c r="D672" s="68"/>
      <c r="E672" s="28"/>
      <c r="F672" s="131"/>
      <c r="G672" s="132"/>
      <c r="H672" s="131"/>
      <c r="I672" s="132"/>
      <c r="J672" s="131"/>
      <c r="K672" s="132"/>
      <c r="L672" s="131"/>
      <c r="M672" s="133"/>
    </row>
    <row r="673" spans="1:13" ht="24.95" customHeight="1" thickBot="1">
      <c r="A673" s="134" t="s">
        <v>17</v>
      </c>
      <c r="B673" s="135"/>
      <c r="C673" s="135"/>
      <c r="D673" s="59"/>
      <c r="E673" s="28"/>
      <c r="F673" s="58"/>
      <c r="G673" s="59"/>
      <c r="H673" s="58"/>
      <c r="I673" s="59"/>
      <c r="J673" s="58"/>
      <c r="K673" s="59"/>
      <c r="L673" s="58"/>
      <c r="M673" s="136"/>
    </row>
    <row r="674" spans="1:13" ht="24.95" customHeight="1" thickBot="1">
      <c r="A674" s="118" t="s">
        <v>18</v>
      </c>
      <c r="B674" s="119"/>
      <c r="C674" s="119"/>
      <c r="D674" s="120"/>
      <c r="E674" s="24"/>
      <c r="F674" s="121"/>
      <c r="G674" s="120"/>
      <c r="H674" s="121"/>
      <c r="I674" s="120"/>
      <c r="J674" s="121"/>
      <c r="K674" s="120"/>
      <c r="L674" s="121"/>
      <c r="M674" s="122"/>
    </row>
    <row r="675" spans="1:13" ht="24" customHeight="1" thickTop="1" thickBot="1">
      <c r="A675" s="66" t="s">
        <v>19</v>
      </c>
      <c r="B675" s="67"/>
      <c r="C675" s="67"/>
      <c r="D675" s="67"/>
      <c r="E675" s="67"/>
      <c r="F675" s="67"/>
      <c r="G675" s="67"/>
      <c r="H675" s="67"/>
      <c r="I675" s="67"/>
      <c r="J675" s="67"/>
      <c r="K675" s="67"/>
      <c r="L675" s="67"/>
      <c r="M675" s="68"/>
    </row>
    <row r="676" spans="1:13" ht="35.25" customHeight="1" thickBot="1">
      <c r="A676" s="75" t="s">
        <v>20</v>
      </c>
      <c r="B676" s="76"/>
      <c r="C676" s="76"/>
      <c r="D676" s="77"/>
      <c r="E676" s="14" t="s">
        <v>11</v>
      </c>
      <c r="F676" s="75" t="s">
        <v>39</v>
      </c>
      <c r="G676" s="77"/>
      <c r="H676" s="75" t="s">
        <v>21</v>
      </c>
      <c r="I676" s="77"/>
      <c r="J676" s="78" t="s">
        <v>22</v>
      </c>
      <c r="K676" s="79"/>
      <c r="L676" s="75" t="s">
        <v>15</v>
      </c>
      <c r="M676" s="77"/>
    </row>
    <row r="677" spans="1:13" ht="24" customHeight="1" thickBot="1">
      <c r="A677" s="96"/>
      <c r="B677" s="97"/>
      <c r="C677" s="97"/>
      <c r="D677" s="98"/>
      <c r="E677" s="28"/>
      <c r="F677" s="58"/>
      <c r="G677" s="59"/>
      <c r="H677" s="58"/>
      <c r="I677" s="59"/>
      <c r="J677" s="56"/>
      <c r="K677" s="57"/>
      <c r="L677" s="58"/>
      <c r="M677" s="59"/>
    </row>
    <row r="678" spans="1:13" ht="24" customHeight="1" thickBot="1">
      <c r="A678" s="96"/>
      <c r="B678" s="97"/>
      <c r="C678" s="97"/>
      <c r="D678" s="98"/>
      <c r="E678" s="28"/>
      <c r="F678" s="58"/>
      <c r="G678" s="59"/>
      <c r="H678" s="58"/>
      <c r="I678" s="59"/>
      <c r="J678" s="56"/>
      <c r="K678" s="57"/>
      <c r="L678" s="58"/>
      <c r="M678" s="59"/>
    </row>
    <row r="679" spans="1:13" ht="24" customHeight="1" thickBot="1">
      <c r="A679" s="60" t="s">
        <v>23</v>
      </c>
      <c r="B679" s="61"/>
      <c r="C679" s="61"/>
      <c r="D679" s="61"/>
      <c r="E679" s="61"/>
      <c r="F679" s="61"/>
      <c r="G679" s="61"/>
      <c r="H679" s="61"/>
      <c r="I679" s="61"/>
      <c r="J679" s="61"/>
      <c r="K679" s="61"/>
      <c r="L679" s="61"/>
      <c r="M679" s="62"/>
    </row>
    <row r="680" spans="1:13" ht="35.25" customHeight="1" thickBot="1">
      <c r="A680" s="75" t="s">
        <v>24</v>
      </c>
      <c r="B680" s="77"/>
      <c r="C680" s="75" t="s">
        <v>25</v>
      </c>
      <c r="D680" s="77"/>
      <c r="E680" s="75" t="s">
        <v>26</v>
      </c>
      <c r="F680" s="76"/>
      <c r="G680" s="77"/>
      <c r="H680" s="75" t="s">
        <v>27</v>
      </c>
      <c r="I680" s="77"/>
      <c r="J680" s="78" t="s">
        <v>21</v>
      </c>
      <c r="K680" s="79"/>
      <c r="L680" s="75" t="s">
        <v>22</v>
      </c>
      <c r="M680" s="77"/>
    </row>
    <row r="681" spans="1:13" s="18" customFormat="1" ht="24.75" customHeight="1" thickBot="1">
      <c r="A681" s="99"/>
      <c r="B681" s="98"/>
      <c r="C681" s="56"/>
      <c r="D681" s="57"/>
      <c r="E681" s="56"/>
      <c r="F681" s="100"/>
      <c r="G681" s="57"/>
      <c r="H681" s="56"/>
      <c r="I681" s="57"/>
      <c r="J681" s="56"/>
      <c r="K681" s="57"/>
      <c r="L681" s="56"/>
      <c r="M681" s="57"/>
    </row>
    <row r="682" spans="1:13" s="18" customFormat="1" ht="24.75" customHeight="1" thickBot="1">
      <c r="A682" s="99"/>
      <c r="B682" s="98"/>
      <c r="C682" s="56"/>
      <c r="D682" s="57"/>
      <c r="E682" s="56"/>
      <c r="F682" s="100"/>
      <c r="G682" s="57"/>
      <c r="H682" s="56"/>
      <c r="I682" s="57"/>
      <c r="J682" s="56"/>
      <c r="K682" s="57"/>
      <c r="L682" s="56"/>
      <c r="M682" s="57"/>
    </row>
    <row r="683" spans="1:13" ht="33" customHeight="1" thickBot="1">
      <c r="A683" s="112" t="s">
        <v>60</v>
      </c>
      <c r="B683" s="113"/>
      <c r="C683" s="113"/>
      <c r="D683" s="113"/>
      <c r="E683" s="113"/>
      <c r="F683" s="113"/>
      <c r="G683" s="113"/>
      <c r="H683" s="113"/>
      <c r="I683" s="113"/>
      <c r="J683" s="113"/>
      <c r="K683" s="113"/>
      <c r="L683" s="113"/>
      <c r="M683" s="114"/>
    </row>
    <row r="684" spans="1:13" ht="16.5" customHeight="1">
      <c r="A684" s="115" t="s">
        <v>41</v>
      </c>
      <c r="B684" s="116"/>
      <c r="C684" s="116"/>
      <c r="D684" s="116"/>
      <c r="E684" s="116"/>
      <c r="F684" s="116"/>
      <c r="G684" s="116"/>
      <c r="H684" s="116"/>
      <c r="I684" s="116"/>
      <c r="J684" s="116"/>
      <c r="K684" s="116"/>
      <c r="L684" s="116"/>
      <c r="M684" s="117"/>
    </row>
    <row r="685" spans="1:13" ht="16.5" customHeight="1">
      <c r="A685" s="90" t="s">
        <v>28</v>
      </c>
      <c r="B685" s="91"/>
      <c r="C685" s="91"/>
      <c r="D685" s="91"/>
      <c r="E685" s="91"/>
      <c r="F685" s="91"/>
      <c r="G685" s="91"/>
      <c r="H685" s="91"/>
      <c r="I685" s="91"/>
      <c r="J685" s="91"/>
      <c r="K685" s="91"/>
      <c r="L685" s="91"/>
      <c r="M685" s="92"/>
    </row>
    <row r="686" spans="1:13" ht="16.5" customHeight="1">
      <c r="A686" s="106" t="s">
        <v>42</v>
      </c>
      <c r="B686" s="107"/>
      <c r="C686" s="107"/>
      <c r="D686" s="107"/>
      <c r="E686" s="107"/>
      <c r="F686" s="107"/>
      <c r="G686" s="107"/>
      <c r="H686" s="107"/>
      <c r="I686" s="107"/>
      <c r="J686" s="107"/>
      <c r="K686" s="107"/>
      <c r="L686" s="107"/>
      <c r="M686" s="108"/>
    </row>
    <row r="687" spans="1:13" ht="16.5" customHeight="1">
      <c r="A687" s="106" t="s">
        <v>43</v>
      </c>
      <c r="B687" s="107"/>
      <c r="C687" s="107"/>
      <c r="D687" s="107"/>
      <c r="E687" s="107"/>
      <c r="F687" s="107"/>
      <c r="G687" s="107"/>
      <c r="H687" s="107"/>
      <c r="I687" s="107"/>
      <c r="J687" s="107"/>
      <c r="K687" s="107"/>
      <c r="L687" s="107"/>
      <c r="M687" s="108"/>
    </row>
    <row r="688" spans="1:13" ht="16.5" customHeight="1">
      <c r="A688" s="106" t="s">
        <v>44</v>
      </c>
      <c r="B688" s="107"/>
      <c r="C688" s="107"/>
      <c r="D688" s="107"/>
      <c r="E688" s="107"/>
      <c r="F688" s="107"/>
      <c r="G688" s="107"/>
      <c r="H688" s="107"/>
      <c r="I688" s="107"/>
      <c r="J688" s="107"/>
      <c r="K688" s="107"/>
      <c r="L688" s="107"/>
      <c r="M688" s="108"/>
    </row>
    <row r="689" spans="1:13" ht="16.5" customHeight="1">
      <c r="A689" s="106" t="s">
        <v>45</v>
      </c>
      <c r="B689" s="107"/>
      <c r="C689" s="107"/>
      <c r="D689" s="107"/>
      <c r="E689" s="107"/>
      <c r="F689" s="107"/>
      <c r="G689" s="107"/>
      <c r="H689" s="107"/>
      <c r="I689" s="107"/>
      <c r="J689" s="107"/>
      <c r="K689" s="107"/>
      <c r="L689" s="107"/>
      <c r="M689" s="108"/>
    </row>
    <row r="690" spans="1:13" ht="16.5" customHeight="1">
      <c r="A690" s="106" t="s">
        <v>29</v>
      </c>
      <c r="B690" s="107"/>
      <c r="C690" s="107"/>
      <c r="D690" s="107"/>
      <c r="E690" s="107"/>
      <c r="F690" s="107"/>
      <c r="G690" s="107"/>
      <c r="H690" s="107"/>
      <c r="I690" s="107"/>
      <c r="J690" s="107"/>
      <c r="K690" s="107"/>
      <c r="L690" s="107"/>
      <c r="M690" s="108"/>
    </row>
    <row r="691" spans="1:13" ht="6" customHeight="1" thickBot="1">
      <c r="A691" s="109"/>
      <c r="B691" s="110"/>
      <c r="C691" s="110"/>
      <c r="D691" s="110"/>
      <c r="E691" s="110"/>
      <c r="F691" s="110"/>
      <c r="G691" s="110"/>
      <c r="H691" s="110"/>
      <c r="I691" s="110"/>
      <c r="J691" s="110"/>
      <c r="K691" s="110"/>
      <c r="L691" s="110"/>
      <c r="M691" s="111"/>
    </row>
    <row r="692" spans="1:13" ht="18.75" customHeight="1" thickBot="1">
      <c r="A692" s="72" t="s">
        <v>30</v>
      </c>
      <c r="B692" s="73"/>
      <c r="C692" s="73"/>
      <c r="D692" s="73"/>
      <c r="E692" s="73"/>
      <c r="F692" s="73"/>
      <c r="G692" s="73"/>
      <c r="H692" s="73"/>
      <c r="I692" s="73"/>
      <c r="J692" s="73"/>
      <c r="K692" s="73"/>
      <c r="L692" s="73"/>
      <c r="M692" s="74"/>
    </row>
    <row r="693" spans="1:13" ht="24" customHeight="1" thickBot="1">
      <c r="A693" s="72" t="s">
        <v>31</v>
      </c>
      <c r="B693" s="73"/>
      <c r="C693" s="73"/>
      <c r="D693" s="73"/>
      <c r="E693" s="73"/>
      <c r="F693" s="73"/>
      <c r="G693" s="73"/>
      <c r="H693" s="73"/>
      <c r="I693" s="73"/>
      <c r="J693" s="73"/>
      <c r="K693" s="73"/>
      <c r="L693" s="73"/>
      <c r="M693" s="74"/>
    </row>
    <row r="694" spans="1:13" ht="31.5" customHeight="1" thickBot="1">
      <c r="A694" s="72" t="s">
        <v>74</v>
      </c>
      <c r="B694" s="73"/>
      <c r="C694" s="73"/>
      <c r="D694" s="73"/>
      <c r="E694" s="73"/>
      <c r="F694" s="73"/>
      <c r="G694" s="73"/>
      <c r="H694" s="73"/>
      <c r="I694" s="73"/>
      <c r="J694" s="73"/>
      <c r="K694" s="73"/>
      <c r="L694" s="73"/>
      <c r="M694" s="74"/>
    </row>
    <row r="695" spans="1:13" ht="24" customHeight="1" thickBot="1">
      <c r="A695" s="60" t="s">
        <v>46</v>
      </c>
      <c r="B695" s="61"/>
      <c r="C695" s="61"/>
      <c r="D695" s="61"/>
      <c r="E695" s="61"/>
      <c r="F695" s="61"/>
      <c r="G695" s="61"/>
      <c r="H695" s="61"/>
      <c r="I695" s="61"/>
      <c r="J695" s="61"/>
      <c r="K695" s="61"/>
      <c r="L695" s="61"/>
      <c r="M695" s="62"/>
    </row>
    <row r="696" spans="1:13" ht="11.1" customHeight="1">
      <c r="A696" s="103" t="s">
        <v>47</v>
      </c>
      <c r="B696" s="103"/>
      <c r="C696" s="103"/>
      <c r="D696" s="103"/>
      <c r="E696" s="103"/>
      <c r="F696" s="103"/>
      <c r="G696" s="103"/>
      <c r="H696" s="103"/>
      <c r="I696" s="103"/>
      <c r="J696" s="103"/>
      <c r="K696" s="103"/>
      <c r="L696" s="103"/>
      <c r="M696" s="103"/>
    </row>
    <row r="697" spans="1:13" ht="11.1" customHeight="1">
      <c r="A697" s="104" t="s">
        <v>48</v>
      </c>
      <c r="B697" s="104"/>
      <c r="C697" s="104"/>
      <c r="D697" s="104"/>
      <c r="E697" s="104"/>
      <c r="F697" s="104"/>
      <c r="G697" s="104"/>
      <c r="H697" s="104"/>
      <c r="I697" s="104"/>
      <c r="J697" s="104"/>
      <c r="K697" s="104"/>
      <c r="L697" s="104"/>
      <c r="M697" s="104"/>
    </row>
    <row r="698" spans="1:13" ht="11.1" customHeight="1">
      <c r="A698" s="105" t="s">
        <v>49</v>
      </c>
      <c r="B698" s="105"/>
      <c r="C698" s="105"/>
      <c r="D698" s="105"/>
      <c r="E698" s="105"/>
      <c r="F698" s="105"/>
      <c r="G698" s="105"/>
      <c r="H698" s="105"/>
      <c r="I698" s="105"/>
      <c r="J698" s="105"/>
      <c r="K698" s="105"/>
      <c r="L698" s="105"/>
      <c r="M698" s="105"/>
    </row>
    <row r="699" spans="1:13" ht="11.1" customHeight="1">
      <c r="A699" s="105" t="s">
        <v>50</v>
      </c>
      <c r="B699" s="105"/>
      <c r="C699" s="105"/>
      <c r="D699" s="105"/>
      <c r="E699" s="105"/>
      <c r="F699" s="105"/>
      <c r="G699" s="105"/>
      <c r="H699" s="105"/>
      <c r="I699" s="105"/>
      <c r="J699" s="105"/>
      <c r="K699" s="105"/>
      <c r="L699" s="105"/>
      <c r="M699" s="105"/>
    </row>
    <row r="700" spans="1:13" ht="11.1" customHeight="1">
      <c r="A700" s="104" t="s">
        <v>51</v>
      </c>
      <c r="B700" s="104"/>
      <c r="C700" s="104"/>
      <c r="D700" s="104"/>
      <c r="E700" s="104"/>
      <c r="F700" s="104"/>
      <c r="G700" s="104"/>
      <c r="H700" s="104"/>
      <c r="I700" s="104"/>
      <c r="J700" s="104"/>
      <c r="K700" s="104"/>
      <c r="L700" s="104"/>
      <c r="M700" s="104"/>
    </row>
    <row r="701" spans="1:13" ht="11.1" customHeight="1">
      <c r="A701" s="104" t="s">
        <v>52</v>
      </c>
      <c r="B701" s="104"/>
      <c r="C701" s="104"/>
      <c r="D701" s="104"/>
      <c r="E701" s="104"/>
      <c r="F701" s="104"/>
      <c r="G701" s="104"/>
      <c r="H701" s="104"/>
      <c r="I701" s="104"/>
      <c r="J701" s="104"/>
      <c r="K701" s="104"/>
      <c r="L701" s="104"/>
      <c r="M701" s="104"/>
    </row>
    <row r="702" spans="1:13" ht="11.1" customHeight="1">
      <c r="A702" s="104" t="s">
        <v>53</v>
      </c>
      <c r="B702" s="104"/>
      <c r="C702" s="104"/>
      <c r="D702" s="104"/>
      <c r="E702" s="104"/>
      <c r="F702" s="104"/>
      <c r="G702" s="104"/>
      <c r="H702" s="104"/>
      <c r="I702" s="104"/>
      <c r="J702" s="104"/>
      <c r="K702" s="104"/>
      <c r="L702" s="104"/>
      <c r="M702" s="104"/>
    </row>
    <row r="703" spans="1:13" ht="11.1" customHeight="1">
      <c r="A703" s="101" t="s">
        <v>54</v>
      </c>
      <c r="B703" s="101"/>
      <c r="C703" s="101"/>
      <c r="D703" s="101"/>
      <c r="E703" s="101"/>
      <c r="F703" s="101"/>
      <c r="G703" s="101"/>
      <c r="H703" s="101"/>
      <c r="I703" s="101"/>
      <c r="J703" s="101"/>
      <c r="K703" s="101"/>
      <c r="L703" s="101"/>
      <c r="M703" s="101"/>
    </row>
    <row r="704" spans="1:13" ht="11.1" customHeight="1">
      <c r="A704" s="101" t="s">
        <v>55</v>
      </c>
      <c r="B704" s="101"/>
      <c r="C704" s="101"/>
      <c r="D704" s="101"/>
      <c r="E704" s="101"/>
      <c r="F704" s="101"/>
      <c r="G704" s="101"/>
      <c r="H704" s="101"/>
      <c r="I704" s="101"/>
      <c r="J704" s="101"/>
      <c r="K704" s="101"/>
      <c r="L704" s="101"/>
      <c r="M704" s="101"/>
    </row>
    <row r="705" spans="1:15" ht="19.5" customHeight="1">
      <c r="A705" s="69" t="s">
        <v>0</v>
      </c>
      <c r="B705" s="69"/>
      <c r="C705" s="69"/>
      <c r="D705" s="69"/>
      <c r="E705" s="69"/>
      <c r="F705" s="69"/>
      <c r="G705" s="69"/>
      <c r="H705" s="69"/>
      <c r="I705" s="69"/>
      <c r="J705" s="69"/>
      <c r="K705" s="69"/>
      <c r="L705" s="69"/>
      <c r="M705" s="69"/>
    </row>
    <row r="706" spans="1:15" ht="20.100000000000001" customHeight="1">
      <c r="A706" s="4" t="s">
        <v>32</v>
      </c>
      <c r="B706" s="5">
        <f>+B662+1</f>
        <v>21</v>
      </c>
      <c r="C706" s="25"/>
      <c r="D706" s="25"/>
      <c r="E706" s="25"/>
      <c r="F706" s="25"/>
      <c r="G706" s="25"/>
      <c r="H706" s="25"/>
      <c r="I706" s="25"/>
      <c r="J706" s="25"/>
      <c r="K706" s="25"/>
      <c r="L706" s="25"/>
      <c r="M706" s="25"/>
    </row>
    <row r="707" spans="1:15" ht="24" customHeight="1" thickBot="1">
      <c r="A707" s="4" t="s">
        <v>33</v>
      </c>
      <c r="H707" s="70" t="s">
        <v>34</v>
      </c>
      <c r="I707" s="70"/>
      <c r="J707" s="70"/>
      <c r="K707" s="102">
        <f>+K663+1</f>
        <v>45947</v>
      </c>
      <c r="L707" s="102"/>
      <c r="M707" s="102"/>
      <c r="O707" s="7"/>
    </row>
    <row r="708" spans="1:15" ht="33.75" customHeight="1" thickBot="1">
      <c r="A708" s="80" t="s">
        <v>1</v>
      </c>
      <c r="B708" s="81"/>
      <c r="C708" s="82"/>
      <c r="D708" s="86" t="str">
        <f>+D664</f>
        <v>光明國中B與C區5樓老舊廁所整修工程</v>
      </c>
      <c r="E708" s="87"/>
      <c r="F708" s="87"/>
      <c r="G708" s="88"/>
      <c r="H708" s="80" t="s">
        <v>2</v>
      </c>
      <c r="I708" s="81"/>
      <c r="J708" s="82"/>
      <c r="K708" s="80" t="s">
        <v>35</v>
      </c>
      <c r="L708" s="81"/>
      <c r="M708" s="82"/>
    </row>
    <row r="709" spans="1:15" ht="33.75" customHeight="1" thickBot="1">
      <c r="A709" s="8" t="s">
        <v>3</v>
      </c>
      <c r="B709" s="26">
        <f>+B665+1</f>
        <v>142</v>
      </c>
      <c r="C709" s="10" t="s">
        <v>36</v>
      </c>
      <c r="D709" s="80" t="s">
        <v>4</v>
      </c>
      <c r="E709" s="89"/>
      <c r="F709" s="27">
        <f>+F665+1</f>
        <v>21</v>
      </c>
      <c r="G709" s="12" t="s">
        <v>36</v>
      </c>
      <c r="H709" s="13" t="s">
        <v>5</v>
      </c>
      <c r="I709" s="26">
        <f>+B709-F709</f>
        <v>121</v>
      </c>
      <c r="J709" s="10" t="s">
        <v>36</v>
      </c>
      <c r="K709" s="80" t="s">
        <v>6</v>
      </c>
      <c r="L709" s="82"/>
      <c r="M709" s="13">
        <v>12</v>
      </c>
    </row>
    <row r="710" spans="1:15" ht="24" customHeight="1" thickBot="1">
      <c r="A710" s="80" t="s">
        <v>7</v>
      </c>
      <c r="B710" s="81"/>
      <c r="C710" s="82"/>
      <c r="D710" s="80" t="str">
        <f>+D666</f>
        <v>114.9.27</v>
      </c>
      <c r="E710" s="81"/>
      <c r="F710" s="81"/>
      <c r="G710" s="82"/>
      <c r="H710" s="80" t="s">
        <v>8</v>
      </c>
      <c r="I710" s="81"/>
      <c r="J710" s="82"/>
      <c r="K710" s="80" t="s">
        <v>91</v>
      </c>
      <c r="L710" s="81"/>
      <c r="M710" s="82"/>
    </row>
    <row r="711" spans="1:15" ht="24" customHeight="1" thickBot="1">
      <c r="A711" s="80" t="s">
        <v>37</v>
      </c>
      <c r="B711" s="81"/>
      <c r="C711" s="82"/>
      <c r="D711" s="83">
        <v>0.05</v>
      </c>
      <c r="E711" s="84"/>
      <c r="F711" s="84"/>
      <c r="G711" s="85"/>
      <c r="H711" s="80" t="s">
        <v>38</v>
      </c>
      <c r="I711" s="81"/>
      <c r="J711" s="82"/>
      <c r="K711" s="83">
        <f>+K667</f>
        <v>0.10199999999999999</v>
      </c>
      <c r="L711" s="84"/>
      <c r="M711" s="85"/>
    </row>
    <row r="712" spans="1:15" ht="24" customHeight="1" thickBot="1">
      <c r="A712" s="72" t="s">
        <v>9</v>
      </c>
      <c r="B712" s="73"/>
      <c r="C712" s="73"/>
      <c r="D712" s="73"/>
      <c r="E712" s="73"/>
      <c r="F712" s="73"/>
      <c r="G712" s="73"/>
      <c r="H712" s="73"/>
      <c r="I712" s="73"/>
      <c r="J712" s="73"/>
      <c r="K712" s="73"/>
      <c r="L712" s="73"/>
      <c r="M712" s="74"/>
    </row>
    <row r="713" spans="1:15" ht="35.25" customHeight="1" thickBot="1">
      <c r="A713" s="75" t="s">
        <v>10</v>
      </c>
      <c r="B713" s="76"/>
      <c r="C713" s="76"/>
      <c r="D713" s="77"/>
      <c r="E713" s="14" t="s">
        <v>11</v>
      </c>
      <c r="F713" s="75" t="s">
        <v>12</v>
      </c>
      <c r="G713" s="77"/>
      <c r="H713" s="75" t="s">
        <v>13</v>
      </c>
      <c r="I713" s="77"/>
      <c r="J713" s="78" t="s">
        <v>14</v>
      </c>
      <c r="K713" s="79"/>
      <c r="L713" s="75" t="s">
        <v>15</v>
      </c>
      <c r="M713" s="77"/>
    </row>
    <row r="714" spans="1:15" ht="27.95" customHeight="1" thickBot="1">
      <c r="A714" s="141"/>
      <c r="B714" s="142"/>
      <c r="C714" s="142"/>
      <c r="D714" s="143"/>
      <c r="E714" s="2"/>
      <c r="F714" s="56"/>
      <c r="G714" s="57"/>
      <c r="H714" s="56"/>
      <c r="I714" s="57"/>
      <c r="J714" s="56"/>
      <c r="K714" s="57"/>
      <c r="L714" s="58"/>
      <c r="M714" s="59"/>
    </row>
    <row r="715" spans="1:15" ht="27.95" customHeight="1" thickBot="1">
      <c r="A715" s="141"/>
      <c r="B715" s="142"/>
      <c r="C715" s="142"/>
      <c r="D715" s="143"/>
      <c r="E715" s="15"/>
      <c r="F715" s="56"/>
      <c r="G715" s="57"/>
      <c r="H715" s="56"/>
      <c r="I715" s="57"/>
      <c r="J715" s="56"/>
      <c r="K715" s="57"/>
      <c r="L715" s="58"/>
      <c r="M715" s="59"/>
    </row>
    <row r="716" spans="1:15" ht="24.95" customHeight="1" thickTop="1" thickBot="1">
      <c r="A716" s="130" t="s">
        <v>16</v>
      </c>
      <c r="B716" s="67"/>
      <c r="C716" s="67"/>
      <c r="D716" s="68"/>
      <c r="E716" s="28"/>
      <c r="F716" s="131"/>
      <c r="G716" s="132"/>
      <c r="H716" s="131"/>
      <c r="I716" s="132"/>
      <c r="J716" s="131"/>
      <c r="K716" s="132"/>
      <c r="L716" s="131"/>
      <c r="M716" s="133"/>
    </row>
    <row r="717" spans="1:15" ht="24.95" customHeight="1" thickBot="1">
      <c r="A717" s="134" t="s">
        <v>17</v>
      </c>
      <c r="B717" s="135"/>
      <c r="C717" s="135"/>
      <c r="D717" s="59"/>
      <c r="E717" s="28"/>
      <c r="F717" s="58"/>
      <c r="G717" s="59"/>
      <c r="H717" s="58"/>
      <c r="I717" s="59"/>
      <c r="J717" s="58"/>
      <c r="K717" s="59"/>
      <c r="L717" s="58"/>
      <c r="M717" s="136"/>
    </row>
    <row r="718" spans="1:15" ht="24.95" customHeight="1" thickBot="1">
      <c r="A718" s="118" t="s">
        <v>18</v>
      </c>
      <c r="B718" s="119"/>
      <c r="C718" s="119"/>
      <c r="D718" s="120"/>
      <c r="E718" s="24"/>
      <c r="F718" s="121"/>
      <c r="G718" s="120"/>
      <c r="H718" s="121"/>
      <c r="I718" s="120"/>
      <c r="J718" s="121"/>
      <c r="K718" s="120"/>
      <c r="L718" s="121"/>
      <c r="M718" s="122"/>
    </row>
    <row r="719" spans="1:15" ht="24" customHeight="1" thickTop="1" thickBot="1">
      <c r="A719" s="66" t="s">
        <v>19</v>
      </c>
      <c r="B719" s="67"/>
      <c r="C719" s="67"/>
      <c r="D719" s="67"/>
      <c r="E719" s="67"/>
      <c r="F719" s="67"/>
      <c r="G719" s="67"/>
      <c r="H719" s="67"/>
      <c r="I719" s="67"/>
      <c r="J719" s="67"/>
      <c r="K719" s="67"/>
      <c r="L719" s="67"/>
      <c r="M719" s="68"/>
    </row>
    <row r="720" spans="1:15" ht="30.75" customHeight="1" thickBot="1">
      <c r="A720" s="75" t="s">
        <v>20</v>
      </c>
      <c r="B720" s="76"/>
      <c r="C720" s="76"/>
      <c r="D720" s="77"/>
      <c r="E720" s="14" t="s">
        <v>11</v>
      </c>
      <c r="F720" s="75" t="s">
        <v>39</v>
      </c>
      <c r="G720" s="77"/>
      <c r="H720" s="75" t="s">
        <v>21</v>
      </c>
      <c r="I720" s="77"/>
      <c r="J720" s="78" t="s">
        <v>22</v>
      </c>
      <c r="K720" s="79"/>
      <c r="L720" s="75" t="s">
        <v>15</v>
      </c>
      <c r="M720" s="77"/>
    </row>
    <row r="721" spans="1:13" ht="24" customHeight="1" thickBot="1">
      <c r="A721" s="96"/>
      <c r="B721" s="97"/>
      <c r="C721" s="97"/>
      <c r="D721" s="98"/>
      <c r="E721" s="28"/>
      <c r="F721" s="58"/>
      <c r="G721" s="59"/>
      <c r="H721" s="58"/>
      <c r="I721" s="59"/>
      <c r="J721" s="56"/>
      <c r="K721" s="57"/>
      <c r="L721" s="58"/>
      <c r="M721" s="59"/>
    </row>
    <row r="722" spans="1:13" ht="24" customHeight="1" thickBot="1">
      <c r="A722" s="96"/>
      <c r="B722" s="97"/>
      <c r="C722" s="97"/>
      <c r="D722" s="98"/>
      <c r="E722" s="28"/>
      <c r="F722" s="58"/>
      <c r="G722" s="59"/>
      <c r="H722" s="58"/>
      <c r="I722" s="59"/>
      <c r="J722" s="56"/>
      <c r="K722" s="57"/>
      <c r="L722" s="58"/>
      <c r="M722" s="59"/>
    </row>
    <row r="723" spans="1:13" ht="24" customHeight="1" thickBot="1">
      <c r="A723" s="60" t="s">
        <v>23</v>
      </c>
      <c r="B723" s="61"/>
      <c r="C723" s="61"/>
      <c r="D723" s="61"/>
      <c r="E723" s="61"/>
      <c r="F723" s="61"/>
      <c r="G723" s="61"/>
      <c r="H723" s="61"/>
      <c r="I723" s="61"/>
      <c r="J723" s="61"/>
      <c r="K723" s="61"/>
      <c r="L723" s="61"/>
      <c r="M723" s="62"/>
    </row>
    <row r="724" spans="1:13" ht="35.25" customHeight="1" thickBot="1">
      <c r="A724" s="75" t="s">
        <v>24</v>
      </c>
      <c r="B724" s="77"/>
      <c r="C724" s="75" t="s">
        <v>25</v>
      </c>
      <c r="D724" s="77"/>
      <c r="E724" s="75" t="s">
        <v>26</v>
      </c>
      <c r="F724" s="76"/>
      <c r="G724" s="77"/>
      <c r="H724" s="75" t="s">
        <v>27</v>
      </c>
      <c r="I724" s="77"/>
      <c r="J724" s="78" t="s">
        <v>21</v>
      </c>
      <c r="K724" s="79"/>
      <c r="L724" s="75" t="s">
        <v>22</v>
      </c>
      <c r="M724" s="77"/>
    </row>
    <row r="725" spans="1:13" s="18" customFormat="1" ht="24.75" customHeight="1" thickBot="1">
      <c r="A725" s="99"/>
      <c r="B725" s="98"/>
      <c r="C725" s="56"/>
      <c r="D725" s="57"/>
      <c r="E725" s="56"/>
      <c r="F725" s="100"/>
      <c r="G725" s="57"/>
      <c r="H725" s="56"/>
      <c r="I725" s="57"/>
      <c r="J725" s="56"/>
      <c r="K725" s="57"/>
      <c r="L725" s="56"/>
      <c r="M725" s="57"/>
    </row>
    <row r="726" spans="1:13" s="18" customFormat="1" ht="24.75" customHeight="1" thickBot="1">
      <c r="A726" s="99"/>
      <c r="B726" s="98"/>
      <c r="C726" s="56"/>
      <c r="D726" s="57"/>
      <c r="E726" s="56"/>
      <c r="F726" s="100"/>
      <c r="G726" s="57"/>
      <c r="H726" s="56"/>
      <c r="I726" s="57"/>
      <c r="J726" s="56"/>
      <c r="K726" s="57"/>
      <c r="L726" s="56"/>
      <c r="M726" s="57"/>
    </row>
    <row r="727" spans="1:13" ht="33" customHeight="1" thickBot="1">
      <c r="A727" s="112" t="s">
        <v>60</v>
      </c>
      <c r="B727" s="113"/>
      <c r="C727" s="113"/>
      <c r="D727" s="113"/>
      <c r="E727" s="113"/>
      <c r="F727" s="113"/>
      <c r="G727" s="113"/>
      <c r="H727" s="113"/>
      <c r="I727" s="113"/>
      <c r="J727" s="113"/>
      <c r="K727" s="113"/>
      <c r="L727" s="113"/>
      <c r="M727" s="114"/>
    </row>
    <row r="728" spans="1:13" ht="16.5" customHeight="1">
      <c r="A728" s="115" t="s">
        <v>41</v>
      </c>
      <c r="B728" s="116"/>
      <c r="C728" s="116"/>
      <c r="D728" s="116"/>
      <c r="E728" s="116"/>
      <c r="F728" s="116"/>
      <c r="G728" s="116"/>
      <c r="H728" s="116"/>
      <c r="I728" s="116"/>
      <c r="J728" s="116"/>
      <c r="K728" s="116"/>
      <c r="L728" s="116"/>
      <c r="M728" s="117"/>
    </row>
    <row r="729" spans="1:13" ht="16.5" customHeight="1">
      <c r="A729" s="90" t="s">
        <v>28</v>
      </c>
      <c r="B729" s="91"/>
      <c r="C729" s="91"/>
      <c r="D729" s="91"/>
      <c r="E729" s="91"/>
      <c r="F729" s="91"/>
      <c r="G729" s="91"/>
      <c r="H729" s="91"/>
      <c r="I729" s="91"/>
      <c r="J729" s="91"/>
      <c r="K729" s="91"/>
      <c r="L729" s="91"/>
      <c r="M729" s="92"/>
    </row>
    <row r="730" spans="1:13" ht="16.5" customHeight="1">
      <c r="A730" s="106" t="s">
        <v>42</v>
      </c>
      <c r="B730" s="107"/>
      <c r="C730" s="107"/>
      <c r="D730" s="107"/>
      <c r="E730" s="107"/>
      <c r="F730" s="107"/>
      <c r="G730" s="107"/>
      <c r="H730" s="107"/>
      <c r="I730" s="107"/>
      <c r="J730" s="107"/>
      <c r="K730" s="107"/>
      <c r="L730" s="107"/>
      <c r="M730" s="108"/>
    </row>
    <row r="731" spans="1:13" ht="16.5" customHeight="1">
      <c r="A731" s="106" t="s">
        <v>43</v>
      </c>
      <c r="B731" s="107"/>
      <c r="C731" s="107"/>
      <c r="D731" s="107"/>
      <c r="E731" s="107"/>
      <c r="F731" s="107"/>
      <c r="G731" s="107"/>
      <c r="H731" s="107"/>
      <c r="I731" s="107"/>
      <c r="J731" s="107"/>
      <c r="K731" s="107"/>
      <c r="L731" s="107"/>
      <c r="M731" s="108"/>
    </row>
    <row r="732" spans="1:13" ht="16.5" customHeight="1">
      <c r="A732" s="106" t="s">
        <v>44</v>
      </c>
      <c r="B732" s="107"/>
      <c r="C732" s="107"/>
      <c r="D732" s="107"/>
      <c r="E732" s="107"/>
      <c r="F732" s="107"/>
      <c r="G732" s="107"/>
      <c r="H732" s="107"/>
      <c r="I732" s="107"/>
      <c r="J732" s="107"/>
      <c r="K732" s="107"/>
      <c r="L732" s="107"/>
      <c r="M732" s="108"/>
    </row>
    <row r="733" spans="1:13" ht="16.5" customHeight="1">
      <c r="A733" s="106" t="s">
        <v>45</v>
      </c>
      <c r="B733" s="107"/>
      <c r="C733" s="107"/>
      <c r="D733" s="107"/>
      <c r="E733" s="107"/>
      <c r="F733" s="107"/>
      <c r="G733" s="107"/>
      <c r="H733" s="107"/>
      <c r="I733" s="107"/>
      <c r="J733" s="107"/>
      <c r="K733" s="107"/>
      <c r="L733" s="107"/>
      <c r="M733" s="108"/>
    </row>
    <row r="734" spans="1:13" ht="16.5" customHeight="1">
      <c r="A734" s="106" t="s">
        <v>29</v>
      </c>
      <c r="B734" s="107"/>
      <c r="C734" s="107"/>
      <c r="D734" s="107"/>
      <c r="E734" s="107"/>
      <c r="F734" s="107"/>
      <c r="G734" s="107"/>
      <c r="H734" s="107"/>
      <c r="I734" s="107"/>
      <c r="J734" s="107"/>
      <c r="K734" s="107"/>
      <c r="L734" s="107"/>
      <c r="M734" s="108"/>
    </row>
    <row r="735" spans="1:13" ht="9.75" customHeight="1" thickBot="1">
      <c r="A735" s="109"/>
      <c r="B735" s="110"/>
      <c r="C735" s="110"/>
      <c r="D735" s="110"/>
      <c r="E735" s="110"/>
      <c r="F735" s="110"/>
      <c r="G735" s="110"/>
      <c r="H735" s="110"/>
      <c r="I735" s="110"/>
      <c r="J735" s="110"/>
      <c r="K735" s="110"/>
      <c r="L735" s="110"/>
      <c r="M735" s="111"/>
    </row>
    <row r="736" spans="1:13" ht="18.75" customHeight="1" thickBot="1">
      <c r="A736" s="72" t="s">
        <v>30</v>
      </c>
      <c r="B736" s="73"/>
      <c r="C736" s="73"/>
      <c r="D736" s="73"/>
      <c r="E736" s="73"/>
      <c r="F736" s="73"/>
      <c r="G736" s="73"/>
      <c r="H736" s="73"/>
      <c r="I736" s="73"/>
      <c r="J736" s="73"/>
      <c r="K736" s="73"/>
      <c r="L736" s="73"/>
      <c r="M736" s="74"/>
    </row>
    <row r="737" spans="1:15" ht="24" customHeight="1" thickBot="1">
      <c r="A737" s="72" t="s">
        <v>31</v>
      </c>
      <c r="B737" s="73"/>
      <c r="C737" s="73"/>
      <c r="D737" s="73"/>
      <c r="E737" s="73"/>
      <c r="F737" s="73"/>
      <c r="G737" s="73"/>
      <c r="H737" s="73"/>
      <c r="I737" s="73"/>
      <c r="J737" s="73"/>
      <c r="K737" s="73"/>
      <c r="L737" s="73"/>
      <c r="M737" s="74"/>
    </row>
    <row r="738" spans="1:15" ht="31.5" customHeight="1" thickBot="1">
      <c r="A738" s="72" t="s">
        <v>113</v>
      </c>
      <c r="B738" s="73"/>
      <c r="C738" s="73"/>
      <c r="D738" s="73"/>
      <c r="E738" s="73"/>
      <c r="F738" s="73"/>
      <c r="G738" s="73"/>
      <c r="H738" s="73"/>
      <c r="I738" s="73"/>
      <c r="J738" s="73"/>
      <c r="K738" s="73"/>
      <c r="L738" s="73"/>
      <c r="M738" s="74"/>
    </row>
    <row r="739" spans="1:15" ht="24" customHeight="1" thickBot="1">
      <c r="A739" s="60" t="s">
        <v>46</v>
      </c>
      <c r="B739" s="61"/>
      <c r="C739" s="61"/>
      <c r="D739" s="61"/>
      <c r="E739" s="61"/>
      <c r="F739" s="61"/>
      <c r="G739" s="61"/>
      <c r="H739" s="61"/>
      <c r="I739" s="61"/>
      <c r="J739" s="61"/>
      <c r="K739" s="61"/>
      <c r="L739" s="61"/>
      <c r="M739" s="62"/>
    </row>
    <row r="740" spans="1:15" ht="11.1" customHeight="1">
      <c r="A740" s="103" t="s">
        <v>47</v>
      </c>
      <c r="B740" s="103"/>
      <c r="C740" s="103"/>
      <c r="D740" s="103"/>
      <c r="E740" s="103"/>
      <c r="F740" s="103"/>
      <c r="G740" s="103"/>
      <c r="H740" s="103"/>
      <c r="I740" s="103"/>
      <c r="J740" s="103"/>
      <c r="K740" s="103"/>
      <c r="L740" s="103"/>
      <c r="M740" s="103"/>
    </row>
    <row r="741" spans="1:15" ht="11.1" customHeight="1">
      <c r="A741" s="104" t="s">
        <v>48</v>
      </c>
      <c r="B741" s="104"/>
      <c r="C741" s="104"/>
      <c r="D741" s="104"/>
      <c r="E741" s="104"/>
      <c r="F741" s="104"/>
      <c r="G741" s="104"/>
      <c r="H741" s="104"/>
      <c r="I741" s="104"/>
      <c r="J741" s="104"/>
      <c r="K741" s="104"/>
      <c r="L741" s="104"/>
      <c r="M741" s="104"/>
    </row>
    <row r="742" spans="1:15" ht="11.1" customHeight="1">
      <c r="A742" s="105" t="s">
        <v>49</v>
      </c>
      <c r="B742" s="105"/>
      <c r="C742" s="105"/>
      <c r="D742" s="105"/>
      <c r="E742" s="105"/>
      <c r="F742" s="105"/>
      <c r="G742" s="105"/>
      <c r="H742" s="105"/>
      <c r="I742" s="105"/>
      <c r="J742" s="105"/>
      <c r="K742" s="105"/>
      <c r="L742" s="105"/>
      <c r="M742" s="105"/>
    </row>
    <row r="743" spans="1:15" ht="11.1" customHeight="1">
      <c r="A743" s="105" t="s">
        <v>50</v>
      </c>
      <c r="B743" s="105"/>
      <c r="C743" s="105"/>
      <c r="D743" s="105"/>
      <c r="E743" s="105"/>
      <c r="F743" s="105"/>
      <c r="G743" s="105"/>
      <c r="H743" s="105"/>
      <c r="I743" s="105"/>
      <c r="J743" s="105"/>
      <c r="K743" s="105"/>
      <c r="L743" s="105"/>
      <c r="M743" s="105"/>
    </row>
    <row r="744" spans="1:15" ht="11.1" customHeight="1">
      <c r="A744" s="104" t="s">
        <v>51</v>
      </c>
      <c r="B744" s="104"/>
      <c r="C744" s="104"/>
      <c r="D744" s="104"/>
      <c r="E744" s="104"/>
      <c r="F744" s="104"/>
      <c r="G744" s="104"/>
      <c r="H744" s="104"/>
      <c r="I744" s="104"/>
      <c r="J744" s="104"/>
      <c r="K744" s="104"/>
      <c r="L744" s="104"/>
      <c r="M744" s="104"/>
    </row>
    <row r="745" spans="1:15" ht="11.1" customHeight="1">
      <c r="A745" s="104" t="s">
        <v>52</v>
      </c>
      <c r="B745" s="104"/>
      <c r="C745" s="104"/>
      <c r="D745" s="104"/>
      <c r="E745" s="104"/>
      <c r="F745" s="104"/>
      <c r="G745" s="104"/>
      <c r="H745" s="104"/>
      <c r="I745" s="104"/>
      <c r="J745" s="104"/>
      <c r="K745" s="104"/>
      <c r="L745" s="104"/>
      <c r="M745" s="104"/>
    </row>
    <row r="746" spans="1:15" ht="11.1" customHeight="1">
      <c r="A746" s="104" t="s">
        <v>53</v>
      </c>
      <c r="B746" s="104"/>
      <c r="C746" s="104"/>
      <c r="D746" s="104"/>
      <c r="E746" s="104"/>
      <c r="F746" s="104"/>
      <c r="G746" s="104"/>
      <c r="H746" s="104"/>
      <c r="I746" s="104"/>
      <c r="J746" s="104"/>
      <c r="K746" s="104"/>
      <c r="L746" s="104"/>
      <c r="M746" s="104"/>
    </row>
    <row r="747" spans="1:15" ht="11.1" customHeight="1">
      <c r="A747" s="101" t="s">
        <v>54</v>
      </c>
      <c r="B747" s="101"/>
      <c r="C747" s="101"/>
      <c r="D747" s="101"/>
      <c r="E747" s="101"/>
      <c r="F747" s="101"/>
      <c r="G747" s="101"/>
      <c r="H747" s="101"/>
      <c r="I747" s="101"/>
      <c r="J747" s="101"/>
      <c r="K747" s="101"/>
      <c r="L747" s="101"/>
      <c r="M747" s="101"/>
    </row>
    <row r="748" spans="1:15" ht="11.1" customHeight="1">
      <c r="A748" s="101" t="s">
        <v>55</v>
      </c>
      <c r="B748" s="101"/>
      <c r="C748" s="101"/>
      <c r="D748" s="101"/>
      <c r="E748" s="101"/>
      <c r="F748" s="101"/>
      <c r="G748" s="101"/>
      <c r="H748" s="101"/>
      <c r="I748" s="101"/>
      <c r="J748" s="101"/>
      <c r="K748" s="101"/>
      <c r="L748" s="101"/>
      <c r="M748" s="101"/>
    </row>
    <row r="749" spans="1:15" ht="19.5" customHeight="1">
      <c r="A749" s="69" t="s">
        <v>0</v>
      </c>
      <c r="B749" s="69"/>
      <c r="C749" s="69"/>
      <c r="D749" s="69"/>
      <c r="E749" s="69"/>
      <c r="F749" s="69"/>
      <c r="G749" s="69"/>
      <c r="H749" s="69"/>
      <c r="I749" s="69"/>
      <c r="J749" s="69"/>
      <c r="K749" s="69"/>
      <c r="L749" s="69"/>
      <c r="M749" s="69"/>
    </row>
    <row r="750" spans="1:15" ht="20.100000000000001" customHeight="1">
      <c r="A750" s="4" t="s">
        <v>32</v>
      </c>
      <c r="B750" s="5">
        <f>+B706+1</f>
        <v>22</v>
      </c>
      <c r="C750" s="25"/>
      <c r="D750" s="25"/>
      <c r="E750" s="25"/>
      <c r="F750" s="25"/>
      <c r="G750" s="25"/>
      <c r="H750" s="25"/>
      <c r="I750" s="25"/>
      <c r="J750" s="25"/>
      <c r="K750" s="25"/>
      <c r="L750" s="25"/>
      <c r="M750" s="25"/>
    </row>
    <row r="751" spans="1:15" ht="24" customHeight="1" thickBot="1">
      <c r="A751" s="4" t="s">
        <v>33</v>
      </c>
      <c r="H751" s="70" t="s">
        <v>34</v>
      </c>
      <c r="I751" s="70"/>
      <c r="J751" s="70"/>
      <c r="K751" s="102">
        <f>+K707+1</f>
        <v>45948</v>
      </c>
      <c r="L751" s="102"/>
      <c r="M751" s="102"/>
      <c r="O751" s="7"/>
    </row>
    <row r="752" spans="1:15" ht="33.75" customHeight="1" thickBot="1">
      <c r="A752" s="80" t="s">
        <v>1</v>
      </c>
      <c r="B752" s="81"/>
      <c r="C752" s="82"/>
      <c r="D752" s="86" t="str">
        <f>+D708</f>
        <v>光明國中B與C區5樓老舊廁所整修工程</v>
      </c>
      <c r="E752" s="87"/>
      <c r="F752" s="87"/>
      <c r="G752" s="88"/>
      <c r="H752" s="80" t="s">
        <v>2</v>
      </c>
      <c r="I752" s="81"/>
      <c r="J752" s="82"/>
      <c r="K752" s="80" t="s">
        <v>35</v>
      </c>
      <c r="L752" s="81"/>
      <c r="M752" s="82"/>
    </row>
    <row r="753" spans="1:13" ht="33.75" customHeight="1" thickBot="1">
      <c r="A753" s="8" t="s">
        <v>3</v>
      </c>
      <c r="B753" s="26">
        <f>+B709</f>
        <v>142</v>
      </c>
      <c r="C753" s="10" t="s">
        <v>36</v>
      </c>
      <c r="D753" s="80" t="s">
        <v>4</v>
      </c>
      <c r="E753" s="89"/>
      <c r="F753" s="27">
        <f>+F709+1</f>
        <v>22</v>
      </c>
      <c r="G753" s="12" t="s">
        <v>36</v>
      </c>
      <c r="H753" s="13" t="s">
        <v>5</v>
      </c>
      <c r="I753" s="26">
        <f>+B753-F753</f>
        <v>120</v>
      </c>
      <c r="J753" s="10" t="s">
        <v>36</v>
      </c>
      <c r="K753" s="80" t="s">
        <v>6</v>
      </c>
      <c r="L753" s="82"/>
      <c r="M753" s="13">
        <f>+M709</f>
        <v>12</v>
      </c>
    </row>
    <row r="754" spans="1:13" ht="24" customHeight="1" thickBot="1">
      <c r="A754" s="80" t="s">
        <v>7</v>
      </c>
      <c r="B754" s="81"/>
      <c r="C754" s="82"/>
      <c r="D754" s="80" t="str">
        <f>+D710</f>
        <v>114.9.27</v>
      </c>
      <c r="E754" s="81"/>
      <c r="F754" s="81"/>
      <c r="G754" s="82"/>
      <c r="H754" s="80" t="s">
        <v>8</v>
      </c>
      <c r="I754" s="81"/>
      <c r="J754" s="82"/>
      <c r="K754" s="80" t="str">
        <f>+K710</f>
        <v>115.2.15</v>
      </c>
      <c r="L754" s="81"/>
      <c r="M754" s="82"/>
    </row>
    <row r="755" spans="1:13" ht="24" customHeight="1" thickBot="1">
      <c r="A755" s="80" t="s">
        <v>37</v>
      </c>
      <c r="B755" s="81"/>
      <c r="C755" s="82"/>
      <c r="D755" s="83">
        <v>5.1999999999999998E-2</v>
      </c>
      <c r="E755" s="84"/>
      <c r="F755" s="84"/>
      <c r="G755" s="85"/>
      <c r="H755" s="80" t="s">
        <v>38</v>
      </c>
      <c r="I755" s="81"/>
      <c r="J755" s="82"/>
      <c r="K755" s="83">
        <v>0.106</v>
      </c>
      <c r="L755" s="84"/>
      <c r="M755" s="85"/>
    </row>
    <row r="756" spans="1:13" ht="24" customHeight="1" thickBot="1">
      <c r="A756" s="72" t="s">
        <v>9</v>
      </c>
      <c r="B756" s="73"/>
      <c r="C756" s="73"/>
      <c r="D756" s="73"/>
      <c r="E756" s="73"/>
      <c r="F756" s="73"/>
      <c r="G756" s="73"/>
      <c r="H756" s="73"/>
      <c r="I756" s="73"/>
      <c r="J756" s="73"/>
      <c r="K756" s="73"/>
      <c r="L756" s="73"/>
      <c r="M756" s="74"/>
    </row>
    <row r="757" spans="1:13" ht="32.25" customHeight="1" thickBot="1">
      <c r="A757" s="75" t="s">
        <v>10</v>
      </c>
      <c r="B757" s="76"/>
      <c r="C757" s="76"/>
      <c r="D757" s="77"/>
      <c r="E757" s="14" t="s">
        <v>11</v>
      </c>
      <c r="F757" s="75" t="s">
        <v>12</v>
      </c>
      <c r="G757" s="77"/>
      <c r="H757" s="75" t="s">
        <v>13</v>
      </c>
      <c r="I757" s="77"/>
      <c r="J757" s="78" t="s">
        <v>14</v>
      </c>
      <c r="K757" s="79"/>
      <c r="L757" s="75" t="s">
        <v>15</v>
      </c>
      <c r="M757" s="77"/>
    </row>
    <row r="758" spans="1:13" ht="33" customHeight="1" thickBot="1">
      <c r="A758" s="63" t="s">
        <v>68</v>
      </c>
      <c r="B758" s="64"/>
      <c r="C758" s="64"/>
      <c r="D758" s="65"/>
      <c r="E758" s="2" t="s">
        <v>69</v>
      </c>
      <c r="F758" s="56">
        <v>1</v>
      </c>
      <c r="G758" s="57"/>
      <c r="H758" s="56">
        <v>0.1</v>
      </c>
      <c r="I758" s="57"/>
      <c r="J758" s="56">
        <v>0.9</v>
      </c>
      <c r="K758" s="57"/>
      <c r="L758" s="58"/>
      <c r="M758" s="59"/>
    </row>
    <row r="759" spans="1:13" ht="27.95" customHeight="1" thickBot="1">
      <c r="A759" s="63"/>
      <c r="B759" s="64"/>
      <c r="C759" s="64"/>
      <c r="D759" s="65"/>
      <c r="E759" s="15"/>
      <c r="F759" s="126"/>
      <c r="G759" s="127"/>
      <c r="H759" s="126"/>
      <c r="I759" s="127"/>
      <c r="J759" s="126"/>
      <c r="K759" s="127"/>
      <c r="L759" s="58"/>
      <c r="M759" s="59"/>
    </row>
    <row r="760" spans="1:13" ht="24.95" customHeight="1" thickTop="1" thickBot="1">
      <c r="A760" s="130" t="s">
        <v>16</v>
      </c>
      <c r="B760" s="67"/>
      <c r="C760" s="67"/>
      <c r="D760" s="68"/>
      <c r="E760" s="33"/>
      <c r="F760" s="131"/>
      <c r="G760" s="132"/>
      <c r="H760" s="131"/>
      <c r="I760" s="132"/>
      <c r="J760" s="131"/>
      <c r="K760" s="132"/>
      <c r="L760" s="131"/>
      <c r="M760" s="133"/>
    </row>
    <row r="761" spans="1:13" ht="24.95" customHeight="1" thickBot="1">
      <c r="A761" s="134" t="s">
        <v>17</v>
      </c>
      <c r="B761" s="135"/>
      <c r="C761" s="135"/>
      <c r="D761" s="59"/>
      <c r="E761" s="33"/>
      <c r="F761" s="58"/>
      <c r="G761" s="59"/>
      <c r="H761" s="58"/>
      <c r="I761" s="59"/>
      <c r="J761" s="58"/>
      <c r="K761" s="59"/>
      <c r="L761" s="58"/>
      <c r="M761" s="136"/>
    </row>
    <row r="762" spans="1:13" ht="24.95" customHeight="1" thickBot="1">
      <c r="A762" s="118" t="s">
        <v>18</v>
      </c>
      <c r="B762" s="119"/>
      <c r="C762" s="119"/>
      <c r="D762" s="120"/>
      <c r="E762" s="24"/>
      <c r="F762" s="121"/>
      <c r="G762" s="120"/>
      <c r="H762" s="121"/>
      <c r="I762" s="120"/>
      <c r="J762" s="121"/>
      <c r="K762" s="120"/>
      <c r="L762" s="121"/>
      <c r="M762" s="122"/>
    </row>
    <row r="763" spans="1:13" ht="24" customHeight="1" thickTop="1" thickBot="1">
      <c r="A763" s="66" t="s">
        <v>19</v>
      </c>
      <c r="B763" s="67"/>
      <c r="C763" s="67"/>
      <c r="D763" s="67"/>
      <c r="E763" s="67"/>
      <c r="F763" s="67"/>
      <c r="G763" s="67"/>
      <c r="H763" s="67"/>
      <c r="I763" s="67"/>
      <c r="J763" s="67"/>
      <c r="K763" s="67"/>
      <c r="L763" s="67"/>
      <c r="M763" s="68"/>
    </row>
    <row r="764" spans="1:13" ht="35.25" customHeight="1" thickBot="1">
      <c r="A764" s="75" t="s">
        <v>20</v>
      </c>
      <c r="B764" s="76"/>
      <c r="C764" s="76"/>
      <c r="D764" s="77"/>
      <c r="E764" s="14" t="s">
        <v>11</v>
      </c>
      <c r="F764" s="75" t="s">
        <v>39</v>
      </c>
      <c r="G764" s="77"/>
      <c r="H764" s="75" t="s">
        <v>21</v>
      </c>
      <c r="I764" s="77"/>
      <c r="J764" s="78" t="s">
        <v>22</v>
      </c>
      <c r="K764" s="79"/>
      <c r="L764" s="75" t="s">
        <v>15</v>
      </c>
      <c r="M764" s="77"/>
    </row>
    <row r="765" spans="1:13" ht="24" customHeight="1" thickBot="1">
      <c r="A765" s="96"/>
      <c r="B765" s="97"/>
      <c r="C765" s="97"/>
      <c r="D765" s="98"/>
      <c r="E765" s="33"/>
      <c r="F765" s="58"/>
      <c r="G765" s="59"/>
      <c r="H765" s="58"/>
      <c r="I765" s="59"/>
      <c r="J765" s="56"/>
      <c r="K765" s="57"/>
      <c r="L765" s="58"/>
      <c r="M765" s="59"/>
    </row>
    <row r="766" spans="1:13" ht="24" customHeight="1" thickBot="1">
      <c r="A766" s="96"/>
      <c r="B766" s="97"/>
      <c r="C766" s="97"/>
      <c r="D766" s="98"/>
      <c r="E766" s="33"/>
      <c r="F766" s="58"/>
      <c r="G766" s="59"/>
      <c r="H766" s="58"/>
      <c r="I766" s="59"/>
      <c r="J766" s="56"/>
      <c r="K766" s="57"/>
      <c r="L766" s="58"/>
      <c r="M766" s="59"/>
    </row>
    <row r="767" spans="1:13" ht="24" customHeight="1" thickBot="1">
      <c r="A767" s="60" t="s">
        <v>23</v>
      </c>
      <c r="B767" s="61"/>
      <c r="C767" s="61"/>
      <c r="D767" s="61"/>
      <c r="E767" s="61"/>
      <c r="F767" s="61"/>
      <c r="G767" s="61"/>
      <c r="H767" s="61"/>
      <c r="I767" s="61"/>
      <c r="J767" s="61"/>
      <c r="K767" s="61"/>
      <c r="L767" s="61"/>
      <c r="M767" s="62"/>
    </row>
    <row r="768" spans="1:13" ht="31.5" customHeight="1" thickBot="1">
      <c r="A768" s="75" t="s">
        <v>24</v>
      </c>
      <c r="B768" s="77"/>
      <c r="C768" s="75" t="s">
        <v>25</v>
      </c>
      <c r="D768" s="77"/>
      <c r="E768" s="75" t="s">
        <v>26</v>
      </c>
      <c r="F768" s="76"/>
      <c r="G768" s="77"/>
      <c r="H768" s="75" t="s">
        <v>27</v>
      </c>
      <c r="I768" s="77"/>
      <c r="J768" s="78" t="s">
        <v>21</v>
      </c>
      <c r="K768" s="79"/>
      <c r="L768" s="75" t="s">
        <v>22</v>
      </c>
      <c r="M768" s="77"/>
    </row>
    <row r="769" spans="1:13" s="18" customFormat="1" ht="24.75" customHeight="1" thickBot="1">
      <c r="A769" s="99" t="s">
        <v>71</v>
      </c>
      <c r="B769" s="137"/>
      <c r="C769" s="56">
        <v>5</v>
      </c>
      <c r="D769" s="57"/>
      <c r="E769" s="56">
        <v>51</v>
      </c>
      <c r="F769" s="100"/>
      <c r="G769" s="57"/>
      <c r="H769" s="56"/>
      <c r="I769" s="57"/>
      <c r="J769" s="56"/>
      <c r="K769" s="57"/>
      <c r="L769" s="56"/>
      <c r="M769" s="57"/>
    </row>
    <row r="770" spans="1:13" s="18" customFormat="1" ht="24.75" customHeight="1" thickBot="1">
      <c r="A770" s="99"/>
      <c r="B770" s="98"/>
      <c r="C770" s="56"/>
      <c r="D770" s="57"/>
      <c r="E770" s="56"/>
      <c r="F770" s="100"/>
      <c r="G770" s="57"/>
      <c r="H770" s="56"/>
      <c r="I770" s="57"/>
      <c r="J770" s="56"/>
      <c r="K770" s="57"/>
      <c r="L770" s="56"/>
      <c r="M770" s="57"/>
    </row>
    <row r="771" spans="1:13" ht="33" customHeight="1" thickBot="1">
      <c r="A771" s="112" t="s">
        <v>40</v>
      </c>
      <c r="B771" s="113"/>
      <c r="C771" s="113"/>
      <c r="D771" s="113"/>
      <c r="E771" s="113"/>
      <c r="F771" s="113"/>
      <c r="G771" s="113"/>
      <c r="H771" s="113"/>
      <c r="I771" s="113"/>
      <c r="J771" s="113"/>
      <c r="K771" s="113"/>
      <c r="L771" s="113"/>
      <c r="M771" s="114"/>
    </row>
    <row r="772" spans="1:13" ht="16.5" customHeight="1">
      <c r="A772" s="115" t="s">
        <v>41</v>
      </c>
      <c r="B772" s="116"/>
      <c r="C772" s="116"/>
      <c r="D772" s="116"/>
      <c r="E772" s="116"/>
      <c r="F772" s="116"/>
      <c r="G772" s="116"/>
      <c r="H772" s="116"/>
      <c r="I772" s="116"/>
      <c r="J772" s="116"/>
      <c r="K772" s="116"/>
      <c r="L772" s="116"/>
      <c r="M772" s="117"/>
    </row>
    <row r="773" spans="1:13" ht="16.5" customHeight="1">
      <c r="A773" s="90" t="s">
        <v>28</v>
      </c>
      <c r="B773" s="91"/>
      <c r="C773" s="91"/>
      <c r="D773" s="91"/>
      <c r="E773" s="91"/>
      <c r="F773" s="91"/>
      <c r="G773" s="91"/>
      <c r="H773" s="91"/>
      <c r="I773" s="91"/>
      <c r="J773" s="91"/>
      <c r="K773" s="91"/>
      <c r="L773" s="91"/>
      <c r="M773" s="92"/>
    </row>
    <row r="774" spans="1:13" s="1" customFormat="1" ht="16.5" customHeight="1">
      <c r="A774" s="93" t="s">
        <v>56</v>
      </c>
      <c r="B774" s="94"/>
      <c r="C774" s="94"/>
      <c r="D774" s="94"/>
      <c r="E774" s="94"/>
      <c r="F774" s="94"/>
      <c r="G774" s="94"/>
      <c r="H774" s="94"/>
      <c r="I774" s="94"/>
      <c r="J774" s="94"/>
      <c r="K774" s="94"/>
      <c r="L774" s="94"/>
      <c r="M774" s="95"/>
    </row>
    <row r="775" spans="1:13" s="1" customFormat="1" ht="16.5" customHeight="1">
      <c r="A775" s="93" t="s">
        <v>57</v>
      </c>
      <c r="B775" s="94"/>
      <c r="C775" s="94"/>
      <c r="D775" s="94"/>
      <c r="E775" s="94"/>
      <c r="F775" s="94"/>
      <c r="G775" s="94"/>
      <c r="H775" s="94"/>
      <c r="I775" s="94"/>
      <c r="J775" s="94"/>
      <c r="K775" s="94"/>
      <c r="L775" s="94"/>
      <c r="M775" s="95"/>
    </row>
    <row r="776" spans="1:13" s="1" customFormat="1" ht="16.5" customHeight="1">
      <c r="A776" s="93" t="s">
        <v>58</v>
      </c>
      <c r="B776" s="94"/>
      <c r="C776" s="94"/>
      <c r="D776" s="94"/>
      <c r="E776" s="94"/>
      <c r="F776" s="94"/>
      <c r="G776" s="94"/>
      <c r="H776" s="94"/>
      <c r="I776" s="94"/>
      <c r="J776" s="94"/>
      <c r="K776" s="94"/>
      <c r="L776" s="94"/>
      <c r="M776" s="95"/>
    </row>
    <row r="777" spans="1:13" s="1" customFormat="1" ht="16.5" customHeight="1">
      <c r="A777" s="93" t="s">
        <v>59</v>
      </c>
      <c r="B777" s="94"/>
      <c r="C777" s="94"/>
      <c r="D777" s="94"/>
      <c r="E777" s="94"/>
      <c r="F777" s="94"/>
      <c r="G777" s="94"/>
      <c r="H777" s="94"/>
      <c r="I777" s="94"/>
      <c r="J777" s="94"/>
      <c r="K777" s="94"/>
      <c r="L777" s="94"/>
      <c r="M777" s="95"/>
    </row>
    <row r="778" spans="1:13" ht="16.5" customHeight="1">
      <c r="A778" s="106" t="s">
        <v>29</v>
      </c>
      <c r="B778" s="107"/>
      <c r="C778" s="107"/>
      <c r="D778" s="107"/>
      <c r="E778" s="107"/>
      <c r="F778" s="107"/>
      <c r="G778" s="107"/>
      <c r="H778" s="107"/>
      <c r="I778" s="107"/>
      <c r="J778" s="107"/>
      <c r="K778" s="107"/>
      <c r="L778" s="107"/>
      <c r="M778" s="108"/>
    </row>
    <row r="779" spans="1:13" ht="6" customHeight="1" thickBot="1">
      <c r="A779" s="109"/>
      <c r="B779" s="110"/>
      <c r="C779" s="110"/>
      <c r="D779" s="110"/>
      <c r="E779" s="110"/>
      <c r="F779" s="110"/>
      <c r="G779" s="110"/>
      <c r="H779" s="110"/>
      <c r="I779" s="110"/>
      <c r="J779" s="110"/>
      <c r="K779" s="110"/>
      <c r="L779" s="110"/>
      <c r="M779" s="111"/>
    </row>
    <row r="780" spans="1:13" ht="18.75" customHeight="1" thickBot="1">
      <c r="A780" s="72" t="s">
        <v>30</v>
      </c>
      <c r="B780" s="73"/>
      <c r="C780" s="73"/>
      <c r="D780" s="73"/>
      <c r="E780" s="73"/>
      <c r="F780" s="73"/>
      <c r="G780" s="73"/>
      <c r="H780" s="73"/>
      <c r="I780" s="73"/>
      <c r="J780" s="73"/>
      <c r="K780" s="73"/>
      <c r="L780" s="73"/>
      <c r="M780" s="74"/>
    </row>
    <row r="781" spans="1:13" ht="24" customHeight="1" thickBot="1">
      <c r="A781" s="72" t="s">
        <v>31</v>
      </c>
      <c r="B781" s="73"/>
      <c r="C781" s="73"/>
      <c r="D781" s="73"/>
      <c r="E781" s="73"/>
      <c r="F781" s="73"/>
      <c r="G781" s="73"/>
      <c r="H781" s="73"/>
      <c r="I781" s="73"/>
      <c r="J781" s="73"/>
      <c r="K781" s="73"/>
      <c r="L781" s="73"/>
      <c r="M781" s="74"/>
    </row>
    <row r="782" spans="1:13" ht="24" customHeight="1" thickBot="1">
      <c r="A782" s="72" t="s">
        <v>96</v>
      </c>
      <c r="B782" s="73"/>
      <c r="C782" s="73"/>
      <c r="D782" s="73"/>
      <c r="E782" s="73"/>
      <c r="F782" s="73"/>
      <c r="G782" s="73"/>
      <c r="H782" s="73"/>
      <c r="I782" s="73"/>
      <c r="J782" s="73"/>
      <c r="K782" s="73"/>
      <c r="L782" s="73"/>
      <c r="M782" s="74"/>
    </row>
    <row r="783" spans="1:13" ht="24" customHeight="1" thickBot="1">
      <c r="A783" s="60" t="s">
        <v>46</v>
      </c>
      <c r="B783" s="61"/>
      <c r="C783" s="61"/>
      <c r="D783" s="61"/>
      <c r="E783" s="61"/>
      <c r="F783" s="61"/>
      <c r="G783" s="61"/>
      <c r="H783" s="61"/>
      <c r="I783" s="61"/>
      <c r="J783" s="61"/>
      <c r="K783" s="61"/>
      <c r="L783" s="61"/>
      <c r="M783" s="62"/>
    </row>
    <row r="784" spans="1:13" ht="11.1" customHeight="1">
      <c r="A784" s="103" t="s">
        <v>47</v>
      </c>
      <c r="B784" s="103"/>
      <c r="C784" s="103"/>
      <c r="D784" s="103"/>
      <c r="E784" s="103"/>
      <c r="F784" s="103"/>
      <c r="G784" s="103"/>
      <c r="H784" s="103"/>
      <c r="I784" s="103"/>
      <c r="J784" s="103"/>
      <c r="K784" s="103"/>
      <c r="L784" s="103"/>
      <c r="M784" s="103"/>
    </row>
    <row r="785" spans="1:15" ht="11.1" customHeight="1">
      <c r="A785" s="104" t="s">
        <v>48</v>
      </c>
      <c r="B785" s="104"/>
      <c r="C785" s="104"/>
      <c r="D785" s="104"/>
      <c r="E785" s="104"/>
      <c r="F785" s="104"/>
      <c r="G785" s="104"/>
      <c r="H785" s="104"/>
      <c r="I785" s="104"/>
      <c r="J785" s="104"/>
      <c r="K785" s="104"/>
      <c r="L785" s="104"/>
      <c r="M785" s="104"/>
    </row>
    <row r="786" spans="1:15" ht="11.1" customHeight="1">
      <c r="A786" s="105" t="s">
        <v>49</v>
      </c>
      <c r="B786" s="105"/>
      <c r="C786" s="105"/>
      <c r="D786" s="105"/>
      <c r="E786" s="105"/>
      <c r="F786" s="105"/>
      <c r="G786" s="105"/>
      <c r="H786" s="105"/>
      <c r="I786" s="105"/>
      <c r="J786" s="105"/>
      <c r="K786" s="105"/>
      <c r="L786" s="105"/>
      <c r="M786" s="105"/>
    </row>
    <row r="787" spans="1:15" ht="11.1" customHeight="1">
      <c r="A787" s="105" t="s">
        <v>50</v>
      </c>
      <c r="B787" s="105"/>
      <c r="C787" s="105"/>
      <c r="D787" s="105"/>
      <c r="E787" s="105"/>
      <c r="F787" s="105"/>
      <c r="G787" s="105"/>
      <c r="H787" s="105"/>
      <c r="I787" s="105"/>
      <c r="J787" s="105"/>
      <c r="K787" s="105"/>
      <c r="L787" s="105"/>
      <c r="M787" s="105"/>
    </row>
    <row r="788" spans="1:15" ht="11.1" customHeight="1">
      <c r="A788" s="104" t="s">
        <v>51</v>
      </c>
      <c r="B788" s="104"/>
      <c r="C788" s="104"/>
      <c r="D788" s="104"/>
      <c r="E788" s="104"/>
      <c r="F788" s="104"/>
      <c r="G788" s="104"/>
      <c r="H788" s="104"/>
      <c r="I788" s="104"/>
      <c r="J788" s="104"/>
      <c r="K788" s="104"/>
      <c r="L788" s="104"/>
      <c r="M788" s="104"/>
    </row>
    <row r="789" spans="1:15" ht="11.1" customHeight="1">
      <c r="A789" s="104" t="s">
        <v>52</v>
      </c>
      <c r="B789" s="104"/>
      <c r="C789" s="104"/>
      <c r="D789" s="104"/>
      <c r="E789" s="104"/>
      <c r="F789" s="104"/>
      <c r="G789" s="104"/>
      <c r="H789" s="104"/>
      <c r="I789" s="104"/>
      <c r="J789" s="104"/>
      <c r="K789" s="104"/>
      <c r="L789" s="104"/>
      <c r="M789" s="104"/>
    </row>
    <row r="790" spans="1:15" ht="11.1" customHeight="1">
      <c r="A790" s="104" t="s">
        <v>53</v>
      </c>
      <c r="B790" s="104"/>
      <c r="C790" s="104"/>
      <c r="D790" s="104"/>
      <c r="E790" s="104"/>
      <c r="F790" s="104"/>
      <c r="G790" s="104"/>
      <c r="H790" s="104"/>
      <c r="I790" s="104"/>
      <c r="J790" s="104"/>
      <c r="K790" s="104"/>
      <c r="L790" s="104"/>
      <c r="M790" s="104"/>
    </row>
    <row r="791" spans="1:15" ht="11.1" customHeight="1">
      <c r="A791" s="101" t="s">
        <v>54</v>
      </c>
      <c r="B791" s="101"/>
      <c r="C791" s="101"/>
      <c r="D791" s="101"/>
      <c r="E791" s="101"/>
      <c r="F791" s="101"/>
      <c r="G791" s="101"/>
      <c r="H791" s="101"/>
      <c r="I791" s="101"/>
      <c r="J791" s="101"/>
      <c r="K791" s="101"/>
      <c r="L791" s="101"/>
      <c r="M791" s="101"/>
    </row>
    <row r="792" spans="1:15" ht="11.1" customHeight="1">
      <c r="A792" s="101" t="s">
        <v>55</v>
      </c>
      <c r="B792" s="101"/>
      <c r="C792" s="101"/>
      <c r="D792" s="101"/>
      <c r="E792" s="101"/>
      <c r="F792" s="101"/>
      <c r="G792" s="101"/>
      <c r="H792" s="101"/>
      <c r="I792" s="101"/>
      <c r="J792" s="101"/>
      <c r="K792" s="101"/>
      <c r="L792" s="101"/>
      <c r="M792" s="101"/>
    </row>
    <row r="793" spans="1:15" ht="19.5" customHeight="1">
      <c r="A793" s="69" t="s">
        <v>0</v>
      </c>
      <c r="B793" s="69"/>
      <c r="C793" s="69"/>
      <c r="D793" s="69"/>
      <c r="E793" s="69"/>
      <c r="F793" s="69"/>
      <c r="G793" s="69"/>
      <c r="H793" s="69"/>
      <c r="I793" s="69"/>
      <c r="J793" s="69"/>
      <c r="K793" s="69"/>
      <c r="L793" s="69"/>
      <c r="M793" s="69"/>
    </row>
    <row r="794" spans="1:15" ht="20.100000000000001" customHeight="1">
      <c r="A794" s="4" t="s">
        <v>32</v>
      </c>
      <c r="B794" s="5">
        <f>+B750+1</f>
        <v>23</v>
      </c>
      <c r="C794" s="25"/>
      <c r="D794" s="25"/>
      <c r="E794" s="25"/>
      <c r="F794" s="25"/>
      <c r="G794" s="25"/>
      <c r="H794" s="25"/>
      <c r="I794" s="25"/>
      <c r="J794" s="25"/>
      <c r="K794" s="25"/>
      <c r="L794" s="25"/>
      <c r="M794" s="25"/>
    </row>
    <row r="795" spans="1:15" ht="24" customHeight="1" thickBot="1">
      <c r="A795" s="4" t="s">
        <v>33</v>
      </c>
      <c r="H795" s="70" t="s">
        <v>34</v>
      </c>
      <c r="I795" s="70"/>
      <c r="J795" s="70"/>
      <c r="K795" s="102">
        <f>+K751+1</f>
        <v>45949</v>
      </c>
      <c r="L795" s="102"/>
      <c r="M795" s="102"/>
      <c r="O795" s="7"/>
    </row>
    <row r="796" spans="1:15" ht="33.75" customHeight="1" thickBot="1">
      <c r="A796" s="80" t="s">
        <v>1</v>
      </c>
      <c r="B796" s="81"/>
      <c r="C796" s="82"/>
      <c r="D796" s="86" t="str">
        <f>+D752</f>
        <v>光明國中B與C區5樓老舊廁所整修工程</v>
      </c>
      <c r="E796" s="87"/>
      <c r="F796" s="87"/>
      <c r="G796" s="88"/>
      <c r="H796" s="80" t="s">
        <v>2</v>
      </c>
      <c r="I796" s="81"/>
      <c r="J796" s="82"/>
      <c r="K796" s="80" t="s">
        <v>35</v>
      </c>
      <c r="L796" s="81"/>
      <c r="M796" s="82"/>
    </row>
    <row r="797" spans="1:15" ht="33.75" customHeight="1" thickBot="1">
      <c r="A797" s="8" t="s">
        <v>3</v>
      </c>
      <c r="B797" s="26">
        <f>+B753</f>
        <v>142</v>
      </c>
      <c r="C797" s="10" t="s">
        <v>36</v>
      </c>
      <c r="D797" s="80" t="s">
        <v>4</v>
      </c>
      <c r="E797" s="89"/>
      <c r="F797" s="27">
        <f>+F753+1</f>
        <v>23</v>
      </c>
      <c r="G797" s="12" t="s">
        <v>36</v>
      </c>
      <c r="H797" s="13" t="s">
        <v>5</v>
      </c>
      <c r="I797" s="26">
        <f>+B797-F797</f>
        <v>119</v>
      </c>
      <c r="J797" s="10" t="s">
        <v>36</v>
      </c>
      <c r="K797" s="80" t="s">
        <v>6</v>
      </c>
      <c r="L797" s="82"/>
      <c r="M797" s="13">
        <f>+M753</f>
        <v>12</v>
      </c>
    </row>
    <row r="798" spans="1:15" ht="24" customHeight="1" thickBot="1">
      <c r="A798" s="80" t="s">
        <v>7</v>
      </c>
      <c r="B798" s="81"/>
      <c r="C798" s="82"/>
      <c r="D798" s="80" t="str">
        <f>+D754</f>
        <v>114.9.27</v>
      </c>
      <c r="E798" s="81"/>
      <c r="F798" s="81"/>
      <c r="G798" s="82"/>
      <c r="H798" s="80" t="s">
        <v>8</v>
      </c>
      <c r="I798" s="81"/>
      <c r="J798" s="82"/>
      <c r="K798" s="80" t="str">
        <f>+K754</f>
        <v>115.2.15</v>
      </c>
      <c r="L798" s="81"/>
      <c r="M798" s="82"/>
    </row>
    <row r="799" spans="1:15" ht="24" customHeight="1" thickBot="1">
      <c r="A799" s="80" t="s">
        <v>37</v>
      </c>
      <c r="B799" s="81"/>
      <c r="C799" s="82"/>
      <c r="D799" s="83">
        <v>5.3999999999999999E-2</v>
      </c>
      <c r="E799" s="84"/>
      <c r="F799" s="84"/>
      <c r="G799" s="85"/>
      <c r="H799" s="80" t="s">
        <v>38</v>
      </c>
      <c r="I799" s="81"/>
      <c r="J799" s="82"/>
      <c r="K799" s="83">
        <v>0.112</v>
      </c>
      <c r="L799" s="84"/>
      <c r="M799" s="85"/>
    </row>
    <row r="800" spans="1:15" ht="24" customHeight="1" thickBot="1">
      <c r="A800" s="72" t="s">
        <v>9</v>
      </c>
      <c r="B800" s="73"/>
      <c r="C800" s="73"/>
      <c r="D800" s="73"/>
      <c r="E800" s="73"/>
      <c r="F800" s="73"/>
      <c r="G800" s="73"/>
      <c r="H800" s="73"/>
      <c r="I800" s="73"/>
      <c r="J800" s="73"/>
      <c r="K800" s="73"/>
      <c r="L800" s="73"/>
      <c r="M800" s="74"/>
    </row>
    <row r="801" spans="1:13" ht="31.5" customHeight="1" thickBot="1">
      <c r="A801" s="75" t="s">
        <v>10</v>
      </c>
      <c r="B801" s="76"/>
      <c r="C801" s="76"/>
      <c r="D801" s="77"/>
      <c r="E801" s="14" t="s">
        <v>11</v>
      </c>
      <c r="F801" s="75" t="s">
        <v>12</v>
      </c>
      <c r="G801" s="77"/>
      <c r="H801" s="75" t="s">
        <v>13</v>
      </c>
      <c r="I801" s="77"/>
      <c r="J801" s="78" t="s">
        <v>14</v>
      </c>
      <c r="K801" s="79"/>
      <c r="L801" s="75" t="s">
        <v>15</v>
      </c>
      <c r="M801" s="77"/>
    </row>
    <row r="802" spans="1:13" ht="34.5" customHeight="1" thickBot="1">
      <c r="A802" s="63" t="s">
        <v>111</v>
      </c>
      <c r="B802" s="64"/>
      <c r="C802" s="64"/>
      <c r="D802" s="65"/>
      <c r="E802" s="2" t="s">
        <v>101</v>
      </c>
      <c r="F802" s="56">
        <v>1</v>
      </c>
      <c r="G802" s="57"/>
      <c r="H802" s="56">
        <v>0.1</v>
      </c>
      <c r="I802" s="57"/>
      <c r="J802" s="56">
        <v>1</v>
      </c>
      <c r="K802" s="57"/>
      <c r="L802" s="58"/>
      <c r="M802" s="59"/>
    </row>
    <row r="803" spans="1:13" ht="27.95" customHeight="1" thickBot="1">
      <c r="A803" s="63"/>
      <c r="B803" s="64"/>
      <c r="C803" s="64"/>
      <c r="D803" s="65"/>
      <c r="E803" s="15"/>
      <c r="F803" s="126"/>
      <c r="G803" s="127"/>
      <c r="H803" s="126"/>
      <c r="I803" s="127"/>
      <c r="J803" s="126"/>
      <c r="K803" s="127"/>
      <c r="L803" s="58"/>
      <c r="M803" s="59"/>
    </row>
    <row r="804" spans="1:13" ht="24.95" customHeight="1" thickTop="1" thickBot="1">
      <c r="A804" s="130" t="s">
        <v>16</v>
      </c>
      <c r="B804" s="67"/>
      <c r="C804" s="67"/>
      <c r="D804" s="68"/>
      <c r="E804" s="33"/>
      <c r="F804" s="131"/>
      <c r="G804" s="132"/>
      <c r="H804" s="131"/>
      <c r="I804" s="132"/>
      <c r="J804" s="131"/>
      <c r="K804" s="132"/>
      <c r="L804" s="131"/>
      <c r="M804" s="133"/>
    </row>
    <row r="805" spans="1:13" ht="24.95" customHeight="1" thickBot="1">
      <c r="A805" s="134" t="s">
        <v>17</v>
      </c>
      <c r="B805" s="135"/>
      <c r="C805" s="135"/>
      <c r="D805" s="59"/>
      <c r="E805" s="33"/>
      <c r="F805" s="58"/>
      <c r="G805" s="59"/>
      <c r="H805" s="58"/>
      <c r="I805" s="59"/>
      <c r="J805" s="58"/>
      <c r="K805" s="59"/>
      <c r="L805" s="58"/>
      <c r="M805" s="136"/>
    </row>
    <row r="806" spans="1:13" ht="24.95" customHeight="1" thickBot="1">
      <c r="A806" s="118" t="s">
        <v>18</v>
      </c>
      <c r="B806" s="119"/>
      <c r="C806" s="119"/>
      <c r="D806" s="120"/>
      <c r="E806" s="24"/>
      <c r="F806" s="121"/>
      <c r="G806" s="120"/>
      <c r="H806" s="121"/>
      <c r="I806" s="120"/>
      <c r="J806" s="121"/>
      <c r="K806" s="120"/>
      <c r="L806" s="121"/>
      <c r="M806" s="122"/>
    </row>
    <row r="807" spans="1:13" ht="24" customHeight="1" thickTop="1" thickBot="1">
      <c r="A807" s="66" t="s">
        <v>19</v>
      </c>
      <c r="B807" s="67"/>
      <c r="C807" s="67"/>
      <c r="D807" s="67"/>
      <c r="E807" s="67"/>
      <c r="F807" s="67"/>
      <c r="G807" s="67"/>
      <c r="H807" s="67"/>
      <c r="I807" s="67"/>
      <c r="J807" s="67"/>
      <c r="K807" s="67"/>
      <c r="L807" s="67"/>
      <c r="M807" s="68"/>
    </row>
    <row r="808" spans="1:13" ht="35.25" customHeight="1" thickBot="1">
      <c r="A808" s="75" t="s">
        <v>20</v>
      </c>
      <c r="B808" s="76"/>
      <c r="C808" s="76"/>
      <c r="D808" s="77"/>
      <c r="E808" s="14" t="s">
        <v>11</v>
      </c>
      <c r="F808" s="75" t="s">
        <v>39</v>
      </c>
      <c r="G808" s="77"/>
      <c r="H808" s="75" t="s">
        <v>21</v>
      </c>
      <c r="I808" s="77"/>
      <c r="J808" s="78" t="s">
        <v>22</v>
      </c>
      <c r="K808" s="79"/>
      <c r="L808" s="75" t="s">
        <v>15</v>
      </c>
      <c r="M808" s="77"/>
    </row>
    <row r="809" spans="1:13" ht="24" customHeight="1" thickBot="1">
      <c r="A809" s="96"/>
      <c r="B809" s="97"/>
      <c r="C809" s="97"/>
      <c r="D809" s="98"/>
      <c r="E809" s="33"/>
      <c r="F809" s="58"/>
      <c r="G809" s="59"/>
      <c r="H809" s="58"/>
      <c r="I809" s="59"/>
      <c r="J809" s="56"/>
      <c r="K809" s="57"/>
      <c r="L809" s="58"/>
      <c r="M809" s="59"/>
    </row>
    <row r="810" spans="1:13" ht="24" customHeight="1" thickBot="1">
      <c r="A810" s="96"/>
      <c r="B810" s="97"/>
      <c r="C810" s="97"/>
      <c r="D810" s="98"/>
      <c r="E810" s="33"/>
      <c r="F810" s="58"/>
      <c r="G810" s="59"/>
      <c r="H810" s="58"/>
      <c r="I810" s="59"/>
      <c r="J810" s="56"/>
      <c r="K810" s="57"/>
      <c r="L810" s="58"/>
      <c r="M810" s="59"/>
    </row>
    <row r="811" spans="1:13" ht="24" customHeight="1" thickBot="1">
      <c r="A811" s="60" t="s">
        <v>23</v>
      </c>
      <c r="B811" s="61"/>
      <c r="C811" s="61"/>
      <c r="D811" s="61"/>
      <c r="E811" s="61"/>
      <c r="F811" s="61"/>
      <c r="G811" s="61"/>
      <c r="H811" s="61"/>
      <c r="I811" s="61"/>
      <c r="J811" s="61"/>
      <c r="K811" s="61"/>
      <c r="L811" s="61"/>
      <c r="M811" s="62"/>
    </row>
    <row r="812" spans="1:13" ht="30.75" customHeight="1" thickBot="1">
      <c r="A812" s="75" t="s">
        <v>24</v>
      </c>
      <c r="B812" s="77"/>
      <c r="C812" s="75" t="s">
        <v>25</v>
      </c>
      <c r="D812" s="77"/>
      <c r="E812" s="75" t="s">
        <v>26</v>
      </c>
      <c r="F812" s="76"/>
      <c r="G812" s="77"/>
      <c r="H812" s="75" t="s">
        <v>27</v>
      </c>
      <c r="I812" s="77"/>
      <c r="J812" s="78" t="s">
        <v>21</v>
      </c>
      <c r="K812" s="79"/>
      <c r="L812" s="75" t="s">
        <v>22</v>
      </c>
      <c r="M812" s="77"/>
    </row>
    <row r="813" spans="1:13" s="18" customFormat="1" ht="24.75" customHeight="1" thickBot="1">
      <c r="A813" s="99" t="s">
        <v>71</v>
      </c>
      <c r="B813" s="137"/>
      <c r="C813" s="56">
        <v>8</v>
      </c>
      <c r="D813" s="57"/>
      <c r="E813" s="56">
        <v>59</v>
      </c>
      <c r="F813" s="100"/>
      <c r="G813" s="57"/>
      <c r="H813" s="56"/>
      <c r="I813" s="57"/>
      <c r="J813" s="56"/>
      <c r="K813" s="57"/>
      <c r="L813" s="56"/>
      <c r="M813" s="57"/>
    </row>
    <row r="814" spans="1:13" s="18" customFormat="1" ht="24.75" customHeight="1" thickBot="1">
      <c r="A814" s="99"/>
      <c r="B814" s="98"/>
      <c r="C814" s="56"/>
      <c r="D814" s="57"/>
      <c r="E814" s="56"/>
      <c r="F814" s="100"/>
      <c r="G814" s="57"/>
      <c r="H814" s="56"/>
      <c r="I814" s="57"/>
      <c r="J814" s="56"/>
      <c r="K814" s="57"/>
      <c r="L814" s="56"/>
      <c r="M814" s="57"/>
    </row>
    <row r="815" spans="1:13" ht="33" customHeight="1" thickBot="1">
      <c r="A815" s="112" t="s">
        <v>40</v>
      </c>
      <c r="B815" s="113"/>
      <c r="C815" s="113"/>
      <c r="D815" s="113"/>
      <c r="E815" s="113"/>
      <c r="F815" s="113"/>
      <c r="G815" s="113"/>
      <c r="H815" s="113"/>
      <c r="I815" s="113"/>
      <c r="J815" s="113"/>
      <c r="K815" s="113"/>
      <c r="L815" s="113"/>
      <c r="M815" s="114"/>
    </row>
    <row r="816" spans="1:13" ht="16.5" customHeight="1">
      <c r="A816" s="115" t="s">
        <v>41</v>
      </c>
      <c r="B816" s="116"/>
      <c r="C816" s="116"/>
      <c r="D816" s="116"/>
      <c r="E816" s="116"/>
      <c r="F816" s="116"/>
      <c r="G816" s="116"/>
      <c r="H816" s="116"/>
      <c r="I816" s="116"/>
      <c r="J816" s="116"/>
      <c r="K816" s="116"/>
      <c r="L816" s="116"/>
      <c r="M816" s="117"/>
    </row>
    <row r="817" spans="1:13" ht="16.5" customHeight="1">
      <c r="A817" s="90" t="s">
        <v>28</v>
      </c>
      <c r="B817" s="91"/>
      <c r="C817" s="91"/>
      <c r="D817" s="91"/>
      <c r="E817" s="91"/>
      <c r="F817" s="91"/>
      <c r="G817" s="91"/>
      <c r="H817" s="91"/>
      <c r="I817" s="91"/>
      <c r="J817" s="91"/>
      <c r="K817" s="91"/>
      <c r="L817" s="91"/>
      <c r="M817" s="92"/>
    </row>
    <row r="818" spans="1:13" s="1" customFormat="1" ht="16.5" customHeight="1">
      <c r="A818" s="93" t="s">
        <v>56</v>
      </c>
      <c r="B818" s="94"/>
      <c r="C818" s="94"/>
      <c r="D818" s="94"/>
      <c r="E818" s="94"/>
      <c r="F818" s="94"/>
      <c r="G818" s="94"/>
      <c r="H818" s="94"/>
      <c r="I818" s="94"/>
      <c r="J818" s="94"/>
      <c r="K818" s="94"/>
      <c r="L818" s="94"/>
      <c r="M818" s="95"/>
    </row>
    <row r="819" spans="1:13" s="1" customFormat="1" ht="16.5" customHeight="1">
      <c r="A819" s="93" t="s">
        <v>57</v>
      </c>
      <c r="B819" s="94"/>
      <c r="C819" s="94"/>
      <c r="D819" s="94"/>
      <c r="E819" s="94"/>
      <c r="F819" s="94"/>
      <c r="G819" s="94"/>
      <c r="H819" s="94"/>
      <c r="I819" s="94"/>
      <c r="J819" s="94"/>
      <c r="K819" s="94"/>
      <c r="L819" s="94"/>
      <c r="M819" s="95"/>
    </row>
    <row r="820" spans="1:13" s="1" customFormat="1" ht="16.5" customHeight="1">
      <c r="A820" s="93" t="s">
        <v>58</v>
      </c>
      <c r="B820" s="94"/>
      <c r="C820" s="94"/>
      <c r="D820" s="94"/>
      <c r="E820" s="94"/>
      <c r="F820" s="94"/>
      <c r="G820" s="94"/>
      <c r="H820" s="94"/>
      <c r="I820" s="94"/>
      <c r="J820" s="94"/>
      <c r="K820" s="94"/>
      <c r="L820" s="94"/>
      <c r="M820" s="95"/>
    </row>
    <row r="821" spans="1:13" s="1" customFormat="1" ht="16.5" customHeight="1">
      <c r="A821" s="93" t="s">
        <v>59</v>
      </c>
      <c r="B821" s="94"/>
      <c r="C821" s="94"/>
      <c r="D821" s="94"/>
      <c r="E821" s="94"/>
      <c r="F821" s="94"/>
      <c r="G821" s="94"/>
      <c r="H821" s="94"/>
      <c r="I821" s="94"/>
      <c r="J821" s="94"/>
      <c r="K821" s="94"/>
      <c r="L821" s="94"/>
      <c r="M821" s="95"/>
    </row>
    <row r="822" spans="1:13" ht="16.5" customHeight="1">
      <c r="A822" s="106" t="s">
        <v>29</v>
      </c>
      <c r="B822" s="107"/>
      <c r="C822" s="107"/>
      <c r="D822" s="107"/>
      <c r="E822" s="107"/>
      <c r="F822" s="107"/>
      <c r="G822" s="107"/>
      <c r="H822" s="107"/>
      <c r="I822" s="107"/>
      <c r="J822" s="107"/>
      <c r="K822" s="107"/>
      <c r="L822" s="107"/>
      <c r="M822" s="108"/>
    </row>
    <row r="823" spans="1:13" ht="9.75" customHeight="1" thickBot="1">
      <c r="A823" s="109"/>
      <c r="B823" s="110"/>
      <c r="C823" s="110"/>
      <c r="D823" s="110"/>
      <c r="E823" s="110"/>
      <c r="F823" s="110"/>
      <c r="G823" s="110"/>
      <c r="H823" s="110"/>
      <c r="I823" s="110"/>
      <c r="J823" s="110"/>
      <c r="K823" s="110"/>
      <c r="L823" s="110"/>
      <c r="M823" s="111"/>
    </row>
    <row r="824" spans="1:13" ht="18.75" customHeight="1" thickBot="1">
      <c r="A824" s="72" t="s">
        <v>30</v>
      </c>
      <c r="B824" s="73"/>
      <c r="C824" s="73"/>
      <c r="D824" s="73"/>
      <c r="E824" s="73"/>
      <c r="F824" s="73"/>
      <c r="G824" s="73"/>
      <c r="H824" s="73"/>
      <c r="I824" s="73"/>
      <c r="J824" s="73"/>
      <c r="K824" s="73"/>
      <c r="L824" s="73"/>
      <c r="M824" s="74"/>
    </row>
    <row r="825" spans="1:13" ht="24" customHeight="1" thickBot="1">
      <c r="A825" s="72" t="s">
        <v>31</v>
      </c>
      <c r="B825" s="73"/>
      <c r="C825" s="73"/>
      <c r="D825" s="73"/>
      <c r="E825" s="73"/>
      <c r="F825" s="73"/>
      <c r="G825" s="73"/>
      <c r="H825" s="73"/>
      <c r="I825" s="73"/>
      <c r="J825" s="73"/>
      <c r="K825" s="73"/>
      <c r="L825" s="73"/>
      <c r="M825" s="74"/>
    </row>
    <row r="826" spans="1:13" ht="24" customHeight="1" thickBot="1">
      <c r="A826" s="72" t="s">
        <v>96</v>
      </c>
      <c r="B826" s="73"/>
      <c r="C826" s="73"/>
      <c r="D826" s="73"/>
      <c r="E826" s="73"/>
      <c r="F826" s="73"/>
      <c r="G826" s="73"/>
      <c r="H826" s="73"/>
      <c r="I826" s="73"/>
      <c r="J826" s="73"/>
      <c r="K826" s="73"/>
      <c r="L826" s="73"/>
      <c r="M826" s="74"/>
    </row>
    <row r="827" spans="1:13" ht="24" customHeight="1" thickBot="1">
      <c r="A827" s="60" t="s">
        <v>46</v>
      </c>
      <c r="B827" s="61"/>
      <c r="C827" s="61"/>
      <c r="D827" s="61"/>
      <c r="E827" s="61"/>
      <c r="F827" s="61"/>
      <c r="G827" s="61"/>
      <c r="H827" s="61"/>
      <c r="I827" s="61"/>
      <c r="J827" s="61"/>
      <c r="K827" s="61"/>
      <c r="L827" s="61"/>
      <c r="M827" s="62"/>
    </row>
    <row r="828" spans="1:13" ht="11.1" customHeight="1">
      <c r="A828" s="103" t="s">
        <v>47</v>
      </c>
      <c r="B828" s="103"/>
      <c r="C828" s="103"/>
      <c r="D828" s="103"/>
      <c r="E828" s="103"/>
      <c r="F828" s="103"/>
      <c r="G828" s="103"/>
      <c r="H828" s="103"/>
      <c r="I828" s="103"/>
      <c r="J828" s="103"/>
      <c r="K828" s="103"/>
      <c r="L828" s="103"/>
      <c r="M828" s="103"/>
    </row>
    <row r="829" spans="1:13" ht="11.1" customHeight="1">
      <c r="A829" s="104" t="s">
        <v>48</v>
      </c>
      <c r="B829" s="104"/>
      <c r="C829" s="104"/>
      <c r="D829" s="104"/>
      <c r="E829" s="104"/>
      <c r="F829" s="104"/>
      <c r="G829" s="104"/>
      <c r="H829" s="104"/>
      <c r="I829" s="104"/>
      <c r="J829" s="104"/>
      <c r="K829" s="104"/>
      <c r="L829" s="104"/>
      <c r="M829" s="104"/>
    </row>
    <row r="830" spans="1:13" ht="11.1" customHeight="1">
      <c r="A830" s="105" t="s">
        <v>49</v>
      </c>
      <c r="B830" s="105"/>
      <c r="C830" s="105"/>
      <c r="D830" s="105"/>
      <c r="E830" s="105"/>
      <c r="F830" s="105"/>
      <c r="G830" s="105"/>
      <c r="H830" s="105"/>
      <c r="I830" s="105"/>
      <c r="J830" s="105"/>
      <c r="K830" s="105"/>
      <c r="L830" s="105"/>
      <c r="M830" s="105"/>
    </row>
    <row r="831" spans="1:13" ht="11.1" customHeight="1">
      <c r="A831" s="105" t="s">
        <v>50</v>
      </c>
      <c r="B831" s="105"/>
      <c r="C831" s="105"/>
      <c r="D831" s="105"/>
      <c r="E831" s="105"/>
      <c r="F831" s="105"/>
      <c r="G831" s="105"/>
      <c r="H831" s="105"/>
      <c r="I831" s="105"/>
      <c r="J831" s="105"/>
      <c r="K831" s="105"/>
      <c r="L831" s="105"/>
      <c r="M831" s="105"/>
    </row>
    <row r="832" spans="1:13" ht="11.1" customHeight="1">
      <c r="A832" s="104" t="s">
        <v>51</v>
      </c>
      <c r="B832" s="104"/>
      <c r="C832" s="104"/>
      <c r="D832" s="104"/>
      <c r="E832" s="104"/>
      <c r="F832" s="104"/>
      <c r="G832" s="104"/>
      <c r="H832" s="104"/>
      <c r="I832" s="104"/>
      <c r="J832" s="104"/>
      <c r="K832" s="104"/>
      <c r="L832" s="104"/>
      <c r="M832" s="104"/>
    </row>
    <row r="833" spans="1:15" ht="11.1" customHeight="1">
      <c r="A833" s="104" t="s">
        <v>52</v>
      </c>
      <c r="B833" s="104"/>
      <c r="C833" s="104"/>
      <c r="D833" s="104"/>
      <c r="E833" s="104"/>
      <c r="F833" s="104"/>
      <c r="G833" s="104"/>
      <c r="H833" s="104"/>
      <c r="I833" s="104"/>
      <c r="J833" s="104"/>
      <c r="K833" s="104"/>
      <c r="L833" s="104"/>
      <c r="M833" s="104"/>
    </row>
    <row r="834" spans="1:15" ht="11.1" customHeight="1">
      <c r="A834" s="104" t="s">
        <v>53</v>
      </c>
      <c r="B834" s="104"/>
      <c r="C834" s="104"/>
      <c r="D834" s="104"/>
      <c r="E834" s="104"/>
      <c r="F834" s="104"/>
      <c r="G834" s="104"/>
      <c r="H834" s="104"/>
      <c r="I834" s="104"/>
      <c r="J834" s="104"/>
      <c r="K834" s="104"/>
      <c r="L834" s="104"/>
      <c r="M834" s="104"/>
    </row>
    <row r="835" spans="1:15" ht="11.1" customHeight="1">
      <c r="A835" s="101" t="s">
        <v>54</v>
      </c>
      <c r="B835" s="101"/>
      <c r="C835" s="101"/>
      <c r="D835" s="101"/>
      <c r="E835" s="101"/>
      <c r="F835" s="101"/>
      <c r="G835" s="101"/>
      <c r="H835" s="101"/>
      <c r="I835" s="101"/>
      <c r="J835" s="101"/>
      <c r="K835" s="101"/>
      <c r="L835" s="101"/>
      <c r="M835" s="101"/>
    </row>
    <row r="836" spans="1:15" ht="11.1" customHeight="1">
      <c r="A836" s="101" t="s">
        <v>55</v>
      </c>
      <c r="B836" s="101"/>
      <c r="C836" s="101"/>
      <c r="D836" s="101"/>
      <c r="E836" s="101"/>
      <c r="F836" s="101"/>
      <c r="G836" s="101"/>
      <c r="H836" s="101"/>
      <c r="I836" s="101"/>
      <c r="J836" s="101"/>
      <c r="K836" s="101"/>
      <c r="L836" s="101"/>
      <c r="M836" s="101"/>
    </row>
    <row r="837" spans="1:15" ht="19.5" customHeight="1">
      <c r="A837" s="69" t="s">
        <v>0</v>
      </c>
      <c r="B837" s="69"/>
      <c r="C837" s="69"/>
      <c r="D837" s="69"/>
      <c r="E837" s="69"/>
      <c r="F837" s="69"/>
      <c r="G837" s="69"/>
      <c r="H837" s="69"/>
      <c r="I837" s="69"/>
      <c r="J837" s="69"/>
      <c r="K837" s="69"/>
      <c r="L837" s="69"/>
      <c r="M837" s="69"/>
    </row>
    <row r="838" spans="1:15" ht="20.100000000000001" customHeight="1">
      <c r="A838" s="4" t="s">
        <v>32</v>
      </c>
      <c r="B838" s="5">
        <f>+B794+1</f>
        <v>24</v>
      </c>
      <c r="C838" s="25"/>
      <c r="D838" s="25"/>
      <c r="E838" s="25"/>
      <c r="F838" s="25"/>
      <c r="G838" s="25"/>
      <c r="H838" s="25"/>
      <c r="I838" s="25"/>
      <c r="J838" s="25"/>
      <c r="K838" s="25"/>
      <c r="L838" s="25"/>
      <c r="M838" s="25"/>
    </row>
    <row r="839" spans="1:15" ht="24" customHeight="1" thickBot="1">
      <c r="A839" s="4" t="s">
        <v>33</v>
      </c>
      <c r="H839" s="70" t="s">
        <v>34</v>
      </c>
      <c r="I839" s="70"/>
      <c r="J839" s="70"/>
      <c r="K839" s="102">
        <f>+K795+1</f>
        <v>45950</v>
      </c>
      <c r="L839" s="102"/>
      <c r="M839" s="102"/>
      <c r="O839" s="7"/>
    </row>
    <row r="840" spans="1:15" ht="33.75" customHeight="1" thickBot="1">
      <c r="A840" s="80" t="s">
        <v>1</v>
      </c>
      <c r="B840" s="81"/>
      <c r="C840" s="82"/>
      <c r="D840" s="86" t="str">
        <f>+D796</f>
        <v>光明國中B與C區5樓老舊廁所整修工程</v>
      </c>
      <c r="E840" s="87"/>
      <c r="F840" s="87"/>
      <c r="G840" s="88"/>
      <c r="H840" s="80" t="s">
        <v>2</v>
      </c>
      <c r="I840" s="81"/>
      <c r="J840" s="82"/>
      <c r="K840" s="80" t="s">
        <v>35</v>
      </c>
      <c r="L840" s="81"/>
      <c r="M840" s="82"/>
    </row>
    <row r="841" spans="1:15" ht="33.75" customHeight="1" thickBot="1">
      <c r="A841" s="8" t="s">
        <v>3</v>
      </c>
      <c r="B841" s="26">
        <f>+B797</f>
        <v>142</v>
      </c>
      <c r="C841" s="10" t="s">
        <v>36</v>
      </c>
      <c r="D841" s="80" t="s">
        <v>4</v>
      </c>
      <c r="E841" s="89"/>
      <c r="F841" s="27">
        <f>+F797+1</f>
        <v>24</v>
      </c>
      <c r="G841" s="12" t="s">
        <v>36</v>
      </c>
      <c r="H841" s="13" t="s">
        <v>5</v>
      </c>
      <c r="I841" s="26">
        <f>+B841-F841</f>
        <v>118</v>
      </c>
      <c r="J841" s="10" t="s">
        <v>36</v>
      </c>
      <c r="K841" s="80" t="s">
        <v>6</v>
      </c>
      <c r="L841" s="82"/>
      <c r="M841" s="13">
        <f>+M797</f>
        <v>12</v>
      </c>
    </row>
    <row r="842" spans="1:15" ht="24" customHeight="1" thickBot="1">
      <c r="A842" s="80" t="s">
        <v>7</v>
      </c>
      <c r="B842" s="81"/>
      <c r="C842" s="82"/>
      <c r="D842" s="80" t="str">
        <f>+D798</f>
        <v>114.9.27</v>
      </c>
      <c r="E842" s="81"/>
      <c r="F842" s="81"/>
      <c r="G842" s="82"/>
      <c r="H842" s="80" t="s">
        <v>8</v>
      </c>
      <c r="I842" s="81"/>
      <c r="J842" s="82"/>
      <c r="K842" s="80" t="str">
        <f>+K798</f>
        <v>115.2.15</v>
      </c>
      <c r="L842" s="81"/>
      <c r="M842" s="82"/>
    </row>
    <row r="843" spans="1:15" ht="24" customHeight="1" thickBot="1">
      <c r="A843" s="80" t="s">
        <v>37</v>
      </c>
      <c r="B843" s="81"/>
      <c r="C843" s="82"/>
      <c r="D843" s="83">
        <v>5.6000000000000001E-2</v>
      </c>
      <c r="E843" s="84"/>
      <c r="F843" s="84"/>
      <c r="G843" s="85"/>
      <c r="H843" s="80" t="s">
        <v>38</v>
      </c>
      <c r="I843" s="81"/>
      <c r="J843" s="82"/>
      <c r="K843" s="83">
        <f>+K799</f>
        <v>0.112</v>
      </c>
      <c r="L843" s="84"/>
      <c r="M843" s="85"/>
    </row>
    <row r="844" spans="1:15" ht="24" customHeight="1" thickBot="1">
      <c r="A844" s="72" t="s">
        <v>9</v>
      </c>
      <c r="B844" s="73"/>
      <c r="C844" s="73"/>
      <c r="D844" s="73"/>
      <c r="E844" s="73"/>
      <c r="F844" s="73"/>
      <c r="G844" s="73"/>
      <c r="H844" s="73"/>
      <c r="I844" s="73"/>
      <c r="J844" s="73"/>
      <c r="K844" s="73"/>
      <c r="L844" s="73"/>
      <c r="M844" s="74"/>
    </row>
    <row r="845" spans="1:15" ht="35.25" customHeight="1" thickBot="1">
      <c r="A845" s="75" t="s">
        <v>10</v>
      </c>
      <c r="B845" s="76"/>
      <c r="C845" s="76"/>
      <c r="D845" s="77"/>
      <c r="E845" s="14" t="s">
        <v>11</v>
      </c>
      <c r="F845" s="75" t="s">
        <v>12</v>
      </c>
      <c r="G845" s="77"/>
      <c r="H845" s="75" t="s">
        <v>13</v>
      </c>
      <c r="I845" s="77"/>
      <c r="J845" s="78" t="s">
        <v>14</v>
      </c>
      <c r="K845" s="79"/>
      <c r="L845" s="75" t="s">
        <v>15</v>
      </c>
      <c r="M845" s="77"/>
    </row>
    <row r="846" spans="1:15" ht="27.95" customHeight="1" thickBot="1">
      <c r="A846" s="141"/>
      <c r="B846" s="142"/>
      <c r="C846" s="142"/>
      <c r="D846" s="143"/>
      <c r="E846" s="2"/>
      <c r="F846" s="56"/>
      <c r="G846" s="57"/>
      <c r="H846" s="56"/>
      <c r="I846" s="57"/>
      <c r="J846" s="56"/>
      <c r="K846" s="57"/>
      <c r="L846" s="58"/>
      <c r="M846" s="59"/>
    </row>
    <row r="847" spans="1:15" ht="27.95" customHeight="1" thickBot="1">
      <c r="A847" s="141"/>
      <c r="B847" s="142"/>
      <c r="C847" s="142"/>
      <c r="D847" s="143"/>
      <c r="E847" s="15"/>
      <c r="F847" s="56"/>
      <c r="G847" s="57"/>
      <c r="H847" s="56"/>
      <c r="I847" s="57"/>
      <c r="J847" s="56"/>
      <c r="K847" s="57"/>
      <c r="L847" s="58"/>
      <c r="M847" s="59"/>
    </row>
    <row r="848" spans="1:15" ht="24.95" customHeight="1" thickTop="1" thickBot="1">
      <c r="A848" s="130" t="s">
        <v>16</v>
      </c>
      <c r="B848" s="67"/>
      <c r="C848" s="67"/>
      <c r="D848" s="68"/>
      <c r="E848" s="28"/>
      <c r="F848" s="131"/>
      <c r="G848" s="132"/>
      <c r="H848" s="131"/>
      <c r="I848" s="132"/>
      <c r="J848" s="131"/>
      <c r="K848" s="132"/>
      <c r="L848" s="131"/>
      <c r="M848" s="133"/>
    </row>
    <row r="849" spans="1:13" ht="24.95" customHeight="1" thickBot="1">
      <c r="A849" s="134" t="s">
        <v>17</v>
      </c>
      <c r="B849" s="135"/>
      <c r="C849" s="135"/>
      <c r="D849" s="59"/>
      <c r="E849" s="28"/>
      <c r="F849" s="58"/>
      <c r="G849" s="59"/>
      <c r="H849" s="58"/>
      <c r="I849" s="59"/>
      <c r="J849" s="58"/>
      <c r="K849" s="59"/>
      <c r="L849" s="58"/>
      <c r="M849" s="136"/>
    </row>
    <row r="850" spans="1:13" ht="24.95" customHeight="1" thickBot="1">
      <c r="A850" s="118" t="s">
        <v>18</v>
      </c>
      <c r="B850" s="119"/>
      <c r="C850" s="119"/>
      <c r="D850" s="120"/>
      <c r="E850" s="24"/>
      <c r="F850" s="121"/>
      <c r="G850" s="120"/>
      <c r="H850" s="121"/>
      <c r="I850" s="120"/>
      <c r="J850" s="121"/>
      <c r="K850" s="120"/>
      <c r="L850" s="121"/>
      <c r="M850" s="122"/>
    </row>
    <row r="851" spans="1:13" ht="24" customHeight="1" thickTop="1" thickBot="1">
      <c r="A851" s="66" t="s">
        <v>19</v>
      </c>
      <c r="B851" s="67"/>
      <c r="C851" s="67"/>
      <c r="D851" s="67"/>
      <c r="E851" s="67"/>
      <c r="F851" s="67"/>
      <c r="G851" s="67"/>
      <c r="H851" s="67"/>
      <c r="I851" s="67"/>
      <c r="J851" s="67"/>
      <c r="K851" s="67"/>
      <c r="L851" s="67"/>
      <c r="M851" s="68"/>
    </row>
    <row r="852" spans="1:13" ht="35.25" customHeight="1" thickBot="1">
      <c r="A852" s="75" t="s">
        <v>20</v>
      </c>
      <c r="B852" s="76"/>
      <c r="C852" s="76"/>
      <c r="D852" s="77"/>
      <c r="E852" s="14" t="s">
        <v>11</v>
      </c>
      <c r="F852" s="75" t="s">
        <v>39</v>
      </c>
      <c r="G852" s="77"/>
      <c r="H852" s="75" t="s">
        <v>21</v>
      </c>
      <c r="I852" s="77"/>
      <c r="J852" s="78" t="s">
        <v>22</v>
      </c>
      <c r="K852" s="79"/>
      <c r="L852" s="75" t="s">
        <v>15</v>
      </c>
      <c r="M852" s="77"/>
    </row>
    <row r="853" spans="1:13" ht="24" customHeight="1" thickBot="1">
      <c r="A853" s="96"/>
      <c r="B853" s="97"/>
      <c r="C853" s="97"/>
      <c r="D853" s="98"/>
      <c r="E853" s="28"/>
      <c r="F853" s="58"/>
      <c r="G853" s="59"/>
      <c r="H853" s="58"/>
      <c r="I853" s="59"/>
      <c r="J853" s="56"/>
      <c r="K853" s="57"/>
      <c r="L853" s="58"/>
      <c r="M853" s="59"/>
    </row>
    <row r="854" spans="1:13" ht="24" customHeight="1" thickBot="1">
      <c r="A854" s="96"/>
      <c r="B854" s="97"/>
      <c r="C854" s="97"/>
      <c r="D854" s="98"/>
      <c r="E854" s="28"/>
      <c r="F854" s="58"/>
      <c r="G854" s="59"/>
      <c r="H854" s="58"/>
      <c r="I854" s="59"/>
      <c r="J854" s="56"/>
      <c r="K854" s="57"/>
      <c r="L854" s="58"/>
      <c r="M854" s="59"/>
    </row>
    <row r="855" spans="1:13" ht="24" customHeight="1" thickBot="1">
      <c r="A855" s="60" t="s">
        <v>23</v>
      </c>
      <c r="B855" s="61"/>
      <c r="C855" s="61"/>
      <c r="D855" s="61"/>
      <c r="E855" s="61"/>
      <c r="F855" s="61"/>
      <c r="G855" s="61"/>
      <c r="H855" s="61"/>
      <c r="I855" s="61"/>
      <c r="J855" s="61"/>
      <c r="K855" s="61"/>
      <c r="L855" s="61"/>
      <c r="M855" s="62"/>
    </row>
    <row r="856" spans="1:13" ht="35.25" customHeight="1" thickBot="1">
      <c r="A856" s="75" t="s">
        <v>24</v>
      </c>
      <c r="B856" s="77"/>
      <c r="C856" s="75" t="s">
        <v>25</v>
      </c>
      <c r="D856" s="77"/>
      <c r="E856" s="75" t="s">
        <v>26</v>
      </c>
      <c r="F856" s="76"/>
      <c r="G856" s="77"/>
      <c r="H856" s="75" t="s">
        <v>27</v>
      </c>
      <c r="I856" s="77"/>
      <c r="J856" s="78" t="s">
        <v>21</v>
      </c>
      <c r="K856" s="79"/>
      <c r="L856" s="75" t="s">
        <v>22</v>
      </c>
      <c r="M856" s="77"/>
    </row>
    <row r="857" spans="1:13" s="18" customFormat="1" ht="24.75" customHeight="1" thickBot="1">
      <c r="A857" s="99"/>
      <c r="B857" s="98"/>
      <c r="C857" s="56"/>
      <c r="D857" s="57"/>
      <c r="E857" s="56"/>
      <c r="F857" s="100"/>
      <c r="G857" s="57"/>
      <c r="H857" s="56"/>
      <c r="I857" s="57"/>
      <c r="J857" s="56"/>
      <c r="K857" s="57"/>
      <c r="L857" s="56"/>
      <c r="M857" s="57"/>
    </row>
    <row r="858" spans="1:13" s="18" customFormat="1" ht="24.75" customHeight="1" thickBot="1">
      <c r="A858" s="99"/>
      <c r="B858" s="98"/>
      <c r="C858" s="56"/>
      <c r="D858" s="57"/>
      <c r="E858" s="56"/>
      <c r="F858" s="100"/>
      <c r="G858" s="57"/>
      <c r="H858" s="56"/>
      <c r="I858" s="57"/>
      <c r="J858" s="56"/>
      <c r="K858" s="57"/>
      <c r="L858" s="56"/>
      <c r="M858" s="57"/>
    </row>
    <row r="859" spans="1:13" ht="33" customHeight="1" thickBot="1">
      <c r="A859" s="112" t="s">
        <v>60</v>
      </c>
      <c r="B859" s="113"/>
      <c r="C859" s="113"/>
      <c r="D859" s="113"/>
      <c r="E859" s="113"/>
      <c r="F859" s="113"/>
      <c r="G859" s="113"/>
      <c r="H859" s="113"/>
      <c r="I859" s="113"/>
      <c r="J859" s="113"/>
      <c r="K859" s="113"/>
      <c r="L859" s="113"/>
      <c r="M859" s="114"/>
    </row>
    <row r="860" spans="1:13" ht="16.5" customHeight="1">
      <c r="A860" s="115" t="s">
        <v>41</v>
      </c>
      <c r="B860" s="116"/>
      <c r="C860" s="116"/>
      <c r="D860" s="116"/>
      <c r="E860" s="116"/>
      <c r="F860" s="116"/>
      <c r="G860" s="116"/>
      <c r="H860" s="116"/>
      <c r="I860" s="116"/>
      <c r="J860" s="116"/>
      <c r="K860" s="116"/>
      <c r="L860" s="116"/>
      <c r="M860" s="117"/>
    </row>
    <row r="861" spans="1:13" ht="16.5" customHeight="1">
      <c r="A861" s="90" t="s">
        <v>28</v>
      </c>
      <c r="B861" s="91"/>
      <c r="C861" s="91"/>
      <c r="D861" s="91"/>
      <c r="E861" s="91"/>
      <c r="F861" s="91"/>
      <c r="G861" s="91"/>
      <c r="H861" s="91"/>
      <c r="I861" s="91"/>
      <c r="J861" s="91"/>
      <c r="K861" s="91"/>
      <c r="L861" s="91"/>
      <c r="M861" s="92"/>
    </row>
    <row r="862" spans="1:13" ht="16.5" customHeight="1">
      <c r="A862" s="106" t="s">
        <v>42</v>
      </c>
      <c r="B862" s="107"/>
      <c r="C862" s="107"/>
      <c r="D862" s="107"/>
      <c r="E862" s="107"/>
      <c r="F862" s="107"/>
      <c r="G862" s="107"/>
      <c r="H862" s="107"/>
      <c r="I862" s="107"/>
      <c r="J862" s="107"/>
      <c r="K862" s="107"/>
      <c r="L862" s="107"/>
      <c r="M862" s="108"/>
    </row>
    <row r="863" spans="1:13" ht="16.5" customHeight="1">
      <c r="A863" s="106" t="s">
        <v>43</v>
      </c>
      <c r="B863" s="107"/>
      <c r="C863" s="107"/>
      <c r="D863" s="107"/>
      <c r="E863" s="107"/>
      <c r="F863" s="107"/>
      <c r="G863" s="107"/>
      <c r="H863" s="107"/>
      <c r="I863" s="107"/>
      <c r="J863" s="107"/>
      <c r="K863" s="107"/>
      <c r="L863" s="107"/>
      <c r="M863" s="108"/>
    </row>
    <row r="864" spans="1:13" ht="16.5" customHeight="1">
      <c r="A864" s="106" t="s">
        <v>44</v>
      </c>
      <c r="B864" s="107"/>
      <c r="C864" s="107"/>
      <c r="D864" s="107"/>
      <c r="E864" s="107"/>
      <c r="F864" s="107"/>
      <c r="G864" s="107"/>
      <c r="H864" s="107"/>
      <c r="I864" s="107"/>
      <c r="J864" s="107"/>
      <c r="K864" s="107"/>
      <c r="L864" s="107"/>
      <c r="M864" s="108"/>
    </row>
    <row r="865" spans="1:13" ht="16.5" customHeight="1">
      <c r="A865" s="106" t="s">
        <v>45</v>
      </c>
      <c r="B865" s="107"/>
      <c r="C865" s="107"/>
      <c r="D865" s="107"/>
      <c r="E865" s="107"/>
      <c r="F865" s="107"/>
      <c r="G865" s="107"/>
      <c r="H865" s="107"/>
      <c r="I865" s="107"/>
      <c r="J865" s="107"/>
      <c r="K865" s="107"/>
      <c r="L865" s="107"/>
      <c r="M865" s="108"/>
    </row>
    <row r="866" spans="1:13" ht="16.5" customHeight="1">
      <c r="A866" s="106" t="s">
        <v>29</v>
      </c>
      <c r="B866" s="107"/>
      <c r="C866" s="107"/>
      <c r="D866" s="107"/>
      <c r="E866" s="107"/>
      <c r="F866" s="107"/>
      <c r="G866" s="107"/>
      <c r="H866" s="107"/>
      <c r="I866" s="107"/>
      <c r="J866" s="107"/>
      <c r="K866" s="107"/>
      <c r="L866" s="107"/>
      <c r="M866" s="108"/>
    </row>
    <row r="867" spans="1:13" ht="9.75" customHeight="1" thickBot="1">
      <c r="A867" s="109"/>
      <c r="B867" s="110"/>
      <c r="C867" s="110"/>
      <c r="D867" s="110"/>
      <c r="E867" s="110"/>
      <c r="F867" s="110"/>
      <c r="G867" s="110"/>
      <c r="H867" s="110"/>
      <c r="I867" s="110"/>
      <c r="J867" s="110"/>
      <c r="K867" s="110"/>
      <c r="L867" s="110"/>
      <c r="M867" s="111"/>
    </row>
    <row r="868" spans="1:13" ht="18.75" customHeight="1" thickBot="1">
      <c r="A868" s="72" t="s">
        <v>30</v>
      </c>
      <c r="B868" s="73"/>
      <c r="C868" s="73"/>
      <c r="D868" s="73"/>
      <c r="E868" s="73"/>
      <c r="F868" s="73"/>
      <c r="G868" s="73"/>
      <c r="H868" s="73"/>
      <c r="I868" s="73"/>
      <c r="J868" s="73"/>
      <c r="K868" s="73"/>
      <c r="L868" s="73"/>
      <c r="M868" s="74"/>
    </row>
    <row r="869" spans="1:13" ht="24" customHeight="1" thickBot="1">
      <c r="A869" s="72" t="s">
        <v>31</v>
      </c>
      <c r="B869" s="73"/>
      <c r="C869" s="73"/>
      <c r="D869" s="73"/>
      <c r="E869" s="73"/>
      <c r="F869" s="73"/>
      <c r="G869" s="73"/>
      <c r="H869" s="73"/>
      <c r="I869" s="73"/>
      <c r="J869" s="73"/>
      <c r="K869" s="73"/>
      <c r="L869" s="73"/>
      <c r="M869" s="74"/>
    </row>
    <row r="870" spans="1:13" ht="24" customHeight="1" thickBot="1">
      <c r="A870" s="72" t="s">
        <v>98</v>
      </c>
      <c r="B870" s="73"/>
      <c r="C870" s="73"/>
      <c r="D870" s="73"/>
      <c r="E870" s="73"/>
      <c r="F870" s="73"/>
      <c r="G870" s="73"/>
      <c r="H870" s="73"/>
      <c r="I870" s="73"/>
      <c r="J870" s="73"/>
      <c r="K870" s="73"/>
      <c r="L870" s="73"/>
      <c r="M870" s="74"/>
    </row>
    <row r="871" spans="1:13" ht="24" customHeight="1" thickBot="1">
      <c r="A871" s="60" t="s">
        <v>46</v>
      </c>
      <c r="B871" s="61"/>
      <c r="C871" s="61"/>
      <c r="D871" s="61"/>
      <c r="E871" s="61"/>
      <c r="F871" s="61"/>
      <c r="G871" s="61"/>
      <c r="H871" s="61"/>
      <c r="I871" s="61"/>
      <c r="J871" s="61"/>
      <c r="K871" s="61"/>
      <c r="L871" s="61"/>
      <c r="M871" s="62"/>
    </row>
    <row r="872" spans="1:13" ht="11.1" customHeight="1">
      <c r="A872" s="103" t="s">
        <v>47</v>
      </c>
      <c r="B872" s="103"/>
      <c r="C872" s="103"/>
      <c r="D872" s="103"/>
      <c r="E872" s="103"/>
      <c r="F872" s="103"/>
      <c r="G872" s="103"/>
      <c r="H872" s="103"/>
      <c r="I872" s="103"/>
      <c r="J872" s="103"/>
      <c r="K872" s="103"/>
      <c r="L872" s="103"/>
      <c r="M872" s="103"/>
    </row>
    <row r="873" spans="1:13" ht="11.1" customHeight="1">
      <c r="A873" s="104" t="s">
        <v>48</v>
      </c>
      <c r="B873" s="104"/>
      <c r="C873" s="104"/>
      <c r="D873" s="104"/>
      <c r="E873" s="104"/>
      <c r="F873" s="104"/>
      <c r="G873" s="104"/>
      <c r="H873" s="104"/>
      <c r="I873" s="104"/>
      <c r="J873" s="104"/>
      <c r="K873" s="104"/>
      <c r="L873" s="104"/>
      <c r="M873" s="104"/>
    </row>
    <row r="874" spans="1:13" ht="11.1" customHeight="1">
      <c r="A874" s="105" t="s">
        <v>49</v>
      </c>
      <c r="B874" s="105"/>
      <c r="C874" s="105"/>
      <c r="D874" s="105"/>
      <c r="E874" s="105"/>
      <c r="F874" s="105"/>
      <c r="G874" s="105"/>
      <c r="H874" s="105"/>
      <c r="I874" s="105"/>
      <c r="J874" s="105"/>
      <c r="K874" s="105"/>
      <c r="L874" s="105"/>
      <c r="M874" s="105"/>
    </row>
    <row r="875" spans="1:13" ht="11.1" customHeight="1">
      <c r="A875" s="105" t="s">
        <v>50</v>
      </c>
      <c r="B875" s="105"/>
      <c r="C875" s="105"/>
      <c r="D875" s="105"/>
      <c r="E875" s="105"/>
      <c r="F875" s="105"/>
      <c r="G875" s="105"/>
      <c r="H875" s="105"/>
      <c r="I875" s="105"/>
      <c r="J875" s="105"/>
      <c r="K875" s="105"/>
      <c r="L875" s="105"/>
      <c r="M875" s="105"/>
    </row>
    <row r="876" spans="1:13" ht="11.1" customHeight="1">
      <c r="A876" s="104" t="s">
        <v>51</v>
      </c>
      <c r="B876" s="104"/>
      <c r="C876" s="104"/>
      <c r="D876" s="104"/>
      <c r="E876" s="104"/>
      <c r="F876" s="104"/>
      <c r="G876" s="104"/>
      <c r="H876" s="104"/>
      <c r="I876" s="104"/>
      <c r="J876" s="104"/>
      <c r="K876" s="104"/>
      <c r="L876" s="104"/>
      <c r="M876" s="104"/>
    </row>
    <row r="877" spans="1:13" ht="11.1" customHeight="1">
      <c r="A877" s="104" t="s">
        <v>52</v>
      </c>
      <c r="B877" s="104"/>
      <c r="C877" s="104"/>
      <c r="D877" s="104"/>
      <c r="E877" s="104"/>
      <c r="F877" s="104"/>
      <c r="G877" s="104"/>
      <c r="H877" s="104"/>
      <c r="I877" s="104"/>
      <c r="J877" s="104"/>
      <c r="K877" s="104"/>
      <c r="L877" s="104"/>
      <c r="M877" s="104"/>
    </row>
    <row r="878" spans="1:13" ht="11.1" customHeight="1">
      <c r="A878" s="104" t="s">
        <v>53</v>
      </c>
      <c r="B878" s="104"/>
      <c r="C878" s="104"/>
      <c r="D878" s="104"/>
      <c r="E878" s="104"/>
      <c r="F878" s="104"/>
      <c r="G878" s="104"/>
      <c r="H878" s="104"/>
      <c r="I878" s="104"/>
      <c r="J878" s="104"/>
      <c r="K878" s="104"/>
      <c r="L878" s="104"/>
      <c r="M878" s="104"/>
    </row>
    <row r="879" spans="1:13" ht="11.1" customHeight="1">
      <c r="A879" s="101" t="s">
        <v>54</v>
      </c>
      <c r="B879" s="101"/>
      <c r="C879" s="101"/>
      <c r="D879" s="101"/>
      <c r="E879" s="101"/>
      <c r="F879" s="101"/>
      <c r="G879" s="101"/>
      <c r="H879" s="101"/>
      <c r="I879" s="101"/>
      <c r="J879" s="101"/>
      <c r="K879" s="101"/>
      <c r="L879" s="101"/>
      <c r="M879" s="101"/>
    </row>
    <row r="880" spans="1:13" ht="11.1" customHeight="1">
      <c r="A880" s="101" t="s">
        <v>55</v>
      </c>
      <c r="B880" s="101"/>
      <c r="C880" s="101"/>
      <c r="D880" s="101"/>
      <c r="E880" s="101"/>
      <c r="F880" s="101"/>
      <c r="G880" s="101"/>
      <c r="H880" s="101"/>
      <c r="I880" s="101"/>
      <c r="J880" s="101"/>
      <c r="K880" s="101"/>
      <c r="L880" s="101"/>
      <c r="M880" s="101"/>
    </row>
    <row r="881" spans="1:15" ht="19.5" customHeight="1">
      <c r="A881" s="69" t="s">
        <v>0</v>
      </c>
      <c r="B881" s="69"/>
      <c r="C881" s="69"/>
      <c r="D881" s="69"/>
      <c r="E881" s="69"/>
      <c r="F881" s="69"/>
      <c r="G881" s="69"/>
      <c r="H881" s="69"/>
      <c r="I881" s="69"/>
      <c r="J881" s="69"/>
      <c r="K881" s="69"/>
      <c r="L881" s="69"/>
      <c r="M881" s="69"/>
    </row>
    <row r="882" spans="1:15" ht="20.100000000000001" customHeight="1">
      <c r="A882" s="4" t="s">
        <v>32</v>
      </c>
      <c r="B882" s="5">
        <f>+B838+1</f>
        <v>25</v>
      </c>
      <c r="C882" s="25"/>
      <c r="D882" s="25"/>
      <c r="E882" s="25"/>
      <c r="F882" s="25"/>
      <c r="G882" s="25"/>
      <c r="H882" s="25"/>
      <c r="I882" s="25"/>
      <c r="J882" s="25"/>
      <c r="K882" s="25"/>
      <c r="L882" s="25"/>
      <c r="M882" s="25"/>
    </row>
    <row r="883" spans="1:15" ht="24" customHeight="1" thickBot="1">
      <c r="A883" s="4" t="s">
        <v>33</v>
      </c>
      <c r="H883" s="70" t="s">
        <v>34</v>
      </c>
      <c r="I883" s="70"/>
      <c r="J883" s="70"/>
      <c r="K883" s="102">
        <f>+K839+1</f>
        <v>45951</v>
      </c>
      <c r="L883" s="102"/>
      <c r="M883" s="102"/>
      <c r="O883" s="7"/>
    </row>
    <row r="884" spans="1:15" ht="33.75" customHeight="1" thickBot="1">
      <c r="A884" s="80" t="s">
        <v>1</v>
      </c>
      <c r="B884" s="81"/>
      <c r="C884" s="82"/>
      <c r="D884" s="86" t="str">
        <f>+D840</f>
        <v>光明國中B與C區5樓老舊廁所整修工程</v>
      </c>
      <c r="E884" s="87"/>
      <c r="F884" s="87"/>
      <c r="G884" s="88"/>
      <c r="H884" s="80" t="s">
        <v>2</v>
      </c>
      <c r="I884" s="81"/>
      <c r="J884" s="82"/>
      <c r="K884" s="80" t="s">
        <v>35</v>
      </c>
      <c r="L884" s="81"/>
      <c r="M884" s="82"/>
    </row>
    <row r="885" spans="1:15" ht="33.75" customHeight="1" thickBot="1">
      <c r="A885" s="8" t="s">
        <v>3</v>
      </c>
      <c r="B885" s="26">
        <f>+B841</f>
        <v>142</v>
      </c>
      <c r="C885" s="10" t="s">
        <v>36</v>
      </c>
      <c r="D885" s="80" t="s">
        <v>4</v>
      </c>
      <c r="E885" s="89"/>
      <c r="F885" s="27">
        <f>+F841+1</f>
        <v>25</v>
      </c>
      <c r="G885" s="12" t="s">
        <v>36</v>
      </c>
      <c r="H885" s="13" t="s">
        <v>5</v>
      </c>
      <c r="I885" s="26">
        <f>+B885-F885</f>
        <v>117</v>
      </c>
      <c r="J885" s="10" t="s">
        <v>36</v>
      </c>
      <c r="K885" s="80" t="s">
        <v>6</v>
      </c>
      <c r="L885" s="82"/>
      <c r="M885" s="13">
        <f>+M841</f>
        <v>12</v>
      </c>
    </row>
    <row r="886" spans="1:15" ht="24" customHeight="1" thickBot="1">
      <c r="A886" s="80" t="s">
        <v>7</v>
      </c>
      <c r="B886" s="81"/>
      <c r="C886" s="82"/>
      <c r="D886" s="80" t="str">
        <f>+D842</f>
        <v>114.9.27</v>
      </c>
      <c r="E886" s="81"/>
      <c r="F886" s="81"/>
      <c r="G886" s="82"/>
      <c r="H886" s="80" t="s">
        <v>8</v>
      </c>
      <c r="I886" s="81"/>
      <c r="J886" s="82"/>
      <c r="K886" s="80" t="str">
        <f>+K842</f>
        <v>115.2.15</v>
      </c>
      <c r="L886" s="81"/>
      <c r="M886" s="82"/>
    </row>
    <row r="887" spans="1:15" ht="24" customHeight="1" thickBot="1">
      <c r="A887" s="80" t="s">
        <v>37</v>
      </c>
      <c r="B887" s="81"/>
      <c r="C887" s="82"/>
      <c r="D887" s="83">
        <v>5.8000000000000003E-2</v>
      </c>
      <c r="E887" s="84"/>
      <c r="F887" s="84"/>
      <c r="G887" s="85"/>
      <c r="H887" s="80" t="s">
        <v>38</v>
      </c>
      <c r="I887" s="81"/>
      <c r="J887" s="82"/>
      <c r="K887" s="83">
        <v>0.13400000000000001</v>
      </c>
      <c r="L887" s="84"/>
      <c r="M887" s="85"/>
    </row>
    <row r="888" spans="1:15" ht="24" customHeight="1" thickBot="1">
      <c r="A888" s="72" t="s">
        <v>9</v>
      </c>
      <c r="B888" s="73"/>
      <c r="C888" s="73"/>
      <c r="D888" s="73"/>
      <c r="E888" s="73"/>
      <c r="F888" s="73"/>
      <c r="G888" s="73"/>
      <c r="H888" s="73"/>
      <c r="I888" s="73"/>
      <c r="J888" s="73"/>
      <c r="K888" s="73"/>
      <c r="L888" s="73"/>
      <c r="M888" s="74"/>
    </row>
    <row r="889" spans="1:15" ht="35.25" customHeight="1" thickBot="1">
      <c r="A889" s="75" t="s">
        <v>10</v>
      </c>
      <c r="B889" s="76"/>
      <c r="C889" s="76"/>
      <c r="D889" s="77"/>
      <c r="E889" s="14" t="s">
        <v>11</v>
      </c>
      <c r="F889" s="75" t="s">
        <v>12</v>
      </c>
      <c r="G889" s="77"/>
      <c r="H889" s="75" t="s">
        <v>13</v>
      </c>
      <c r="I889" s="77"/>
      <c r="J889" s="78" t="s">
        <v>14</v>
      </c>
      <c r="K889" s="79"/>
      <c r="L889" s="75" t="s">
        <v>15</v>
      </c>
      <c r="M889" s="77"/>
    </row>
    <row r="890" spans="1:15" ht="27.95" customHeight="1" thickBot="1">
      <c r="A890" s="141" t="s">
        <v>92</v>
      </c>
      <c r="B890" s="142"/>
      <c r="C890" s="142"/>
      <c r="D890" s="143"/>
      <c r="E890" s="2" t="s">
        <v>69</v>
      </c>
      <c r="F890" s="56">
        <v>1</v>
      </c>
      <c r="G890" s="57"/>
      <c r="H890" s="56">
        <v>0.05</v>
      </c>
      <c r="I890" s="57"/>
      <c r="J890" s="56">
        <v>0.05</v>
      </c>
      <c r="K890" s="57"/>
      <c r="L890" s="58"/>
      <c r="M890" s="59"/>
    </row>
    <row r="891" spans="1:15" ht="27.95" customHeight="1" thickBot="1">
      <c r="A891" s="141"/>
      <c r="B891" s="142"/>
      <c r="C891" s="142"/>
      <c r="D891" s="143"/>
      <c r="E891" s="15"/>
      <c r="F891" s="56"/>
      <c r="G891" s="57"/>
      <c r="H891" s="56"/>
      <c r="I891" s="57"/>
      <c r="J891" s="56"/>
      <c r="K891" s="57"/>
      <c r="L891" s="58"/>
      <c r="M891" s="59"/>
    </row>
    <row r="892" spans="1:15" ht="24.95" customHeight="1" thickTop="1" thickBot="1">
      <c r="A892" s="130" t="s">
        <v>16</v>
      </c>
      <c r="B892" s="67"/>
      <c r="C892" s="67"/>
      <c r="D892" s="68"/>
      <c r="E892" s="28"/>
      <c r="F892" s="131"/>
      <c r="G892" s="132"/>
      <c r="H892" s="131"/>
      <c r="I892" s="132"/>
      <c r="J892" s="131"/>
      <c r="K892" s="132"/>
      <c r="L892" s="131"/>
      <c r="M892" s="133"/>
    </row>
    <row r="893" spans="1:15" ht="24.95" customHeight="1" thickBot="1">
      <c r="A893" s="134" t="s">
        <v>17</v>
      </c>
      <c r="B893" s="135"/>
      <c r="C893" s="135"/>
      <c r="D893" s="59"/>
      <c r="E893" s="28"/>
      <c r="F893" s="58"/>
      <c r="G893" s="59"/>
      <c r="H893" s="58"/>
      <c r="I893" s="59"/>
      <c r="J893" s="58"/>
      <c r="K893" s="59"/>
      <c r="L893" s="58"/>
      <c r="M893" s="136"/>
    </row>
    <row r="894" spans="1:15" ht="24.95" customHeight="1" thickBot="1">
      <c r="A894" s="118" t="s">
        <v>18</v>
      </c>
      <c r="B894" s="119"/>
      <c r="C894" s="119"/>
      <c r="D894" s="120"/>
      <c r="E894" s="24"/>
      <c r="F894" s="121"/>
      <c r="G894" s="120"/>
      <c r="H894" s="121"/>
      <c r="I894" s="120"/>
      <c r="J894" s="121"/>
      <c r="K894" s="120"/>
      <c r="L894" s="121"/>
      <c r="M894" s="122"/>
    </row>
    <row r="895" spans="1:15" ht="24" customHeight="1" thickTop="1" thickBot="1">
      <c r="A895" s="66" t="s">
        <v>19</v>
      </c>
      <c r="B895" s="67"/>
      <c r="C895" s="67"/>
      <c r="D895" s="67"/>
      <c r="E895" s="67"/>
      <c r="F895" s="67"/>
      <c r="G895" s="67"/>
      <c r="H895" s="67"/>
      <c r="I895" s="67"/>
      <c r="J895" s="67"/>
      <c r="K895" s="67"/>
      <c r="L895" s="67"/>
      <c r="M895" s="68"/>
    </row>
    <row r="896" spans="1:15" ht="35.25" customHeight="1" thickBot="1">
      <c r="A896" s="75" t="s">
        <v>20</v>
      </c>
      <c r="B896" s="76"/>
      <c r="C896" s="76"/>
      <c r="D896" s="77"/>
      <c r="E896" s="14" t="s">
        <v>11</v>
      </c>
      <c r="F896" s="75" t="s">
        <v>39</v>
      </c>
      <c r="G896" s="77"/>
      <c r="H896" s="75" t="s">
        <v>21</v>
      </c>
      <c r="I896" s="77"/>
      <c r="J896" s="78" t="s">
        <v>22</v>
      </c>
      <c r="K896" s="79"/>
      <c r="L896" s="75" t="s">
        <v>15</v>
      </c>
      <c r="M896" s="77"/>
    </row>
    <row r="897" spans="1:13" ht="24" customHeight="1" thickBot="1">
      <c r="A897" s="96"/>
      <c r="B897" s="97"/>
      <c r="C897" s="97"/>
      <c r="D897" s="98"/>
      <c r="E897" s="28"/>
      <c r="F897" s="58"/>
      <c r="G897" s="59"/>
      <c r="H897" s="58"/>
      <c r="I897" s="59"/>
      <c r="J897" s="56"/>
      <c r="K897" s="57"/>
      <c r="L897" s="58"/>
      <c r="M897" s="59"/>
    </row>
    <row r="898" spans="1:13" ht="24" customHeight="1" thickBot="1">
      <c r="A898" s="96"/>
      <c r="B898" s="97"/>
      <c r="C898" s="97"/>
      <c r="D898" s="98"/>
      <c r="E898" s="28"/>
      <c r="F898" s="58"/>
      <c r="G898" s="59"/>
      <c r="H898" s="58"/>
      <c r="I898" s="59"/>
      <c r="J898" s="56"/>
      <c r="K898" s="57"/>
      <c r="L898" s="58"/>
      <c r="M898" s="59"/>
    </row>
    <row r="899" spans="1:13" ht="24" customHeight="1" thickBot="1">
      <c r="A899" s="60" t="s">
        <v>23</v>
      </c>
      <c r="B899" s="61"/>
      <c r="C899" s="61"/>
      <c r="D899" s="61"/>
      <c r="E899" s="61"/>
      <c r="F899" s="61"/>
      <c r="G899" s="61"/>
      <c r="H899" s="61"/>
      <c r="I899" s="61"/>
      <c r="J899" s="61"/>
      <c r="K899" s="61"/>
      <c r="L899" s="61"/>
      <c r="M899" s="62"/>
    </row>
    <row r="900" spans="1:13" ht="35.25" customHeight="1" thickBot="1">
      <c r="A900" s="75" t="s">
        <v>24</v>
      </c>
      <c r="B900" s="77"/>
      <c r="C900" s="75" t="s">
        <v>25</v>
      </c>
      <c r="D900" s="77"/>
      <c r="E900" s="75" t="s">
        <v>26</v>
      </c>
      <c r="F900" s="76"/>
      <c r="G900" s="77"/>
      <c r="H900" s="75" t="s">
        <v>27</v>
      </c>
      <c r="I900" s="77"/>
      <c r="J900" s="78" t="s">
        <v>21</v>
      </c>
      <c r="K900" s="79"/>
      <c r="L900" s="75" t="s">
        <v>22</v>
      </c>
      <c r="M900" s="77"/>
    </row>
    <row r="901" spans="1:13" s="18" customFormat="1" ht="24.75" customHeight="1" thickBot="1">
      <c r="A901" s="99" t="s">
        <v>80</v>
      </c>
      <c r="B901" s="98"/>
      <c r="C901" s="56">
        <v>2</v>
      </c>
      <c r="D901" s="57"/>
      <c r="E901" s="56">
        <v>3</v>
      </c>
      <c r="F901" s="100"/>
      <c r="G901" s="57"/>
      <c r="H901" s="56"/>
      <c r="I901" s="57"/>
      <c r="J901" s="56"/>
      <c r="K901" s="57"/>
      <c r="L901" s="56"/>
      <c r="M901" s="57"/>
    </row>
    <row r="902" spans="1:13" s="18" customFormat="1" ht="24.75" customHeight="1" thickBot="1">
      <c r="A902" s="99"/>
      <c r="B902" s="98"/>
      <c r="C902" s="56"/>
      <c r="D902" s="57"/>
      <c r="E902" s="56"/>
      <c r="F902" s="100"/>
      <c r="G902" s="57"/>
      <c r="H902" s="56"/>
      <c r="I902" s="57"/>
      <c r="J902" s="56"/>
      <c r="K902" s="57"/>
      <c r="L902" s="56"/>
      <c r="M902" s="57"/>
    </row>
    <row r="903" spans="1:13" ht="33" customHeight="1" thickBot="1">
      <c r="A903" s="112" t="s">
        <v>40</v>
      </c>
      <c r="B903" s="113"/>
      <c r="C903" s="113"/>
      <c r="D903" s="113"/>
      <c r="E903" s="113"/>
      <c r="F903" s="113"/>
      <c r="G903" s="113"/>
      <c r="H903" s="113"/>
      <c r="I903" s="113"/>
      <c r="J903" s="113"/>
      <c r="K903" s="113"/>
      <c r="L903" s="113"/>
      <c r="M903" s="114"/>
    </row>
    <row r="904" spans="1:13" ht="16.5" customHeight="1">
      <c r="A904" s="115" t="s">
        <v>41</v>
      </c>
      <c r="B904" s="116"/>
      <c r="C904" s="116"/>
      <c r="D904" s="116"/>
      <c r="E904" s="116"/>
      <c r="F904" s="116"/>
      <c r="G904" s="116"/>
      <c r="H904" s="116"/>
      <c r="I904" s="116"/>
      <c r="J904" s="116"/>
      <c r="K904" s="116"/>
      <c r="L904" s="116"/>
      <c r="M904" s="117"/>
    </row>
    <row r="905" spans="1:13" ht="16.5" customHeight="1">
      <c r="A905" s="90" t="s">
        <v>28</v>
      </c>
      <c r="B905" s="91"/>
      <c r="C905" s="91"/>
      <c r="D905" s="91"/>
      <c r="E905" s="91"/>
      <c r="F905" s="91"/>
      <c r="G905" s="91"/>
      <c r="H905" s="91"/>
      <c r="I905" s="91"/>
      <c r="J905" s="91"/>
      <c r="K905" s="91"/>
      <c r="L905" s="91"/>
      <c r="M905" s="92"/>
    </row>
    <row r="906" spans="1:13" s="1" customFormat="1" ht="16.5" customHeight="1">
      <c r="A906" s="93" t="s">
        <v>56</v>
      </c>
      <c r="B906" s="94"/>
      <c r="C906" s="94"/>
      <c r="D906" s="94"/>
      <c r="E906" s="94"/>
      <c r="F906" s="94"/>
      <c r="G906" s="94"/>
      <c r="H906" s="94"/>
      <c r="I906" s="94"/>
      <c r="J906" s="94"/>
      <c r="K906" s="94"/>
      <c r="L906" s="94"/>
      <c r="M906" s="95"/>
    </row>
    <row r="907" spans="1:13" s="1" customFormat="1" ht="16.5" customHeight="1">
      <c r="A907" s="93" t="s">
        <v>57</v>
      </c>
      <c r="B907" s="94"/>
      <c r="C907" s="94"/>
      <c r="D907" s="94"/>
      <c r="E907" s="94"/>
      <c r="F907" s="94"/>
      <c r="G907" s="94"/>
      <c r="H907" s="94"/>
      <c r="I907" s="94"/>
      <c r="J907" s="94"/>
      <c r="K907" s="94"/>
      <c r="L907" s="94"/>
      <c r="M907" s="95"/>
    </row>
    <row r="908" spans="1:13" s="1" customFormat="1" ht="16.5" customHeight="1">
      <c r="A908" s="93" t="s">
        <v>58</v>
      </c>
      <c r="B908" s="94"/>
      <c r="C908" s="94"/>
      <c r="D908" s="94"/>
      <c r="E908" s="94"/>
      <c r="F908" s="94"/>
      <c r="G908" s="94"/>
      <c r="H908" s="94"/>
      <c r="I908" s="94"/>
      <c r="J908" s="94"/>
      <c r="K908" s="94"/>
      <c r="L908" s="94"/>
      <c r="M908" s="95"/>
    </row>
    <row r="909" spans="1:13" s="1" customFormat="1" ht="16.5" customHeight="1">
      <c r="A909" s="93" t="s">
        <v>59</v>
      </c>
      <c r="B909" s="94"/>
      <c r="C909" s="94"/>
      <c r="D909" s="94"/>
      <c r="E909" s="94"/>
      <c r="F909" s="94"/>
      <c r="G909" s="94"/>
      <c r="H909" s="94"/>
      <c r="I909" s="94"/>
      <c r="J909" s="94"/>
      <c r="K909" s="94"/>
      <c r="L909" s="94"/>
      <c r="M909" s="95"/>
    </row>
    <row r="910" spans="1:13" ht="16.5" customHeight="1">
      <c r="A910" s="106" t="s">
        <v>29</v>
      </c>
      <c r="B910" s="107"/>
      <c r="C910" s="107"/>
      <c r="D910" s="107"/>
      <c r="E910" s="107"/>
      <c r="F910" s="107"/>
      <c r="G910" s="107"/>
      <c r="H910" s="107"/>
      <c r="I910" s="107"/>
      <c r="J910" s="107"/>
      <c r="K910" s="107"/>
      <c r="L910" s="107"/>
      <c r="M910" s="108"/>
    </row>
    <row r="911" spans="1:13" ht="9.75" customHeight="1" thickBot="1">
      <c r="A911" s="109"/>
      <c r="B911" s="110"/>
      <c r="C911" s="110"/>
      <c r="D911" s="110"/>
      <c r="E911" s="110"/>
      <c r="F911" s="110"/>
      <c r="G911" s="110"/>
      <c r="H911" s="110"/>
      <c r="I911" s="110"/>
      <c r="J911" s="110"/>
      <c r="K911" s="110"/>
      <c r="L911" s="110"/>
      <c r="M911" s="111"/>
    </row>
    <row r="912" spans="1:13" ht="18.75" customHeight="1" thickBot="1">
      <c r="A912" s="72" t="s">
        <v>30</v>
      </c>
      <c r="B912" s="73"/>
      <c r="C912" s="73"/>
      <c r="D912" s="73"/>
      <c r="E912" s="73"/>
      <c r="F912" s="73"/>
      <c r="G912" s="73"/>
      <c r="H912" s="73"/>
      <c r="I912" s="73"/>
      <c r="J912" s="73"/>
      <c r="K912" s="73"/>
      <c r="L912" s="73"/>
      <c r="M912" s="74"/>
    </row>
    <row r="913" spans="1:15" ht="24" customHeight="1" thickBot="1">
      <c r="A913" s="72" t="s">
        <v>31</v>
      </c>
      <c r="B913" s="73"/>
      <c r="C913" s="73"/>
      <c r="D913" s="73"/>
      <c r="E913" s="73"/>
      <c r="F913" s="73"/>
      <c r="G913" s="73"/>
      <c r="H913" s="73"/>
      <c r="I913" s="73"/>
      <c r="J913" s="73"/>
      <c r="K913" s="73"/>
      <c r="L913" s="73"/>
      <c r="M913" s="74"/>
    </row>
    <row r="914" spans="1:15" ht="24" customHeight="1" thickBot="1">
      <c r="A914" s="72" t="s">
        <v>114</v>
      </c>
      <c r="B914" s="73"/>
      <c r="C914" s="73"/>
      <c r="D914" s="73"/>
      <c r="E914" s="73"/>
      <c r="F914" s="73"/>
      <c r="G914" s="73"/>
      <c r="H914" s="73"/>
      <c r="I914" s="73"/>
      <c r="J914" s="73"/>
      <c r="K914" s="73"/>
      <c r="L914" s="73"/>
      <c r="M914" s="74"/>
    </row>
    <row r="915" spans="1:15" ht="24" customHeight="1" thickBot="1">
      <c r="A915" s="60" t="s">
        <v>46</v>
      </c>
      <c r="B915" s="61"/>
      <c r="C915" s="61"/>
      <c r="D915" s="61"/>
      <c r="E915" s="61"/>
      <c r="F915" s="61"/>
      <c r="G915" s="61"/>
      <c r="H915" s="61"/>
      <c r="I915" s="61"/>
      <c r="J915" s="61"/>
      <c r="K915" s="61"/>
      <c r="L915" s="61"/>
      <c r="M915" s="62"/>
    </row>
    <row r="916" spans="1:15" ht="11.1" customHeight="1">
      <c r="A916" s="103" t="s">
        <v>47</v>
      </c>
      <c r="B916" s="103"/>
      <c r="C916" s="103"/>
      <c r="D916" s="103"/>
      <c r="E916" s="103"/>
      <c r="F916" s="103"/>
      <c r="G916" s="103"/>
      <c r="H916" s="103"/>
      <c r="I916" s="103"/>
      <c r="J916" s="103"/>
      <c r="K916" s="103"/>
      <c r="L916" s="103"/>
      <c r="M916" s="103"/>
    </row>
    <row r="917" spans="1:15" ht="11.1" customHeight="1">
      <c r="A917" s="104" t="s">
        <v>48</v>
      </c>
      <c r="B917" s="104"/>
      <c r="C917" s="104"/>
      <c r="D917" s="104"/>
      <c r="E917" s="104"/>
      <c r="F917" s="104"/>
      <c r="G917" s="104"/>
      <c r="H917" s="104"/>
      <c r="I917" s="104"/>
      <c r="J917" s="104"/>
      <c r="K917" s="104"/>
      <c r="L917" s="104"/>
      <c r="M917" s="104"/>
    </row>
    <row r="918" spans="1:15" ht="11.1" customHeight="1">
      <c r="A918" s="105" t="s">
        <v>49</v>
      </c>
      <c r="B918" s="105"/>
      <c r="C918" s="105"/>
      <c r="D918" s="105"/>
      <c r="E918" s="105"/>
      <c r="F918" s="105"/>
      <c r="G918" s="105"/>
      <c r="H918" s="105"/>
      <c r="I918" s="105"/>
      <c r="J918" s="105"/>
      <c r="K918" s="105"/>
      <c r="L918" s="105"/>
      <c r="M918" s="105"/>
    </row>
    <row r="919" spans="1:15" ht="11.1" customHeight="1">
      <c r="A919" s="105" t="s">
        <v>50</v>
      </c>
      <c r="B919" s="105"/>
      <c r="C919" s="105"/>
      <c r="D919" s="105"/>
      <c r="E919" s="105"/>
      <c r="F919" s="105"/>
      <c r="G919" s="105"/>
      <c r="H919" s="105"/>
      <c r="I919" s="105"/>
      <c r="J919" s="105"/>
      <c r="K919" s="105"/>
      <c r="L919" s="105"/>
      <c r="M919" s="105"/>
    </row>
    <row r="920" spans="1:15" ht="11.1" customHeight="1">
      <c r="A920" s="104" t="s">
        <v>51</v>
      </c>
      <c r="B920" s="104"/>
      <c r="C920" s="104"/>
      <c r="D920" s="104"/>
      <c r="E920" s="104"/>
      <c r="F920" s="104"/>
      <c r="G920" s="104"/>
      <c r="H920" s="104"/>
      <c r="I920" s="104"/>
      <c r="J920" s="104"/>
      <c r="K920" s="104"/>
      <c r="L920" s="104"/>
      <c r="M920" s="104"/>
    </row>
    <row r="921" spans="1:15" ht="11.1" customHeight="1">
      <c r="A921" s="104" t="s">
        <v>52</v>
      </c>
      <c r="B921" s="104"/>
      <c r="C921" s="104"/>
      <c r="D921" s="104"/>
      <c r="E921" s="104"/>
      <c r="F921" s="104"/>
      <c r="G921" s="104"/>
      <c r="H921" s="104"/>
      <c r="I921" s="104"/>
      <c r="J921" s="104"/>
      <c r="K921" s="104"/>
      <c r="L921" s="104"/>
      <c r="M921" s="104"/>
    </row>
    <row r="922" spans="1:15" ht="11.1" customHeight="1">
      <c r="A922" s="104" t="s">
        <v>53</v>
      </c>
      <c r="B922" s="104"/>
      <c r="C922" s="104"/>
      <c r="D922" s="104"/>
      <c r="E922" s="104"/>
      <c r="F922" s="104"/>
      <c r="G922" s="104"/>
      <c r="H922" s="104"/>
      <c r="I922" s="104"/>
      <c r="J922" s="104"/>
      <c r="K922" s="104"/>
      <c r="L922" s="104"/>
      <c r="M922" s="104"/>
    </row>
    <row r="923" spans="1:15" ht="11.1" customHeight="1">
      <c r="A923" s="101" t="s">
        <v>54</v>
      </c>
      <c r="B923" s="101"/>
      <c r="C923" s="101"/>
      <c r="D923" s="101"/>
      <c r="E923" s="101"/>
      <c r="F923" s="101"/>
      <c r="G923" s="101"/>
      <c r="H923" s="101"/>
      <c r="I923" s="101"/>
      <c r="J923" s="101"/>
      <c r="K923" s="101"/>
      <c r="L923" s="101"/>
      <c r="M923" s="101"/>
    </row>
    <row r="924" spans="1:15" ht="11.1" customHeight="1">
      <c r="A924" s="101" t="s">
        <v>55</v>
      </c>
      <c r="B924" s="101"/>
      <c r="C924" s="101"/>
      <c r="D924" s="101"/>
      <c r="E924" s="101"/>
      <c r="F924" s="101"/>
      <c r="G924" s="101"/>
      <c r="H924" s="101"/>
      <c r="I924" s="101"/>
      <c r="J924" s="101"/>
      <c r="K924" s="101"/>
      <c r="L924" s="101"/>
      <c r="M924" s="101"/>
    </row>
    <row r="925" spans="1:15" ht="19.5" customHeight="1">
      <c r="A925" s="69" t="s">
        <v>0</v>
      </c>
      <c r="B925" s="69"/>
      <c r="C925" s="69"/>
      <c r="D925" s="69"/>
      <c r="E925" s="69"/>
      <c r="F925" s="69"/>
      <c r="G925" s="69"/>
      <c r="H925" s="69"/>
      <c r="I925" s="69"/>
      <c r="J925" s="69"/>
      <c r="K925" s="69"/>
      <c r="L925" s="69"/>
      <c r="M925" s="69"/>
    </row>
    <row r="926" spans="1:15" ht="20.100000000000001" customHeight="1">
      <c r="A926" s="4" t="s">
        <v>32</v>
      </c>
      <c r="B926" s="5">
        <f>+B882+1</f>
        <v>26</v>
      </c>
      <c r="C926" s="25"/>
      <c r="D926" s="25"/>
      <c r="E926" s="25"/>
      <c r="F926" s="25"/>
      <c r="G926" s="25"/>
      <c r="H926" s="25"/>
      <c r="I926" s="25"/>
      <c r="J926" s="25"/>
      <c r="K926" s="25"/>
      <c r="L926" s="25"/>
      <c r="M926" s="25"/>
    </row>
    <row r="927" spans="1:15" ht="24" customHeight="1" thickBot="1">
      <c r="A927" s="4" t="s">
        <v>33</v>
      </c>
      <c r="H927" s="70" t="s">
        <v>34</v>
      </c>
      <c r="I927" s="70"/>
      <c r="J927" s="70"/>
      <c r="K927" s="102">
        <f>+K883+1</f>
        <v>45952</v>
      </c>
      <c r="L927" s="102"/>
      <c r="M927" s="102"/>
      <c r="O927" s="7"/>
    </row>
    <row r="928" spans="1:15" ht="33.75" customHeight="1" thickBot="1">
      <c r="A928" s="80" t="s">
        <v>1</v>
      </c>
      <c r="B928" s="81"/>
      <c r="C928" s="82"/>
      <c r="D928" s="86" t="str">
        <f>+D884</f>
        <v>光明國中B與C區5樓老舊廁所整修工程</v>
      </c>
      <c r="E928" s="87"/>
      <c r="F928" s="87"/>
      <c r="G928" s="88"/>
      <c r="H928" s="80" t="s">
        <v>2</v>
      </c>
      <c r="I928" s="81"/>
      <c r="J928" s="82"/>
      <c r="K928" s="80" t="s">
        <v>35</v>
      </c>
      <c r="L928" s="81"/>
      <c r="M928" s="82"/>
    </row>
    <row r="929" spans="1:13" ht="33.75" customHeight="1" thickBot="1">
      <c r="A929" s="8" t="s">
        <v>3</v>
      </c>
      <c r="B929" s="26">
        <f>+B885</f>
        <v>142</v>
      </c>
      <c r="C929" s="10" t="s">
        <v>36</v>
      </c>
      <c r="D929" s="80" t="s">
        <v>4</v>
      </c>
      <c r="E929" s="89"/>
      <c r="F929" s="27">
        <f>+F885+1</f>
        <v>26</v>
      </c>
      <c r="G929" s="12" t="s">
        <v>36</v>
      </c>
      <c r="H929" s="13" t="s">
        <v>5</v>
      </c>
      <c r="I929" s="26">
        <f>+B929-F929</f>
        <v>116</v>
      </c>
      <c r="J929" s="10" t="s">
        <v>36</v>
      </c>
      <c r="K929" s="80" t="s">
        <v>6</v>
      </c>
      <c r="L929" s="82"/>
      <c r="M929" s="13">
        <f>+M885</f>
        <v>12</v>
      </c>
    </row>
    <row r="930" spans="1:13" ht="24" customHeight="1" thickBot="1">
      <c r="A930" s="80" t="s">
        <v>7</v>
      </c>
      <c r="B930" s="81"/>
      <c r="C930" s="82"/>
      <c r="D930" s="80" t="str">
        <f>+D886</f>
        <v>114.9.27</v>
      </c>
      <c r="E930" s="81"/>
      <c r="F930" s="81"/>
      <c r="G930" s="82"/>
      <c r="H930" s="80" t="s">
        <v>8</v>
      </c>
      <c r="I930" s="81"/>
      <c r="J930" s="82"/>
      <c r="K930" s="80" t="str">
        <f>+K886</f>
        <v>115.2.15</v>
      </c>
      <c r="L930" s="81"/>
      <c r="M930" s="82"/>
    </row>
    <row r="931" spans="1:13" ht="24" customHeight="1" thickBot="1">
      <c r="A931" s="80" t="s">
        <v>37</v>
      </c>
      <c r="B931" s="81"/>
      <c r="C931" s="82"/>
      <c r="D931" s="83">
        <v>0.06</v>
      </c>
      <c r="E931" s="84"/>
      <c r="F931" s="84"/>
      <c r="G931" s="85"/>
      <c r="H931" s="80" t="s">
        <v>38</v>
      </c>
      <c r="I931" s="81"/>
      <c r="J931" s="82"/>
      <c r="K931" s="83">
        <v>0.13800000000000001</v>
      </c>
      <c r="L931" s="84"/>
      <c r="M931" s="85"/>
    </row>
    <row r="932" spans="1:13" ht="24" customHeight="1" thickBot="1">
      <c r="A932" s="72" t="s">
        <v>9</v>
      </c>
      <c r="B932" s="73"/>
      <c r="C932" s="73"/>
      <c r="D932" s="73"/>
      <c r="E932" s="73"/>
      <c r="F932" s="73"/>
      <c r="G932" s="73"/>
      <c r="H932" s="73"/>
      <c r="I932" s="73"/>
      <c r="J932" s="73"/>
      <c r="K932" s="73"/>
      <c r="L932" s="73"/>
      <c r="M932" s="74"/>
    </row>
    <row r="933" spans="1:13" ht="35.25" customHeight="1" thickBot="1">
      <c r="A933" s="75" t="s">
        <v>10</v>
      </c>
      <c r="B933" s="76"/>
      <c r="C933" s="76"/>
      <c r="D933" s="77"/>
      <c r="E933" s="14" t="s">
        <v>11</v>
      </c>
      <c r="F933" s="75" t="s">
        <v>12</v>
      </c>
      <c r="G933" s="77"/>
      <c r="H933" s="75" t="s">
        <v>13</v>
      </c>
      <c r="I933" s="77"/>
      <c r="J933" s="78" t="s">
        <v>14</v>
      </c>
      <c r="K933" s="79"/>
      <c r="L933" s="75" t="s">
        <v>15</v>
      </c>
      <c r="M933" s="77"/>
    </row>
    <row r="934" spans="1:13" ht="27.95" customHeight="1" thickBot="1">
      <c r="A934" s="141" t="s">
        <v>92</v>
      </c>
      <c r="B934" s="142"/>
      <c r="C934" s="142"/>
      <c r="D934" s="143"/>
      <c r="E934" s="2" t="s">
        <v>69</v>
      </c>
      <c r="F934" s="56">
        <v>1</v>
      </c>
      <c r="G934" s="57"/>
      <c r="H934" s="56">
        <v>0.05</v>
      </c>
      <c r="I934" s="57"/>
      <c r="J934" s="56">
        <v>0.1</v>
      </c>
      <c r="K934" s="57"/>
      <c r="L934" s="58"/>
      <c r="M934" s="59"/>
    </row>
    <row r="935" spans="1:13" ht="27.95" customHeight="1" thickBot="1">
      <c r="A935" s="141"/>
      <c r="B935" s="142"/>
      <c r="C935" s="142"/>
      <c r="D935" s="143"/>
      <c r="E935" s="15"/>
      <c r="F935" s="56"/>
      <c r="G935" s="57"/>
      <c r="H935" s="56"/>
      <c r="I935" s="57"/>
      <c r="J935" s="56"/>
      <c r="K935" s="57"/>
      <c r="L935" s="58"/>
      <c r="M935" s="59"/>
    </row>
    <row r="936" spans="1:13" ht="24.95" customHeight="1" thickTop="1" thickBot="1">
      <c r="A936" s="130" t="s">
        <v>16</v>
      </c>
      <c r="B936" s="67"/>
      <c r="C936" s="67"/>
      <c r="D936" s="68"/>
      <c r="E936" s="28"/>
      <c r="F936" s="131"/>
      <c r="G936" s="132"/>
      <c r="H936" s="131"/>
      <c r="I936" s="132"/>
      <c r="J936" s="131"/>
      <c r="K936" s="132"/>
      <c r="L936" s="131"/>
      <c r="M936" s="133"/>
    </row>
    <row r="937" spans="1:13" ht="24.95" customHeight="1" thickBot="1">
      <c r="A937" s="134" t="s">
        <v>17</v>
      </c>
      <c r="B937" s="135"/>
      <c r="C937" s="135"/>
      <c r="D937" s="59"/>
      <c r="E937" s="28"/>
      <c r="F937" s="58"/>
      <c r="G937" s="59"/>
      <c r="H937" s="58"/>
      <c r="I937" s="59"/>
      <c r="J937" s="58"/>
      <c r="K937" s="59"/>
      <c r="L937" s="58"/>
      <c r="M937" s="136"/>
    </row>
    <row r="938" spans="1:13" ht="24.95" customHeight="1" thickBot="1">
      <c r="A938" s="118" t="s">
        <v>18</v>
      </c>
      <c r="B938" s="119"/>
      <c r="C938" s="119"/>
      <c r="D938" s="120"/>
      <c r="E938" s="24"/>
      <c r="F938" s="121"/>
      <c r="G938" s="120"/>
      <c r="H938" s="121"/>
      <c r="I938" s="120"/>
      <c r="J938" s="121"/>
      <c r="K938" s="120"/>
      <c r="L938" s="121"/>
      <c r="M938" s="122"/>
    </row>
    <row r="939" spans="1:13" ht="24" customHeight="1" thickTop="1" thickBot="1">
      <c r="A939" s="66" t="s">
        <v>19</v>
      </c>
      <c r="B939" s="67"/>
      <c r="C939" s="67"/>
      <c r="D939" s="67"/>
      <c r="E939" s="67"/>
      <c r="F939" s="67"/>
      <c r="G939" s="67"/>
      <c r="H939" s="67"/>
      <c r="I939" s="67"/>
      <c r="J939" s="67"/>
      <c r="K939" s="67"/>
      <c r="L939" s="67"/>
      <c r="M939" s="68"/>
    </row>
    <row r="940" spans="1:13" ht="35.25" customHeight="1" thickBot="1">
      <c r="A940" s="75" t="s">
        <v>20</v>
      </c>
      <c r="B940" s="76"/>
      <c r="C940" s="76"/>
      <c r="D940" s="77"/>
      <c r="E940" s="14" t="s">
        <v>11</v>
      </c>
      <c r="F940" s="75" t="s">
        <v>39</v>
      </c>
      <c r="G940" s="77"/>
      <c r="H940" s="75" t="s">
        <v>21</v>
      </c>
      <c r="I940" s="77"/>
      <c r="J940" s="78" t="s">
        <v>22</v>
      </c>
      <c r="K940" s="79"/>
      <c r="L940" s="75" t="s">
        <v>15</v>
      </c>
      <c r="M940" s="77"/>
    </row>
    <row r="941" spans="1:13" ht="24" customHeight="1" thickBot="1">
      <c r="A941" s="96"/>
      <c r="B941" s="97"/>
      <c r="C941" s="97"/>
      <c r="D941" s="98"/>
      <c r="E941" s="28"/>
      <c r="F941" s="58"/>
      <c r="G941" s="59"/>
      <c r="H941" s="58"/>
      <c r="I941" s="59"/>
      <c r="J941" s="56"/>
      <c r="K941" s="57"/>
      <c r="L941" s="58"/>
      <c r="M941" s="59"/>
    </row>
    <row r="942" spans="1:13" ht="24" customHeight="1" thickBot="1">
      <c r="A942" s="96"/>
      <c r="B942" s="97"/>
      <c r="C942" s="97"/>
      <c r="D942" s="98"/>
      <c r="E942" s="28"/>
      <c r="F942" s="58"/>
      <c r="G942" s="59"/>
      <c r="H942" s="58"/>
      <c r="I942" s="59"/>
      <c r="J942" s="56"/>
      <c r="K942" s="57"/>
      <c r="L942" s="58"/>
      <c r="M942" s="59"/>
    </row>
    <row r="943" spans="1:13" ht="24" customHeight="1" thickBot="1">
      <c r="A943" s="60" t="s">
        <v>23</v>
      </c>
      <c r="B943" s="61"/>
      <c r="C943" s="61"/>
      <c r="D943" s="61"/>
      <c r="E943" s="61"/>
      <c r="F943" s="61"/>
      <c r="G943" s="61"/>
      <c r="H943" s="61"/>
      <c r="I943" s="61"/>
      <c r="J943" s="61"/>
      <c r="K943" s="61"/>
      <c r="L943" s="61"/>
      <c r="M943" s="62"/>
    </row>
    <row r="944" spans="1:13" ht="35.25" customHeight="1" thickBot="1">
      <c r="A944" s="75" t="s">
        <v>24</v>
      </c>
      <c r="B944" s="77"/>
      <c r="C944" s="75" t="s">
        <v>25</v>
      </c>
      <c r="D944" s="77"/>
      <c r="E944" s="75" t="s">
        <v>26</v>
      </c>
      <c r="F944" s="76"/>
      <c r="G944" s="77"/>
      <c r="H944" s="75" t="s">
        <v>27</v>
      </c>
      <c r="I944" s="77"/>
      <c r="J944" s="78" t="s">
        <v>21</v>
      </c>
      <c r="K944" s="79"/>
      <c r="L944" s="75" t="s">
        <v>22</v>
      </c>
      <c r="M944" s="77"/>
    </row>
    <row r="945" spans="1:13" s="18" customFormat="1" ht="24.75" customHeight="1" thickBot="1">
      <c r="A945" s="99" t="s">
        <v>80</v>
      </c>
      <c r="B945" s="98"/>
      <c r="C945" s="56">
        <v>2</v>
      </c>
      <c r="D945" s="57"/>
      <c r="E945" s="56">
        <v>5</v>
      </c>
      <c r="F945" s="100"/>
      <c r="G945" s="57"/>
      <c r="H945" s="56"/>
      <c r="I945" s="57"/>
      <c r="J945" s="56"/>
      <c r="K945" s="57"/>
      <c r="L945" s="56"/>
      <c r="M945" s="57"/>
    </row>
    <row r="946" spans="1:13" s="18" customFormat="1" ht="24.75" customHeight="1" thickBot="1">
      <c r="A946" s="99"/>
      <c r="B946" s="98"/>
      <c r="C946" s="56"/>
      <c r="D946" s="57"/>
      <c r="E946" s="56"/>
      <c r="F946" s="100"/>
      <c r="G946" s="57"/>
      <c r="H946" s="56"/>
      <c r="I946" s="57"/>
      <c r="J946" s="56"/>
      <c r="K946" s="57"/>
      <c r="L946" s="56"/>
      <c r="M946" s="57"/>
    </row>
    <row r="947" spans="1:13" ht="33" customHeight="1" thickBot="1">
      <c r="A947" s="112" t="s">
        <v>40</v>
      </c>
      <c r="B947" s="113"/>
      <c r="C947" s="113"/>
      <c r="D947" s="113"/>
      <c r="E947" s="113"/>
      <c r="F947" s="113"/>
      <c r="G947" s="113"/>
      <c r="H947" s="113"/>
      <c r="I947" s="113"/>
      <c r="J947" s="113"/>
      <c r="K947" s="113"/>
      <c r="L947" s="113"/>
      <c r="M947" s="114"/>
    </row>
    <row r="948" spans="1:13" ht="16.5" customHeight="1">
      <c r="A948" s="115" t="s">
        <v>41</v>
      </c>
      <c r="B948" s="116"/>
      <c r="C948" s="116"/>
      <c r="D948" s="116"/>
      <c r="E948" s="116"/>
      <c r="F948" s="116"/>
      <c r="G948" s="116"/>
      <c r="H948" s="116"/>
      <c r="I948" s="116"/>
      <c r="J948" s="116"/>
      <c r="K948" s="116"/>
      <c r="L948" s="116"/>
      <c r="M948" s="117"/>
    </row>
    <row r="949" spans="1:13" ht="16.5" customHeight="1">
      <c r="A949" s="90" t="s">
        <v>28</v>
      </c>
      <c r="B949" s="91"/>
      <c r="C949" s="91"/>
      <c r="D949" s="91"/>
      <c r="E949" s="91"/>
      <c r="F949" s="91"/>
      <c r="G949" s="91"/>
      <c r="H949" s="91"/>
      <c r="I949" s="91"/>
      <c r="J949" s="91"/>
      <c r="K949" s="91"/>
      <c r="L949" s="91"/>
      <c r="M949" s="92"/>
    </row>
    <row r="950" spans="1:13" s="1" customFormat="1" ht="16.5" customHeight="1">
      <c r="A950" s="93" t="s">
        <v>56</v>
      </c>
      <c r="B950" s="94"/>
      <c r="C950" s="94"/>
      <c r="D950" s="94"/>
      <c r="E950" s="94"/>
      <c r="F950" s="94"/>
      <c r="G950" s="94"/>
      <c r="H950" s="94"/>
      <c r="I950" s="94"/>
      <c r="J950" s="94"/>
      <c r="K950" s="94"/>
      <c r="L950" s="94"/>
      <c r="M950" s="95"/>
    </row>
    <row r="951" spans="1:13" s="1" customFormat="1" ht="16.5" customHeight="1">
      <c r="A951" s="93" t="s">
        <v>57</v>
      </c>
      <c r="B951" s="94"/>
      <c r="C951" s="94"/>
      <c r="D951" s="94"/>
      <c r="E951" s="94"/>
      <c r="F951" s="94"/>
      <c r="G951" s="94"/>
      <c r="H951" s="94"/>
      <c r="I951" s="94"/>
      <c r="J951" s="94"/>
      <c r="K951" s="94"/>
      <c r="L951" s="94"/>
      <c r="M951" s="95"/>
    </row>
    <row r="952" spans="1:13" s="1" customFormat="1" ht="16.5" customHeight="1">
      <c r="A952" s="93" t="s">
        <v>58</v>
      </c>
      <c r="B952" s="94"/>
      <c r="C952" s="94"/>
      <c r="D952" s="94"/>
      <c r="E952" s="94"/>
      <c r="F952" s="94"/>
      <c r="G952" s="94"/>
      <c r="H952" s="94"/>
      <c r="I952" s="94"/>
      <c r="J952" s="94"/>
      <c r="K952" s="94"/>
      <c r="L952" s="94"/>
      <c r="M952" s="95"/>
    </row>
    <row r="953" spans="1:13" s="1" customFormat="1" ht="16.5" customHeight="1">
      <c r="A953" s="93" t="s">
        <v>59</v>
      </c>
      <c r="B953" s="94"/>
      <c r="C953" s="94"/>
      <c r="D953" s="94"/>
      <c r="E953" s="94"/>
      <c r="F953" s="94"/>
      <c r="G953" s="94"/>
      <c r="H953" s="94"/>
      <c r="I953" s="94"/>
      <c r="J953" s="94"/>
      <c r="K953" s="94"/>
      <c r="L953" s="94"/>
      <c r="M953" s="95"/>
    </row>
    <row r="954" spans="1:13" ht="16.5" customHeight="1">
      <c r="A954" s="106" t="s">
        <v>29</v>
      </c>
      <c r="B954" s="107"/>
      <c r="C954" s="107"/>
      <c r="D954" s="107"/>
      <c r="E954" s="107"/>
      <c r="F954" s="107"/>
      <c r="G954" s="107"/>
      <c r="H954" s="107"/>
      <c r="I954" s="107"/>
      <c r="J954" s="107"/>
      <c r="K954" s="107"/>
      <c r="L954" s="107"/>
      <c r="M954" s="108"/>
    </row>
    <row r="955" spans="1:13" ht="9.75" customHeight="1" thickBot="1">
      <c r="A955" s="109"/>
      <c r="B955" s="110"/>
      <c r="C955" s="110"/>
      <c r="D955" s="110"/>
      <c r="E955" s="110"/>
      <c r="F955" s="110"/>
      <c r="G955" s="110"/>
      <c r="H955" s="110"/>
      <c r="I955" s="110"/>
      <c r="J955" s="110"/>
      <c r="K955" s="110"/>
      <c r="L955" s="110"/>
      <c r="M955" s="111"/>
    </row>
    <row r="956" spans="1:13" ht="18.75" customHeight="1" thickBot="1">
      <c r="A956" s="72" t="s">
        <v>30</v>
      </c>
      <c r="B956" s="73"/>
      <c r="C956" s="73"/>
      <c r="D956" s="73"/>
      <c r="E956" s="73"/>
      <c r="F956" s="73"/>
      <c r="G956" s="73"/>
      <c r="H956" s="73"/>
      <c r="I956" s="73"/>
      <c r="J956" s="73"/>
      <c r="K956" s="73"/>
      <c r="L956" s="73"/>
      <c r="M956" s="74"/>
    </row>
    <row r="957" spans="1:13" ht="24" customHeight="1" thickBot="1">
      <c r="A957" s="72" t="s">
        <v>31</v>
      </c>
      <c r="B957" s="73"/>
      <c r="C957" s="73"/>
      <c r="D957" s="73"/>
      <c r="E957" s="73"/>
      <c r="F957" s="73"/>
      <c r="G957" s="73"/>
      <c r="H957" s="73"/>
      <c r="I957" s="73"/>
      <c r="J957" s="73"/>
      <c r="K957" s="73"/>
      <c r="L957" s="73"/>
      <c r="M957" s="74"/>
    </row>
    <row r="958" spans="1:13" ht="24" customHeight="1" thickBot="1">
      <c r="A958" s="72" t="s">
        <v>95</v>
      </c>
      <c r="B958" s="73"/>
      <c r="C958" s="73"/>
      <c r="D958" s="73"/>
      <c r="E958" s="73"/>
      <c r="F958" s="73"/>
      <c r="G958" s="73"/>
      <c r="H958" s="73"/>
      <c r="I958" s="73"/>
      <c r="J958" s="73"/>
      <c r="K958" s="73"/>
      <c r="L958" s="73"/>
      <c r="M958" s="74"/>
    </row>
    <row r="959" spans="1:13" ht="24" customHeight="1" thickBot="1">
      <c r="A959" s="60" t="s">
        <v>46</v>
      </c>
      <c r="B959" s="61"/>
      <c r="C959" s="61"/>
      <c r="D959" s="61"/>
      <c r="E959" s="61"/>
      <c r="F959" s="61"/>
      <c r="G959" s="61"/>
      <c r="H959" s="61"/>
      <c r="I959" s="61"/>
      <c r="J959" s="61"/>
      <c r="K959" s="61"/>
      <c r="L959" s="61"/>
      <c r="M959" s="62"/>
    </row>
    <row r="960" spans="1:13" ht="11.1" customHeight="1">
      <c r="A960" s="103" t="s">
        <v>47</v>
      </c>
      <c r="B960" s="103"/>
      <c r="C960" s="103"/>
      <c r="D960" s="103"/>
      <c r="E960" s="103"/>
      <c r="F960" s="103"/>
      <c r="G960" s="103"/>
      <c r="H960" s="103"/>
      <c r="I960" s="103"/>
      <c r="J960" s="103"/>
      <c r="K960" s="103"/>
      <c r="L960" s="103"/>
      <c r="M960" s="103"/>
    </row>
    <row r="961" spans="1:15" ht="11.1" customHeight="1">
      <c r="A961" s="104" t="s">
        <v>48</v>
      </c>
      <c r="B961" s="104"/>
      <c r="C961" s="104"/>
      <c r="D961" s="104"/>
      <c r="E961" s="104"/>
      <c r="F961" s="104"/>
      <c r="G961" s="104"/>
      <c r="H961" s="104"/>
      <c r="I961" s="104"/>
      <c r="J961" s="104"/>
      <c r="K961" s="104"/>
      <c r="L961" s="104"/>
      <c r="M961" s="104"/>
    </row>
    <row r="962" spans="1:15" ht="11.1" customHeight="1">
      <c r="A962" s="105" t="s">
        <v>49</v>
      </c>
      <c r="B962" s="105"/>
      <c r="C962" s="105"/>
      <c r="D962" s="105"/>
      <c r="E962" s="105"/>
      <c r="F962" s="105"/>
      <c r="G962" s="105"/>
      <c r="H962" s="105"/>
      <c r="I962" s="105"/>
      <c r="J962" s="105"/>
      <c r="K962" s="105"/>
      <c r="L962" s="105"/>
      <c r="M962" s="105"/>
    </row>
    <row r="963" spans="1:15" ht="11.1" customHeight="1">
      <c r="A963" s="105" t="s">
        <v>50</v>
      </c>
      <c r="B963" s="105"/>
      <c r="C963" s="105"/>
      <c r="D963" s="105"/>
      <c r="E963" s="105"/>
      <c r="F963" s="105"/>
      <c r="G963" s="105"/>
      <c r="H963" s="105"/>
      <c r="I963" s="105"/>
      <c r="J963" s="105"/>
      <c r="K963" s="105"/>
      <c r="L963" s="105"/>
      <c r="M963" s="105"/>
    </row>
    <row r="964" spans="1:15" ht="11.1" customHeight="1">
      <c r="A964" s="104" t="s">
        <v>51</v>
      </c>
      <c r="B964" s="104"/>
      <c r="C964" s="104"/>
      <c r="D964" s="104"/>
      <c r="E964" s="104"/>
      <c r="F964" s="104"/>
      <c r="G964" s="104"/>
      <c r="H964" s="104"/>
      <c r="I964" s="104"/>
      <c r="J964" s="104"/>
      <c r="K964" s="104"/>
      <c r="L964" s="104"/>
      <c r="M964" s="104"/>
    </row>
    <row r="965" spans="1:15" ht="11.1" customHeight="1">
      <c r="A965" s="104" t="s">
        <v>52</v>
      </c>
      <c r="B965" s="104"/>
      <c r="C965" s="104"/>
      <c r="D965" s="104"/>
      <c r="E965" s="104"/>
      <c r="F965" s="104"/>
      <c r="G965" s="104"/>
      <c r="H965" s="104"/>
      <c r="I965" s="104"/>
      <c r="J965" s="104"/>
      <c r="K965" s="104"/>
      <c r="L965" s="104"/>
      <c r="M965" s="104"/>
    </row>
    <row r="966" spans="1:15" ht="11.1" customHeight="1">
      <c r="A966" s="104" t="s">
        <v>53</v>
      </c>
      <c r="B966" s="104"/>
      <c r="C966" s="104"/>
      <c r="D966" s="104"/>
      <c r="E966" s="104"/>
      <c r="F966" s="104"/>
      <c r="G966" s="104"/>
      <c r="H966" s="104"/>
      <c r="I966" s="104"/>
      <c r="J966" s="104"/>
      <c r="K966" s="104"/>
      <c r="L966" s="104"/>
      <c r="M966" s="104"/>
    </row>
    <row r="967" spans="1:15" ht="11.1" customHeight="1">
      <c r="A967" s="101" t="s">
        <v>54</v>
      </c>
      <c r="B967" s="101"/>
      <c r="C967" s="101"/>
      <c r="D967" s="101"/>
      <c r="E967" s="101"/>
      <c r="F967" s="101"/>
      <c r="G967" s="101"/>
      <c r="H967" s="101"/>
      <c r="I967" s="101"/>
      <c r="J967" s="101"/>
      <c r="K967" s="101"/>
      <c r="L967" s="101"/>
      <c r="M967" s="101"/>
    </row>
    <row r="968" spans="1:15" ht="11.1" customHeight="1">
      <c r="A968" s="101" t="s">
        <v>55</v>
      </c>
      <c r="B968" s="101"/>
      <c r="C968" s="101"/>
      <c r="D968" s="101"/>
      <c r="E968" s="101"/>
      <c r="F968" s="101"/>
      <c r="G968" s="101"/>
      <c r="H968" s="101"/>
      <c r="I968" s="101"/>
      <c r="J968" s="101"/>
      <c r="K968" s="101"/>
      <c r="L968" s="101"/>
      <c r="M968" s="101"/>
    </row>
    <row r="969" spans="1:15" ht="19.5" customHeight="1">
      <c r="A969" s="69" t="s">
        <v>0</v>
      </c>
      <c r="B969" s="69"/>
      <c r="C969" s="69"/>
      <c r="D969" s="69"/>
      <c r="E969" s="69"/>
      <c r="F969" s="69"/>
      <c r="G969" s="69"/>
      <c r="H969" s="69"/>
      <c r="I969" s="69"/>
      <c r="J969" s="69"/>
      <c r="K969" s="69"/>
      <c r="L969" s="69"/>
      <c r="M969" s="69"/>
    </row>
    <row r="970" spans="1:15" ht="20.100000000000001" customHeight="1">
      <c r="A970" s="4" t="s">
        <v>32</v>
      </c>
      <c r="B970" s="5">
        <f>+B926+1</f>
        <v>27</v>
      </c>
      <c r="C970" s="25"/>
      <c r="D970" s="25"/>
      <c r="E970" s="25"/>
      <c r="F970" s="25"/>
      <c r="G970" s="25"/>
      <c r="H970" s="25"/>
      <c r="I970" s="25"/>
      <c r="J970" s="25"/>
      <c r="K970" s="25"/>
      <c r="L970" s="25"/>
      <c r="M970" s="25"/>
    </row>
    <row r="971" spans="1:15" ht="24" customHeight="1" thickBot="1">
      <c r="A971" s="4" t="s">
        <v>33</v>
      </c>
      <c r="H971" s="70" t="s">
        <v>34</v>
      </c>
      <c r="I971" s="70"/>
      <c r="J971" s="70"/>
      <c r="K971" s="102">
        <f>+K927+1</f>
        <v>45953</v>
      </c>
      <c r="L971" s="102"/>
      <c r="M971" s="102"/>
      <c r="O971" s="7"/>
    </row>
    <row r="972" spans="1:15" ht="33.75" customHeight="1" thickBot="1">
      <c r="A972" s="80" t="s">
        <v>1</v>
      </c>
      <c r="B972" s="81"/>
      <c r="C972" s="82"/>
      <c r="D972" s="86" t="str">
        <f>+D928</f>
        <v>光明國中B與C區5樓老舊廁所整修工程</v>
      </c>
      <c r="E972" s="87"/>
      <c r="F972" s="87"/>
      <c r="G972" s="88"/>
      <c r="H972" s="80" t="s">
        <v>2</v>
      </c>
      <c r="I972" s="81"/>
      <c r="J972" s="82"/>
      <c r="K972" s="80" t="s">
        <v>35</v>
      </c>
      <c r="L972" s="81"/>
      <c r="M972" s="82"/>
    </row>
    <row r="973" spans="1:15" ht="33.75" customHeight="1" thickBot="1">
      <c r="A973" s="8" t="s">
        <v>3</v>
      </c>
      <c r="B973" s="26">
        <f>+B929</f>
        <v>142</v>
      </c>
      <c r="C973" s="10" t="s">
        <v>36</v>
      </c>
      <c r="D973" s="80" t="s">
        <v>4</v>
      </c>
      <c r="E973" s="89"/>
      <c r="F973" s="27">
        <f>+F929+1</f>
        <v>27</v>
      </c>
      <c r="G973" s="12" t="s">
        <v>36</v>
      </c>
      <c r="H973" s="13" t="s">
        <v>5</v>
      </c>
      <c r="I973" s="26">
        <f>+B973-F973</f>
        <v>115</v>
      </c>
      <c r="J973" s="10" t="s">
        <v>36</v>
      </c>
      <c r="K973" s="80" t="s">
        <v>6</v>
      </c>
      <c r="L973" s="82"/>
      <c r="M973" s="13">
        <f>+M929</f>
        <v>12</v>
      </c>
    </row>
    <row r="974" spans="1:15" ht="24" customHeight="1" thickBot="1">
      <c r="A974" s="80" t="s">
        <v>7</v>
      </c>
      <c r="B974" s="81"/>
      <c r="C974" s="82"/>
      <c r="D974" s="80" t="str">
        <f>+D930</f>
        <v>114.9.27</v>
      </c>
      <c r="E974" s="81"/>
      <c r="F974" s="81"/>
      <c r="G974" s="82"/>
      <c r="H974" s="80" t="s">
        <v>8</v>
      </c>
      <c r="I974" s="81"/>
      <c r="J974" s="82"/>
      <c r="K974" s="80" t="str">
        <f>+K930</f>
        <v>115.2.15</v>
      </c>
      <c r="L974" s="81"/>
      <c r="M974" s="82"/>
    </row>
    <row r="975" spans="1:15" ht="24" customHeight="1" thickBot="1">
      <c r="A975" s="80" t="s">
        <v>37</v>
      </c>
      <c r="B975" s="81"/>
      <c r="C975" s="82"/>
      <c r="D975" s="83">
        <v>7.0000000000000007E-2</v>
      </c>
      <c r="E975" s="84"/>
      <c r="F975" s="84"/>
      <c r="G975" s="85"/>
      <c r="H975" s="80" t="s">
        <v>38</v>
      </c>
      <c r="I975" s="81"/>
      <c r="J975" s="82"/>
      <c r="K975" s="83">
        <v>0.14199999999999999</v>
      </c>
      <c r="L975" s="84"/>
      <c r="M975" s="85"/>
    </row>
    <row r="976" spans="1:15" ht="24" customHeight="1" thickBot="1">
      <c r="A976" s="72" t="s">
        <v>9</v>
      </c>
      <c r="B976" s="73"/>
      <c r="C976" s="73"/>
      <c r="D976" s="73"/>
      <c r="E976" s="73"/>
      <c r="F976" s="73"/>
      <c r="G976" s="73"/>
      <c r="H976" s="73"/>
      <c r="I976" s="73"/>
      <c r="J976" s="73"/>
      <c r="K976" s="73"/>
      <c r="L976" s="73"/>
      <c r="M976" s="74"/>
    </row>
    <row r="977" spans="1:13" ht="35.25" customHeight="1" thickBot="1">
      <c r="A977" s="75" t="s">
        <v>10</v>
      </c>
      <c r="B977" s="76"/>
      <c r="C977" s="76"/>
      <c r="D977" s="77"/>
      <c r="E977" s="14" t="s">
        <v>11</v>
      </c>
      <c r="F977" s="75" t="s">
        <v>12</v>
      </c>
      <c r="G977" s="77"/>
      <c r="H977" s="75" t="s">
        <v>13</v>
      </c>
      <c r="I977" s="77"/>
      <c r="J977" s="78" t="s">
        <v>14</v>
      </c>
      <c r="K977" s="79"/>
      <c r="L977" s="75" t="s">
        <v>15</v>
      </c>
      <c r="M977" s="77"/>
    </row>
    <row r="978" spans="1:13" ht="27.95" customHeight="1" thickBot="1">
      <c r="A978" s="141" t="s">
        <v>92</v>
      </c>
      <c r="B978" s="142"/>
      <c r="C978" s="142"/>
      <c r="D978" s="143"/>
      <c r="E978" s="2" t="s">
        <v>93</v>
      </c>
      <c r="F978" s="56">
        <v>1</v>
      </c>
      <c r="G978" s="57"/>
      <c r="H978" s="56">
        <v>0.1</v>
      </c>
      <c r="I978" s="57"/>
      <c r="J978" s="56">
        <v>0.2</v>
      </c>
      <c r="K978" s="57"/>
      <c r="L978" s="58"/>
      <c r="M978" s="59"/>
    </row>
    <row r="979" spans="1:13" ht="27.95" customHeight="1" thickBot="1">
      <c r="A979" s="141"/>
      <c r="B979" s="142"/>
      <c r="C979" s="142"/>
      <c r="D979" s="143"/>
      <c r="E979" s="15"/>
      <c r="F979" s="56"/>
      <c r="G979" s="57"/>
      <c r="H979" s="56"/>
      <c r="I979" s="57"/>
      <c r="J979" s="56"/>
      <c r="K979" s="57"/>
      <c r="L979" s="58"/>
      <c r="M979" s="59"/>
    </row>
    <row r="980" spans="1:13" ht="24.95" customHeight="1" thickTop="1" thickBot="1">
      <c r="A980" s="130" t="s">
        <v>16</v>
      </c>
      <c r="B980" s="67"/>
      <c r="C980" s="67"/>
      <c r="D980" s="68"/>
      <c r="E980" s="28"/>
      <c r="F980" s="131"/>
      <c r="G980" s="132"/>
      <c r="H980" s="131"/>
      <c r="I980" s="132"/>
      <c r="J980" s="131"/>
      <c r="K980" s="132"/>
      <c r="L980" s="131"/>
      <c r="M980" s="133"/>
    </row>
    <row r="981" spans="1:13" ht="24.95" customHeight="1" thickBot="1">
      <c r="A981" s="134" t="s">
        <v>17</v>
      </c>
      <c r="B981" s="135"/>
      <c r="C981" s="135"/>
      <c r="D981" s="59"/>
      <c r="E981" s="28"/>
      <c r="F981" s="58"/>
      <c r="G981" s="59"/>
      <c r="H981" s="58"/>
      <c r="I981" s="59"/>
      <c r="J981" s="58"/>
      <c r="K981" s="59"/>
      <c r="L981" s="58"/>
      <c r="M981" s="136"/>
    </row>
    <row r="982" spans="1:13" ht="24.95" customHeight="1" thickBot="1">
      <c r="A982" s="118" t="s">
        <v>18</v>
      </c>
      <c r="B982" s="119"/>
      <c r="C982" s="119"/>
      <c r="D982" s="120"/>
      <c r="E982" s="24"/>
      <c r="F982" s="121"/>
      <c r="G982" s="120"/>
      <c r="H982" s="121"/>
      <c r="I982" s="120"/>
      <c r="J982" s="121"/>
      <c r="K982" s="120"/>
      <c r="L982" s="121"/>
      <c r="M982" s="122"/>
    </row>
    <row r="983" spans="1:13" ht="24" customHeight="1" thickTop="1" thickBot="1">
      <c r="A983" s="66" t="s">
        <v>19</v>
      </c>
      <c r="B983" s="67"/>
      <c r="C983" s="67"/>
      <c r="D983" s="67"/>
      <c r="E983" s="67"/>
      <c r="F983" s="67"/>
      <c r="G983" s="67"/>
      <c r="H983" s="67"/>
      <c r="I983" s="67"/>
      <c r="J983" s="67"/>
      <c r="K983" s="67"/>
      <c r="L983" s="67"/>
      <c r="M983" s="68"/>
    </row>
    <row r="984" spans="1:13" ht="35.25" customHeight="1" thickBot="1">
      <c r="A984" s="75" t="s">
        <v>20</v>
      </c>
      <c r="B984" s="76"/>
      <c r="C984" s="76"/>
      <c r="D984" s="77"/>
      <c r="E984" s="14" t="s">
        <v>11</v>
      </c>
      <c r="F984" s="75" t="s">
        <v>39</v>
      </c>
      <c r="G984" s="77"/>
      <c r="H984" s="75" t="s">
        <v>21</v>
      </c>
      <c r="I984" s="77"/>
      <c r="J984" s="78" t="s">
        <v>22</v>
      </c>
      <c r="K984" s="79"/>
      <c r="L984" s="75" t="s">
        <v>15</v>
      </c>
      <c r="M984" s="77"/>
    </row>
    <row r="985" spans="1:13" ht="24" customHeight="1" thickBot="1">
      <c r="A985" s="96"/>
      <c r="B985" s="97"/>
      <c r="C985" s="97"/>
      <c r="D985" s="98"/>
      <c r="E985" s="28"/>
      <c r="F985" s="58"/>
      <c r="G985" s="59"/>
      <c r="H985" s="58"/>
      <c r="I985" s="59"/>
      <c r="J985" s="56"/>
      <c r="K985" s="57"/>
      <c r="L985" s="58"/>
      <c r="M985" s="59"/>
    </row>
    <row r="986" spans="1:13" ht="24" customHeight="1" thickBot="1">
      <c r="A986" s="96"/>
      <c r="B986" s="97"/>
      <c r="C986" s="97"/>
      <c r="D986" s="98"/>
      <c r="E986" s="28"/>
      <c r="F986" s="58"/>
      <c r="G986" s="59"/>
      <c r="H986" s="58"/>
      <c r="I986" s="59"/>
      <c r="J986" s="56"/>
      <c r="K986" s="57"/>
      <c r="L986" s="58"/>
      <c r="M986" s="59"/>
    </row>
    <row r="987" spans="1:13" ht="24" customHeight="1" thickBot="1">
      <c r="A987" s="60" t="s">
        <v>23</v>
      </c>
      <c r="B987" s="61"/>
      <c r="C987" s="61"/>
      <c r="D987" s="61"/>
      <c r="E987" s="61"/>
      <c r="F987" s="61"/>
      <c r="G987" s="61"/>
      <c r="H987" s="61"/>
      <c r="I987" s="61"/>
      <c r="J987" s="61"/>
      <c r="K987" s="61"/>
      <c r="L987" s="61"/>
      <c r="M987" s="62"/>
    </row>
    <row r="988" spans="1:13" ht="35.25" customHeight="1" thickBot="1">
      <c r="A988" s="75" t="s">
        <v>24</v>
      </c>
      <c r="B988" s="77"/>
      <c r="C988" s="75" t="s">
        <v>25</v>
      </c>
      <c r="D988" s="77"/>
      <c r="E988" s="75" t="s">
        <v>26</v>
      </c>
      <c r="F988" s="76"/>
      <c r="G988" s="77"/>
      <c r="H988" s="75" t="s">
        <v>27</v>
      </c>
      <c r="I988" s="77"/>
      <c r="J988" s="78" t="s">
        <v>21</v>
      </c>
      <c r="K988" s="79"/>
      <c r="L988" s="75" t="s">
        <v>22</v>
      </c>
      <c r="M988" s="77"/>
    </row>
    <row r="989" spans="1:13" s="18" customFormat="1" ht="24.75" customHeight="1" thickBot="1">
      <c r="A989" s="99" t="s">
        <v>94</v>
      </c>
      <c r="B989" s="98"/>
      <c r="C989" s="56">
        <v>2</v>
      </c>
      <c r="D989" s="57"/>
      <c r="E989" s="56">
        <v>7</v>
      </c>
      <c r="F989" s="100"/>
      <c r="G989" s="57"/>
      <c r="H989" s="56"/>
      <c r="I989" s="57"/>
      <c r="J989" s="56"/>
      <c r="K989" s="57"/>
      <c r="L989" s="56"/>
      <c r="M989" s="57"/>
    </row>
    <row r="990" spans="1:13" s="18" customFormat="1" ht="24.75" customHeight="1" thickBot="1">
      <c r="A990" s="99"/>
      <c r="B990" s="98"/>
      <c r="C990" s="56"/>
      <c r="D990" s="57"/>
      <c r="E990" s="56"/>
      <c r="F990" s="100"/>
      <c r="G990" s="57"/>
      <c r="H990" s="56"/>
      <c r="I990" s="57"/>
      <c r="J990" s="56"/>
      <c r="K990" s="57"/>
      <c r="L990" s="56"/>
      <c r="M990" s="57"/>
    </row>
    <row r="991" spans="1:13" ht="33" customHeight="1" thickBot="1">
      <c r="A991" s="112" t="s">
        <v>40</v>
      </c>
      <c r="B991" s="113"/>
      <c r="C991" s="113"/>
      <c r="D991" s="113"/>
      <c r="E991" s="113"/>
      <c r="F991" s="113"/>
      <c r="G991" s="113"/>
      <c r="H991" s="113"/>
      <c r="I991" s="113"/>
      <c r="J991" s="113"/>
      <c r="K991" s="113"/>
      <c r="L991" s="113"/>
      <c r="M991" s="114"/>
    </row>
    <row r="992" spans="1:13" ht="16.5" customHeight="1">
      <c r="A992" s="115" t="s">
        <v>41</v>
      </c>
      <c r="B992" s="116"/>
      <c r="C992" s="116"/>
      <c r="D992" s="116"/>
      <c r="E992" s="116"/>
      <c r="F992" s="116"/>
      <c r="G992" s="116"/>
      <c r="H992" s="116"/>
      <c r="I992" s="116"/>
      <c r="J992" s="116"/>
      <c r="K992" s="116"/>
      <c r="L992" s="116"/>
      <c r="M992" s="117"/>
    </row>
    <row r="993" spans="1:13" ht="16.5" customHeight="1">
      <c r="A993" s="90" t="s">
        <v>28</v>
      </c>
      <c r="B993" s="91"/>
      <c r="C993" s="91"/>
      <c r="D993" s="91"/>
      <c r="E993" s="91"/>
      <c r="F993" s="91"/>
      <c r="G993" s="91"/>
      <c r="H993" s="91"/>
      <c r="I993" s="91"/>
      <c r="J993" s="91"/>
      <c r="K993" s="91"/>
      <c r="L993" s="91"/>
      <c r="M993" s="92"/>
    </row>
    <row r="994" spans="1:13" s="1" customFormat="1" ht="16.5" customHeight="1">
      <c r="A994" s="93" t="s">
        <v>56</v>
      </c>
      <c r="B994" s="94"/>
      <c r="C994" s="94"/>
      <c r="D994" s="94"/>
      <c r="E994" s="94"/>
      <c r="F994" s="94"/>
      <c r="G994" s="94"/>
      <c r="H994" s="94"/>
      <c r="I994" s="94"/>
      <c r="J994" s="94"/>
      <c r="K994" s="94"/>
      <c r="L994" s="94"/>
      <c r="M994" s="95"/>
    </row>
    <row r="995" spans="1:13" s="1" customFormat="1" ht="16.5" customHeight="1">
      <c r="A995" s="93" t="s">
        <v>57</v>
      </c>
      <c r="B995" s="94"/>
      <c r="C995" s="94"/>
      <c r="D995" s="94"/>
      <c r="E995" s="94"/>
      <c r="F995" s="94"/>
      <c r="G995" s="94"/>
      <c r="H995" s="94"/>
      <c r="I995" s="94"/>
      <c r="J995" s="94"/>
      <c r="K995" s="94"/>
      <c r="L995" s="94"/>
      <c r="M995" s="95"/>
    </row>
    <row r="996" spans="1:13" s="1" customFormat="1" ht="16.5" customHeight="1">
      <c r="A996" s="93" t="s">
        <v>58</v>
      </c>
      <c r="B996" s="94"/>
      <c r="C996" s="94"/>
      <c r="D996" s="94"/>
      <c r="E996" s="94"/>
      <c r="F996" s="94"/>
      <c r="G996" s="94"/>
      <c r="H996" s="94"/>
      <c r="I996" s="94"/>
      <c r="J996" s="94"/>
      <c r="K996" s="94"/>
      <c r="L996" s="94"/>
      <c r="M996" s="95"/>
    </row>
    <row r="997" spans="1:13" s="1" customFormat="1" ht="16.5" customHeight="1">
      <c r="A997" s="93" t="s">
        <v>59</v>
      </c>
      <c r="B997" s="94"/>
      <c r="C997" s="94"/>
      <c r="D997" s="94"/>
      <c r="E997" s="94"/>
      <c r="F997" s="94"/>
      <c r="G997" s="94"/>
      <c r="H997" s="94"/>
      <c r="I997" s="94"/>
      <c r="J997" s="94"/>
      <c r="K997" s="94"/>
      <c r="L997" s="94"/>
      <c r="M997" s="95"/>
    </row>
    <row r="998" spans="1:13" ht="16.5" customHeight="1">
      <c r="A998" s="106" t="s">
        <v>29</v>
      </c>
      <c r="B998" s="107"/>
      <c r="C998" s="107"/>
      <c r="D998" s="107"/>
      <c r="E998" s="107"/>
      <c r="F998" s="107"/>
      <c r="G998" s="107"/>
      <c r="H998" s="107"/>
      <c r="I998" s="107"/>
      <c r="J998" s="107"/>
      <c r="K998" s="107"/>
      <c r="L998" s="107"/>
      <c r="M998" s="108"/>
    </row>
    <row r="999" spans="1:13" ht="9.75" customHeight="1" thickBot="1">
      <c r="A999" s="109"/>
      <c r="B999" s="110"/>
      <c r="C999" s="110"/>
      <c r="D999" s="110"/>
      <c r="E999" s="110"/>
      <c r="F999" s="110"/>
      <c r="G999" s="110"/>
      <c r="H999" s="110"/>
      <c r="I999" s="110"/>
      <c r="J999" s="110"/>
      <c r="K999" s="110"/>
      <c r="L999" s="110"/>
      <c r="M999" s="111"/>
    </row>
    <row r="1000" spans="1:13" ht="18.75" customHeight="1" thickBot="1">
      <c r="A1000" s="72" t="s">
        <v>30</v>
      </c>
      <c r="B1000" s="73"/>
      <c r="C1000" s="73"/>
      <c r="D1000" s="73"/>
      <c r="E1000" s="73"/>
      <c r="F1000" s="73"/>
      <c r="G1000" s="73"/>
      <c r="H1000" s="73"/>
      <c r="I1000" s="73"/>
      <c r="J1000" s="73"/>
      <c r="K1000" s="73"/>
      <c r="L1000" s="73"/>
      <c r="M1000" s="74"/>
    </row>
    <row r="1001" spans="1:13" ht="24" customHeight="1" thickBot="1">
      <c r="A1001" s="72" t="s">
        <v>31</v>
      </c>
      <c r="B1001" s="73"/>
      <c r="C1001" s="73"/>
      <c r="D1001" s="73"/>
      <c r="E1001" s="73"/>
      <c r="F1001" s="73"/>
      <c r="G1001" s="73"/>
      <c r="H1001" s="73"/>
      <c r="I1001" s="73"/>
      <c r="J1001" s="73"/>
      <c r="K1001" s="73"/>
      <c r="L1001" s="73"/>
      <c r="M1001" s="74"/>
    </row>
    <row r="1002" spans="1:13" ht="24" customHeight="1" thickBot="1">
      <c r="A1002" s="72" t="s">
        <v>115</v>
      </c>
      <c r="B1002" s="73"/>
      <c r="C1002" s="73"/>
      <c r="D1002" s="73"/>
      <c r="E1002" s="73"/>
      <c r="F1002" s="73"/>
      <c r="G1002" s="73"/>
      <c r="H1002" s="73"/>
      <c r="I1002" s="73"/>
      <c r="J1002" s="73"/>
      <c r="K1002" s="73"/>
      <c r="L1002" s="73"/>
      <c r="M1002" s="74"/>
    </row>
    <row r="1003" spans="1:13" ht="24" customHeight="1" thickBot="1">
      <c r="A1003" s="60" t="s">
        <v>46</v>
      </c>
      <c r="B1003" s="61"/>
      <c r="C1003" s="61"/>
      <c r="D1003" s="61"/>
      <c r="E1003" s="61"/>
      <c r="F1003" s="61"/>
      <c r="G1003" s="61"/>
      <c r="H1003" s="61"/>
      <c r="I1003" s="61"/>
      <c r="J1003" s="61"/>
      <c r="K1003" s="61"/>
      <c r="L1003" s="61"/>
      <c r="M1003" s="62"/>
    </row>
    <row r="1004" spans="1:13" ht="11.1" customHeight="1">
      <c r="A1004" s="103" t="s">
        <v>47</v>
      </c>
      <c r="B1004" s="103"/>
      <c r="C1004" s="103"/>
      <c r="D1004" s="103"/>
      <c r="E1004" s="103"/>
      <c r="F1004" s="103"/>
      <c r="G1004" s="103"/>
      <c r="H1004" s="103"/>
      <c r="I1004" s="103"/>
      <c r="J1004" s="103"/>
      <c r="K1004" s="103"/>
      <c r="L1004" s="103"/>
      <c r="M1004" s="103"/>
    </row>
    <row r="1005" spans="1:13" ht="11.1" customHeight="1">
      <c r="A1005" s="104" t="s">
        <v>48</v>
      </c>
      <c r="B1005" s="104"/>
      <c r="C1005" s="104"/>
      <c r="D1005" s="104"/>
      <c r="E1005" s="104"/>
      <c r="F1005" s="104"/>
      <c r="G1005" s="104"/>
      <c r="H1005" s="104"/>
      <c r="I1005" s="104"/>
      <c r="J1005" s="104"/>
      <c r="K1005" s="104"/>
      <c r="L1005" s="104"/>
      <c r="M1005" s="104"/>
    </row>
    <row r="1006" spans="1:13" ht="11.1" customHeight="1">
      <c r="A1006" s="105" t="s">
        <v>49</v>
      </c>
      <c r="B1006" s="105"/>
      <c r="C1006" s="105"/>
      <c r="D1006" s="105"/>
      <c r="E1006" s="105"/>
      <c r="F1006" s="105"/>
      <c r="G1006" s="105"/>
      <c r="H1006" s="105"/>
      <c r="I1006" s="105"/>
      <c r="J1006" s="105"/>
      <c r="K1006" s="105"/>
      <c r="L1006" s="105"/>
      <c r="M1006" s="105"/>
    </row>
    <row r="1007" spans="1:13" ht="11.1" customHeight="1">
      <c r="A1007" s="105" t="s">
        <v>50</v>
      </c>
      <c r="B1007" s="105"/>
      <c r="C1007" s="105"/>
      <c r="D1007" s="105"/>
      <c r="E1007" s="105"/>
      <c r="F1007" s="105"/>
      <c r="G1007" s="105"/>
      <c r="H1007" s="105"/>
      <c r="I1007" s="105"/>
      <c r="J1007" s="105"/>
      <c r="K1007" s="105"/>
      <c r="L1007" s="105"/>
      <c r="M1007" s="105"/>
    </row>
    <row r="1008" spans="1:13" ht="11.1" customHeight="1">
      <c r="A1008" s="104" t="s">
        <v>51</v>
      </c>
      <c r="B1008" s="104"/>
      <c r="C1008" s="104"/>
      <c r="D1008" s="104"/>
      <c r="E1008" s="104"/>
      <c r="F1008" s="104"/>
      <c r="G1008" s="104"/>
      <c r="H1008" s="104"/>
      <c r="I1008" s="104"/>
      <c r="J1008" s="104"/>
      <c r="K1008" s="104"/>
      <c r="L1008" s="104"/>
      <c r="M1008" s="104"/>
    </row>
    <row r="1009" spans="1:15" ht="11.1" customHeight="1">
      <c r="A1009" s="104" t="s">
        <v>52</v>
      </c>
      <c r="B1009" s="104"/>
      <c r="C1009" s="104"/>
      <c r="D1009" s="104"/>
      <c r="E1009" s="104"/>
      <c r="F1009" s="104"/>
      <c r="G1009" s="104"/>
      <c r="H1009" s="104"/>
      <c r="I1009" s="104"/>
      <c r="J1009" s="104"/>
      <c r="K1009" s="104"/>
      <c r="L1009" s="104"/>
      <c r="M1009" s="104"/>
    </row>
    <row r="1010" spans="1:15" ht="11.1" customHeight="1">
      <c r="A1010" s="104" t="s">
        <v>53</v>
      </c>
      <c r="B1010" s="104"/>
      <c r="C1010" s="104"/>
      <c r="D1010" s="104"/>
      <c r="E1010" s="104"/>
      <c r="F1010" s="104"/>
      <c r="G1010" s="104"/>
      <c r="H1010" s="104"/>
      <c r="I1010" s="104"/>
      <c r="J1010" s="104"/>
      <c r="K1010" s="104"/>
      <c r="L1010" s="104"/>
      <c r="M1010" s="104"/>
    </row>
    <row r="1011" spans="1:15" ht="11.1" customHeight="1">
      <c r="A1011" s="101" t="s">
        <v>54</v>
      </c>
      <c r="B1011" s="101"/>
      <c r="C1011" s="101"/>
      <c r="D1011" s="101"/>
      <c r="E1011" s="101"/>
      <c r="F1011" s="101"/>
      <c r="G1011" s="101"/>
      <c r="H1011" s="101"/>
      <c r="I1011" s="101"/>
      <c r="J1011" s="101"/>
      <c r="K1011" s="101"/>
      <c r="L1011" s="101"/>
      <c r="M1011" s="101"/>
    </row>
    <row r="1012" spans="1:15" ht="11.1" customHeight="1">
      <c r="A1012" s="101" t="s">
        <v>55</v>
      </c>
      <c r="B1012" s="101"/>
      <c r="C1012" s="101"/>
      <c r="D1012" s="101"/>
      <c r="E1012" s="101"/>
      <c r="F1012" s="101"/>
      <c r="G1012" s="101"/>
      <c r="H1012" s="101"/>
      <c r="I1012" s="101"/>
      <c r="J1012" s="101"/>
      <c r="K1012" s="101"/>
      <c r="L1012" s="101"/>
      <c r="M1012" s="101"/>
    </row>
    <row r="1013" spans="1:15" ht="19.5" customHeight="1">
      <c r="A1013" s="69" t="s">
        <v>0</v>
      </c>
      <c r="B1013" s="69"/>
      <c r="C1013" s="69"/>
      <c r="D1013" s="69"/>
      <c r="E1013" s="69"/>
      <c r="F1013" s="69"/>
      <c r="G1013" s="69"/>
      <c r="H1013" s="69"/>
      <c r="I1013" s="69"/>
      <c r="J1013" s="69"/>
      <c r="K1013" s="69"/>
      <c r="L1013" s="69"/>
      <c r="M1013" s="69"/>
    </row>
    <row r="1014" spans="1:15" ht="20.100000000000001" customHeight="1">
      <c r="A1014" s="4" t="s">
        <v>32</v>
      </c>
      <c r="B1014" s="5">
        <f>+B970+1</f>
        <v>28</v>
      </c>
      <c r="C1014" s="25"/>
      <c r="D1014" s="25"/>
      <c r="E1014" s="25"/>
      <c r="F1014" s="25"/>
      <c r="G1014" s="25"/>
      <c r="H1014" s="25"/>
      <c r="I1014" s="25"/>
      <c r="J1014" s="25"/>
      <c r="K1014" s="25"/>
      <c r="L1014" s="25"/>
      <c r="M1014" s="25"/>
    </row>
    <row r="1015" spans="1:15" ht="24" customHeight="1" thickBot="1">
      <c r="A1015" s="4" t="s">
        <v>33</v>
      </c>
      <c r="H1015" s="70" t="s">
        <v>34</v>
      </c>
      <c r="I1015" s="70"/>
      <c r="J1015" s="70"/>
      <c r="K1015" s="102">
        <f>+K971+1</f>
        <v>45954</v>
      </c>
      <c r="L1015" s="102"/>
      <c r="M1015" s="102"/>
      <c r="O1015" s="7"/>
    </row>
    <row r="1016" spans="1:15" ht="33.75" customHeight="1" thickBot="1">
      <c r="A1016" s="80" t="s">
        <v>1</v>
      </c>
      <c r="B1016" s="81"/>
      <c r="C1016" s="82"/>
      <c r="D1016" s="86" t="str">
        <f>+D972</f>
        <v>光明國中B與C區5樓老舊廁所整修工程</v>
      </c>
      <c r="E1016" s="87"/>
      <c r="F1016" s="87"/>
      <c r="G1016" s="88"/>
      <c r="H1016" s="80" t="s">
        <v>2</v>
      </c>
      <c r="I1016" s="81"/>
      <c r="J1016" s="82"/>
      <c r="K1016" s="80" t="s">
        <v>35</v>
      </c>
      <c r="L1016" s="81"/>
      <c r="M1016" s="82"/>
    </row>
    <row r="1017" spans="1:15" ht="33.75" customHeight="1" thickBot="1">
      <c r="A1017" s="8" t="s">
        <v>3</v>
      </c>
      <c r="B1017" s="26">
        <f>+B973</f>
        <v>142</v>
      </c>
      <c r="C1017" s="10" t="s">
        <v>36</v>
      </c>
      <c r="D1017" s="80" t="s">
        <v>4</v>
      </c>
      <c r="E1017" s="89"/>
      <c r="F1017" s="27">
        <f>+F973+1</f>
        <v>28</v>
      </c>
      <c r="G1017" s="12" t="s">
        <v>36</v>
      </c>
      <c r="H1017" s="13" t="s">
        <v>5</v>
      </c>
      <c r="I1017" s="26">
        <f>+B1017-F1017</f>
        <v>114</v>
      </c>
      <c r="J1017" s="10" t="s">
        <v>36</v>
      </c>
      <c r="K1017" s="80" t="s">
        <v>6</v>
      </c>
      <c r="L1017" s="82"/>
      <c r="M1017" s="13">
        <f>+M973</f>
        <v>12</v>
      </c>
    </row>
    <row r="1018" spans="1:15" ht="24" customHeight="1" thickBot="1">
      <c r="A1018" s="80" t="s">
        <v>7</v>
      </c>
      <c r="B1018" s="81"/>
      <c r="C1018" s="82"/>
      <c r="D1018" s="80" t="str">
        <f>+D974</f>
        <v>114.9.27</v>
      </c>
      <c r="E1018" s="81"/>
      <c r="F1018" s="81"/>
      <c r="G1018" s="82"/>
      <c r="H1018" s="80" t="s">
        <v>8</v>
      </c>
      <c r="I1018" s="81"/>
      <c r="J1018" s="82"/>
      <c r="K1018" s="80" t="str">
        <f>+K974</f>
        <v>115.2.15</v>
      </c>
      <c r="L1018" s="81"/>
      <c r="M1018" s="82"/>
    </row>
    <row r="1019" spans="1:15" ht="24" customHeight="1" thickBot="1">
      <c r="A1019" s="80" t="s">
        <v>37</v>
      </c>
      <c r="B1019" s="81"/>
      <c r="C1019" s="82"/>
      <c r="D1019" s="83">
        <v>7.1999999999999995E-2</v>
      </c>
      <c r="E1019" s="84"/>
      <c r="F1019" s="84"/>
      <c r="G1019" s="85"/>
      <c r="H1019" s="80" t="s">
        <v>38</v>
      </c>
      <c r="I1019" s="81"/>
      <c r="J1019" s="82"/>
      <c r="K1019" s="83">
        <f>+K975</f>
        <v>0.14199999999999999</v>
      </c>
      <c r="L1019" s="84"/>
      <c r="M1019" s="85"/>
    </row>
    <row r="1020" spans="1:15" ht="24" customHeight="1" thickBot="1">
      <c r="A1020" s="72" t="s">
        <v>9</v>
      </c>
      <c r="B1020" s="73"/>
      <c r="C1020" s="73"/>
      <c r="D1020" s="73"/>
      <c r="E1020" s="73"/>
      <c r="F1020" s="73"/>
      <c r="G1020" s="73"/>
      <c r="H1020" s="73"/>
      <c r="I1020" s="73"/>
      <c r="J1020" s="73"/>
      <c r="K1020" s="73"/>
      <c r="L1020" s="73"/>
      <c r="M1020" s="74"/>
    </row>
    <row r="1021" spans="1:15" ht="35.25" customHeight="1" thickBot="1">
      <c r="A1021" s="75" t="s">
        <v>10</v>
      </c>
      <c r="B1021" s="76"/>
      <c r="C1021" s="76"/>
      <c r="D1021" s="77"/>
      <c r="E1021" s="14" t="s">
        <v>11</v>
      </c>
      <c r="F1021" s="75" t="s">
        <v>12</v>
      </c>
      <c r="G1021" s="77"/>
      <c r="H1021" s="75" t="s">
        <v>13</v>
      </c>
      <c r="I1021" s="77"/>
      <c r="J1021" s="78" t="s">
        <v>14</v>
      </c>
      <c r="K1021" s="79"/>
      <c r="L1021" s="75" t="s">
        <v>15</v>
      </c>
      <c r="M1021" s="77"/>
    </row>
    <row r="1022" spans="1:15" ht="27.95" customHeight="1" thickBot="1">
      <c r="A1022" s="141"/>
      <c r="B1022" s="142"/>
      <c r="C1022" s="142"/>
      <c r="D1022" s="143"/>
      <c r="E1022" s="2"/>
      <c r="F1022" s="56"/>
      <c r="G1022" s="57"/>
      <c r="H1022" s="56"/>
      <c r="I1022" s="57"/>
      <c r="J1022" s="56"/>
      <c r="K1022" s="57"/>
      <c r="L1022" s="58"/>
      <c r="M1022" s="59"/>
    </row>
    <row r="1023" spans="1:15" ht="27.95" customHeight="1" thickBot="1">
      <c r="A1023" s="141"/>
      <c r="B1023" s="142"/>
      <c r="C1023" s="142"/>
      <c r="D1023" s="143"/>
      <c r="E1023" s="15"/>
      <c r="F1023" s="56"/>
      <c r="G1023" s="57"/>
      <c r="H1023" s="56"/>
      <c r="I1023" s="57"/>
      <c r="J1023" s="56"/>
      <c r="K1023" s="57"/>
      <c r="L1023" s="58"/>
      <c r="M1023" s="59"/>
    </row>
    <row r="1024" spans="1:15" ht="24.95" customHeight="1" thickTop="1" thickBot="1">
      <c r="A1024" s="130" t="s">
        <v>16</v>
      </c>
      <c r="B1024" s="67"/>
      <c r="C1024" s="67"/>
      <c r="D1024" s="68"/>
      <c r="E1024" s="28"/>
      <c r="F1024" s="131"/>
      <c r="G1024" s="132"/>
      <c r="H1024" s="131"/>
      <c r="I1024" s="132"/>
      <c r="J1024" s="131"/>
      <c r="K1024" s="132"/>
      <c r="L1024" s="131"/>
      <c r="M1024" s="133"/>
    </row>
    <row r="1025" spans="1:13" ht="24.95" customHeight="1" thickBot="1">
      <c r="A1025" s="134" t="s">
        <v>17</v>
      </c>
      <c r="B1025" s="135"/>
      <c r="C1025" s="135"/>
      <c r="D1025" s="59"/>
      <c r="E1025" s="28"/>
      <c r="F1025" s="58"/>
      <c r="G1025" s="59"/>
      <c r="H1025" s="58"/>
      <c r="I1025" s="59"/>
      <c r="J1025" s="58"/>
      <c r="K1025" s="59"/>
      <c r="L1025" s="58"/>
      <c r="M1025" s="136"/>
    </row>
    <row r="1026" spans="1:13" ht="24.95" customHeight="1" thickBot="1">
      <c r="A1026" s="118" t="s">
        <v>18</v>
      </c>
      <c r="B1026" s="119"/>
      <c r="C1026" s="119"/>
      <c r="D1026" s="120"/>
      <c r="E1026" s="24"/>
      <c r="F1026" s="121"/>
      <c r="G1026" s="120"/>
      <c r="H1026" s="121"/>
      <c r="I1026" s="120"/>
      <c r="J1026" s="121"/>
      <c r="K1026" s="120"/>
      <c r="L1026" s="121"/>
      <c r="M1026" s="122"/>
    </row>
    <row r="1027" spans="1:13" ht="24" customHeight="1" thickTop="1" thickBot="1">
      <c r="A1027" s="66" t="s">
        <v>19</v>
      </c>
      <c r="B1027" s="67"/>
      <c r="C1027" s="67"/>
      <c r="D1027" s="67"/>
      <c r="E1027" s="67"/>
      <c r="F1027" s="67"/>
      <c r="G1027" s="67"/>
      <c r="H1027" s="67"/>
      <c r="I1027" s="67"/>
      <c r="J1027" s="67"/>
      <c r="K1027" s="67"/>
      <c r="L1027" s="67"/>
      <c r="M1027" s="68"/>
    </row>
    <row r="1028" spans="1:13" ht="35.25" customHeight="1" thickBot="1">
      <c r="A1028" s="75" t="s">
        <v>20</v>
      </c>
      <c r="B1028" s="76"/>
      <c r="C1028" s="76"/>
      <c r="D1028" s="77"/>
      <c r="E1028" s="14" t="s">
        <v>11</v>
      </c>
      <c r="F1028" s="75" t="s">
        <v>39</v>
      </c>
      <c r="G1028" s="77"/>
      <c r="H1028" s="75" t="s">
        <v>21</v>
      </c>
      <c r="I1028" s="77"/>
      <c r="J1028" s="78" t="s">
        <v>22</v>
      </c>
      <c r="K1028" s="79"/>
      <c r="L1028" s="75" t="s">
        <v>15</v>
      </c>
      <c r="M1028" s="77"/>
    </row>
    <row r="1029" spans="1:13" ht="24" customHeight="1" thickBot="1">
      <c r="A1029" s="96"/>
      <c r="B1029" s="97"/>
      <c r="C1029" s="97"/>
      <c r="D1029" s="98"/>
      <c r="E1029" s="28"/>
      <c r="F1029" s="58"/>
      <c r="G1029" s="59"/>
      <c r="H1029" s="58"/>
      <c r="I1029" s="59"/>
      <c r="J1029" s="56"/>
      <c r="K1029" s="57"/>
      <c r="L1029" s="58"/>
      <c r="M1029" s="59"/>
    </row>
    <row r="1030" spans="1:13" ht="24" customHeight="1" thickBot="1">
      <c r="A1030" s="96"/>
      <c r="B1030" s="97"/>
      <c r="C1030" s="97"/>
      <c r="D1030" s="98"/>
      <c r="E1030" s="28"/>
      <c r="F1030" s="58"/>
      <c r="G1030" s="59"/>
      <c r="H1030" s="58"/>
      <c r="I1030" s="59"/>
      <c r="J1030" s="56"/>
      <c r="K1030" s="57"/>
      <c r="L1030" s="58"/>
      <c r="M1030" s="59"/>
    </row>
    <row r="1031" spans="1:13" ht="24" customHeight="1" thickBot="1">
      <c r="A1031" s="60" t="s">
        <v>23</v>
      </c>
      <c r="B1031" s="61"/>
      <c r="C1031" s="61"/>
      <c r="D1031" s="61"/>
      <c r="E1031" s="61"/>
      <c r="F1031" s="61"/>
      <c r="G1031" s="61"/>
      <c r="H1031" s="61"/>
      <c r="I1031" s="61"/>
      <c r="J1031" s="61"/>
      <c r="K1031" s="61"/>
      <c r="L1031" s="61"/>
      <c r="M1031" s="62"/>
    </row>
    <row r="1032" spans="1:13" ht="35.25" customHeight="1" thickBot="1">
      <c r="A1032" s="75" t="s">
        <v>24</v>
      </c>
      <c r="B1032" s="77"/>
      <c r="C1032" s="75" t="s">
        <v>25</v>
      </c>
      <c r="D1032" s="77"/>
      <c r="E1032" s="75" t="s">
        <v>26</v>
      </c>
      <c r="F1032" s="76"/>
      <c r="G1032" s="77"/>
      <c r="H1032" s="75" t="s">
        <v>27</v>
      </c>
      <c r="I1032" s="77"/>
      <c r="J1032" s="78" t="s">
        <v>21</v>
      </c>
      <c r="K1032" s="79"/>
      <c r="L1032" s="75" t="s">
        <v>22</v>
      </c>
      <c r="M1032" s="77"/>
    </row>
    <row r="1033" spans="1:13" s="18" customFormat="1" ht="24.75" customHeight="1" thickBot="1">
      <c r="A1033" s="99"/>
      <c r="B1033" s="98"/>
      <c r="C1033" s="56"/>
      <c r="D1033" s="57"/>
      <c r="E1033" s="56"/>
      <c r="F1033" s="100"/>
      <c r="G1033" s="57"/>
      <c r="H1033" s="56"/>
      <c r="I1033" s="57"/>
      <c r="J1033" s="56"/>
      <c r="K1033" s="57"/>
      <c r="L1033" s="56"/>
      <c r="M1033" s="57"/>
    </row>
    <row r="1034" spans="1:13" s="18" customFormat="1" ht="24.75" customHeight="1" thickBot="1">
      <c r="A1034" s="99"/>
      <c r="B1034" s="98"/>
      <c r="C1034" s="56"/>
      <c r="D1034" s="57"/>
      <c r="E1034" s="56"/>
      <c r="F1034" s="100"/>
      <c r="G1034" s="57"/>
      <c r="H1034" s="56"/>
      <c r="I1034" s="57"/>
      <c r="J1034" s="56"/>
      <c r="K1034" s="57"/>
      <c r="L1034" s="56"/>
      <c r="M1034" s="57"/>
    </row>
    <row r="1035" spans="1:13" ht="33" customHeight="1" thickBot="1">
      <c r="A1035" s="112" t="s">
        <v>60</v>
      </c>
      <c r="B1035" s="113"/>
      <c r="C1035" s="113"/>
      <c r="D1035" s="113"/>
      <c r="E1035" s="113"/>
      <c r="F1035" s="113"/>
      <c r="G1035" s="113"/>
      <c r="H1035" s="113"/>
      <c r="I1035" s="113"/>
      <c r="J1035" s="113"/>
      <c r="K1035" s="113"/>
      <c r="L1035" s="113"/>
      <c r="M1035" s="114"/>
    </row>
    <row r="1036" spans="1:13" ht="16.5" customHeight="1">
      <c r="A1036" s="115" t="s">
        <v>41</v>
      </c>
      <c r="B1036" s="116"/>
      <c r="C1036" s="116"/>
      <c r="D1036" s="116"/>
      <c r="E1036" s="116"/>
      <c r="F1036" s="116"/>
      <c r="G1036" s="116"/>
      <c r="H1036" s="116"/>
      <c r="I1036" s="116"/>
      <c r="J1036" s="116"/>
      <c r="K1036" s="116"/>
      <c r="L1036" s="116"/>
      <c r="M1036" s="117"/>
    </row>
    <row r="1037" spans="1:13" ht="16.5" customHeight="1">
      <c r="A1037" s="90" t="s">
        <v>28</v>
      </c>
      <c r="B1037" s="91"/>
      <c r="C1037" s="91"/>
      <c r="D1037" s="91"/>
      <c r="E1037" s="91"/>
      <c r="F1037" s="91"/>
      <c r="G1037" s="91"/>
      <c r="H1037" s="91"/>
      <c r="I1037" s="91"/>
      <c r="J1037" s="91"/>
      <c r="K1037" s="91"/>
      <c r="L1037" s="91"/>
      <c r="M1037" s="92"/>
    </row>
    <row r="1038" spans="1:13" ht="16.5" customHeight="1">
      <c r="A1038" s="106" t="s">
        <v>42</v>
      </c>
      <c r="B1038" s="107"/>
      <c r="C1038" s="107"/>
      <c r="D1038" s="107"/>
      <c r="E1038" s="107"/>
      <c r="F1038" s="107"/>
      <c r="G1038" s="107"/>
      <c r="H1038" s="107"/>
      <c r="I1038" s="107"/>
      <c r="J1038" s="107"/>
      <c r="K1038" s="107"/>
      <c r="L1038" s="107"/>
      <c r="M1038" s="108"/>
    </row>
    <row r="1039" spans="1:13" ht="16.5" customHeight="1">
      <c r="A1039" s="106" t="s">
        <v>43</v>
      </c>
      <c r="B1039" s="107"/>
      <c r="C1039" s="107"/>
      <c r="D1039" s="107"/>
      <c r="E1039" s="107"/>
      <c r="F1039" s="107"/>
      <c r="G1039" s="107"/>
      <c r="H1039" s="107"/>
      <c r="I1039" s="107"/>
      <c r="J1039" s="107"/>
      <c r="K1039" s="107"/>
      <c r="L1039" s="107"/>
      <c r="M1039" s="108"/>
    </row>
    <row r="1040" spans="1:13" ht="16.5" customHeight="1">
      <c r="A1040" s="106" t="s">
        <v>44</v>
      </c>
      <c r="B1040" s="107"/>
      <c r="C1040" s="107"/>
      <c r="D1040" s="107"/>
      <c r="E1040" s="107"/>
      <c r="F1040" s="107"/>
      <c r="G1040" s="107"/>
      <c r="H1040" s="107"/>
      <c r="I1040" s="107"/>
      <c r="J1040" s="107"/>
      <c r="K1040" s="107"/>
      <c r="L1040" s="107"/>
      <c r="M1040" s="108"/>
    </row>
    <row r="1041" spans="1:13" ht="16.5" customHeight="1">
      <c r="A1041" s="106" t="s">
        <v>45</v>
      </c>
      <c r="B1041" s="107"/>
      <c r="C1041" s="107"/>
      <c r="D1041" s="107"/>
      <c r="E1041" s="107"/>
      <c r="F1041" s="107"/>
      <c r="G1041" s="107"/>
      <c r="H1041" s="107"/>
      <c r="I1041" s="107"/>
      <c r="J1041" s="107"/>
      <c r="K1041" s="107"/>
      <c r="L1041" s="107"/>
      <c r="M1041" s="108"/>
    </row>
    <row r="1042" spans="1:13" ht="16.5" customHeight="1">
      <c r="A1042" s="106" t="s">
        <v>29</v>
      </c>
      <c r="B1042" s="107"/>
      <c r="C1042" s="107"/>
      <c r="D1042" s="107"/>
      <c r="E1042" s="107"/>
      <c r="F1042" s="107"/>
      <c r="G1042" s="107"/>
      <c r="H1042" s="107"/>
      <c r="I1042" s="107"/>
      <c r="J1042" s="107"/>
      <c r="K1042" s="107"/>
      <c r="L1042" s="107"/>
      <c r="M1042" s="108"/>
    </row>
    <row r="1043" spans="1:13" ht="9.75" customHeight="1" thickBot="1">
      <c r="A1043" s="109"/>
      <c r="B1043" s="110"/>
      <c r="C1043" s="110"/>
      <c r="D1043" s="110"/>
      <c r="E1043" s="110"/>
      <c r="F1043" s="110"/>
      <c r="G1043" s="110"/>
      <c r="H1043" s="110"/>
      <c r="I1043" s="110"/>
      <c r="J1043" s="110"/>
      <c r="K1043" s="110"/>
      <c r="L1043" s="110"/>
      <c r="M1043" s="111"/>
    </row>
    <row r="1044" spans="1:13" ht="18.75" customHeight="1" thickBot="1">
      <c r="A1044" s="72" t="s">
        <v>30</v>
      </c>
      <c r="B1044" s="73"/>
      <c r="C1044" s="73"/>
      <c r="D1044" s="73"/>
      <c r="E1044" s="73"/>
      <c r="F1044" s="73"/>
      <c r="G1044" s="73"/>
      <c r="H1044" s="73"/>
      <c r="I1044" s="73"/>
      <c r="J1044" s="73"/>
      <c r="K1044" s="73"/>
      <c r="L1044" s="73"/>
      <c r="M1044" s="74"/>
    </row>
    <row r="1045" spans="1:13" ht="24" customHeight="1" thickBot="1">
      <c r="A1045" s="72" t="s">
        <v>31</v>
      </c>
      <c r="B1045" s="73"/>
      <c r="C1045" s="73"/>
      <c r="D1045" s="73"/>
      <c r="E1045" s="73"/>
      <c r="F1045" s="73"/>
      <c r="G1045" s="73"/>
      <c r="H1045" s="73"/>
      <c r="I1045" s="73"/>
      <c r="J1045" s="73"/>
      <c r="K1045" s="73"/>
      <c r="L1045" s="73"/>
      <c r="M1045" s="74"/>
    </row>
    <row r="1046" spans="1:13" ht="24" customHeight="1" thickBot="1">
      <c r="A1046" s="72" t="s">
        <v>99</v>
      </c>
      <c r="B1046" s="73"/>
      <c r="C1046" s="73"/>
      <c r="D1046" s="73"/>
      <c r="E1046" s="73"/>
      <c r="F1046" s="73"/>
      <c r="G1046" s="73"/>
      <c r="H1046" s="73"/>
      <c r="I1046" s="73"/>
      <c r="J1046" s="73"/>
      <c r="K1046" s="73"/>
      <c r="L1046" s="73"/>
      <c r="M1046" s="74"/>
    </row>
    <row r="1047" spans="1:13" ht="24" customHeight="1" thickBot="1">
      <c r="A1047" s="60" t="s">
        <v>46</v>
      </c>
      <c r="B1047" s="61"/>
      <c r="C1047" s="61"/>
      <c r="D1047" s="61"/>
      <c r="E1047" s="61"/>
      <c r="F1047" s="61"/>
      <c r="G1047" s="61"/>
      <c r="H1047" s="61"/>
      <c r="I1047" s="61"/>
      <c r="J1047" s="61"/>
      <c r="K1047" s="61"/>
      <c r="L1047" s="61"/>
      <c r="M1047" s="62"/>
    </row>
    <row r="1048" spans="1:13" ht="11.1" customHeight="1">
      <c r="A1048" s="103" t="s">
        <v>47</v>
      </c>
      <c r="B1048" s="103"/>
      <c r="C1048" s="103"/>
      <c r="D1048" s="103"/>
      <c r="E1048" s="103"/>
      <c r="F1048" s="103"/>
      <c r="G1048" s="103"/>
      <c r="H1048" s="103"/>
      <c r="I1048" s="103"/>
      <c r="J1048" s="103"/>
      <c r="K1048" s="103"/>
      <c r="L1048" s="103"/>
      <c r="M1048" s="103"/>
    </row>
    <row r="1049" spans="1:13" ht="11.1" customHeight="1">
      <c r="A1049" s="104" t="s">
        <v>48</v>
      </c>
      <c r="B1049" s="104"/>
      <c r="C1049" s="104"/>
      <c r="D1049" s="104"/>
      <c r="E1049" s="104"/>
      <c r="F1049" s="104"/>
      <c r="G1049" s="104"/>
      <c r="H1049" s="104"/>
      <c r="I1049" s="104"/>
      <c r="J1049" s="104"/>
      <c r="K1049" s="104"/>
      <c r="L1049" s="104"/>
      <c r="M1049" s="104"/>
    </row>
    <row r="1050" spans="1:13" ht="11.1" customHeight="1">
      <c r="A1050" s="105" t="s">
        <v>49</v>
      </c>
      <c r="B1050" s="105"/>
      <c r="C1050" s="105"/>
      <c r="D1050" s="105"/>
      <c r="E1050" s="105"/>
      <c r="F1050" s="105"/>
      <c r="G1050" s="105"/>
      <c r="H1050" s="105"/>
      <c r="I1050" s="105"/>
      <c r="J1050" s="105"/>
      <c r="K1050" s="105"/>
      <c r="L1050" s="105"/>
      <c r="M1050" s="105"/>
    </row>
    <row r="1051" spans="1:13" ht="11.1" customHeight="1">
      <c r="A1051" s="105" t="s">
        <v>50</v>
      </c>
      <c r="B1051" s="105"/>
      <c r="C1051" s="105"/>
      <c r="D1051" s="105"/>
      <c r="E1051" s="105"/>
      <c r="F1051" s="105"/>
      <c r="G1051" s="105"/>
      <c r="H1051" s="105"/>
      <c r="I1051" s="105"/>
      <c r="J1051" s="105"/>
      <c r="K1051" s="105"/>
      <c r="L1051" s="105"/>
      <c r="M1051" s="105"/>
    </row>
    <row r="1052" spans="1:13" ht="11.1" customHeight="1">
      <c r="A1052" s="104" t="s">
        <v>51</v>
      </c>
      <c r="B1052" s="104"/>
      <c r="C1052" s="104"/>
      <c r="D1052" s="104"/>
      <c r="E1052" s="104"/>
      <c r="F1052" s="104"/>
      <c r="G1052" s="104"/>
      <c r="H1052" s="104"/>
      <c r="I1052" s="104"/>
      <c r="J1052" s="104"/>
      <c r="K1052" s="104"/>
      <c r="L1052" s="104"/>
      <c r="M1052" s="104"/>
    </row>
    <row r="1053" spans="1:13" ht="11.1" customHeight="1">
      <c r="A1053" s="104" t="s">
        <v>52</v>
      </c>
      <c r="B1053" s="104"/>
      <c r="C1053" s="104"/>
      <c r="D1053" s="104"/>
      <c r="E1053" s="104"/>
      <c r="F1053" s="104"/>
      <c r="G1053" s="104"/>
      <c r="H1053" s="104"/>
      <c r="I1053" s="104"/>
      <c r="J1053" s="104"/>
      <c r="K1053" s="104"/>
      <c r="L1053" s="104"/>
      <c r="M1053" s="104"/>
    </row>
    <row r="1054" spans="1:13" ht="11.1" customHeight="1">
      <c r="A1054" s="104" t="s">
        <v>53</v>
      </c>
      <c r="B1054" s="104"/>
      <c r="C1054" s="104"/>
      <c r="D1054" s="104"/>
      <c r="E1054" s="104"/>
      <c r="F1054" s="104"/>
      <c r="G1054" s="104"/>
      <c r="H1054" s="104"/>
      <c r="I1054" s="104"/>
      <c r="J1054" s="104"/>
      <c r="K1054" s="104"/>
      <c r="L1054" s="104"/>
      <c r="M1054" s="104"/>
    </row>
    <row r="1055" spans="1:13" ht="11.1" customHeight="1">
      <c r="A1055" s="101" t="s">
        <v>54</v>
      </c>
      <c r="B1055" s="101"/>
      <c r="C1055" s="101"/>
      <c r="D1055" s="101"/>
      <c r="E1055" s="101"/>
      <c r="F1055" s="101"/>
      <c r="G1055" s="101"/>
      <c r="H1055" s="101"/>
      <c r="I1055" s="101"/>
      <c r="J1055" s="101"/>
      <c r="K1055" s="101"/>
      <c r="L1055" s="101"/>
      <c r="M1055" s="101"/>
    </row>
    <row r="1056" spans="1:13" ht="11.1" customHeight="1">
      <c r="A1056" s="101" t="s">
        <v>55</v>
      </c>
      <c r="B1056" s="101"/>
      <c r="C1056" s="101"/>
      <c r="D1056" s="101"/>
      <c r="E1056" s="101"/>
      <c r="F1056" s="101"/>
      <c r="G1056" s="101"/>
      <c r="H1056" s="101"/>
      <c r="I1056" s="101"/>
      <c r="J1056" s="101"/>
      <c r="K1056" s="101"/>
      <c r="L1056" s="101"/>
      <c r="M1056" s="101"/>
    </row>
    <row r="1057" spans="1:15" ht="19.5" customHeight="1">
      <c r="A1057" s="69" t="s">
        <v>0</v>
      </c>
      <c r="B1057" s="69"/>
      <c r="C1057" s="69"/>
      <c r="D1057" s="69"/>
      <c r="E1057" s="69"/>
      <c r="F1057" s="69"/>
      <c r="G1057" s="69"/>
      <c r="H1057" s="69"/>
      <c r="I1057" s="69"/>
      <c r="J1057" s="69"/>
      <c r="K1057" s="69"/>
      <c r="L1057" s="69"/>
      <c r="M1057" s="69"/>
    </row>
    <row r="1058" spans="1:15" ht="20.100000000000001" customHeight="1">
      <c r="A1058" s="4" t="s">
        <v>32</v>
      </c>
      <c r="B1058" s="5">
        <f>+B1014+1</f>
        <v>29</v>
      </c>
      <c r="C1058" s="25"/>
      <c r="D1058" s="25"/>
      <c r="E1058" s="25"/>
      <c r="F1058" s="25"/>
      <c r="G1058" s="25"/>
      <c r="H1058" s="25"/>
      <c r="I1058" s="25"/>
      <c r="J1058" s="25"/>
      <c r="K1058" s="25"/>
      <c r="L1058" s="25"/>
      <c r="M1058" s="25"/>
    </row>
    <row r="1059" spans="1:15" ht="24" customHeight="1" thickBot="1">
      <c r="A1059" s="4" t="s">
        <v>33</v>
      </c>
      <c r="H1059" s="70" t="s">
        <v>34</v>
      </c>
      <c r="I1059" s="70"/>
      <c r="J1059" s="70"/>
      <c r="K1059" s="102">
        <f>+K1015+1</f>
        <v>45955</v>
      </c>
      <c r="L1059" s="102"/>
      <c r="M1059" s="102"/>
      <c r="O1059" s="7"/>
    </row>
    <row r="1060" spans="1:15" ht="33.75" customHeight="1" thickBot="1">
      <c r="A1060" s="80" t="s">
        <v>1</v>
      </c>
      <c r="B1060" s="81"/>
      <c r="C1060" s="82"/>
      <c r="D1060" s="86" t="str">
        <f>+D1016</f>
        <v>光明國中B與C區5樓老舊廁所整修工程</v>
      </c>
      <c r="E1060" s="87"/>
      <c r="F1060" s="87"/>
      <c r="G1060" s="88"/>
      <c r="H1060" s="80" t="s">
        <v>2</v>
      </c>
      <c r="I1060" s="81"/>
      <c r="J1060" s="82"/>
      <c r="K1060" s="80" t="s">
        <v>35</v>
      </c>
      <c r="L1060" s="81"/>
      <c r="M1060" s="82"/>
    </row>
    <row r="1061" spans="1:15" ht="33.75" customHeight="1" thickBot="1">
      <c r="A1061" s="8" t="s">
        <v>3</v>
      </c>
      <c r="B1061" s="26">
        <f>+B1017</f>
        <v>142</v>
      </c>
      <c r="C1061" s="10" t="s">
        <v>36</v>
      </c>
      <c r="D1061" s="80" t="s">
        <v>4</v>
      </c>
      <c r="E1061" s="89"/>
      <c r="F1061" s="27">
        <f>+F1017+1</f>
        <v>29</v>
      </c>
      <c r="G1061" s="12" t="s">
        <v>36</v>
      </c>
      <c r="H1061" s="13" t="s">
        <v>5</v>
      </c>
      <c r="I1061" s="26">
        <f>+B1061-F1061</f>
        <v>113</v>
      </c>
      <c r="J1061" s="10" t="s">
        <v>36</v>
      </c>
      <c r="K1061" s="80" t="s">
        <v>6</v>
      </c>
      <c r="L1061" s="82"/>
      <c r="M1061" s="13">
        <f>+M1017</f>
        <v>12</v>
      </c>
    </row>
    <row r="1062" spans="1:15" ht="24" customHeight="1" thickBot="1">
      <c r="A1062" s="80" t="s">
        <v>7</v>
      </c>
      <c r="B1062" s="81"/>
      <c r="C1062" s="82"/>
      <c r="D1062" s="80" t="str">
        <f>+D1018</f>
        <v>114.9.27</v>
      </c>
      <c r="E1062" s="81"/>
      <c r="F1062" s="81"/>
      <c r="G1062" s="82"/>
      <c r="H1062" s="80" t="s">
        <v>8</v>
      </c>
      <c r="I1062" s="81"/>
      <c r="J1062" s="82"/>
      <c r="K1062" s="80" t="str">
        <f>+K1018</f>
        <v>115.2.15</v>
      </c>
      <c r="L1062" s="81"/>
      <c r="M1062" s="82"/>
    </row>
    <row r="1063" spans="1:15" ht="24" customHeight="1" thickBot="1">
      <c r="A1063" s="80" t="s">
        <v>37</v>
      </c>
      <c r="B1063" s="81"/>
      <c r="C1063" s="82"/>
      <c r="D1063" s="83">
        <v>7.8E-2</v>
      </c>
      <c r="E1063" s="84"/>
      <c r="F1063" s="84"/>
      <c r="G1063" s="85"/>
      <c r="H1063" s="80" t="s">
        <v>38</v>
      </c>
      <c r="I1063" s="81"/>
      <c r="J1063" s="82"/>
      <c r="K1063" s="83">
        <v>0.15</v>
      </c>
      <c r="L1063" s="84"/>
      <c r="M1063" s="85"/>
    </row>
    <row r="1064" spans="1:15" ht="24" customHeight="1" thickBot="1">
      <c r="A1064" s="72" t="s">
        <v>9</v>
      </c>
      <c r="B1064" s="73"/>
      <c r="C1064" s="73"/>
      <c r="D1064" s="73"/>
      <c r="E1064" s="73"/>
      <c r="F1064" s="73"/>
      <c r="G1064" s="73"/>
      <c r="H1064" s="73"/>
      <c r="I1064" s="73"/>
      <c r="J1064" s="73"/>
      <c r="K1064" s="73"/>
      <c r="L1064" s="73"/>
      <c r="M1064" s="74"/>
    </row>
    <row r="1065" spans="1:15" ht="35.25" customHeight="1" thickBot="1">
      <c r="A1065" s="75" t="s">
        <v>10</v>
      </c>
      <c r="B1065" s="76"/>
      <c r="C1065" s="76"/>
      <c r="D1065" s="77"/>
      <c r="E1065" s="14" t="s">
        <v>11</v>
      </c>
      <c r="F1065" s="75" t="s">
        <v>12</v>
      </c>
      <c r="G1065" s="77"/>
      <c r="H1065" s="75" t="s">
        <v>13</v>
      </c>
      <c r="I1065" s="77"/>
      <c r="J1065" s="78" t="s">
        <v>14</v>
      </c>
      <c r="K1065" s="79"/>
      <c r="L1065" s="75" t="s">
        <v>15</v>
      </c>
      <c r="M1065" s="77"/>
    </row>
    <row r="1066" spans="1:15" ht="27.95" customHeight="1" thickBot="1">
      <c r="A1066" s="141" t="s">
        <v>100</v>
      </c>
      <c r="B1066" s="142"/>
      <c r="C1066" s="142"/>
      <c r="D1066" s="143"/>
      <c r="E1066" s="2" t="s">
        <v>101</v>
      </c>
      <c r="F1066" s="56">
        <v>1</v>
      </c>
      <c r="G1066" s="57"/>
      <c r="H1066" s="56">
        <v>0.1</v>
      </c>
      <c r="I1066" s="57"/>
      <c r="J1066" s="56">
        <v>0.3</v>
      </c>
      <c r="K1066" s="57"/>
      <c r="L1066" s="58"/>
      <c r="M1066" s="59"/>
    </row>
    <row r="1067" spans="1:15" ht="27.95" customHeight="1" thickBot="1">
      <c r="A1067" s="146" t="s">
        <v>103</v>
      </c>
      <c r="B1067" s="147"/>
      <c r="C1067" s="147"/>
      <c r="D1067" s="148"/>
      <c r="E1067" s="15" t="s">
        <v>69</v>
      </c>
      <c r="F1067" s="56">
        <v>1</v>
      </c>
      <c r="G1067" s="57"/>
      <c r="H1067" s="56">
        <v>0.5</v>
      </c>
      <c r="I1067" s="57"/>
      <c r="J1067" s="56">
        <v>0.5</v>
      </c>
      <c r="K1067" s="57"/>
      <c r="L1067" s="58"/>
      <c r="M1067" s="59"/>
    </row>
    <row r="1068" spans="1:15" ht="24.95" customHeight="1" thickTop="1" thickBot="1">
      <c r="A1068" s="130" t="s">
        <v>16</v>
      </c>
      <c r="B1068" s="67"/>
      <c r="C1068" s="67"/>
      <c r="D1068" s="68"/>
      <c r="E1068" s="34"/>
      <c r="F1068" s="131"/>
      <c r="G1068" s="132"/>
      <c r="H1068" s="131"/>
      <c r="I1068" s="132"/>
      <c r="J1068" s="131"/>
      <c r="K1068" s="132"/>
      <c r="L1068" s="131"/>
      <c r="M1068" s="133"/>
    </row>
    <row r="1069" spans="1:15" ht="24.95" customHeight="1" thickBot="1">
      <c r="A1069" s="134" t="s">
        <v>17</v>
      </c>
      <c r="B1069" s="135"/>
      <c r="C1069" s="135"/>
      <c r="D1069" s="59"/>
      <c r="E1069" s="34"/>
      <c r="F1069" s="58"/>
      <c r="G1069" s="59"/>
      <c r="H1069" s="58"/>
      <c r="I1069" s="59"/>
      <c r="J1069" s="58"/>
      <c r="K1069" s="59"/>
      <c r="L1069" s="58"/>
      <c r="M1069" s="136"/>
    </row>
    <row r="1070" spans="1:15" ht="24.95" customHeight="1" thickBot="1">
      <c r="A1070" s="118" t="s">
        <v>18</v>
      </c>
      <c r="B1070" s="119"/>
      <c r="C1070" s="119"/>
      <c r="D1070" s="120"/>
      <c r="E1070" s="24"/>
      <c r="F1070" s="144"/>
      <c r="G1070" s="145"/>
      <c r="H1070" s="121"/>
      <c r="I1070" s="120"/>
      <c r="J1070" s="121"/>
      <c r="K1070" s="120"/>
      <c r="L1070" s="121"/>
      <c r="M1070" s="122"/>
    </row>
    <row r="1071" spans="1:15" ht="24" customHeight="1" thickTop="1" thickBot="1">
      <c r="A1071" s="66" t="s">
        <v>19</v>
      </c>
      <c r="B1071" s="67"/>
      <c r="C1071" s="67"/>
      <c r="D1071" s="67"/>
      <c r="E1071" s="67"/>
      <c r="F1071" s="67"/>
      <c r="G1071" s="67"/>
      <c r="H1071" s="67"/>
      <c r="I1071" s="67"/>
      <c r="J1071" s="67"/>
      <c r="K1071" s="67"/>
      <c r="L1071" s="67"/>
      <c r="M1071" s="68"/>
    </row>
    <row r="1072" spans="1:15" ht="35.25" customHeight="1" thickBot="1">
      <c r="A1072" s="75" t="s">
        <v>20</v>
      </c>
      <c r="B1072" s="76"/>
      <c r="C1072" s="76"/>
      <c r="D1072" s="77"/>
      <c r="E1072" s="14" t="s">
        <v>11</v>
      </c>
      <c r="F1072" s="75" t="s">
        <v>39</v>
      </c>
      <c r="G1072" s="77"/>
      <c r="H1072" s="75" t="s">
        <v>21</v>
      </c>
      <c r="I1072" s="77"/>
      <c r="J1072" s="78" t="s">
        <v>22</v>
      </c>
      <c r="K1072" s="79"/>
      <c r="L1072" s="75" t="s">
        <v>15</v>
      </c>
      <c r="M1072" s="77"/>
    </row>
    <row r="1073" spans="1:13" ht="24" customHeight="1" thickBot="1">
      <c r="A1073" s="96"/>
      <c r="B1073" s="97"/>
      <c r="C1073" s="97"/>
      <c r="D1073" s="98"/>
      <c r="E1073" s="34"/>
      <c r="F1073" s="58"/>
      <c r="G1073" s="59"/>
      <c r="H1073" s="58"/>
      <c r="I1073" s="59"/>
      <c r="J1073" s="56"/>
      <c r="K1073" s="57"/>
      <c r="L1073" s="58"/>
      <c r="M1073" s="59"/>
    </row>
    <row r="1074" spans="1:13" ht="24" customHeight="1" thickBot="1">
      <c r="A1074" s="96"/>
      <c r="B1074" s="97"/>
      <c r="C1074" s="97"/>
      <c r="D1074" s="98"/>
      <c r="E1074" s="34"/>
      <c r="F1074" s="58"/>
      <c r="G1074" s="59"/>
      <c r="H1074" s="58"/>
      <c r="I1074" s="59"/>
      <c r="J1074" s="56"/>
      <c r="K1074" s="57"/>
      <c r="L1074" s="58"/>
      <c r="M1074" s="59"/>
    </row>
    <row r="1075" spans="1:13" ht="24" customHeight="1" thickBot="1">
      <c r="A1075" s="60" t="s">
        <v>23</v>
      </c>
      <c r="B1075" s="61"/>
      <c r="C1075" s="61"/>
      <c r="D1075" s="61"/>
      <c r="E1075" s="61"/>
      <c r="F1075" s="61"/>
      <c r="G1075" s="61"/>
      <c r="H1075" s="61"/>
      <c r="I1075" s="61"/>
      <c r="J1075" s="61"/>
      <c r="K1075" s="61"/>
      <c r="L1075" s="61"/>
      <c r="M1075" s="62"/>
    </row>
    <row r="1076" spans="1:13" ht="35.25" customHeight="1" thickBot="1">
      <c r="A1076" s="75" t="s">
        <v>24</v>
      </c>
      <c r="B1076" s="77"/>
      <c r="C1076" s="75" t="s">
        <v>25</v>
      </c>
      <c r="D1076" s="77"/>
      <c r="E1076" s="75" t="s">
        <v>26</v>
      </c>
      <c r="F1076" s="76"/>
      <c r="G1076" s="77"/>
      <c r="H1076" s="75" t="s">
        <v>27</v>
      </c>
      <c r="I1076" s="77"/>
      <c r="J1076" s="78" t="s">
        <v>21</v>
      </c>
      <c r="K1076" s="79"/>
      <c r="L1076" s="75" t="s">
        <v>22</v>
      </c>
      <c r="M1076" s="77"/>
    </row>
    <row r="1077" spans="1:13" s="18" customFormat="1" ht="24.75" customHeight="1" thickBot="1">
      <c r="A1077" s="99" t="s">
        <v>80</v>
      </c>
      <c r="B1077" s="98"/>
      <c r="C1077" s="56">
        <v>2</v>
      </c>
      <c r="D1077" s="57"/>
      <c r="E1077" s="56">
        <v>9</v>
      </c>
      <c r="F1077" s="100"/>
      <c r="G1077" s="57"/>
      <c r="H1077" s="56"/>
      <c r="I1077" s="57"/>
      <c r="J1077" s="56"/>
      <c r="K1077" s="57"/>
      <c r="L1077" s="56"/>
      <c r="M1077" s="57"/>
    </row>
    <row r="1078" spans="1:13" s="18" customFormat="1" ht="24.75" customHeight="1" thickBot="1">
      <c r="A1078" s="99" t="s">
        <v>71</v>
      </c>
      <c r="B1078" s="98"/>
      <c r="C1078" s="56">
        <v>3</v>
      </c>
      <c r="D1078" s="57"/>
      <c r="E1078" s="56">
        <v>62</v>
      </c>
      <c r="F1078" s="100"/>
      <c r="G1078" s="57"/>
      <c r="H1078" s="56"/>
      <c r="I1078" s="57"/>
      <c r="J1078" s="56"/>
      <c r="K1078" s="57"/>
      <c r="L1078" s="56"/>
      <c r="M1078" s="57"/>
    </row>
    <row r="1079" spans="1:13" ht="33" customHeight="1" thickBot="1">
      <c r="A1079" s="112" t="s">
        <v>40</v>
      </c>
      <c r="B1079" s="113"/>
      <c r="C1079" s="113"/>
      <c r="D1079" s="113"/>
      <c r="E1079" s="113"/>
      <c r="F1079" s="113"/>
      <c r="G1079" s="113"/>
      <c r="H1079" s="113"/>
      <c r="I1079" s="113"/>
      <c r="J1079" s="113"/>
      <c r="K1079" s="113"/>
      <c r="L1079" s="113"/>
      <c r="M1079" s="114"/>
    </row>
    <row r="1080" spans="1:13" ht="16.5" customHeight="1">
      <c r="A1080" s="115" t="s">
        <v>41</v>
      </c>
      <c r="B1080" s="116"/>
      <c r="C1080" s="116"/>
      <c r="D1080" s="116"/>
      <c r="E1080" s="116"/>
      <c r="F1080" s="116"/>
      <c r="G1080" s="116"/>
      <c r="H1080" s="116"/>
      <c r="I1080" s="116"/>
      <c r="J1080" s="116"/>
      <c r="K1080" s="116"/>
      <c r="L1080" s="116"/>
      <c r="M1080" s="117"/>
    </row>
    <row r="1081" spans="1:13" ht="16.5" customHeight="1">
      <c r="A1081" s="90" t="s">
        <v>28</v>
      </c>
      <c r="B1081" s="91"/>
      <c r="C1081" s="91"/>
      <c r="D1081" s="91"/>
      <c r="E1081" s="91"/>
      <c r="F1081" s="91"/>
      <c r="G1081" s="91"/>
      <c r="H1081" s="91"/>
      <c r="I1081" s="91"/>
      <c r="J1081" s="91"/>
      <c r="K1081" s="91"/>
      <c r="L1081" s="91"/>
      <c r="M1081" s="92"/>
    </row>
    <row r="1082" spans="1:13" s="1" customFormat="1" ht="16.5" customHeight="1">
      <c r="A1082" s="93" t="s">
        <v>56</v>
      </c>
      <c r="B1082" s="94"/>
      <c r="C1082" s="94"/>
      <c r="D1082" s="94"/>
      <c r="E1082" s="94"/>
      <c r="F1082" s="94"/>
      <c r="G1082" s="94"/>
      <c r="H1082" s="94"/>
      <c r="I1082" s="94"/>
      <c r="J1082" s="94"/>
      <c r="K1082" s="94"/>
      <c r="L1082" s="94"/>
      <c r="M1082" s="95"/>
    </row>
    <row r="1083" spans="1:13" s="1" customFormat="1" ht="16.5" customHeight="1">
      <c r="A1083" s="93" t="s">
        <v>57</v>
      </c>
      <c r="B1083" s="94"/>
      <c r="C1083" s="94"/>
      <c r="D1083" s="94"/>
      <c r="E1083" s="94"/>
      <c r="F1083" s="94"/>
      <c r="G1083" s="94"/>
      <c r="H1083" s="94"/>
      <c r="I1083" s="94"/>
      <c r="J1083" s="94"/>
      <c r="K1083" s="94"/>
      <c r="L1083" s="94"/>
      <c r="M1083" s="95"/>
    </row>
    <row r="1084" spans="1:13" s="1" customFormat="1" ht="16.5" customHeight="1">
      <c r="A1084" s="93" t="s">
        <v>58</v>
      </c>
      <c r="B1084" s="94"/>
      <c r="C1084" s="94"/>
      <c r="D1084" s="94"/>
      <c r="E1084" s="94"/>
      <c r="F1084" s="94"/>
      <c r="G1084" s="94"/>
      <c r="H1084" s="94"/>
      <c r="I1084" s="94"/>
      <c r="J1084" s="94"/>
      <c r="K1084" s="94"/>
      <c r="L1084" s="94"/>
      <c r="M1084" s="95"/>
    </row>
    <row r="1085" spans="1:13" s="1" customFormat="1" ht="16.5" customHeight="1">
      <c r="A1085" s="93" t="s">
        <v>59</v>
      </c>
      <c r="B1085" s="94"/>
      <c r="C1085" s="94"/>
      <c r="D1085" s="94"/>
      <c r="E1085" s="94"/>
      <c r="F1085" s="94"/>
      <c r="G1085" s="94"/>
      <c r="H1085" s="94"/>
      <c r="I1085" s="94"/>
      <c r="J1085" s="94"/>
      <c r="K1085" s="94"/>
      <c r="L1085" s="94"/>
      <c r="M1085" s="95"/>
    </row>
    <row r="1086" spans="1:13" ht="16.5" customHeight="1">
      <c r="A1086" s="106" t="s">
        <v>29</v>
      </c>
      <c r="B1086" s="107"/>
      <c r="C1086" s="107"/>
      <c r="D1086" s="107"/>
      <c r="E1086" s="107"/>
      <c r="F1086" s="107"/>
      <c r="G1086" s="107"/>
      <c r="H1086" s="107"/>
      <c r="I1086" s="107"/>
      <c r="J1086" s="107"/>
      <c r="K1086" s="107"/>
      <c r="L1086" s="107"/>
      <c r="M1086" s="108"/>
    </row>
    <row r="1087" spans="1:13" ht="9.75" customHeight="1" thickBot="1">
      <c r="A1087" s="109"/>
      <c r="B1087" s="110"/>
      <c r="C1087" s="110"/>
      <c r="D1087" s="110"/>
      <c r="E1087" s="110"/>
      <c r="F1087" s="110"/>
      <c r="G1087" s="110"/>
      <c r="H1087" s="110"/>
      <c r="I1087" s="110"/>
      <c r="J1087" s="110"/>
      <c r="K1087" s="110"/>
      <c r="L1087" s="110"/>
      <c r="M1087" s="111"/>
    </row>
    <row r="1088" spans="1:13" ht="18.75" customHeight="1" thickBot="1">
      <c r="A1088" s="72" t="s">
        <v>30</v>
      </c>
      <c r="B1088" s="73"/>
      <c r="C1088" s="73"/>
      <c r="D1088" s="73"/>
      <c r="E1088" s="73"/>
      <c r="F1088" s="73"/>
      <c r="G1088" s="73"/>
      <c r="H1088" s="73"/>
      <c r="I1088" s="73"/>
      <c r="J1088" s="73"/>
      <c r="K1088" s="73"/>
      <c r="L1088" s="73"/>
      <c r="M1088" s="74"/>
    </row>
    <row r="1089" spans="1:15" ht="24" customHeight="1" thickBot="1">
      <c r="A1089" s="72" t="s">
        <v>31</v>
      </c>
      <c r="B1089" s="73"/>
      <c r="C1089" s="73"/>
      <c r="D1089" s="73"/>
      <c r="E1089" s="73"/>
      <c r="F1089" s="73"/>
      <c r="G1089" s="73"/>
      <c r="H1089" s="73"/>
      <c r="I1089" s="73"/>
      <c r="J1089" s="73"/>
      <c r="K1089" s="73"/>
      <c r="L1089" s="73"/>
      <c r="M1089" s="74"/>
    </row>
    <row r="1090" spans="1:15" ht="24" customHeight="1" thickBot="1">
      <c r="A1090" s="72" t="s">
        <v>102</v>
      </c>
      <c r="B1090" s="73"/>
      <c r="C1090" s="73"/>
      <c r="D1090" s="73"/>
      <c r="E1090" s="73"/>
      <c r="F1090" s="73"/>
      <c r="G1090" s="73"/>
      <c r="H1090" s="73"/>
      <c r="I1090" s="73"/>
      <c r="J1090" s="73"/>
      <c r="K1090" s="73"/>
      <c r="L1090" s="73"/>
      <c r="M1090" s="74"/>
    </row>
    <row r="1091" spans="1:15" ht="24" customHeight="1" thickBot="1">
      <c r="A1091" s="60" t="s">
        <v>46</v>
      </c>
      <c r="B1091" s="61"/>
      <c r="C1091" s="61"/>
      <c r="D1091" s="61"/>
      <c r="E1091" s="61"/>
      <c r="F1091" s="61"/>
      <c r="G1091" s="61"/>
      <c r="H1091" s="61"/>
      <c r="I1091" s="61"/>
      <c r="J1091" s="61"/>
      <c r="K1091" s="61"/>
      <c r="L1091" s="61"/>
      <c r="M1091" s="62"/>
    </row>
    <row r="1092" spans="1:15" ht="11.1" customHeight="1">
      <c r="A1092" s="103" t="s">
        <v>47</v>
      </c>
      <c r="B1092" s="103"/>
      <c r="C1092" s="103"/>
      <c r="D1092" s="103"/>
      <c r="E1092" s="103"/>
      <c r="F1092" s="103"/>
      <c r="G1092" s="103"/>
      <c r="H1092" s="103"/>
      <c r="I1092" s="103"/>
      <c r="J1092" s="103"/>
      <c r="K1092" s="103"/>
      <c r="L1092" s="103"/>
      <c r="M1092" s="103"/>
    </row>
    <row r="1093" spans="1:15" ht="11.1" customHeight="1">
      <c r="A1093" s="104" t="s">
        <v>48</v>
      </c>
      <c r="B1093" s="104"/>
      <c r="C1093" s="104"/>
      <c r="D1093" s="104"/>
      <c r="E1093" s="104"/>
      <c r="F1093" s="104"/>
      <c r="G1093" s="104"/>
      <c r="H1093" s="104"/>
      <c r="I1093" s="104"/>
      <c r="J1093" s="104"/>
      <c r="K1093" s="104"/>
      <c r="L1093" s="104"/>
      <c r="M1093" s="104"/>
    </row>
    <row r="1094" spans="1:15" ht="11.1" customHeight="1">
      <c r="A1094" s="105" t="s">
        <v>49</v>
      </c>
      <c r="B1094" s="105"/>
      <c r="C1094" s="105"/>
      <c r="D1094" s="105"/>
      <c r="E1094" s="105"/>
      <c r="F1094" s="105"/>
      <c r="G1094" s="105"/>
      <c r="H1094" s="105"/>
      <c r="I1094" s="105"/>
      <c r="J1094" s="105"/>
      <c r="K1094" s="105"/>
      <c r="L1094" s="105"/>
      <c r="M1094" s="105"/>
    </row>
    <row r="1095" spans="1:15" ht="11.1" customHeight="1">
      <c r="A1095" s="105" t="s">
        <v>50</v>
      </c>
      <c r="B1095" s="105"/>
      <c r="C1095" s="105"/>
      <c r="D1095" s="105"/>
      <c r="E1095" s="105"/>
      <c r="F1095" s="105"/>
      <c r="G1095" s="105"/>
      <c r="H1095" s="105"/>
      <c r="I1095" s="105"/>
      <c r="J1095" s="105"/>
      <c r="K1095" s="105"/>
      <c r="L1095" s="105"/>
      <c r="M1095" s="105"/>
    </row>
    <row r="1096" spans="1:15" ht="11.1" customHeight="1">
      <c r="A1096" s="104" t="s">
        <v>51</v>
      </c>
      <c r="B1096" s="104"/>
      <c r="C1096" s="104"/>
      <c r="D1096" s="104"/>
      <c r="E1096" s="104"/>
      <c r="F1096" s="104"/>
      <c r="G1096" s="104"/>
      <c r="H1096" s="104"/>
      <c r="I1096" s="104"/>
      <c r="J1096" s="104"/>
      <c r="K1096" s="104"/>
      <c r="L1096" s="104"/>
      <c r="M1096" s="104"/>
    </row>
    <row r="1097" spans="1:15" ht="11.1" customHeight="1">
      <c r="A1097" s="104" t="s">
        <v>52</v>
      </c>
      <c r="B1097" s="104"/>
      <c r="C1097" s="104"/>
      <c r="D1097" s="104"/>
      <c r="E1097" s="104"/>
      <c r="F1097" s="104"/>
      <c r="G1097" s="104"/>
      <c r="H1097" s="104"/>
      <c r="I1097" s="104"/>
      <c r="J1097" s="104"/>
      <c r="K1097" s="104"/>
      <c r="L1097" s="104"/>
      <c r="M1097" s="104"/>
    </row>
    <row r="1098" spans="1:15" ht="11.1" customHeight="1">
      <c r="A1098" s="104" t="s">
        <v>53</v>
      </c>
      <c r="B1098" s="104"/>
      <c r="C1098" s="104"/>
      <c r="D1098" s="104"/>
      <c r="E1098" s="104"/>
      <c r="F1098" s="104"/>
      <c r="G1098" s="104"/>
      <c r="H1098" s="104"/>
      <c r="I1098" s="104"/>
      <c r="J1098" s="104"/>
      <c r="K1098" s="104"/>
      <c r="L1098" s="104"/>
      <c r="M1098" s="104"/>
    </row>
    <row r="1099" spans="1:15" ht="11.1" customHeight="1">
      <c r="A1099" s="101" t="s">
        <v>54</v>
      </c>
      <c r="B1099" s="101"/>
      <c r="C1099" s="101"/>
      <c r="D1099" s="101"/>
      <c r="E1099" s="101"/>
      <c r="F1099" s="101"/>
      <c r="G1099" s="101"/>
      <c r="H1099" s="101"/>
      <c r="I1099" s="101"/>
      <c r="J1099" s="101"/>
      <c r="K1099" s="101"/>
      <c r="L1099" s="101"/>
      <c r="M1099" s="101"/>
    </row>
    <row r="1100" spans="1:15" ht="11.1" customHeight="1">
      <c r="A1100" s="101" t="s">
        <v>55</v>
      </c>
      <c r="B1100" s="101"/>
      <c r="C1100" s="101"/>
      <c r="D1100" s="101"/>
      <c r="E1100" s="101"/>
      <c r="F1100" s="101"/>
      <c r="G1100" s="101"/>
      <c r="H1100" s="101"/>
      <c r="I1100" s="101"/>
      <c r="J1100" s="101"/>
      <c r="K1100" s="101"/>
      <c r="L1100" s="101"/>
      <c r="M1100" s="101"/>
    </row>
    <row r="1101" spans="1:15" ht="19.5" customHeight="1">
      <c r="A1101" s="69" t="s">
        <v>0</v>
      </c>
      <c r="B1101" s="69"/>
      <c r="C1101" s="69"/>
      <c r="D1101" s="69"/>
      <c r="E1101" s="69"/>
      <c r="F1101" s="69"/>
      <c r="G1101" s="69"/>
      <c r="H1101" s="69"/>
      <c r="I1101" s="69"/>
      <c r="J1101" s="69"/>
      <c r="K1101" s="69"/>
      <c r="L1101" s="69"/>
      <c r="M1101" s="69"/>
    </row>
    <row r="1102" spans="1:15" ht="20.100000000000001" customHeight="1">
      <c r="A1102" s="4" t="s">
        <v>32</v>
      </c>
      <c r="B1102" s="5">
        <f>+B1058+1</f>
        <v>30</v>
      </c>
      <c r="C1102" s="25"/>
      <c r="D1102" s="25"/>
      <c r="E1102" s="25"/>
      <c r="F1102" s="25"/>
      <c r="G1102" s="25"/>
      <c r="H1102" s="25"/>
      <c r="I1102" s="25"/>
      <c r="J1102" s="25"/>
      <c r="K1102" s="25"/>
      <c r="L1102" s="25"/>
      <c r="M1102" s="25"/>
    </row>
    <row r="1103" spans="1:15" ht="24" customHeight="1" thickBot="1">
      <c r="A1103" s="4" t="s">
        <v>33</v>
      </c>
      <c r="H1103" s="70" t="s">
        <v>34</v>
      </c>
      <c r="I1103" s="70"/>
      <c r="J1103" s="70"/>
      <c r="K1103" s="102">
        <f>+K1059+1</f>
        <v>45956</v>
      </c>
      <c r="L1103" s="102"/>
      <c r="M1103" s="102"/>
      <c r="O1103" s="7"/>
    </row>
    <row r="1104" spans="1:15" ht="33.75" customHeight="1" thickBot="1">
      <c r="A1104" s="80" t="s">
        <v>1</v>
      </c>
      <c r="B1104" s="81"/>
      <c r="C1104" s="82"/>
      <c r="D1104" s="86" t="str">
        <f>+D1060</f>
        <v>光明國中B與C區5樓老舊廁所整修工程</v>
      </c>
      <c r="E1104" s="87"/>
      <c r="F1104" s="87"/>
      <c r="G1104" s="88"/>
      <c r="H1104" s="80" t="s">
        <v>2</v>
      </c>
      <c r="I1104" s="81"/>
      <c r="J1104" s="82"/>
      <c r="K1104" s="80" t="s">
        <v>35</v>
      </c>
      <c r="L1104" s="81"/>
      <c r="M1104" s="82"/>
    </row>
    <row r="1105" spans="1:13" ht="33.75" customHeight="1" thickBot="1">
      <c r="A1105" s="8" t="s">
        <v>3</v>
      </c>
      <c r="B1105" s="26">
        <f>+B1061</f>
        <v>142</v>
      </c>
      <c r="C1105" s="10" t="s">
        <v>36</v>
      </c>
      <c r="D1105" s="80" t="s">
        <v>4</v>
      </c>
      <c r="E1105" s="89"/>
      <c r="F1105" s="27">
        <f>+F1061+1</f>
        <v>30</v>
      </c>
      <c r="G1105" s="12" t="s">
        <v>36</v>
      </c>
      <c r="H1105" s="13" t="s">
        <v>5</v>
      </c>
      <c r="I1105" s="26">
        <f>+B1105-F1105</f>
        <v>112</v>
      </c>
      <c r="J1105" s="10" t="s">
        <v>36</v>
      </c>
      <c r="K1105" s="80" t="s">
        <v>6</v>
      </c>
      <c r="L1105" s="82"/>
      <c r="M1105" s="13">
        <f>+M1061</f>
        <v>12</v>
      </c>
    </row>
    <row r="1106" spans="1:13" ht="24" customHeight="1" thickBot="1">
      <c r="A1106" s="80" t="s">
        <v>7</v>
      </c>
      <c r="B1106" s="81"/>
      <c r="C1106" s="82"/>
      <c r="D1106" s="80" t="str">
        <f>+D1062</f>
        <v>114.9.27</v>
      </c>
      <c r="E1106" s="81"/>
      <c r="F1106" s="81"/>
      <c r="G1106" s="82"/>
      <c r="H1106" s="80" t="s">
        <v>8</v>
      </c>
      <c r="I1106" s="81"/>
      <c r="J1106" s="82"/>
      <c r="K1106" s="80" t="str">
        <f>+K1062</f>
        <v>115.2.15</v>
      </c>
      <c r="L1106" s="81"/>
      <c r="M1106" s="82"/>
    </row>
    <row r="1107" spans="1:13" ht="24" customHeight="1" thickBot="1">
      <c r="A1107" s="80" t="s">
        <v>37</v>
      </c>
      <c r="B1107" s="81"/>
      <c r="C1107" s="82"/>
      <c r="D1107" s="83">
        <v>8.4000000000000005E-2</v>
      </c>
      <c r="E1107" s="84"/>
      <c r="F1107" s="84"/>
      <c r="G1107" s="85"/>
      <c r="H1107" s="80" t="s">
        <v>38</v>
      </c>
      <c r="I1107" s="81"/>
      <c r="J1107" s="82"/>
      <c r="K1107" s="83">
        <v>0.156</v>
      </c>
      <c r="L1107" s="84"/>
      <c r="M1107" s="85"/>
    </row>
    <row r="1108" spans="1:13" ht="24" customHeight="1" thickBot="1">
      <c r="A1108" s="72" t="s">
        <v>9</v>
      </c>
      <c r="B1108" s="73"/>
      <c r="C1108" s="73"/>
      <c r="D1108" s="73"/>
      <c r="E1108" s="73"/>
      <c r="F1108" s="73"/>
      <c r="G1108" s="73"/>
      <c r="H1108" s="73"/>
      <c r="I1108" s="73"/>
      <c r="J1108" s="73"/>
      <c r="K1108" s="73"/>
      <c r="L1108" s="73"/>
      <c r="M1108" s="74"/>
    </row>
    <row r="1109" spans="1:13" ht="35.25" customHeight="1" thickBot="1">
      <c r="A1109" s="75" t="s">
        <v>10</v>
      </c>
      <c r="B1109" s="76"/>
      <c r="C1109" s="76"/>
      <c r="D1109" s="77"/>
      <c r="E1109" s="14" t="s">
        <v>11</v>
      </c>
      <c r="F1109" s="75" t="s">
        <v>12</v>
      </c>
      <c r="G1109" s="77"/>
      <c r="H1109" s="75" t="s">
        <v>13</v>
      </c>
      <c r="I1109" s="77"/>
      <c r="J1109" s="78" t="s">
        <v>14</v>
      </c>
      <c r="K1109" s="79"/>
      <c r="L1109" s="75" t="s">
        <v>15</v>
      </c>
      <c r="M1109" s="77"/>
    </row>
    <row r="1110" spans="1:13" ht="27.95" customHeight="1" thickBot="1">
      <c r="A1110" s="141" t="s">
        <v>100</v>
      </c>
      <c r="B1110" s="142"/>
      <c r="C1110" s="142"/>
      <c r="D1110" s="143"/>
      <c r="E1110" s="2" t="s">
        <v>69</v>
      </c>
      <c r="F1110" s="56">
        <v>1</v>
      </c>
      <c r="G1110" s="57"/>
      <c r="H1110" s="56">
        <v>0.1</v>
      </c>
      <c r="I1110" s="57"/>
      <c r="J1110" s="56">
        <v>0.4</v>
      </c>
      <c r="K1110" s="57"/>
      <c r="L1110" s="58"/>
      <c r="M1110" s="59"/>
    </row>
    <row r="1111" spans="1:13" ht="27.95" customHeight="1" thickBot="1">
      <c r="A1111" s="146" t="s">
        <v>174</v>
      </c>
      <c r="B1111" s="147"/>
      <c r="C1111" s="147"/>
      <c r="D1111" s="148"/>
      <c r="E1111" s="15" t="s">
        <v>69</v>
      </c>
      <c r="F1111" s="56">
        <v>1</v>
      </c>
      <c r="G1111" s="57"/>
      <c r="H1111" s="56">
        <v>0.4</v>
      </c>
      <c r="I1111" s="57"/>
      <c r="J1111" s="56">
        <v>0.9</v>
      </c>
      <c r="K1111" s="57"/>
      <c r="L1111" s="58"/>
      <c r="M1111" s="59"/>
    </row>
    <row r="1112" spans="1:13" ht="24.95" customHeight="1" thickTop="1" thickBot="1">
      <c r="A1112" s="130" t="s">
        <v>16</v>
      </c>
      <c r="B1112" s="67"/>
      <c r="C1112" s="67"/>
      <c r="D1112" s="68"/>
      <c r="E1112" s="34"/>
      <c r="F1112" s="131"/>
      <c r="G1112" s="132"/>
      <c r="H1112" s="131"/>
      <c r="I1112" s="132"/>
      <c r="J1112" s="131"/>
      <c r="K1112" s="132"/>
      <c r="L1112" s="131"/>
      <c r="M1112" s="133"/>
    </row>
    <row r="1113" spans="1:13" ht="24.95" customHeight="1" thickBot="1">
      <c r="A1113" s="134" t="s">
        <v>17</v>
      </c>
      <c r="B1113" s="135"/>
      <c r="C1113" s="135"/>
      <c r="D1113" s="59"/>
      <c r="E1113" s="34"/>
      <c r="F1113" s="58"/>
      <c r="G1113" s="59"/>
      <c r="H1113" s="58"/>
      <c r="I1113" s="59"/>
      <c r="J1113" s="58"/>
      <c r="K1113" s="59"/>
      <c r="L1113" s="58"/>
      <c r="M1113" s="136"/>
    </row>
    <row r="1114" spans="1:13" ht="24.95" customHeight="1" thickBot="1">
      <c r="A1114" s="118" t="s">
        <v>18</v>
      </c>
      <c r="B1114" s="119"/>
      <c r="C1114" s="119"/>
      <c r="D1114" s="120"/>
      <c r="E1114" s="24"/>
      <c r="F1114" s="144"/>
      <c r="G1114" s="145"/>
      <c r="H1114" s="121"/>
      <c r="I1114" s="120"/>
      <c r="J1114" s="121"/>
      <c r="K1114" s="120"/>
      <c r="L1114" s="121"/>
      <c r="M1114" s="122"/>
    </row>
    <row r="1115" spans="1:13" ht="24" customHeight="1" thickTop="1" thickBot="1">
      <c r="A1115" s="66" t="s">
        <v>19</v>
      </c>
      <c r="B1115" s="67"/>
      <c r="C1115" s="67"/>
      <c r="D1115" s="67"/>
      <c r="E1115" s="67"/>
      <c r="F1115" s="67"/>
      <c r="G1115" s="67"/>
      <c r="H1115" s="67"/>
      <c r="I1115" s="67"/>
      <c r="J1115" s="67"/>
      <c r="K1115" s="67"/>
      <c r="L1115" s="67"/>
      <c r="M1115" s="68"/>
    </row>
    <row r="1116" spans="1:13" ht="35.25" customHeight="1" thickBot="1">
      <c r="A1116" s="75" t="s">
        <v>20</v>
      </c>
      <c r="B1116" s="76"/>
      <c r="C1116" s="76"/>
      <c r="D1116" s="77"/>
      <c r="E1116" s="14" t="s">
        <v>11</v>
      </c>
      <c r="F1116" s="75" t="s">
        <v>39</v>
      </c>
      <c r="G1116" s="77"/>
      <c r="H1116" s="75" t="s">
        <v>21</v>
      </c>
      <c r="I1116" s="77"/>
      <c r="J1116" s="78" t="s">
        <v>22</v>
      </c>
      <c r="K1116" s="79"/>
      <c r="L1116" s="75" t="s">
        <v>15</v>
      </c>
      <c r="M1116" s="77"/>
    </row>
    <row r="1117" spans="1:13" ht="24" customHeight="1" thickBot="1">
      <c r="A1117" s="96"/>
      <c r="B1117" s="97"/>
      <c r="C1117" s="97"/>
      <c r="D1117" s="98"/>
      <c r="E1117" s="34"/>
      <c r="F1117" s="58"/>
      <c r="G1117" s="59"/>
      <c r="H1117" s="58"/>
      <c r="I1117" s="59"/>
      <c r="J1117" s="56"/>
      <c r="K1117" s="57"/>
      <c r="L1117" s="58"/>
      <c r="M1117" s="59"/>
    </row>
    <row r="1118" spans="1:13" ht="24" customHeight="1" thickBot="1">
      <c r="A1118" s="96"/>
      <c r="B1118" s="97"/>
      <c r="C1118" s="97"/>
      <c r="D1118" s="98"/>
      <c r="E1118" s="34"/>
      <c r="F1118" s="58"/>
      <c r="G1118" s="59"/>
      <c r="H1118" s="58"/>
      <c r="I1118" s="59"/>
      <c r="J1118" s="56"/>
      <c r="K1118" s="57"/>
      <c r="L1118" s="58"/>
      <c r="M1118" s="59"/>
    </row>
    <row r="1119" spans="1:13" ht="24" customHeight="1" thickBot="1">
      <c r="A1119" s="60" t="s">
        <v>23</v>
      </c>
      <c r="B1119" s="61"/>
      <c r="C1119" s="61"/>
      <c r="D1119" s="61"/>
      <c r="E1119" s="61"/>
      <c r="F1119" s="61"/>
      <c r="G1119" s="61"/>
      <c r="H1119" s="61"/>
      <c r="I1119" s="61"/>
      <c r="J1119" s="61"/>
      <c r="K1119" s="61"/>
      <c r="L1119" s="61"/>
      <c r="M1119" s="62"/>
    </row>
    <row r="1120" spans="1:13" ht="35.25" customHeight="1" thickBot="1">
      <c r="A1120" s="75" t="s">
        <v>24</v>
      </c>
      <c r="B1120" s="77"/>
      <c r="C1120" s="75" t="s">
        <v>25</v>
      </c>
      <c r="D1120" s="77"/>
      <c r="E1120" s="75" t="s">
        <v>26</v>
      </c>
      <c r="F1120" s="76"/>
      <c r="G1120" s="77"/>
      <c r="H1120" s="75" t="s">
        <v>27</v>
      </c>
      <c r="I1120" s="77"/>
      <c r="J1120" s="78" t="s">
        <v>21</v>
      </c>
      <c r="K1120" s="79"/>
      <c r="L1120" s="75" t="s">
        <v>22</v>
      </c>
      <c r="M1120" s="77"/>
    </row>
    <row r="1121" spans="1:13" s="18" customFormat="1" ht="24.75" customHeight="1" thickBot="1">
      <c r="A1121" s="99" t="s">
        <v>108</v>
      </c>
      <c r="B1121" s="98"/>
      <c r="C1121" s="56">
        <v>2</v>
      </c>
      <c r="D1121" s="57"/>
      <c r="E1121" s="56">
        <v>11</v>
      </c>
      <c r="F1121" s="100"/>
      <c r="G1121" s="57"/>
      <c r="H1121" s="56"/>
      <c r="I1121" s="57"/>
      <c r="J1121" s="56"/>
      <c r="K1121" s="57"/>
      <c r="L1121" s="56"/>
      <c r="M1121" s="57"/>
    </row>
    <row r="1122" spans="1:13" s="18" customFormat="1" ht="24.75" customHeight="1" thickBot="1">
      <c r="A1122" s="99" t="s">
        <v>71</v>
      </c>
      <c r="B1122" s="98"/>
      <c r="C1122" s="56">
        <v>3</v>
      </c>
      <c r="D1122" s="57"/>
      <c r="E1122" s="56">
        <v>65</v>
      </c>
      <c r="F1122" s="100"/>
      <c r="G1122" s="57"/>
      <c r="H1122" s="56"/>
      <c r="I1122" s="57"/>
      <c r="J1122" s="56"/>
      <c r="K1122" s="57"/>
      <c r="L1122" s="56"/>
      <c r="M1122" s="57"/>
    </row>
    <row r="1123" spans="1:13" ht="33" customHeight="1" thickBot="1">
      <c r="A1123" s="112" t="s">
        <v>40</v>
      </c>
      <c r="B1123" s="113"/>
      <c r="C1123" s="113"/>
      <c r="D1123" s="113"/>
      <c r="E1123" s="113"/>
      <c r="F1123" s="113"/>
      <c r="G1123" s="113"/>
      <c r="H1123" s="113"/>
      <c r="I1123" s="113"/>
      <c r="J1123" s="113"/>
      <c r="K1123" s="113"/>
      <c r="L1123" s="113"/>
      <c r="M1123" s="114"/>
    </row>
    <row r="1124" spans="1:13" ht="16.5" customHeight="1">
      <c r="A1124" s="115" t="s">
        <v>41</v>
      </c>
      <c r="B1124" s="116"/>
      <c r="C1124" s="116"/>
      <c r="D1124" s="116"/>
      <c r="E1124" s="116"/>
      <c r="F1124" s="116"/>
      <c r="G1124" s="116"/>
      <c r="H1124" s="116"/>
      <c r="I1124" s="116"/>
      <c r="J1124" s="116"/>
      <c r="K1124" s="116"/>
      <c r="L1124" s="116"/>
      <c r="M1124" s="117"/>
    </row>
    <row r="1125" spans="1:13" ht="16.5" customHeight="1">
      <c r="A1125" s="90" t="s">
        <v>28</v>
      </c>
      <c r="B1125" s="91"/>
      <c r="C1125" s="91"/>
      <c r="D1125" s="91"/>
      <c r="E1125" s="91"/>
      <c r="F1125" s="91"/>
      <c r="G1125" s="91"/>
      <c r="H1125" s="91"/>
      <c r="I1125" s="91"/>
      <c r="J1125" s="91"/>
      <c r="K1125" s="91"/>
      <c r="L1125" s="91"/>
      <c r="M1125" s="92"/>
    </row>
    <row r="1126" spans="1:13" s="1" customFormat="1" ht="16.5" customHeight="1">
      <c r="A1126" s="93" t="s">
        <v>56</v>
      </c>
      <c r="B1126" s="94"/>
      <c r="C1126" s="94"/>
      <c r="D1126" s="94"/>
      <c r="E1126" s="94"/>
      <c r="F1126" s="94"/>
      <c r="G1126" s="94"/>
      <c r="H1126" s="94"/>
      <c r="I1126" s="94"/>
      <c r="J1126" s="94"/>
      <c r="K1126" s="94"/>
      <c r="L1126" s="94"/>
      <c r="M1126" s="95"/>
    </row>
    <row r="1127" spans="1:13" s="1" customFormat="1" ht="16.5" customHeight="1">
      <c r="A1127" s="93" t="s">
        <v>57</v>
      </c>
      <c r="B1127" s="94"/>
      <c r="C1127" s="94"/>
      <c r="D1127" s="94"/>
      <c r="E1127" s="94"/>
      <c r="F1127" s="94"/>
      <c r="G1127" s="94"/>
      <c r="H1127" s="94"/>
      <c r="I1127" s="94"/>
      <c r="J1127" s="94"/>
      <c r="K1127" s="94"/>
      <c r="L1127" s="94"/>
      <c r="M1127" s="95"/>
    </row>
    <row r="1128" spans="1:13" s="1" customFormat="1" ht="16.5" customHeight="1">
      <c r="A1128" s="93" t="s">
        <v>58</v>
      </c>
      <c r="B1128" s="94"/>
      <c r="C1128" s="94"/>
      <c r="D1128" s="94"/>
      <c r="E1128" s="94"/>
      <c r="F1128" s="94"/>
      <c r="G1128" s="94"/>
      <c r="H1128" s="94"/>
      <c r="I1128" s="94"/>
      <c r="J1128" s="94"/>
      <c r="K1128" s="94"/>
      <c r="L1128" s="94"/>
      <c r="M1128" s="95"/>
    </row>
    <row r="1129" spans="1:13" s="1" customFormat="1" ht="16.5" customHeight="1">
      <c r="A1129" s="93" t="s">
        <v>59</v>
      </c>
      <c r="B1129" s="94"/>
      <c r="C1129" s="94"/>
      <c r="D1129" s="94"/>
      <c r="E1129" s="94"/>
      <c r="F1129" s="94"/>
      <c r="G1129" s="94"/>
      <c r="H1129" s="94"/>
      <c r="I1129" s="94"/>
      <c r="J1129" s="94"/>
      <c r="K1129" s="94"/>
      <c r="L1129" s="94"/>
      <c r="M1129" s="95"/>
    </row>
    <row r="1130" spans="1:13" ht="16.5" customHeight="1">
      <c r="A1130" s="106" t="s">
        <v>29</v>
      </c>
      <c r="B1130" s="107"/>
      <c r="C1130" s="107"/>
      <c r="D1130" s="107"/>
      <c r="E1130" s="107"/>
      <c r="F1130" s="107"/>
      <c r="G1130" s="107"/>
      <c r="H1130" s="107"/>
      <c r="I1130" s="107"/>
      <c r="J1130" s="107"/>
      <c r="K1130" s="107"/>
      <c r="L1130" s="107"/>
      <c r="M1130" s="108"/>
    </row>
    <row r="1131" spans="1:13" ht="9.75" customHeight="1" thickBot="1">
      <c r="A1131" s="109"/>
      <c r="B1131" s="110"/>
      <c r="C1131" s="110"/>
      <c r="D1131" s="110"/>
      <c r="E1131" s="110"/>
      <c r="F1131" s="110"/>
      <c r="G1131" s="110"/>
      <c r="H1131" s="110"/>
      <c r="I1131" s="110"/>
      <c r="J1131" s="110"/>
      <c r="K1131" s="110"/>
      <c r="L1131" s="110"/>
      <c r="M1131" s="111"/>
    </row>
    <row r="1132" spans="1:13" ht="18.75" customHeight="1" thickBot="1">
      <c r="A1132" s="72" t="s">
        <v>30</v>
      </c>
      <c r="B1132" s="73"/>
      <c r="C1132" s="73"/>
      <c r="D1132" s="73"/>
      <c r="E1132" s="73"/>
      <c r="F1132" s="73"/>
      <c r="G1132" s="73"/>
      <c r="H1132" s="73"/>
      <c r="I1132" s="73"/>
      <c r="J1132" s="73"/>
      <c r="K1132" s="73"/>
      <c r="L1132" s="73"/>
      <c r="M1132" s="74"/>
    </row>
    <row r="1133" spans="1:13" ht="24" customHeight="1" thickBot="1">
      <c r="A1133" s="72" t="s">
        <v>31</v>
      </c>
      <c r="B1133" s="73"/>
      <c r="C1133" s="73"/>
      <c r="D1133" s="73"/>
      <c r="E1133" s="73"/>
      <c r="F1133" s="73"/>
      <c r="G1133" s="73"/>
      <c r="H1133" s="73"/>
      <c r="I1133" s="73"/>
      <c r="J1133" s="73"/>
      <c r="K1133" s="73"/>
      <c r="L1133" s="73"/>
      <c r="M1133" s="74"/>
    </row>
    <row r="1134" spans="1:13" ht="24" customHeight="1" thickBot="1">
      <c r="A1134" s="72" t="s">
        <v>104</v>
      </c>
      <c r="B1134" s="73"/>
      <c r="C1134" s="73"/>
      <c r="D1134" s="73"/>
      <c r="E1134" s="73"/>
      <c r="F1134" s="73"/>
      <c r="G1134" s="73"/>
      <c r="H1134" s="73"/>
      <c r="I1134" s="73"/>
      <c r="J1134" s="73"/>
      <c r="K1134" s="73"/>
      <c r="L1134" s="73"/>
      <c r="M1134" s="74"/>
    </row>
    <row r="1135" spans="1:13" ht="24" customHeight="1" thickBot="1">
      <c r="A1135" s="60" t="s">
        <v>46</v>
      </c>
      <c r="B1135" s="61"/>
      <c r="C1135" s="61"/>
      <c r="D1135" s="61"/>
      <c r="E1135" s="61"/>
      <c r="F1135" s="61"/>
      <c r="G1135" s="61"/>
      <c r="H1135" s="61"/>
      <c r="I1135" s="61"/>
      <c r="J1135" s="61"/>
      <c r="K1135" s="61"/>
      <c r="L1135" s="61"/>
      <c r="M1135" s="62"/>
    </row>
    <row r="1136" spans="1:13" ht="11.1" customHeight="1">
      <c r="A1136" s="103" t="s">
        <v>47</v>
      </c>
      <c r="B1136" s="103"/>
      <c r="C1136" s="103"/>
      <c r="D1136" s="103"/>
      <c r="E1136" s="103"/>
      <c r="F1136" s="103"/>
      <c r="G1136" s="103"/>
      <c r="H1136" s="103"/>
      <c r="I1136" s="103"/>
      <c r="J1136" s="103"/>
      <c r="K1136" s="103"/>
      <c r="L1136" s="103"/>
      <c r="M1136" s="103"/>
    </row>
    <row r="1137" spans="1:15" ht="11.1" customHeight="1">
      <c r="A1137" s="104" t="s">
        <v>48</v>
      </c>
      <c r="B1137" s="104"/>
      <c r="C1137" s="104"/>
      <c r="D1137" s="104"/>
      <c r="E1137" s="104"/>
      <c r="F1137" s="104"/>
      <c r="G1137" s="104"/>
      <c r="H1137" s="104"/>
      <c r="I1137" s="104"/>
      <c r="J1137" s="104"/>
      <c r="K1137" s="104"/>
      <c r="L1137" s="104"/>
      <c r="M1137" s="104"/>
    </row>
    <row r="1138" spans="1:15" ht="11.1" customHeight="1">
      <c r="A1138" s="105" t="s">
        <v>49</v>
      </c>
      <c r="B1138" s="105"/>
      <c r="C1138" s="105"/>
      <c r="D1138" s="105"/>
      <c r="E1138" s="105"/>
      <c r="F1138" s="105"/>
      <c r="G1138" s="105"/>
      <c r="H1138" s="105"/>
      <c r="I1138" s="105"/>
      <c r="J1138" s="105"/>
      <c r="K1138" s="105"/>
      <c r="L1138" s="105"/>
      <c r="M1138" s="105"/>
    </row>
    <row r="1139" spans="1:15" ht="11.1" customHeight="1">
      <c r="A1139" s="105" t="s">
        <v>50</v>
      </c>
      <c r="B1139" s="105"/>
      <c r="C1139" s="105"/>
      <c r="D1139" s="105"/>
      <c r="E1139" s="105"/>
      <c r="F1139" s="105"/>
      <c r="G1139" s="105"/>
      <c r="H1139" s="105"/>
      <c r="I1139" s="105"/>
      <c r="J1139" s="105"/>
      <c r="K1139" s="105"/>
      <c r="L1139" s="105"/>
      <c r="M1139" s="105"/>
    </row>
    <row r="1140" spans="1:15" ht="11.1" customHeight="1">
      <c r="A1140" s="104" t="s">
        <v>51</v>
      </c>
      <c r="B1140" s="104"/>
      <c r="C1140" s="104"/>
      <c r="D1140" s="104"/>
      <c r="E1140" s="104"/>
      <c r="F1140" s="104"/>
      <c r="G1140" s="104"/>
      <c r="H1140" s="104"/>
      <c r="I1140" s="104"/>
      <c r="J1140" s="104"/>
      <c r="K1140" s="104"/>
      <c r="L1140" s="104"/>
      <c r="M1140" s="104"/>
    </row>
    <row r="1141" spans="1:15" ht="11.1" customHeight="1">
      <c r="A1141" s="104" t="s">
        <v>52</v>
      </c>
      <c r="B1141" s="104"/>
      <c r="C1141" s="104"/>
      <c r="D1141" s="104"/>
      <c r="E1141" s="104"/>
      <c r="F1141" s="104"/>
      <c r="G1141" s="104"/>
      <c r="H1141" s="104"/>
      <c r="I1141" s="104"/>
      <c r="J1141" s="104"/>
      <c r="K1141" s="104"/>
      <c r="L1141" s="104"/>
      <c r="M1141" s="104"/>
    </row>
    <row r="1142" spans="1:15" ht="11.1" customHeight="1">
      <c r="A1142" s="104" t="s">
        <v>53</v>
      </c>
      <c r="B1142" s="104"/>
      <c r="C1142" s="104"/>
      <c r="D1142" s="104"/>
      <c r="E1142" s="104"/>
      <c r="F1142" s="104"/>
      <c r="G1142" s="104"/>
      <c r="H1142" s="104"/>
      <c r="I1142" s="104"/>
      <c r="J1142" s="104"/>
      <c r="K1142" s="104"/>
      <c r="L1142" s="104"/>
      <c r="M1142" s="104"/>
    </row>
    <row r="1143" spans="1:15" ht="11.1" customHeight="1">
      <c r="A1143" s="101" t="s">
        <v>54</v>
      </c>
      <c r="B1143" s="101"/>
      <c r="C1143" s="101"/>
      <c r="D1143" s="101"/>
      <c r="E1143" s="101"/>
      <c r="F1143" s="101"/>
      <c r="G1143" s="101"/>
      <c r="H1143" s="101"/>
      <c r="I1143" s="101"/>
      <c r="J1143" s="101"/>
      <c r="K1143" s="101"/>
      <c r="L1143" s="101"/>
      <c r="M1143" s="101"/>
    </row>
    <row r="1144" spans="1:15" ht="11.1" customHeight="1">
      <c r="A1144" s="101" t="s">
        <v>55</v>
      </c>
      <c r="B1144" s="101"/>
      <c r="C1144" s="101"/>
      <c r="D1144" s="101"/>
      <c r="E1144" s="101"/>
      <c r="F1144" s="101"/>
      <c r="G1144" s="101"/>
      <c r="H1144" s="101"/>
      <c r="I1144" s="101"/>
      <c r="J1144" s="101"/>
      <c r="K1144" s="101"/>
      <c r="L1144" s="101"/>
      <c r="M1144" s="101"/>
    </row>
    <row r="1145" spans="1:15" ht="19.5" customHeight="1">
      <c r="A1145" s="69" t="s">
        <v>0</v>
      </c>
      <c r="B1145" s="69"/>
      <c r="C1145" s="69"/>
      <c r="D1145" s="69"/>
      <c r="E1145" s="69"/>
      <c r="F1145" s="69"/>
      <c r="G1145" s="69"/>
      <c r="H1145" s="69"/>
      <c r="I1145" s="69"/>
      <c r="J1145" s="69"/>
      <c r="K1145" s="69"/>
      <c r="L1145" s="69"/>
      <c r="M1145" s="69"/>
    </row>
    <row r="1146" spans="1:15" ht="20.100000000000001" customHeight="1">
      <c r="A1146" s="4" t="s">
        <v>32</v>
      </c>
      <c r="B1146" s="5">
        <f>+B1102+1</f>
        <v>31</v>
      </c>
      <c r="C1146" s="25"/>
      <c r="D1146" s="25"/>
      <c r="E1146" s="25"/>
      <c r="F1146" s="25"/>
      <c r="G1146" s="25"/>
      <c r="H1146" s="25"/>
      <c r="I1146" s="25"/>
      <c r="J1146" s="25"/>
      <c r="K1146" s="25"/>
      <c r="L1146" s="25"/>
      <c r="M1146" s="25"/>
    </row>
    <row r="1147" spans="1:15" ht="24" customHeight="1" thickBot="1">
      <c r="A1147" s="4" t="s">
        <v>33</v>
      </c>
      <c r="H1147" s="70" t="s">
        <v>34</v>
      </c>
      <c r="I1147" s="70"/>
      <c r="J1147" s="70"/>
      <c r="K1147" s="102">
        <f>+K1103+1</f>
        <v>45957</v>
      </c>
      <c r="L1147" s="102"/>
      <c r="M1147" s="102"/>
      <c r="O1147" s="7"/>
    </row>
    <row r="1148" spans="1:15" ht="33.75" customHeight="1" thickBot="1">
      <c r="A1148" s="80" t="s">
        <v>1</v>
      </c>
      <c r="B1148" s="81"/>
      <c r="C1148" s="82"/>
      <c r="D1148" s="86" t="str">
        <f>+D1104</f>
        <v>光明國中B與C區5樓老舊廁所整修工程</v>
      </c>
      <c r="E1148" s="87"/>
      <c r="F1148" s="87"/>
      <c r="G1148" s="88"/>
      <c r="H1148" s="80" t="s">
        <v>2</v>
      </c>
      <c r="I1148" s="81"/>
      <c r="J1148" s="82"/>
      <c r="K1148" s="80" t="s">
        <v>35</v>
      </c>
      <c r="L1148" s="81"/>
      <c r="M1148" s="82"/>
    </row>
    <row r="1149" spans="1:15" ht="33.75" customHeight="1" thickBot="1">
      <c r="A1149" s="8" t="s">
        <v>3</v>
      </c>
      <c r="B1149" s="26">
        <f>+B1105</f>
        <v>142</v>
      </c>
      <c r="C1149" s="10" t="s">
        <v>36</v>
      </c>
      <c r="D1149" s="80" t="s">
        <v>4</v>
      </c>
      <c r="E1149" s="89"/>
      <c r="F1149" s="27">
        <f>+F1105+1</f>
        <v>31</v>
      </c>
      <c r="G1149" s="12" t="s">
        <v>36</v>
      </c>
      <c r="H1149" s="13" t="s">
        <v>5</v>
      </c>
      <c r="I1149" s="26">
        <f>+B1149-F1149</f>
        <v>111</v>
      </c>
      <c r="J1149" s="10" t="s">
        <v>36</v>
      </c>
      <c r="K1149" s="80" t="s">
        <v>6</v>
      </c>
      <c r="L1149" s="82"/>
      <c r="M1149" s="13">
        <f>+M1105</f>
        <v>12</v>
      </c>
    </row>
    <row r="1150" spans="1:15" ht="24" customHeight="1" thickBot="1">
      <c r="A1150" s="80" t="s">
        <v>7</v>
      </c>
      <c r="B1150" s="81"/>
      <c r="C1150" s="82"/>
      <c r="D1150" s="80" t="str">
        <f>+D1106</f>
        <v>114.9.27</v>
      </c>
      <c r="E1150" s="81"/>
      <c r="F1150" s="81"/>
      <c r="G1150" s="82"/>
      <c r="H1150" s="80" t="s">
        <v>8</v>
      </c>
      <c r="I1150" s="81"/>
      <c r="J1150" s="82"/>
      <c r="K1150" s="80" t="str">
        <f>+K1106</f>
        <v>115.2.15</v>
      </c>
      <c r="L1150" s="81"/>
      <c r="M1150" s="82"/>
    </row>
    <row r="1151" spans="1:15" ht="24" customHeight="1" thickBot="1">
      <c r="A1151" s="80" t="s">
        <v>37</v>
      </c>
      <c r="B1151" s="81"/>
      <c r="C1151" s="82"/>
      <c r="D1151" s="83">
        <v>0.09</v>
      </c>
      <c r="E1151" s="84"/>
      <c r="F1151" s="84"/>
      <c r="G1151" s="85"/>
      <c r="H1151" s="80" t="s">
        <v>38</v>
      </c>
      <c r="I1151" s="81"/>
      <c r="J1151" s="82"/>
      <c r="K1151" s="83">
        <v>0.156</v>
      </c>
      <c r="L1151" s="84"/>
      <c r="M1151" s="85"/>
    </row>
    <row r="1152" spans="1:15" ht="24" customHeight="1" thickBot="1">
      <c r="A1152" s="72" t="s">
        <v>9</v>
      </c>
      <c r="B1152" s="73"/>
      <c r="C1152" s="73"/>
      <c r="D1152" s="73"/>
      <c r="E1152" s="73"/>
      <c r="F1152" s="73"/>
      <c r="G1152" s="73"/>
      <c r="H1152" s="73"/>
      <c r="I1152" s="73"/>
      <c r="J1152" s="73"/>
      <c r="K1152" s="73"/>
      <c r="L1152" s="73"/>
      <c r="M1152" s="74"/>
    </row>
    <row r="1153" spans="1:13" ht="35.25" customHeight="1" thickBot="1">
      <c r="A1153" s="75" t="s">
        <v>10</v>
      </c>
      <c r="B1153" s="76"/>
      <c r="C1153" s="76"/>
      <c r="D1153" s="77"/>
      <c r="E1153" s="14" t="s">
        <v>11</v>
      </c>
      <c r="F1153" s="75" t="s">
        <v>12</v>
      </c>
      <c r="G1153" s="77"/>
      <c r="H1153" s="75" t="s">
        <v>13</v>
      </c>
      <c r="I1153" s="77"/>
      <c r="J1153" s="78" t="s">
        <v>14</v>
      </c>
      <c r="K1153" s="79"/>
      <c r="L1153" s="75" t="s">
        <v>15</v>
      </c>
      <c r="M1153" s="77"/>
    </row>
    <row r="1154" spans="1:13" ht="27.95" customHeight="1" thickBot="1">
      <c r="A1154" s="141"/>
      <c r="B1154" s="142"/>
      <c r="C1154" s="142"/>
      <c r="D1154" s="143"/>
      <c r="E1154" s="2"/>
      <c r="F1154" s="56"/>
      <c r="G1154" s="57"/>
      <c r="H1154" s="56"/>
      <c r="I1154" s="57"/>
      <c r="J1154" s="56"/>
      <c r="K1154" s="57"/>
      <c r="L1154" s="58"/>
      <c r="M1154" s="59"/>
    </row>
    <row r="1155" spans="1:13" ht="27.95" customHeight="1" thickBot="1">
      <c r="A1155" s="141"/>
      <c r="B1155" s="142"/>
      <c r="C1155" s="142"/>
      <c r="D1155" s="143"/>
      <c r="E1155" s="15"/>
      <c r="F1155" s="56"/>
      <c r="G1155" s="57"/>
      <c r="H1155" s="56"/>
      <c r="I1155" s="57"/>
      <c r="J1155" s="56"/>
      <c r="K1155" s="57"/>
      <c r="L1155" s="58"/>
      <c r="M1155" s="59"/>
    </row>
    <row r="1156" spans="1:13" ht="24.95" customHeight="1" thickTop="1" thickBot="1">
      <c r="A1156" s="130" t="s">
        <v>16</v>
      </c>
      <c r="B1156" s="67"/>
      <c r="C1156" s="67"/>
      <c r="D1156" s="68"/>
      <c r="E1156" s="28"/>
      <c r="F1156" s="131"/>
      <c r="G1156" s="132"/>
      <c r="H1156" s="131"/>
      <c r="I1156" s="132"/>
      <c r="J1156" s="131"/>
      <c r="K1156" s="132"/>
      <c r="L1156" s="131"/>
      <c r="M1156" s="133"/>
    </row>
    <row r="1157" spans="1:13" ht="24.95" customHeight="1" thickBot="1">
      <c r="A1157" s="134" t="s">
        <v>17</v>
      </c>
      <c r="B1157" s="135"/>
      <c r="C1157" s="135"/>
      <c r="D1157" s="59"/>
      <c r="E1157" s="28"/>
      <c r="F1157" s="58"/>
      <c r="G1157" s="59"/>
      <c r="H1157" s="58"/>
      <c r="I1157" s="59"/>
      <c r="J1157" s="58"/>
      <c r="K1157" s="59"/>
      <c r="L1157" s="58"/>
      <c r="M1157" s="136"/>
    </row>
    <row r="1158" spans="1:13" ht="24.95" customHeight="1" thickBot="1">
      <c r="A1158" s="118" t="s">
        <v>18</v>
      </c>
      <c r="B1158" s="119"/>
      <c r="C1158" s="119"/>
      <c r="D1158" s="120"/>
      <c r="E1158" s="24"/>
      <c r="F1158" s="121"/>
      <c r="G1158" s="120"/>
      <c r="H1158" s="121"/>
      <c r="I1158" s="120"/>
      <c r="J1158" s="121"/>
      <c r="K1158" s="120"/>
      <c r="L1158" s="121"/>
      <c r="M1158" s="122"/>
    </row>
    <row r="1159" spans="1:13" ht="24" customHeight="1" thickTop="1" thickBot="1">
      <c r="A1159" s="66" t="s">
        <v>19</v>
      </c>
      <c r="B1159" s="67"/>
      <c r="C1159" s="67"/>
      <c r="D1159" s="67"/>
      <c r="E1159" s="67"/>
      <c r="F1159" s="67"/>
      <c r="G1159" s="67"/>
      <c r="H1159" s="67"/>
      <c r="I1159" s="67"/>
      <c r="J1159" s="67"/>
      <c r="K1159" s="67"/>
      <c r="L1159" s="67"/>
      <c r="M1159" s="68"/>
    </row>
    <row r="1160" spans="1:13" ht="35.25" customHeight="1" thickBot="1">
      <c r="A1160" s="75" t="s">
        <v>20</v>
      </c>
      <c r="B1160" s="76"/>
      <c r="C1160" s="76"/>
      <c r="D1160" s="77"/>
      <c r="E1160" s="14" t="s">
        <v>11</v>
      </c>
      <c r="F1160" s="75" t="s">
        <v>39</v>
      </c>
      <c r="G1160" s="77"/>
      <c r="H1160" s="75" t="s">
        <v>21</v>
      </c>
      <c r="I1160" s="77"/>
      <c r="J1160" s="78" t="s">
        <v>22</v>
      </c>
      <c r="K1160" s="79"/>
      <c r="L1160" s="75" t="s">
        <v>15</v>
      </c>
      <c r="M1160" s="77"/>
    </row>
    <row r="1161" spans="1:13" ht="24" customHeight="1" thickBot="1">
      <c r="A1161" s="96"/>
      <c r="B1161" s="97"/>
      <c r="C1161" s="97"/>
      <c r="D1161" s="98"/>
      <c r="E1161" s="28"/>
      <c r="F1161" s="58"/>
      <c r="G1161" s="59"/>
      <c r="H1161" s="58"/>
      <c r="I1161" s="59"/>
      <c r="J1161" s="56"/>
      <c r="K1161" s="57"/>
      <c r="L1161" s="58"/>
      <c r="M1161" s="59"/>
    </row>
    <row r="1162" spans="1:13" ht="24" customHeight="1" thickBot="1">
      <c r="A1162" s="96"/>
      <c r="B1162" s="97"/>
      <c r="C1162" s="97"/>
      <c r="D1162" s="98"/>
      <c r="E1162" s="28"/>
      <c r="F1162" s="58"/>
      <c r="G1162" s="59"/>
      <c r="H1162" s="58"/>
      <c r="I1162" s="59"/>
      <c r="J1162" s="56"/>
      <c r="K1162" s="57"/>
      <c r="L1162" s="58"/>
      <c r="M1162" s="59"/>
    </row>
    <row r="1163" spans="1:13" ht="24" customHeight="1" thickBot="1">
      <c r="A1163" s="60" t="s">
        <v>23</v>
      </c>
      <c r="B1163" s="61"/>
      <c r="C1163" s="61"/>
      <c r="D1163" s="61"/>
      <c r="E1163" s="61"/>
      <c r="F1163" s="61"/>
      <c r="G1163" s="61"/>
      <c r="H1163" s="61"/>
      <c r="I1163" s="61"/>
      <c r="J1163" s="61"/>
      <c r="K1163" s="61"/>
      <c r="L1163" s="61"/>
      <c r="M1163" s="62"/>
    </row>
    <row r="1164" spans="1:13" ht="35.25" customHeight="1" thickBot="1">
      <c r="A1164" s="75" t="s">
        <v>24</v>
      </c>
      <c r="B1164" s="77"/>
      <c r="C1164" s="75" t="s">
        <v>25</v>
      </c>
      <c r="D1164" s="77"/>
      <c r="E1164" s="75" t="s">
        <v>26</v>
      </c>
      <c r="F1164" s="76"/>
      <c r="G1164" s="77"/>
      <c r="H1164" s="75" t="s">
        <v>27</v>
      </c>
      <c r="I1164" s="77"/>
      <c r="J1164" s="78" t="s">
        <v>21</v>
      </c>
      <c r="K1164" s="79"/>
      <c r="L1164" s="75" t="s">
        <v>22</v>
      </c>
      <c r="M1164" s="77"/>
    </row>
    <row r="1165" spans="1:13" s="18" customFormat="1" ht="24.75" customHeight="1" thickBot="1">
      <c r="A1165" s="99"/>
      <c r="B1165" s="98"/>
      <c r="C1165" s="56"/>
      <c r="D1165" s="57"/>
      <c r="E1165" s="56"/>
      <c r="F1165" s="100"/>
      <c r="G1165" s="57"/>
      <c r="H1165" s="56"/>
      <c r="I1165" s="57"/>
      <c r="J1165" s="56"/>
      <c r="K1165" s="57"/>
      <c r="L1165" s="56"/>
      <c r="M1165" s="57"/>
    </row>
    <row r="1166" spans="1:13" s="18" customFormat="1" ht="24.75" customHeight="1" thickBot="1">
      <c r="A1166" s="99"/>
      <c r="B1166" s="98"/>
      <c r="C1166" s="56"/>
      <c r="D1166" s="57"/>
      <c r="E1166" s="56"/>
      <c r="F1166" s="100"/>
      <c r="G1166" s="57"/>
      <c r="H1166" s="56"/>
      <c r="I1166" s="57"/>
      <c r="J1166" s="56"/>
      <c r="K1166" s="57"/>
      <c r="L1166" s="56"/>
      <c r="M1166" s="57"/>
    </row>
    <row r="1167" spans="1:13" ht="33" customHeight="1" thickBot="1">
      <c r="A1167" s="112" t="s">
        <v>60</v>
      </c>
      <c r="B1167" s="113"/>
      <c r="C1167" s="113"/>
      <c r="D1167" s="113"/>
      <c r="E1167" s="113"/>
      <c r="F1167" s="113"/>
      <c r="G1167" s="113"/>
      <c r="H1167" s="113"/>
      <c r="I1167" s="113"/>
      <c r="J1167" s="113"/>
      <c r="K1167" s="113"/>
      <c r="L1167" s="113"/>
      <c r="M1167" s="114"/>
    </row>
    <row r="1168" spans="1:13" ht="16.5" customHeight="1">
      <c r="A1168" s="115" t="s">
        <v>41</v>
      </c>
      <c r="B1168" s="116"/>
      <c r="C1168" s="116"/>
      <c r="D1168" s="116"/>
      <c r="E1168" s="116"/>
      <c r="F1168" s="116"/>
      <c r="G1168" s="116"/>
      <c r="H1168" s="116"/>
      <c r="I1168" s="116"/>
      <c r="J1168" s="116"/>
      <c r="K1168" s="116"/>
      <c r="L1168" s="116"/>
      <c r="M1168" s="117"/>
    </row>
    <row r="1169" spans="1:13" ht="16.5" customHeight="1">
      <c r="A1169" s="90" t="s">
        <v>28</v>
      </c>
      <c r="B1169" s="91"/>
      <c r="C1169" s="91"/>
      <c r="D1169" s="91"/>
      <c r="E1169" s="91"/>
      <c r="F1169" s="91"/>
      <c r="G1169" s="91"/>
      <c r="H1169" s="91"/>
      <c r="I1169" s="91"/>
      <c r="J1169" s="91"/>
      <c r="K1169" s="91"/>
      <c r="L1169" s="91"/>
      <c r="M1169" s="92"/>
    </row>
    <row r="1170" spans="1:13" ht="16.5" customHeight="1">
      <c r="A1170" s="106" t="s">
        <v>42</v>
      </c>
      <c r="B1170" s="107"/>
      <c r="C1170" s="107"/>
      <c r="D1170" s="107"/>
      <c r="E1170" s="107"/>
      <c r="F1170" s="107"/>
      <c r="G1170" s="107"/>
      <c r="H1170" s="107"/>
      <c r="I1170" s="107"/>
      <c r="J1170" s="107"/>
      <c r="K1170" s="107"/>
      <c r="L1170" s="107"/>
      <c r="M1170" s="108"/>
    </row>
    <row r="1171" spans="1:13" ht="16.5" customHeight="1">
      <c r="A1171" s="106" t="s">
        <v>43</v>
      </c>
      <c r="B1171" s="107"/>
      <c r="C1171" s="107"/>
      <c r="D1171" s="107"/>
      <c r="E1171" s="107"/>
      <c r="F1171" s="107"/>
      <c r="G1171" s="107"/>
      <c r="H1171" s="107"/>
      <c r="I1171" s="107"/>
      <c r="J1171" s="107"/>
      <c r="K1171" s="107"/>
      <c r="L1171" s="107"/>
      <c r="M1171" s="108"/>
    </row>
    <row r="1172" spans="1:13" ht="16.5" customHeight="1">
      <c r="A1172" s="106" t="s">
        <v>44</v>
      </c>
      <c r="B1172" s="107"/>
      <c r="C1172" s="107"/>
      <c r="D1172" s="107"/>
      <c r="E1172" s="107"/>
      <c r="F1172" s="107"/>
      <c r="G1172" s="107"/>
      <c r="H1172" s="107"/>
      <c r="I1172" s="107"/>
      <c r="J1172" s="107"/>
      <c r="K1172" s="107"/>
      <c r="L1172" s="107"/>
      <c r="M1172" s="108"/>
    </row>
    <row r="1173" spans="1:13" ht="16.5" customHeight="1">
      <c r="A1173" s="106" t="s">
        <v>45</v>
      </c>
      <c r="B1173" s="107"/>
      <c r="C1173" s="107"/>
      <c r="D1173" s="107"/>
      <c r="E1173" s="107"/>
      <c r="F1173" s="107"/>
      <c r="G1173" s="107"/>
      <c r="H1173" s="107"/>
      <c r="I1173" s="107"/>
      <c r="J1173" s="107"/>
      <c r="K1173" s="107"/>
      <c r="L1173" s="107"/>
      <c r="M1173" s="108"/>
    </row>
    <row r="1174" spans="1:13" ht="16.5" customHeight="1">
      <c r="A1174" s="106" t="s">
        <v>29</v>
      </c>
      <c r="B1174" s="107"/>
      <c r="C1174" s="107"/>
      <c r="D1174" s="107"/>
      <c r="E1174" s="107"/>
      <c r="F1174" s="107"/>
      <c r="G1174" s="107"/>
      <c r="H1174" s="107"/>
      <c r="I1174" s="107"/>
      <c r="J1174" s="107"/>
      <c r="K1174" s="107"/>
      <c r="L1174" s="107"/>
      <c r="M1174" s="108"/>
    </row>
    <row r="1175" spans="1:13" ht="9.75" customHeight="1" thickBot="1">
      <c r="A1175" s="109"/>
      <c r="B1175" s="110"/>
      <c r="C1175" s="110"/>
      <c r="D1175" s="110"/>
      <c r="E1175" s="110"/>
      <c r="F1175" s="110"/>
      <c r="G1175" s="110"/>
      <c r="H1175" s="110"/>
      <c r="I1175" s="110"/>
      <c r="J1175" s="110"/>
      <c r="K1175" s="110"/>
      <c r="L1175" s="110"/>
      <c r="M1175" s="111"/>
    </row>
    <row r="1176" spans="1:13" ht="18.75" customHeight="1" thickBot="1">
      <c r="A1176" s="72" t="s">
        <v>30</v>
      </c>
      <c r="B1176" s="73"/>
      <c r="C1176" s="73"/>
      <c r="D1176" s="73"/>
      <c r="E1176" s="73"/>
      <c r="F1176" s="73"/>
      <c r="G1176" s="73"/>
      <c r="H1176" s="73"/>
      <c r="I1176" s="73"/>
      <c r="J1176" s="73"/>
      <c r="K1176" s="73"/>
      <c r="L1176" s="73"/>
      <c r="M1176" s="74"/>
    </row>
    <row r="1177" spans="1:13" ht="24" customHeight="1" thickBot="1">
      <c r="A1177" s="72" t="s">
        <v>31</v>
      </c>
      <c r="B1177" s="73"/>
      <c r="C1177" s="73"/>
      <c r="D1177" s="73"/>
      <c r="E1177" s="73"/>
      <c r="F1177" s="73"/>
      <c r="G1177" s="73"/>
      <c r="H1177" s="73"/>
      <c r="I1177" s="73"/>
      <c r="J1177" s="73"/>
      <c r="K1177" s="73"/>
      <c r="L1177" s="73"/>
      <c r="M1177" s="74"/>
    </row>
    <row r="1178" spans="1:13" ht="24" customHeight="1" thickBot="1">
      <c r="A1178" s="72" t="s">
        <v>99</v>
      </c>
      <c r="B1178" s="73"/>
      <c r="C1178" s="73"/>
      <c r="D1178" s="73"/>
      <c r="E1178" s="73"/>
      <c r="F1178" s="73"/>
      <c r="G1178" s="73"/>
      <c r="H1178" s="73"/>
      <c r="I1178" s="73"/>
      <c r="J1178" s="73"/>
      <c r="K1178" s="73"/>
      <c r="L1178" s="73"/>
      <c r="M1178" s="74"/>
    </row>
    <row r="1179" spans="1:13" ht="24" customHeight="1" thickBot="1">
      <c r="A1179" s="60" t="s">
        <v>46</v>
      </c>
      <c r="B1179" s="61"/>
      <c r="C1179" s="61"/>
      <c r="D1179" s="61"/>
      <c r="E1179" s="61"/>
      <c r="F1179" s="61"/>
      <c r="G1179" s="61"/>
      <c r="H1179" s="61"/>
      <c r="I1179" s="61"/>
      <c r="J1179" s="61"/>
      <c r="K1179" s="61"/>
      <c r="L1179" s="61"/>
      <c r="M1179" s="62"/>
    </row>
    <row r="1180" spans="1:13" ht="11.1" customHeight="1">
      <c r="A1180" s="103" t="s">
        <v>47</v>
      </c>
      <c r="B1180" s="103"/>
      <c r="C1180" s="103"/>
      <c r="D1180" s="103"/>
      <c r="E1180" s="103"/>
      <c r="F1180" s="103"/>
      <c r="G1180" s="103"/>
      <c r="H1180" s="103"/>
      <c r="I1180" s="103"/>
      <c r="J1180" s="103"/>
      <c r="K1180" s="103"/>
      <c r="L1180" s="103"/>
      <c r="M1180" s="103"/>
    </row>
    <row r="1181" spans="1:13" ht="11.1" customHeight="1">
      <c r="A1181" s="104" t="s">
        <v>48</v>
      </c>
      <c r="B1181" s="104"/>
      <c r="C1181" s="104"/>
      <c r="D1181" s="104"/>
      <c r="E1181" s="104"/>
      <c r="F1181" s="104"/>
      <c r="G1181" s="104"/>
      <c r="H1181" s="104"/>
      <c r="I1181" s="104"/>
      <c r="J1181" s="104"/>
      <c r="K1181" s="104"/>
      <c r="L1181" s="104"/>
      <c r="M1181" s="104"/>
    </row>
    <row r="1182" spans="1:13" ht="11.1" customHeight="1">
      <c r="A1182" s="105" t="s">
        <v>49</v>
      </c>
      <c r="B1182" s="105"/>
      <c r="C1182" s="105"/>
      <c r="D1182" s="105"/>
      <c r="E1182" s="105"/>
      <c r="F1182" s="105"/>
      <c r="G1182" s="105"/>
      <c r="H1182" s="105"/>
      <c r="I1182" s="105"/>
      <c r="J1182" s="105"/>
      <c r="K1182" s="105"/>
      <c r="L1182" s="105"/>
      <c r="M1182" s="105"/>
    </row>
    <row r="1183" spans="1:13" ht="11.1" customHeight="1">
      <c r="A1183" s="105" t="s">
        <v>50</v>
      </c>
      <c r="B1183" s="105"/>
      <c r="C1183" s="105"/>
      <c r="D1183" s="105"/>
      <c r="E1183" s="105"/>
      <c r="F1183" s="105"/>
      <c r="G1183" s="105"/>
      <c r="H1183" s="105"/>
      <c r="I1183" s="105"/>
      <c r="J1183" s="105"/>
      <c r="K1183" s="105"/>
      <c r="L1183" s="105"/>
      <c r="M1183" s="105"/>
    </row>
    <row r="1184" spans="1:13" ht="11.1" customHeight="1">
      <c r="A1184" s="104" t="s">
        <v>51</v>
      </c>
      <c r="B1184" s="104"/>
      <c r="C1184" s="104"/>
      <c r="D1184" s="104"/>
      <c r="E1184" s="104"/>
      <c r="F1184" s="104"/>
      <c r="G1184" s="104"/>
      <c r="H1184" s="104"/>
      <c r="I1184" s="104"/>
      <c r="J1184" s="104"/>
      <c r="K1184" s="104"/>
      <c r="L1184" s="104"/>
      <c r="M1184" s="104"/>
    </row>
    <row r="1185" spans="1:15" ht="11.1" customHeight="1">
      <c r="A1185" s="104" t="s">
        <v>52</v>
      </c>
      <c r="B1185" s="104"/>
      <c r="C1185" s="104"/>
      <c r="D1185" s="104"/>
      <c r="E1185" s="104"/>
      <c r="F1185" s="104"/>
      <c r="G1185" s="104"/>
      <c r="H1185" s="104"/>
      <c r="I1185" s="104"/>
      <c r="J1185" s="104"/>
      <c r="K1185" s="104"/>
      <c r="L1185" s="104"/>
      <c r="M1185" s="104"/>
    </row>
    <row r="1186" spans="1:15" ht="11.1" customHeight="1">
      <c r="A1186" s="104" t="s">
        <v>53</v>
      </c>
      <c r="B1186" s="104"/>
      <c r="C1186" s="104"/>
      <c r="D1186" s="104"/>
      <c r="E1186" s="104"/>
      <c r="F1186" s="104"/>
      <c r="G1186" s="104"/>
      <c r="H1186" s="104"/>
      <c r="I1186" s="104"/>
      <c r="J1186" s="104"/>
      <c r="K1186" s="104"/>
      <c r="L1186" s="104"/>
      <c r="M1186" s="104"/>
    </row>
    <row r="1187" spans="1:15" ht="11.1" customHeight="1">
      <c r="A1187" s="101" t="s">
        <v>54</v>
      </c>
      <c r="B1187" s="101"/>
      <c r="C1187" s="101"/>
      <c r="D1187" s="101"/>
      <c r="E1187" s="101"/>
      <c r="F1187" s="101"/>
      <c r="G1187" s="101"/>
      <c r="H1187" s="101"/>
      <c r="I1187" s="101"/>
      <c r="J1187" s="101"/>
      <c r="K1187" s="101"/>
      <c r="L1187" s="101"/>
      <c r="M1187" s="101"/>
    </row>
    <row r="1188" spans="1:15" ht="11.1" customHeight="1">
      <c r="A1188" s="101" t="s">
        <v>55</v>
      </c>
      <c r="B1188" s="101"/>
      <c r="C1188" s="101"/>
      <c r="D1188" s="101"/>
      <c r="E1188" s="101"/>
      <c r="F1188" s="101"/>
      <c r="G1188" s="101"/>
      <c r="H1188" s="101"/>
      <c r="I1188" s="101"/>
      <c r="J1188" s="101"/>
      <c r="K1188" s="101"/>
      <c r="L1188" s="101"/>
      <c r="M1188" s="101"/>
    </row>
    <row r="1189" spans="1:15" ht="19.5" customHeight="1">
      <c r="A1189" s="69" t="s">
        <v>0</v>
      </c>
      <c r="B1189" s="69"/>
      <c r="C1189" s="69"/>
      <c r="D1189" s="69"/>
      <c r="E1189" s="69"/>
      <c r="F1189" s="69"/>
      <c r="G1189" s="69"/>
      <c r="H1189" s="69"/>
      <c r="I1189" s="69"/>
      <c r="J1189" s="69"/>
      <c r="K1189" s="69"/>
      <c r="L1189" s="69"/>
      <c r="M1189" s="69"/>
    </row>
    <row r="1190" spans="1:15" ht="20.100000000000001" customHeight="1">
      <c r="A1190" s="4" t="s">
        <v>32</v>
      </c>
      <c r="B1190" s="5">
        <f>+B1146+1</f>
        <v>32</v>
      </c>
      <c r="C1190" s="25"/>
      <c r="D1190" s="25"/>
      <c r="E1190" s="25"/>
      <c r="F1190" s="25"/>
      <c r="G1190" s="25"/>
      <c r="H1190" s="25"/>
      <c r="I1190" s="25"/>
      <c r="J1190" s="25"/>
      <c r="K1190" s="25"/>
      <c r="L1190" s="25"/>
      <c r="M1190" s="25"/>
    </row>
    <row r="1191" spans="1:15" ht="24" customHeight="1" thickBot="1">
      <c r="A1191" s="4" t="s">
        <v>33</v>
      </c>
      <c r="H1191" s="70" t="s">
        <v>34</v>
      </c>
      <c r="I1191" s="70"/>
      <c r="J1191" s="70"/>
      <c r="K1191" s="102">
        <f>+K1147+1</f>
        <v>45958</v>
      </c>
      <c r="L1191" s="102"/>
      <c r="M1191" s="102"/>
      <c r="O1191" s="7"/>
    </row>
    <row r="1192" spans="1:15" ht="33.75" customHeight="1" thickBot="1">
      <c r="A1192" s="80" t="s">
        <v>1</v>
      </c>
      <c r="B1192" s="81"/>
      <c r="C1192" s="82"/>
      <c r="D1192" s="86" t="str">
        <f>+D1148</f>
        <v>光明國中B與C區5樓老舊廁所整修工程</v>
      </c>
      <c r="E1192" s="87"/>
      <c r="F1192" s="87"/>
      <c r="G1192" s="88"/>
      <c r="H1192" s="80" t="s">
        <v>2</v>
      </c>
      <c r="I1192" s="81"/>
      <c r="J1192" s="82"/>
      <c r="K1192" s="80" t="s">
        <v>35</v>
      </c>
      <c r="L1192" s="81"/>
      <c r="M1192" s="82"/>
    </row>
    <row r="1193" spans="1:15" ht="33.75" customHeight="1" thickBot="1">
      <c r="A1193" s="8" t="s">
        <v>3</v>
      </c>
      <c r="B1193" s="26">
        <f>+B1149</f>
        <v>142</v>
      </c>
      <c r="C1193" s="10" t="s">
        <v>36</v>
      </c>
      <c r="D1193" s="80" t="s">
        <v>4</v>
      </c>
      <c r="E1193" s="89"/>
      <c r="F1193" s="27">
        <f>+F1149+1</f>
        <v>32</v>
      </c>
      <c r="G1193" s="12" t="s">
        <v>36</v>
      </c>
      <c r="H1193" s="13" t="s">
        <v>5</v>
      </c>
      <c r="I1193" s="26">
        <f>+B1193-F1193</f>
        <v>110</v>
      </c>
      <c r="J1193" s="10" t="s">
        <v>36</v>
      </c>
      <c r="K1193" s="80" t="s">
        <v>6</v>
      </c>
      <c r="L1193" s="82"/>
      <c r="M1193" s="13">
        <f>+M1149</f>
        <v>12</v>
      </c>
    </row>
    <row r="1194" spans="1:15" ht="24" customHeight="1" thickBot="1">
      <c r="A1194" s="80" t="s">
        <v>7</v>
      </c>
      <c r="B1194" s="81"/>
      <c r="C1194" s="82"/>
      <c r="D1194" s="80" t="str">
        <f>+D1150</f>
        <v>114.9.27</v>
      </c>
      <c r="E1194" s="81"/>
      <c r="F1194" s="81"/>
      <c r="G1194" s="82"/>
      <c r="H1194" s="80" t="s">
        <v>8</v>
      </c>
      <c r="I1194" s="81"/>
      <c r="J1194" s="82"/>
      <c r="K1194" s="80" t="str">
        <f>+K1150</f>
        <v>115.2.15</v>
      </c>
      <c r="L1194" s="81"/>
      <c r="M1194" s="82"/>
    </row>
    <row r="1195" spans="1:15" ht="24" customHeight="1" thickBot="1">
      <c r="A1195" s="80" t="s">
        <v>37</v>
      </c>
      <c r="B1195" s="81"/>
      <c r="C1195" s="82"/>
      <c r="D1195" s="83">
        <v>9.6000000000000002E-2</v>
      </c>
      <c r="E1195" s="84"/>
      <c r="F1195" s="84"/>
      <c r="G1195" s="85"/>
      <c r="H1195" s="80" t="s">
        <v>38</v>
      </c>
      <c r="I1195" s="81"/>
      <c r="J1195" s="82"/>
      <c r="K1195" s="83">
        <v>0.16</v>
      </c>
      <c r="L1195" s="84"/>
      <c r="M1195" s="85"/>
    </row>
    <row r="1196" spans="1:15" ht="24" customHeight="1" thickBot="1">
      <c r="A1196" s="72" t="s">
        <v>9</v>
      </c>
      <c r="B1196" s="73"/>
      <c r="C1196" s="73"/>
      <c r="D1196" s="73"/>
      <c r="E1196" s="73"/>
      <c r="F1196" s="73"/>
      <c r="G1196" s="73"/>
      <c r="H1196" s="73"/>
      <c r="I1196" s="73"/>
      <c r="J1196" s="73"/>
      <c r="K1196" s="73"/>
      <c r="L1196" s="73"/>
      <c r="M1196" s="74"/>
    </row>
    <row r="1197" spans="1:15" ht="35.25" customHeight="1" thickBot="1">
      <c r="A1197" s="75" t="s">
        <v>10</v>
      </c>
      <c r="B1197" s="76"/>
      <c r="C1197" s="76"/>
      <c r="D1197" s="77"/>
      <c r="E1197" s="14" t="s">
        <v>11</v>
      </c>
      <c r="F1197" s="75" t="s">
        <v>12</v>
      </c>
      <c r="G1197" s="77"/>
      <c r="H1197" s="75" t="s">
        <v>13</v>
      </c>
      <c r="I1197" s="77"/>
      <c r="J1197" s="78" t="s">
        <v>14</v>
      </c>
      <c r="K1197" s="79"/>
      <c r="L1197" s="75" t="s">
        <v>15</v>
      </c>
      <c r="M1197" s="77"/>
    </row>
    <row r="1198" spans="1:15" ht="27.95" customHeight="1" thickBot="1">
      <c r="A1198" s="141" t="s">
        <v>92</v>
      </c>
      <c r="B1198" s="142"/>
      <c r="C1198" s="142"/>
      <c r="D1198" s="143"/>
      <c r="E1198" s="2" t="s">
        <v>101</v>
      </c>
      <c r="F1198" s="56">
        <v>1</v>
      </c>
      <c r="G1198" s="57"/>
      <c r="H1198" s="56">
        <v>0.05</v>
      </c>
      <c r="I1198" s="57"/>
      <c r="J1198" s="56">
        <v>0.45</v>
      </c>
      <c r="K1198" s="57"/>
      <c r="L1198" s="58"/>
      <c r="M1198" s="59"/>
    </row>
    <row r="1199" spans="1:15" ht="27.95" customHeight="1" thickBot="1">
      <c r="A1199" s="141"/>
      <c r="B1199" s="142"/>
      <c r="C1199" s="142"/>
      <c r="D1199" s="143"/>
      <c r="E1199" s="15"/>
      <c r="F1199" s="56"/>
      <c r="G1199" s="57"/>
      <c r="H1199" s="56"/>
      <c r="I1199" s="57"/>
      <c r="J1199" s="56"/>
      <c r="K1199" s="57"/>
      <c r="L1199" s="58"/>
      <c r="M1199" s="59"/>
    </row>
    <row r="1200" spans="1:15" ht="24.95" customHeight="1" thickTop="1" thickBot="1">
      <c r="A1200" s="130" t="s">
        <v>16</v>
      </c>
      <c r="B1200" s="67"/>
      <c r="C1200" s="67"/>
      <c r="D1200" s="68"/>
      <c r="E1200" s="28"/>
      <c r="F1200" s="131"/>
      <c r="G1200" s="132"/>
      <c r="H1200" s="131"/>
      <c r="I1200" s="132"/>
      <c r="J1200" s="131"/>
      <c r="K1200" s="132"/>
      <c r="L1200" s="131"/>
      <c r="M1200" s="133"/>
    </row>
    <row r="1201" spans="1:13" ht="24.95" customHeight="1" thickBot="1">
      <c r="A1201" s="134" t="s">
        <v>17</v>
      </c>
      <c r="B1201" s="135"/>
      <c r="C1201" s="135"/>
      <c r="D1201" s="59"/>
      <c r="E1201" s="28"/>
      <c r="F1201" s="58"/>
      <c r="G1201" s="59"/>
      <c r="H1201" s="58"/>
      <c r="I1201" s="59"/>
      <c r="J1201" s="58"/>
      <c r="K1201" s="59"/>
      <c r="L1201" s="58"/>
      <c r="M1201" s="136"/>
    </row>
    <row r="1202" spans="1:13" ht="24.95" customHeight="1" thickBot="1">
      <c r="A1202" s="118" t="s">
        <v>18</v>
      </c>
      <c r="B1202" s="119"/>
      <c r="C1202" s="119"/>
      <c r="D1202" s="120"/>
      <c r="E1202" s="24"/>
      <c r="F1202" s="121"/>
      <c r="G1202" s="120"/>
      <c r="H1202" s="121"/>
      <c r="I1202" s="120"/>
      <c r="J1202" s="121"/>
      <c r="K1202" s="120"/>
      <c r="L1202" s="121"/>
      <c r="M1202" s="122"/>
    </row>
    <row r="1203" spans="1:13" ht="24" customHeight="1" thickTop="1" thickBot="1">
      <c r="A1203" s="66" t="s">
        <v>19</v>
      </c>
      <c r="B1203" s="67"/>
      <c r="C1203" s="67"/>
      <c r="D1203" s="67"/>
      <c r="E1203" s="67"/>
      <c r="F1203" s="67"/>
      <c r="G1203" s="67"/>
      <c r="H1203" s="67"/>
      <c r="I1203" s="67"/>
      <c r="J1203" s="67"/>
      <c r="K1203" s="67"/>
      <c r="L1203" s="67"/>
      <c r="M1203" s="68"/>
    </row>
    <row r="1204" spans="1:13" ht="35.25" customHeight="1" thickBot="1">
      <c r="A1204" s="75" t="s">
        <v>20</v>
      </c>
      <c r="B1204" s="76"/>
      <c r="C1204" s="76"/>
      <c r="D1204" s="77"/>
      <c r="E1204" s="14" t="s">
        <v>11</v>
      </c>
      <c r="F1204" s="75" t="s">
        <v>39</v>
      </c>
      <c r="G1204" s="77"/>
      <c r="H1204" s="75" t="s">
        <v>21</v>
      </c>
      <c r="I1204" s="77"/>
      <c r="J1204" s="78" t="s">
        <v>22</v>
      </c>
      <c r="K1204" s="79"/>
      <c r="L1204" s="75" t="s">
        <v>15</v>
      </c>
      <c r="M1204" s="77"/>
    </row>
    <row r="1205" spans="1:13" ht="24" customHeight="1" thickBot="1">
      <c r="A1205" s="96"/>
      <c r="B1205" s="97"/>
      <c r="C1205" s="97"/>
      <c r="D1205" s="98"/>
      <c r="E1205" s="28"/>
      <c r="F1205" s="58"/>
      <c r="G1205" s="59"/>
      <c r="H1205" s="58"/>
      <c r="I1205" s="59"/>
      <c r="J1205" s="56"/>
      <c r="K1205" s="57"/>
      <c r="L1205" s="58"/>
      <c r="M1205" s="59"/>
    </row>
    <row r="1206" spans="1:13" ht="24" customHeight="1" thickBot="1">
      <c r="A1206" s="96"/>
      <c r="B1206" s="97"/>
      <c r="C1206" s="97"/>
      <c r="D1206" s="98"/>
      <c r="E1206" s="28"/>
      <c r="F1206" s="58"/>
      <c r="G1206" s="59"/>
      <c r="H1206" s="58"/>
      <c r="I1206" s="59"/>
      <c r="J1206" s="56"/>
      <c r="K1206" s="57"/>
      <c r="L1206" s="58"/>
      <c r="M1206" s="59"/>
    </row>
    <row r="1207" spans="1:13" ht="24" customHeight="1" thickBot="1">
      <c r="A1207" s="60" t="s">
        <v>23</v>
      </c>
      <c r="B1207" s="61"/>
      <c r="C1207" s="61"/>
      <c r="D1207" s="61"/>
      <c r="E1207" s="61"/>
      <c r="F1207" s="61"/>
      <c r="G1207" s="61"/>
      <c r="H1207" s="61"/>
      <c r="I1207" s="61"/>
      <c r="J1207" s="61"/>
      <c r="K1207" s="61"/>
      <c r="L1207" s="61"/>
      <c r="M1207" s="62"/>
    </row>
    <row r="1208" spans="1:13" ht="35.25" customHeight="1" thickBot="1">
      <c r="A1208" s="75" t="s">
        <v>24</v>
      </c>
      <c r="B1208" s="77"/>
      <c r="C1208" s="75" t="s">
        <v>25</v>
      </c>
      <c r="D1208" s="77"/>
      <c r="E1208" s="75" t="s">
        <v>26</v>
      </c>
      <c r="F1208" s="76"/>
      <c r="G1208" s="77"/>
      <c r="H1208" s="75" t="s">
        <v>27</v>
      </c>
      <c r="I1208" s="77"/>
      <c r="J1208" s="78" t="s">
        <v>21</v>
      </c>
      <c r="K1208" s="79"/>
      <c r="L1208" s="75" t="s">
        <v>22</v>
      </c>
      <c r="M1208" s="77"/>
    </row>
    <row r="1209" spans="1:13" s="18" customFormat="1" ht="24.75" customHeight="1" thickBot="1">
      <c r="A1209" s="99" t="s">
        <v>80</v>
      </c>
      <c r="B1209" s="98"/>
      <c r="C1209" s="56">
        <v>2</v>
      </c>
      <c r="D1209" s="57"/>
      <c r="E1209" s="56">
        <v>13</v>
      </c>
      <c r="F1209" s="100"/>
      <c r="G1209" s="57"/>
      <c r="H1209" s="56"/>
      <c r="I1209" s="57"/>
      <c r="J1209" s="56"/>
      <c r="K1209" s="57"/>
      <c r="L1209" s="56"/>
      <c r="M1209" s="57"/>
    </row>
    <row r="1210" spans="1:13" s="18" customFormat="1" ht="24.75" customHeight="1" thickBot="1">
      <c r="A1210" s="99"/>
      <c r="B1210" s="98"/>
      <c r="C1210" s="56"/>
      <c r="D1210" s="57"/>
      <c r="E1210" s="56"/>
      <c r="F1210" s="100"/>
      <c r="G1210" s="57"/>
      <c r="H1210" s="56"/>
      <c r="I1210" s="57"/>
      <c r="J1210" s="56"/>
      <c r="K1210" s="57"/>
      <c r="L1210" s="56"/>
      <c r="M1210" s="57"/>
    </row>
    <row r="1211" spans="1:13" ht="33" customHeight="1" thickBot="1">
      <c r="A1211" s="112" t="s">
        <v>40</v>
      </c>
      <c r="B1211" s="113"/>
      <c r="C1211" s="113"/>
      <c r="D1211" s="113"/>
      <c r="E1211" s="113"/>
      <c r="F1211" s="113"/>
      <c r="G1211" s="113"/>
      <c r="H1211" s="113"/>
      <c r="I1211" s="113"/>
      <c r="J1211" s="113"/>
      <c r="K1211" s="113"/>
      <c r="L1211" s="113"/>
      <c r="M1211" s="114"/>
    </row>
    <row r="1212" spans="1:13" ht="16.5" customHeight="1">
      <c r="A1212" s="115" t="s">
        <v>41</v>
      </c>
      <c r="B1212" s="116"/>
      <c r="C1212" s="116"/>
      <c r="D1212" s="116"/>
      <c r="E1212" s="116"/>
      <c r="F1212" s="116"/>
      <c r="G1212" s="116"/>
      <c r="H1212" s="116"/>
      <c r="I1212" s="116"/>
      <c r="J1212" s="116"/>
      <c r="K1212" s="116"/>
      <c r="L1212" s="116"/>
      <c r="M1212" s="117"/>
    </row>
    <row r="1213" spans="1:13" ht="16.5" customHeight="1">
      <c r="A1213" s="90" t="s">
        <v>28</v>
      </c>
      <c r="B1213" s="91"/>
      <c r="C1213" s="91"/>
      <c r="D1213" s="91"/>
      <c r="E1213" s="91"/>
      <c r="F1213" s="91"/>
      <c r="G1213" s="91"/>
      <c r="H1213" s="91"/>
      <c r="I1213" s="91"/>
      <c r="J1213" s="91"/>
      <c r="K1213" s="91"/>
      <c r="L1213" s="91"/>
      <c r="M1213" s="92"/>
    </row>
    <row r="1214" spans="1:13" s="1" customFormat="1" ht="16.5" customHeight="1">
      <c r="A1214" s="93" t="s">
        <v>56</v>
      </c>
      <c r="B1214" s="94"/>
      <c r="C1214" s="94"/>
      <c r="D1214" s="94"/>
      <c r="E1214" s="94"/>
      <c r="F1214" s="94"/>
      <c r="G1214" s="94"/>
      <c r="H1214" s="94"/>
      <c r="I1214" s="94"/>
      <c r="J1214" s="94"/>
      <c r="K1214" s="94"/>
      <c r="L1214" s="94"/>
      <c r="M1214" s="95"/>
    </row>
    <row r="1215" spans="1:13" s="1" customFormat="1" ht="16.5" customHeight="1">
      <c r="A1215" s="93" t="s">
        <v>57</v>
      </c>
      <c r="B1215" s="94"/>
      <c r="C1215" s="94"/>
      <c r="D1215" s="94"/>
      <c r="E1215" s="94"/>
      <c r="F1215" s="94"/>
      <c r="G1215" s="94"/>
      <c r="H1215" s="94"/>
      <c r="I1215" s="94"/>
      <c r="J1215" s="94"/>
      <c r="K1215" s="94"/>
      <c r="L1215" s="94"/>
      <c r="M1215" s="95"/>
    </row>
    <row r="1216" spans="1:13" s="1" customFormat="1" ht="16.5" customHeight="1">
      <c r="A1216" s="93" t="s">
        <v>58</v>
      </c>
      <c r="B1216" s="94"/>
      <c r="C1216" s="94"/>
      <c r="D1216" s="94"/>
      <c r="E1216" s="94"/>
      <c r="F1216" s="94"/>
      <c r="G1216" s="94"/>
      <c r="H1216" s="94"/>
      <c r="I1216" s="94"/>
      <c r="J1216" s="94"/>
      <c r="K1216" s="94"/>
      <c r="L1216" s="94"/>
      <c r="M1216" s="95"/>
    </row>
    <row r="1217" spans="1:13" s="1" customFormat="1" ht="16.5" customHeight="1">
      <c r="A1217" s="93" t="s">
        <v>59</v>
      </c>
      <c r="B1217" s="94"/>
      <c r="C1217" s="94"/>
      <c r="D1217" s="94"/>
      <c r="E1217" s="94"/>
      <c r="F1217" s="94"/>
      <c r="G1217" s="94"/>
      <c r="H1217" s="94"/>
      <c r="I1217" s="94"/>
      <c r="J1217" s="94"/>
      <c r="K1217" s="94"/>
      <c r="L1217" s="94"/>
      <c r="M1217" s="95"/>
    </row>
    <row r="1218" spans="1:13" ht="16.5" customHeight="1">
      <c r="A1218" s="106" t="s">
        <v>29</v>
      </c>
      <c r="B1218" s="107"/>
      <c r="C1218" s="107"/>
      <c r="D1218" s="107"/>
      <c r="E1218" s="107"/>
      <c r="F1218" s="107"/>
      <c r="G1218" s="107"/>
      <c r="H1218" s="107"/>
      <c r="I1218" s="107"/>
      <c r="J1218" s="107"/>
      <c r="K1218" s="107"/>
      <c r="L1218" s="107"/>
      <c r="M1218" s="108"/>
    </row>
    <row r="1219" spans="1:13" ht="9.75" customHeight="1" thickBot="1">
      <c r="A1219" s="109"/>
      <c r="B1219" s="110"/>
      <c r="C1219" s="110"/>
      <c r="D1219" s="110"/>
      <c r="E1219" s="110"/>
      <c r="F1219" s="110"/>
      <c r="G1219" s="110"/>
      <c r="H1219" s="110"/>
      <c r="I1219" s="110"/>
      <c r="J1219" s="110"/>
      <c r="K1219" s="110"/>
      <c r="L1219" s="110"/>
      <c r="M1219" s="111"/>
    </row>
    <row r="1220" spans="1:13" ht="18.75" customHeight="1" thickBot="1">
      <c r="A1220" s="72" t="s">
        <v>30</v>
      </c>
      <c r="B1220" s="73"/>
      <c r="C1220" s="73"/>
      <c r="D1220" s="73"/>
      <c r="E1220" s="73"/>
      <c r="F1220" s="73"/>
      <c r="G1220" s="73"/>
      <c r="H1220" s="73"/>
      <c r="I1220" s="73"/>
      <c r="J1220" s="73"/>
      <c r="K1220" s="73"/>
      <c r="L1220" s="73"/>
      <c r="M1220" s="74"/>
    </row>
    <row r="1221" spans="1:13" ht="24" customHeight="1" thickBot="1">
      <c r="A1221" s="72" t="s">
        <v>31</v>
      </c>
      <c r="B1221" s="73"/>
      <c r="C1221" s="73"/>
      <c r="D1221" s="73"/>
      <c r="E1221" s="73"/>
      <c r="F1221" s="73"/>
      <c r="G1221" s="73"/>
      <c r="H1221" s="73"/>
      <c r="I1221" s="73"/>
      <c r="J1221" s="73"/>
      <c r="K1221" s="73"/>
      <c r="L1221" s="73"/>
      <c r="M1221" s="74"/>
    </row>
    <row r="1222" spans="1:13" ht="24" customHeight="1" thickBot="1">
      <c r="A1222" s="72" t="s">
        <v>106</v>
      </c>
      <c r="B1222" s="73"/>
      <c r="C1222" s="73"/>
      <c r="D1222" s="73"/>
      <c r="E1222" s="73"/>
      <c r="F1222" s="73"/>
      <c r="G1222" s="73"/>
      <c r="H1222" s="73"/>
      <c r="I1222" s="73"/>
      <c r="J1222" s="73"/>
      <c r="K1222" s="73"/>
      <c r="L1222" s="73"/>
      <c r="M1222" s="74"/>
    </row>
    <row r="1223" spans="1:13" ht="24" customHeight="1" thickBot="1">
      <c r="A1223" s="60" t="s">
        <v>46</v>
      </c>
      <c r="B1223" s="61"/>
      <c r="C1223" s="61"/>
      <c r="D1223" s="61"/>
      <c r="E1223" s="61"/>
      <c r="F1223" s="61"/>
      <c r="G1223" s="61"/>
      <c r="H1223" s="61"/>
      <c r="I1223" s="61"/>
      <c r="J1223" s="61"/>
      <c r="K1223" s="61"/>
      <c r="L1223" s="61"/>
      <c r="M1223" s="62"/>
    </row>
    <row r="1224" spans="1:13" ht="11.1" customHeight="1">
      <c r="A1224" s="103" t="s">
        <v>47</v>
      </c>
      <c r="B1224" s="103"/>
      <c r="C1224" s="103"/>
      <c r="D1224" s="103"/>
      <c r="E1224" s="103"/>
      <c r="F1224" s="103"/>
      <c r="G1224" s="103"/>
      <c r="H1224" s="103"/>
      <c r="I1224" s="103"/>
      <c r="J1224" s="103"/>
      <c r="K1224" s="103"/>
      <c r="L1224" s="103"/>
      <c r="M1224" s="103"/>
    </row>
    <row r="1225" spans="1:13" ht="11.1" customHeight="1">
      <c r="A1225" s="104" t="s">
        <v>48</v>
      </c>
      <c r="B1225" s="104"/>
      <c r="C1225" s="104"/>
      <c r="D1225" s="104"/>
      <c r="E1225" s="104"/>
      <c r="F1225" s="104"/>
      <c r="G1225" s="104"/>
      <c r="H1225" s="104"/>
      <c r="I1225" s="104"/>
      <c r="J1225" s="104"/>
      <c r="K1225" s="104"/>
      <c r="L1225" s="104"/>
      <c r="M1225" s="104"/>
    </row>
    <row r="1226" spans="1:13" ht="11.1" customHeight="1">
      <c r="A1226" s="105" t="s">
        <v>49</v>
      </c>
      <c r="B1226" s="105"/>
      <c r="C1226" s="105"/>
      <c r="D1226" s="105"/>
      <c r="E1226" s="105"/>
      <c r="F1226" s="105"/>
      <c r="G1226" s="105"/>
      <c r="H1226" s="105"/>
      <c r="I1226" s="105"/>
      <c r="J1226" s="105"/>
      <c r="K1226" s="105"/>
      <c r="L1226" s="105"/>
      <c r="M1226" s="105"/>
    </row>
    <row r="1227" spans="1:13" ht="11.1" customHeight="1">
      <c r="A1227" s="105" t="s">
        <v>50</v>
      </c>
      <c r="B1227" s="105"/>
      <c r="C1227" s="105"/>
      <c r="D1227" s="105"/>
      <c r="E1227" s="105"/>
      <c r="F1227" s="105"/>
      <c r="G1227" s="105"/>
      <c r="H1227" s="105"/>
      <c r="I1227" s="105"/>
      <c r="J1227" s="105"/>
      <c r="K1227" s="105"/>
      <c r="L1227" s="105"/>
      <c r="M1227" s="105"/>
    </row>
    <row r="1228" spans="1:13" ht="11.1" customHeight="1">
      <c r="A1228" s="104" t="s">
        <v>51</v>
      </c>
      <c r="B1228" s="104"/>
      <c r="C1228" s="104"/>
      <c r="D1228" s="104"/>
      <c r="E1228" s="104"/>
      <c r="F1228" s="104"/>
      <c r="G1228" s="104"/>
      <c r="H1228" s="104"/>
      <c r="I1228" s="104"/>
      <c r="J1228" s="104"/>
      <c r="K1228" s="104"/>
      <c r="L1228" s="104"/>
      <c r="M1228" s="104"/>
    </row>
    <row r="1229" spans="1:13" ht="11.1" customHeight="1">
      <c r="A1229" s="104" t="s">
        <v>52</v>
      </c>
      <c r="B1229" s="104"/>
      <c r="C1229" s="104"/>
      <c r="D1229" s="104"/>
      <c r="E1229" s="104"/>
      <c r="F1229" s="104"/>
      <c r="G1229" s="104"/>
      <c r="H1229" s="104"/>
      <c r="I1229" s="104"/>
      <c r="J1229" s="104"/>
      <c r="K1229" s="104"/>
      <c r="L1229" s="104"/>
      <c r="M1229" s="104"/>
    </row>
    <row r="1230" spans="1:13" ht="11.1" customHeight="1">
      <c r="A1230" s="104" t="s">
        <v>53</v>
      </c>
      <c r="B1230" s="104"/>
      <c r="C1230" s="104"/>
      <c r="D1230" s="104"/>
      <c r="E1230" s="104"/>
      <c r="F1230" s="104"/>
      <c r="G1230" s="104"/>
      <c r="H1230" s="104"/>
      <c r="I1230" s="104"/>
      <c r="J1230" s="104"/>
      <c r="K1230" s="104"/>
      <c r="L1230" s="104"/>
      <c r="M1230" s="104"/>
    </row>
    <row r="1231" spans="1:13" ht="11.1" customHeight="1">
      <c r="A1231" s="101" t="s">
        <v>54</v>
      </c>
      <c r="B1231" s="101"/>
      <c r="C1231" s="101"/>
      <c r="D1231" s="101"/>
      <c r="E1231" s="101"/>
      <c r="F1231" s="101"/>
      <c r="G1231" s="101"/>
      <c r="H1231" s="101"/>
      <c r="I1231" s="101"/>
      <c r="J1231" s="101"/>
      <c r="K1231" s="101"/>
      <c r="L1231" s="101"/>
      <c r="M1231" s="101"/>
    </row>
    <row r="1232" spans="1:13" ht="11.1" customHeight="1">
      <c r="A1232" s="101" t="s">
        <v>55</v>
      </c>
      <c r="B1232" s="101"/>
      <c r="C1232" s="101"/>
      <c r="D1232" s="101"/>
      <c r="E1232" s="101"/>
      <c r="F1232" s="101"/>
      <c r="G1232" s="101"/>
      <c r="H1232" s="101"/>
      <c r="I1232" s="101"/>
      <c r="J1232" s="101"/>
      <c r="K1232" s="101"/>
      <c r="L1232" s="101"/>
      <c r="M1232" s="101"/>
    </row>
    <row r="1233" spans="1:15" ht="19.5" customHeight="1">
      <c r="A1233" s="69" t="s">
        <v>0</v>
      </c>
      <c r="B1233" s="69"/>
      <c r="C1233" s="69"/>
      <c r="D1233" s="69"/>
      <c r="E1233" s="69"/>
      <c r="F1233" s="69"/>
      <c r="G1233" s="69"/>
      <c r="H1233" s="69"/>
      <c r="I1233" s="69"/>
      <c r="J1233" s="69"/>
      <c r="K1233" s="69"/>
      <c r="L1233" s="69"/>
      <c r="M1233" s="69"/>
    </row>
    <row r="1234" spans="1:15" ht="20.100000000000001" customHeight="1">
      <c r="A1234" s="4" t="s">
        <v>32</v>
      </c>
      <c r="B1234" s="5">
        <f>+B1190+1</f>
        <v>33</v>
      </c>
      <c r="C1234" s="25"/>
      <c r="D1234" s="25"/>
      <c r="E1234" s="25"/>
      <c r="F1234" s="25"/>
      <c r="G1234" s="25"/>
      <c r="H1234" s="25"/>
      <c r="I1234" s="25"/>
      <c r="J1234" s="25"/>
      <c r="K1234" s="25"/>
      <c r="L1234" s="25"/>
      <c r="M1234" s="25"/>
    </row>
    <row r="1235" spans="1:15" ht="24" customHeight="1" thickBot="1">
      <c r="A1235" s="4" t="s">
        <v>33</v>
      </c>
      <c r="H1235" s="70" t="s">
        <v>34</v>
      </c>
      <c r="I1235" s="70"/>
      <c r="J1235" s="70"/>
      <c r="K1235" s="102">
        <f>+K1191+1</f>
        <v>45959</v>
      </c>
      <c r="L1235" s="102"/>
      <c r="M1235" s="102"/>
      <c r="O1235" s="7"/>
    </row>
    <row r="1236" spans="1:15" ht="33.75" customHeight="1" thickBot="1">
      <c r="A1236" s="80" t="s">
        <v>1</v>
      </c>
      <c r="B1236" s="81"/>
      <c r="C1236" s="82"/>
      <c r="D1236" s="86" t="str">
        <f>+D1192</f>
        <v>光明國中B與C區5樓老舊廁所整修工程</v>
      </c>
      <c r="E1236" s="87"/>
      <c r="F1236" s="87"/>
      <c r="G1236" s="88"/>
      <c r="H1236" s="80" t="s">
        <v>2</v>
      </c>
      <c r="I1236" s="81"/>
      <c r="J1236" s="82"/>
      <c r="K1236" s="80" t="s">
        <v>35</v>
      </c>
      <c r="L1236" s="81"/>
      <c r="M1236" s="82"/>
    </row>
    <row r="1237" spans="1:15" ht="33.75" customHeight="1" thickBot="1">
      <c r="A1237" s="8" t="s">
        <v>3</v>
      </c>
      <c r="B1237" s="26">
        <f>+B1193</f>
        <v>142</v>
      </c>
      <c r="C1237" s="10" t="s">
        <v>36</v>
      </c>
      <c r="D1237" s="80" t="s">
        <v>4</v>
      </c>
      <c r="E1237" s="89"/>
      <c r="F1237" s="27">
        <f>+F1193+1</f>
        <v>33</v>
      </c>
      <c r="G1237" s="12" t="s">
        <v>36</v>
      </c>
      <c r="H1237" s="13" t="s">
        <v>5</v>
      </c>
      <c r="I1237" s="26">
        <f>+B1237-F1237</f>
        <v>109</v>
      </c>
      <c r="J1237" s="10" t="s">
        <v>36</v>
      </c>
      <c r="K1237" s="80" t="s">
        <v>6</v>
      </c>
      <c r="L1237" s="82"/>
      <c r="M1237" s="13">
        <f>+M1193</f>
        <v>12</v>
      </c>
    </row>
    <row r="1238" spans="1:15" ht="24" customHeight="1" thickBot="1">
      <c r="A1238" s="80" t="s">
        <v>7</v>
      </c>
      <c r="B1238" s="81"/>
      <c r="C1238" s="82"/>
      <c r="D1238" s="80" t="str">
        <f>+D1194</f>
        <v>114.9.27</v>
      </c>
      <c r="E1238" s="81"/>
      <c r="F1238" s="81"/>
      <c r="G1238" s="82"/>
      <c r="H1238" s="80" t="s">
        <v>8</v>
      </c>
      <c r="I1238" s="81"/>
      <c r="J1238" s="82"/>
      <c r="K1238" s="80" t="str">
        <f>+K1194</f>
        <v>115.2.15</v>
      </c>
      <c r="L1238" s="81"/>
      <c r="M1238" s="82"/>
    </row>
    <row r="1239" spans="1:15" ht="24" customHeight="1" thickBot="1">
      <c r="A1239" s="80" t="s">
        <v>37</v>
      </c>
      <c r="B1239" s="81"/>
      <c r="C1239" s="82"/>
      <c r="D1239" s="83">
        <v>0.10199999999999999</v>
      </c>
      <c r="E1239" s="84"/>
      <c r="F1239" s="84"/>
      <c r="G1239" s="85"/>
      <c r="H1239" s="80" t="s">
        <v>38</v>
      </c>
      <c r="I1239" s="81"/>
      <c r="J1239" s="82"/>
      <c r="K1239" s="83">
        <v>0.16400000000000001</v>
      </c>
      <c r="L1239" s="84"/>
      <c r="M1239" s="85"/>
    </row>
    <row r="1240" spans="1:15" ht="24" customHeight="1" thickBot="1">
      <c r="A1240" s="72" t="s">
        <v>9</v>
      </c>
      <c r="B1240" s="73"/>
      <c r="C1240" s="73"/>
      <c r="D1240" s="73"/>
      <c r="E1240" s="73"/>
      <c r="F1240" s="73"/>
      <c r="G1240" s="73"/>
      <c r="H1240" s="73"/>
      <c r="I1240" s="73"/>
      <c r="J1240" s="73"/>
      <c r="K1240" s="73"/>
      <c r="L1240" s="73"/>
      <c r="M1240" s="74"/>
    </row>
    <row r="1241" spans="1:15" ht="35.25" customHeight="1" thickBot="1">
      <c r="A1241" s="75" t="s">
        <v>10</v>
      </c>
      <c r="B1241" s="76"/>
      <c r="C1241" s="76"/>
      <c r="D1241" s="77"/>
      <c r="E1241" s="14" t="s">
        <v>11</v>
      </c>
      <c r="F1241" s="75" t="s">
        <v>12</v>
      </c>
      <c r="G1241" s="77"/>
      <c r="H1241" s="75" t="s">
        <v>13</v>
      </c>
      <c r="I1241" s="77"/>
      <c r="J1241" s="78" t="s">
        <v>14</v>
      </c>
      <c r="K1241" s="79"/>
      <c r="L1241" s="75" t="s">
        <v>15</v>
      </c>
      <c r="M1241" s="77"/>
    </row>
    <row r="1242" spans="1:15" ht="27.95" customHeight="1" thickBot="1">
      <c r="A1242" s="141" t="s">
        <v>92</v>
      </c>
      <c r="B1242" s="142"/>
      <c r="C1242" s="142"/>
      <c r="D1242" s="143"/>
      <c r="E1242" s="2" t="s">
        <v>101</v>
      </c>
      <c r="F1242" s="56">
        <v>1</v>
      </c>
      <c r="G1242" s="57"/>
      <c r="H1242" s="56">
        <v>0.05</v>
      </c>
      <c r="I1242" s="57"/>
      <c r="J1242" s="56">
        <v>0.5</v>
      </c>
      <c r="K1242" s="57"/>
      <c r="L1242" s="58"/>
      <c r="M1242" s="59"/>
    </row>
    <row r="1243" spans="1:15" ht="27.95" customHeight="1" thickBot="1">
      <c r="A1243" s="141"/>
      <c r="B1243" s="142"/>
      <c r="C1243" s="142"/>
      <c r="D1243" s="143"/>
      <c r="E1243" s="15"/>
      <c r="F1243" s="56"/>
      <c r="G1243" s="57"/>
      <c r="H1243" s="56"/>
      <c r="I1243" s="57"/>
      <c r="J1243" s="56"/>
      <c r="K1243" s="57"/>
      <c r="L1243" s="58"/>
      <c r="M1243" s="59"/>
    </row>
    <row r="1244" spans="1:15" ht="24.95" customHeight="1" thickTop="1" thickBot="1">
      <c r="A1244" s="130" t="s">
        <v>16</v>
      </c>
      <c r="B1244" s="67"/>
      <c r="C1244" s="67"/>
      <c r="D1244" s="68"/>
      <c r="E1244" s="34"/>
      <c r="F1244" s="131"/>
      <c r="G1244" s="132"/>
      <c r="H1244" s="131"/>
      <c r="I1244" s="132"/>
      <c r="J1244" s="131"/>
      <c r="K1244" s="132"/>
      <c r="L1244" s="131"/>
      <c r="M1244" s="133"/>
    </row>
    <row r="1245" spans="1:15" ht="24.95" customHeight="1" thickBot="1">
      <c r="A1245" s="134" t="s">
        <v>17</v>
      </c>
      <c r="B1245" s="135"/>
      <c r="C1245" s="135"/>
      <c r="D1245" s="59"/>
      <c r="E1245" s="34"/>
      <c r="F1245" s="58"/>
      <c r="G1245" s="59"/>
      <c r="H1245" s="58"/>
      <c r="I1245" s="59"/>
      <c r="J1245" s="58"/>
      <c r="K1245" s="59"/>
      <c r="L1245" s="58"/>
      <c r="M1245" s="136"/>
    </row>
    <row r="1246" spans="1:15" ht="24.95" customHeight="1" thickBot="1">
      <c r="A1246" s="118" t="s">
        <v>18</v>
      </c>
      <c r="B1246" s="119"/>
      <c r="C1246" s="119"/>
      <c r="D1246" s="120"/>
      <c r="E1246" s="24"/>
      <c r="F1246" s="121"/>
      <c r="G1246" s="120"/>
      <c r="H1246" s="121"/>
      <c r="I1246" s="120"/>
      <c r="J1246" s="121"/>
      <c r="K1246" s="120"/>
      <c r="L1246" s="121"/>
      <c r="M1246" s="122"/>
    </row>
    <row r="1247" spans="1:15" ht="24" customHeight="1" thickTop="1" thickBot="1">
      <c r="A1247" s="66" t="s">
        <v>19</v>
      </c>
      <c r="B1247" s="67"/>
      <c r="C1247" s="67"/>
      <c r="D1247" s="67"/>
      <c r="E1247" s="67"/>
      <c r="F1247" s="67"/>
      <c r="G1247" s="67"/>
      <c r="H1247" s="67"/>
      <c r="I1247" s="67"/>
      <c r="J1247" s="67"/>
      <c r="K1247" s="67"/>
      <c r="L1247" s="67"/>
      <c r="M1247" s="68"/>
    </row>
    <row r="1248" spans="1:15" ht="35.25" customHeight="1" thickBot="1">
      <c r="A1248" s="75" t="s">
        <v>20</v>
      </c>
      <c r="B1248" s="76"/>
      <c r="C1248" s="76"/>
      <c r="D1248" s="77"/>
      <c r="E1248" s="14" t="s">
        <v>11</v>
      </c>
      <c r="F1248" s="75" t="s">
        <v>39</v>
      </c>
      <c r="G1248" s="77"/>
      <c r="H1248" s="75" t="s">
        <v>21</v>
      </c>
      <c r="I1248" s="77"/>
      <c r="J1248" s="78" t="s">
        <v>22</v>
      </c>
      <c r="K1248" s="79"/>
      <c r="L1248" s="75" t="s">
        <v>15</v>
      </c>
      <c r="M1248" s="77"/>
    </row>
    <row r="1249" spans="1:13" ht="24" customHeight="1" thickBot="1">
      <c r="A1249" s="96"/>
      <c r="B1249" s="97"/>
      <c r="C1249" s="97"/>
      <c r="D1249" s="98"/>
      <c r="E1249" s="34"/>
      <c r="F1249" s="58"/>
      <c r="G1249" s="59"/>
      <c r="H1249" s="58"/>
      <c r="I1249" s="59"/>
      <c r="J1249" s="56"/>
      <c r="K1249" s="57"/>
      <c r="L1249" s="58"/>
      <c r="M1249" s="59"/>
    </row>
    <row r="1250" spans="1:13" ht="24" customHeight="1" thickBot="1">
      <c r="A1250" s="96"/>
      <c r="B1250" s="97"/>
      <c r="C1250" s="97"/>
      <c r="D1250" s="98"/>
      <c r="E1250" s="34"/>
      <c r="F1250" s="58"/>
      <c r="G1250" s="59"/>
      <c r="H1250" s="58"/>
      <c r="I1250" s="59"/>
      <c r="J1250" s="56"/>
      <c r="K1250" s="57"/>
      <c r="L1250" s="58"/>
      <c r="M1250" s="59"/>
    </row>
    <row r="1251" spans="1:13" ht="24" customHeight="1" thickBot="1">
      <c r="A1251" s="60" t="s">
        <v>23</v>
      </c>
      <c r="B1251" s="61"/>
      <c r="C1251" s="61"/>
      <c r="D1251" s="61"/>
      <c r="E1251" s="61"/>
      <c r="F1251" s="61"/>
      <c r="G1251" s="61"/>
      <c r="H1251" s="61"/>
      <c r="I1251" s="61"/>
      <c r="J1251" s="61"/>
      <c r="K1251" s="61"/>
      <c r="L1251" s="61"/>
      <c r="M1251" s="62"/>
    </row>
    <row r="1252" spans="1:13" ht="35.25" customHeight="1" thickBot="1">
      <c r="A1252" s="75" t="s">
        <v>24</v>
      </c>
      <c r="B1252" s="77"/>
      <c r="C1252" s="75" t="s">
        <v>25</v>
      </c>
      <c r="D1252" s="77"/>
      <c r="E1252" s="75" t="s">
        <v>26</v>
      </c>
      <c r="F1252" s="76"/>
      <c r="G1252" s="77"/>
      <c r="H1252" s="75" t="s">
        <v>27</v>
      </c>
      <c r="I1252" s="77"/>
      <c r="J1252" s="78" t="s">
        <v>21</v>
      </c>
      <c r="K1252" s="79"/>
      <c r="L1252" s="75" t="s">
        <v>22</v>
      </c>
      <c r="M1252" s="77"/>
    </row>
    <row r="1253" spans="1:13" s="18" customFormat="1" ht="24.75" customHeight="1" thickBot="1">
      <c r="A1253" s="99" t="s">
        <v>80</v>
      </c>
      <c r="B1253" s="98"/>
      <c r="C1253" s="56">
        <v>2</v>
      </c>
      <c r="D1253" s="57"/>
      <c r="E1253" s="56">
        <v>15</v>
      </c>
      <c r="F1253" s="100"/>
      <c r="G1253" s="57"/>
      <c r="H1253" s="56"/>
      <c r="I1253" s="57"/>
      <c r="J1253" s="56"/>
      <c r="K1253" s="57"/>
      <c r="L1253" s="56"/>
      <c r="M1253" s="57"/>
    </row>
    <row r="1254" spans="1:13" s="18" customFormat="1" ht="24.75" customHeight="1" thickBot="1">
      <c r="A1254" s="99"/>
      <c r="B1254" s="98"/>
      <c r="C1254" s="56"/>
      <c r="D1254" s="57"/>
      <c r="E1254" s="56"/>
      <c r="F1254" s="100"/>
      <c r="G1254" s="57"/>
      <c r="H1254" s="56"/>
      <c r="I1254" s="57"/>
      <c r="J1254" s="56"/>
      <c r="K1254" s="57"/>
      <c r="L1254" s="56"/>
      <c r="M1254" s="57"/>
    </row>
    <row r="1255" spans="1:13" ht="33" customHeight="1" thickBot="1">
      <c r="A1255" s="112" t="s">
        <v>40</v>
      </c>
      <c r="B1255" s="113"/>
      <c r="C1255" s="113"/>
      <c r="D1255" s="113"/>
      <c r="E1255" s="113"/>
      <c r="F1255" s="113"/>
      <c r="G1255" s="113"/>
      <c r="H1255" s="113"/>
      <c r="I1255" s="113"/>
      <c r="J1255" s="113"/>
      <c r="K1255" s="113"/>
      <c r="L1255" s="113"/>
      <c r="M1255" s="114"/>
    </row>
    <row r="1256" spans="1:13" ht="16.5" customHeight="1">
      <c r="A1256" s="115" t="s">
        <v>41</v>
      </c>
      <c r="B1256" s="116"/>
      <c r="C1256" s="116"/>
      <c r="D1256" s="116"/>
      <c r="E1256" s="116"/>
      <c r="F1256" s="116"/>
      <c r="G1256" s="116"/>
      <c r="H1256" s="116"/>
      <c r="I1256" s="116"/>
      <c r="J1256" s="116"/>
      <c r="K1256" s="116"/>
      <c r="L1256" s="116"/>
      <c r="M1256" s="117"/>
    </row>
    <row r="1257" spans="1:13" ht="16.5" customHeight="1">
      <c r="A1257" s="90" t="s">
        <v>28</v>
      </c>
      <c r="B1257" s="91"/>
      <c r="C1257" s="91"/>
      <c r="D1257" s="91"/>
      <c r="E1257" s="91"/>
      <c r="F1257" s="91"/>
      <c r="G1257" s="91"/>
      <c r="H1257" s="91"/>
      <c r="I1257" s="91"/>
      <c r="J1257" s="91"/>
      <c r="K1257" s="91"/>
      <c r="L1257" s="91"/>
      <c r="M1257" s="92"/>
    </row>
    <row r="1258" spans="1:13" s="1" customFormat="1" ht="16.5" customHeight="1">
      <c r="A1258" s="93" t="s">
        <v>56</v>
      </c>
      <c r="B1258" s="94"/>
      <c r="C1258" s="94"/>
      <c r="D1258" s="94"/>
      <c r="E1258" s="94"/>
      <c r="F1258" s="94"/>
      <c r="G1258" s="94"/>
      <c r="H1258" s="94"/>
      <c r="I1258" s="94"/>
      <c r="J1258" s="94"/>
      <c r="K1258" s="94"/>
      <c r="L1258" s="94"/>
      <c r="M1258" s="95"/>
    </row>
    <row r="1259" spans="1:13" s="1" customFormat="1" ht="16.5" customHeight="1">
      <c r="A1259" s="93" t="s">
        <v>57</v>
      </c>
      <c r="B1259" s="94"/>
      <c r="C1259" s="94"/>
      <c r="D1259" s="94"/>
      <c r="E1259" s="94"/>
      <c r="F1259" s="94"/>
      <c r="G1259" s="94"/>
      <c r="H1259" s="94"/>
      <c r="I1259" s="94"/>
      <c r="J1259" s="94"/>
      <c r="K1259" s="94"/>
      <c r="L1259" s="94"/>
      <c r="M1259" s="95"/>
    </row>
    <row r="1260" spans="1:13" s="1" customFormat="1" ht="16.5" customHeight="1">
      <c r="A1260" s="93" t="s">
        <v>58</v>
      </c>
      <c r="B1260" s="94"/>
      <c r="C1260" s="94"/>
      <c r="D1260" s="94"/>
      <c r="E1260" s="94"/>
      <c r="F1260" s="94"/>
      <c r="G1260" s="94"/>
      <c r="H1260" s="94"/>
      <c r="I1260" s="94"/>
      <c r="J1260" s="94"/>
      <c r="K1260" s="94"/>
      <c r="L1260" s="94"/>
      <c r="M1260" s="95"/>
    </row>
    <row r="1261" spans="1:13" s="1" customFormat="1" ht="16.5" customHeight="1">
      <c r="A1261" s="93" t="s">
        <v>59</v>
      </c>
      <c r="B1261" s="94"/>
      <c r="C1261" s="94"/>
      <c r="D1261" s="94"/>
      <c r="E1261" s="94"/>
      <c r="F1261" s="94"/>
      <c r="G1261" s="94"/>
      <c r="H1261" s="94"/>
      <c r="I1261" s="94"/>
      <c r="J1261" s="94"/>
      <c r="K1261" s="94"/>
      <c r="L1261" s="94"/>
      <c r="M1261" s="95"/>
    </row>
    <row r="1262" spans="1:13" ht="16.5" customHeight="1">
      <c r="A1262" s="106" t="s">
        <v>29</v>
      </c>
      <c r="B1262" s="107"/>
      <c r="C1262" s="107"/>
      <c r="D1262" s="107"/>
      <c r="E1262" s="107"/>
      <c r="F1262" s="107"/>
      <c r="G1262" s="107"/>
      <c r="H1262" s="107"/>
      <c r="I1262" s="107"/>
      <c r="J1262" s="107"/>
      <c r="K1262" s="107"/>
      <c r="L1262" s="107"/>
      <c r="M1262" s="108"/>
    </row>
    <row r="1263" spans="1:13" ht="9.75" customHeight="1" thickBot="1">
      <c r="A1263" s="109"/>
      <c r="B1263" s="110"/>
      <c r="C1263" s="110"/>
      <c r="D1263" s="110"/>
      <c r="E1263" s="110"/>
      <c r="F1263" s="110"/>
      <c r="G1263" s="110"/>
      <c r="H1263" s="110"/>
      <c r="I1263" s="110"/>
      <c r="J1263" s="110"/>
      <c r="K1263" s="110"/>
      <c r="L1263" s="110"/>
      <c r="M1263" s="111"/>
    </row>
    <row r="1264" spans="1:13" ht="18.75" customHeight="1" thickBot="1">
      <c r="A1264" s="72" t="s">
        <v>30</v>
      </c>
      <c r="B1264" s="73"/>
      <c r="C1264" s="73"/>
      <c r="D1264" s="73"/>
      <c r="E1264" s="73"/>
      <c r="F1264" s="73"/>
      <c r="G1264" s="73"/>
      <c r="H1264" s="73"/>
      <c r="I1264" s="73"/>
      <c r="J1264" s="73"/>
      <c r="K1264" s="73"/>
      <c r="L1264" s="73"/>
      <c r="M1264" s="74"/>
    </row>
    <row r="1265" spans="1:15" ht="24" customHeight="1" thickBot="1">
      <c r="A1265" s="72" t="s">
        <v>31</v>
      </c>
      <c r="B1265" s="73"/>
      <c r="C1265" s="73"/>
      <c r="D1265" s="73"/>
      <c r="E1265" s="73"/>
      <c r="F1265" s="73"/>
      <c r="G1265" s="73"/>
      <c r="H1265" s="73"/>
      <c r="I1265" s="73"/>
      <c r="J1265" s="73"/>
      <c r="K1265" s="73"/>
      <c r="L1265" s="73"/>
      <c r="M1265" s="74"/>
    </row>
    <row r="1266" spans="1:15" ht="24" customHeight="1" thickBot="1">
      <c r="A1266" s="72" t="s">
        <v>128</v>
      </c>
      <c r="B1266" s="73"/>
      <c r="C1266" s="73"/>
      <c r="D1266" s="73"/>
      <c r="E1266" s="73"/>
      <c r="F1266" s="73"/>
      <c r="G1266" s="73"/>
      <c r="H1266" s="73"/>
      <c r="I1266" s="73"/>
      <c r="J1266" s="73"/>
      <c r="K1266" s="73"/>
      <c r="L1266" s="73"/>
      <c r="M1266" s="74"/>
    </row>
    <row r="1267" spans="1:15" ht="24" customHeight="1" thickBot="1">
      <c r="A1267" s="60" t="s">
        <v>46</v>
      </c>
      <c r="B1267" s="61"/>
      <c r="C1267" s="61"/>
      <c r="D1267" s="61"/>
      <c r="E1267" s="61"/>
      <c r="F1267" s="61"/>
      <c r="G1267" s="61"/>
      <c r="H1267" s="61"/>
      <c r="I1267" s="61"/>
      <c r="J1267" s="61"/>
      <c r="K1267" s="61"/>
      <c r="L1267" s="61"/>
      <c r="M1267" s="62"/>
    </row>
    <row r="1268" spans="1:15" ht="11.1" customHeight="1">
      <c r="A1268" s="103" t="s">
        <v>47</v>
      </c>
      <c r="B1268" s="103"/>
      <c r="C1268" s="103"/>
      <c r="D1268" s="103"/>
      <c r="E1268" s="103"/>
      <c r="F1268" s="103"/>
      <c r="G1268" s="103"/>
      <c r="H1268" s="103"/>
      <c r="I1268" s="103"/>
      <c r="J1268" s="103"/>
      <c r="K1268" s="103"/>
      <c r="L1268" s="103"/>
      <c r="M1268" s="103"/>
    </row>
    <row r="1269" spans="1:15" ht="11.1" customHeight="1">
      <c r="A1269" s="104" t="s">
        <v>48</v>
      </c>
      <c r="B1269" s="104"/>
      <c r="C1269" s="104"/>
      <c r="D1269" s="104"/>
      <c r="E1269" s="104"/>
      <c r="F1269" s="104"/>
      <c r="G1269" s="104"/>
      <c r="H1269" s="104"/>
      <c r="I1269" s="104"/>
      <c r="J1269" s="104"/>
      <c r="K1269" s="104"/>
      <c r="L1269" s="104"/>
      <c r="M1269" s="104"/>
    </row>
    <row r="1270" spans="1:15" ht="11.1" customHeight="1">
      <c r="A1270" s="105" t="s">
        <v>49</v>
      </c>
      <c r="B1270" s="105"/>
      <c r="C1270" s="105"/>
      <c r="D1270" s="105"/>
      <c r="E1270" s="105"/>
      <c r="F1270" s="105"/>
      <c r="G1270" s="105"/>
      <c r="H1270" s="105"/>
      <c r="I1270" s="105"/>
      <c r="J1270" s="105"/>
      <c r="K1270" s="105"/>
      <c r="L1270" s="105"/>
      <c r="M1270" s="105"/>
    </row>
    <row r="1271" spans="1:15" ht="11.1" customHeight="1">
      <c r="A1271" s="105" t="s">
        <v>50</v>
      </c>
      <c r="B1271" s="105"/>
      <c r="C1271" s="105"/>
      <c r="D1271" s="105"/>
      <c r="E1271" s="105"/>
      <c r="F1271" s="105"/>
      <c r="G1271" s="105"/>
      <c r="H1271" s="105"/>
      <c r="I1271" s="105"/>
      <c r="J1271" s="105"/>
      <c r="K1271" s="105"/>
      <c r="L1271" s="105"/>
      <c r="M1271" s="105"/>
    </row>
    <row r="1272" spans="1:15" ht="11.1" customHeight="1">
      <c r="A1272" s="104" t="s">
        <v>51</v>
      </c>
      <c r="B1272" s="104"/>
      <c r="C1272" s="104"/>
      <c r="D1272" s="104"/>
      <c r="E1272" s="104"/>
      <c r="F1272" s="104"/>
      <c r="G1272" s="104"/>
      <c r="H1272" s="104"/>
      <c r="I1272" s="104"/>
      <c r="J1272" s="104"/>
      <c r="K1272" s="104"/>
      <c r="L1272" s="104"/>
      <c r="M1272" s="104"/>
    </row>
    <row r="1273" spans="1:15" ht="11.1" customHeight="1">
      <c r="A1273" s="104" t="s">
        <v>52</v>
      </c>
      <c r="B1273" s="104"/>
      <c r="C1273" s="104"/>
      <c r="D1273" s="104"/>
      <c r="E1273" s="104"/>
      <c r="F1273" s="104"/>
      <c r="G1273" s="104"/>
      <c r="H1273" s="104"/>
      <c r="I1273" s="104"/>
      <c r="J1273" s="104"/>
      <c r="K1273" s="104"/>
      <c r="L1273" s="104"/>
      <c r="M1273" s="104"/>
    </row>
    <row r="1274" spans="1:15" ht="11.1" customHeight="1">
      <c r="A1274" s="104" t="s">
        <v>53</v>
      </c>
      <c r="B1274" s="104"/>
      <c r="C1274" s="104"/>
      <c r="D1274" s="104"/>
      <c r="E1274" s="104"/>
      <c r="F1274" s="104"/>
      <c r="G1274" s="104"/>
      <c r="H1274" s="104"/>
      <c r="I1274" s="104"/>
      <c r="J1274" s="104"/>
      <c r="K1274" s="104"/>
      <c r="L1274" s="104"/>
      <c r="M1274" s="104"/>
    </row>
    <row r="1275" spans="1:15" ht="11.1" customHeight="1">
      <c r="A1275" s="101" t="s">
        <v>54</v>
      </c>
      <c r="B1275" s="101"/>
      <c r="C1275" s="101"/>
      <c r="D1275" s="101"/>
      <c r="E1275" s="101"/>
      <c r="F1275" s="101"/>
      <c r="G1275" s="101"/>
      <c r="H1275" s="101"/>
      <c r="I1275" s="101"/>
      <c r="J1275" s="101"/>
      <c r="K1275" s="101"/>
      <c r="L1275" s="101"/>
      <c r="M1275" s="101"/>
    </row>
    <row r="1276" spans="1:15" ht="11.1" customHeight="1">
      <c r="A1276" s="101" t="s">
        <v>55</v>
      </c>
      <c r="B1276" s="101"/>
      <c r="C1276" s="101"/>
      <c r="D1276" s="101"/>
      <c r="E1276" s="101"/>
      <c r="F1276" s="101"/>
      <c r="G1276" s="101"/>
      <c r="H1276" s="101"/>
      <c r="I1276" s="101"/>
      <c r="J1276" s="101"/>
      <c r="K1276" s="101"/>
      <c r="L1276" s="101"/>
      <c r="M1276" s="101"/>
    </row>
    <row r="1277" spans="1:15" ht="19.5" customHeight="1">
      <c r="A1277" s="69" t="s">
        <v>0</v>
      </c>
      <c r="B1277" s="69"/>
      <c r="C1277" s="69"/>
      <c r="D1277" s="69"/>
      <c r="E1277" s="69"/>
      <c r="F1277" s="69"/>
      <c r="G1277" s="69"/>
      <c r="H1277" s="69"/>
      <c r="I1277" s="69"/>
      <c r="J1277" s="69"/>
      <c r="K1277" s="69"/>
      <c r="L1277" s="69"/>
      <c r="M1277" s="69"/>
    </row>
    <row r="1278" spans="1:15" ht="20.100000000000001" customHeight="1">
      <c r="A1278" s="4" t="s">
        <v>32</v>
      </c>
      <c r="B1278" s="5">
        <f>+B1234+1</f>
        <v>34</v>
      </c>
      <c r="C1278" s="25"/>
      <c r="D1278" s="25"/>
      <c r="E1278" s="25"/>
      <c r="F1278" s="25"/>
      <c r="G1278" s="25"/>
      <c r="H1278" s="25"/>
      <c r="I1278" s="25"/>
      <c r="J1278" s="25"/>
      <c r="K1278" s="25"/>
      <c r="L1278" s="25"/>
      <c r="M1278" s="25"/>
    </row>
    <row r="1279" spans="1:15" ht="24" customHeight="1" thickBot="1">
      <c r="A1279" s="4" t="s">
        <v>33</v>
      </c>
      <c r="H1279" s="70" t="s">
        <v>34</v>
      </c>
      <c r="I1279" s="70"/>
      <c r="J1279" s="70"/>
      <c r="K1279" s="102">
        <f>+K1235+1</f>
        <v>45960</v>
      </c>
      <c r="L1279" s="102"/>
      <c r="M1279" s="102"/>
      <c r="O1279" s="7"/>
    </row>
    <row r="1280" spans="1:15" ht="33.75" customHeight="1" thickBot="1">
      <c r="A1280" s="80" t="s">
        <v>1</v>
      </c>
      <c r="B1280" s="81"/>
      <c r="C1280" s="82"/>
      <c r="D1280" s="86" t="str">
        <f>+D1236</f>
        <v>光明國中B與C區5樓老舊廁所整修工程</v>
      </c>
      <c r="E1280" s="87"/>
      <c r="F1280" s="87"/>
      <c r="G1280" s="88"/>
      <c r="H1280" s="80" t="s">
        <v>2</v>
      </c>
      <c r="I1280" s="81"/>
      <c r="J1280" s="82"/>
      <c r="K1280" s="80" t="s">
        <v>35</v>
      </c>
      <c r="L1280" s="81"/>
      <c r="M1280" s="82"/>
    </row>
    <row r="1281" spans="1:13" ht="33.75" customHeight="1" thickBot="1">
      <c r="A1281" s="8" t="s">
        <v>3</v>
      </c>
      <c r="B1281" s="26">
        <f>+B1237</f>
        <v>142</v>
      </c>
      <c r="C1281" s="10" t="s">
        <v>36</v>
      </c>
      <c r="D1281" s="80" t="s">
        <v>4</v>
      </c>
      <c r="E1281" s="89"/>
      <c r="F1281" s="27">
        <f>+F1237+1</f>
        <v>34</v>
      </c>
      <c r="G1281" s="12" t="s">
        <v>36</v>
      </c>
      <c r="H1281" s="13" t="s">
        <v>5</v>
      </c>
      <c r="I1281" s="26">
        <f>+B1281-F1281</f>
        <v>108</v>
      </c>
      <c r="J1281" s="10" t="s">
        <v>36</v>
      </c>
      <c r="K1281" s="80" t="s">
        <v>6</v>
      </c>
      <c r="L1281" s="82"/>
      <c r="M1281" s="13">
        <f>+M1237</f>
        <v>12</v>
      </c>
    </row>
    <row r="1282" spans="1:13" ht="24" customHeight="1" thickBot="1">
      <c r="A1282" s="80" t="s">
        <v>7</v>
      </c>
      <c r="B1282" s="81"/>
      <c r="C1282" s="82"/>
      <c r="D1282" s="80" t="str">
        <f>+D1238</f>
        <v>114.9.27</v>
      </c>
      <c r="E1282" s="81"/>
      <c r="F1282" s="81"/>
      <c r="G1282" s="82"/>
      <c r="H1282" s="80" t="s">
        <v>8</v>
      </c>
      <c r="I1282" s="81"/>
      <c r="J1282" s="82"/>
      <c r="K1282" s="80" t="str">
        <f>+K1238</f>
        <v>115.2.15</v>
      </c>
      <c r="L1282" s="81"/>
      <c r="M1282" s="82"/>
    </row>
    <row r="1283" spans="1:13" ht="24" customHeight="1" thickBot="1">
      <c r="A1283" s="80" t="s">
        <v>37</v>
      </c>
      <c r="B1283" s="81"/>
      <c r="C1283" s="82"/>
      <c r="D1283" s="83">
        <v>0.108</v>
      </c>
      <c r="E1283" s="84"/>
      <c r="F1283" s="84"/>
      <c r="G1283" s="85"/>
      <c r="H1283" s="80" t="s">
        <v>38</v>
      </c>
      <c r="I1283" s="81"/>
      <c r="J1283" s="82"/>
      <c r="K1283" s="83">
        <v>0.16800000000000001</v>
      </c>
      <c r="L1283" s="84"/>
      <c r="M1283" s="85"/>
    </row>
    <row r="1284" spans="1:13" ht="24" customHeight="1" thickBot="1">
      <c r="A1284" s="72" t="s">
        <v>9</v>
      </c>
      <c r="B1284" s="73"/>
      <c r="C1284" s="73"/>
      <c r="D1284" s="73"/>
      <c r="E1284" s="73"/>
      <c r="F1284" s="73"/>
      <c r="G1284" s="73"/>
      <c r="H1284" s="73"/>
      <c r="I1284" s="73"/>
      <c r="J1284" s="73"/>
      <c r="K1284" s="73"/>
      <c r="L1284" s="73"/>
      <c r="M1284" s="74"/>
    </row>
    <row r="1285" spans="1:13" ht="35.25" customHeight="1" thickBot="1">
      <c r="A1285" s="75" t="s">
        <v>10</v>
      </c>
      <c r="B1285" s="76"/>
      <c r="C1285" s="76"/>
      <c r="D1285" s="77"/>
      <c r="E1285" s="14" t="s">
        <v>11</v>
      </c>
      <c r="F1285" s="75" t="s">
        <v>12</v>
      </c>
      <c r="G1285" s="77"/>
      <c r="H1285" s="75" t="s">
        <v>13</v>
      </c>
      <c r="I1285" s="77"/>
      <c r="J1285" s="78" t="s">
        <v>14</v>
      </c>
      <c r="K1285" s="79"/>
      <c r="L1285" s="75" t="s">
        <v>15</v>
      </c>
      <c r="M1285" s="77"/>
    </row>
    <row r="1286" spans="1:13" ht="27.95" customHeight="1" thickBot="1">
      <c r="A1286" s="141" t="s">
        <v>100</v>
      </c>
      <c r="B1286" s="142"/>
      <c r="C1286" s="142"/>
      <c r="D1286" s="143"/>
      <c r="E1286" s="2" t="s">
        <v>101</v>
      </c>
      <c r="F1286" s="56">
        <v>1</v>
      </c>
      <c r="G1286" s="57"/>
      <c r="H1286" s="56">
        <v>0.05</v>
      </c>
      <c r="I1286" s="57"/>
      <c r="J1286" s="56">
        <v>0.55000000000000004</v>
      </c>
      <c r="K1286" s="57"/>
      <c r="L1286" s="58"/>
      <c r="M1286" s="59"/>
    </row>
    <row r="1287" spans="1:13" ht="27.95" customHeight="1" thickBot="1">
      <c r="A1287" s="141"/>
      <c r="B1287" s="142"/>
      <c r="C1287" s="142"/>
      <c r="D1287" s="143"/>
      <c r="E1287" s="15"/>
      <c r="F1287" s="56"/>
      <c r="G1287" s="57"/>
      <c r="H1287" s="56"/>
      <c r="I1287" s="57"/>
      <c r="J1287" s="56"/>
      <c r="K1287" s="57"/>
      <c r="L1287" s="58"/>
      <c r="M1287" s="59"/>
    </row>
    <row r="1288" spans="1:13" ht="24.95" customHeight="1" thickTop="1" thickBot="1">
      <c r="A1288" s="130" t="s">
        <v>16</v>
      </c>
      <c r="B1288" s="67"/>
      <c r="C1288" s="67"/>
      <c r="D1288" s="68"/>
      <c r="E1288" s="34"/>
      <c r="F1288" s="131"/>
      <c r="G1288" s="132"/>
      <c r="H1288" s="131"/>
      <c r="I1288" s="132"/>
      <c r="J1288" s="131"/>
      <c r="K1288" s="132"/>
      <c r="L1288" s="131"/>
      <c r="M1288" s="133"/>
    </row>
    <row r="1289" spans="1:13" ht="24.95" customHeight="1" thickBot="1">
      <c r="A1289" s="134" t="s">
        <v>17</v>
      </c>
      <c r="B1289" s="135"/>
      <c r="C1289" s="135"/>
      <c r="D1289" s="59"/>
      <c r="E1289" s="34"/>
      <c r="F1289" s="58"/>
      <c r="G1289" s="59"/>
      <c r="H1289" s="58"/>
      <c r="I1289" s="59"/>
      <c r="J1289" s="58"/>
      <c r="K1289" s="59"/>
      <c r="L1289" s="58"/>
      <c r="M1289" s="136"/>
    </row>
    <row r="1290" spans="1:13" ht="24.95" customHeight="1" thickBot="1">
      <c r="A1290" s="118" t="s">
        <v>18</v>
      </c>
      <c r="B1290" s="119"/>
      <c r="C1290" s="119"/>
      <c r="D1290" s="120"/>
      <c r="E1290" s="24"/>
      <c r="F1290" s="121"/>
      <c r="G1290" s="120"/>
      <c r="H1290" s="121"/>
      <c r="I1290" s="120"/>
      <c r="J1290" s="121"/>
      <c r="K1290" s="120"/>
      <c r="L1290" s="121"/>
      <c r="M1290" s="122"/>
    </row>
    <row r="1291" spans="1:13" ht="24" customHeight="1" thickTop="1" thickBot="1">
      <c r="A1291" s="66" t="s">
        <v>19</v>
      </c>
      <c r="B1291" s="67"/>
      <c r="C1291" s="67"/>
      <c r="D1291" s="67"/>
      <c r="E1291" s="67"/>
      <c r="F1291" s="67"/>
      <c r="G1291" s="67"/>
      <c r="H1291" s="67"/>
      <c r="I1291" s="67"/>
      <c r="J1291" s="67"/>
      <c r="K1291" s="67"/>
      <c r="L1291" s="67"/>
      <c r="M1291" s="68"/>
    </row>
    <row r="1292" spans="1:13" ht="35.25" customHeight="1" thickBot="1">
      <c r="A1292" s="75" t="s">
        <v>20</v>
      </c>
      <c r="B1292" s="76"/>
      <c r="C1292" s="76"/>
      <c r="D1292" s="77"/>
      <c r="E1292" s="14" t="s">
        <v>11</v>
      </c>
      <c r="F1292" s="75" t="s">
        <v>39</v>
      </c>
      <c r="G1292" s="77"/>
      <c r="H1292" s="75" t="s">
        <v>21</v>
      </c>
      <c r="I1292" s="77"/>
      <c r="J1292" s="78" t="s">
        <v>22</v>
      </c>
      <c r="K1292" s="79"/>
      <c r="L1292" s="75" t="s">
        <v>15</v>
      </c>
      <c r="M1292" s="77"/>
    </row>
    <row r="1293" spans="1:13" ht="24" customHeight="1" thickBot="1">
      <c r="A1293" s="96"/>
      <c r="B1293" s="97"/>
      <c r="C1293" s="97"/>
      <c r="D1293" s="98"/>
      <c r="E1293" s="34"/>
      <c r="F1293" s="58"/>
      <c r="G1293" s="59"/>
      <c r="H1293" s="58"/>
      <c r="I1293" s="59"/>
      <c r="J1293" s="56"/>
      <c r="K1293" s="57"/>
      <c r="L1293" s="58"/>
      <c r="M1293" s="59"/>
    </row>
    <row r="1294" spans="1:13" ht="24" customHeight="1" thickBot="1">
      <c r="A1294" s="96"/>
      <c r="B1294" s="97"/>
      <c r="C1294" s="97"/>
      <c r="D1294" s="98"/>
      <c r="E1294" s="34"/>
      <c r="F1294" s="58"/>
      <c r="G1294" s="59"/>
      <c r="H1294" s="58"/>
      <c r="I1294" s="59"/>
      <c r="J1294" s="56"/>
      <c r="K1294" s="57"/>
      <c r="L1294" s="58"/>
      <c r="M1294" s="59"/>
    </row>
    <row r="1295" spans="1:13" ht="24" customHeight="1" thickBot="1">
      <c r="A1295" s="60" t="s">
        <v>23</v>
      </c>
      <c r="B1295" s="61"/>
      <c r="C1295" s="61"/>
      <c r="D1295" s="61"/>
      <c r="E1295" s="61"/>
      <c r="F1295" s="61"/>
      <c r="G1295" s="61"/>
      <c r="H1295" s="61"/>
      <c r="I1295" s="61"/>
      <c r="J1295" s="61"/>
      <c r="K1295" s="61"/>
      <c r="L1295" s="61"/>
      <c r="M1295" s="62"/>
    </row>
    <row r="1296" spans="1:13" ht="35.25" customHeight="1" thickBot="1">
      <c r="A1296" s="75" t="s">
        <v>24</v>
      </c>
      <c r="B1296" s="77"/>
      <c r="C1296" s="75" t="s">
        <v>25</v>
      </c>
      <c r="D1296" s="77"/>
      <c r="E1296" s="75" t="s">
        <v>26</v>
      </c>
      <c r="F1296" s="76"/>
      <c r="G1296" s="77"/>
      <c r="H1296" s="75" t="s">
        <v>27</v>
      </c>
      <c r="I1296" s="77"/>
      <c r="J1296" s="78" t="s">
        <v>21</v>
      </c>
      <c r="K1296" s="79"/>
      <c r="L1296" s="75" t="s">
        <v>22</v>
      </c>
      <c r="M1296" s="77"/>
    </row>
    <row r="1297" spans="1:13" s="18" customFormat="1" ht="24.75" customHeight="1" thickBot="1">
      <c r="A1297" s="99" t="s">
        <v>80</v>
      </c>
      <c r="B1297" s="98"/>
      <c r="C1297" s="56">
        <v>2</v>
      </c>
      <c r="D1297" s="57"/>
      <c r="E1297" s="56">
        <v>17</v>
      </c>
      <c r="F1297" s="100"/>
      <c r="G1297" s="57"/>
      <c r="H1297" s="56"/>
      <c r="I1297" s="57"/>
      <c r="J1297" s="56"/>
      <c r="K1297" s="57"/>
      <c r="L1297" s="56"/>
      <c r="M1297" s="57"/>
    </row>
    <row r="1298" spans="1:13" s="18" customFormat="1" ht="24.75" customHeight="1" thickBot="1">
      <c r="A1298" s="99"/>
      <c r="B1298" s="98"/>
      <c r="C1298" s="56"/>
      <c r="D1298" s="57"/>
      <c r="E1298" s="56"/>
      <c r="F1298" s="100"/>
      <c r="G1298" s="57"/>
      <c r="H1298" s="56"/>
      <c r="I1298" s="57"/>
      <c r="J1298" s="56"/>
      <c r="K1298" s="57"/>
      <c r="L1298" s="56"/>
      <c r="M1298" s="57"/>
    </row>
    <row r="1299" spans="1:13" ht="33" customHeight="1" thickBot="1">
      <c r="A1299" s="112" t="s">
        <v>40</v>
      </c>
      <c r="B1299" s="113"/>
      <c r="C1299" s="113"/>
      <c r="D1299" s="113"/>
      <c r="E1299" s="113"/>
      <c r="F1299" s="113"/>
      <c r="G1299" s="113"/>
      <c r="H1299" s="113"/>
      <c r="I1299" s="113"/>
      <c r="J1299" s="113"/>
      <c r="K1299" s="113"/>
      <c r="L1299" s="113"/>
      <c r="M1299" s="114"/>
    </row>
    <row r="1300" spans="1:13" ht="16.5" customHeight="1">
      <c r="A1300" s="115" t="s">
        <v>41</v>
      </c>
      <c r="B1300" s="116"/>
      <c r="C1300" s="116"/>
      <c r="D1300" s="116"/>
      <c r="E1300" s="116"/>
      <c r="F1300" s="116"/>
      <c r="G1300" s="116"/>
      <c r="H1300" s="116"/>
      <c r="I1300" s="116"/>
      <c r="J1300" s="116"/>
      <c r="K1300" s="116"/>
      <c r="L1300" s="116"/>
      <c r="M1300" s="117"/>
    </row>
    <row r="1301" spans="1:13" ht="16.5" customHeight="1">
      <c r="A1301" s="90" t="s">
        <v>28</v>
      </c>
      <c r="B1301" s="91"/>
      <c r="C1301" s="91"/>
      <c r="D1301" s="91"/>
      <c r="E1301" s="91"/>
      <c r="F1301" s="91"/>
      <c r="G1301" s="91"/>
      <c r="H1301" s="91"/>
      <c r="I1301" s="91"/>
      <c r="J1301" s="91"/>
      <c r="K1301" s="91"/>
      <c r="L1301" s="91"/>
      <c r="M1301" s="92"/>
    </row>
    <row r="1302" spans="1:13" s="1" customFormat="1" ht="16.5" customHeight="1">
      <c r="A1302" s="93" t="s">
        <v>56</v>
      </c>
      <c r="B1302" s="94"/>
      <c r="C1302" s="94"/>
      <c r="D1302" s="94"/>
      <c r="E1302" s="94"/>
      <c r="F1302" s="94"/>
      <c r="G1302" s="94"/>
      <c r="H1302" s="94"/>
      <c r="I1302" s="94"/>
      <c r="J1302" s="94"/>
      <c r="K1302" s="94"/>
      <c r="L1302" s="94"/>
      <c r="M1302" s="95"/>
    </row>
    <row r="1303" spans="1:13" s="1" customFormat="1" ht="16.5" customHeight="1">
      <c r="A1303" s="93" t="s">
        <v>57</v>
      </c>
      <c r="B1303" s="94"/>
      <c r="C1303" s="94"/>
      <c r="D1303" s="94"/>
      <c r="E1303" s="94"/>
      <c r="F1303" s="94"/>
      <c r="G1303" s="94"/>
      <c r="H1303" s="94"/>
      <c r="I1303" s="94"/>
      <c r="J1303" s="94"/>
      <c r="K1303" s="94"/>
      <c r="L1303" s="94"/>
      <c r="M1303" s="95"/>
    </row>
    <row r="1304" spans="1:13" s="1" customFormat="1" ht="16.5" customHeight="1">
      <c r="A1304" s="93" t="s">
        <v>58</v>
      </c>
      <c r="B1304" s="94"/>
      <c r="C1304" s="94"/>
      <c r="D1304" s="94"/>
      <c r="E1304" s="94"/>
      <c r="F1304" s="94"/>
      <c r="G1304" s="94"/>
      <c r="H1304" s="94"/>
      <c r="I1304" s="94"/>
      <c r="J1304" s="94"/>
      <c r="K1304" s="94"/>
      <c r="L1304" s="94"/>
      <c r="M1304" s="95"/>
    </row>
    <row r="1305" spans="1:13" s="1" customFormat="1" ht="16.5" customHeight="1">
      <c r="A1305" s="93" t="s">
        <v>59</v>
      </c>
      <c r="B1305" s="94"/>
      <c r="C1305" s="94"/>
      <c r="D1305" s="94"/>
      <c r="E1305" s="94"/>
      <c r="F1305" s="94"/>
      <c r="G1305" s="94"/>
      <c r="H1305" s="94"/>
      <c r="I1305" s="94"/>
      <c r="J1305" s="94"/>
      <c r="K1305" s="94"/>
      <c r="L1305" s="94"/>
      <c r="M1305" s="95"/>
    </row>
    <row r="1306" spans="1:13" ht="16.5" customHeight="1">
      <c r="A1306" s="106" t="s">
        <v>29</v>
      </c>
      <c r="B1306" s="107"/>
      <c r="C1306" s="107"/>
      <c r="D1306" s="107"/>
      <c r="E1306" s="107"/>
      <c r="F1306" s="107"/>
      <c r="G1306" s="107"/>
      <c r="H1306" s="107"/>
      <c r="I1306" s="107"/>
      <c r="J1306" s="107"/>
      <c r="K1306" s="107"/>
      <c r="L1306" s="107"/>
      <c r="M1306" s="108"/>
    </row>
    <row r="1307" spans="1:13" ht="9.75" customHeight="1" thickBot="1">
      <c r="A1307" s="109"/>
      <c r="B1307" s="110"/>
      <c r="C1307" s="110"/>
      <c r="D1307" s="110"/>
      <c r="E1307" s="110"/>
      <c r="F1307" s="110"/>
      <c r="G1307" s="110"/>
      <c r="H1307" s="110"/>
      <c r="I1307" s="110"/>
      <c r="J1307" s="110"/>
      <c r="K1307" s="110"/>
      <c r="L1307" s="110"/>
      <c r="M1307" s="111"/>
    </row>
    <row r="1308" spans="1:13" ht="18.75" customHeight="1" thickBot="1">
      <c r="A1308" s="72" t="s">
        <v>30</v>
      </c>
      <c r="B1308" s="73"/>
      <c r="C1308" s="73"/>
      <c r="D1308" s="73"/>
      <c r="E1308" s="73"/>
      <c r="F1308" s="73"/>
      <c r="G1308" s="73"/>
      <c r="H1308" s="73"/>
      <c r="I1308" s="73"/>
      <c r="J1308" s="73"/>
      <c r="K1308" s="73"/>
      <c r="L1308" s="73"/>
      <c r="M1308" s="74"/>
    </row>
    <row r="1309" spans="1:13" ht="24" customHeight="1" thickBot="1">
      <c r="A1309" s="72" t="s">
        <v>31</v>
      </c>
      <c r="B1309" s="73"/>
      <c r="C1309" s="73"/>
      <c r="D1309" s="73"/>
      <c r="E1309" s="73"/>
      <c r="F1309" s="73"/>
      <c r="G1309" s="73"/>
      <c r="H1309" s="73"/>
      <c r="I1309" s="73"/>
      <c r="J1309" s="73"/>
      <c r="K1309" s="73"/>
      <c r="L1309" s="73"/>
      <c r="M1309" s="74"/>
    </row>
    <row r="1310" spans="1:13" ht="24" customHeight="1" thickBot="1">
      <c r="A1310" s="72" t="s">
        <v>105</v>
      </c>
      <c r="B1310" s="73"/>
      <c r="C1310" s="73"/>
      <c r="D1310" s="73"/>
      <c r="E1310" s="73"/>
      <c r="F1310" s="73"/>
      <c r="G1310" s="73"/>
      <c r="H1310" s="73"/>
      <c r="I1310" s="73"/>
      <c r="J1310" s="73"/>
      <c r="K1310" s="73"/>
      <c r="L1310" s="73"/>
      <c r="M1310" s="74"/>
    </row>
    <row r="1311" spans="1:13" ht="24" customHeight="1" thickBot="1">
      <c r="A1311" s="60" t="s">
        <v>46</v>
      </c>
      <c r="B1311" s="61"/>
      <c r="C1311" s="61"/>
      <c r="D1311" s="61"/>
      <c r="E1311" s="61"/>
      <c r="F1311" s="61"/>
      <c r="G1311" s="61"/>
      <c r="H1311" s="61"/>
      <c r="I1311" s="61"/>
      <c r="J1311" s="61"/>
      <c r="K1311" s="61"/>
      <c r="L1311" s="61"/>
      <c r="M1311" s="62"/>
    </row>
    <row r="1312" spans="1:13" ht="11.1" customHeight="1">
      <c r="A1312" s="103" t="s">
        <v>47</v>
      </c>
      <c r="B1312" s="103"/>
      <c r="C1312" s="103"/>
      <c r="D1312" s="103"/>
      <c r="E1312" s="103"/>
      <c r="F1312" s="103"/>
      <c r="G1312" s="103"/>
      <c r="H1312" s="103"/>
      <c r="I1312" s="103"/>
      <c r="J1312" s="103"/>
      <c r="K1312" s="103"/>
      <c r="L1312" s="103"/>
      <c r="M1312" s="103"/>
    </row>
    <row r="1313" spans="1:15" ht="11.1" customHeight="1">
      <c r="A1313" s="104" t="s">
        <v>48</v>
      </c>
      <c r="B1313" s="104"/>
      <c r="C1313" s="104"/>
      <c r="D1313" s="104"/>
      <c r="E1313" s="104"/>
      <c r="F1313" s="104"/>
      <c r="G1313" s="104"/>
      <c r="H1313" s="104"/>
      <c r="I1313" s="104"/>
      <c r="J1313" s="104"/>
      <c r="K1313" s="104"/>
      <c r="L1313" s="104"/>
      <c r="M1313" s="104"/>
    </row>
    <row r="1314" spans="1:15" ht="11.1" customHeight="1">
      <c r="A1314" s="105" t="s">
        <v>49</v>
      </c>
      <c r="B1314" s="105"/>
      <c r="C1314" s="105"/>
      <c r="D1314" s="105"/>
      <c r="E1314" s="105"/>
      <c r="F1314" s="105"/>
      <c r="G1314" s="105"/>
      <c r="H1314" s="105"/>
      <c r="I1314" s="105"/>
      <c r="J1314" s="105"/>
      <c r="K1314" s="105"/>
      <c r="L1314" s="105"/>
      <c r="M1314" s="105"/>
    </row>
    <row r="1315" spans="1:15" ht="11.1" customHeight="1">
      <c r="A1315" s="105" t="s">
        <v>50</v>
      </c>
      <c r="B1315" s="105"/>
      <c r="C1315" s="105"/>
      <c r="D1315" s="105"/>
      <c r="E1315" s="105"/>
      <c r="F1315" s="105"/>
      <c r="G1315" s="105"/>
      <c r="H1315" s="105"/>
      <c r="I1315" s="105"/>
      <c r="J1315" s="105"/>
      <c r="K1315" s="105"/>
      <c r="L1315" s="105"/>
      <c r="M1315" s="105"/>
    </row>
    <row r="1316" spans="1:15" ht="11.1" customHeight="1">
      <c r="A1316" s="104" t="s">
        <v>51</v>
      </c>
      <c r="B1316" s="104"/>
      <c r="C1316" s="104"/>
      <c r="D1316" s="104"/>
      <c r="E1316" s="104"/>
      <c r="F1316" s="104"/>
      <c r="G1316" s="104"/>
      <c r="H1316" s="104"/>
      <c r="I1316" s="104"/>
      <c r="J1316" s="104"/>
      <c r="K1316" s="104"/>
      <c r="L1316" s="104"/>
      <c r="M1316" s="104"/>
    </row>
    <row r="1317" spans="1:15" ht="11.1" customHeight="1">
      <c r="A1317" s="104" t="s">
        <v>52</v>
      </c>
      <c r="B1317" s="104"/>
      <c r="C1317" s="104"/>
      <c r="D1317" s="104"/>
      <c r="E1317" s="104"/>
      <c r="F1317" s="104"/>
      <c r="G1317" s="104"/>
      <c r="H1317" s="104"/>
      <c r="I1317" s="104"/>
      <c r="J1317" s="104"/>
      <c r="K1317" s="104"/>
      <c r="L1317" s="104"/>
      <c r="M1317" s="104"/>
    </row>
    <row r="1318" spans="1:15" ht="11.1" customHeight="1">
      <c r="A1318" s="104" t="s">
        <v>53</v>
      </c>
      <c r="B1318" s="104"/>
      <c r="C1318" s="104"/>
      <c r="D1318" s="104"/>
      <c r="E1318" s="104"/>
      <c r="F1318" s="104"/>
      <c r="G1318" s="104"/>
      <c r="H1318" s="104"/>
      <c r="I1318" s="104"/>
      <c r="J1318" s="104"/>
      <c r="K1318" s="104"/>
      <c r="L1318" s="104"/>
      <c r="M1318" s="104"/>
    </row>
    <row r="1319" spans="1:15" ht="11.1" customHeight="1">
      <c r="A1319" s="101" t="s">
        <v>54</v>
      </c>
      <c r="B1319" s="101"/>
      <c r="C1319" s="101"/>
      <c r="D1319" s="101"/>
      <c r="E1319" s="101"/>
      <c r="F1319" s="101"/>
      <c r="G1319" s="101"/>
      <c r="H1319" s="101"/>
      <c r="I1319" s="101"/>
      <c r="J1319" s="101"/>
      <c r="K1319" s="101"/>
      <c r="L1319" s="101"/>
      <c r="M1319" s="101"/>
    </row>
    <row r="1320" spans="1:15" ht="11.1" customHeight="1">
      <c r="A1320" s="101" t="s">
        <v>55</v>
      </c>
      <c r="B1320" s="101"/>
      <c r="C1320" s="101"/>
      <c r="D1320" s="101"/>
      <c r="E1320" s="101"/>
      <c r="F1320" s="101"/>
      <c r="G1320" s="101"/>
      <c r="H1320" s="101"/>
      <c r="I1320" s="101"/>
      <c r="J1320" s="101"/>
      <c r="K1320" s="101"/>
      <c r="L1320" s="101"/>
      <c r="M1320" s="101"/>
    </row>
    <row r="1321" spans="1:15" ht="19.5" customHeight="1">
      <c r="A1321" s="69" t="s">
        <v>0</v>
      </c>
      <c r="B1321" s="69"/>
      <c r="C1321" s="69"/>
      <c r="D1321" s="69"/>
      <c r="E1321" s="69"/>
      <c r="F1321" s="69"/>
      <c r="G1321" s="69"/>
      <c r="H1321" s="69"/>
      <c r="I1321" s="69"/>
      <c r="J1321" s="69"/>
      <c r="K1321" s="69"/>
      <c r="L1321" s="69"/>
      <c r="M1321" s="69"/>
    </row>
    <row r="1322" spans="1:15" ht="20.100000000000001" customHeight="1">
      <c r="A1322" s="4" t="s">
        <v>32</v>
      </c>
      <c r="B1322" s="5">
        <f>+B1278+1</f>
        <v>35</v>
      </c>
      <c r="C1322" s="25"/>
      <c r="D1322" s="25"/>
      <c r="E1322" s="25"/>
      <c r="F1322" s="25"/>
      <c r="G1322" s="25"/>
      <c r="H1322" s="25"/>
      <c r="I1322" s="25"/>
      <c r="J1322" s="25"/>
      <c r="K1322" s="25"/>
      <c r="L1322" s="25"/>
      <c r="M1322" s="25"/>
    </row>
    <row r="1323" spans="1:15" ht="24" customHeight="1" thickBot="1">
      <c r="A1323" s="4" t="s">
        <v>33</v>
      </c>
      <c r="H1323" s="70" t="s">
        <v>34</v>
      </c>
      <c r="I1323" s="70"/>
      <c r="J1323" s="70"/>
      <c r="K1323" s="102">
        <f>+K1279+1</f>
        <v>45961</v>
      </c>
      <c r="L1323" s="102"/>
      <c r="M1323" s="102"/>
      <c r="O1323" s="7"/>
    </row>
    <row r="1324" spans="1:15" ht="33.75" customHeight="1" thickBot="1">
      <c r="A1324" s="80" t="s">
        <v>1</v>
      </c>
      <c r="B1324" s="81"/>
      <c r="C1324" s="82"/>
      <c r="D1324" s="86" t="str">
        <f>+D1280</f>
        <v>光明國中B與C區5樓老舊廁所整修工程</v>
      </c>
      <c r="E1324" s="87"/>
      <c r="F1324" s="87"/>
      <c r="G1324" s="88"/>
      <c r="H1324" s="80" t="s">
        <v>2</v>
      </c>
      <c r="I1324" s="81"/>
      <c r="J1324" s="82"/>
      <c r="K1324" s="80" t="s">
        <v>35</v>
      </c>
      <c r="L1324" s="81"/>
      <c r="M1324" s="82"/>
    </row>
    <row r="1325" spans="1:15" ht="33.75" customHeight="1" thickBot="1">
      <c r="A1325" s="8" t="s">
        <v>3</v>
      </c>
      <c r="B1325" s="26">
        <f>+B1281</f>
        <v>142</v>
      </c>
      <c r="C1325" s="10" t="s">
        <v>36</v>
      </c>
      <c r="D1325" s="80" t="s">
        <v>4</v>
      </c>
      <c r="E1325" s="89"/>
      <c r="F1325" s="27">
        <f>+F1281+1</f>
        <v>35</v>
      </c>
      <c r="G1325" s="12" t="s">
        <v>36</v>
      </c>
      <c r="H1325" s="13" t="s">
        <v>5</v>
      </c>
      <c r="I1325" s="26">
        <f>+B1325-F1325</f>
        <v>107</v>
      </c>
      <c r="J1325" s="10" t="s">
        <v>36</v>
      </c>
      <c r="K1325" s="80" t="s">
        <v>6</v>
      </c>
      <c r="L1325" s="82"/>
      <c r="M1325" s="13">
        <f>+M1281</f>
        <v>12</v>
      </c>
    </row>
    <row r="1326" spans="1:15" ht="24" customHeight="1" thickBot="1">
      <c r="A1326" s="80" t="s">
        <v>7</v>
      </c>
      <c r="B1326" s="81"/>
      <c r="C1326" s="82"/>
      <c r="D1326" s="80" t="str">
        <f>+D1282</f>
        <v>114.9.27</v>
      </c>
      <c r="E1326" s="81"/>
      <c r="F1326" s="81"/>
      <c r="G1326" s="82"/>
      <c r="H1326" s="80" t="s">
        <v>8</v>
      </c>
      <c r="I1326" s="81"/>
      <c r="J1326" s="82"/>
      <c r="K1326" s="80" t="str">
        <f>+K1282</f>
        <v>115.2.15</v>
      </c>
      <c r="L1326" s="81"/>
      <c r="M1326" s="82"/>
    </row>
    <row r="1327" spans="1:15" ht="24" customHeight="1" thickBot="1">
      <c r="A1327" s="80" t="s">
        <v>37</v>
      </c>
      <c r="B1327" s="81"/>
      <c r="C1327" s="82"/>
      <c r="D1327" s="83">
        <v>0.114</v>
      </c>
      <c r="E1327" s="84"/>
      <c r="F1327" s="84"/>
      <c r="G1327" s="85"/>
      <c r="H1327" s="80" t="s">
        <v>38</v>
      </c>
      <c r="I1327" s="81"/>
      <c r="J1327" s="82"/>
      <c r="K1327" s="83">
        <v>0.17399999999999999</v>
      </c>
      <c r="L1327" s="84"/>
      <c r="M1327" s="85"/>
    </row>
    <row r="1328" spans="1:15" ht="24" customHeight="1" thickBot="1">
      <c r="A1328" s="72" t="s">
        <v>9</v>
      </c>
      <c r="B1328" s="73"/>
      <c r="C1328" s="73"/>
      <c r="D1328" s="73"/>
      <c r="E1328" s="73"/>
      <c r="F1328" s="73"/>
      <c r="G1328" s="73"/>
      <c r="H1328" s="73"/>
      <c r="I1328" s="73"/>
      <c r="J1328" s="73"/>
      <c r="K1328" s="73"/>
      <c r="L1328" s="73"/>
      <c r="M1328" s="74"/>
    </row>
    <row r="1329" spans="1:13" ht="31.5" customHeight="1" thickBot="1">
      <c r="A1329" s="75" t="s">
        <v>10</v>
      </c>
      <c r="B1329" s="76"/>
      <c r="C1329" s="76"/>
      <c r="D1329" s="77"/>
      <c r="E1329" s="14" t="s">
        <v>11</v>
      </c>
      <c r="F1329" s="75" t="s">
        <v>12</v>
      </c>
      <c r="G1329" s="77"/>
      <c r="H1329" s="75" t="s">
        <v>13</v>
      </c>
      <c r="I1329" s="77"/>
      <c r="J1329" s="78" t="s">
        <v>14</v>
      </c>
      <c r="K1329" s="79"/>
      <c r="L1329" s="75" t="s">
        <v>15</v>
      </c>
      <c r="M1329" s="77"/>
    </row>
    <row r="1330" spans="1:13" ht="27.95" customHeight="1" thickBot="1">
      <c r="A1330" s="141" t="s">
        <v>100</v>
      </c>
      <c r="B1330" s="142"/>
      <c r="C1330" s="142"/>
      <c r="D1330" s="143"/>
      <c r="E1330" s="2" t="s">
        <v>101</v>
      </c>
      <c r="F1330" s="56">
        <v>1</v>
      </c>
      <c r="G1330" s="57"/>
      <c r="H1330" s="56">
        <v>0.05</v>
      </c>
      <c r="I1330" s="57"/>
      <c r="J1330" s="56">
        <v>0.6</v>
      </c>
      <c r="K1330" s="57"/>
      <c r="L1330" s="58"/>
      <c r="M1330" s="59"/>
    </row>
    <row r="1331" spans="1:13" ht="27.95" customHeight="1" thickBot="1">
      <c r="A1331" s="141"/>
      <c r="B1331" s="142"/>
      <c r="C1331" s="142"/>
      <c r="D1331" s="143"/>
      <c r="E1331" s="15"/>
      <c r="F1331" s="56"/>
      <c r="G1331" s="57"/>
      <c r="H1331" s="56"/>
      <c r="I1331" s="57"/>
      <c r="J1331" s="56"/>
      <c r="K1331" s="57"/>
      <c r="L1331" s="58"/>
      <c r="M1331" s="59"/>
    </row>
    <row r="1332" spans="1:13" ht="24.95" customHeight="1" thickTop="1" thickBot="1">
      <c r="A1332" s="130" t="s">
        <v>16</v>
      </c>
      <c r="B1332" s="67"/>
      <c r="C1332" s="67"/>
      <c r="D1332" s="68"/>
      <c r="E1332" s="34"/>
      <c r="F1332" s="131"/>
      <c r="G1332" s="132"/>
      <c r="H1332" s="131"/>
      <c r="I1332" s="132"/>
      <c r="J1332" s="131"/>
      <c r="K1332" s="132"/>
      <c r="L1332" s="131"/>
      <c r="M1332" s="133"/>
    </row>
    <row r="1333" spans="1:13" ht="24.95" customHeight="1" thickBot="1">
      <c r="A1333" s="134" t="s">
        <v>17</v>
      </c>
      <c r="B1333" s="135"/>
      <c r="C1333" s="135"/>
      <c r="D1333" s="59"/>
      <c r="E1333" s="34"/>
      <c r="F1333" s="58"/>
      <c r="G1333" s="59"/>
      <c r="H1333" s="58"/>
      <c r="I1333" s="59"/>
      <c r="J1333" s="58"/>
      <c r="K1333" s="59"/>
      <c r="L1333" s="58"/>
      <c r="M1333" s="136"/>
    </row>
    <row r="1334" spans="1:13" ht="24.95" customHeight="1" thickBot="1">
      <c r="A1334" s="118" t="s">
        <v>18</v>
      </c>
      <c r="B1334" s="119"/>
      <c r="C1334" s="119"/>
      <c r="D1334" s="120"/>
      <c r="E1334" s="24"/>
      <c r="F1334" s="121"/>
      <c r="G1334" s="120"/>
      <c r="H1334" s="121"/>
      <c r="I1334" s="120"/>
      <c r="J1334" s="121"/>
      <c r="K1334" s="120"/>
      <c r="L1334" s="121"/>
      <c r="M1334" s="122"/>
    </row>
    <row r="1335" spans="1:13" ht="24" customHeight="1" thickTop="1" thickBot="1">
      <c r="A1335" s="66" t="s">
        <v>19</v>
      </c>
      <c r="B1335" s="67"/>
      <c r="C1335" s="67"/>
      <c r="D1335" s="67"/>
      <c r="E1335" s="67"/>
      <c r="F1335" s="67"/>
      <c r="G1335" s="67"/>
      <c r="H1335" s="67"/>
      <c r="I1335" s="67"/>
      <c r="J1335" s="67"/>
      <c r="K1335" s="67"/>
      <c r="L1335" s="67"/>
      <c r="M1335" s="68"/>
    </row>
    <row r="1336" spans="1:13" ht="30" customHeight="1" thickBot="1">
      <c r="A1336" s="75" t="s">
        <v>20</v>
      </c>
      <c r="B1336" s="76"/>
      <c r="C1336" s="76"/>
      <c r="D1336" s="77"/>
      <c r="E1336" s="14" t="s">
        <v>11</v>
      </c>
      <c r="F1336" s="75" t="s">
        <v>39</v>
      </c>
      <c r="G1336" s="77"/>
      <c r="H1336" s="75" t="s">
        <v>21</v>
      </c>
      <c r="I1336" s="77"/>
      <c r="J1336" s="78" t="s">
        <v>22</v>
      </c>
      <c r="K1336" s="79"/>
      <c r="L1336" s="75" t="s">
        <v>15</v>
      </c>
      <c r="M1336" s="77"/>
    </row>
    <row r="1337" spans="1:13" ht="24" customHeight="1" thickBot="1">
      <c r="A1337" s="96"/>
      <c r="B1337" s="97"/>
      <c r="C1337" s="97"/>
      <c r="D1337" s="98"/>
      <c r="E1337" s="34"/>
      <c r="F1337" s="58"/>
      <c r="G1337" s="59"/>
      <c r="H1337" s="58"/>
      <c r="I1337" s="59"/>
      <c r="J1337" s="56"/>
      <c r="K1337" s="57"/>
      <c r="L1337" s="58"/>
      <c r="M1337" s="59"/>
    </row>
    <row r="1338" spans="1:13" ht="24" customHeight="1" thickBot="1">
      <c r="A1338" s="96"/>
      <c r="B1338" s="97"/>
      <c r="C1338" s="97"/>
      <c r="D1338" s="98"/>
      <c r="E1338" s="34"/>
      <c r="F1338" s="58"/>
      <c r="G1338" s="59"/>
      <c r="H1338" s="58"/>
      <c r="I1338" s="59"/>
      <c r="J1338" s="56"/>
      <c r="K1338" s="57"/>
      <c r="L1338" s="58"/>
      <c r="M1338" s="59"/>
    </row>
    <row r="1339" spans="1:13" ht="24" customHeight="1" thickBot="1">
      <c r="A1339" s="60" t="s">
        <v>23</v>
      </c>
      <c r="B1339" s="61"/>
      <c r="C1339" s="61"/>
      <c r="D1339" s="61"/>
      <c r="E1339" s="61"/>
      <c r="F1339" s="61"/>
      <c r="G1339" s="61"/>
      <c r="H1339" s="61"/>
      <c r="I1339" s="61"/>
      <c r="J1339" s="61"/>
      <c r="K1339" s="61"/>
      <c r="L1339" s="61"/>
      <c r="M1339" s="62"/>
    </row>
    <row r="1340" spans="1:13" ht="27" customHeight="1" thickBot="1">
      <c r="A1340" s="75" t="s">
        <v>24</v>
      </c>
      <c r="B1340" s="77"/>
      <c r="C1340" s="75" t="s">
        <v>25</v>
      </c>
      <c r="D1340" s="77"/>
      <c r="E1340" s="75" t="s">
        <v>26</v>
      </c>
      <c r="F1340" s="76"/>
      <c r="G1340" s="77"/>
      <c r="H1340" s="75" t="s">
        <v>27</v>
      </c>
      <c r="I1340" s="77"/>
      <c r="J1340" s="78" t="s">
        <v>21</v>
      </c>
      <c r="K1340" s="79"/>
      <c r="L1340" s="75" t="s">
        <v>22</v>
      </c>
      <c r="M1340" s="77"/>
    </row>
    <row r="1341" spans="1:13" s="18" customFormat="1" ht="24.75" customHeight="1" thickBot="1">
      <c r="A1341" s="99" t="s">
        <v>80</v>
      </c>
      <c r="B1341" s="98"/>
      <c r="C1341" s="56">
        <v>2</v>
      </c>
      <c r="D1341" s="57"/>
      <c r="E1341" s="56">
        <v>19</v>
      </c>
      <c r="F1341" s="100"/>
      <c r="G1341" s="57"/>
      <c r="H1341" s="56"/>
      <c r="I1341" s="57"/>
      <c r="J1341" s="56"/>
      <c r="K1341" s="57"/>
      <c r="L1341" s="56"/>
      <c r="M1341" s="57"/>
    </row>
    <row r="1342" spans="1:13" s="18" customFormat="1" ht="24.75" customHeight="1" thickBot="1">
      <c r="A1342" s="99" t="s">
        <v>109</v>
      </c>
      <c r="B1342" s="98"/>
      <c r="C1342" s="56">
        <v>0</v>
      </c>
      <c r="D1342" s="57"/>
      <c r="E1342" s="56">
        <v>2</v>
      </c>
      <c r="F1342" s="100"/>
      <c r="G1342" s="57"/>
      <c r="H1342" s="56"/>
      <c r="I1342" s="57"/>
      <c r="J1342" s="56"/>
      <c r="K1342" s="57"/>
      <c r="L1342" s="56"/>
      <c r="M1342" s="57"/>
    </row>
    <row r="1343" spans="1:13" s="18" customFormat="1" ht="24.75" customHeight="1" thickBot="1">
      <c r="A1343" s="99" t="s">
        <v>107</v>
      </c>
      <c r="B1343" s="137"/>
      <c r="C1343" s="56">
        <v>0</v>
      </c>
      <c r="D1343" s="57"/>
      <c r="E1343" s="56">
        <v>65</v>
      </c>
      <c r="F1343" s="100"/>
      <c r="G1343" s="57"/>
      <c r="H1343" s="56"/>
      <c r="I1343" s="57"/>
      <c r="J1343" s="56"/>
      <c r="K1343" s="57"/>
      <c r="L1343" s="56"/>
      <c r="M1343" s="57"/>
    </row>
    <row r="1344" spans="1:13" ht="33" customHeight="1" thickBot="1">
      <c r="A1344" s="112" t="s">
        <v>40</v>
      </c>
      <c r="B1344" s="113"/>
      <c r="C1344" s="113"/>
      <c r="D1344" s="113"/>
      <c r="E1344" s="113"/>
      <c r="F1344" s="113"/>
      <c r="G1344" s="113"/>
      <c r="H1344" s="113"/>
      <c r="I1344" s="113"/>
      <c r="J1344" s="113"/>
      <c r="K1344" s="113"/>
      <c r="L1344" s="113"/>
      <c r="M1344" s="114"/>
    </row>
    <row r="1345" spans="1:13" ht="16.5" customHeight="1">
      <c r="A1345" s="115" t="s">
        <v>41</v>
      </c>
      <c r="B1345" s="116"/>
      <c r="C1345" s="116"/>
      <c r="D1345" s="116"/>
      <c r="E1345" s="116"/>
      <c r="F1345" s="116"/>
      <c r="G1345" s="116"/>
      <c r="H1345" s="116"/>
      <c r="I1345" s="116"/>
      <c r="J1345" s="116"/>
      <c r="K1345" s="116"/>
      <c r="L1345" s="116"/>
      <c r="M1345" s="117"/>
    </row>
    <row r="1346" spans="1:13" ht="16.5" customHeight="1">
      <c r="A1346" s="90" t="s">
        <v>28</v>
      </c>
      <c r="B1346" s="91"/>
      <c r="C1346" s="91"/>
      <c r="D1346" s="91"/>
      <c r="E1346" s="91"/>
      <c r="F1346" s="91"/>
      <c r="G1346" s="91"/>
      <c r="H1346" s="91"/>
      <c r="I1346" s="91"/>
      <c r="J1346" s="91"/>
      <c r="K1346" s="91"/>
      <c r="L1346" s="91"/>
      <c r="M1346" s="92"/>
    </row>
    <row r="1347" spans="1:13" s="1" customFormat="1" ht="16.5" customHeight="1">
      <c r="A1347" s="93" t="s">
        <v>56</v>
      </c>
      <c r="B1347" s="94"/>
      <c r="C1347" s="94"/>
      <c r="D1347" s="94"/>
      <c r="E1347" s="94"/>
      <c r="F1347" s="94"/>
      <c r="G1347" s="94"/>
      <c r="H1347" s="94"/>
      <c r="I1347" s="94"/>
      <c r="J1347" s="94"/>
      <c r="K1347" s="94"/>
      <c r="L1347" s="94"/>
      <c r="M1347" s="95"/>
    </row>
    <row r="1348" spans="1:13" s="1" customFormat="1" ht="16.5" customHeight="1">
      <c r="A1348" s="93" t="s">
        <v>57</v>
      </c>
      <c r="B1348" s="94"/>
      <c r="C1348" s="94"/>
      <c r="D1348" s="94"/>
      <c r="E1348" s="94"/>
      <c r="F1348" s="94"/>
      <c r="G1348" s="94"/>
      <c r="H1348" s="94"/>
      <c r="I1348" s="94"/>
      <c r="J1348" s="94"/>
      <c r="K1348" s="94"/>
      <c r="L1348" s="94"/>
      <c r="M1348" s="95"/>
    </row>
    <row r="1349" spans="1:13" s="1" customFormat="1" ht="16.5" customHeight="1">
      <c r="A1349" s="93" t="s">
        <v>58</v>
      </c>
      <c r="B1349" s="94"/>
      <c r="C1349" s="94"/>
      <c r="D1349" s="94"/>
      <c r="E1349" s="94"/>
      <c r="F1349" s="94"/>
      <c r="G1349" s="94"/>
      <c r="H1349" s="94"/>
      <c r="I1349" s="94"/>
      <c r="J1349" s="94"/>
      <c r="K1349" s="94"/>
      <c r="L1349" s="94"/>
      <c r="M1349" s="95"/>
    </row>
    <row r="1350" spans="1:13" s="1" customFormat="1" ht="16.5" customHeight="1">
      <c r="A1350" s="93" t="s">
        <v>59</v>
      </c>
      <c r="B1350" s="94"/>
      <c r="C1350" s="94"/>
      <c r="D1350" s="94"/>
      <c r="E1350" s="94"/>
      <c r="F1350" s="94"/>
      <c r="G1350" s="94"/>
      <c r="H1350" s="94"/>
      <c r="I1350" s="94"/>
      <c r="J1350" s="94"/>
      <c r="K1350" s="94"/>
      <c r="L1350" s="94"/>
      <c r="M1350" s="95"/>
    </row>
    <row r="1351" spans="1:13" ht="16.5" customHeight="1">
      <c r="A1351" s="106" t="s">
        <v>29</v>
      </c>
      <c r="B1351" s="107"/>
      <c r="C1351" s="107"/>
      <c r="D1351" s="107"/>
      <c r="E1351" s="107"/>
      <c r="F1351" s="107"/>
      <c r="G1351" s="107"/>
      <c r="H1351" s="107"/>
      <c r="I1351" s="107"/>
      <c r="J1351" s="107"/>
      <c r="K1351" s="107"/>
      <c r="L1351" s="107"/>
      <c r="M1351" s="108"/>
    </row>
    <row r="1352" spans="1:13" ht="5.25" customHeight="1" thickBot="1">
      <c r="A1352" s="109"/>
      <c r="B1352" s="110"/>
      <c r="C1352" s="110"/>
      <c r="D1352" s="110"/>
      <c r="E1352" s="110"/>
      <c r="F1352" s="110"/>
      <c r="G1352" s="110"/>
      <c r="H1352" s="110"/>
      <c r="I1352" s="110"/>
      <c r="J1352" s="110"/>
      <c r="K1352" s="110"/>
      <c r="L1352" s="110"/>
      <c r="M1352" s="111"/>
    </row>
    <row r="1353" spans="1:13" ht="18.75" customHeight="1" thickBot="1">
      <c r="A1353" s="72" t="s">
        <v>30</v>
      </c>
      <c r="B1353" s="73"/>
      <c r="C1353" s="73"/>
      <c r="D1353" s="73"/>
      <c r="E1353" s="73"/>
      <c r="F1353" s="73"/>
      <c r="G1353" s="73"/>
      <c r="H1353" s="73"/>
      <c r="I1353" s="73"/>
      <c r="J1353" s="73"/>
      <c r="K1353" s="73"/>
      <c r="L1353" s="73"/>
      <c r="M1353" s="74"/>
    </row>
    <row r="1354" spans="1:13" ht="24" customHeight="1" thickBot="1">
      <c r="A1354" s="72" t="s">
        <v>31</v>
      </c>
      <c r="B1354" s="73"/>
      <c r="C1354" s="73"/>
      <c r="D1354" s="73"/>
      <c r="E1354" s="73"/>
      <c r="F1354" s="73"/>
      <c r="G1354" s="73"/>
      <c r="H1354" s="73"/>
      <c r="I1354" s="73"/>
      <c r="J1354" s="73"/>
      <c r="K1354" s="73"/>
      <c r="L1354" s="73"/>
      <c r="M1354" s="74"/>
    </row>
    <row r="1355" spans="1:13" s="39" customFormat="1" ht="24" customHeight="1" thickBot="1">
      <c r="A1355" s="138" t="s">
        <v>112</v>
      </c>
      <c r="B1355" s="139"/>
      <c r="C1355" s="139"/>
      <c r="D1355" s="139"/>
      <c r="E1355" s="139"/>
      <c r="F1355" s="139"/>
      <c r="G1355" s="139"/>
      <c r="H1355" s="139"/>
      <c r="I1355" s="139"/>
      <c r="J1355" s="139"/>
      <c r="K1355" s="139"/>
      <c r="L1355" s="139"/>
      <c r="M1355" s="140"/>
    </row>
    <row r="1356" spans="1:13" ht="24" customHeight="1" thickBot="1">
      <c r="A1356" s="60" t="s">
        <v>46</v>
      </c>
      <c r="B1356" s="61"/>
      <c r="C1356" s="61"/>
      <c r="D1356" s="61"/>
      <c r="E1356" s="61"/>
      <c r="F1356" s="61"/>
      <c r="G1356" s="61"/>
      <c r="H1356" s="61"/>
      <c r="I1356" s="61"/>
      <c r="J1356" s="61"/>
      <c r="K1356" s="61"/>
      <c r="L1356" s="61"/>
      <c r="M1356" s="62"/>
    </row>
    <row r="1357" spans="1:13" ht="11.1" customHeight="1">
      <c r="A1357" s="103" t="s">
        <v>47</v>
      </c>
      <c r="B1357" s="103"/>
      <c r="C1357" s="103"/>
      <c r="D1357" s="103"/>
      <c r="E1357" s="103"/>
      <c r="F1357" s="103"/>
      <c r="G1357" s="103"/>
      <c r="H1357" s="103"/>
      <c r="I1357" s="103"/>
      <c r="J1357" s="103"/>
      <c r="K1357" s="103"/>
      <c r="L1357" s="103"/>
      <c r="M1357" s="103"/>
    </row>
    <row r="1358" spans="1:13" ht="11.1" customHeight="1">
      <c r="A1358" s="104" t="s">
        <v>48</v>
      </c>
      <c r="B1358" s="104"/>
      <c r="C1358" s="104"/>
      <c r="D1358" s="104"/>
      <c r="E1358" s="104"/>
      <c r="F1358" s="104"/>
      <c r="G1358" s="104"/>
      <c r="H1358" s="104"/>
      <c r="I1358" s="104"/>
      <c r="J1358" s="104"/>
      <c r="K1358" s="104"/>
      <c r="L1358" s="104"/>
      <c r="M1358" s="104"/>
    </row>
    <row r="1359" spans="1:13" ht="11.1" customHeight="1">
      <c r="A1359" s="105" t="s">
        <v>49</v>
      </c>
      <c r="B1359" s="105"/>
      <c r="C1359" s="105"/>
      <c r="D1359" s="105"/>
      <c r="E1359" s="105"/>
      <c r="F1359" s="105"/>
      <c r="G1359" s="105"/>
      <c r="H1359" s="105"/>
      <c r="I1359" s="105"/>
      <c r="J1359" s="105"/>
      <c r="K1359" s="105"/>
      <c r="L1359" s="105"/>
      <c r="M1359" s="105"/>
    </row>
    <row r="1360" spans="1:13" ht="11.1" customHeight="1">
      <c r="A1360" s="105" t="s">
        <v>50</v>
      </c>
      <c r="B1360" s="105"/>
      <c r="C1360" s="105"/>
      <c r="D1360" s="105"/>
      <c r="E1360" s="105"/>
      <c r="F1360" s="105"/>
      <c r="G1360" s="105"/>
      <c r="H1360" s="105"/>
      <c r="I1360" s="105"/>
      <c r="J1360" s="105"/>
      <c r="K1360" s="105"/>
      <c r="L1360" s="105"/>
      <c r="M1360" s="105"/>
    </row>
    <row r="1361" spans="1:13" ht="11.1" customHeight="1">
      <c r="A1361" s="104" t="s">
        <v>51</v>
      </c>
      <c r="B1361" s="104"/>
      <c r="C1361" s="104"/>
      <c r="D1361" s="104"/>
      <c r="E1361" s="104"/>
      <c r="F1361" s="104"/>
      <c r="G1361" s="104"/>
      <c r="H1361" s="104"/>
      <c r="I1361" s="104"/>
      <c r="J1361" s="104"/>
      <c r="K1361" s="104"/>
      <c r="L1361" s="104"/>
      <c r="M1361" s="104"/>
    </row>
    <row r="1362" spans="1:13" ht="11.1" customHeight="1">
      <c r="A1362" s="104" t="s">
        <v>52</v>
      </c>
      <c r="B1362" s="104"/>
      <c r="C1362" s="104"/>
      <c r="D1362" s="104"/>
      <c r="E1362" s="104"/>
      <c r="F1362" s="104"/>
      <c r="G1362" s="104"/>
      <c r="H1362" s="104"/>
      <c r="I1362" s="104"/>
      <c r="J1362" s="104"/>
      <c r="K1362" s="104"/>
      <c r="L1362" s="104"/>
      <c r="M1362" s="104"/>
    </row>
    <row r="1363" spans="1:13" ht="11.1" customHeight="1">
      <c r="A1363" s="104" t="s">
        <v>53</v>
      </c>
      <c r="B1363" s="104"/>
      <c r="C1363" s="104"/>
      <c r="D1363" s="104"/>
      <c r="E1363" s="104"/>
      <c r="F1363" s="104"/>
      <c r="G1363" s="104"/>
      <c r="H1363" s="104"/>
      <c r="I1363" s="104"/>
      <c r="J1363" s="104"/>
      <c r="K1363" s="104"/>
      <c r="L1363" s="104"/>
      <c r="M1363" s="104"/>
    </row>
    <row r="1364" spans="1:13" ht="11.1" customHeight="1">
      <c r="A1364" s="101" t="s">
        <v>54</v>
      </c>
      <c r="B1364" s="101"/>
      <c r="C1364" s="101"/>
      <c r="D1364" s="101"/>
      <c r="E1364" s="101"/>
      <c r="F1364" s="101"/>
      <c r="G1364" s="101"/>
      <c r="H1364" s="101"/>
      <c r="I1364" s="101"/>
      <c r="J1364" s="101"/>
      <c r="K1364" s="101"/>
      <c r="L1364" s="101"/>
      <c r="M1364" s="101"/>
    </row>
    <row r="1365" spans="1:13" ht="11.1" customHeight="1">
      <c r="A1365" s="101" t="s">
        <v>55</v>
      </c>
      <c r="B1365" s="101"/>
      <c r="C1365" s="101"/>
      <c r="D1365" s="101"/>
      <c r="E1365" s="101"/>
      <c r="F1365" s="101"/>
      <c r="G1365" s="101"/>
      <c r="H1365" s="101"/>
      <c r="I1365" s="101"/>
      <c r="J1365" s="101"/>
      <c r="K1365" s="101"/>
      <c r="L1365" s="101"/>
      <c r="M1365" s="101"/>
    </row>
  </sheetData>
  <mergeCells count="3261">
    <mergeCell ref="A7:C7"/>
    <mergeCell ref="D7:G7"/>
    <mergeCell ref="H7:J7"/>
    <mergeCell ref="K7:M7"/>
    <mergeCell ref="A8:M8"/>
    <mergeCell ref="A9:D9"/>
    <mergeCell ref="F9:G9"/>
    <mergeCell ref="H9:I9"/>
    <mergeCell ref="J9:K9"/>
    <mergeCell ref="L9:M9"/>
    <mergeCell ref="D5:E5"/>
    <mergeCell ref="K5:L5"/>
    <mergeCell ref="A6:C6"/>
    <mergeCell ref="D6:G6"/>
    <mergeCell ref="H6:J6"/>
    <mergeCell ref="K6:M6"/>
    <mergeCell ref="A1:M1"/>
    <mergeCell ref="H3:J3"/>
    <mergeCell ref="K3:M3"/>
    <mergeCell ref="A4:C4"/>
    <mergeCell ref="D4:G4"/>
    <mergeCell ref="H4:J4"/>
    <mergeCell ref="K4:M4"/>
    <mergeCell ref="A14:D14"/>
    <mergeCell ref="F14:G14"/>
    <mergeCell ref="H14:I14"/>
    <mergeCell ref="J14:K14"/>
    <mergeCell ref="L14:M14"/>
    <mergeCell ref="A15:M15"/>
    <mergeCell ref="A12:D12"/>
    <mergeCell ref="F12:G12"/>
    <mergeCell ref="H12:I12"/>
    <mergeCell ref="J12:K12"/>
    <mergeCell ref="L12:M12"/>
    <mergeCell ref="A13:D13"/>
    <mergeCell ref="F13:G13"/>
    <mergeCell ref="H13:I13"/>
    <mergeCell ref="J13:K13"/>
    <mergeCell ref="L13:M13"/>
    <mergeCell ref="A10:D10"/>
    <mergeCell ref="F10:G10"/>
    <mergeCell ref="H10:I10"/>
    <mergeCell ref="J10:K10"/>
    <mergeCell ref="L10:M10"/>
    <mergeCell ref="A11:D11"/>
    <mergeCell ref="F11:G11"/>
    <mergeCell ref="H11:I11"/>
    <mergeCell ref="J11:K11"/>
    <mergeCell ref="L11:M11"/>
    <mergeCell ref="A20:B20"/>
    <mergeCell ref="C20:D20"/>
    <mergeCell ref="E20:G20"/>
    <mergeCell ref="H20:I20"/>
    <mergeCell ref="J20:K20"/>
    <mergeCell ref="L20:M20"/>
    <mergeCell ref="A18:D18"/>
    <mergeCell ref="F18:G18"/>
    <mergeCell ref="H18:I18"/>
    <mergeCell ref="J18:K18"/>
    <mergeCell ref="L18:M18"/>
    <mergeCell ref="A19:M19"/>
    <mergeCell ref="A16:D16"/>
    <mergeCell ref="F16:G16"/>
    <mergeCell ref="H16:I16"/>
    <mergeCell ref="J16:K16"/>
    <mergeCell ref="L16:M16"/>
    <mergeCell ref="A17:D17"/>
    <mergeCell ref="F17:G17"/>
    <mergeCell ref="H17:I17"/>
    <mergeCell ref="J17:K17"/>
    <mergeCell ref="L17:M17"/>
    <mergeCell ref="A23:M23"/>
    <mergeCell ref="A24:M24"/>
    <mergeCell ref="A25:M25"/>
    <mergeCell ref="A26:M26"/>
    <mergeCell ref="A27:M27"/>
    <mergeCell ref="A28:M28"/>
    <mergeCell ref="A22:B22"/>
    <mergeCell ref="C22:D22"/>
    <mergeCell ref="E22:G22"/>
    <mergeCell ref="H22:I22"/>
    <mergeCell ref="J22:K22"/>
    <mergeCell ref="L22:M22"/>
    <mergeCell ref="A21:B21"/>
    <mergeCell ref="C21:D21"/>
    <mergeCell ref="E21:G21"/>
    <mergeCell ref="H21:I21"/>
    <mergeCell ref="J21:K21"/>
    <mergeCell ref="L21:M21"/>
    <mergeCell ref="A41:M41"/>
    <mergeCell ref="A42:M42"/>
    <mergeCell ref="A43:M43"/>
    <mergeCell ref="A44:M44"/>
    <mergeCell ref="A45:M45"/>
    <mergeCell ref="H47:J47"/>
    <mergeCell ref="K47:M47"/>
    <mergeCell ref="A35:M35"/>
    <mergeCell ref="A36:M36"/>
    <mergeCell ref="A37:M37"/>
    <mergeCell ref="A38:M38"/>
    <mergeCell ref="A39:M39"/>
    <mergeCell ref="A40:M40"/>
    <mergeCell ref="A29:M29"/>
    <mergeCell ref="A30:M30"/>
    <mergeCell ref="A31:M31"/>
    <mergeCell ref="A32:M32"/>
    <mergeCell ref="A33:M33"/>
    <mergeCell ref="A34:M34"/>
    <mergeCell ref="A52:M52"/>
    <mergeCell ref="A53:D53"/>
    <mergeCell ref="F53:G53"/>
    <mergeCell ref="H53:I53"/>
    <mergeCell ref="J53:K53"/>
    <mergeCell ref="L53:M53"/>
    <mergeCell ref="A50:C50"/>
    <mergeCell ref="D50:G50"/>
    <mergeCell ref="H50:J50"/>
    <mergeCell ref="K50:M50"/>
    <mergeCell ref="A51:C51"/>
    <mergeCell ref="D51:G51"/>
    <mergeCell ref="H51:J51"/>
    <mergeCell ref="K51:M51"/>
    <mergeCell ref="A48:C48"/>
    <mergeCell ref="D48:G48"/>
    <mergeCell ref="H48:J48"/>
    <mergeCell ref="K48:M48"/>
    <mergeCell ref="D49:E49"/>
    <mergeCell ref="K49:L49"/>
    <mergeCell ref="A58:D58"/>
    <mergeCell ref="F58:G58"/>
    <mergeCell ref="H58:I58"/>
    <mergeCell ref="J58:K58"/>
    <mergeCell ref="L58:M58"/>
    <mergeCell ref="A59:M59"/>
    <mergeCell ref="A56:D56"/>
    <mergeCell ref="F56:G56"/>
    <mergeCell ref="H56:I56"/>
    <mergeCell ref="J56:K56"/>
    <mergeCell ref="L56:M56"/>
    <mergeCell ref="A57:D57"/>
    <mergeCell ref="F57:G57"/>
    <mergeCell ref="H57:I57"/>
    <mergeCell ref="J57:K57"/>
    <mergeCell ref="L57:M57"/>
    <mergeCell ref="A54:D54"/>
    <mergeCell ref="F54:G54"/>
    <mergeCell ref="H54:I54"/>
    <mergeCell ref="J54:K54"/>
    <mergeCell ref="L54:M54"/>
    <mergeCell ref="A55:D55"/>
    <mergeCell ref="F55:G55"/>
    <mergeCell ref="H55:I55"/>
    <mergeCell ref="J55:K55"/>
    <mergeCell ref="L55:M55"/>
    <mergeCell ref="A64:B64"/>
    <mergeCell ref="C64:D64"/>
    <mergeCell ref="E64:G64"/>
    <mergeCell ref="H64:I64"/>
    <mergeCell ref="J64:K64"/>
    <mergeCell ref="L64:M64"/>
    <mergeCell ref="A62:D62"/>
    <mergeCell ref="F62:G62"/>
    <mergeCell ref="H62:I62"/>
    <mergeCell ref="J62:K62"/>
    <mergeCell ref="L62:M62"/>
    <mergeCell ref="A63:M63"/>
    <mergeCell ref="A60:D60"/>
    <mergeCell ref="F60:G60"/>
    <mergeCell ref="H60:I60"/>
    <mergeCell ref="J60:K60"/>
    <mergeCell ref="L60:M60"/>
    <mergeCell ref="A61:D61"/>
    <mergeCell ref="F61:G61"/>
    <mergeCell ref="H61:I61"/>
    <mergeCell ref="J61:K61"/>
    <mergeCell ref="L61:M61"/>
    <mergeCell ref="A67:M67"/>
    <mergeCell ref="A68:M68"/>
    <mergeCell ref="A69:M69"/>
    <mergeCell ref="A70:M70"/>
    <mergeCell ref="A71:M71"/>
    <mergeCell ref="A72:M72"/>
    <mergeCell ref="A66:B66"/>
    <mergeCell ref="C66:D66"/>
    <mergeCell ref="E66:G66"/>
    <mergeCell ref="H66:I66"/>
    <mergeCell ref="J66:K66"/>
    <mergeCell ref="L66:M66"/>
    <mergeCell ref="A65:B65"/>
    <mergeCell ref="C65:D65"/>
    <mergeCell ref="E65:G65"/>
    <mergeCell ref="H65:I65"/>
    <mergeCell ref="J65:K65"/>
    <mergeCell ref="L65:M65"/>
    <mergeCell ref="A85:M85"/>
    <mergeCell ref="A86:M86"/>
    <mergeCell ref="A87:M87"/>
    <mergeCell ref="A88:M88"/>
    <mergeCell ref="A89:M89"/>
    <mergeCell ref="H91:J91"/>
    <mergeCell ref="K91:M91"/>
    <mergeCell ref="A79:M79"/>
    <mergeCell ref="A80:M80"/>
    <mergeCell ref="A81:M81"/>
    <mergeCell ref="A82:M82"/>
    <mergeCell ref="A83:M83"/>
    <mergeCell ref="A84:M84"/>
    <mergeCell ref="A73:M73"/>
    <mergeCell ref="A74:M74"/>
    <mergeCell ref="A75:M75"/>
    <mergeCell ref="A76:M76"/>
    <mergeCell ref="A77:M77"/>
    <mergeCell ref="A78:M78"/>
    <mergeCell ref="A96:M96"/>
    <mergeCell ref="A97:D97"/>
    <mergeCell ref="F97:G97"/>
    <mergeCell ref="H97:I97"/>
    <mergeCell ref="J97:K97"/>
    <mergeCell ref="L97:M97"/>
    <mergeCell ref="A94:C94"/>
    <mergeCell ref="D94:G94"/>
    <mergeCell ref="H94:J94"/>
    <mergeCell ref="K94:M94"/>
    <mergeCell ref="A95:C95"/>
    <mergeCell ref="D95:G95"/>
    <mergeCell ref="H95:J95"/>
    <mergeCell ref="K95:M95"/>
    <mergeCell ref="A92:C92"/>
    <mergeCell ref="D92:G92"/>
    <mergeCell ref="H92:J92"/>
    <mergeCell ref="K92:M92"/>
    <mergeCell ref="D93:E93"/>
    <mergeCell ref="K93:L93"/>
    <mergeCell ref="A102:D102"/>
    <mergeCell ref="F102:G102"/>
    <mergeCell ref="H102:I102"/>
    <mergeCell ref="J102:K102"/>
    <mergeCell ref="L102:M102"/>
    <mergeCell ref="A103:M103"/>
    <mergeCell ref="A100:D100"/>
    <mergeCell ref="F100:G100"/>
    <mergeCell ref="H100:I100"/>
    <mergeCell ref="J100:K100"/>
    <mergeCell ref="L100:M100"/>
    <mergeCell ref="A101:D101"/>
    <mergeCell ref="F101:G101"/>
    <mergeCell ref="H101:I101"/>
    <mergeCell ref="J101:K101"/>
    <mergeCell ref="L101:M101"/>
    <mergeCell ref="A98:D98"/>
    <mergeCell ref="F98:G98"/>
    <mergeCell ref="H98:I98"/>
    <mergeCell ref="J98:K98"/>
    <mergeCell ref="L98:M98"/>
    <mergeCell ref="A99:D99"/>
    <mergeCell ref="F99:G99"/>
    <mergeCell ref="H99:I99"/>
    <mergeCell ref="J99:K99"/>
    <mergeCell ref="L99:M99"/>
    <mergeCell ref="A108:B108"/>
    <mergeCell ref="C108:D108"/>
    <mergeCell ref="E108:G108"/>
    <mergeCell ref="H108:I108"/>
    <mergeCell ref="J108:K108"/>
    <mergeCell ref="L108:M108"/>
    <mergeCell ref="A106:D106"/>
    <mergeCell ref="F106:G106"/>
    <mergeCell ref="H106:I106"/>
    <mergeCell ref="J106:K106"/>
    <mergeCell ref="L106:M106"/>
    <mergeCell ref="A107:M107"/>
    <mergeCell ref="A104:D104"/>
    <mergeCell ref="F104:G104"/>
    <mergeCell ref="H104:I104"/>
    <mergeCell ref="J104:K104"/>
    <mergeCell ref="L104:M104"/>
    <mergeCell ref="A105:D105"/>
    <mergeCell ref="F105:G105"/>
    <mergeCell ref="H105:I105"/>
    <mergeCell ref="J105:K105"/>
    <mergeCell ref="L105:M105"/>
    <mergeCell ref="A111:M111"/>
    <mergeCell ref="A112:M112"/>
    <mergeCell ref="A113:M113"/>
    <mergeCell ref="A114:M114"/>
    <mergeCell ref="A115:M115"/>
    <mergeCell ref="A116:M116"/>
    <mergeCell ref="A110:B110"/>
    <mergeCell ref="C110:D110"/>
    <mergeCell ref="E110:G110"/>
    <mergeCell ref="H110:I110"/>
    <mergeCell ref="J110:K110"/>
    <mergeCell ref="L110:M110"/>
    <mergeCell ref="A109:B109"/>
    <mergeCell ref="C109:D109"/>
    <mergeCell ref="E109:G109"/>
    <mergeCell ref="H109:I109"/>
    <mergeCell ref="J109:K109"/>
    <mergeCell ref="L109:M109"/>
    <mergeCell ref="A129:M129"/>
    <mergeCell ref="A130:M130"/>
    <mergeCell ref="A131:M131"/>
    <mergeCell ref="A132:M132"/>
    <mergeCell ref="A133:M133"/>
    <mergeCell ref="H135:J135"/>
    <mergeCell ref="K135:M135"/>
    <mergeCell ref="A123:M123"/>
    <mergeCell ref="A124:M124"/>
    <mergeCell ref="A125:M125"/>
    <mergeCell ref="A126:M126"/>
    <mergeCell ref="A127:M127"/>
    <mergeCell ref="A128:M128"/>
    <mergeCell ref="A117:M117"/>
    <mergeCell ref="A118:M118"/>
    <mergeCell ref="A119:M119"/>
    <mergeCell ref="A120:M120"/>
    <mergeCell ref="A121:M121"/>
    <mergeCell ref="A122:M122"/>
    <mergeCell ref="A140:M140"/>
    <mergeCell ref="A141:D141"/>
    <mergeCell ref="F141:G141"/>
    <mergeCell ref="H141:I141"/>
    <mergeCell ref="J141:K141"/>
    <mergeCell ref="L141:M141"/>
    <mergeCell ref="A138:C138"/>
    <mergeCell ref="D138:G138"/>
    <mergeCell ref="H138:J138"/>
    <mergeCell ref="K138:M138"/>
    <mergeCell ref="A139:C139"/>
    <mergeCell ref="D139:G139"/>
    <mergeCell ref="H139:J139"/>
    <mergeCell ref="K139:M139"/>
    <mergeCell ref="A136:C136"/>
    <mergeCell ref="D136:G136"/>
    <mergeCell ref="H136:J136"/>
    <mergeCell ref="K136:M136"/>
    <mergeCell ref="D137:E137"/>
    <mergeCell ref="K137:L137"/>
    <mergeCell ref="A146:D146"/>
    <mergeCell ref="F146:G146"/>
    <mergeCell ref="H146:I146"/>
    <mergeCell ref="J146:K146"/>
    <mergeCell ref="L146:M146"/>
    <mergeCell ref="A147:M147"/>
    <mergeCell ref="A144:D144"/>
    <mergeCell ref="F144:G144"/>
    <mergeCell ref="H144:I144"/>
    <mergeCell ref="J144:K144"/>
    <mergeCell ref="L144:M144"/>
    <mergeCell ref="A145:D145"/>
    <mergeCell ref="F145:G145"/>
    <mergeCell ref="H145:I145"/>
    <mergeCell ref="J145:K145"/>
    <mergeCell ref="L145:M145"/>
    <mergeCell ref="A142:D142"/>
    <mergeCell ref="F142:G142"/>
    <mergeCell ref="H142:I142"/>
    <mergeCell ref="J142:K142"/>
    <mergeCell ref="L142:M142"/>
    <mergeCell ref="A143:D143"/>
    <mergeCell ref="F143:G143"/>
    <mergeCell ref="H143:I143"/>
    <mergeCell ref="J143:K143"/>
    <mergeCell ref="L143:M143"/>
    <mergeCell ref="A152:B152"/>
    <mergeCell ref="C152:D152"/>
    <mergeCell ref="E152:G152"/>
    <mergeCell ref="H152:I152"/>
    <mergeCell ref="J152:K152"/>
    <mergeCell ref="L152:M152"/>
    <mergeCell ref="A150:D150"/>
    <mergeCell ref="F150:G150"/>
    <mergeCell ref="H150:I150"/>
    <mergeCell ref="J150:K150"/>
    <mergeCell ref="L150:M150"/>
    <mergeCell ref="A151:M151"/>
    <mergeCell ref="A148:D148"/>
    <mergeCell ref="F148:G148"/>
    <mergeCell ref="H148:I148"/>
    <mergeCell ref="J148:K148"/>
    <mergeCell ref="L148:M148"/>
    <mergeCell ref="A149:D149"/>
    <mergeCell ref="F149:G149"/>
    <mergeCell ref="H149:I149"/>
    <mergeCell ref="J149:K149"/>
    <mergeCell ref="L149:M149"/>
    <mergeCell ref="A155:M155"/>
    <mergeCell ref="A156:M156"/>
    <mergeCell ref="A157:M157"/>
    <mergeCell ref="A158:M158"/>
    <mergeCell ref="A159:M159"/>
    <mergeCell ref="A160:M160"/>
    <mergeCell ref="A154:B154"/>
    <mergeCell ref="C154:D154"/>
    <mergeCell ref="E154:G154"/>
    <mergeCell ref="H154:I154"/>
    <mergeCell ref="J154:K154"/>
    <mergeCell ref="L154:M154"/>
    <mergeCell ref="A153:B153"/>
    <mergeCell ref="C153:D153"/>
    <mergeCell ref="E153:G153"/>
    <mergeCell ref="H153:I153"/>
    <mergeCell ref="J153:K153"/>
    <mergeCell ref="L153:M153"/>
    <mergeCell ref="A173:M173"/>
    <mergeCell ref="A174:M174"/>
    <mergeCell ref="A175:M175"/>
    <mergeCell ref="A176:M176"/>
    <mergeCell ref="A177:M177"/>
    <mergeCell ref="H179:J179"/>
    <mergeCell ref="K179:M179"/>
    <mergeCell ref="A167:M167"/>
    <mergeCell ref="A168:M168"/>
    <mergeCell ref="A169:M169"/>
    <mergeCell ref="A170:M170"/>
    <mergeCell ref="A171:M171"/>
    <mergeCell ref="A172:M172"/>
    <mergeCell ref="A161:M161"/>
    <mergeCell ref="A162:M162"/>
    <mergeCell ref="A163:M163"/>
    <mergeCell ref="A164:M164"/>
    <mergeCell ref="A165:M165"/>
    <mergeCell ref="A166:M166"/>
    <mergeCell ref="A184:M184"/>
    <mergeCell ref="A185:D185"/>
    <mergeCell ref="F185:G185"/>
    <mergeCell ref="H185:I185"/>
    <mergeCell ref="J185:K185"/>
    <mergeCell ref="L185:M185"/>
    <mergeCell ref="A182:C182"/>
    <mergeCell ref="D182:G182"/>
    <mergeCell ref="H182:J182"/>
    <mergeCell ref="K182:M182"/>
    <mergeCell ref="A183:C183"/>
    <mergeCell ref="D183:G183"/>
    <mergeCell ref="H183:J183"/>
    <mergeCell ref="K183:M183"/>
    <mergeCell ref="A180:C180"/>
    <mergeCell ref="D180:G180"/>
    <mergeCell ref="H180:J180"/>
    <mergeCell ref="K180:M180"/>
    <mergeCell ref="D181:E181"/>
    <mergeCell ref="K181:L181"/>
    <mergeCell ref="A190:D190"/>
    <mergeCell ref="F190:G190"/>
    <mergeCell ref="H190:I190"/>
    <mergeCell ref="J190:K190"/>
    <mergeCell ref="L190:M190"/>
    <mergeCell ref="A191:M191"/>
    <mergeCell ref="A188:D188"/>
    <mergeCell ref="F188:G188"/>
    <mergeCell ref="H188:I188"/>
    <mergeCell ref="J188:K188"/>
    <mergeCell ref="L188:M188"/>
    <mergeCell ref="A189:D189"/>
    <mergeCell ref="F189:G189"/>
    <mergeCell ref="H189:I189"/>
    <mergeCell ref="J189:K189"/>
    <mergeCell ref="L189:M189"/>
    <mergeCell ref="A186:D186"/>
    <mergeCell ref="F186:G186"/>
    <mergeCell ref="H186:I186"/>
    <mergeCell ref="J186:K186"/>
    <mergeCell ref="L186:M186"/>
    <mergeCell ref="A187:D187"/>
    <mergeCell ref="F187:G187"/>
    <mergeCell ref="H187:I187"/>
    <mergeCell ref="J187:K187"/>
    <mergeCell ref="L187:M187"/>
    <mergeCell ref="A196:B196"/>
    <mergeCell ref="C196:D196"/>
    <mergeCell ref="E196:G196"/>
    <mergeCell ref="H196:I196"/>
    <mergeCell ref="J196:K196"/>
    <mergeCell ref="L196:M196"/>
    <mergeCell ref="A194:D194"/>
    <mergeCell ref="F194:G194"/>
    <mergeCell ref="H194:I194"/>
    <mergeCell ref="J194:K194"/>
    <mergeCell ref="L194:M194"/>
    <mergeCell ref="A195:M195"/>
    <mergeCell ref="A192:D192"/>
    <mergeCell ref="F192:G192"/>
    <mergeCell ref="H192:I192"/>
    <mergeCell ref="J192:K192"/>
    <mergeCell ref="L192:M192"/>
    <mergeCell ref="A193:D193"/>
    <mergeCell ref="F193:G193"/>
    <mergeCell ref="H193:I193"/>
    <mergeCell ref="J193:K193"/>
    <mergeCell ref="L193:M193"/>
    <mergeCell ref="A199:M199"/>
    <mergeCell ref="A200:M200"/>
    <mergeCell ref="A201:M201"/>
    <mergeCell ref="A202:M202"/>
    <mergeCell ref="A203:M203"/>
    <mergeCell ref="A204:M204"/>
    <mergeCell ref="A198:B198"/>
    <mergeCell ref="C198:D198"/>
    <mergeCell ref="E198:G198"/>
    <mergeCell ref="H198:I198"/>
    <mergeCell ref="J198:K198"/>
    <mergeCell ref="L198:M198"/>
    <mergeCell ref="A197:B197"/>
    <mergeCell ref="C197:D197"/>
    <mergeCell ref="E197:G197"/>
    <mergeCell ref="H197:I197"/>
    <mergeCell ref="J197:K197"/>
    <mergeCell ref="L197:M197"/>
    <mergeCell ref="A217:M217"/>
    <mergeCell ref="A218:M218"/>
    <mergeCell ref="A219:M219"/>
    <mergeCell ref="A220:M220"/>
    <mergeCell ref="A221:M221"/>
    <mergeCell ref="H223:J223"/>
    <mergeCell ref="K223:M223"/>
    <mergeCell ref="A211:M211"/>
    <mergeCell ref="A212:M212"/>
    <mergeCell ref="A213:M213"/>
    <mergeCell ref="A214:M214"/>
    <mergeCell ref="A215:M215"/>
    <mergeCell ref="A216:M216"/>
    <mergeCell ref="A205:M205"/>
    <mergeCell ref="A206:M206"/>
    <mergeCell ref="A207:M207"/>
    <mergeCell ref="A208:M208"/>
    <mergeCell ref="A209:M209"/>
    <mergeCell ref="A210:M210"/>
    <mergeCell ref="A228:M228"/>
    <mergeCell ref="A229:D229"/>
    <mergeCell ref="F229:G229"/>
    <mergeCell ref="H229:I229"/>
    <mergeCell ref="J229:K229"/>
    <mergeCell ref="L229:M229"/>
    <mergeCell ref="A226:C226"/>
    <mergeCell ref="D226:G226"/>
    <mergeCell ref="H226:J226"/>
    <mergeCell ref="K226:M226"/>
    <mergeCell ref="A227:C227"/>
    <mergeCell ref="D227:G227"/>
    <mergeCell ref="H227:J227"/>
    <mergeCell ref="K227:M227"/>
    <mergeCell ref="A224:C224"/>
    <mergeCell ref="D224:G224"/>
    <mergeCell ref="H224:J224"/>
    <mergeCell ref="K224:M224"/>
    <mergeCell ref="D225:E225"/>
    <mergeCell ref="K225:L225"/>
    <mergeCell ref="A234:D234"/>
    <mergeCell ref="F234:G234"/>
    <mergeCell ref="H234:I234"/>
    <mergeCell ref="J234:K234"/>
    <mergeCell ref="L234:M234"/>
    <mergeCell ref="A235:M235"/>
    <mergeCell ref="A232:D232"/>
    <mergeCell ref="F232:G232"/>
    <mergeCell ref="H232:I232"/>
    <mergeCell ref="J232:K232"/>
    <mergeCell ref="L232:M232"/>
    <mergeCell ref="A233:D233"/>
    <mergeCell ref="F233:G233"/>
    <mergeCell ref="H233:I233"/>
    <mergeCell ref="J233:K233"/>
    <mergeCell ref="L233:M233"/>
    <mergeCell ref="A230:D230"/>
    <mergeCell ref="F230:G230"/>
    <mergeCell ref="H230:I230"/>
    <mergeCell ref="J230:K230"/>
    <mergeCell ref="L230:M230"/>
    <mergeCell ref="A231:D231"/>
    <mergeCell ref="F231:G231"/>
    <mergeCell ref="H231:I231"/>
    <mergeCell ref="J231:K231"/>
    <mergeCell ref="L231:M231"/>
    <mergeCell ref="A240:B240"/>
    <mergeCell ref="C240:D240"/>
    <mergeCell ref="E240:G240"/>
    <mergeCell ref="H240:I240"/>
    <mergeCell ref="J240:K240"/>
    <mergeCell ref="L240:M240"/>
    <mergeCell ref="A238:D238"/>
    <mergeCell ref="F238:G238"/>
    <mergeCell ref="H238:I238"/>
    <mergeCell ref="J238:K238"/>
    <mergeCell ref="L238:M238"/>
    <mergeCell ref="A239:M239"/>
    <mergeCell ref="A236:D236"/>
    <mergeCell ref="F236:G236"/>
    <mergeCell ref="H236:I236"/>
    <mergeCell ref="J236:K236"/>
    <mergeCell ref="L236:M236"/>
    <mergeCell ref="A237:D237"/>
    <mergeCell ref="F237:G237"/>
    <mergeCell ref="H237:I237"/>
    <mergeCell ref="J237:K237"/>
    <mergeCell ref="L237:M237"/>
    <mergeCell ref="A243:M243"/>
    <mergeCell ref="A244:M244"/>
    <mergeCell ref="A245:M245"/>
    <mergeCell ref="A246:M246"/>
    <mergeCell ref="A247:M247"/>
    <mergeCell ref="A248:M248"/>
    <mergeCell ref="A242:B242"/>
    <mergeCell ref="C242:D242"/>
    <mergeCell ref="E242:G242"/>
    <mergeCell ref="H242:I242"/>
    <mergeCell ref="J242:K242"/>
    <mergeCell ref="L242:M242"/>
    <mergeCell ref="A241:B241"/>
    <mergeCell ref="C241:D241"/>
    <mergeCell ref="E241:G241"/>
    <mergeCell ref="H241:I241"/>
    <mergeCell ref="J241:K241"/>
    <mergeCell ref="L241:M241"/>
    <mergeCell ref="A261:M261"/>
    <mergeCell ref="A262:M262"/>
    <mergeCell ref="A263:M263"/>
    <mergeCell ref="A264:M264"/>
    <mergeCell ref="A265:M265"/>
    <mergeCell ref="H267:J267"/>
    <mergeCell ref="K267:M267"/>
    <mergeCell ref="A255:M255"/>
    <mergeCell ref="A256:M256"/>
    <mergeCell ref="A257:M257"/>
    <mergeCell ref="A258:M258"/>
    <mergeCell ref="A259:M259"/>
    <mergeCell ref="A260:M260"/>
    <mergeCell ref="A249:M249"/>
    <mergeCell ref="A250:M250"/>
    <mergeCell ref="A251:M251"/>
    <mergeCell ref="A252:M252"/>
    <mergeCell ref="A253:M253"/>
    <mergeCell ref="A254:M254"/>
    <mergeCell ref="A272:M272"/>
    <mergeCell ref="A273:D273"/>
    <mergeCell ref="F273:G273"/>
    <mergeCell ref="H273:I273"/>
    <mergeCell ref="J273:K273"/>
    <mergeCell ref="L273:M273"/>
    <mergeCell ref="A270:C270"/>
    <mergeCell ref="D270:G270"/>
    <mergeCell ref="H270:J270"/>
    <mergeCell ref="K270:M270"/>
    <mergeCell ref="A271:C271"/>
    <mergeCell ref="D271:G271"/>
    <mergeCell ref="H271:J271"/>
    <mergeCell ref="K271:M271"/>
    <mergeCell ref="A268:C268"/>
    <mergeCell ref="D268:G268"/>
    <mergeCell ref="H268:J268"/>
    <mergeCell ref="K268:M268"/>
    <mergeCell ref="D269:E269"/>
    <mergeCell ref="K269:L269"/>
    <mergeCell ref="A278:D278"/>
    <mergeCell ref="F278:G278"/>
    <mergeCell ref="H278:I278"/>
    <mergeCell ref="J278:K278"/>
    <mergeCell ref="L278:M278"/>
    <mergeCell ref="A279:M279"/>
    <mergeCell ref="A276:D276"/>
    <mergeCell ref="F276:G276"/>
    <mergeCell ref="H276:I276"/>
    <mergeCell ref="J276:K276"/>
    <mergeCell ref="L276:M276"/>
    <mergeCell ref="A277:D277"/>
    <mergeCell ref="F277:G277"/>
    <mergeCell ref="H277:I277"/>
    <mergeCell ref="J277:K277"/>
    <mergeCell ref="L277:M277"/>
    <mergeCell ref="A274:D274"/>
    <mergeCell ref="F274:G274"/>
    <mergeCell ref="H274:I274"/>
    <mergeCell ref="J274:K274"/>
    <mergeCell ref="L274:M274"/>
    <mergeCell ref="A275:D275"/>
    <mergeCell ref="F275:G275"/>
    <mergeCell ref="H275:I275"/>
    <mergeCell ref="J275:K275"/>
    <mergeCell ref="L275:M275"/>
    <mergeCell ref="A284:B284"/>
    <mergeCell ref="C284:D284"/>
    <mergeCell ref="E284:G284"/>
    <mergeCell ref="H284:I284"/>
    <mergeCell ref="J284:K284"/>
    <mergeCell ref="L284:M284"/>
    <mergeCell ref="A282:D282"/>
    <mergeCell ref="F282:G282"/>
    <mergeCell ref="H282:I282"/>
    <mergeCell ref="J282:K282"/>
    <mergeCell ref="L282:M282"/>
    <mergeCell ref="A283:M283"/>
    <mergeCell ref="A280:D280"/>
    <mergeCell ref="F280:G280"/>
    <mergeCell ref="H280:I280"/>
    <mergeCell ref="J280:K280"/>
    <mergeCell ref="L280:M280"/>
    <mergeCell ref="A281:D281"/>
    <mergeCell ref="F281:G281"/>
    <mergeCell ref="H281:I281"/>
    <mergeCell ref="J281:K281"/>
    <mergeCell ref="L281:M281"/>
    <mergeCell ref="A287:M287"/>
    <mergeCell ref="A288:M288"/>
    <mergeCell ref="A289:M289"/>
    <mergeCell ref="A290:M290"/>
    <mergeCell ref="A291:M291"/>
    <mergeCell ref="A292:M292"/>
    <mergeCell ref="A286:B286"/>
    <mergeCell ref="C286:D286"/>
    <mergeCell ref="E286:G286"/>
    <mergeCell ref="H286:I286"/>
    <mergeCell ref="J286:K286"/>
    <mergeCell ref="L286:M286"/>
    <mergeCell ref="A285:B285"/>
    <mergeCell ref="C285:D285"/>
    <mergeCell ref="E285:G285"/>
    <mergeCell ref="H285:I285"/>
    <mergeCell ref="J285:K285"/>
    <mergeCell ref="L285:M285"/>
    <mergeCell ref="A305:M305"/>
    <mergeCell ref="A306:M306"/>
    <mergeCell ref="A307:M307"/>
    <mergeCell ref="A308:M308"/>
    <mergeCell ref="A309:M309"/>
    <mergeCell ref="H311:J311"/>
    <mergeCell ref="K311:M311"/>
    <mergeCell ref="A299:M299"/>
    <mergeCell ref="A300:M300"/>
    <mergeCell ref="A301:M301"/>
    <mergeCell ref="A302:M302"/>
    <mergeCell ref="A303:M303"/>
    <mergeCell ref="A304:M304"/>
    <mergeCell ref="A293:M293"/>
    <mergeCell ref="A294:M294"/>
    <mergeCell ref="A295:M295"/>
    <mergeCell ref="A296:M296"/>
    <mergeCell ref="A297:M297"/>
    <mergeCell ref="A298:M298"/>
    <mergeCell ref="A316:M316"/>
    <mergeCell ref="A317:D317"/>
    <mergeCell ref="F317:G317"/>
    <mergeCell ref="H317:I317"/>
    <mergeCell ref="J317:K317"/>
    <mergeCell ref="L317:M317"/>
    <mergeCell ref="A314:C314"/>
    <mergeCell ref="D314:G314"/>
    <mergeCell ref="H314:J314"/>
    <mergeCell ref="K314:M314"/>
    <mergeCell ref="A315:C315"/>
    <mergeCell ref="D315:G315"/>
    <mergeCell ref="H315:J315"/>
    <mergeCell ref="K315:M315"/>
    <mergeCell ref="A312:C312"/>
    <mergeCell ref="D312:G312"/>
    <mergeCell ref="H312:J312"/>
    <mergeCell ref="K312:M312"/>
    <mergeCell ref="D313:E313"/>
    <mergeCell ref="K313:L313"/>
    <mergeCell ref="A322:D322"/>
    <mergeCell ref="F322:G322"/>
    <mergeCell ref="H322:I322"/>
    <mergeCell ref="J322:K322"/>
    <mergeCell ref="L322:M322"/>
    <mergeCell ref="A323:M323"/>
    <mergeCell ref="A320:D320"/>
    <mergeCell ref="F320:G320"/>
    <mergeCell ref="H320:I320"/>
    <mergeCell ref="J320:K320"/>
    <mergeCell ref="L320:M320"/>
    <mergeCell ref="A321:D321"/>
    <mergeCell ref="F321:G321"/>
    <mergeCell ref="H321:I321"/>
    <mergeCell ref="J321:K321"/>
    <mergeCell ref="L321:M321"/>
    <mergeCell ref="A318:D318"/>
    <mergeCell ref="F318:G318"/>
    <mergeCell ref="H318:I318"/>
    <mergeCell ref="J318:K318"/>
    <mergeCell ref="L318:M318"/>
    <mergeCell ref="A319:D319"/>
    <mergeCell ref="F319:G319"/>
    <mergeCell ref="H319:I319"/>
    <mergeCell ref="J319:K319"/>
    <mergeCell ref="L319:M319"/>
    <mergeCell ref="A328:B328"/>
    <mergeCell ref="C328:D328"/>
    <mergeCell ref="E328:G328"/>
    <mergeCell ref="H328:I328"/>
    <mergeCell ref="J328:K328"/>
    <mergeCell ref="L328:M328"/>
    <mergeCell ref="A326:D326"/>
    <mergeCell ref="F326:G326"/>
    <mergeCell ref="H326:I326"/>
    <mergeCell ref="J326:K326"/>
    <mergeCell ref="L326:M326"/>
    <mergeCell ref="A327:M327"/>
    <mergeCell ref="A324:D324"/>
    <mergeCell ref="F324:G324"/>
    <mergeCell ref="H324:I324"/>
    <mergeCell ref="J324:K324"/>
    <mergeCell ref="L324:M324"/>
    <mergeCell ref="A325:D325"/>
    <mergeCell ref="F325:G325"/>
    <mergeCell ref="H325:I325"/>
    <mergeCell ref="J325:K325"/>
    <mergeCell ref="L325:M325"/>
    <mergeCell ref="A331:M331"/>
    <mergeCell ref="A332:M332"/>
    <mergeCell ref="A333:M333"/>
    <mergeCell ref="A334:M334"/>
    <mergeCell ref="A335:M335"/>
    <mergeCell ref="A336:M336"/>
    <mergeCell ref="A330:B330"/>
    <mergeCell ref="C330:D330"/>
    <mergeCell ref="E330:G330"/>
    <mergeCell ref="H330:I330"/>
    <mergeCell ref="J330:K330"/>
    <mergeCell ref="L330:M330"/>
    <mergeCell ref="A329:B329"/>
    <mergeCell ref="C329:D329"/>
    <mergeCell ref="E329:G329"/>
    <mergeCell ref="H329:I329"/>
    <mergeCell ref="J329:K329"/>
    <mergeCell ref="L329:M329"/>
    <mergeCell ref="A349:M349"/>
    <mergeCell ref="A350:M350"/>
    <mergeCell ref="A351:M351"/>
    <mergeCell ref="A352:M352"/>
    <mergeCell ref="A353:M353"/>
    <mergeCell ref="H355:J355"/>
    <mergeCell ref="K355:M355"/>
    <mergeCell ref="A343:M343"/>
    <mergeCell ref="A344:M344"/>
    <mergeCell ref="A345:M345"/>
    <mergeCell ref="A346:M346"/>
    <mergeCell ref="A347:M347"/>
    <mergeCell ref="A348:M348"/>
    <mergeCell ref="A337:M337"/>
    <mergeCell ref="A338:M338"/>
    <mergeCell ref="A339:M339"/>
    <mergeCell ref="A340:M340"/>
    <mergeCell ref="A341:M341"/>
    <mergeCell ref="A342:M342"/>
    <mergeCell ref="A360:M360"/>
    <mergeCell ref="A361:D361"/>
    <mergeCell ref="F361:G361"/>
    <mergeCell ref="H361:I361"/>
    <mergeCell ref="J361:K361"/>
    <mergeCell ref="L361:M361"/>
    <mergeCell ref="A358:C358"/>
    <mergeCell ref="D358:G358"/>
    <mergeCell ref="H358:J358"/>
    <mergeCell ref="K358:M358"/>
    <mergeCell ref="A359:C359"/>
    <mergeCell ref="D359:G359"/>
    <mergeCell ref="H359:J359"/>
    <mergeCell ref="K359:M359"/>
    <mergeCell ref="A356:C356"/>
    <mergeCell ref="D356:G356"/>
    <mergeCell ref="H356:J356"/>
    <mergeCell ref="K356:M356"/>
    <mergeCell ref="D357:E357"/>
    <mergeCell ref="K357:L357"/>
    <mergeCell ref="A366:D366"/>
    <mergeCell ref="F366:G366"/>
    <mergeCell ref="H366:I366"/>
    <mergeCell ref="J366:K366"/>
    <mergeCell ref="L366:M366"/>
    <mergeCell ref="A367:M367"/>
    <mergeCell ref="A364:D364"/>
    <mergeCell ref="F364:G364"/>
    <mergeCell ref="H364:I364"/>
    <mergeCell ref="J364:K364"/>
    <mergeCell ref="L364:M364"/>
    <mergeCell ref="A365:D365"/>
    <mergeCell ref="F365:G365"/>
    <mergeCell ref="H365:I365"/>
    <mergeCell ref="J365:K365"/>
    <mergeCell ref="L365:M365"/>
    <mergeCell ref="A362:D362"/>
    <mergeCell ref="F362:G362"/>
    <mergeCell ref="H362:I362"/>
    <mergeCell ref="J362:K362"/>
    <mergeCell ref="L362:M362"/>
    <mergeCell ref="A363:D363"/>
    <mergeCell ref="F363:G363"/>
    <mergeCell ref="H363:I363"/>
    <mergeCell ref="J363:K363"/>
    <mergeCell ref="L363:M363"/>
    <mergeCell ref="A372:B372"/>
    <mergeCell ref="C372:D372"/>
    <mergeCell ref="E372:G372"/>
    <mergeCell ref="H372:I372"/>
    <mergeCell ref="J372:K372"/>
    <mergeCell ref="L372:M372"/>
    <mergeCell ref="A370:D370"/>
    <mergeCell ref="F370:G370"/>
    <mergeCell ref="H370:I370"/>
    <mergeCell ref="J370:K370"/>
    <mergeCell ref="L370:M370"/>
    <mergeCell ref="A371:M371"/>
    <mergeCell ref="A368:D368"/>
    <mergeCell ref="F368:G368"/>
    <mergeCell ref="H368:I368"/>
    <mergeCell ref="J368:K368"/>
    <mergeCell ref="L368:M368"/>
    <mergeCell ref="A369:D369"/>
    <mergeCell ref="F369:G369"/>
    <mergeCell ref="H369:I369"/>
    <mergeCell ref="J369:K369"/>
    <mergeCell ref="L369:M369"/>
    <mergeCell ref="A375:M375"/>
    <mergeCell ref="A376:M376"/>
    <mergeCell ref="A377:M377"/>
    <mergeCell ref="A378:M378"/>
    <mergeCell ref="A379:M379"/>
    <mergeCell ref="A380:M380"/>
    <mergeCell ref="A374:B374"/>
    <mergeCell ref="C374:D374"/>
    <mergeCell ref="E374:G374"/>
    <mergeCell ref="H374:I374"/>
    <mergeCell ref="J374:K374"/>
    <mergeCell ref="L374:M374"/>
    <mergeCell ref="A373:B373"/>
    <mergeCell ref="C373:D373"/>
    <mergeCell ref="E373:G373"/>
    <mergeCell ref="H373:I373"/>
    <mergeCell ref="J373:K373"/>
    <mergeCell ref="L373:M373"/>
    <mergeCell ref="A393:M393"/>
    <mergeCell ref="A394:M394"/>
    <mergeCell ref="A395:M395"/>
    <mergeCell ref="A396:M396"/>
    <mergeCell ref="A397:M397"/>
    <mergeCell ref="H399:J399"/>
    <mergeCell ref="K399:M399"/>
    <mergeCell ref="A387:M387"/>
    <mergeCell ref="A388:M388"/>
    <mergeCell ref="A389:M389"/>
    <mergeCell ref="A390:M390"/>
    <mergeCell ref="A391:M391"/>
    <mergeCell ref="A392:M392"/>
    <mergeCell ref="A381:M381"/>
    <mergeCell ref="A382:M382"/>
    <mergeCell ref="A383:M383"/>
    <mergeCell ref="A384:M384"/>
    <mergeCell ref="A385:M385"/>
    <mergeCell ref="A386:M386"/>
    <mergeCell ref="A404:M404"/>
    <mergeCell ref="A405:D405"/>
    <mergeCell ref="F405:G405"/>
    <mergeCell ref="H405:I405"/>
    <mergeCell ref="J405:K405"/>
    <mergeCell ref="L405:M405"/>
    <mergeCell ref="A402:C402"/>
    <mergeCell ref="D402:G402"/>
    <mergeCell ref="H402:J402"/>
    <mergeCell ref="K402:M402"/>
    <mergeCell ref="A403:C403"/>
    <mergeCell ref="D403:G403"/>
    <mergeCell ref="H403:J403"/>
    <mergeCell ref="K403:M403"/>
    <mergeCell ref="A400:C400"/>
    <mergeCell ref="D400:G400"/>
    <mergeCell ref="H400:J400"/>
    <mergeCell ref="K400:M400"/>
    <mergeCell ref="D401:E401"/>
    <mergeCell ref="K401:L401"/>
    <mergeCell ref="A410:D410"/>
    <mergeCell ref="F410:G410"/>
    <mergeCell ref="H410:I410"/>
    <mergeCell ref="J410:K410"/>
    <mergeCell ref="L410:M410"/>
    <mergeCell ref="A411:M411"/>
    <mergeCell ref="A408:D408"/>
    <mergeCell ref="F408:G408"/>
    <mergeCell ref="H408:I408"/>
    <mergeCell ref="J408:K408"/>
    <mergeCell ref="L408:M408"/>
    <mergeCell ref="A409:D409"/>
    <mergeCell ref="F409:G409"/>
    <mergeCell ref="H409:I409"/>
    <mergeCell ref="J409:K409"/>
    <mergeCell ref="L409:M409"/>
    <mergeCell ref="A406:D406"/>
    <mergeCell ref="F406:G406"/>
    <mergeCell ref="H406:I406"/>
    <mergeCell ref="J406:K406"/>
    <mergeCell ref="L406:M406"/>
    <mergeCell ref="A407:D407"/>
    <mergeCell ref="F407:G407"/>
    <mergeCell ref="H407:I407"/>
    <mergeCell ref="J407:K407"/>
    <mergeCell ref="L407:M407"/>
    <mergeCell ref="A416:B416"/>
    <mergeCell ref="C416:D416"/>
    <mergeCell ref="E416:G416"/>
    <mergeCell ref="H416:I416"/>
    <mergeCell ref="J416:K416"/>
    <mergeCell ref="L416:M416"/>
    <mergeCell ref="A414:D414"/>
    <mergeCell ref="F414:G414"/>
    <mergeCell ref="H414:I414"/>
    <mergeCell ref="J414:K414"/>
    <mergeCell ref="L414:M414"/>
    <mergeCell ref="A415:M415"/>
    <mergeCell ref="A412:D412"/>
    <mergeCell ref="F412:G412"/>
    <mergeCell ref="H412:I412"/>
    <mergeCell ref="J412:K412"/>
    <mergeCell ref="L412:M412"/>
    <mergeCell ref="A413:D413"/>
    <mergeCell ref="F413:G413"/>
    <mergeCell ref="H413:I413"/>
    <mergeCell ref="J413:K413"/>
    <mergeCell ref="L413:M413"/>
    <mergeCell ref="A419:M419"/>
    <mergeCell ref="A420:M420"/>
    <mergeCell ref="A421:M421"/>
    <mergeCell ref="A422:M422"/>
    <mergeCell ref="A423:M423"/>
    <mergeCell ref="A424:M424"/>
    <mergeCell ref="A418:B418"/>
    <mergeCell ref="C418:D418"/>
    <mergeCell ref="E418:G418"/>
    <mergeCell ref="H418:I418"/>
    <mergeCell ref="J418:K418"/>
    <mergeCell ref="L418:M418"/>
    <mergeCell ref="A417:B417"/>
    <mergeCell ref="C417:D417"/>
    <mergeCell ref="E417:G417"/>
    <mergeCell ref="H417:I417"/>
    <mergeCell ref="J417:K417"/>
    <mergeCell ref="L417:M417"/>
    <mergeCell ref="A437:M437"/>
    <mergeCell ref="A438:M438"/>
    <mergeCell ref="A439:M439"/>
    <mergeCell ref="A440:M440"/>
    <mergeCell ref="A441:M441"/>
    <mergeCell ref="H443:J443"/>
    <mergeCell ref="K443:M443"/>
    <mergeCell ref="A431:M431"/>
    <mergeCell ref="A432:M432"/>
    <mergeCell ref="A433:M433"/>
    <mergeCell ref="A434:M434"/>
    <mergeCell ref="A435:M435"/>
    <mergeCell ref="A436:M436"/>
    <mergeCell ref="A425:M425"/>
    <mergeCell ref="A426:M426"/>
    <mergeCell ref="A427:M427"/>
    <mergeCell ref="A428:M428"/>
    <mergeCell ref="A429:M429"/>
    <mergeCell ref="A430:M430"/>
    <mergeCell ref="A448:M448"/>
    <mergeCell ref="A449:D449"/>
    <mergeCell ref="F449:G449"/>
    <mergeCell ref="H449:I449"/>
    <mergeCell ref="J449:K449"/>
    <mergeCell ref="L449:M449"/>
    <mergeCell ref="A446:C446"/>
    <mergeCell ref="D446:G446"/>
    <mergeCell ref="H446:J446"/>
    <mergeCell ref="K446:M446"/>
    <mergeCell ref="A447:C447"/>
    <mergeCell ref="D447:G447"/>
    <mergeCell ref="H447:J447"/>
    <mergeCell ref="K447:M447"/>
    <mergeCell ref="A444:C444"/>
    <mergeCell ref="D444:G444"/>
    <mergeCell ref="H444:J444"/>
    <mergeCell ref="K444:M444"/>
    <mergeCell ref="D445:E445"/>
    <mergeCell ref="K445:L445"/>
    <mergeCell ref="A454:D454"/>
    <mergeCell ref="F454:G454"/>
    <mergeCell ref="H454:I454"/>
    <mergeCell ref="J454:K454"/>
    <mergeCell ref="L454:M454"/>
    <mergeCell ref="A455:M455"/>
    <mergeCell ref="A452:D452"/>
    <mergeCell ref="F452:G452"/>
    <mergeCell ref="H452:I452"/>
    <mergeCell ref="J452:K452"/>
    <mergeCell ref="L452:M452"/>
    <mergeCell ref="A453:D453"/>
    <mergeCell ref="F453:G453"/>
    <mergeCell ref="H453:I453"/>
    <mergeCell ref="J453:K453"/>
    <mergeCell ref="L453:M453"/>
    <mergeCell ref="A450:D450"/>
    <mergeCell ref="F450:G450"/>
    <mergeCell ref="H450:I450"/>
    <mergeCell ref="J450:K450"/>
    <mergeCell ref="L450:M450"/>
    <mergeCell ref="A451:D451"/>
    <mergeCell ref="F451:G451"/>
    <mergeCell ref="H451:I451"/>
    <mergeCell ref="J451:K451"/>
    <mergeCell ref="L451:M451"/>
    <mergeCell ref="A460:B460"/>
    <mergeCell ref="C460:D460"/>
    <mergeCell ref="E460:G460"/>
    <mergeCell ref="H460:I460"/>
    <mergeCell ref="J460:K460"/>
    <mergeCell ref="L460:M460"/>
    <mergeCell ref="A458:D458"/>
    <mergeCell ref="F458:G458"/>
    <mergeCell ref="H458:I458"/>
    <mergeCell ref="J458:K458"/>
    <mergeCell ref="L458:M458"/>
    <mergeCell ref="A459:M459"/>
    <mergeCell ref="A456:D456"/>
    <mergeCell ref="F456:G456"/>
    <mergeCell ref="H456:I456"/>
    <mergeCell ref="J456:K456"/>
    <mergeCell ref="L456:M456"/>
    <mergeCell ref="A457:D457"/>
    <mergeCell ref="F457:G457"/>
    <mergeCell ref="H457:I457"/>
    <mergeCell ref="J457:K457"/>
    <mergeCell ref="L457:M457"/>
    <mergeCell ref="A463:M463"/>
    <mergeCell ref="A464:M464"/>
    <mergeCell ref="A465:M465"/>
    <mergeCell ref="A466:M466"/>
    <mergeCell ref="A467:M467"/>
    <mergeCell ref="A468:M468"/>
    <mergeCell ref="A462:B462"/>
    <mergeCell ref="C462:D462"/>
    <mergeCell ref="E462:G462"/>
    <mergeCell ref="H462:I462"/>
    <mergeCell ref="J462:K462"/>
    <mergeCell ref="L462:M462"/>
    <mergeCell ref="A461:B461"/>
    <mergeCell ref="C461:D461"/>
    <mergeCell ref="E461:G461"/>
    <mergeCell ref="H461:I461"/>
    <mergeCell ref="J461:K461"/>
    <mergeCell ref="L461:M461"/>
    <mergeCell ref="A481:M481"/>
    <mergeCell ref="A482:M482"/>
    <mergeCell ref="A483:M483"/>
    <mergeCell ref="A484:M484"/>
    <mergeCell ref="A485:M485"/>
    <mergeCell ref="H487:J487"/>
    <mergeCell ref="K487:M487"/>
    <mergeCell ref="A475:M475"/>
    <mergeCell ref="A476:M476"/>
    <mergeCell ref="A477:M477"/>
    <mergeCell ref="A478:M478"/>
    <mergeCell ref="A479:M479"/>
    <mergeCell ref="A480:M480"/>
    <mergeCell ref="A469:M469"/>
    <mergeCell ref="A470:M470"/>
    <mergeCell ref="A471:M471"/>
    <mergeCell ref="A472:M472"/>
    <mergeCell ref="A473:M473"/>
    <mergeCell ref="A474:M474"/>
    <mergeCell ref="A492:M492"/>
    <mergeCell ref="A493:D493"/>
    <mergeCell ref="F493:G493"/>
    <mergeCell ref="H493:I493"/>
    <mergeCell ref="J493:K493"/>
    <mergeCell ref="L493:M493"/>
    <mergeCell ref="A490:C490"/>
    <mergeCell ref="D490:G490"/>
    <mergeCell ref="H490:J490"/>
    <mergeCell ref="K490:M490"/>
    <mergeCell ref="A491:C491"/>
    <mergeCell ref="D491:G491"/>
    <mergeCell ref="H491:J491"/>
    <mergeCell ref="K491:M491"/>
    <mergeCell ref="A488:C488"/>
    <mergeCell ref="D488:G488"/>
    <mergeCell ref="H488:J488"/>
    <mergeCell ref="K488:M488"/>
    <mergeCell ref="D489:E489"/>
    <mergeCell ref="K489:L489"/>
    <mergeCell ref="A498:D498"/>
    <mergeCell ref="F498:G498"/>
    <mergeCell ref="H498:I498"/>
    <mergeCell ref="J498:K498"/>
    <mergeCell ref="L498:M498"/>
    <mergeCell ref="A499:M499"/>
    <mergeCell ref="A496:D496"/>
    <mergeCell ref="F496:G496"/>
    <mergeCell ref="H496:I496"/>
    <mergeCell ref="J496:K496"/>
    <mergeCell ref="L496:M496"/>
    <mergeCell ref="A497:D497"/>
    <mergeCell ref="F497:G497"/>
    <mergeCell ref="H497:I497"/>
    <mergeCell ref="J497:K497"/>
    <mergeCell ref="L497:M497"/>
    <mergeCell ref="A494:D494"/>
    <mergeCell ref="F494:G494"/>
    <mergeCell ref="H494:I494"/>
    <mergeCell ref="J494:K494"/>
    <mergeCell ref="L494:M494"/>
    <mergeCell ref="A495:D495"/>
    <mergeCell ref="F495:G495"/>
    <mergeCell ref="H495:I495"/>
    <mergeCell ref="J495:K495"/>
    <mergeCell ref="L495:M495"/>
    <mergeCell ref="A504:B504"/>
    <mergeCell ref="C504:D504"/>
    <mergeCell ref="E504:G504"/>
    <mergeCell ref="H504:I504"/>
    <mergeCell ref="J504:K504"/>
    <mergeCell ref="L504:M504"/>
    <mergeCell ref="A502:D502"/>
    <mergeCell ref="F502:G502"/>
    <mergeCell ref="H502:I502"/>
    <mergeCell ref="J502:K502"/>
    <mergeCell ref="L502:M502"/>
    <mergeCell ref="A503:M503"/>
    <mergeCell ref="A500:D500"/>
    <mergeCell ref="F500:G500"/>
    <mergeCell ref="H500:I500"/>
    <mergeCell ref="J500:K500"/>
    <mergeCell ref="L500:M500"/>
    <mergeCell ref="A501:D501"/>
    <mergeCell ref="F501:G501"/>
    <mergeCell ref="H501:I501"/>
    <mergeCell ref="J501:K501"/>
    <mergeCell ref="L501:M501"/>
    <mergeCell ref="A507:M507"/>
    <mergeCell ref="A508:M508"/>
    <mergeCell ref="A509:M509"/>
    <mergeCell ref="A510:M510"/>
    <mergeCell ref="A511:M511"/>
    <mergeCell ref="A512:M512"/>
    <mergeCell ref="A506:B506"/>
    <mergeCell ref="C506:D506"/>
    <mergeCell ref="E506:G506"/>
    <mergeCell ref="H506:I506"/>
    <mergeCell ref="J506:K506"/>
    <mergeCell ref="L506:M506"/>
    <mergeCell ref="A505:B505"/>
    <mergeCell ref="C505:D505"/>
    <mergeCell ref="E505:G505"/>
    <mergeCell ref="H505:I505"/>
    <mergeCell ref="J505:K505"/>
    <mergeCell ref="L505:M505"/>
    <mergeCell ref="A525:M525"/>
    <mergeCell ref="A526:M526"/>
    <mergeCell ref="A527:M527"/>
    <mergeCell ref="A528:M528"/>
    <mergeCell ref="A529:M529"/>
    <mergeCell ref="H531:J531"/>
    <mergeCell ref="K531:M531"/>
    <mergeCell ref="A519:M519"/>
    <mergeCell ref="A520:M520"/>
    <mergeCell ref="A521:M521"/>
    <mergeCell ref="A522:M522"/>
    <mergeCell ref="A523:M523"/>
    <mergeCell ref="A524:M524"/>
    <mergeCell ref="A513:M513"/>
    <mergeCell ref="A514:M514"/>
    <mergeCell ref="A515:M515"/>
    <mergeCell ref="A516:M516"/>
    <mergeCell ref="A517:M517"/>
    <mergeCell ref="A518:M518"/>
    <mergeCell ref="A536:M536"/>
    <mergeCell ref="A537:D537"/>
    <mergeCell ref="F537:G537"/>
    <mergeCell ref="H537:I537"/>
    <mergeCell ref="J537:K537"/>
    <mergeCell ref="L537:M537"/>
    <mergeCell ref="A534:C534"/>
    <mergeCell ref="D534:G534"/>
    <mergeCell ref="H534:J534"/>
    <mergeCell ref="K534:M534"/>
    <mergeCell ref="A535:C535"/>
    <mergeCell ref="D535:G535"/>
    <mergeCell ref="H535:J535"/>
    <mergeCell ref="K535:M535"/>
    <mergeCell ref="A532:C532"/>
    <mergeCell ref="D532:G532"/>
    <mergeCell ref="H532:J532"/>
    <mergeCell ref="K532:M532"/>
    <mergeCell ref="D533:E533"/>
    <mergeCell ref="K533:L533"/>
    <mergeCell ref="A542:D542"/>
    <mergeCell ref="F542:G542"/>
    <mergeCell ref="H542:I542"/>
    <mergeCell ref="J542:K542"/>
    <mergeCell ref="L542:M542"/>
    <mergeCell ref="A543:M543"/>
    <mergeCell ref="A540:D540"/>
    <mergeCell ref="F540:G540"/>
    <mergeCell ref="H540:I540"/>
    <mergeCell ref="J540:K540"/>
    <mergeCell ref="L540:M540"/>
    <mergeCell ref="A541:D541"/>
    <mergeCell ref="F541:G541"/>
    <mergeCell ref="H541:I541"/>
    <mergeCell ref="J541:K541"/>
    <mergeCell ref="L541:M541"/>
    <mergeCell ref="A538:D538"/>
    <mergeCell ref="F538:G538"/>
    <mergeCell ref="H538:I538"/>
    <mergeCell ref="J538:K538"/>
    <mergeCell ref="L538:M538"/>
    <mergeCell ref="A539:D539"/>
    <mergeCell ref="F539:G539"/>
    <mergeCell ref="H539:I539"/>
    <mergeCell ref="J539:K539"/>
    <mergeCell ref="L539:M539"/>
    <mergeCell ref="A548:B548"/>
    <mergeCell ref="C548:D548"/>
    <mergeCell ref="E548:G548"/>
    <mergeCell ref="H548:I548"/>
    <mergeCell ref="J548:K548"/>
    <mergeCell ref="L548:M548"/>
    <mergeCell ref="A546:D546"/>
    <mergeCell ref="F546:G546"/>
    <mergeCell ref="H546:I546"/>
    <mergeCell ref="J546:K546"/>
    <mergeCell ref="L546:M546"/>
    <mergeCell ref="A547:M547"/>
    <mergeCell ref="A544:D544"/>
    <mergeCell ref="F544:G544"/>
    <mergeCell ref="H544:I544"/>
    <mergeCell ref="J544:K544"/>
    <mergeCell ref="L544:M544"/>
    <mergeCell ref="A545:D545"/>
    <mergeCell ref="F545:G545"/>
    <mergeCell ref="H545:I545"/>
    <mergeCell ref="J545:K545"/>
    <mergeCell ref="L545:M545"/>
    <mergeCell ref="A551:M551"/>
    <mergeCell ref="A552:M552"/>
    <mergeCell ref="A553:M553"/>
    <mergeCell ref="A554:M554"/>
    <mergeCell ref="A555:M555"/>
    <mergeCell ref="A556:M556"/>
    <mergeCell ref="A550:B550"/>
    <mergeCell ref="C550:D550"/>
    <mergeCell ref="E550:G550"/>
    <mergeCell ref="H550:I550"/>
    <mergeCell ref="J550:K550"/>
    <mergeCell ref="L550:M550"/>
    <mergeCell ref="A549:B549"/>
    <mergeCell ref="C549:D549"/>
    <mergeCell ref="E549:G549"/>
    <mergeCell ref="H549:I549"/>
    <mergeCell ref="J549:K549"/>
    <mergeCell ref="L549:M549"/>
    <mergeCell ref="A569:M569"/>
    <mergeCell ref="A570:M570"/>
    <mergeCell ref="A571:M571"/>
    <mergeCell ref="A572:M572"/>
    <mergeCell ref="A573:M573"/>
    <mergeCell ref="H575:J575"/>
    <mergeCell ref="K575:M575"/>
    <mergeCell ref="A563:M563"/>
    <mergeCell ref="A564:M564"/>
    <mergeCell ref="A565:M565"/>
    <mergeCell ref="A566:M566"/>
    <mergeCell ref="A567:M567"/>
    <mergeCell ref="A568:M568"/>
    <mergeCell ref="A557:M557"/>
    <mergeCell ref="A558:M558"/>
    <mergeCell ref="A559:M559"/>
    <mergeCell ref="A560:M560"/>
    <mergeCell ref="A561:M561"/>
    <mergeCell ref="A562:M562"/>
    <mergeCell ref="A580:M580"/>
    <mergeCell ref="A581:D581"/>
    <mergeCell ref="F581:G581"/>
    <mergeCell ref="H581:I581"/>
    <mergeCell ref="J581:K581"/>
    <mergeCell ref="L581:M581"/>
    <mergeCell ref="A578:C578"/>
    <mergeCell ref="D578:G578"/>
    <mergeCell ref="H578:J578"/>
    <mergeCell ref="K578:M578"/>
    <mergeCell ref="A579:C579"/>
    <mergeCell ref="D579:G579"/>
    <mergeCell ref="H579:J579"/>
    <mergeCell ref="K579:M579"/>
    <mergeCell ref="A576:C576"/>
    <mergeCell ref="D576:G576"/>
    <mergeCell ref="H576:J576"/>
    <mergeCell ref="K576:M576"/>
    <mergeCell ref="D577:E577"/>
    <mergeCell ref="K577:L577"/>
    <mergeCell ref="A586:D586"/>
    <mergeCell ref="F586:G586"/>
    <mergeCell ref="H586:I586"/>
    <mergeCell ref="J586:K586"/>
    <mergeCell ref="L586:M586"/>
    <mergeCell ref="A587:M587"/>
    <mergeCell ref="A584:D584"/>
    <mergeCell ref="F584:G584"/>
    <mergeCell ref="H584:I584"/>
    <mergeCell ref="J584:K584"/>
    <mergeCell ref="L584:M584"/>
    <mergeCell ref="A585:D585"/>
    <mergeCell ref="F585:G585"/>
    <mergeCell ref="H585:I585"/>
    <mergeCell ref="J585:K585"/>
    <mergeCell ref="L585:M585"/>
    <mergeCell ref="A582:D582"/>
    <mergeCell ref="F582:G582"/>
    <mergeCell ref="H582:I582"/>
    <mergeCell ref="J582:K582"/>
    <mergeCell ref="L582:M582"/>
    <mergeCell ref="A583:D583"/>
    <mergeCell ref="F583:G583"/>
    <mergeCell ref="H583:I583"/>
    <mergeCell ref="J583:K583"/>
    <mergeCell ref="L583:M583"/>
    <mergeCell ref="A592:B592"/>
    <mergeCell ref="C592:D592"/>
    <mergeCell ref="E592:G592"/>
    <mergeCell ref="H592:I592"/>
    <mergeCell ref="J592:K592"/>
    <mergeCell ref="L592:M592"/>
    <mergeCell ref="A590:D590"/>
    <mergeCell ref="F590:G590"/>
    <mergeCell ref="H590:I590"/>
    <mergeCell ref="J590:K590"/>
    <mergeCell ref="L590:M590"/>
    <mergeCell ref="A591:M591"/>
    <mergeCell ref="A588:D588"/>
    <mergeCell ref="F588:G588"/>
    <mergeCell ref="H588:I588"/>
    <mergeCell ref="J588:K588"/>
    <mergeCell ref="L588:M588"/>
    <mergeCell ref="A589:D589"/>
    <mergeCell ref="F589:G589"/>
    <mergeCell ref="H589:I589"/>
    <mergeCell ref="J589:K589"/>
    <mergeCell ref="L589:M589"/>
    <mergeCell ref="A595:M595"/>
    <mergeCell ref="A596:M596"/>
    <mergeCell ref="A597:M597"/>
    <mergeCell ref="A598:M598"/>
    <mergeCell ref="A599:M599"/>
    <mergeCell ref="A600:M600"/>
    <mergeCell ref="A594:B594"/>
    <mergeCell ref="C594:D594"/>
    <mergeCell ref="E594:G594"/>
    <mergeCell ref="H594:I594"/>
    <mergeCell ref="J594:K594"/>
    <mergeCell ref="L594:M594"/>
    <mergeCell ref="A593:B593"/>
    <mergeCell ref="C593:D593"/>
    <mergeCell ref="E593:G593"/>
    <mergeCell ref="H593:I593"/>
    <mergeCell ref="J593:K593"/>
    <mergeCell ref="L593:M593"/>
    <mergeCell ref="A613:M613"/>
    <mergeCell ref="A614:M614"/>
    <mergeCell ref="A615:M615"/>
    <mergeCell ref="A616:M616"/>
    <mergeCell ref="A617:M617"/>
    <mergeCell ref="H619:J619"/>
    <mergeCell ref="K619:M619"/>
    <mergeCell ref="A607:M607"/>
    <mergeCell ref="A608:M608"/>
    <mergeCell ref="A609:M609"/>
    <mergeCell ref="A610:M610"/>
    <mergeCell ref="A611:M611"/>
    <mergeCell ref="A612:M612"/>
    <mergeCell ref="A601:M601"/>
    <mergeCell ref="A602:M602"/>
    <mergeCell ref="A603:M603"/>
    <mergeCell ref="A604:M604"/>
    <mergeCell ref="A605:M605"/>
    <mergeCell ref="A606:M606"/>
    <mergeCell ref="A624:M624"/>
    <mergeCell ref="A625:D625"/>
    <mergeCell ref="F625:G625"/>
    <mergeCell ref="H625:I625"/>
    <mergeCell ref="J625:K625"/>
    <mergeCell ref="L625:M625"/>
    <mergeCell ref="A622:C622"/>
    <mergeCell ref="D622:G622"/>
    <mergeCell ref="H622:J622"/>
    <mergeCell ref="K622:M622"/>
    <mergeCell ref="A623:C623"/>
    <mergeCell ref="D623:G623"/>
    <mergeCell ref="H623:J623"/>
    <mergeCell ref="K623:M623"/>
    <mergeCell ref="A620:C620"/>
    <mergeCell ref="D620:G620"/>
    <mergeCell ref="H620:J620"/>
    <mergeCell ref="K620:M620"/>
    <mergeCell ref="D621:E621"/>
    <mergeCell ref="K621:L621"/>
    <mergeCell ref="A630:D630"/>
    <mergeCell ref="F630:G630"/>
    <mergeCell ref="H630:I630"/>
    <mergeCell ref="J630:K630"/>
    <mergeCell ref="L630:M630"/>
    <mergeCell ref="A631:M631"/>
    <mergeCell ref="A628:D628"/>
    <mergeCell ref="F628:G628"/>
    <mergeCell ref="H628:I628"/>
    <mergeCell ref="J628:K628"/>
    <mergeCell ref="L628:M628"/>
    <mergeCell ref="A629:D629"/>
    <mergeCell ref="F629:G629"/>
    <mergeCell ref="H629:I629"/>
    <mergeCell ref="J629:K629"/>
    <mergeCell ref="L629:M629"/>
    <mergeCell ref="A626:D626"/>
    <mergeCell ref="F626:G626"/>
    <mergeCell ref="H626:I626"/>
    <mergeCell ref="J626:K626"/>
    <mergeCell ref="L626:M626"/>
    <mergeCell ref="A627:D627"/>
    <mergeCell ref="F627:G627"/>
    <mergeCell ref="H627:I627"/>
    <mergeCell ref="J627:K627"/>
    <mergeCell ref="L627:M627"/>
    <mergeCell ref="A636:B636"/>
    <mergeCell ref="C636:D636"/>
    <mergeCell ref="E636:G636"/>
    <mergeCell ref="H636:I636"/>
    <mergeCell ref="J636:K636"/>
    <mergeCell ref="L636:M636"/>
    <mergeCell ref="A634:D634"/>
    <mergeCell ref="F634:G634"/>
    <mergeCell ref="H634:I634"/>
    <mergeCell ref="J634:K634"/>
    <mergeCell ref="L634:M634"/>
    <mergeCell ref="A635:M635"/>
    <mergeCell ref="A632:D632"/>
    <mergeCell ref="F632:G632"/>
    <mergeCell ref="H632:I632"/>
    <mergeCell ref="J632:K632"/>
    <mergeCell ref="L632:M632"/>
    <mergeCell ref="A633:D633"/>
    <mergeCell ref="F633:G633"/>
    <mergeCell ref="H633:I633"/>
    <mergeCell ref="J633:K633"/>
    <mergeCell ref="L633:M633"/>
    <mergeCell ref="A639:M639"/>
    <mergeCell ref="A640:M640"/>
    <mergeCell ref="A641:M641"/>
    <mergeCell ref="A642:M642"/>
    <mergeCell ref="A643:M643"/>
    <mergeCell ref="A644:M644"/>
    <mergeCell ref="A638:B638"/>
    <mergeCell ref="C638:D638"/>
    <mergeCell ref="E638:G638"/>
    <mergeCell ref="H638:I638"/>
    <mergeCell ref="J638:K638"/>
    <mergeCell ref="L638:M638"/>
    <mergeCell ref="A637:B637"/>
    <mergeCell ref="C637:D637"/>
    <mergeCell ref="E637:G637"/>
    <mergeCell ref="H637:I637"/>
    <mergeCell ref="J637:K637"/>
    <mergeCell ref="L637:M637"/>
    <mergeCell ref="A657:M657"/>
    <mergeCell ref="A658:M658"/>
    <mergeCell ref="A659:M659"/>
    <mergeCell ref="A660:M660"/>
    <mergeCell ref="A661:M661"/>
    <mergeCell ref="H663:J663"/>
    <mergeCell ref="K663:M663"/>
    <mergeCell ref="A651:M651"/>
    <mergeCell ref="A652:M652"/>
    <mergeCell ref="A653:M653"/>
    <mergeCell ref="A654:M654"/>
    <mergeCell ref="A655:M655"/>
    <mergeCell ref="A656:M656"/>
    <mergeCell ref="A645:M645"/>
    <mergeCell ref="A646:M646"/>
    <mergeCell ref="A647:M647"/>
    <mergeCell ref="A648:M648"/>
    <mergeCell ref="A649:M649"/>
    <mergeCell ref="A650:M650"/>
    <mergeCell ref="A668:M668"/>
    <mergeCell ref="A669:D669"/>
    <mergeCell ref="F669:G669"/>
    <mergeCell ref="H669:I669"/>
    <mergeCell ref="J669:K669"/>
    <mergeCell ref="L669:M669"/>
    <mergeCell ref="A666:C666"/>
    <mergeCell ref="D666:G666"/>
    <mergeCell ref="H666:J666"/>
    <mergeCell ref="K666:M666"/>
    <mergeCell ref="A667:C667"/>
    <mergeCell ref="D667:G667"/>
    <mergeCell ref="H667:J667"/>
    <mergeCell ref="K667:M667"/>
    <mergeCell ref="A664:C664"/>
    <mergeCell ref="D664:G664"/>
    <mergeCell ref="H664:J664"/>
    <mergeCell ref="K664:M664"/>
    <mergeCell ref="D665:E665"/>
    <mergeCell ref="K665:L665"/>
    <mergeCell ref="A674:D674"/>
    <mergeCell ref="F674:G674"/>
    <mergeCell ref="H674:I674"/>
    <mergeCell ref="J674:K674"/>
    <mergeCell ref="L674:M674"/>
    <mergeCell ref="A675:M675"/>
    <mergeCell ref="A672:D672"/>
    <mergeCell ref="F672:G672"/>
    <mergeCell ref="H672:I672"/>
    <mergeCell ref="J672:K672"/>
    <mergeCell ref="L672:M672"/>
    <mergeCell ref="A673:D673"/>
    <mergeCell ref="F673:G673"/>
    <mergeCell ref="H673:I673"/>
    <mergeCell ref="J673:K673"/>
    <mergeCell ref="L673:M673"/>
    <mergeCell ref="A670:D670"/>
    <mergeCell ref="F670:G670"/>
    <mergeCell ref="H670:I670"/>
    <mergeCell ref="J670:K670"/>
    <mergeCell ref="L670:M670"/>
    <mergeCell ref="A671:D671"/>
    <mergeCell ref="F671:G671"/>
    <mergeCell ref="H671:I671"/>
    <mergeCell ref="J671:K671"/>
    <mergeCell ref="L671:M671"/>
    <mergeCell ref="A680:B680"/>
    <mergeCell ref="C680:D680"/>
    <mergeCell ref="E680:G680"/>
    <mergeCell ref="H680:I680"/>
    <mergeCell ref="J680:K680"/>
    <mergeCell ref="L680:M680"/>
    <mergeCell ref="A678:D678"/>
    <mergeCell ref="F678:G678"/>
    <mergeCell ref="H678:I678"/>
    <mergeCell ref="J678:K678"/>
    <mergeCell ref="L678:M678"/>
    <mergeCell ref="A679:M679"/>
    <mergeCell ref="A676:D676"/>
    <mergeCell ref="F676:G676"/>
    <mergeCell ref="H676:I676"/>
    <mergeCell ref="J676:K676"/>
    <mergeCell ref="L676:M676"/>
    <mergeCell ref="A677:D677"/>
    <mergeCell ref="F677:G677"/>
    <mergeCell ref="H677:I677"/>
    <mergeCell ref="J677:K677"/>
    <mergeCell ref="L677:M677"/>
    <mergeCell ref="A683:M683"/>
    <mergeCell ref="A684:M684"/>
    <mergeCell ref="A685:M685"/>
    <mergeCell ref="A686:M686"/>
    <mergeCell ref="A687:M687"/>
    <mergeCell ref="A688:M688"/>
    <mergeCell ref="A682:B682"/>
    <mergeCell ref="C682:D682"/>
    <mergeCell ref="E682:G682"/>
    <mergeCell ref="H682:I682"/>
    <mergeCell ref="J682:K682"/>
    <mergeCell ref="L682:M682"/>
    <mergeCell ref="A681:B681"/>
    <mergeCell ref="C681:D681"/>
    <mergeCell ref="E681:G681"/>
    <mergeCell ref="H681:I681"/>
    <mergeCell ref="J681:K681"/>
    <mergeCell ref="L681:M681"/>
    <mergeCell ref="A701:M701"/>
    <mergeCell ref="A702:M702"/>
    <mergeCell ref="A703:M703"/>
    <mergeCell ref="A704:M704"/>
    <mergeCell ref="A705:M705"/>
    <mergeCell ref="H707:J707"/>
    <mergeCell ref="K707:M707"/>
    <mergeCell ref="A695:M695"/>
    <mergeCell ref="A696:M696"/>
    <mergeCell ref="A697:M697"/>
    <mergeCell ref="A698:M698"/>
    <mergeCell ref="A699:M699"/>
    <mergeCell ref="A700:M700"/>
    <mergeCell ref="A689:M689"/>
    <mergeCell ref="A690:M690"/>
    <mergeCell ref="A691:M691"/>
    <mergeCell ref="A692:M692"/>
    <mergeCell ref="A693:M693"/>
    <mergeCell ref="A694:M694"/>
    <mergeCell ref="A712:M712"/>
    <mergeCell ref="A713:D713"/>
    <mergeCell ref="F713:G713"/>
    <mergeCell ref="H713:I713"/>
    <mergeCell ref="J713:K713"/>
    <mergeCell ref="L713:M713"/>
    <mergeCell ref="A710:C710"/>
    <mergeCell ref="D710:G710"/>
    <mergeCell ref="H710:J710"/>
    <mergeCell ref="K710:M710"/>
    <mergeCell ref="A711:C711"/>
    <mergeCell ref="D711:G711"/>
    <mergeCell ref="H711:J711"/>
    <mergeCell ref="K711:M711"/>
    <mergeCell ref="A708:C708"/>
    <mergeCell ref="D708:G708"/>
    <mergeCell ref="H708:J708"/>
    <mergeCell ref="K708:M708"/>
    <mergeCell ref="D709:E709"/>
    <mergeCell ref="K709:L709"/>
    <mergeCell ref="A718:D718"/>
    <mergeCell ref="F718:G718"/>
    <mergeCell ref="H718:I718"/>
    <mergeCell ref="J718:K718"/>
    <mergeCell ref="L718:M718"/>
    <mergeCell ref="A719:M719"/>
    <mergeCell ref="A716:D716"/>
    <mergeCell ref="F716:G716"/>
    <mergeCell ref="H716:I716"/>
    <mergeCell ref="J716:K716"/>
    <mergeCell ref="L716:M716"/>
    <mergeCell ref="A717:D717"/>
    <mergeCell ref="F717:G717"/>
    <mergeCell ref="H717:I717"/>
    <mergeCell ref="J717:K717"/>
    <mergeCell ref="L717:M717"/>
    <mergeCell ref="A714:D714"/>
    <mergeCell ref="F714:G714"/>
    <mergeCell ref="H714:I714"/>
    <mergeCell ref="J714:K714"/>
    <mergeCell ref="L714:M714"/>
    <mergeCell ref="A715:D715"/>
    <mergeCell ref="F715:G715"/>
    <mergeCell ref="H715:I715"/>
    <mergeCell ref="J715:K715"/>
    <mergeCell ref="L715:M715"/>
    <mergeCell ref="A724:B724"/>
    <mergeCell ref="C724:D724"/>
    <mergeCell ref="E724:G724"/>
    <mergeCell ref="H724:I724"/>
    <mergeCell ref="J724:K724"/>
    <mergeCell ref="L724:M724"/>
    <mergeCell ref="A722:D722"/>
    <mergeCell ref="F722:G722"/>
    <mergeCell ref="H722:I722"/>
    <mergeCell ref="J722:K722"/>
    <mergeCell ref="L722:M722"/>
    <mergeCell ref="A723:M723"/>
    <mergeCell ref="A720:D720"/>
    <mergeCell ref="F720:G720"/>
    <mergeCell ref="H720:I720"/>
    <mergeCell ref="J720:K720"/>
    <mergeCell ref="L720:M720"/>
    <mergeCell ref="A721:D721"/>
    <mergeCell ref="F721:G721"/>
    <mergeCell ref="H721:I721"/>
    <mergeCell ref="J721:K721"/>
    <mergeCell ref="L721:M721"/>
    <mergeCell ref="A727:M727"/>
    <mergeCell ref="A728:M728"/>
    <mergeCell ref="A729:M729"/>
    <mergeCell ref="A730:M730"/>
    <mergeCell ref="A731:M731"/>
    <mergeCell ref="A732:M732"/>
    <mergeCell ref="A726:B726"/>
    <mergeCell ref="C726:D726"/>
    <mergeCell ref="E726:G726"/>
    <mergeCell ref="H726:I726"/>
    <mergeCell ref="J726:K726"/>
    <mergeCell ref="L726:M726"/>
    <mergeCell ref="A725:B725"/>
    <mergeCell ref="C725:D725"/>
    <mergeCell ref="E725:G725"/>
    <mergeCell ref="H725:I725"/>
    <mergeCell ref="J725:K725"/>
    <mergeCell ref="L725:M725"/>
    <mergeCell ref="A745:M745"/>
    <mergeCell ref="A746:M746"/>
    <mergeCell ref="A747:M747"/>
    <mergeCell ref="A748:M748"/>
    <mergeCell ref="A749:M749"/>
    <mergeCell ref="H751:J751"/>
    <mergeCell ref="K751:M751"/>
    <mergeCell ref="A739:M739"/>
    <mergeCell ref="A740:M740"/>
    <mergeCell ref="A741:M741"/>
    <mergeCell ref="A742:M742"/>
    <mergeCell ref="A743:M743"/>
    <mergeCell ref="A744:M744"/>
    <mergeCell ref="A733:M733"/>
    <mergeCell ref="A734:M734"/>
    <mergeCell ref="A735:M735"/>
    <mergeCell ref="A736:M736"/>
    <mergeCell ref="A737:M737"/>
    <mergeCell ref="A738:M738"/>
    <mergeCell ref="A756:M756"/>
    <mergeCell ref="A757:D757"/>
    <mergeCell ref="F757:G757"/>
    <mergeCell ref="H757:I757"/>
    <mergeCell ref="J757:K757"/>
    <mergeCell ref="L757:M757"/>
    <mergeCell ref="A754:C754"/>
    <mergeCell ref="D754:G754"/>
    <mergeCell ref="H754:J754"/>
    <mergeCell ref="K754:M754"/>
    <mergeCell ref="A755:C755"/>
    <mergeCell ref="D755:G755"/>
    <mergeCell ref="H755:J755"/>
    <mergeCell ref="K755:M755"/>
    <mergeCell ref="A752:C752"/>
    <mergeCell ref="D752:G752"/>
    <mergeCell ref="H752:J752"/>
    <mergeCell ref="K752:M752"/>
    <mergeCell ref="D753:E753"/>
    <mergeCell ref="K753:L753"/>
    <mergeCell ref="A762:D762"/>
    <mergeCell ref="F762:G762"/>
    <mergeCell ref="H762:I762"/>
    <mergeCell ref="J762:K762"/>
    <mergeCell ref="L762:M762"/>
    <mergeCell ref="A763:M763"/>
    <mergeCell ref="A760:D760"/>
    <mergeCell ref="F760:G760"/>
    <mergeCell ref="H760:I760"/>
    <mergeCell ref="J760:K760"/>
    <mergeCell ref="L760:M760"/>
    <mergeCell ref="A761:D761"/>
    <mergeCell ref="F761:G761"/>
    <mergeCell ref="H761:I761"/>
    <mergeCell ref="J761:K761"/>
    <mergeCell ref="L761:M761"/>
    <mergeCell ref="A758:D758"/>
    <mergeCell ref="F758:G758"/>
    <mergeCell ref="H758:I758"/>
    <mergeCell ref="J758:K758"/>
    <mergeCell ref="L758:M758"/>
    <mergeCell ref="A759:D759"/>
    <mergeCell ref="F759:G759"/>
    <mergeCell ref="H759:I759"/>
    <mergeCell ref="J759:K759"/>
    <mergeCell ref="L759:M759"/>
    <mergeCell ref="A768:B768"/>
    <mergeCell ref="C768:D768"/>
    <mergeCell ref="E768:G768"/>
    <mergeCell ref="H768:I768"/>
    <mergeCell ref="J768:K768"/>
    <mergeCell ref="L768:M768"/>
    <mergeCell ref="A766:D766"/>
    <mergeCell ref="F766:G766"/>
    <mergeCell ref="H766:I766"/>
    <mergeCell ref="J766:K766"/>
    <mergeCell ref="L766:M766"/>
    <mergeCell ref="A767:M767"/>
    <mergeCell ref="A764:D764"/>
    <mergeCell ref="F764:G764"/>
    <mergeCell ref="H764:I764"/>
    <mergeCell ref="J764:K764"/>
    <mergeCell ref="L764:M764"/>
    <mergeCell ref="A765:D765"/>
    <mergeCell ref="F765:G765"/>
    <mergeCell ref="H765:I765"/>
    <mergeCell ref="J765:K765"/>
    <mergeCell ref="L765:M765"/>
    <mergeCell ref="A771:M771"/>
    <mergeCell ref="A772:M772"/>
    <mergeCell ref="A773:M773"/>
    <mergeCell ref="A774:M774"/>
    <mergeCell ref="A775:M775"/>
    <mergeCell ref="A776:M776"/>
    <mergeCell ref="A770:B770"/>
    <mergeCell ref="C770:D770"/>
    <mergeCell ref="E770:G770"/>
    <mergeCell ref="H770:I770"/>
    <mergeCell ref="J770:K770"/>
    <mergeCell ref="L770:M770"/>
    <mergeCell ref="A769:B769"/>
    <mergeCell ref="C769:D769"/>
    <mergeCell ref="E769:G769"/>
    <mergeCell ref="H769:I769"/>
    <mergeCell ref="J769:K769"/>
    <mergeCell ref="L769:M769"/>
    <mergeCell ref="A789:M789"/>
    <mergeCell ref="A790:M790"/>
    <mergeCell ref="A791:M791"/>
    <mergeCell ref="A792:M792"/>
    <mergeCell ref="A793:M793"/>
    <mergeCell ref="H795:J795"/>
    <mergeCell ref="K795:M795"/>
    <mergeCell ref="A783:M783"/>
    <mergeCell ref="A784:M784"/>
    <mergeCell ref="A785:M785"/>
    <mergeCell ref="A786:M786"/>
    <mergeCell ref="A787:M787"/>
    <mergeCell ref="A788:M788"/>
    <mergeCell ref="A777:M777"/>
    <mergeCell ref="A778:M778"/>
    <mergeCell ref="A779:M779"/>
    <mergeCell ref="A780:M780"/>
    <mergeCell ref="A781:M781"/>
    <mergeCell ref="A782:M782"/>
    <mergeCell ref="A800:M800"/>
    <mergeCell ref="A801:D801"/>
    <mergeCell ref="F801:G801"/>
    <mergeCell ref="H801:I801"/>
    <mergeCell ref="J801:K801"/>
    <mergeCell ref="L801:M801"/>
    <mergeCell ref="A798:C798"/>
    <mergeCell ref="D798:G798"/>
    <mergeCell ref="H798:J798"/>
    <mergeCell ref="K798:M798"/>
    <mergeCell ref="A799:C799"/>
    <mergeCell ref="D799:G799"/>
    <mergeCell ref="H799:J799"/>
    <mergeCell ref="K799:M799"/>
    <mergeCell ref="A796:C796"/>
    <mergeCell ref="D796:G796"/>
    <mergeCell ref="H796:J796"/>
    <mergeCell ref="K796:M796"/>
    <mergeCell ref="D797:E797"/>
    <mergeCell ref="K797:L797"/>
    <mergeCell ref="A806:D806"/>
    <mergeCell ref="F806:G806"/>
    <mergeCell ref="H806:I806"/>
    <mergeCell ref="J806:K806"/>
    <mergeCell ref="L806:M806"/>
    <mergeCell ref="A807:M807"/>
    <mergeCell ref="A804:D804"/>
    <mergeCell ref="F804:G804"/>
    <mergeCell ref="H804:I804"/>
    <mergeCell ref="J804:K804"/>
    <mergeCell ref="L804:M804"/>
    <mergeCell ref="A805:D805"/>
    <mergeCell ref="F805:G805"/>
    <mergeCell ref="H805:I805"/>
    <mergeCell ref="J805:K805"/>
    <mergeCell ref="L805:M805"/>
    <mergeCell ref="A802:D802"/>
    <mergeCell ref="F802:G802"/>
    <mergeCell ref="H802:I802"/>
    <mergeCell ref="J802:K802"/>
    <mergeCell ref="L802:M802"/>
    <mergeCell ref="A803:D803"/>
    <mergeCell ref="F803:G803"/>
    <mergeCell ref="H803:I803"/>
    <mergeCell ref="J803:K803"/>
    <mergeCell ref="L803:M803"/>
    <mergeCell ref="A812:B812"/>
    <mergeCell ref="C812:D812"/>
    <mergeCell ref="E812:G812"/>
    <mergeCell ref="H812:I812"/>
    <mergeCell ref="J812:K812"/>
    <mergeCell ref="L812:M812"/>
    <mergeCell ref="A810:D810"/>
    <mergeCell ref="F810:G810"/>
    <mergeCell ref="H810:I810"/>
    <mergeCell ref="J810:K810"/>
    <mergeCell ref="L810:M810"/>
    <mergeCell ref="A811:M811"/>
    <mergeCell ref="A808:D808"/>
    <mergeCell ref="F808:G808"/>
    <mergeCell ref="H808:I808"/>
    <mergeCell ref="J808:K808"/>
    <mergeCell ref="L808:M808"/>
    <mergeCell ref="A809:D809"/>
    <mergeCell ref="F809:G809"/>
    <mergeCell ref="H809:I809"/>
    <mergeCell ref="J809:K809"/>
    <mergeCell ref="L809:M809"/>
    <mergeCell ref="A815:M815"/>
    <mergeCell ref="A816:M816"/>
    <mergeCell ref="A817:M817"/>
    <mergeCell ref="A818:M818"/>
    <mergeCell ref="A819:M819"/>
    <mergeCell ref="A820:M820"/>
    <mergeCell ref="A814:B814"/>
    <mergeCell ref="C814:D814"/>
    <mergeCell ref="E814:G814"/>
    <mergeCell ref="H814:I814"/>
    <mergeCell ref="J814:K814"/>
    <mergeCell ref="L814:M814"/>
    <mergeCell ref="A813:B813"/>
    <mergeCell ref="C813:D813"/>
    <mergeCell ref="E813:G813"/>
    <mergeCell ref="H813:I813"/>
    <mergeCell ref="J813:K813"/>
    <mergeCell ref="L813:M813"/>
    <mergeCell ref="A833:M833"/>
    <mergeCell ref="A834:M834"/>
    <mergeCell ref="A835:M835"/>
    <mergeCell ref="A836:M836"/>
    <mergeCell ref="A837:M837"/>
    <mergeCell ref="H839:J839"/>
    <mergeCell ref="K839:M839"/>
    <mergeCell ref="A827:M827"/>
    <mergeCell ref="A828:M828"/>
    <mergeCell ref="A829:M829"/>
    <mergeCell ref="A830:M830"/>
    <mergeCell ref="A831:M831"/>
    <mergeCell ref="A832:M832"/>
    <mergeCell ref="A821:M821"/>
    <mergeCell ref="A822:M822"/>
    <mergeCell ref="A823:M823"/>
    <mergeCell ref="A824:M824"/>
    <mergeCell ref="A825:M825"/>
    <mergeCell ref="A826:M826"/>
    <mergeCell ref="A844:M844"/>
    <mergeCell ref="A845:D845"/>
    <mergeCell ref="F845:G845"/>
    <mergeCell ref="H845:I845"/>
    <mergeCell ref="J845:K845"/>
    <mergeCell ref="L845:M845"/>
    <mergeCell ref="A842:C842"/>
    <mergeCell ref="D842:G842"/>
    <mergeCell ref="H842:J842"/>
    <mergeCell ref="K842:M842"/>
    <mergeCell ref="A843:C843"/>
    <mergeCell ref="D843:G843"/>
    <mergeCell ref="H843:J843"/>
    <mergeCell ref="K843:M843"/>
    <mergeCell ref="A840:C840"/>
    <mergeCell ref="D840:G840"/>
    <mergeCell ref="H840:J840"/>
    <mergeCell ref="K840:M840"/>
    <mergeCell ref="D841:E841"/>
    <mergeCell ref="K841:L841"/>
    <mergeCell ref="A850:D850"/>
    <mergeCell ref="F850:G850"/>
    <mergeCell ref="H850:I850"/>
    <mergeCell ref="J850:K850"/>
    <mergeCell ref="L850:M850"/>
    <mergeCell ref="A851:M851"/>
    <mergeCell ref="A848:D848"/>
    <mergeCell ref="F848:G848"/>
    <mergeCell ref="H848:I848"/>
    <mergeCell ref="J848:K848"/>
    <mergeCell ref="L848:M848"/>
    <mergeCell ref="A849:D849"/>
    <mergeCell ref="F849:G849"/>
    <mergeCell ref="H849:I849"/>
    <mergeCell ref="J849:K849"/>
    <mergeCell ref="L849:M849"/>
    <mergeCell ref="A846:D846"/>
    <mergeCell ref="F846:G846"/>
    <mergeCell ref="H846:I846"/>
    <mergeCell ref="J846:K846"/>
    <mergeCell ref="L846:M846"/>
    <mergeCell ref="A847:D847"/>
    <mergeCell ref="F847:G847"/>
    <mergeCell ref="H847:I847"/>
    <mergeCell ref="J847:K847"/>
    <mergeCell ref="L847:M847"/>
    <mergeCell ref="A856:B856"/>
    <mergeCell ref="C856:D856"/>
    <mergeCell ref="E856:G856"/>
    <mergeCell ref="H856:I856"/>
    <mergeCell ref="J856:K856"/>
    <mergeCell ref="L856:M856"/>
    <mergeCell ref="A854:D854"/>
    <mergeCell ref="F854:G854"/>
    <mergeCell ref="H854:I854"/>
    <mergeCell ref="J854:K854"/>
    <mergeCell ref="L854:M854"/>
    <mergeCell ref="A855:M855"/>
    <mergeCell ref="A852:D852"/>
    <mergeCell ref="F852:G852"/>
    <mergeCell ref="H852:I852"/>
    <mergeCell ref="J852:K852"/>
    <mergeCell ref="L852:M852"/>
    <mergeCell ref="A853:D853"/>
    <mergeCell ref="F853:G853"/>
    <mergeCell ref="H853:I853"/>
    <mergeCell ref="J853:K853"/>
    <mergeCell ref="L853:M853"/>
    <mergeCell ref="A859:M859"/>
    <mergeCell ref="A860:M860"/>
    <mergeCell ref="A861:M861"/>
    <mergeCell ref="A862:M862"/>
    <mergeCell ref="A863:M863"/>
    <mergeCell ref="A864:M864"/>
    <mergeCell ref="A858:B858"/>
    <mergeCell ref="C858:D858"/>
    <mergeCell ref="E858:G858"/>
    <mergeCell ref="H858:I858"/>
    <mergeCell ref="J858:K858"/>
    <mergeCell ref="L858:M858"/>
    <mergeCell ref="A857:B857"/>
    <mergeCell ref="C857:D857"/>
    <mergeCell ref="E857:G857"/>
    <mergeCell ref="H857:I857"/>
    <mergeCell ref="J857:K857"/>
    <mergeCell ref="L857:M857"/>
    <mergeCell ref="A877:M877"/>
    <mergeCell ref="A878:M878"/>
    <mergeCell ref="A879:M879"/>
    <mergeCell ref="A880:M880"/>
    <mergeCell ref="A881:M881"/>
    <mergeCell ref="H883:J883"/>
    <mergeCell ref="K883:M883"/>
    <mergeCell ref="A871:M871"/>
    <mergeCell ref="A872:M872"/>
    <mergeCell ref="A873:M873"/>
    <mergeCell ref="A874:M874"/>
    <mergeCell ref="A875:M875"/>
    <mergeCell ref="A876:M876"/>
    <mergeCell ref="A865:M865"/>
    <mergeCell ref="A866:M866"/>
    <mergeCell ref="A867:M867"/>
    <mergeCell ref="A868:M868"/>
    <mergeCell ref="A869:M869"/>
    <mergeCell ref="A870:M870"/>
    <mergeCell ref="A888:M888"/>
    <mergeCell ref="A889:D889"/>
    <mergeCell ref="F889:G889"/>
    <mergeCell ref="H889:I889"/>
    <mergeCell ref="J889:K889"/>
    <mergeCell ref="L889:M889"/>
    <mergeCell ref="A886:C886"/>
    <mergeCell ref="D886:G886"/>
    <mergeCell ref="H886:J886"/>
    <mergeCell ref="K886:M886"/>
    <mergeCell ref="A887:C887"/>
    <mergeCell ref="D887:G887"/>
    <mergeCell ref="H887:J887"/>
    <mergeCell ref="K887:M887"/>
    <mergeCell ref="A884:C884"/>
    <mergeCell ref="D884:G884"/>
    <mergeCell ref="H884:J884"/>
    <mergeCell ref="K884:M884"/>
    <mergeCell ref="D885:E885"/>
    <mergeCell ref="K885:L885"/>
    <mergeCell ref="A894:D894"/>
    <mergeCell ref="F894:G894"/>
    <mergeCell ref="H894:I894"/>
    <mergeCell ref="J894:K894"/>
    <mergeCell ref="L894:M894"/>
    <mergeCell ref="A895:M895"/>
    <mergeCell ref="A892:D892"/>
    <mergeCell ref="F892:G892"/>
    <mergeCell ref="H892:I892"/>
    <mergeCell ref="J892:K892"/>
    <mergeCell ref="L892:M892"/>
    <mergeCell ref="A893:D893"/>
    <mergeCell ref="F893:G893"/>
    <mergeCell ref="H893:I893"/>
    <mergeCell ref="J893:K893"/>
    <mergeCell ref="L893:M893"/>
    <mergeCell ref="A890:D890"/>
    <mergeCell ref="F890:G890"/>
    <mergeCell ref="H890:I890"/>
    <mergeCell ref="J890:K890"/>
    <mergeCell ref="L890:M890"/>
    <mergeCell ref="A891:D891"/>
    <mergeCell ref="F891:G891"/>
    <mergeCell ref="H891:I891"/>
    <mergeCell ref="J891:K891"/>
    <mergeCell ref="L891:M891"/>
    <mergeCell ref="A900:B900"/>
    <mergeCell ref="C900:D900"/>
    <mergeCell ref="E900:G900"/>
    <mergeCell ref="H900:I900"/>
    <mergeCell ref="J900:K900"/>
    <mergeCell ref="L900:M900"/>
    <mergeCell ref="A898:D898"/>
    <mergeCell ref="F898:G898"/>
    <mergeCell ref="H898:I898"/>
    <mergeCell ref="J898:K898"/>
    <mergeCell ref="L898:M898"/>
    <mergeCell ref="A899:M899"/>
    <mergeCell ref="A896:D896"/>
    <mergeCell ref="F896:G896"/>
    <mergeCell ref="H896:I896"/>
    <mergeCell ref="J896:K896"/>
    <mergeCell ref="L896:M896"/>
    <mergeCell ref="A897:D897"/>
    <mergeCell ref="F897:G897"/>
    <mergeCell ref="H897:I897"/>
    <mergeCell ref="J897:K897"/>
    <mergeCell ref="L897:M897"/>
    <mergeCell ref="A903:M903"/>
    <mergeCell ref="A904:M904"/>
    <mergeCell ref="A905:M905"/>
    <mergeCell ref="A906:M906"/>
    <mergeCell ref="A907:M907"/>
    <mergeCell ref="A908:M908"/>
    <mergeCell ref="A902:B902"/>
    <mergeCell ref="C902:D902"/>
    <mergeCell ref="E902:G902"/>
    <mergeCell ref="H902:I902"/>
    <mergeCell ref="J902:K902"/>
    <mergeCell ref="L902:M902"/>
    <mergeCell ref="A901:B901"/>
    <mergeCell ref="C901:D901"/>
    <mergeCell ref="E901:G901"/>
    <mergeCell ref="H901:I901"/>
    <mergeCell ref="J901:K901"/>
    <mergeCell ref="L901:M901"/>
    <mergeCell ref="A921:M921"/>
    <mergeCell ref="A922:M922"/>
    <mergeCell ref="A923:M923"/>
    <mergeCell ref="A924:M924"/>
    <mergeCell ref="A925:M925"/>
    <mergeCell ref="H927:J927"/>
    <mergeCell ref="K927:M927"/>
    <mergeCell ref="A915:M915"/>
    <mergeCell ref="A916:M916"/>
    <mergeCell ref="A917:M917"/>
    <mergeCell ref="A918:M918"/>
    <mergeCell ref="A919:M919"/>
    <mergeCell ref="A920:M920"/>
    <mergeCell ref="A909:M909"/>
    <mergeCell ref="A910:M910"/>
    <mergeCell ref="A911:M911"/>
    <mergeCell ref="A912:M912"/>
    <mergeCell ref="A913:M913"/>
    <mergeCell ref="A914:M914"/>
    <mergeCell ref="A932:M932"/>
    <mergeCell ref="A933:D933"/>
    <mergeCell ref="F933:G933"/>
    <mergeCell ref="H933:I933"/>
    <mergeCell ref="J933:K933"/>
    <mergeCell ref="L933:M933"/>
    <mergeCell ref="A930:C930"/>
    <mergeCell ref="D930:G930"/>
    <mergeCell ref="H930:J930"/>
    <mergeCell ref="K930:M930"/>
    <mergeCell ref="A931:C931"/>
    <mergeCell ref="D931:G931"/>
    <mergeCell ref="H931:J931"/>
    <mergeCell ref="K931:M931"/>
    <mergeCell ref="A928:C928"/>
    <mergeCell ref="D928:G928"/>
    <mergeCell ref="H928:J928"/>
    <mergeCell ref="K928:M928"/>
    <mergeCell ref="D929:E929"/>
    <mergeCell ref="K929:L929"/>
    <mergeCell ref="A938:D938"/>
    <mergeCell ref="F938:G938"/>
    <mergeCell ref="H938:I938"/>
    <mergeCell ref="J938:K938"/>
    <mergeCell ref="L938:M938"/>
    <mergeCell ref="A939:M939"/>
    <mergeCell ref="A936:D936"/>
    <mergeCell ref="F936:G936"/>
    <mergeCell ref="H936:I936"/>
    <mergeCell ref="J936:K936"/>
    <mergeCell ref="L936:M936"/>
    <mergeCell ref="A937:D937"/>
    <mergeCell ref="F937:G937"/>
    <mergeCell ref="H937:I937"/>
    <mergeCell ref="J937:K937"/>
    <mergeCell ref="L937:M937"/>
    <mergeCell ref="A934:D934"/>
    <mergeCell ref="F934:G934"/>
    <mergeCell ref="H934:I934"/>
    <mergeCell ref="J934:K934"/>
    <mergeCell ref="L934:M934"/>
    <mergeCell ref="A935:D935"/>
    <mergeCell ref="F935:G935"/>
    <mergeCell ref="H935:I935"/>
    <mergeCell ref="J935:K935"/>
    <mergeCell ref="L935:M935"/>
    <mergeCell ref="A944:B944"/>
    <mergeCell ref="C944:D944"/>
    <mergeCell ref="E944:G944"/>
    <mergeCell ref="H944:I944"/>
    <mergeCell ref="J944:K944"/>
    <mergeCell ref="L944:M944"/>
    <mergeCell ref="A942:D942"/>
    <mergeCell ref="F942:G942"/>
    <mergeCell ref="H942:I942"/>
    <mergeCell ref="J942:K942"/>
    <mergeCell ref="L942:M942"/>
    <mergeCell ref="A943:M943"/>
    <mergeCell ref="A940:D940"/>
    <mergeCell ref="F940:G940"/>
    <mergeCell ref="H940:I940"/>
    <mergeCell ref="J940:K940"/>
    <mergeCell ref="L940:M940"/>
    <mergeCell ref="A941:D941"/>
    <mergeCell ref="F941:G941"/>
    <mergeCell ref="H941:I941"/>
    <mergeCell ref="J941:K941"/>
    <mergeCell ref="L941:M941"/>
    <mergeCell ref="A947:M947"/>
    <mergeCell ref="A948:M948"/>
    <mergeCell ref="A949:M949"/>
    <mergeCell ref="A950:M950"/>
    <mergeCell ref="A951:M951"/>
    <mergeCell ref="A952:M952"/>
    <mergeCell ref="A946:B946"/>
    <mergeCell ref="C946:D946"/>
    <mergeCell ref="E946:G946"/>
    <mergeCell ref="H946:I946"/>
    <mergeCell ref="J946:K946"/>
    <mergeCell ref="L946:M946"/>
    <mergeCell ref="A945:B945"/>
    <mergeCell ref="C945:D945"/>
    <mergeCell ref="E945:G945"/>
    <mergeCell ref="H945:I945"/>
    <mergeCell ref="J945:K945"/>
    <mergeCell ref="L945:M945"/>
    <mergeCell ref="A965:M965"/>
    <mergeCell ref="A966:M966"/>
    <mergeCell ref="A967:M967"/>
    <mergeCell ref="A968:M968"/>
    <mergeCell ref="A969:M969"/>
    <mergeCell ref="H971:J971"/>
    <mergeCell ref="K971:M971"/>
    <mergeCell ref="A959:M959"/>
    <mergeCell ref="A960:M960"/>
    <mergeCell ref="A961:M961"/>
    <mergeCell ref="A962:M962"/>
    <mergeCell ref="A963:M963"/>
    <mergeCell ref="A964:M964"/>
    <mergeCell ref="A953:M953"/>
    <mergeCell ref="A954:M954"/>
    <mergeCell ref="A955:M955"/>
    <mergeCell ref="A956:M956"/>
    <mergeCell ref="A957:M957"/>
    <mergeCell ref="A958:M958"/>
    <mergeCell ref="A976:M976"/>
    <mergeCell ref="A977:D977"/>
    <mergeCell ref="F977:G977"/>
    <mergeCell ref="H977:I977"/>
    <mergeCell ref="J977:K977"/>
    <mergeCell ref="L977:M977"/>
    <mergeCell ref="A974:C974"/>
    <mergeCell ref="D974:G974"/>
    <mergeCell ref="H974:J974"/>
    <mergeCell ref="K974:M974"/>
    <mergeCell ref="A975:C975"/>
    <mergeCell ref="D975:G975"/>
    <mergeCell ref="H975:J975"/>
    <mergeCell ref="K975:M975"/>
    <mergeCell ref="A972:C972"/>
    <mergeCell ref="D972:G972"/>
    <mergeCell ref="H972:J972"/>
    <mergeCell ref="K972:M972"/>
    <mergeCell ref="D973:E973"/>
    <mergeCell ref="K973:L973"/>
    <mergeCell ref="A982:D982"/>
    <mergeCell ref="F982:G982"/>
    <mergeCell ref="H982:I982"/>
    <mergeCell ref="J982:K982"/>
    <mergeCell ref="L982:M982"/>
    <mergeCell ref="A983:M983"/>
    <mergeCell ref="A980:D980"/>
    <mergeCell ref="F980:G980"/>
    <mergeCell ref="H980:I980"/>
    <mergeCell ref="J980:K980"/>
    <mergeCell ref="L980:M980"/>
    <mergeCell ref="A981:D981"/>
    <mergeCell ref="F981:G981"/>
    <mergeCell ref="H981:I981"/>
    <mergeCell ref="J981:K981"/>
    <mergeCell ref="L981:M981"/>
    <mergeCell ref="A978:D978"/>
    <mergeCell ref="F978:G978"/>
    <mergeCell ref="H978:I978"/>
    <mergeCell ref="J978:K978"/>
    <mergeCell ref="L978:M978"/>
    <mergeCell ref="A979:D979"/>
    <mergeCell ref="F979:G979"/>
    <mergeCell ref="H979:I979"/>
    <mergeCell ref="J979:K979"/>
    <mergeCell ref="L979:M979"/>
    <mergeCell ref="A988:B988"/>
    <mergeCell ref="C988:D988"/>
    <mergeCell ref="E988:G988"/>
    <mergeCell ref="H988:I988"/>
    <mergeCell ref="J988:K988"/>
    <mergeCell ref="L988:M988"/>
    <mergeCell ref="A986:D986"/>
    <mergeCell ref="F986:G986"/>
    <mergeCell ref="H986:I986"/>
    <mergeCell ref="J986:K986"/>
    <mergeCell ref="L986:M986"/>
    <mergeCell ref="A987:M987"/>
    <mergeCell ref="A984:D984"/>
    <mergeCell ref="F984:G984"/>
    <mergeCell ref="H984:I984"/>
    <mergeCell ref="J984:K984"/>
    <mergeCell ref="L984:M984"/>
    <mergeCell ref="A985:D985"/>
    <mergeCell ref="F985:G985"/>
    <mergeCell ref="H985:I985"/>
    <mergeCell ref="J985:K985"/>
    <mergeCell ref="L985:M985"/>
    <mergeCell ref="A991:M991"/>
    <mergeCell ref="A992:M992"/>
    <mergeCell ref="A993:M993"/>
    <mergeCell ref="A994:M994"/>
    <mergeCell ref="A995:M995"/>
    <mergeCell ref="A996:M996"/>
    <mergeCell ref="A990:B990"/>
    <mergeCell ref="C990:D990"/>
    <mergeCell ref="E990:G990"/>
    <mergeCell ref="H990:I990"/>
    <mergeCell ref="J990:K990"/>
    <mergeCell ref="L990:M990"/>
    <mergeCell ref="A989:B989"/>
    <mergeCell ref="C989:D989"/>
    <mergeCell ref="E989:G989"/>
    <mergeCell ref="H989:I989"/>
    <mergeCell ref="J989:K989"/>
    <mergeCell ref="L989:M989"/>
    <mergeCell ref="A1009:M1009"/>
    <mergeCell ref="A1010:M1010"/>
    <mergeCell ref="A1011:M1011"/>
    <mergeCell ref="A1012:M1012"/>
    <mergeCell ref="A1013:M1013"/>
    <mergeCell ref="H1015:J1015"/>
    <mergeCell ref="K1015:M1015"/>
    <mergeCell ref="A1003:M1003"/>
    <mergeCell ref="A1004:M1004"/>
    <mergeCell ref="A1005:M1005"/>
    <mergeCell ref="A1006:M1006"/>
    <mergeCell ref="A1007:M1007"/>
    <mergeCell ref="A1008:M1008"/>
    <mergeCell ref="A997:M997"/>
    <mergeCell ref="A998:M998"/>
    <mergeCell ref="A999:M999"/>
    <mergeCell ref="A1000:M1000"/>
    <mergeCell ref="A1001:M1001"/>
    <mergeCell ref="A1002:M1002"/>
    <mergeCell ref="A1020:M1020"/>
    <mergeCell ref="A1021:D1021"/>
    <mergeCell ref="F1021:G1021"/>
    <mergeCell ref="H1021:I1021"/>
    <mergeCell ref="J1021:K1021"/>
    <mergeCell ref="L1021:M1021"/>
    <mergeCell ref="A1018:C1018"/>
    <mergeCell ref="D1018:G1018"/>
    <mergeCell ref="H1018:J1018"/>
    <mergeCell ref="K1018:M1018"/>
    <mergeCell ref="A1019:C1019"/>
    <mergeCell ref="D1019:G1019"/>
    <mergeCell ref="H1019:J1019"/>
    <mergeCell ref="K1019:M1019"/>
    <mergeCell ref="A1016:C1016"/>
    <mergeCell ref="D1016:G1016"/>
    <mergeCell ref="H1016:J1016"/>
    <mergeCell ref="K1016:M1016"/>
    <mergeCell ref="D1017:E1017"/>
    <mergeCell ref="K1017:L1017"/>
    <mergeCell ref="A1026:D1026"/>
    <mergeCell ref="F1026:G1026"/>
    <mergeCell ref="H1026:I1026"/>
    <mergeCell ref="J1026:K1026"/>
    <mergeCell ref="L1026:M1026"/>
    <mergeCell ref="A1027:M1027"/>
    <mergeCell ref="A1024:D1024"/>
    <mergeCell ref="F1024:G1024"/>
    <mergeCell ref="H1024:I1024"/>
    <mergeCell ref="J1024:K1024"/>
    <mergeCell ref="L1024:M1024"/>
    <mergeCell ref="A1025:D1025"/>
    <mergeCell ref="F1025:G1025"/>
    <mergeCell ref="H1025:I1025"/>
    <mergeCell ref="J1025:K1025"/>
    <mergeCell ref="L1025:M1025"/>
    <mergeCell ref="A1022:D1022"/>
    <mergeCell ref="F1022:G1022"/>
    <mergeCell ref="H1022:I1022"/>
    <mergeCell ref="J1022:K1022"/>
    <mergeCell ref="L1022:M1022"/>
    <mergeCell ref="A1023:D1023"/>
    <mergeCell ref="F1023:G1023"/>
    <mergeCell ref="H1023:I1023"/>
    <mergeCell ref="J1023:K1023"/>
    <mergeCell ref="L1023:M1023"/>
    <mergeCell ref="A1032:B1032"/>
    <mergeCell ref="C1032:D1032"/>
    <mergeCell ref="E1032:G1032"/>
    <mergeCell ref="H1032:I1032"/>
    <mergeCell ref="J1032:K1032"/>
    <mergeCell ref="L1032:M1032"/>
    <mergeCell ref="A1030:D1030"/>
    <mergeCell ref="F1030:G1030"/>
    <mergeCell ref="H1030:I1030"/>
    <mergeCell ref="J1030:K1030"/>
    <mergeCell ref="L1030:M1030"/>
    <mergeCell ref="A1031:M1031"/>
    <mergeCell ref="A1028:D1028"/>
    <mergeCell ref="F1028:G1028"/>
    <mergeCell ref="H1028:I1028"/>
    <mergeCell ref="J1028:K1028"/>
    <mergeCell ref="L1028:M1028"/>
    <mergeCell ref="A1029:D1029"/>
    <mergeCell ref="F1029:G1029"/>
    <mergeCell ref="H1029:I1029"/>
    <mergeCell ref="J1029:K1029"/>
    <mergeCell ref="L1029:M1029"/>
    <mergeCell ref="A1035:M1035"/>
    <mergeCell ref="A1036:M1036"/>
    <mergeCell ref="A1037:M1037"/>
    <mergeCell ref="A1038:M1038"/>
    <mergeCell ref="A1039:M1039"/>
    <mergeCell ref="A1040:M1040"/>
    <mergeCell ref="A1034:B1034"/>
    <mergeCell ref="C1034:D1034"/>
    <mergeCell ref="E1034:G1034"/>
    <mergeCell ref="H1034:I1034"/>
    <mergeCell ref="J1034:K1034"/>
    <mergeCell ref="L1034:M1034"/>
    <mergeCell ref="A1033:B1033"/>
    <mergeCell ref="C1033:D1033"/>
    <mergeCell ref="E1033:G1033"/>
    <mergeCell ref="H1033:I1033"/>
    <mergeCell ref="J1033:K1033"/>
    <mergeCell ref="L1033:M1033"/>
    <mergeCell ref="A1053:M1053"/>
    <mergeCell ref="A1054:M1054"/>
    <mergeCell ref="A1055:M1055"/>
    <mergeCell ref="A1056:M1056"/>
    <mergeCell ref="A1057:M1057"/>
    <mergeCell ref="H1059:J1059"/>
    <mergeCell ref="K1059:M1059"/>
    <mergeCell ref="A1047:M1047"/>
    <mergeCell ref="A1048:M1048"/>
    <mergeCell ref="A1049:M1049"/>
    <mergeCell ref="A1050:M1050"/>
    <mergeCell ref="A1051:M1051"/>
    <mergeCell ref="A1052:M1052"/>
    <mergeCell ref="A1041:M1041"/>
    <mergeCell ref="A1042:M1042"/>
    <mergeCell ref="A1043:M1043"/>
    <mergeCell ref="A1044:M1044"/>
    <mergeCell ref="A1045:M1045"/>
    <mergeCell ref="A1046:M1046"/>
    <mergeCell ref="A1064:M1064"/>
    <mergeCell ref="A1065:D1065"/>
    <mergeCell ref="F1065:G1065"/>
    <mergeCell ref="H1065:I1065"/>
    <mergeCell ref="J1065:K1065"/>
    <mergeCell ref="L1065:M1065"/>
    <mergeCell ref="A1062:C1062"/>
    <mergeCell ref="D1062:G1062"/>
    <mergeCell ref="H1062:J1062"/>
    <mergeCell ref="K1062:M1062"/>
    <mergeCell ref="A1063:C1063"/>
    <mergeCell ref="D1063:G1063"/>
    <mergeCell ref="H1063:J1063"/>
    <mergeCell ref="K1063:M1063"/>
    <mergeCell ref="A1060:C1060"/>
    <mergeCell ref="D1060:G1060"/>
    <mergeCell ref="H1060:J1060"/>
    <mergeCell ref="K1060:M1060"/>
    <mergeCell ref="D1061:E1061"/>
    <mergeCell ref="K1061:L1061"/>
    <mergeCell ref="A1070:D1070"/>
    <mergeCell ref="F1070:G1070"/>
    <mergeCell ref="H1070:I1070"/>
    <mergeCell ref="J1070:K1070"/>
    <mergeCell ref="L1070:M1070"/>
    <mergeCell ref="A1071:M1071"/>
    <mergeCell ref="A1068:D1068"/>
    <mergeCell ref="F1068:G1068"/>
    <mergeCell ref="H1068:I1068"/>
    <mergeCell ref="J1068:K1068"/>
    <mergeCell ref="L1068:M1068"/>
    <mergeCell ref="A1069:D1069"/>
    <mergeCell ref="F1069:G1069"/>
    <mergeCell ref="H1069:I1069"/>
    <mergeCell ref="J1069:K1069"/>
    <mergeCell ref="L1069:M1069"/>
    <mergeCell ref="A1066:D1066"/>
    <mergeCell ref="F1066:G1066"/>
    <mergeCell ref="H1066:I1066"/>
    <mergeCell ref="J1066:K1066"/>
    <mergeCell ref="L1066:M1066"/>
    <mergeCell ref="A1067:D1067"/>
    <mergeCell ref="F1067:G1067"/>
    <mergeCell ref="H1067:I1067"/>
    <mergeCell ref="J1067:K1067"/>
    <mergeCell ref="L1067:M1067"/>
    <mergeCell ref="A1076:B1076"/>
    <mergeCell ref="C1076:D1076"/>
    <mergeCell ref="E1076:G1076"/>
    <mergeCell ref="H1076:I1076"/>
    <mergeCell ref="J1076:K1076"/>
    <mergeCell ref="L1076:M1076"/>
    <mergeCell ref="A1074:D1074"/>
    <mergeCell ref="F1074:G1074"/>
    <mergeCell ref="H1074:I1074"/>
    <mergeCell ref="J1074:K1074"/>
    <mergeCell ref="L1074:M1074"/>
    <mergeCell ref="A1075:M1075"/>
    <mergeCell ref="A1072:D1072"/>
    <mergeCell ref="F1072:G1072"/>
    <mergeCell ref="H1072:I1072"/>
    <mergeCell ref="J1072:K1072"/>
    <mergeCell ref="L1072:M1072"/>
    <mergeCell ref="A1073:D1073"/>
    <mergeCell ref="F1073:G1073"/>
    <mergeCell ref="H1073:I1073"/>
    <mergeCell ref="J1073:K1073"/>
    <mergeCell ref="L1073:M1073"/>
    <mergeCell ref="A1079:M1079"/>
    <mergeCell ref="A1080:M1080"/>
    <mergeCell ref="A1081:M1081"/>
    <mergeCell ref="A1082:M1082"/>
    <mergeCell ref="A1083:M1083"/>
    <mergeCell ref="A1084:M1084"/>
    <mergeCell ref="A1078:B1078"/>
    <mergeCell ref="C1078:D1078"/>
    <mergeCell ref="E1078:G1078"/>
    <mergeCell ref="H1078:I1078"/>
    <mergeCell ref="J1078:K1078"/>
    <mergeCell ref="L1078:M1078"/>
    <mergeCell ref="A1077:B1077"/>
    <mergeCell ref="C1077:D1077"/>
    <mergeCell ref="E1077:G1077"/>
    <mergeCell ref="H1077:I1077"/>
    <mergeCell ref="J1077:K1077"/>
    <mergeCell ref="L1077:M1077"/>
    <mergeCell ref="A1097:M1097"/>
    <mergeCell ref="A1098:M1098"/>
    <mergeCell ref="A1099:M1099"/>
    <mergeCell ref="A1100:M1100"/>
    <mergeCell ref="A1101:M1101"/>
    <mergeCell ref="H1103:J1103"/>
    <mergeCell ref="K1103:M1103"/>
    <mergeCell ref="A1091:M1091"/>
    <mergeCell ref="A1092:M1092"/>
    <mergeCell ref="A1093:M1093"/>
    <mergeCell ref="A1094:M1094"/>
    <mergeCell ref="A1095:M1095"/>
    <mergeCell ref="A1096:M1096"/>
    <mergeCell ref="A1085:M1085"/>
    <mergeCell ref="A1086:M1086"/>
    <mergeCell ref="A1087:M1087"/>
    <mergeCell ref="A1088:M1088"/>
    <mergeCell ref="A1089:M1089"/>
    <mergeCell ref="A1090:M1090"/>
    <mergeCell ref="A1108:M1108"/>
    <mergeCell ref="A1109:D1109"/>
    <mergeCell ref="F1109:G1109"/>
    <mergeCell ref="H1109:I1109"/>
    <mergeCell ref="J1109:K1109"/>
    <mergeCell ref="L1109:M1109"/>
    <mergeCell ref="A1106:C1106"/>
    <mergeCell ref="D1106:G1106"/>
    <mergeCell ref="H1106:J1106"/>
    <mergeCell ref="K1106:M1106"/>
    <mergeCell ref="A1107:C1107"/>
    <mergeCell ref="D1107:G1107"/>
    <mergeCell ref="H1107:J1107"/>
    <mergeCell ref="K1107:M1107"/>
    <mergeCell ref="A1104:C1104"/>
    <mergeCell ref="D1104:G1104"/>
    <mergeCell ref="H1104:J1104"/>
    <mergeCell ref="K1104:M1104"/>
    <mergeCell ref="D1105:E1105"/>
    <mergeCell ref="K1105:L1105"/>
    <mergeCell ref="A1114:D1114"/>
    <mergeCell ref="F1114:G1114"/>
    <mergeCell ref="H1114:I1114"/>
    <mergeCell ref="J1114:K1114"/>
    <mergeCell ref="L1114:M1114"/>
    <mergeCell ref="A1115:M1115"/>
    <mergeCell ref="A1112:D1112"/>
    <mergeCell ref="F1112:G1112"/>
    <mergeCell ref="H1112:I1112"/>
    <mergeCell ref="J1112:K1112"/>
    <mergeCell ref="L1112:M1112"/>
    <mergeCell ref="A1113:D1113"/>
    <mergeCell ref="F1113:G1113"/>
    <mergeCell ref="H1113:I1113"/>
    <mergeCell ref="J1113:K1113"/>
    <mergeCell ref="L1113:M1113"/>
    <mergeCell ref="A1110:D1110"/>
    <mergeCell ref="F1110:G1110"/>
    <mergeCell ref="H1110:I1110"/>
    <mergeCell ref="J1110:K1110"/>
    <mergeCell ref="L1110:M1110"/>
    <mergeCell ref="A1111:D1111"/>
    <mergeCell ref="F1111:G1111"/>
    <mergeCell ref="H1111:I1111"/>
    <mergeCell ref="J1111:K1111"/>
    <mergeCell ref="L1111:M1111"/>
    <mergeCell ref="A1120:B1120"/>
    <mergeCell ref="C1120:D1120"/>
    <mergeCell ref="E1120:G1120"/>
    <mergeCell ref="H1120:I1120"/>
    <mergeCell ref="J1120:K1120"/>
    <mergeCell ref="L1120:M1120"/>
    <mergeCell ref="A1118:D1118"/>
    <mergeCell ref="F1118:G1118"/>
    <mergeCell ref="H1118:I1118"/>
    <mergeCell ref="J1118:K1118"/>
    <mergeCell ref="L1118:M1118"/>
    <mergeCell ref="A1119:M1119"/>
    <mergeCell ref="A1116:D1116"/>
    <mergeCell ref="F1116:G1116"/>
    <mergeCell ref="H1116:I1116"/>
    <mergeCell ref="J1116:K1116"/>
    <mergeCell ref="L1116:M1116"/>
    <mergeCell ref="A1117:D1117"/>
    <mergeCell ref="F1117:G1117"/>
    <mergeCell ref="H1117:I1117"/>
    <mergeCell ref="J1117:K1117"/>
    <mergeCell ref="L1117:M1117"/>
    <mergeCell ref="A1123:M1123"/>
    <mergeCell ref="A1124:M1124"/>
    <mergeCell ref="A1125:M1125"/>
    <mergeCell ref="A1126:M1126"/>
    <mergeCell ref="A1127:M1127"/>
    <mergeCell ref="A1128:M1128"/>
    <mergeCell ref="A1122:B1122"/>
    <mergeCell ref="C1122:D1122"/>
    <mergeCell ref="E1122:G1122"/>
    <mergeCell ref="H1122:I1122"/>
    <mergeCell ref="J1122:K1122"/>
    <mergeCell ref="L1122:M1122"/>
    <mergeCell ref="A1121:B1121"/>
    <mergeCell ref="C1121:D1121"/>
    <mergeCell ref="E1121:G1121"/>
    <mergeCell ref="H1121:I1121"/>
    <mergeCell ref="J1121:K1121"/>
    <mergeCell ref="L1121:M1121"/>
    <mergeCell ref="A1141:M1141"/>
    <mergeCell ref="A1142:M1142"/>
    <mergeCell ref="A1143:M1143"/>
    <mergeCell ref="A1144:M1144"/>
    <mergeCell ref="A1145:M1145"/>
    <mergeCell ref="H1147:J1147"/>
    <mergeCell ref="K1147:M1147"/>
    <mergeCell ref="A1135:M1135"/>
    <mergeCell ref="A1136:M1136"/>
    <mergeCell ref="A1137:M1137"/>
    <mergeCell ref="A1138:M1138"/>
    <mergeCell ref="A1139:M1139"/>
    <mergeCell ref="A1140:M1140"/>
    <mergeCell ref="A1129:M1129"/>
    <mergeCell ref="A1130:M1130"/>
    <mergeCell ref="A1131:M1131"/>
    <mergeCell ref="A1132:M1132"/>
    <mergeCell ref="A1133:M1133"/>
    <mergeCell ref="A1134:M1134"/>
    <mergeCell ref="A1152:M1152"/>
    <mergeCell ref="A1153:D1153"/>
    <mergeCell ref="F1153:G1153"/>
    <mergeCell ref="H1153:I1153"/>
    <mergeCell ref="J1153:K1153"/>
    <mergeCell ref="L1153:M1153"/>
    <mergeCell ref="A1150:C1150"/>
    <mergeCell ref="D1150:G1150"/>
    <mergeCell ref="H1150:J1150"/>
    <mergeCell ref="K1150:M1150"/>
    <mergeCell ref="A1151:C1151"/>
    <mergeCell ref="D1151:G1151"/>
    <mergeCell ref="H1151:J1151"/>
    <mergeCell ref="K1151:M1151"/>
    <mergeCell ref="A1148:C1148"/>
    <mergeCell ref="D1148:G1148"/>
    <mergeCell ref="H1148:J1148"/>
    <mergeCell ref="K1148:M1148"/>
    <mergeCell ref="D1149:E1149"/>
    <mergeCell ref="K1149:L1149"/>
    <mergeCell ref="A1158:D1158"/>
    <mergeCell ref="F1158:G1158"/>
    <mergeCell ref="H1158:I1158"/>
    <mergeCell ref="J1158:K1158"/>
    <mergeCell ref="L1158:M1158"/>
    <mergeCell ref="A1159:M1159"/>
    <mergeCell ref="A1156:D1156"/>
    <mergeCell ref="F1156:G1156"/>
    <mergeCell ref="H1156:I1156"/>
    <mergeCell ref="J1156:K1156"/>
    <mergeCell ref="L1156:M1156"/>
    <mergeCell ref="A1157:D1157"/>
    <mergeCell ref="F1157:G1157"/>
    <mergeCell ref="H1157:I1157"/>
    <mergeCell ref="J1157:K1157"/>
    <mergeCell ref="L1157:M1157"/>
    <mergeCell ref="A1154:D1154"/>
    <mergeCell ref="F1154:G1154"/>
    <mergeCell ref="H1154:I1154"/>
    <mergeCell ref="J1154:K1154"/>
    <mergeCell ref="L1154:M1154"/>
    <mergeCell ref="A1155:D1155"/>
    <mergeCell ref="F1155:G1155"/>
    <mergeCell ref="H1155:I1155"/>
    <mergeCell ref="J1155:K1155"/>
    <mergeCell ref="L1155:M1155"/>
    <mergeCell ref="A1164:B1164"/>
    <mergeCell ref="C1164:D1164"/>
    <mergeCell ref="E1164:G1164"/>
    <mergeCell ref="H1164:I1164"/>
    <mergeCell ref="J1164:K1164"/>
    <mergeCell ref="L1164:M1164"/>
    <mergeCell ref="A1162:D1162"/>
    <mergeCell ref="F1162:G1162"/>
    <mergeCell ref="H1162:I1162"/>
    <mergeCell ref="J1162:K1162"/>
    <mergeCell ref="L1162:M1162"/>
    <mergeCell ref="A1163:M1163"/>
    <mergeCell ref="A1160:D1160"/>
    <mergeCell ref="F1160:G1160"/>
    <mergeCell ref="H1160:I1160"/>
    <mergeCell ref="J1160:K1160"/>
    <mergeCell ref="L1160:M1160"/>
    <mergeCell ref="A1161:D1161"/>
    <mergeCell ref="F1161:G1161"/>
    <mergeCell ref="H1161:I1161"/>
    <mergeCell ref="J1161:K1161"/>
    <mergeCell ref="L1161:M1161"/>
    <mergeCell ref="A1167:M1167"/>
    <mergeCell ref="A1168:M1168"/>
    <mergeCell ref="A1169:M1169"/>
    <mergeCell ref="A1170:M1170"/>
    <mergeCell ref="A1171:M1171"/>
    <mergeCell ref="A1172:M1172"/>
    <mergeCell ref="A1166:B1166"/>
    <mergeCell ref="C1166:D1166"/>
    <mergeCell ref="E1166:G1166"/>
    <mergeCell ref="H1166:I1166"/>
    <mergeCell ref="J1166:K1166"/>
    <mergeCell ref="L1166:M1166"/>
    <mergeCell ref="A1165:B1165"/>
    <mergeCell ref="C1165:D1165"/>
    <mergeCell ref="E1165:G1165"/>
    <mergeCell ref="H1165:I1165"/>
    <mergeCell ref="J1165:K1165"/>
    <mergeCell ref="L1165:M1165"/>
    <mergeCell ref="A1185:M1185"/>
    <mergeCell ref="A1186:M1186"/>
    <mergeCell ref="A1187:M1187"/>
    <mergeCell ref="A1188:M1188"/>
    <mergeCell ref="A1189:M1189"/>
    <mergeCell ref="H1191:J1191"/>
    <mergeCell ref="K1191:M1191"/>
    <mergeCell ref="A1179:M1179"/>
    <mergeCell ref="A1180:M1180"/>
    <mergeCell ref="A1181:M1181"/>
    <mergeCell ref="A1182:M1182"/>
    <mergeCell ref="A1183:M1183"/>
    <mergeCell ref="A1184:M1184"/>
    <mergeCell ref="A1173:M1173"/>
    <mergeCell ref="A1174:M1174"/>
    <mergeCell ref="A1175:M1175"/>
    <mergeCell ref="A1176:M1176"/>
    <mergeCell ref="A1177:M1177"/>
    <mergeCell ref="A1178:M1178"/>
    <mergeCell ref="A1196:M1196"/>
    <mergeCell ref="A1197:D1197"/>
    <mergeCell ref="F1197:G1197"/>
    <mergeCell ref="H1197:I1197"/>
    <mergeCell ref="J1197:K1197"/>
    <mergeCell ref="L1197:M1197"/>
    <mergeCell ref="A1194:C1194"/>
    <mergeCell ref="D1194:G1194"/>
    <mergeCell ref="H1194:J1194"/>
    <mergeCell ref="K1194:M1194"/>
    <mergeCell ref="A1195:C1195"/>
    <mergeCell ref="D1195:G1195"/>
    <mergeCell ref="H1195:J1195"/>
    <mergeCell ref="K1195:M1195"/>
    <mergeCell ref="A1192:C1192"/>
    <mergeCell ref="D1192:G1192"/>
    <mergeCell ref="H1192:J1192"/>
    <mergeCell ref="K1192:M1192"/>
    <mergeCell ref="D1193:E1193"/>
    <mergeCell ref="K1193:L1193"/>
    <mergeCell ref="A1202:D1202"/>
    <mergeCell ref="F1202:G1202"/>
    <mergeCell ref="H1202:I1202"/>
    <mergeCell ref="J1202:K1202"/>
    <mergeCell ref="L1202:M1202"/>
    <mergeCell ref="A1203:M1203"/>
    <mergeCell ref="A1200:D1200"/>
    <mergeCell ref="F1200:G1200"/>
    <mergeCell ref="H1200:I1200"/>
    <mergeCell ref="J1200:K1200"/>
    <mergeCell ref="L1200:M1200"/>
    <mergeCell ref="A1201:D1201"/>
    <mergeCell ref="F1201:G1201"/>
    <mergeCell ref="H1201:I1201"/>
    <mergeCell ref="J1201:K1201"/>
    <mergeCell ref="L1201:M1201"/>
    <mergeCell ref="A1198:D1198"/>
    <mergeCell ref="F1198:G1198"/>
    <mergeCell ref="H1198:I1198"/>
    <mergeCell ref="J1198:K1198"/>
    <mergeCell ref="L1198:M1198"/>
    <mergeCell ref="A1199:D1199"/>
    <mergeCell ref="F1199:G1199"/>
    <mergeCell ref="H1199:I1199"/>
    <mergeCell ref="J1199:K1199"/>
    <mergeCell ref="L1199:M1199"/>
    <mergeCell ref="A1208:B1208"/>
    <mergeCell ref="C1208:D1208"/>
    <mergeCell ref="E1208:G1208"/>
    <mergeCell ref="H1208:I1208"/>
    <mergeCell ref="J1208:K1208"/>
    <mergeCell ref="L1208:M1208"/>
    <mergeCell ref="A1206:D1206"/>
    <mergeCell ref="F1206:G1206"/>
    <mergeCell ref="H1206:I1206"/>
    <mergeCell ref="J1206:K1206"/>
    <mergeCell ref="L1206:M1206"/>
    <mergeCell ref="A1207:M1207"/>
    <mergeCell ref="A1204:D1204"/>
    <mergeCell ref="F1204:G1204"/>
    <mergeCell ref="H1204:I1204"/>
    <mergeCell ref="J1204:K1204"/>
    <mergeCell ref="L1204:M1204"/>
    <mergeCell ref="A1205:D1205"/>
    <mergeCell ref="F1205:G1205"/>
    <mergeCell ref="H1205:I1205"/>
    <mergeCell ref="J1205:K1205"/>
    <mergeCell ref="L1205:M1205"/>
    <mergeCell ref="A1211:M1211"/>
    <mergeCell ref="A1212:M1212"/>
    <mergeCell ref="A1213:M1213"/>
    <mergeCell ref="A1214:M1214"/>
    <mergeCell ref="A1215:M1215"/>
    <mergeCell ref="A1216:M1216"/>
    <mergeCell ref="A1210:B1210"/>
    <mergeCell ref="C1210:D1210"/>
    <mergeCell ref="E1210:G1210"/>
    <mergeCell ref="H1210:I1210"/>
    <mergeCell ref="J1210:K1210"/>
    <mergeCell ref="L1210:M1210"/>
    <mergeCell ref="A1209:B1209"/>
    <mergeCell ref="C1209:D1209"/>
    <mergeCell ref="E1209:G1209"/>
    <mergeCell ref="H1209:I1209"/>
    <mergeCell ref="J1209:K1209"/>
    <mergeCell ref="L1209:M1209"/>
    <mergeCell ref="A1229:M1229"/>
    <mergeCell ref="A1230:M1230"/>
    <mergeCell ref="A1231:M1231"/>
    <mergeCell ref="A1232:M1232"/>
    <mergeCell ref="A1233:M1233"/>
    <mergeCell ref="H1235:J1235"/>
    <mergeCell ref="K1235:M1235"/>
    <mergeCell ref="A1223:M1223"/>
    <mergeCell ref="A1224:M1224"/>
    <mergeCell ref="A1225:M1225"/>
    <mergeCell ref="A1226:M1226"/>
    <mergeCell ref="A1227:M1227"/>
    <mergeCell ref="A1228:M1228"/>
    <mergeCell ref="A1217:M1217"/>
    <mergeCell ref="A1218:M1218"/>
    <mergeCell ref="A1219:M1219"/>
    <mergeCell ref="A1220:M1220"/>
    <mergeCell ref="A1221:M1221"/>
    <mergeCell ref="A1222:M1222"/>
    <mergeCell ref="A1240:M1240"/>
    <mergeCell ref="A1241:D1241"/>
    <mergeCell ref="F1241:G1241"/>
    <mergeCell ref="H1241:I1241"/>
    <mergeCell ref="J1241:K1241"/>
    <mergeCell ref="L1241:M1241"/>
    <mergeCell ref="A1238:C1238"/>
    <mergeCell ref="D1238:G1238"/>
    <mergeCell ref="H1238:J1238"/>
    <mergeCell ref="K1238:M1238"/>
    <mergeCell ref="A1239:C1239"/>
    <mergeCell ref="D1239:G1239"/>
    <mergeCell ref="H1239:J1239"/>
    <mergeCell ref="K1239:M1239"/>
    <mergeCell ref="A1236:C1236"/>
    <mergeCell ref="D1236:G1236"/>
    <mergeCell ref="H1236:J1236"/>
    <mergeCell ref="K1236:M1236"/>
    <mergeCell ref="D1237:E1237"/>
    <mergeCell ref="K1237:L1237"/>
    <mergeCell ref="A1246:D1246"/>
    <mergeCell ref="F1246:G1246"/>
    <mergeCell ref="H1246:I1246"/>
    <mergeCell ref="J1246:K1246"/>
    <mergeCell ref="L1246:M1246"/>
    <mergeCell ref="A1247:M1247"/>
    <mergeCell ref="A1244:D1244"/>
    <mergeCell ref="F1244:G1244"/>
    <mergeCell ref="H1244:I1244"/>
    <mergeCell ref="J1244:K1244"/>
    <mergeCell ref="L1244:M1244"/>
    <mergeCell ref="A1245:D1245"/>
    <mergeCell ref="F1245:G1245"/>
    <mergeCell ref="H1245:I1245"/>
    <mergeCell ref="J1245:K1245"/>
    <mergeCell ref="L1245:M1245"/>
    <mergeCell ref="A1242:D1242"/>
    <mergeCell ref="F1242:G1242"/>
    <mergeCell ref="H1242:I1242"/>
    <mergeCell ref="J1242:K1242"/>
    <mergeCell ref="L1242:M1242"/>
    <mergeCell ref="A1243:D1243"/>
    <mergeCell ref="F1243:G1243"/>
    <mergeCell ref="H1243:I1243"/>
    <mergeCell ref="J1243:K1243"/>
    <mergeCell ref="L1243:M1243"/>
    <mergeCell ref="A1252:B1252"/>
    <mergeCell ref="C1252:D1252"/>
    <mergeCell ref="E1252:G1252"/>
    <mergeCell ref="H1252:I1252"/>
    <mergeCell ref="J1252:K1252"/>
    <mergeCell ref="L1252:M1252"/>
    <mergeCell ref="A1250:D1250"/>
    <mergeCell ref="F1250:G1250"/>
    <mergeCell ref="H1250:I1250"/>
    <mergeCell ref="J1250:K1250"/>
    <mergeCell ref="L1250:M1250"/>
    <mergeCell ref="A1251:M1251"/>
    <mergeCell ref="A1248:D1248"/>
    <mergeCell ref="F1248:G1248"/>
    <mergeCell ref="H1248:I1248"/>
    <mergeCell ref="J1248:K1248"/>
    <mergeCell ref="L1248:M1248"/>
    <mergeCell ref="A1249:D1249"/>
    <mergeCell ref="F1249:G1249"/>
    <mergeCell ref="H1249:I1249"/>
    <mergeCell ref="J1249:K1249"/>
    <mergeCell ref="L1249:M1249"/>
    <mergeCell ref="A1255:M1255"/>
    <mergeCell ref="A1256:M1256"/>
    <mergeCell ref="A1257:M1257"/>
    <mergeCell ref="A1258:M1258"/>
    <mergeCell ref="A1259:M1259"/>
    <mergeCell ref="A1260:M1260"/>
    <mergeCell ref="A1254:B1254"/>
    <mergeCell ref="C1254:D1254"/>
    <mergeCell ref="E1254:G1254"/>
    <mergeCell ref="H1254:I1254"/>
    <mergeCell ref="J1254:K1254"/>
    <mergeCell ref="L1254:M1254"/>
    <mergeCell ref="A1253:B1253"/>
    <mergeCell ref="C1253:D1253"/>
    <mergeCell ref="E1253:G1253"/>
    <mergeCell ref="H1253:I1253"/>
    <mergeCell ref="J1253:K1253"/>
    <mergeCell ref="L1253:M1253"/>
    <mergeCell ref="A1273:M1273"/>
    <mergeCell ref="A1274:M1274"/>
    <mergeCell ref="A1275:M1275"/>
    <mergeCell ref="A1276:M1276"/>
    <mergeCell ref="A1277:M1277"/>
    <mergeCell ref="H1279:J1279"/>
    <mergeCell ref="K1279:M1279"/>
    <mergeCell ref="A1267:M1267"/>
    <mergeCell ref="A1268:M1268"/>
    <mergeCell ref="A1269:M1269"/>
    <mergeCell ref="A1270:M1270"/>
    <mergeCell ref="A1271:M1271"/>
    <mergeCell ref="A1272:M1272"/>
    <mergeCell ref="A1261:M1261"/>
    <mergeCell ref="A1262:M1262"/>
    <mergeCell ref="A1263:M1263"/>
    <mergeCell ref="A1264:M1264"/>
    <mergeCell ref="A1265:M1265"/>
    <mergeCell ref="A1266:M1266"/>
    <mergeCell ref="A1284:M1284"/>
    <mergeCell ref="A1285:D1285"/>
    <mergeCell ref="F1285:G1285"/>
    <mergeCell ref="H1285:I1285"/>
    <mergeCell ref="J1285:K1285"/>
    <mergeCell ref="L1285:M1285"/>
    <mergeCell ref="A1282:C1282"/>
    <mergeCell ref="D1282:G1282"/>
    <mergeCell ref="H1282:J1282"/>
    <mergeCell ref="K1282:M1282"/>
    <mergeCell ref="A1283:C1283"/>
    <mergeCell ref="D1283:G1283"/>
    <mergeCell ref="H1283:J1283"/>
    <mergeCell ref="K1283:M1283"/>
    <mergeCell ref="A1280:C1280"/>
    <mergeCell ref="D1280:G1280"/>
    <mergeCell ref="H1280:J1280"/>
    <mergeCell ref="K1280:M1280"/>
    <mergeCell ref="D1281:E1281"/>
    <mergeCell ref="K1281:L1281"/>
    <mergeCell ref="A1290:D1290"/>
    <mergeCell ref="F1290:G1290"/>
    <mergeCell ref="H1290:I1290"/>
    <mergeCell ref="J1290:K1290"/>
    <mergeCell ref="L1290:M1290"/>
    <mergeCell ref="A1291:M1291"/>
    <mergeCell ref="A1288:D1288"/>
    <mergeCell ref="F1288:G1288"/>
    <mergeCell ref="H1288:I1288"/>
    <mergeCell ref="J1288:K1288"/>
    <mergeCell ref="L1288:M1288"/>
    <mergeCell ref="A1289:D1289"/>
    <mergeCell ref="F1289:G1289"/>
    <mergeCell ref="H1289:I1289"/>
    <mergeCell ref="J1289:K1289"/>
    <mergeCell ref="L1289:M1289"/>
    <mergeCell ref="A1286:D1286"/>
    <mergeCell ref="F1286:G1286"/>
    <mergeCell ref="H1286:I1286"/>
    <mergeCell ref="J1286:K1286"/>
    <mergeCell ref="L1286:M1286"/>
    <mergeCell ref="A1287:D1287"/>
    <mergeCell ref="F1287:G1287"/>
    <mergeCell ref="H1287:I1287"/>
    <mergeCell ref="J1287:K1287"/>
    <mergeCell ref="L1287:M1287"/>
    <mergeCell ref="A1296:B1296"/>
    <mergeCell ref="C1296:D1296"/>
    <mergeCell ref="E1296:G1296"/>
    <mergeCell ref="H1296:I1296"/>
    <mergeCell ref="J1296:K1296"/>
    <mergeCell ref="L1296:M1296"/>
    <mergeCell ref="A1294:D1294"/>
    <mergeCell ref="F1294:G1294"/>
    <mergeCell ref="H1294:I1294"/>
    <mergeCell ref="J1294:K1294"/>
    <mergeCell ref="L1294:M1294"/>
    <mergeCell ref="A1295:M1295"/>
    <mergeCell ref="A1292:D1292"/>
    <mergeCell ref="F1292:G1292"/>
    <mergeCell ref="H1292:I1292"/>
    <mergeCell ref="J1292:K1292"/>
    <mergeCell ref="L1292:M1292"/>
    <mergeCell ref="A1293:D1293"/>
    <mergeCell ref="F1293:G1293"/>
    <mergeCell ref="H1293:I1293"/>
    <mergeCell ref="J1293:K1293"/>
    <mergeCell ref="L1293:M1293"/>
    <mergeCell ref="A1299:M1299"/>
    <mergeCell ref="A1300:M1300"/>
    <mergeCell ref="A1301:M1301"/>
    <mergeCell ref="A1302:M1302"/>
    <mergeCell ref="A1303:M1303"/>
    <mergeCell ref="A1304:M1304"/>
    <mergeCell ref="A1298:B1298"/>
    <mergeCell ref="C1298:D1298"/>
    <mergeCell ref="E1298:G1298"/>
    <mergeCell ref="H1298:I1298"/>
    <mergeCell ref="J1298:K1298"/>
    <mergeCell ref="L1298:M1298"/>
    <mergeCell ref="A1297:B1297"/>
    <mergeCell ref="C1297:D1297"/>
    <mergeCell ref="E1297:G1297"/>
    <mergeCell ref="H1297:I1297"/>
    <mergeCell ref="J1297:K1297"/>
    <mergeCell ref="L1297:M1297"/>
    <mergeCell ref="A1317:M1317"/>
    <mergeCell ref="A1318:M1318"/>
    <mergeCell ref="A1319:M1319"/>
    <mergeCell ref="A1320:M1320"/>
    <mergeCell ref="A1321:M1321"/>
    <mergeCell ref="H1323:J1323"/>
    <mergeCell ref="K1323:M1323"/>
    <mergeCell ref="A1311:M1311"/>
    <mergeCell ref="A1312:M1312"/>
    <mergeCell ref="A1313:M1313"/>
    <mergeCell ref="A1314:M1314"/>
    <mergeCell ref="A1315:M1315"/>
    <mergeCell ref="A1316:M1316"/>
    <mergeCell ref="A1305:M1305"/>
    <mergeCell ref="A1306:M1306"/>
    <mergeCell ref="A1307:M1307"/>
    <mergeCell ref="A1308:M1308"/>
    <mergeCell ref="A1309:M1309"/>
    <mergeCell ref="A1310:M1310"/>
    <mergeCell ref="A1328:M1328"/>
    <mergeCell ref="A1329:D1329"/>
    <mergeCell ref="F1329:G1329"/>
    <mergeCell ref="H1329:I1329"/>
    <mergeCell ref="J1329:K1329"/>
    <mergeCell ref="L1329:M1329"/>
    <mergeCell ref="A1326:C1326"/>
    <mergeCell ref="D1326:G1326"/>
    <mergeCell ref="H1326:J1326"/>
    <mergeCell ref="K1326:M1326"/>
    <mergeCell ref="A1327:C1327"/>
    <mergeCell ref="D1327:G1327"/>
    <mergeCell ref="H1327:J1327"/>
    <mergeCell ref="K1327:M1327"/>
    <mergeCell ref="A1324:C1324"/>
    <mergeCell ref="D1324:G1324"/>
    <mergeCell ref="H1324:J1324"/>
    <mergeCell ref="K1324:M1324"/>
    <mergeCell ref="D1325:E1325"/>
    <mergeCell ref="K1325:L1325"/>
    <mergeCell ref="A1332:D1332"/>
    <mergeCell ref="F1332:G1332"/>
    <mergeCell ref="H1332:I1332"/>
    <mergeCell ref="J1332:K1332"/>
    <mergeCell ref="L1332:M1332"/>
    <mergeCell ref="A1333:D1333"/>
    <mergeCell ref="F1333:G1333"/>
    <mergeCell ref="H1333:I1333"/>
    <mergeCell ref="J1333:K1333"/>
    <mergeCell ref="L1333:M1333"/>
    <mergeCell ref="A1330:D1330"/>
    <mergeCell ref="F1330:G1330"/>
    <mergeCell ref="H1330:I1330"/>
    <mergeCell ref="J1330:K1330"/>
    <mergeCell ref="L1330:M1330"/>
    <mergeCell ref="A1331:D1331"/>
    <mergeCell ref="F1331:G1331"/>
    <mergeCell ref="H1331:I1331"/>
    <mergeCell ref="J1331:K1331"/>
    <mergeCell ref="L1331:M1331"/>
    <mergeCell ref="A1338:D1338"/>
    <mergeCell ref="F1338:G1338"/>
    <mergeCell ref="H1338:I1338"/>
    <mergeCell ref="J1338:K1338"/>
    <mergeCell ref="L1338:M1338"/>
    <mergeCell ref="A1339:M1339"/>
    <mergeCell ref="A1336:D1336"/>
    <mergeCell ref="F1336:G1336"/>
    <mergeCell ref="H1336:I1336"/>
    <mergeCell ref="J1336:K1336"/>
    <mergeCell ref="L1336:M1336"/>
    <mergeCell ref="A1337:D1337"/>
    <mergeCell ref="F1337:G1337"/>
    <mergeCell ref="H1337:I1337"/>
    <mergeCell ref="J1337:K1337"/>
    <mergeCell ref="L1337:M1337"/>
    <mergeCell ref="A1334:D1334"/>
    <mergeCell ref="F1334:G1334"/>
    <mergeCell ref="H1334:I1334"/>
    <mergeCell ref="J1334:K1334"/>
    <mergeCell ref="L1334:M1334"/>
    <mergeCell ref="A1335:M1335"/>
    <mergeCell ref="A1341:B1341"/>
    <mergeCell ref="C1341:D1341"/>
    <mergeCell ref="E1341:G1341"/>
    <mergeCell ref="H1341:I1341"/>
    <mergeCell ref="J1341:K1341"/>
    <mergeCell ref="L1341:M1341"/>
    <mergeCell ref="A1340:B1340"/>
    <mergeCell ref="C1340:D1340"/>
    <mergeCell ref="E1340:G1340"/>
    <mergeCell ref="H1340:I1340"/>
    <mergeCell ref="J1340:K1340"/>
    <mergeCell ref="L1340:M1340"/>
    <mergeCell ref="A1342:B1342"/>
    <mergeCell ref="C1342:D1342"/>
    <mergeCell ref="E1342:G1342"/>
    <mergeCell ref="H1342:I1342"/>
    <mergeCell ref="J1342:K1342"/>
    <mergeCell ref="L1342:M1342"/>
    <mergeCell ref="A1343:B1343"/>
    <mergeCell ref="C1343:D1343"/>
    <mergeCell ref="E1343:G1343"/>
    <mergeCell ref="H1343:I1343"/>
    <mergeCell ref="J1343:K1343"/>
    <mergeCell ref="L1343:M1343"/>
    <mergeCell ref="A1362:M1362"/>
    <mergeCell ref="A1363:M1363"/>
    <mergeCell ref="A1364:M1364"/>
    <mergeCell ref="A1365:M1365"/>
    <mergeCell ref="A1356:M1356"/>
    <mergeCell ref="A1357:M1357"/>
    <mergeCell ref="A1358:M1358"/>
    <mergeCell ref="A1359:M1359"/>
    <mergeCell ref="A1360:M1360"/>
    <mergeCell ref="A1361:M1361"/>
    <mergeCell ref="A1350:M1350"/>
    <mergeCell ref="A1351:M1351"/>
    <mergeCell ref="A1352:M1352"/>
    <mergeCell ref="A1353:M1353"/>
    <mergeCell ref="A1354:M1354"/>
    <mergeCell ref="A1355:M1355"/>
    <mergeCell ref="A1344:M1344"/>
    <mergeCell ref="A1345:M1345"/>
    <mergeCell ref="A1346:M1346"/>
    <mergeCell ref="A1347:M1347"/>
    <mergeCell ref="A1348:M1348"/>
    <mergeCell ref="A1349:M1349"/>
  </mergeCells>
  <phoneticPr fontId="5" type="noConversion"/>
  <printOptions horizontalCentered="1"/>
  <pageMargins left="0.55118110236220474" right="0.31496062992125984" top="0.47244094488188981" bottom="0.11811023622047245" header="0.31496062992125984" footer="0.31496062992125984"/>
  <pageSetup paperSize="9" scale="90" orientation="portrait" horizontalDpi="300" r:id="rId1"/>
</worksheet>
</file>

<file path=xl/worksheets/sheet3.xml><?xml version="1.0" encoding="utf-8"?>
<worksheet xmlns="http://schemas.openxmlformats.org/spreadsheetml/2006/main" xmlns:r="http://schemas.openxmlformats.org/officeDocument/2006/relationships">
  <dimension ref="A1:O1316"/>
  <sheetViews>
    <sheetView topLeftCell="A1286" zoomScale="110" zoomScaleNormal="110" workbookViewId="0">
      <selection activeCell="A1291" sqref="A1291:XFD1294"/>
    </sheetView>
  </sheetViews>
  <sheetFormatPr defaultColWidth="9" defaultRowHeight="16.5"/>
  <cols>
    <col min="1" max="1" width="10.375" style="3" customWidth="1"/>
    <col min="2" max="2" width="9" style="3"/>
    <col min="3" max="3" width="3.875" style="3" customWidth="1"/>
    <col min="4" max="4" width="10.5" style="3" customWidth="1"/>
    <col min="5" max="5" width="6.75" style="3" customWidth="1"/>
    <col min="6" max="6" width="7.5" style="3" customWidth="1"/>
    <col min="7" max="7" width="8" style="3" customWidth="1"/>
    <col min="8" max="8" width="10.125" style="3" customWidth="1"/>
    <col min="9" max="9" width="6" style="3" customWidth="1"/>
    <col min="10" max="10" width="3.25" style="3" customWidth="1"/>
    <col min="11" max="11" width="10.375" style="3" customWidth="1"/>
    <col min="12" max="12" width="4.625" style="3" customWidth="1"/>
    <col min="13" max="13" width="9.375" style="3" customWidth="1"/>
    <col min="14" max="16384" width="9" style="3"/>
  </cols>
  <sheetData>
    <row r="1" spans="1:15" ht="19.5" customHeight="1">
      <c r="A1" s="69" t="s">
        <v>0</v>
      </c>
      <c r="B1" s="69"/>
      <c r="C1" s="69"/>
      <c r="D1" s="69"/>
      <c r="E1" s="69"/>
      <c r="F1" s="69"/>
      <c r="G1" s="69"/>
      <c r="H1" s="69"/>
      <c r="I1" s="69"/>
      <c r="J1" s="69"/>
      <c r="K1" s="69"/>
      <c r="L1" s="69"/>
      <c r="M1" s="69"/>
    </row>
    <row r="2" spans="1:15" ht="20.100000000000001" customHeight="1">
      <c r="A2" s="4" t="s">
        <v>32</v>
      </c>
      <c r="B2" s="5">
        <f>+'10月'!B1322+1</f>
        <v>36</v>
      </c>
      <c r="C2" s="30"/>
      <c r="D2" s="30"/>
      <c r="E2" s="30"/>
      <c r="F2" s="30"/>
      <c r="G2" s="30"/>
      <c r="H2" s="30"/>
      <c r="I2" s="30"/>
      <c r="J2" s="30"/>
      <c r="K2" s="30"/>
      <c r="L2" s="30"/>
      <c r="M2" s="30"/>
    </row>
    <row r="3" spans="1:15" ht="24" customHeight="1" thickBot="1">
      <c r="A3" s="4" t="s">
        <v>33</v>
      </c>
      <c r="H3" s="70" t="s">
        <v>34</v>
      </c>
      <c r="I3" s="70"/>
      <c r="J3" s="70"/>
      <c r="K3" s="71">
        <v>45962</v>
      </c>
      <c r="L3" s="71"/>
      <c r="M3" s="71"/>
      <c r="O3" s="7"/>
    </row>
    <row r="4" spans="1:15" ht="33.75" customHeight="1" thickBot="1">
      <c r="A4" s="80" t="s">
        <v>1</v>
      </c>
      <c r="B4" s="81"/>
      <c r="C4" s="82"/>
      <c r="D4" s="86" t="s">
        <v>63</v>
      </c>
      <c r="E4" s="87"/>
      <c r="F4" s="87"/>
      <c r="G4" s="88"/>
      <c r="H4" s="80" t="s">
        <v>2</v>
      </c>
      <c r="I4" s="81"/>
      <c r="J4" s="82"/>
      <c r="K4" s="80" t="s">
        <v>35</v>
      </c>
      <c r="L4" s="81"/>
      <c r="M4" s="82"/>
    </row>
    <row r="5" spans="1:15" ht="33.75" customHeight="1" thickBot="1">
      <c r="A5" s="8" t="s">
        <v>3</v>
      </c>
      <c r="B5" s="29">
        <f>+'10月'!B1325</f>
        <v>142</v>
      </c>
      <c r="C5" s="10" t="s">
        <v>36</v>
      </c>
      <c r="D5" s="80" t="s">
        <v>4</v>
      </c>
      <c r="E5" s="89"/>
      <c r="F5" s="31">
        <f>+'10月'!F1325+1</f>
        <v>36</v>
      </c>
      <c r="G5" s="12" t="s">
        <v>36</v>
      </c>
      <c r="H5" s="13" t="s">
        <v>5</v>
      </c>
      <c r="I5" s="29">
        <f>+B5-F5</f>
        <v>106</v>
      </c>
      <c r="J5" s="10" t="s">
        <v>36</v>
      </c>
      <c r="K5" s="80" t="s">
        <v>6</v>
      </c>
      <c r="L5" s="82"/>
      <c r="M5" s="13">
        <f>+'10月'!M1325</f>
        <v>12</v>
      </c>
    </row>
    <row r="6" spans="1:15" ht="24" customHeight="1" thickBot="1">
      <c r="A6" s="80" t="s">
        <v>7</v>
      </c>
      <c r="B6" s="81"/>
      <c r="C6" s="82"/>
      <c r="D6" s="80" t="str">
        <f>+'9月'!D138:G138</f>
        <v>114.9.27</v>
      </c>
      <c r="E6" s="81"/>
      <c r="F6" s="81"/>
      <c r="G6" s="82"/>
      <c r="H6" s="80" t="s">
        <v>8</v>
      </c>
      <c r="I6" s="81"/>
      <c r="J6" s="82"/>
      <c r="K6" s="80" t="str">
        <f>+'10月'!K1326:M1326</f>
        <v>115.2.15</v>
      </c>
      <c r="L6" s="81"/>
      <c r="M6" s="82"/>
    </row>
    <row r="7" spans="1:15" ht="24" customHeight="1" thickBot="1">
      <c r="A7" s="80" t="s">
        <v>37</v>
      </c>
      <c r="B7" s="81"/>
      <c r="C7" s="82"/>
      <c r="D7" s="83">
        <v>0.12</v>
      </c>
      <c r="E7" s="84"/>
      <c r="F7" s="84"/>
      <c r="G7" s="85"/>
      <c r="H7" s="80" t="s">
        <v>38</v>
      </c>
      <c r="I7" s="81"/>
      <c r="J7" s="82"/>
      <c r="K7" s="83">
        <f>+'10月'!K1327:M1327+0.3%</f>
        <v>0.17699999999999999</v>
      </c>
      <c r="L7" s="84"/>
      <c r="M7" s="85"/>
    </row>
    <row r="8" spans="1:15" ht="24" customHeight="1" thickBot="1">
      <c r="A8" s="72" t="s">
        <v>9</v>
      </c>
      <c r="B8" s="73"/>
      <c r="C8" s="73"/>
      <c r="D8" s="73"/>
      <c r="E8" s="73"/>
      <c r="F8" s="73"/>
      <c r="G8" s="73"/>
      <c r="H8" s="73"/>
      <c r="I8" s="73"/>
      <c r="J8" s="73"/>
      <c r="K8" s="73"/>
      <c r="L8" s="73"/>
      <c r="M8" s="74"/>
    </row>
    <row r="9" spans="1:15" ht="35.25" customHeight="1" thickBot="1">
      <c r="A9" s="75" t="s">
        <v>10</v>
      </c>
      <c r="B9" s="76"/>
      <c r="C9" s="76"/>
      <c r="D9" s="77"/>
      <c r="E9" s="14" t="s">
        <v>11</v>
      </c>
      <c r="F9" s="75" t="s">
        <v>12</v>
      </c>
      <c r="G9" s="77"/>
      <c r="H9" s="75" t="s">
        <v>13</v>
      </c>
      <c r="I9" s="77"/>
      <c r="J9" s="78" t="s">
        <v>14</v>
      </c>
      <c r="K9" s="79"/>
      <c r="L9" s="75" t="s">
        <v>15</v>
      </c>
      <c r="M9" s="77"/>
    </row>
    <row r="10" spans="1:15" ht="27" customHeight="1" thickBot="1">
      <c r="A10" s="141" t="s">
        <v>130</v>
      </c>
      <c r="B10" s="142"/>
      <c r="C10" s="142"/>
      <c r="D10" s="143"/>
      <c r="E10" s="2" t="s">
        <v>69</v>
      </c>
      <c r="F10" s="56">
        <v>1</v>
      </c>
      <c r="G10" s="57"/>
      <c r="H10" s="56">
        <v>0.05</v>
      </c>
      <c r="I10" s="57"/>
      <c r="J10" s="56">
        <v>0.65</v>
      </c>
      <c r="K10" s="57"/>
      <c r="L10" s="58"/>
      <c r="M10" s="59"/>
    </row>
    <row r="11" spans="1:15" ht="27" customHeight="1" thickBot="1">
      <c r="A11" s="141"/>
      <c r="B11" s="142"/>
      <c r="C11" s="142"/>
      <c r="D11" s="143"/>
      <c r="E11" s="15"/>
      <c r="F11" s="56"/>
      <c r="G11" s="57"/>
      <c r="H11" s="56"/>
      <c r="I11" s="57"/>
      <c r="J11" s="56"/>
      <c r="K11" s="57"/>
      <c r="L11" s="58"/>
      <c r="M11" s="59"/>
    </row>
    <row r="12" spans="1:15" ht="24.95" customHeight="1" thickTop="1" thickBot="1">
      <c r="A12" s="130" t="s">
        <v>16</v>
      </c>
      <c r="B12" s="67"/>
      <c r="C12" s="67"/>
      <c r="D12" s="68"/>
      <c r="E12" s="40"/>
      <c r="F12" s="131"/>
      <c r="G12" s="132"/>
      <c r="H12" s="131"/>
      <c r="I12" s="132"/>
      <c r="J12" s="131"/>
      <c r="K12" s="132"/>
      <c r="L12" s="131"/>
      <c r="M12" s="133"/>
    </row>
    <row r="13" spans="1:15" ht="24.95" customHeight="1" thickBot="1">
      <c r="A13" s="134" t="s">
        <v>17</v>
      </c>
      <c r="B13" s="135"/>
      <c r="C13" s="135"/>
      <c r="D13" s="59"/>
      <c r="E13" s="40"/>
      <c r="F13" s="58"/>
      <c r="G13" s="59"/>
      <c r="H13" s="58"/>
      <c r="I13" s="59"/>
      <c r="J13" s="58"/>
      <c r="K13" s="59"/>
      <c r="L13" s="58"/>
      <c r="M13" s="136"/>
    </row>
    <row r="14" spans="1:15" ht="24.95" customHeight="1" thickBot="1">
      <c r="A14" s="118" t="s">
        <v>18</v>
      </c>
      <c r="B14" s="119"/>
      <c r="C14" s="119"/>
      <c r="D14" s="120"/>
      <c r="E14" s="24"/>
      <c r="F14" s="121"/>
      <c r="G14" s="120"/>
      <c r="H14" s="121"/>
      <c r="I14" s="120"/>
      <c r="J14" s="121"/>
      <c r="K14" s="120"/>
      <c r="L14" s="121"/>
      <c r="M14" s="122"/>
    </row>
    <row r="15" spans="1:15" ht="24" customHeight="1" thickTop="1" thickBot="1">
      <c r="A15" s="66" t="s">
        <v>19</v>
      </c>
      <c r="B15" s="67"/>
      <c r="C15" s="67"/>
      <c r="D15" s="67"/>
      <c r="E15" s="67"/>
      <c r="F15" s="67"/>
      <c r="G15" s="67"/>
      <c r="H15" s="67"/>
      <c r="I15" s="67"/>
      <c r="J15" s="67"/>
      <c r="K15" s="67"/>
      <c r="L15" s="67"/>
      <c r="M15" s="68"/>
    </row>
    <row r="16" spans="1:15" ht="35.25" customHeight="1" thickBot="1">
      <c r="A16" s="75" t="s">
        <v>20</v>
      </c>
      <c r="B16" s="76"/>
      <c r="C16" s="76"/>
      <c r="D16" s="77"/>
      <c r="E16" s="14" t="s">
        <v>11</v>
      </c>
      <c r="F16" s="75" t="s">
        <v>39</v>
      </c>
      <c r="G16" s="77"/>
      <c r="H16" s="75" t="s">
        <v>21</v>
      </c>
      <c r="I16" s="77"/>
      <c r="J16" s="78" t="s">
        <v>22</v>
      </c>
      <c r="K16" s="79"/>
      <c r="L16" s="75" t="s">
        <v>15</v>
      </c>
      <c r="M16" s="77"/>
    </row>
    <row r="17" spans="1:13" ht="26.1" customHeight="1" thickBot="1">
      <c r="A17" s="96"/>
      <c r="B17" s="97"/>
      <c r="C17" s="97"/>
      <c r="D17" s="98"/>
      <c r="E17" s="40"/>
      <c r="F17" s="58"/>
      <c r="G17" s="59"/>
      <c r="H17" s="58"/>
      <c r="I17" s="59"/>
      <c r="J17" s="56"/>
      <c r="K17" s="57"/>
      <c r="L17" s="58"/>
      <c r="M17" s="59"/>
    </row>
    <row r="18" spans="1:13" ht="26.1" customHeight="1" thickBot="1">
      <c r="A18" s="96"/>
      <c r="B18" s="97"/>
      <c r="C18" s="97"/>
      <c r="D18" s="98"/>
      <c r="E18" s="40"/>
      <c r="F18" s="58"/>
      <c r="G18" s="59"/>
      <c r="H18" s="58"/>
      <c r="I18" s="59"/>
      <c r="J18" s="56"/>
      <c r="K18" s="57"/>
      <c r="L18" s="58"/>
      <c r="M18" s="59"/>
    </row>
    <row r="19" spans="1:13" ht="24" customHeight="1" thickBot="1">
      <c r="A19" s="60" t="s">
        <v>23</v>
      </c>
      <c r="B19" s="61"/>
      <c r="C19" s="61"/>
      <c r="D19" s="61"/>
      <c r="E19" s="61"/>
      <c r="F19" s="61"/>
      <c r="G19" s="61"/>
      <c r="H19" s="61"/>
      <c r="I19" s="61"/>
      <c r="J19" s="61"/>
      <c r="K19" s="61"/>
      <c r="L19" s="61"/>
      <c r="M19" s="62"/>
    </row>
    <row r="20" spans="1:13" ht="35.25" customHeight="1" thickBot="1">
      <c r="A20" s="75" t="s">
        <v>24</v>
      </c>
      <c r="B20" s="77"/>
      <c r="C20" s="75" t="s">
        <v>25</v>
      </c>
      <c r="D20" s="77"/>
      <c r="E20" s="75" t="s">
        <v>26</v>
      </c>
      <c r="F20" s="76"/>
      <c r="G20" s="77"/>
      <c r="H20" s="75" t="s">
        <v>27</v>
      </c>
      <c r="I20" s="77"/>
      <c r="J20" s="78" t="s">
        <v>21</v>
      </c>
      <c r="K20" s="79"/>
      <c r="L20" s="75" t="s">
        <v>22</v>
      </c>
      <c r="M20" s="77"/>
    </row>
    <row r="21" spans="1:13" s="18" customFormat="1" ht="24.75" customHeight="1" thickBot="1">
      <c r="A21" s="99" t="s">
        <v>80</v>
      </c>
      <c r="B21" s="98"/>
      <c r="C21" s="56">
        <v>1</v>
      </c>
      <c r="D21" s="57"/>
      <c r="E21" s="56">
        <v>20</v>
      </c>
      <c r="F21" s="100"/>
      <c r="G21" s="57"/>
      <c r="H21" s="56"/>
      <c r="I21" s="57"/>
      <c r="J21" s="56"/>
      <c r="K21" s="57"/>
      <c r="L21" s="56"/>
      <c r="M21" s="57"/>
    </row>
    <row r="22" spans="1:13" s="18" customFormat="1" ht="25.5" customHeight="1" thickBot="1">
      <c r="A22" s="99"/>
      <c r="B22" s="98"/>
      <c r="C22" s="56"/>
      <c r="D22" s="57"/>
      <c r="E22" s="56"/>
      <c r="F22" s="100"/>
      <c r="G22" s="57"/>
      <c r="H22" s="56"/>
      <c r="I22" s="57"/>
      <c r="J22" s="56"/>
      <c r="K22" s="57"/>
      <c r="L22" s="56"/>
      <c r="M22" s="57"/>
    </row>
    <row r="23" spans="1:13" ht="33" customHeight="1" thickBot="1">
      <c r="A23" s="112" t="s">
        <v>40</v>
      </c>
      <c r="B23" s="113"/>
      <c r="C23" s="113"/>
      <c r="D23" s="113"/>
      <c r="E23" s="113"/>
      <c r="F23" s="113"/>
      <c r="G23" s="113"/>
      <c r="H23" s="113"/>
      <c r="I23" s="113"/>
      <c r="J23" s="113"/>
      <c r="K23" s="113"/>
      <c r="L23" s="113"/>
      <c r="M23" s="114"/>
    </row>
    <row r="24" spans="1:13" ht="16.5" customHeight="1">
      <c r="A24" s="115" t="s">
        <v>41</v>
      </c>
      <c r="B24" s="116"/>
      <c r="C24" s="116"/>
      <c r="D24" s="116"/>
      <c r="E24" s="116"/>
      <c r="F24" s="116"/>
      <c r="G24" s="116"/>
      <c r="H24" s="116"/>
      <c r="I24" s="116"/>
      <c r="J24" s="116"/>
      <c r="K24" s="116"/>
      <c r="L24" s="116"/>
      <c r="M24" s="117"/>
    </row>
    <row r="25" spans="1:13" ht="16.5" customHeight="1">
      <c r="A25" s="90" t="s">
        <v>28</v>
      </c>
      <c r="B25" s="91"/>
      <c r="C25" s="91"/>
      <c r="D25" s="91"/>
      <c r="E25" s="91"/>
      <c r="F25" s="91"/>
      <c r="G25" s="91"/>
      <c r="H25" s="91"/>
      <c r="I25" s="91"/>
      <c r="J25" s="91"/>
      <c r="K25" s="91"/>
      <c r="L25" s="91"/>
      <c r="M25" s="92"/>
    </row>
    <row r="26" spans="1:13" s="1" customFormat="1" ht="16.5" customHeight="1">
      <c r="A26" s="93" t="s">
        <v>56</v>
      </c>
      <c r="B26" s="94"/>
      <c r="C26" s="94"/>
      <c r="D26" s="94"/>
      <c r="E26" s="94"/>
      <c r="F26" s="94"/>
      <c r="G26" s="94"/>
      <c r="H26" s="94"/>
      <c r="I26" s="94"/>
      <c r="J26" s="94"/>
      <c r="K26" s="94"/>
      <c r="L26" s="94"/>
      <c r="M26" s="95"/>
    </row>
    <row r="27" spans="1:13" s="1" customFormat="1" ht="16.5" customHeight="1">
      <c r="A27" s="93" t="s">
        <v>57</v>
      </c>
      <c r="B27" s="94"/>
      <c r="C27" s="94"/>
      <c r="D27" s="94"/>
      <c r="E27" s="94"/>
      <c r="F27" s="94"/>
      <c r="G27" s="94"/>
      <c r="H27" s="94"/>
      <c r="I27" s="94"/>
      <c r="J27" s="94"/>
      <c r="K27" s="94"/>
      <c r="L27" s="94"/>
      <c r="M27" s="95"/>
    </row>
    <row r="28" spans="1:13" s="1" customFormat="1" ht="16.5" customHeight="1">
      <c r="A28" s="93" t="s">
        <v>58</v>
      </c>
      <c r="B28" s="94"/>
      <c r="C28" s="94"/>
      <c r="D28" s="94"/>
      <c r="E28" s="94"/>
      <c r="F28" s="94"/>
      <c r="G28" s="94"/>
      <c r="H28" s="94"/>
      <c r="I28" s="94"/>
      <c r="J28" s="94"/>
      <c r="K28" s="94"/>
      <c r="L28" s="94"/>
      <c r="M28" s="95"/>
    </row>
    <row r="29" spans="1:13" s="1" customFormat="1" ht="16.5" customHeight="1">
      <c r="A29" s="93" t="s">
        <v>59</v>
      </c>
      <c r="B29" s="94"/>
      <c r="C29" s="94"/>
      <c r="D29" s="94"/>
      <c r="E29" s="94"/>
      <c r="F29" s="94"/>
      <c r="G29" s="94"/>
      <c r="H29" s="94"/>
      <c r="I29" s="94"/>
      <c r="J29" s="94"/>
      <c r="K29" s="94"/>
      <c r="L29" s="94"/>
      <c r="M29" s="95"/>
    </row>
    <row r="30" spans="1:13" ht="16.5" customHeight="1">
      <c r="A30" s="106" t="s">
        <v>29</v>
      </c>
      <c r="B30" s="107"/>
      <c r="C30" s="107"/>
      <c r="D30" s="107"/>
      <c r="E30" s="107"/>
      <c r="F30" s="107"/>
      <c r="G30" s="107"/>
      <c r="H30" s="107"/>
      <c r="I30" s="107"/>
      <c r="J30" s="107"/>
      <c r="K30" s="107"/>
      <c r="L30" s="107"/>
      <c r="M30" s="108"/>
    </row>
    <row r="31" spans="1:13" ht="10.5" customHeight="1" thickBot="1">
      <c r="A31" s="109"/>
      <c r="B31" s="110"/>
      <c r="C31" s="110"/>
      <c r="D31" s="110"/>
      <c r="E31" s="110"/>
      <c r="F31" s="110"/>
      <c r="G31" s="110"/>
      <c r="H31" s="110"/>
      <c r="I31" s="110"/>
      <c r="J31" s="110"/>
      <c r="K31" s="110"/>
      <c r="L31" s="110"/>
      <c r="M31" s="111"/>
    </row>
    <row r="32" spans="1:13" ht="24" customHeight="1" thickBot="1">
      <c r="A32" s="72" t="s">
        <v>30</v>
      </c>
      <c r="B32" s="73"/>
      <c r="C32" s="73"/>
      <c r="D32" s="73"/>
      <c r="E32" s="73"/>
      <c r="F32" s="73"/>
      <c r="G32" s="73"/>
      <c r="H32" s="73"/>
      <c r="I32" s="73"/>
      <c r="J32" s="73"/>
      <c r="K32" s="73"/>
      <c r="L32" s="73"/>
      <c r="M32" s="74"/>
    </row>
    <row r="33" spans="1:15" ht="24" customHeight="1" thickBot="1">
      <c r="A33" s="72" t="s">
        <v>31</v>
      </c>
      <c r="B33" s="73"/>
      <c r="C33" s="73"/>
      <c r="D33" s="73"/>
      <c r="E33" s="73"/>
      <c r="F33" s="73"/>
      <c r="G33" s="73"/>
      <c r="H33" s="73"/>
      <c r="I33" s="73"/>
      <c r="J33" s="73"/>
      <c r="K33" s="73"/>
      <c r="L33" s="73"/>
      <c r="M33" s="74"/>
    </row>
    <row r="34" spans="1:15" ht="24" customHeight="1" thickBot="1">
      <c r="A34" s="72" t="s">
        <v>131</v>
      </c>
      <c r="B34" s="73"/>
      <c r="C34" s="73"/>
      <c r="D34" s="73"/>
      <c r="E34" s="73"/>
      <c r="F34" s="73"/>
      <c r="G34" s="73"/>
      <c r="H34" s="73"/>
      <c r="I34" s="73"/>
      <c r="J34" s="73"/>
      <c r="K34" s="73"/>
      <c r="L34" s="73"/>
      <c r="M34" s="74"/>
    </row>
    <row r="35" spans="1:15" ht="24" customHeight="1" thickBot="1">
      <c r="A35" s="60" t="s">
        <v>46</v>
      </c>
      <c r="B35" s="61"/>
      <c r="C35" s="61"/>
      <c r="D35" s="61"/>
      <c r="E35" s="61"/>
      <c r="F35" s="61"/>
      <c r="G35" s="61"/>
      <c r="H35" s="61"/>
      <c r="I35" s="61"/>
      <c r="J35" s="61"/>
      <c r="K35" s="61"/>
      <c r="L35" s="61"/>
      <c r="M35" s="62"/>
    </row>
    <row r="36" spans="1:15" ht="11.1" customHeight="1">
      <c r="A36" s="104" t="s">
        <v>48</v>
      </c>
      <c r="B36" s="104"/>
      <c r="C36" s="104"/>
      <c r="D36" s="104"/>
      <c r="E36" s="104"/>
      <c r="F36" s="104"/>
      <c r="G36" s="104"/>
      <c r="H36" s="104"/>
      <c r="I36" s="104"/>
      <c r="J36" s="104"/>
      <c r="K36" s="104"/>
      <c r="L36" s="104"/>
      <c r="M36" s="104"/>
    </row>
    <row r="37" spans="1:15" ht="11.1" customHeight="1">
      <c r="A37" s="105" t="s">
        <v>49</v>
      </c>
      <c r="B37" s="105"/>
      <c r="C37" s="105"/>
      <c r="D37" s="105"/>
      <c r="E37" s="105"/>
      <c r="F37" s="105"/>
      <c r="G37" s="105"/>
      <c r="H37" s="105"/>
      <c r="I37" s="105"/>
      <c r="J37" s="105"/>
      <c r="K37" s="105"/>
      <c r="L37" s="105"/>
      <c r="M37" s="105"/>
    </row>
    <row r="38" spans="1:15" ht="11.1" customHeight="1">
      <c r="A38" s="105" t="s">
        <v>50</v>
      </c>
      <c r="B38" s="105"/>
      <c r="C38" s="105"/>
      <c r="D38" s="105"/>
      <c r="E38" s="105"/>
      <c r="F38" s="105"/>
      <c r="G38" s="105"/>
      <c r="H38" s="105"/>
      <c r="I38" s="105"/>
      <c r="J38" s="105"/>
      <c r="K38" s="105"/>
      <c r="L38" s="105"/>
      <c r="M38" s="105"/>
    </row>
    <row r="39" spans="1:15" ht="11.1" customHeight="1">
      <c r="A39" s="104" t="s">
        <v>51</v>
      </c>
      <c r="B39" s="104"/>
      <c r="C39" s="104"/>
      <c r="D39" s="104"/>
      <c r="E39" s="104"/>
      <c r="F39" s="104"/>
      <c r="G39" s="104"/>
      <c r="H39" s="104"/>
      <c r="I39" s="104"/>
      <c r="J39" s="104"/>
      <c r="K39" s="104"/>
      <c r="L39" s="104"/>
      <c r="M39" s="104"/>
    </row>
    <row r="40" spans="1:15" ht="11.1" customHeight="1">
      <c r="A40" s="104" t="s">
        <v>52</v>
      </c>
      <c r="B40" s="104"/>
      <c r="C40" s="104"/>
      <c r="D40" s="104"/>
      <c r="E40" s="104"/>
      <c r="F40" s="104"/>
      <c r="G40" s="104"/>
      <c r="H40" s="104"/>
      <c r="I40" s="104"/>
      <c r="J40" s="104"/>
      <c r="K40" s="104"/>
      <c r="L40" s="104"/>
      <c r="M40" s="104"/>
    </row>
    <row r="41" spans="1:15" ht="11.1" customHeight="1">
      <c r="A41" s="104" t="s">
        <v>53</v>
      </c>
      <c r="B41" s="104"/>
      <c r="C41" s="104"/>
      <c r="D41" s="104"/>
      <c r="E41" s="104"/>
      <c r="F41" s="104"/>
      <c r="G41" s="104"/>
      <c r="H41" s="104"/>
      <c r="I41" s="104"/>
      <c r="J41" s="104"/>
      <c r="K41" s="104"/>
      <c r="L41" s="104"/>
      <c r="M41" s="104"/>
    </row>
    <row r="42" spans="1:15" ht="11.1" customHeight="1">
      <c r="A42" s="101" t="s">
        <v>54</v>
      </c>
      <c r="B42" s="101"/>
      <c r="C42" s="101"/>
      <c r="D42" s="101"/>
      <c r="E42" s="101"/>
      <c r="F42" s="101"/>
      <c r="G42" s="101"/>
      <c r="H42" s="101"/>
      <c r="I42" s="101"/>
      <c r="J42" s="101"/>
      <c r="K42" s="101"/>
      <c r="L42" s="101"/>
      <c r="M42" s="101"/>
    </row>
    <row r="43" spans="1:15" ht="11.1" customHeight="1">
      <c r="A43" s="101" t="s">
        <v>55</v>
      </c>
      <c r="B43" s="101"/>
      <c r="C43" s="101"/>
      <c r="D43" s="101"/>
      <c r="E43" s="101"/>
      <c r="F43" s="101"/>
      <c r="G43" s="101"/>
      <c r="H43" s="101"/>
      <c r="I43" s="101"/>
      <c r="J43" s="101"/>
      <c r="K43" s="101"/>
      <c r="L43" s="101"/>
      <c r="M43" s="101"/>
    </row>
    <row r="44" spans="1:15" ht="19.5" customHeight="1">
      <c r="A44" s="69" t="s">
        <v>0</v>
      </c>
      <c r="B44" s="69"/>
      <c r="C44" s="69"/>
      <c r="D44" s="69"/>
      <c r="E44" s="69"/>
      <c r="F44" s="69"/>
      <c r="G44" s="69"/>
      <c r="H44" s="69"/>
      <c r="I44" s="69"/>
      <c r="J44" s="69"/>
      <c r="K44" s="69"/>
      <c r="L44" s="69"/>
      <c r="M44" s="69"/>
    </row>
    <row r="45" spans="1:15" ht="20.100000000000001" customHeight="1">
      <c r="A45" s="4" t="s">
        <v>32</v>
      </c>
      <c r="B45" s="5">
        <f>+B2+1</f>
        <v>37</v>
      </c>
      <c r="C45" s="30"/>
      <c r="D45" s="30"/>
      <c r="E45" s="30"/>
      <c r="F45" s="30"/>
      <c r="G45" s="30"/>
      <c r="H45" s="30"/>
      <c r="I45" s="30"/>
      <c r="J45" s="30"/>
      <c r="K45" s="30"/>
      <c r="L45" s="30"/>
      <c r="M45" s="30"/>
    </row>
    <row r="46" spans="1:15" ht="24" customHeight="1" thickBot="1">
      <c r="A46" s="4" t="s">
        <v>33</v>
      </c>
      <c r="H46" s="70" t="s">
        <v>34</v>
      </c>
      <c r="I46" s="70"/>
      <c r="J46" s="70"/>
      <c r="K46" s="102">
        <f>+K3+1</f>
        <v>45963</v>
      </c>
      <c r="L46" s="102"/>
      <c r="M46" s="102"/>
      <c r="O46" s="7"/>
    </row>
    <row r="47" spans="1:15" ht="33.75" customHeight="1" thickBot="1">
      <c r="A47" s="80" t="s">
        <v>1</v>
      </c>
      <c r="B47" s="81"/>
      <c r="C47" s="82"/>
      <c r="D47" s="86" t="str">
        <f>+D4</f>
        <v>光明國中B與C區5樓老舊廁所整修工程</v>
      </c>
      <c r="E47" s="87"/>
      <c r="F47" s="87"/>
      <c r="G47" s="88"/>
      <c r="H47" s="80" t="s">
        <v>2</v>
      </c>
      <c r="I47" s="81"/>
      <c r="J47" s="82"/>
      <c r="K47" s="80" t="s">
        <v>35</v>
      </c>
      <c r="L47" s="81"/>
      <c r="M47" s="82"/>
    </row>
    <row r="48" spans="1:15" ht="33.75" customHeight="1" thickBot="1">
      <c r="A48" s="8" t="s">
        <v>3</v>
      </c>
      <c r="B48" s="29">
        <f>+B5</f>
        <v>142</v>
      </c>
      <c r="C48" s="10" t="s">
        <v>36</v>
      </c>
      <c r="D48" s="80" t="s">
        <v>4</v>
      </c>
      <c r="E48" s="89"/>
      <c r="F48" s="31">
        <f>+F5+1</f>
        <v>37</v>
      </c>
      <c r="G48" s="12" t="s">
        <v>36</v>
      </c>
      <c r="H48" s="13" t="s">
        <v>5</v>
      </c>
      <c r="I48" s="29">
        <f>+B48-F48</f>
        <v>105</v>
      </c>
      <c r="J48" s="10" t="s">
        <v>36</v>
      </c>
      <c r="K48" s="80" t="s">
        <v>6</v>
      </c>
      <c r="L48" s="82"/>
      <c r="M48" s="13">
        <f>+M5</f>
        <v>12</v>
      </c>
    </row>
    <row r="49" spans="1:13" ht="24" customHeight="1" thickBot="1">
      <c r="A49" s="80" t="s">
        <v>7</v>
      </c>
      <c r="B49" s="81"/>
      <c r="C49" s="82"/>
      <c r="D49" s="80" t="str">
        <f>+D6</f>
        <v>114.9.27</v>
      </c>
      <c r="E49" s="81"/>
      <c r="F49" s="81"/>
      <c r="G49" s="82"/>
      <c r="H49" s="80" t="s">
        <v>8</v>
      </c>
      <c r="I49" s="81"/>
      <c r="J49" s="82"/>
      <c r="K49" s="80" t="str">
        <f>+K6</f>
        <v>115.2.15</v>
      </c>
      <c r="L49" s="81"/>
      <c r="M49" s="82"/>
    </row>
    <row r="50" spans="1:13" ht="24" customHeight="1" thickBot="1">
      <c r="A50" s="80" t="s">
        <v>37</v>
      </c>
      <c r="B50" s="81"/>
      <c r="C50" s="82"/>
      <c r="D50" s="83">
        <v>0.126</v>
      </c>
      <c r="E50" s="84"/>
      <c r="F50" s="84"/>
      <c r="G50" s="85"/>
      <c r="H50" s="80" t="s">
        <v>38</v>
      </c>
      <c r="I50" s="81"/>
      <c r="J50" s="82"/>
      <c r="K50" s="83">
        <f>+K7</f>
        <v>0.17699999999999999</v>
      </c>
      <c r="L50" s="84"/>
      <c r="M50" s="85"/>
    </row>
    <row r="51" spans="1:13" ht="24" customHeight="1" thickBot="1">
      <c r="A51" s="72" t="s">
        <v>9</v>
      </c>
      <c r="B51" s="73"/>
      <c r="C51" s="73"/>
      <c r="D51" s="73"/>
      <c r="E51" s="73"/>
      <c r="F51" s="73"/>
      <c r="G51" s="73"/>
      <c r="H51" s="73"/>
      <c r="I51" s="73"/>
      <c r="J51" s="73"/>
      <c r="K51" s="73"/>
      <c r="L51" s="73"/>
      <c r="M51" s="74"/>
    </row>
    <row r="52" spans="1:13" ht="35.25" customHeight="1" thickBot="1">
      <c r="A52" s="75" t="s">
        <v>10</v>
      </c>
      <c r="B52" s="76"/>
      <c r="C52" s="76"/>
      <c r="D52" s="77"/>
      <c r="E52" s="14" t="s">
        <v>11</v>
      </c>
      <c r="F52" s="75" t="s">
        <v>12</v>
      </c>
      <c r="G52" s="77"/>
      <c r="H52" s="75" t="s">
        <v>13</v>
      </c>
      <c r="I52" s="77"/>
      <c r="J52" s="78" t="s">
        <v>14</v>
      </c>
      <c r="K52" s="79"/>
      <c r="L52" s="75" t="s">
        <v>15</v>
      </c>
      <c r="M52" s="77"/>
    </row>
    <row r="53" spans="1:13" ht="27" customHeight="1" thickBot="1">
      <c r="A53" s="63"/>
      <c r="B53" s="64"/>
      <c r="C53" s="64"/>
      <c r="D53" s="65"/>
      <c r="E53" s="2"/>
      <c r="F53" s="56"/>
      <c r="G53" s="57"/>
      <c r="H53" s="56"/>
      <c r="I53" s="57"/>
      <c r="J53" s="56"/>
      <c r="K53" s="57"/>
      <c r="L53" s="58"/>
      <c r="M53" s="59"/>
    </row>
    <row r="54" spans="1:13" ht="27" customHeight="1" thickBot="1">
      <c r="A54" s="123"/>
      <c r="B54" s="124"/>
      <c r="C54" s="124"/>
      <c r="D54" s="125"/>
      <c r="E54" s="15"/>
      <c r="F54" s="126"/>
      <c r="G54" s="127"/>
      <c r="H54" s="126"/>
      <c r="I54" s="127"/>
      <c r="J54" s="126"/>
      <c r="K54" s="127"/>
      <c r="L54" s="128"/>
      <c r="M54" s="129"/>
    </row>
    <row r="55" spans="1:13" ht="24.95" customHeight="1" thickTop="1" thickBot="1">
      <c r="A55" s="130" t="s">
        <v>16</v>
      </c>
      <c r="B55" s="67"/>
      <c r="C55" s="67"/>
      <c r="D55" s="68"/>
      <c r="E55" s="32"/>
      <c r="F55" s="131"/>
      <c r="G55" s="132"/>
      <c r="H55" s="131"/>
      <c r="I55" s="132"/>
      <c r="J55" s="131"/>
      <c r="K55" s="132"/>
      <c r="L55" s="131"/>
      <c r="M55" s="133"/>
    </row>
    <row r="56" spans="1:13" ht="24.95" customHeight="1" thickBot="1">
      <c r="A56" s="134" t="s">
        <v>17</v>
      </c>
      <c r="B56" s="135"/>
      <c r="C56" s="135"/>
      <c r="D56" s="59"/>
      <c r="E56" s="32"/>
      <c r="F56" s="58"/>
      <c r="G56" s="59"/>
      <c r="H56" s="58"/>
      <c r="I56" s="59"/>
      <c r="J56" s="58"/>
      <c r="K56" s="59"/>
      <c r="L56" s="58"/>
      <c r="M56" s="136"/>
    </row>
    <row r="57" spans="1:13" ht="24.95" customHeight="1" thickBot="1">
      <c r="A57" s="118" t="s">
        <v>18</v>
      </c>
      <c r="B57" s="119"/>
      <c r="C57" s="119"/>
      <c r="D57" s="120"/>
      <c r="E57" s="24"/>
      <c r="F57" s="121"/>
      <c r="G57" s="120"/>
      <c r="H57" s="121"/>
      <c r="I57" s="120"/>
      <c r="J57" s="121"/>
      <c r="K57" s="120"/>
      <c r="L57" s="121"/>
      <c r="M57" s="122"/>
    </row>
    <row r="58" spans="1:13" ht="24" customHeight="1" thickTop="1" thickBot="1">
      <c r="A58" s="66" t="s">
        <v>19</v>
      </c>
      <c r="B58" s="67"/>
      <c r="C58" s="67"/>
      <c r="D58" s="67"/>
      <c r="E58" s="67"/>
      <c r="F58" s="67"/>
      <c r="G58" s="67"/>
      <c r="H58" s="67"/>
      <c r="I58" s="67"/>
      <c r="J58" s="67"/>
      <c r="K58" s="67"/>
      <c r="L58" s="67"/>
      <c r="M58" s="68"/>
    </row>
    <row r="59" spans="1:13" ht="35.25" customHeight="1" thickBot="1">
      <c r="A59" s="75" t="s">
        <v>20</v>
      </c>
      <c r="B59" s="76"/>
      <c r="C59" s="76"/>
      <c r="D59" s="77"/>
      <c r="E59" s="14" t="s">
        <v>11</v>
      </c>
      <c r="F59" s="75" t="s">
        <v>39</v>
      </c>
      <c r="G59" s="77"/>
      <c r="H59" s="75" t="s">
        <v>21</v>
      </c>
      <c r="I59" s="77"/>
      <c r="J59" s="78" t="s">
        <v>22</v>
      </c>
      <c r="K59" s="79"/>
      <c r="L59" s="75" t="s">
        <v>15</v>
      </c>
      <c r="M59" s="77"/>
    </row>
    <row r="60" spans="1:13" ht="24" customHeight="1" thickBot="1">
      <c r="A60" s="96"/>
      <c r="B60" s="97"/>
      <c r="C60" s="97"/>
      <c r="D60" s="98"/>
      <c r="E60" s="32"/>
      <c r="F60" s="58"/>
      <c r="G60" s="59"/>
      <c r="H60" s="58"/>
      <c r="I60" s="59"/>
      <c r="J60" s="56"/>
      <c r="K60" s="57"/>
      <c r="L60" s="58"/>
      <c r="M60" s="59"/>
    </row>
    <row r="61" spans="1:13" ht="24" customHeight="1" thickBot="1">
      <c r="A61" s="96"/>
      <c r="B61" s="97"/>
      <c r="C61" s="97"/>
      <c r="D61" s="98"/>
      <c r="E61" s="32"/>
      <c r="F61" s="58"/>
      <c r="G61" s="59"/>
      <c r="H61" s="58"/>
      <c r="I61" s="59"/>
      <c r="J61" s="56"/>
      <c r="K61" s="57"/>
      <c r="L61" s="58"/>
      <c r="M61" s="59"/>
    </row>
    <row r="62" spans="1:13" ht="24" customHeight="1" thickBot="1">
      <c r="A62" s="60" t="s">
        <v>23</v>
      </c>
      <c r="B62" s="61"/>
      <c r="C62" s="61"/>
      <c r="D62" s="61"/>
      <c r="E62" s="61"/>
      <c r="F62" s="61"/>
      <c r="G62" s="61"/>
      <c r="H62" s="61"/>
      <c r="I62" s="61"/>
      <c r="J62" s="61"/>
      <c r="K62" s="61"/>
      <c r="L62" s="61"/>
      <c r="M62" s="62"/>
    </row>
    <row r="63" spans="1:13" ht="35.25" customHeight="1" thickBot="1">
      <c r="A63" s="75" t="s">
        <v>24</v>
      </c>
      <c r="B63" s="77"/>
      <c r="C63" s="75" t="s">
        <v>25</v>
      </c>
      <c r="D63" s="77"/>
      <c r="E63" s="75" t="s">
        <v>26</v>
      </c>
      <c r="F63" s="76"/>
      <c r="G63" s="77"/>
      <c r="H63" s="75" t="s">
        <v>27</v>
      </c>
      <c r="I63" s="77"/>
      <c r="J63" s="78" t="s">
        <v>21</v>
      </c>
      <c r="K63" s="79"/>
      <c r="L63" s="75" t="s">
        <v>22</v>
      </c>
      <c r="M63" s="77"/>
    </row>
    <row r="64" spans="1:13" s="18" customFormat="1" ht="24.75" customHeight="1" thickBot="1">
      <c r="A64" s="99"/>
      <c r="B64" s="137"/>
      <c r="C64" s="56"/>
      <c r="D64" s="57"/>
      <c r="E64" s="56"/>
      <c r="F64" s="100"/>
      <c r="G64" s="57"/>
      <c r="H64" s="56"/>
      <c r="I64" s="57"/>
      <c r="J64" s="56"/>
      <c r="K64" s="57"/>
      <c r="L64" s="56"/>
      <c r="M64" s="57"/>
    </row>
    <row r="65" spans="1:13" s="18" customFormat="1" ht="24.75" customHeight="1" thickBot="1">
      <c r="A65" s="99"/>
      <c r="B65" s="137"/>
      <c r="C65" s="56"/>
      <c r="D65" s="57"/>
      <c r="E65" s="56"/>
      <c r="F65" s="100"/>
      <c r="G65" s="57"/>
      <c r="H65" s="56"/>
      <c r="I65" s="57"/>
      <c r="J65" s="56"/>
      <c r="K65" s="57"/>
      <c r="L65" s="56"/>
      <c r="M65" s="57"/>
    </row>
    <row r="66" spans="1:13" ht="33" customHeight="1" thickBot="1">
      <c r="A66" s="112" t="s">
        <v>60</v>
      </c>
      <c r="B66" s="113"/>
      <c r="C66" s="113"/>
      <c r="D66" s="113"/>
      <c r="E66" s="113"/>
      <c r="F66" s="113"/>
      <c r="G66" s="113"/>
      <c r="H66" s="113"/>
      <c r="I66" s="113"/>
      <c r="J66" s="113"/>
      <c r="K66" s="113"/>
      <c r="L66" s="113"/>
      <c r="M66" s="114"/>
    </row>
    <row r="67" spans="1:13" ht="16.5" customHeight="1">
      <c r="A67" s="115" t="s">
        <v>41</v>
      </c>
      <c r="B67" s="116"/>
      <c r="C67" s="116"/>
      <c r="D67" s="116"/>
      <c r="E67" s="116"/>
      <c r="F67" s="116"/>
      <c r="G67" s="116"/>
      <c r="H67" s="116"/>
      <c r="I67" s="116"/>
      <c r="J67" s="116"/>
      <c r="K67" s="116"/>
      <c r="L67" s="116"/>
      <c r="M67" s="117"/>
    </row>
    <row r="68" spans="1:13" ht="16.5" customHeight="1">
      <c r="A68" s="90" t="s">
        <v>28</v>
      </c>
      <c r="B68" s="91"/>
      <c r="C68" s="91"/>
      <c r="D68" s="91"/>
      <c r="E68" s="91"/>
      <c r="F68" s="91"/>
      <c r="G68" s="91"/>
      <c r="H68" s="91"/>
      <c r="I68" s="91"/>
      <c r="J68" s="91"/>
      <c r="K68" s="91"/>
      <c r="L68" s="91"/>
      <c r="M68" s="92"/>
    </row>
    <row r="69" spans="1:13" ht="16.5" customHeight="1">
      <c r="A69" s="106" t="s">
        <v>42</v>
      </c>
      <c r="B69" s="107"/>
      <c r="C69" s="107"/>
      <c r="D69" s="107"/>
      <c r="E69" s="107"/>
      <c r="F69" s="107"/>
      <c r="G69" s="107"/>
      <c r="H69" s="107"/>
      <c r="I69" s="107"/>
      <c r="J69" s="107"/>
      <c r="K69" s="107"/>
      <c r="L69" s="107"/>
      <c r="M69" s="108"/>
    </row>
    <row r="70" spans="1:13" ht="16.5" customHeight="1">
      <c r="A70" s="106" t="s">
        <v>43</v>
      </c>
      <c r="B70" s="107"/>
      <c r="C70" s="107"/>
      <c r="D70" s="107"/>
      <c r="E70" s="107"/>
      <c r="F70" s="107"/>
      <c r="G70" s="107"/>
      <c r="H70" s="107"/>
      <c r="I70" s="107"/>
      <c r="J70" s="107"/>
      <c r="K70" s="107"/>
      <c r="L70" s="107"/>
      <c r="M70" s="108"/>
    </row>
    <row r="71" spans="1:13" ht="16.5" customHeight="1">
      <c r="A71" s="106" t="s">
        <v>44</v>
      </c>
      <c r="B71" s="107"/>
      <c r="C71" s="107"/>
      <c r="D71" s="107"/>
      <c r="E71" s="107"/>
      <c r="F71" s="107"/>
      <c r="G71" s="107"/>
      <c r="H71" s="107"/>
      <c r="I71" s="107"/>
      <c r="J71" s="107"/>
      <c r="K71" s="107"/>
      <c r="L71" s="107"/>
      <c r="M71" s="108"/>
    </row>
    <row r="72" spans="1:13" ht="16.5" customHeight="1">
      <c r="A72" s="106" t="s">
        <v>45</v>
      </c>
      <c r="B72" s="107"/>
      <c r="C72" s="107"/>
      <c r="D72" s="107"/>
      <c r="E72" s="107"/>
      <c r="F72" s="107"/>
      <c r="G72" s="107"/>
      <c r="H72" s="107"/>
      <c r="I72" s="107"/>
      <c r="J72" s="107"/>
      <c r="K72" s="107"/>
      <c r="L72" s="107"/>
      <c r="M72" s="108"/>
    </row>
    <row r="73" spans="1:13" ht="16.5" customHeight="1">
      <c r="A73" s="106" t="s">
        <v>29</v>
      </c>
      <c r="B73" s="107"/>
      <c r="C73" s="107"/>
      <c r="D73" s="107"/>
      <c r="E73" s="107"/>
      <c r="F73" s="107"/>
      <c r="G73" s="107"/>
      <c r="H73" s="107"/>
      <c r="I73" s="107"/>
      <c r="J73" s="107"/>
      <c r="K73" s="107"/>
      <c r="L73" s="107"/>
      <c r="M73" s="108"/>
    </row>
    <row r="74" spans="1:13" ht="9.75" customHeight="1" thickBot="1">
      <c r="A74" s="109"/>
      <c r="B74" s="110"/>
      <c r="C74" s="110"/>
      <c r="D74" s="110"/>
      <c r="E74" s="110"/>
      <c r="F74" s="110"/>
      <c r="G74" s="110"/>
      <c r="H74" s="110"/>
      <c r="I74" s="110"/>
      <c r="J74" s="110"/>
      <c r="K74" s="110"/>
      <c r="L74" s="110"/>
      <c r="M74" s="111"/>
    </row>
    <row r="75" spans="1:13" ht="18.75" customHeight="1" thickBot="1">
      <c r="A75" s="72" t="s">
        <v>30</v>
      </c>
      <c r="B75" s="73"/>
      <c r="C75" s="73"/>
      <c r="D75" s="73"/>
      <c r="E75" s="73"/>
      <c r="F75" s="73"/>
      <c r="G75" s="73"/>
      <c r="H75" s="73"/>
      <c r="I75" s="73"/>
      <c r="J75" s="73"/>
      <c r="K75" s="73"/>
      <c r="L75" s="73"/>
      <c r="M75" s="74"/>
    </row>
    <row r="76" spans="1:13" ht="24" customHeight="1" thickBot="1">
      <c r="A76" s="72" t="s">
        <v>31</v>
      </c>
      <c r="B76" s="73"/>
      <c r="C76" s="73"/>
      <c r="D76" s="73"/>
      <c r="E76" s="73"/>
      <c r="F76" s="73"/>
      <c r="G76" s="73"/>
      <c r="H76" s="73"/>
      <c r="I76" s="73"/>
      <c r="J76" s="73"/>
      <c r="K76" s="73"/>
      <c r="L76" s="73"/>
      <c r="M76" s="74"/>
    </row>
    <row r="77" spans="1:13" ht="24" customHeight="1" thickBot="1">
      <c r="A77" s="72" t="s">
        <v>129</v>
      </c>
      <c r="B77" s="73"/>
      <c r="C77" s="73"/>
      <c r="D77" s="73"/>
      <c r="E77" s="73"/>
      <c r="F77" s="73"/>
      <c r="G77" s="73"/>
      <c r="H77" s="73"/>
      <c r="I77" s="73"/>
      <c r="J77" s="73"/>
      <c r="K77" s="73"/>
      <c r="L77" s="73"/>
      <c r="M77" s="74"/>
    </row>
    <row r="78" spans="1:13" ht="24" customHeight="1" thickBot="1">
      <c r="A78" s="60" t="s">
        <v>46</v>
      </c>
      <c r="B78" s="61"/>
      <c r="C78" s="61"/>
      <c r="D78" s="61"/>
      <c r="E78" s="61"/>
      <c r="F78" s="61"/>
      <c r="G78" s="61"/>
      <c r="H78" s="61"/>
      <c r="I78" s="61"/>
      <c r="J78" s="61"/>
      <c r="K78" s="61"/>
      <c r="L78" s="61"/>
      <c r="M78" s="62"/>
    </row>
    <row r="79" spans="1:13" ht="11.1" customHeight="1">
      <c r="A79" s="103" t="s">
        <v>47</v>
      </c>
      <c r="B79" s="103"/>
      <c r="C79" s="103"/>
      <c r="D79" s="103"/>
      <c r="E79" s="103"/>
      <c r="F79" s="103"/>
      <c r="G79" s="103"/>
      <c r="H79" s="103"/>
      <c r="I79" s="103"/>
      <c r="J79" s="103"/>
      <c r="K79" s="103"/>
      <c r="L79" s="103"/>
      <c r="M79" s="103"/>
    </row>
    <row r="80" spans="1:13" ht="11.1" customHeight="1">
      <c r="A80" s="104" t="s">
        <v>48</v>
      </c>
      <c r="B80" s="104"/>
      <c r="C80" s="104"/>
      <c r="D80" s="104"/>
      <c r="E80" s="104"/>
      <c r="F80" s="104"/>
      <c r="G80" s="104"/>
      <c r="H80" s="104"/>
      <c r="I80" s="104"/>
      <c r="J80" s="104"/>
      <c r="K80" s="104"/>
      <c r="L80" s="104"/>
      <c r="M80" s="104"/>
    </row>
    <row r="81" spans="1:15" ht="11.1" customHeight="1">
      <c r="A81" s="105" t="s">
        <v>49</v>
      </c>
      <c r="B81" s="105"/>
      <c r="C81" s="105"/>
      <c r="D81" s="105"/>
      <c r="E81" s="105"/>
      <c r="F81" s="105"/>
      <c r="G81" s="105"/>
      <c r="H81" s="105"/>
      <c r="I81" s="105"/>
      <c r="J81" s="105"/>
      <c r="K81" s="105"/>
      <c r="L81" s="105"/>
      <c r="M81" s="105"/>
    </row>
    <row r="82" spans="1:15" ht="11.1" customHeight="1">
      <c r="A82" s="105" t="s">
        <v>50</v>
      </c>
      <c r="B82" s="105"/>
      <c r="C82" s="105"/>
      <c r="D82" s="105"/>
      <c r="E82" s="105"/>
      <c r="F82" s="105"/>
      <c r="G82" s="105"/>
      <c r="H82" s="105"/>
      <c r="I82" s="105"/>
      <c r="J82" s="105"/>
      <c r="K82" s="105"/>
      <c r="L82" s="105"/>
      <c r="M82" s="105"/>
    </row>
    <row r="83" spans="1:15" ht="11.1" customHeight="1">
      <c r="A83" s="104" t="s">
        <v>51</v>
      </c>
      <c r="B83" s="104"/>
      <c r="C83" s="104"/>
      <c r="D83" s="104"/>
      <c r="E83" s="104"/>
      <c r="F83" s="104"/>
      <c r="G83" s="104"/>
      <c r="H83" s="104"/>
      <c r="I83" s="104"/>
      <c r="J83" s="104"/>
      <c r="K83" s="104"/>
      <c r="L83" s="104"/>
      <c r="M83" s="104"/>
    </row>
    <row r="84" spans="1:15" ht="11.1" customHeight="1">
      <c r="A84" s="104" t="s">
        <v>52</v>
      </c>
      <c r="B84" s="104"/>
      <c r="C84" s="104"/>
      <c r="D84" s="104"/>
      <c r="E84" s="104"/>
      <c r="F84" s="104"/>
      <c r="G84" s="104"/>
      <c r="H84" s="104"/>
      <c r="I84" s="104"/>
      <c r="J84" s="104"/>
      <c r="K84" s="104"/>
      <c r="L84" s="104"/>
      <c r="M84" s="104"/>
    </row>
    <row r="85" spans="1:15" ht="11.1" customHeight="1">
      <c r="A85" s="104" t="s">
        <v>53</v>
      </c>
      <c r="B85" s="104"/>
      <c r="C85" s="104"/>
      <c r="D85" s="104"/>
      <c r="E85" s="104"/>
      <c r="F85" s="104"/>
      <c r="G85" s="104"/>
      <c r="H85" s="104"/>
      <c r="I85" s="104"/>
      <c r="J85" s="104"/>
      <c r="K85" s="104"/>
      <c r="L85" s="104"/>
      <c r="M85" s="104"/>
    </row>
    <row r="86" spans="1:15" ht="11.1" customHeight="1">
      <c r="A86" s="101" t="s">
        <v>54</v>
      </c>
      <c r="B86" s="101"/>
      <c r="C86" s="101"/>
      <c r="D86" s="101"/>
      <c r="E86" s="101"/>
      <c r="F86" s="101"/>
      <c r="G86" s="101"/>
      <c r="H86" s="101"/>
      <c r="I86" s="101"/>
      <c r="J86" s="101"/>
      <c r="K86" s="101"/>
      <c r="L86" s="101"/>
      <c r="M86" s="101"/>
    </row>
    <row r="87" spans="1:15" ht="11.1" customHeight="1">
      <c r="A87" s="101" t="s">
        <v>55</v>
      </c>
      <c r="B87" s="101"/>
      <c r="C87" s="101"/>
      <c r="D87" s="101"/>
      <c r="E87" s="101"/>
      <c r="F87" s="101"/>
      <c r="G87" s="101"/>
      <c r="H87" s="101"/>
      <c r="I87" s="101"/>
      <c r="J87" s="101"/>
      <c r="K87" s="101"/>
      <c r="L87" s="101"/>
      <c r="M87" s="101"/>
    </row>
    <row r="88" spans="1:15" ht="19.5" customHeight="1">
      <c r="A88" s="69" t="s">
        <v>0</v>
      </c>
      <c r="B88" s="69"/>
      <c r="C88" s="69"/>
      <c r="D88" s="69"/>
      <c r="E88" s="69"/>
      <c r="F88" s="69"/>
      <c r="G88" s="69"/>
      <c r="H88" s="69"/>
      <c r="I88" s="69"/>
      <c r="J88" s="69"/>
      <c r="K88" s="69"/>
      <c r="L88" s="69"/>
      <c r="M88" s="69"/>
    </row>
    <row r="89" spans="1:15" ht="20.100000000000001" customHeight="1">
      <c r="A89" s="4" t="s">
        <v>32</v>
      </c>
      <c r="B89" s="5">
        <f>+B45+1</f>
        <v>38</v>
      </c>
      <c r="C89" s="30"/>
      <c r="D89" s="30"/>
      <c r="E89" s="30"/>
      <c r="F89" s="30"/>
      <c r="G89" s="30"/>
      <c r="H89" s="30"/>
      <c r="I89" s="30"/>
      <c r="J89" s="30"/>
      <c r="K89" s="30"/>
      <c r="L89" s="30"/>
      <c r="M89" s="30"/>
    </row>
    <row r="90" spans="1:15" ht="24" customHeight="1" thickBot="1">
      <c r="A90" s="4" t="s">
        <v>33</v>
      </c>
      <c r="H90" s="70" t="s">
        <v>34</v>
      </c>
      <c r="I90" s="70"/>
      <c r="J90" s="70"/>
      <c r="K90" s="102">
        <f>+K46+1</f>
        <v>45964</v>
      </c>
      <c r="L90" s="102"/>
      <c r="M90" s="102"/>
      <c r="O90" s="7"/>
    </row>
    <row r="91" spans="1:15" ht="33.75" customHeight="1" thickBot="1">
      <c r="A91" s="80" t="s">
        <v>1</v>
      </c>
      <c r="B91" s="81"/>
      <c r="C91" s="82"/>
      <c r="D91" s="86" t="str">
        <f>+D47</f>
        <v>光明國中B與C區5樓老舊廁所整修工程</v>
      </c>
      <c r="E91" s="87"/>
      <c r="F91" s="87"/>
      <c r="G91" s="88"/>
      <c r="H91" s="80" t="s">
        <v>2</v>
      </c>
      <c r="I91" s="81"/>
      <c r="J91" s="82"/>
      <c r="K91" s="80" t="s">
        <v>35</v>
      </c>
      <c r="L91" s="81"/>
      <c r="M91" s="82"/>
    </row>
    <row r="92" spans="1:15" ht="33.75" customHeight="1" thickBot="1">
      <c r="A92" s="8" t="s">
        <v>3</v>
      </c>
      <c r="B92" s="29">
        <f>+B48</f>
        <v>142</v>
      </c>
      <c r="C92" s="10" t="s">
        <v>36</v>
      </c>
      <c r="D92" s="80" t="s">
        <v>4</v>
      </c>
      <c r="E92" s="89"/>
      <c r="F92" s="31">
        <f>+F48+1</f>
        <v>38</v>
      </c>
      <c r="G92" s="12" t="s">
        <v>36</v>
      </c>
      <c r="H92" s="13" t="s">
        <v>5</v>
      </c>
      <c r="I92" s="29">
        <f>+B92-F92</f>
        <v>104</v>
      </c>
      <c r="J92" s="10" t="s">
        <v>36</v>
      </c>
      <c r="K92" s="80" t="s">
        <v>6</v>
      </c>
      <c r="L92" s="82"/>
      <c r="M92" s="13">
        <f>+M48</f>
        <v>12</v>
      </c>
    </row>
    <row r="93" spans="1:15" ht="24" customHeight="1" thickBot="1">
      <c r="A93" s="80" t="s">
        <v>7</v>
      </c>
      <c r="B93" s="81"/>
      <c r="C93" s="82"/>
      <c r="D93" s="80" t="str">
        <f>+D49</f>
        <v>114.9.27</v>
      </c>
      <c r="E93" s="81"/>
      <c r="F93" s="81"/>
      <c r="G93" s="82"/>
      <c r="H93" s="80" t="s">
        <v>8</v>
      </c>
      <c r="I93" s="81"/>
      <c r="J93" s="82"/>
      <c r="K93" s="80" t="str">
        <f>+K49</f>
        <v>115.2.15</v>
      </c>
      <c r="L93" s="81"/>
      <c r="M93" s="82"/>
    </row>
    <row r="94" spans="1:15" ht="24" customHeight="1" thickBot="1">
      <c r="A94" s="80" t="s">
        <v>37</v>
      </c>
      <c r="B94" s="81"/>
      <c r="C94" s="82"/>
      <c r="D94" s="83">
        <v>0.13200000000000001</v>
      </c>
      <c r="E94" s="84"/>
      <c r="F94" s="84"/>
      <c r="G94" s="85"/>
      <c r="H94" s="80" t="s">
        <v>38</v>
      </c>
      <c r="I94" s="81"/>
      <c r="J94" s="82"/>
      <c r="K94" s="83">
        <f>+K50+0.3%</f>
        <v>0.18</v>
      </c>
      <c r="L94" s="84"/>
      <c r="M94" s="85"/>
    </row>
    <row r="95" spans="1:15" ht="24" customHeight="1" thickBot="1">
      <c r="A95" s="72" t="s">
        <v>9</v>
      </c>
      <c r="B95" s="73"/>
      <c r="C95" s="73"/>
      <c r="D95" s="73"/>
      <c r="E95" s="73"/>
      <c r="F95" s="73"/>
      <c r="G95" s="73"/>
      <c r="H95" s="73"/>
      <c r="I95" s="73"/>
      <c r="J95" s="73"/>
      <c r="K95" s="73"/>
      <c r="L95" s="73"/>
      <c r="M95" s="74"/>
    </row>
    <row r="96" spans="1:15" ht="35.25" customHeight="1" thickBot="1">
      <c r="A96" s="75" t="s">
        <v>10</v>
      </c>
      <c r="B96" s="76"/>
      <c r="C96" s="76"/>
      <c r="D96" s="77"/>
      <c r="E96" s="14" t="s">
        <v>11</v>
      </c>
      <c r="F96" s="75" t="s">
        <v>12</v>
      </c>
      <c r="G96" s="77"/>
      <c r="H96" s="75" t="s">
        <v>13</v>
      </c>
      <c r="I96" s="77"/>
      <c r="J96" s="78" t="s">
        <v>14</v>
      </c>
      <c r="K96" s="79"/>
      <c r="L96" s="75" t="s">
        <v>15</v>
      </c>
      <c r="M96" s="77"/>
    </row>
    <row r="97" spans="1:13" ht="27" customHeight="1" thickBot="1">
      <c r="A97" s="141" t="s">
        <v>92</v>
      </c>
      <c r="B97" s="142"/>
      <c r="C97" s="142"/>
      <c r="D97" s="143"/>
      <c r="E97" s="2" t="s">
        <v>69</v>
      </c>
      <c r="F97" s="56">
        <v>1</v>
      </c>
      <c r="G97" s="57"/>
      <c r="H97" s="56">
        <v>0.05</v>
      </c>
      <c r="I97" s="57"/>
      <c r="J97" s="56">
        <v>0.7</v>
      </c>
      <c r="K97" s="57"/>
      <c r="L97" s="58"/>
      <c r="M97" s="59"/>
    </row>
    <row r="98" spans="1:13" ht="27" customHeight="1" thickBot="1">
      <c r="A98" s="141"/>
      <c r="B98" s="142"/>
      <c r="C98" s="142"/>
      <c r="D98" s="143"/>
      <c r="E98" s="15"/>
      <c r="F98" s="56"/>
      <c r="G98" s="57"/>
      <c r="H98" s="56"/>
      <c r="I98" s="57"/>
      <c r="J98" s="56"/>
      <c r="K98" s="57"/>
      <c r="L98" s="58"/>
      <c r="M98" s="59"/>
    </row>
    <row r="99" spans="1:13" ht="24.95" customHeight="1" thickTop="1" thickBot="1">
      <c r="A99" s="130" t="s">
        <v>16</v>
      </c>
      <c r="B99" s="67"/>
      <c r="C99" s="67"/>
      <c r="D99" s="68"/>
      <c r="E99" s="40"/>
      <c r="F99" s="131"/>
      <c r="G99" s="132"/>
      <c r="H99" s="131"/>
      <c r="I99" s="132"/>
      <c r="J99" s="131"/>
      <c r="K99" s="132"/>
      <c r="L99" s="131"/>
      <c r="M99" s="133"/>
    </row>
    <row r="100" spans="1:13" ht="24.95" customHeight="1" thickBot="1">
      <c r="A100" s="134" t="s">
        <v>17</v>
      </c>
      <c r="B100" s="135"/>
      <c r="C100" s="135"/>
      <c r="D100" s="59"/>
      <c r="E100" s="40"/>
      <c r="F100" s="58"/>
      <c r="G100" s="59"/>
      <c r="H100" s="58"/>
      <c r="I100" s="59"/>
      <c r="J100" s="58"/>
      <c r="K100" s="59"/>
      <c r="L100" s="58"/>
      <c r="M100" s="136"/>
    </row>
    <row r="101" spans="1:13" ht="24.95" customHeight="1" thickBot="1">
      <c r="A101" s="118" t="s">
        <v>18</v>
      </c>
      <c r="B101" s="119"/>
      <c r="C101" s="119"/>
      <c r="D101" s="120"/>
      <c r="E101" s="24"/>
      <c r="F101" s="121"/>
      <c r="G101" s="120"/>
      <c r="H101" s="121"/>
      <c r="I101" s="120"/>
      <c r="J101" s="121"/>
      <c r="K101" s="120"/>
      <c r="L101" s="121"/>
      <c r="M101" s="122"/>
    </row>
    <row r="102" spans="1:13" ht="24" customHeight="1" thickTop="1" thickBot="1">
      <c r="A102" s="66" t="s">
        <v>19</v>
      </c>
      <c r="B102" s="67"/>
      <c r="C102" s="67"/>
      <c r="D102" s="67"/>
      <c r="E102" s="67"/>
      <c r="F102" s="67"/>
      <c r="G102" s="67"/>
      <c r="H102" s="67"/>
      <c r="I102" s="67"/>
      <c r="J102" s="67"/>
      <c r="K102" s="67"/>
      <c r="L102" s="67"/>
      <c r="M102" s="68"/>
    </row>
    <row r="103" spans="1:13" ht="35.25" customHeight="1" thickBot="1">
      <c r="A103" s="75" t="s">
        <v>20</v>
      </c>
      <c r="B103" s="76"/>
      <c r="C103" s="76"/>
      <c r="D103" s="77"/>
      <c r="E103" s="14" t="s">
        <v>11</v>
      </c>
      <c r="F103" s="75" t="s">
        <v>39</v>
      </c>
      <c r="G103" s="77"/>
      <c r="H103" s="75" t="s">
        <v>21</v>
      </c>
      <c r="I103" s="77"/>
      <c r="J103" s="78" t="s">
        <v>22</v>
      </c>
      <c r="K103" s="79"/>
      <c r="L103" s="75" t="s">
        <v>15</v>
      </c>
      <c r="M103" s="77"/>
    </row>
    <row r="104" spans="1:13" ht="27" customHeight="1" thickBot="1">
      <c r="A104" s="96"/>
      <c r="B104" s="97"/>
      <c r="C104" s="97"/>
      <c r="D104" s="98"/>
      <c r="E104" s="40"/>
      <c r="F104" s="58"/>
      <c r="G104" s="59"/>
      <c r="H104" s="58"/>
      <c r="I104" s="59"/>
      <c r="J104" s="56"/>
      <c r="K104" s="57"/>
      <c r="L104" s="58"/>
      <c r="M104" s="59"/>
    </row>
    <row r="105" spans="1:13" ht="27" customHeight="1" thickBot="1">
      <c r="A105" s="96"/>
      <c r="B105" s="97"/>
      <c r="C105" s="97"/>
      <c r="D105" s="98"/>
      <c r="E105" s="40"/>
      <c r="F105" s="58"/>
      <c r="G105" s="59"/>
      <c r="H105" s="58"/>
      <c r="I105" s="59"/>
      <c r="J105" s="56"/>
      <c r="K105" s="57"/>
      <c r="L105" s="58"/>
      <c r="M105" s="59"/>
    </row>
    <row r="106" spans="1:13" ht="24" customHeight="1" thickBot="1">
      <c r="A106" s="60" t="s">
        <v>23</v>
      </c>
      <c r="B106" s="61"/>
      <c r="C106" s="61"/>
      <c r="D106" s="61"/>
      <c r="E106" s="61"/>
      <c r="F106" s="61"/>
      <c r="G106" s="61"/>
      <c r="H106" s="61"/>
      <c r="I106" s="61"/>
      <c r="J106" s="61"/>
      <c r="K106" s="61"/>
      <c r="L106" s="61"/>
      <c r="M106" s="62"/>
    </row>
    <row r="107" spans="1:13" ht="35.25" customHeight="1" thickBot="1">
      <c r="A107" s="75" t="s">
        <v>24</v>
      </c>
      <c r="B107" s="77"/>
      <c r="C107" s="75" t="s">
        <v>25</v>
      </c>
      <c r="D107" s="77"/>
      <c r="E107" s="75" t="s">
        <v>26</v>
      </c>
      <c r="F107" s="76"/>
      <c r="G107" s="77"/>
      <c r="H107" s="75" t="s">
        <v>27</v>
      </c>
      <c r="I107" s="77"/>
      <c r="J107" s="78" t="s">
        <v>21</v>
      </c>
      <c r="K107" s="79"/>
      <c r="L107" s="75" t="s">
        <v>22</v>
      </c>
      <c r="M107" s="77"/>
    </row>
    <row r="108" spans="1:13" s="18" customFormat="1" ht="27" customHeight="1" thickBot="1">
      <c r="A108" s="99" t="s">
        <v>80</v>
      </c>
      <c r="B108" s="98"/>
      <c r="C108" s="56">
        <v>1</v>
      </c>
      <c r="D108" s="57"/>
      <c r="E108" s="56">
        <v>21</v>
      </c>
      <c r="F108" s="100"/>
      <c r="G108" s="57"/>
      <c r="H108" s="56"/>
      <c r="I108" s="57"/>
      <c r="J108" s="56"/>
      <c r="K108" s="57"/>
      <c r="L108" s="56"/>
      <c r="M108" s="57"/>
    </row>
    <row r="109" spans="1:13" s="18" customFormat="1" ht="27" customHeight="1" thickBot="1">
      <c r="A109" s="99"/>
      <c r="B109" s="98"/>
      <c r="C109" s="56"/>
      <c r="D109" s="57"/>
      <c r="E109" s="56"/>
      <c r="F109" s="100"/>
      <c r="G109" s="57"/>
      <c r="H109" s="56"/>
      <c r="I109" s="57"/>
      <c r="J109" s="56"/>
      <c r="K109" s="57"/>
      <c r="L109" s="56"/>
      <c r="M109" s="57"/>
    </row>
    <row r="110" spans="1:13" ht="33" customHeight="1" thickBot="1">
      <c r="A110" s="112" t="s">
        <v>40</v>
      </c>
      <c r="B110" s="113"/>
      <c r="C110" s="113"/>
      <c r="D110" s="113"/>
      <c r="E110" s="113"/>
      <c r="F110" s="113"/>
      <c r="G110" s="113"/>
      <c r="H110" s="113"/>
      <c r="I110" s="113"/>
      <c r="J110" s="113"/>
      <c r="K110" s="113"/>
      <c r="L110" s="113"/>
      <c r="M110" s="114"/>
    </row>
    <row r="111" spans="1:13" ht="16.5" customHeight="1">
      <c r="A111" s="115" t="s">
        <v>41</v>
      </c>
      <c r="B111" s="116"/>
      <c r="C111" s="116"/>
      <c r="D111" s="116"/>
      <c r="E111" s="116"/>
      <c r="F111" s="116"/>
      <c r="G111" s="116"/>
      <c r="H111" s="116"/>
      <c r="I111" s="116"/>
      <c r="J111" s="116"/>
      <c r="K111" s="116"/>
      <c r="L111" s="116"/>
      <c r="M111" s="117"/>
    </row>
    <row r="112" spans="1:13" ht="16.5" customHeight="1">
      <c r="A112" s="90" t="s">
        <v>28</v>
      </c>
      <c r="B112" s="91"/>
      <c r="C112" s="91"/>
      <c r="D112" s="91"/>
      <c r="E112" s="91"/>
      <c r="F112" s="91"/>
      <c r="G112" s="91"/>
      <c r="H112" s="91"/>
      <c r="I112" s="91"/>
      <c r="J112" s="91"/>
      <c r="K112" s="91"/>
      <c r="L112" s="91"/>
      <c r="M112" s="92"/>
    </row>
    <row r="113" spans="1:13" s="1" customFormat="1" ht="16.5" customHeight="1">
      <c r="A113" s="93" t="s">
        <v>56</v>
      </c>
      <c r="B113" s="94"/>
      <c r="C113" s="94"/>
      <c r="D113" s="94"/>
      <c r="E113" s="94"/>
      <c r="F113" s="94"/>
      <c r="G113" s="94"/>
      <c r="H113" s="94"/>
      <c r="I113" s="94"/>
      <c r="J113" s="94"/>
      <c r="K113" s="94"/>
      <c r="L113" s="94"/>
      <c r="M113" s="95"/>
    </row>
    <row r="114" spans="1:13" s="1" customFormat="1" ht="16.5" customHeight="1">
      <c r="A114" s="93" t="s">
        <v>57</v>
      </c>
      <c r="B114" s="94"/>
      <c r="C114" s="94"/>
      <c r="D114" s="94"/>
      <c r="E114" s="94"/>
      <c r="F114" s="94"/>
      <c r="G114" s="94"/>
      <c r="H114" s="94"/>
      <c r="I114" s="94"/>
      <c r="J114" s="94"/>
      <c r="K114" s="94"/>
      <c r="L114" s="94"/>
      <c r="M114" s="95"/>
    </row>
    <row r="115" spans="1:13" s="1" customFormat="1" ht="16.5" customHeight="1">
      <c r="A115" s="93" t="s">
        <v>58</v>
      </c>
      <c r="B115" s="94"/>
      <c r="C115" s="94"/>
      <c r="D115" s="94"/>
      <c r="E115" s="94"/>
      <c r="F115" s="94"/>
      <c r="G115" s="94"/>
      <c r="H115" s="94"/>
      <c r="I115" s="94"/>
      <c r="J115" s="94"/>
      <c r="K115" s="94"/>
      <c r="L115" s="94"/>
      <c r="M115" s="95"/>
    </row>
    <row r="116" spans="1:13" s="1" customFormat="1" ht="16.5" customHeight="1">
      <c r="A116" s="93" t="s">
        <v>59</v>
      </c>
      <c r="B116" s="94"/>
      <c r="C116" s="94"/>
      <c r="D116" s="94"/>
      <c r="E116" s="94"/>
      <c r="F116" s="94"/>
      <c r="G116" s="94"/>
      <c r="H116" s="94"/>
      <c r="I116" s="94"/>
      <c r="J116" s="94"/>
      <c r="K116" s="94"/>
      <c r="L116" s="94"/>
      <c r="M116" s="95"/>
    </row>
    <row r="117" spans="1:13" ht="16.5" customHeight="1">
      <c r="A117" s="106" t="s">
        <v>29</v>
      </c>
      <c r="B117" s="107"/>
      <c r="C117" s="107"/>
      <c r="D117" s="107"/>
      <c r="E117" s="107"/>
      <c r="F117" s="107"/>
      <c r="G117" s="107"/>
      <c r="H117" s="107"/>
      <c r="I117" s="107"/>
      <c r="J117" s="107"/>
      <c r="K117" s="107"/>
      <c r="L117" s="107"/>
      <c r="M117" s="108"/>
    </row>
    <row r="118" spans="1:13" ht="10.5" customHeight="1" thickBot="1">
      <c r="A118" s="109"/>
      <c r="B118" s="110"/>
      <c r="C118" s="110"/>
      <c r="D118" s="110"/>
      <c r="E118" s="110"/>
      <c r="F118" s="110"/>
      <c r="G118" s="110"/>
      <c r="H118" s="110"/>
      <c r="I118" s="110"/>
      <c r="J118" s="110"/>
      <c r="K118" s="110"/>
      <c r="L118" s="110"/>
      <c r="M118" s="111"/>
    </row>
    <row r="119" spans="1:13" ht="24" customHeight="1" thickBot="1">
      <c r="A119" s="72" t="s">
        <v>30</v>
      </c>
      <c r="B119" s="73"/>
      <c r="C119" s="73"/>
      <c r="D119" s="73"/>
      <c r="E119" s="73"/>
      <c r="F119" s="73"/>
      <c r="G119" s="73"/>
      <c r="H119" s="73"/>
      <c r="I119" s="73"/>
      <c r="J119" s="73"/>
      <c r="K119" s="73"/>
      <c r="L119" s="73"/>
      <c r="M119" s="74"/>
    </row>
    <row r="120" spans="1:13" ht="24" customHeight="1" thickBot="1">
      <c r="A120" s="72" t="s">
        <v>31</v>
      </c>
      <c r="B120" s="73"/>
      <c r="C120" s="73"/>
      <c r="D120" s="73"/>
      <c r="E120" s="73"/>
      <c r="F120" s="73"/>
      <c r="G120" s="73"/>
      <c r="H120" s="73"/>
      <c r="I120" s="73"/>
      <c r="J120" s="73"/>
      <c r="K120" s="73"/>
      <c r="L120" s="73"/>
      <c r="M120" s="74"/>
    </row>
    <row r="121" spans="1:13" ht="24" customHeight="1" thickBot="1">
      <c r="A121" s="72" t="s">
        <v>131</v>
      </c>
      <c r="B121" s="73"/>
      <c r="C121" s="73"/>
      <c r="D121" s="73"/>
      <c r="E121" s="73"/>
      <c r="F121" s="73"/>
      <c r="G121" s="73"/>
      <c r="H121" s="73"/>
      <c r="I121" s="73"/>
      <c r="J121" s="73"/>
      <c r="K121" s="73"/>
      <c r="L121" s="73"/>
      <c r="M121" s="74"/>
    </row>
    <row r="122" spans="1:13" ht="24" customHeight="1" thickBot="1">
      <c r="A122" s="72" t="s">
        <v>127</v>
      </c>
      <c r="B122" s="73"/>
      <c r="C122" s="73"/>
      <c r="D122" s="73"/>
      <c r="E122" s="73"/>
      <c r="F122" s="73"/>
      <c r="G122" s="73"/>
      <c r="H122" s="73"/>
      <c r="I122" s="73"/>
      <c r="J122" s="73"/>
      <c r="K122" s="73"/>
      <c r="L122" s="73"/>
      <c r="M122" s="74"/>
    </row>
    <row r="123" spans="1:13" ht="11.1" customHeight="1">
      <c r="A123" s="104" t="s">
        <v>48</v>
      </c>
      <c r="B123" s="104"/>
      <c r="C123" s="104"/>
      <c r="D123" s="104"/>
      <c r="E123" s="104"/>
      <c r="F123" s="104"/>
      <c r="G123" s="104"/>
      <c r="H123" s="104"/>
      <c r="I123" s="104"/>
      <c r="J123" s="104"/>
      <c r="K123" s="104"/>
      <c r="L123" s="104"/>
      <c r="M123" s="104"/>
    </row>
    <row r="124" spans="1:13" ht="11.1" customHeight="1">
      <c r="A124" s="105" t="s">
        <v>49</v>
      </c>
      <c r="B124" s="105"/>
      <c r="C124" s="105"/>
      <c r="D124" s="105"/>
      <c r="E124" s="105"/>
      <c r="F124" s="105"/>
      <c r="G124" s="105"/>
      <c r="H124" s="105"/>
      <c r="I124" s="105"/>
      <c r="J124" s="105"/>
      <c r="K124" s="105"/>
      <c r="L124" s="105"/>
      <c r="M124" s="105"/>
    </row>
    <row r="125" spans="1:13" ht="11.1" customHeight="1">
      <c r="A125" s="105" t="s">
        <v>50</v>
      </c>
      <c r="B125" s="105"/>
      <c r="C125" s="105"/>
      <c r="D125" s="105"/>
      <c r="E125" s="105"/>
      <c r="F125" s="105"/>
      <c r="G125" s="105"/>
      <c r="H125" s="105"/>
      <c r="I125" s="105"/>
      <c r="J125" s="105"/>
      <c r="K125" s="105"/>
      <c r="L125" s="105"/>
      <c r="M125" s="105"/>
    </row>
    <row r="126" spans="1:13" ht="11.1" customHeight="1">
      <c r="A126" s="104" t="s">
        <v>51</v>
      </c>
      <c r="B126" s="104"/>
      <c r="C126" s="104"/>
      <c r="D126" s="104"/>
      <c r="E126" s="104"/>
      <c r="F126" s="104"/>
      <c r="G126" s="104"/>
      <c r="H126" s="104"/>
      <c r="I126" s="104"/>
      <c r="J126" s="104"/>
      <c r="K126" s="104"/>
      <c r="L126" s="104"/>
      <c r="M126" s="104"/>
    </row>
    <row r="127" spans="1:13" ht="11.1" customHeight="1">
      <c r="A127" s="104" t="s">
        <v>52</v>
      </c>
      <c r="B127" s="104"/>
      <c r="C127" s="104"/>
      <c r="D127" s="104"/>
      <c r="E127" s="104"/>
      <c r="F127" s="104"/>
      <c r="G127" s="104"/>
      <c r="H127" s="104"/>
      <c r="I127" s="104"/>
      <c r="J127" s="104"/>
      <c r="K127" s="104"/>
      <c r="L127" s="104"/>
      <c r="M127" s="104"/>
    </row>
    <row r="128" spans="1:13" ht="11.1" customHeight="1">
      <c r="A128" s="104" t="s">
        <v>53</v>
      </c>
      <c r="B128" s="104"/>
      <c r="C128" s="104"/>
      <c r="D128" s="104"/>
      <c r="E128" s="104"/>
      <c r="F128" s="104"/>
      <c r="G128" s="104"/>
      <c r="H128" s="104"/>
      <c r="I128" s="104"/>
      <c r="J128" s="104"/>
      <c r="K128" s="104"/>
      <c r="L128" s="104"/>
      <c r="M128" s="104"/>
    </row>
    <row r="129" spans="1:15" ht="11.1" customHeight="1">
      <c r="A129" s="101" t="s">
        <v>54</v>
      </c>
      <c r="B129" s="101"/>
      <c r="C129" s="101"/>
      <c r="D129" s="101"/>
      <c r="E129" s="101"/>
      <c r="F129" s="101"/>
      <c r="G129" s="101"/>
      <c r="H129" s="101"/>
      <c r="I129" s="101"/>
      <c r="J129" s="101"/>
      <c r="K129" s="101"/>
      <c r="L129" s="101"/>
      <c r="M129" s="101"/>
    </row>
    <row r="130" spans="1:15" ht="11.1" customHeight="1">
      <c r="A130" s="101" t="s">
        <v>55</v>
      </c>
      <c r="B130" s="101"/>
      <c r="C130" s="101"/>
      <c r="D130" s="101"/>
      <c r="E130" s="101"/>
      <c r="F130" s="101"/>
      <c r="G130" s="101"/>
      <c r="H130" s="101"/>
      <c r="I130" s="101"/>
      <c r="J130" s="101"/>
      <c r="K130" s="101"/>
      <c r="L130" s="101"/>
      <c r="M130" s="101"/>
    </row>
    <row r="131" spans="1:15" ht="19.5" customHeight="1">
      <c r="A131" s="69" t="s">
        <v>0</v>
      </c>
      <c r="B131" s="69"/>
      <c r="C131" s="69"/>
      <c r="D131" s="69"/>
      <c r="E131" s="69"/>
      <c r="F131" s="69"/>
      <c r="G131" s="69"/>
      <c r="H131" s="69"/>
      <c r="I131" s="69"/>
      <c r="J131" s="69"/>
      <c r="K131" s="69"/>
      <c r="L131" s="69"/>
      <c r="M131" s="69"/>
    </row>
    <row r="132" spans="1:15" ht="20.100000000000001" customHeight="1">
      <c r="A132" s="4" t="s">
        <v>32</v>
      </c>
      <c r="B132" s="5">
        <f>+B89+1</f>
        <v>39</v>
      </c>
      <c r="C132" s="30"/>
      <c r="D132" s="30"/>
      <c r="E132" s="30"/>
      <c r="F132" s="30"/>
      <c r="G132" s="30"/>
      <c r="H132" s="30"/>
      <c r="I132" s="30"/>
      <c r="J132" s="30"/>
      <c r="K132" s="30"/>
      <c r="L132" s="30"/>
      <c r="M132" s="30"/>
    </row>
    <row r="133" spans="1:15" ht="24" customHeight="1" thickBot="1">
      <c r="A133" s="4" t="s">
        <v>33</v>
      </c>
      <c r="H133" s="70" t="s">
        <v>34</v>
      </c>
      <c r="I133" s="70"/>
      <c r="J133" s="70"/>
      <c r="K133" s="102">
        <f>+K90+1</f>
        <v>45965</v>
      </c>
      <c r="L133" s="102"/>
      <c r="M133" s="102"/>
      <c r="O133" s="7"/>
    </row>
    <row r="134" spans="1:15" ht="33.75" customHeight="1" thickBot="1">
      <c r="A134" s="80" t="s">
        <v>1</v>
      </c>
      <c r="B134" s="81"/>
      <c r="C134" s="82"/>
      <c r="D134" s="86" t="str">
        <f>+D91</f>
        <v>光明國中B與C區5樓老舊廁所整修工程</v>
      </c>
      <c r="E134" s="87"/>
      <c r="F134" s="87"/>
      <c r="G134" s="88"/>
      <c r="H134" s="80" t="s">
        <v>2</v>
      </c>
      <c r="I134" s="81"/>
      <c r="J134" s="82"/>
      <c r="K134" s="80" t="s">
        <v>35</v>
      </c>
      <c r="L134" s="81"/>
      <c r="M134" s="82"/>
    </row>
    <row r="135" spans="1:15" ht="33.75" customHeight="1" thickBot="1">
      <c r="A135" s="8" t="s">
        <v>3</v>
      </c>
      <c r="B135" s="29">
        <f>+B92</f>
        <v>142</v>
      </c>
      <c r="C135" s="10" t="s">
        <v>36</v>
      </c>
      <c r="D135" s="80" t="s">
        <v>4</v>
      </c>
      <c r="E135" s="89"/>
      <c r="F135" s="31">
        <f>+F92+1</f>
        <v>39</v>
      </c>
      <c r="G135" s="12" t="s">
        <v>36</v>
      </c>
      <c r="H135" s="13" t="s">
        <v>5</v>
      </c>
      <c r="I135" s="29">
        <f>+B135-F135</f>
        <v>103</v>
      </c>
      <c r="J135" s="10" t="s">
        <v>36</v>
      </c>
      <c r="K135" s="80" t="s">
        <v>6</v>
      </c>
      <c r="L135" s="82"/>
      <c r="M135" s="13">
        <f>+M92</f>
        <v>12</v>
      </c>
    </row>
    <row r="136" spans="1:15" ht="24" customHeight="1" thickBot="1">
      <c r="A136" s="80" t="s">
        <v>7</v>
      </c>
      <c r="B136" s="81"/>
      <c r="C136" s="82"/>
      <c r="D136" s="80" t="str">
        <f>+D93</f>
        <v>114.9.27</v>
      </c>
      <c r="E136" s="81"/>
      <c r="F136" s="81"/>
      <c r="G136" s="82"/>
      <c r="H136" s="80" t="s">
        <v>8</v>
      </c>
      <c r="I136" s="81"/>
      <c r="J136" s="82"/>
      <c r="K136" s="80" t="str">
        <f>+K93</f>
        <v>115.2.15</v>
      </c>
      <c r="L136" s="81"/>
      <c r="M136" s="82"/>
    </row>
    <row r="137" spans="1:15" ht="24" customHeight="1" thickBot="1">
      <c r="A137" s="80" t="s">
        <v>37</v>
      </c>
      <c r="B137" s="81"/>
      <c r="C137" s="82"/>
      <c r="D137" s="83">
        <v>0.13800000000000001</v>
      </c>
      <c r="E137" s="84"/>
      <c r="F137" s="84"/>
      <c r="G137" s="85"/>
      <c r="H137" s="80" t="s">
        <v>38</v>
      </c>
      <c r="I137" s="81"/>
      <c r="J137" s="82"/>
      <c r="K137" s="83">
        <f>+K94+0.3%+0.6%</f>
        <v>0.189</v>
      </c>
      <c r="L137" s="84"/>
      <c r="M137" s="85"/>
    </row>
    <row r="138" spans="1:15" ht="24" customHeight="1" thickBot="1">
      <c r="A138" s="72" t="s">
        <v>9</v>
      </c>
      <c r="B138" s="73"/>
      <c r="C138" s="73"/>
      <c r="D138" s="73"/>
      <c r="E138" s="73"/>
      <c r="F138" s="73"/>
      <c r="G138" s="73"/>
      <c r="H138" s="73"/>
      <c r="I138" s="73"/>
      <c r="J138" s="73"/>
      <c r="K138" s="73"/>
      <c r="L138" s="73"/>
      <c r="M138" s="74"/>
    </row>
    <row r="139" spans="1:15" ht="35.25" customHeight="1" thickBot="1">
      <c r="A139" s="75" t="s">
        <v>10</v>
      </c>
      <c r="B139" s="76"/>
      <c r="C139" s="76"/>
      <c r="D139" s="77"/>
      <c r="E139" s="14" t="s">
        <v>11</v>
      </c>
      <c r="F139" s="75" t="s">
        <v>12</v>
      </c>
      <c r="G139" s="77"/>
      <c r="H139" s="75" t="s">
        <v>13</v>
      </c>
      <c r="I139" s="77"/>
      <c r="J139" s="78" t="s">
        <v>14</v>
      </c>
      <c r="K139" s="79"/>
      <c r="L139" s="75" t="s">
        <v>15</v>
      </c>
      <c r="M139" s="77"/>
    </row>
    <row r="140" spans="1:15" ht="27.95" customHeight="1" thickBot="1">
      <c r="A140" s="141" t="s">
        <v>92</v>
      </c>
      <c r="B140" s="142"/>
      <c r="C140" s="142"/>
      <c r="D140" s="143"/>
      <c r="E140" s="2" t="s">
        <v>69</v>
      </c>
      <c r="F140" s="56">
        <v>1</v>
      </c>
      <c r="G140" s="57"/>
      <c r="H140" s="56">
        <v>0.05</v>
      </c>
      <c r="I140" s="57"/>
      <c r="J140" s="56">
        <v>0.75</v>
      </c>
      <c r="K140" s="57"/>
      <c r="L140" s="58"/>
      <c r="M140" s="59"/>
    </row>
    <row r="141" spans="1:15" ht="27.95" customHeight="1" thickBot="1">
      <c r="A141" s="141" t="s">
        <v>138</v>
      </c>
      <c r="B141" s="142"/>
      <c r="C141" s="142"/>
      <c r="D141" s="143"/>
      <c r="E141" s="15" t="s">
        <v>69</v>
      </c>
      <c r="F141" s="56">
        <v>1</v>
      </c>
      <c r="G141" s="57"/>
      <c r="H141" s="56">
        <v>0.1</v>
      </c>
      <c r="I141" s="57"/>
      <c r="J141" s="56">
        <v>0.1</v>
      </c>
      <c r="K141" s="57"/>
      <c r="L141" s="58"/>
      <c r="M141" s="59"/>
    </row>
    <row r="142" spans="1:15" ht="26.1" customHeight="1" thickTop="1" thickBot="1">
      <c r="A142" s="130" t="s">
        <v>16</v>
      </c>
      <c r="B142" s="67"/>
      <c r="C142" s="67"/>
      <c r="D142" s="68"/>
      <c r="E142" s="40"/>
      <c r="F142" s="131"/>
      <c r="G142" s="132"/>
      <c r="H142" s="131"/>
      <c r="I142" s="132"/>
      <c r="J142" s="131"/>
      <c r="K142" s="132"/>
      <c r="L142" s="131"/>
      <c r="M142" s="133"/>
    </row>
    <row r="143" spans="1:15" ht="26.1" customHeight="1" thickBot="1">
      <c r="A143" s="134" t="s">
        <v>17</v>
      </c>
      <c r="B143" s="135"/>
      <c r="C143" s="135"/>
      <c r="D143" s="59"/>
      <c r="E143" s="40"/>
      <c r="F143" s="58"/>
      <c r="G143" s="59"/>
      <c r="H143" s="58"/>
      <c r="I143" s="59"/>
      <c r="J143" s="58"/>
      <c r="K143" s="59"/>
      <c r="L143" s="58"/>
      <c r="M143" s="136"/>
    </row>
    <row r="144" spans="1:15" ht="26.1" customHeight="1" thickBot="1">
      <c r="A144" s="118" t="s">
        <v>18</v>
      </c>
      <c r="B144" s="119"/>
      <c r="C144" s="119"/>
      <c r="D144" s="120"/>
      <c r="E144" s="24"/>
      <c r="F144" s="121"/>
      <c r="G144" s="120"/>
      <c r="H144" s="121"/>
      <c r="I144" s="120"/>
      <c r="J144" s="121"/>
      <c r="K144" s="120"/>
      <c r="L144" s="121"/>
      <c r="M144" s="122"/>
    </row>
    <row r="145" spans="1:13" ht="24" customHeight="1" thickTop="1" thickBot="1">
      <c r="A145" s="66" t="s">
        <v>19</v>
      </c>
      <c r="B145" s="67"/>
      <c r="C145" s="67"/>
      <c r="D145" s="67"/>
      <c r="E145" s="67"/>
      <c r="F145" s="67"/>
      <c r="G145" s="67"/>
      <c r="H145" s="67"/>
      <c r="I145" s="67"/>
      <c r="J145" s="67"/>
      <c r="K145" s="67"/>
      <c r="L145" s="67"/>
      <c r="M145" s="68"/>
    </row>
    <row r="146" spans="1:13" ht="35.25" customHeight="1" thickBot="1">
      <c r="A146" s="75" t="s">
        <v>20</v>
      </c>
      <c r="B146" s="76"/>
      <c r="C146" s="76"/>
      <c r="D146" s="77"/>
      <c r="E146" s="14" t="s">
        <v>11</v>
      </c>
      <c r="F146" s="75" t="s">
        <v>39</v>
      </c>
      <c r="G146" s="77"/>
      <c r="H146" s="75" t="s">
        <v>21</v>
      </c>
      <c r="I146" s="77"/>
      <c r="J146" s="78" t="s">
        <v>22</v>
      </c>
      <c r="K146" s="79"/>
      <c r="L146" s="75" t="s">
        <v>15</v>
      </c>
      <c r="M146" s="77"/>
    </row>
    <row r="147" spans="1:13" ht="26.1" customHeight="1" thickBot="1">
      <c r="A147" s="96"/>
      <c r="B147" s="97"/>
      <c r="C147" s="97"/>
      <c r="D147" s="98"/>
      <c r="E147" s="40"/>
      <c r="F147" s="58"/>
      <c r="G147" s="59"/>
      <c r="H147" s="58"/>
      <c r="I147" s="59"/>
      <c r="J147" s="56"/>
      <c r="K147" s="57"/>
      <c r="L147" s="58"/>
      <c r="M147" s="59"/>
    </row>
    <row r="148" spans="1:13" ht="26.1" customHeight="1" thickBot="1">
      <c r="A148" s="96"/>
      <c r="B148" s="97"/>
      <c r="C148" s="97"/>
      <c r="D148" s="98"/>
      <c r="E148" s="40"/>
      <c r="F148" s="58"/>
      <c r="G148" s="59"/>
      <c r="H148" s="58"/>
      <c r="I148" s="59"/>
      <c r="J148" s="56"/>
      <c r="K148" s="57"/>
      <c r="L148" s="58"/>
      <c r="M148" s="59"/>
    </row>
    <row r="149" spans="1:13" ht="24" customHeight="1" thickBot="1">
      <c r="A149" s="60" t="s">
        <v>23</v>
      </c>
      <c r="B149" s="61"/>
      <c r="C149" s="61"/>
      <c r="D149" s="61"/>
      <c r="E149" s="61"/>
      <c r="F149" s="61"/>
      <c r="G149" s="61"/>
      <c r="H149" s="61"/>
      <c r="I149" s="61"/>
      <c r="J149" s="61"/>
      <c r="K149" s="61"/>
      <c r="L149" s="61"/>
      <c r="M149" s="62"/>
    </row>
    <row r="150" spans="1:13" ht="35.25" customHeight="1" thickBot="1">
      <c r="A150" s="75" t="s">
        <v>24</v>
      </c>
      <c r="B150" s="77"/>
      <c r="C150" s="75" t="s">
        <v>25</v>
      </c>
      <c r="D150" s="77"/>
      <c r="E150" s="75" t="s">
        <v>26</v>
      </c>
      <c r="F150" s="76"/>
      <c r="G150" s="77"/>
      <c r="H150" s="75" t="s">
        <v>27</v>
      </c>
      <c r="I150" s="77"/>
      <c r="J150" s="78" t="s">
        <v>21</v>
      </c>
      <c r="K150" s="79"/>
      <c r="L150" s="75" t="s">
        <v>22</v>
      </c>
      <c r="M150" s="77"/>
    </row>
    <row r="151" spans="1:13" s="18" customFormat="1" ht="26.1" customHeight="1" thickBot="1">
      <c r="A151" s="99" t="s">
        <v>80</v>
      </c>
      <c r="B151" s="98"/>
      <c r="C151" s="56">
        <v>3</v>
      </c>
      <c r="D151" s="57"/>
      <c r="E151" s="56">
        <v>24</v>
      </c>
      <c r="F151" s="100"/>
      <c r="G151" s="57"/>
      <c r="H151" s="56"/>
      <c r="I151" s="57"/>
      <c r="J151" s="56"/>
      <c r="K151" s="57"/>
      <c r="L151" s="56"/>
      <c r="M151" s="57"/>
    </row>
    <row r="152" spans="1:13" s="18" customFormat="1" ht="26.1" customHeight="1" thickBot="1">
      <c r="A152" s="99"/>
      <c r="B152" s="98"/>
      <c r="C152" s="56"/>
      <c r="D152" s="57"/>
      <c r="E152" s="56"/>
      <c r="F152" s="100"/>
      <c r="G152" s="57"/>
      <c r="H152" s="56"/>
      <c r="I152" s="57"/>
      <c r="J152" s="56"/>
      <c r="K152" s="57"/>
      <c r="L152" s="56"/>
      <c r="M152" s="57"/>
    </row>
    <row r="153" spans="1:13" ht="33" customHeight="1" thickBot="1">
      <c r="A153" s="112" t="s">
        <v>40</v>
      </c>
      <c r="B153" s="113"/>
      <c r="C153" s="113"/>
      <c r="D153" s="113"/>
      <c r="E153" s="113"/>
      <c r="F153" s="113"/>
      <c r="G153" s="113"/>
      <c r="H153" s="113"/>
      <c r="I153" s="113"/>
      <c r="J153" s="113"/>
      <c r="K153" s="113"/>
      <c r="L153" s="113"/>
      <c r="M153" s="114"/>
    </row>
    <row r="154" spans="1:13" ht="16.5" customHeight="1">
      <c r="A154" s="115" t="s">
        <v>41</v>
      </c>
      <c r="B154" s="116"/>
      <c r="C154" s="116"/>
      <c r="D154" s="116"/>
      <c r="E154" s="116"/>
      <c r="F154" s="116"/>
      <c r="G154" s="116"/>
      <c r="H154" s="116"/>
      <c r="I154" s="116"/>
      <c r="J154" s="116"/>
      <c r="K154" s="116"/>
      <c r="L154" s="116"/>
      <c r="M154" s="117"/>
    </row>
    <row r="155" spans="1:13" ht="16.5" customHeight="1">
      <c r="A155" s="90" t="s">
        <v>28</v>
      </c>
      <c r="B155" s="91"/>
      <c r="C155" s="91"/>
      <c r="D155" s="91"/>
      <c r="E155" s="91"/>
      <c r="F155" s="91"/>
      <c r="G155" s="91"/>
      <c r="H155" s="91"/>
      <c r="I155" s="91"/>
      <c r="J155" s="91"/>
      <c r="K155" s="91"/>
      <c r="L155" s="91"/>
      <c r="M155" s="92"/>
    </row>
    <row r="156" spans="1:13" s="1" customFormat="1" ht="16.5" customHeight="1">
      <c r="A156" s="93" t="s">
        <v>56</v>
      </c>
      <c r="B156" s="94"/>
      <c r="C156" s="94"/>
      <c r="D156" s="94"/>
      <c r="E156" s="94"/>
      <c r="F156" s="94"/>
      <c r="G156" s="94"/>
      <c r="H156" s="94"/>
      <c r="I156" s="94"/>
      <c r="J156" s="94"/>
      <c r="K156" s="94"/>
      <c r="L156" s="94"/>
      <c r="M156" s="95"/>
    </row>
    <row r="157" spans="1:13" s="1" customFormat="1" ht="16.5" customHeight="1">
      <c r="A157" s="93" t="s">
        <v>57</v>
      </c>
      <c r="B157" s="94"/>
      <c r="C157" s="94"/>
      <c r="D157" s="94"/>
      <c r="E157" s="94"/>
      <c r="F157" s="94"/>
      <c r="G157" s="94"/>
      <c r="H157" s="94"/>
      <c r="I157" s="94"/>
      <c r="J157" s="94"/>
      <c r="K157" s="94"/>
      <c r="L157" s="94"/>
      <c r="M157" s="95"/>
    </row>
    <row r="158" spans="1:13" s="1" customFormat="1" ht="16.5" customHeight="1">
      <c r="A158" s="93" t="s">
        <v>58</v>
      </c>
      <c r="B158" s="94"/>
      <c r="C158" s="94"/>
      <c r="D158" s="94"/>
      <c r="E158" s="94"/>
      <c r="F158" s="94"/>
      <c r="G158" s="94"/>
      <c r="H158" s="94"/>
      <c r="I158" s="94"/>
      <c r="J158" s="94"/>
      <c r="K158" s="94"/>
      <c r="L158" s="94"/>
      <c r="M158" s="95"/>
    </row>
    <row r="159" spans="1:13" s="1" customFormat="1" ht="16.5" customHeight="1">
      <c r="A159" s="93" t="s">
        <v>59</v>
      </c>
      <c r="B159" s="94"/>
      <c r="C159" s="94"/>
      <c r="D159" s="94"/>
      <c r="E159" s="94"/>
      <c r="F159" s="94"/>
      <c r="G159" s="94"/>
      <c r="H159" s="94"/>
      <c r="I159" s="94"/>
      <c r="J159" s="94"/>
      <c r="K159" s="94"/>
      <c r="L159" s="94"/>
      <c r="M159" s="95"/>
    </row>
    <row r="160" spans="1:13" ht="16.5" customHeight="1">
      <c r="A160" s="106" t="s">
        <v>29</v>
      </c>
      <c r="B160" s="107"/>
      <c r="C160" s="107"/>
      <c r="D160" s="107"/>
      <c r="E160" s="107"/>
      <c r="F160" s="107"/>
      <c r="G160" s="107"/>
      <c r="H160" s="107"/>
      <c r="I160" s="107"/>
      <c r="J160" s="107"/>
      <c r="K160" s="107"/>
      <c r="L160" s="107"/>
      <c r="M160" s="108"/>
    </row>
    <row r="161" spans="1:15" ht="9.75" customHeight="1" thickBot="1">
      <c r="A161" s="109"/>
      <c r="B161" s="110"/>
      <c r="C161" s="110"/>
      <c r="D161" s="110"/>
      <c r="E161" s="110"/>
      <c r="F161" s="110"/>
      <c r="G161" s="110"/>
      <c r="H161" s="110"/>
      <c r="I161" s="110"/>
      <c r="J161" s="110"/>
      <c r="K161" s="110"/>
      <c r="L161" s="110"/>
      <c r="M161" s="111"/>
    </row>
    <row r="162" spans="1:15" ht="24" customHeight="1" thickBot="1">
      <c r="A162" s="72" t="s">
        <v>30</v>
      </c>
      <c r="B162" s="73"/>
      <c r="C162" s="73"/>
      <c r="D162" s="73"/>
      <c r="E162" s="73"/>
      <c r="F162" s="73"/>
      <c r="G162" s="73"/>
      <c r="H162" s="73"/>
      <c r="I162" s="73"/>
      <c r="J162" s="73"/>
      <c r="K162" s="73"/>
      <c r="L162" s="73"/>
      <c r="M162" s="74"/>
    </row>
    <row r="163" spans="1:15" ht="24" customHeight="1" thickBot="1">
      <c r="A163" s="72" t="s">
        <v>31</v>
      </c>
      <c r="B163" s="73"/>
      <c r="C163" s="73"/>
      <c r="D163" s="73"/>
      <c r="E163" s="73"/>
      <c r="F163" s="73"/>
      <c r="G163" s="73"/>
      <c r="H163" s="73"/>
      <c r="I163" s="73"/>
      <c r="J163" s="73"/>
      <c r="K163" s="73"/>
      <c r="L163" s="73"/>
      <c r="M163" s="74"/>
    </row>
    <row r="164" spans="1:15" ht="24" customHeight="1" thickBot="1">
      <c r="A164" s="72" t="s">
        <v>116</v>
      </c>
      <c r="B164" s="73"/>
      <c r="C164" s="73"/>
      <c r="D164" s="73"/>
      <c r="E164" s="73"/>
      <c r="F164" s="73"/>
      <c r="G164" s="73"/>
      <c r="H164" s="73"/>
      <c r="I164" s="73"/>
      <c r="J164" s="73"/>
      <c r="K164" s="73"/>
      <c r="L164" s="73"/>
      <c r="M164" s="74"/>
    </row>
    <row r="165" spans="1:15" ht="24" customHeight="1" thickBot="1">
      <c r="A165" s="72" t="s">
        <v>46</v>
      </c>
      <c r="B165" s="73"/>
      <c r="C165" s="73"/>
      <c r="D165" s="73"/>
      <c r="E165" s="73"/>
      <c r="F165" s="73"/>
      <c r="G165" s="73"/>
      <c r="H165" s="73"/>
      <c r="I165" s="73"/>
      <c r="J165" s="73"/>
      <c r="K165" s="73"/>
      <c r="L165" s="73"/>
      <c r="M165" s="74"/>
    </row>
    <row r="166" spans="1:15" ht="11.1" customHeight="1">
      <c r="A166" s="105" t="s">
        <v>49</v>
      </c>
      <c r="B166" s="105"/>
      <c r="C166" s="105"/>
      <c r="D166" s="105"/>
      <c r="E166" s="105"/>
      <c r="F166" s="105"/>
      <c r="G166" s="105"/>
      <c r="H166" s="105"/>
      <c r="I166" s="105"/>
      <c r="J166" s="105"/>
      <c r="K166" s="105"/>
      <c r="L166" s="105"/>
      <c r="M166" s="105"/>
    </row>
    <row r="167" spans="1:15" ht="11.1" customHeight="1">
      <c r="A167" s="105" t="s">
        <v>50</v>
      </c>
      <c r="B167" s="105"/>
      <c r="C167" s="105"/>
      <c r="D167" s="105"/>
      <c r="E167" s="105"/>
      <c r="F167" s="105"/>
      <c r="G167" s="105"/>
      <c r="H167" s="105"/>
      <c r="I167" s="105"/>
      <c r="J167" s="105"/>
      <c r="K167" s="105"/>
      <c r="L167" s="105"/>
      <c r="M167" s="105"/>
    </row>
    <row r="168" spans="1:15" ht="11.1" customHeight="1">
      <c r="A168" s="104" t="s">
        <v>51</v>
      </c>
      <c r="B168" s="104"/>
      <c r="C168" s="104"/>
      <c r="D168" s="104"/>
      <c r="E168" s="104"/>
      <c r="F168" s="104"/>
      <c r="G168" s="104"/>
      <c r="H168" s="104"/>
      <c r="I168" s="104"/>
      <c r="J168" s="104"/>
      <c r="K168" s="104"/>
      <c r="L168" s="104"/>
      <c r="M168" s="104"/>
    </row>
    <row r="169" spans="1:15" ht="11.1" customHeight="1">
      <c r="A169" s="104" t="s">
        <v>52</v>
      </c>
      <c r="B169" s="104"/>
      <c r="C169" s="104"/>
      <c r="D169" s="104"/>
      <c r="E169" s="104"/>
      <c r="F169" s="104"/>
      <c r="G169" s="104"/>
      <c r="H169" s="104"/>
      <c r="I169" s="104"/>
      <c r="J169" s="104"/>
      <c r="K169" s="104"/>
      <c r="L169" s="104"/>
      <c r="M169" s="104"/>
    </row>
    <row r="170" spans="1:15" ht="11.1" customHeight="1">
      <c r="A170" s="104" t="s">
        <v>53</v>
      </c>
      <c r="B170" s="104"/>
      <c r="C170" s="104"/>
      <c r="D170" s="104"/>
      <c r="E170" s="104"/>
      <c r="F170" s="104"/>
      <c r="G170" s="104"/>
      <c r="H170" s="104"/>
      <c r="I170" s="104"/>
      <c r="J170" s="104"/>
      <c r="K170" s="104"/>
      <c r="L170" s="104"/>
      <c r="M170" s="104"/>
    </row>
    <row r="171" spans="1:15" ht="11.1" customHeight="1">
      <c r="A171" s="101" t="s">
        <v>54</v>
      </c>
      <c r="B171" s="101"/>
      <c r="C171" s="101"/>
      <c r="D171" s="101"/>
      <c r="E171" s="101"/>
      <c r="F171" s="101"/>
      <c r="G171" s="101"/>
      <c r="H171" s="101"/>
      <c r="I171" s="101"/>
      <c r="J171" s="101"/>
      <c r="K171" s="101"/>
      <c r="L171" s="101"/>
      <c r="M171" s="101"/>
    </row>
    <row r="172" spans="1:15" ht="11.1" customHeight="1">
      <c r="A172" s="101" t="s">
        <v>55</v>
      </c>
      <c r="B172" s="101"/>
      <c r="C172" s="101"/>
      <c r="D172" s="101"/>
      <c r="E172" s="101"/>
      <c r="F172" s="101"/>
      <c r="G172" s="101"/>
      <c r="H172" s="101"/>
      <c r="I172" s="101"/>
      <c r="J172" s="101"/>
      <c r="K172" s="101"/>
      <c r="L172" s="101"/>
      <c r="M172" s="101"/>
    </row>
    <row r="173" spans="1:15" ht="19.5" customHeight="1">
      <c r="A173" s="69" t="s">
        <v>0</v>
      </c>
      <c r="B173" s="69"/>
      <c r="C173" s="69"/>
      <c r="D173" s="69"/>
      <c r="E173" s="69"/>
      <c r="F173" s="69"/>
      <c r="G173" s="69"/>
      <c r="H173" s="69"/>
      <c r="I173" s="69"/>
      <c r="J173" s="69"/>
      <c r="K173" s="69"/>
      <c r="L173" s="69"/>
      <c r="M173" s="69"/>
    </row>
    <row r="174" spans="1:15" ht="20.100000000000001" customHeight="1">
      <c r="A174" s="4" t="s">
        <v>32</v>
      </c>
      <c r="B174" s="5">
        <f>+B132+1</f>
        <v>40</v>
      </c>
      <c r="C174" s="30"/>
      <c r="D174" s="30"/>
      <c r="E174" s="30"/>
      <c r="F174" s="30"/>
      <c r="G174" s="30"/>
      <c r="H174" s="30"/>
      <c r="I174" s="30"/>
      <c r="J174" s="30"/>
      <c r="K174" s="30"/>
      <c r="L174" s="30"/>
      <c r="M174" s="30"/>
    </row>
    <row r="175" spans="1:15" ht="24" customHeight="1" thickBot="1">
      <c r="A175" s="4" t="s">
        <v>33</v>
      </c>
      <c r="H175" s="70" t="s">
        <v>34</v>
      </c>
      <c r="I175" s="70"/>
      <c r="J175" s="70"/>
      <c r="K175" s="102">
        <f>+K133+1</f>
        <v>45966</v>
      </c>
      <c r="L175" s="102"/>
      <c r="M175" s="102"/>
      <c r="O175" s="7"/>
    </row>
    <row r="176" spans="1:15" ht="33.75" customHeight="1" thickBot="1">
      <c r="A176" s="80" t="s">
        <v>1</v>
      </c>
      <c r="B176" s="81"/>
      <c r="C176" s="82"/>
      <c r="D176" s="86" t="str">
        <f>+D134</f>
        <v>光明國中B與C區5樓老舊廁所整修工程</v>
      </c>
      <c r="E176" s="87"/>
      <c r="F176" s="87"/>
      <c r="G176" s="88"/>
      <c r="H176" s="80" t="s">
        <v>2</v>
      </c>
      <c r="I176" s="81"/>
      <c r="J176" s="82"/>
      <c r="K176" s="80" t="s">
        <v>35</v>
      </c>
      <c r="L176" s="81"/>
      <c r="M176" s="82"/>
    </row>
    <row r="177" spans="1:13" ht="33.75" customHeight="1" thickBot="1">
      <c r="A177" s="8" t="s">
        <v>3</v>
      </c>
      <c r="B177" s="29">
        <f>+B135</f>
        <v>142</v>
      </c>
      <c r="C177" s="10" t="s">
        <v>36</v>
      </c>
      <c r="D177" s="80" t="s">
        <v>4</v>
      </c>
      <c r="E177" s="89"/>
      <c r="F177" s="31">
        <f>+F135+1</f>
        <v>40</v>
      </c>
      <c r="G177" s="12" t="s">
        <v>36</v>
      </c>
      <c r="H177" s="13" t="s">
        <v>5</v>
      </c>
      <c r="I177" s="29">
        <f>+B177-F177</f>
        <v>102</v>
      </c>
      <c r="J177" s="10" t="s">
        <v>36</v>
      </c>
      <c r="K177" s="80" t="s">
        <v>6</v>
      </c>
      <c r="L177" s="82"/>
      <c r="M177" s="13">
        <f>+M135</f>
        <v>12</v>
      </c>
    </row>
    <row r="178" spans="1:13" ht="24" customHeight="1" thickBot="1">
      <c r="A178" s="80" t="s">
        <v>7</v>
      </c>
      <c r="B178" s="81"/>
      <c r="C178" s="82"/>
      <c r="D178" s="80" t="str">
        <f>+D136</f>
        <v>114.9.27</v>
      </c>
      <c r="E178" s="81"/>
      <c r="F178" s="81"/>
      <c r="G178" s="82"/>
      <c r="H178" s="80" t="s">
        <v>8</v>
      </c>
      <c r="I178" s="81"/>
      <c r="J178" s="82"/>
      <c r="K178" s="80" t="str">
        <f>+K136</f>
        <v>115.2.15</v>
      </c>
      <c r="L178" s="81"/>
      <c r="M178" s="82"/>
    </row>
    <row r="179" spans="1:13" ht="24" customHeight="1" thickBot="1">
      <c r="A179" s="80" t="s">
        <v>37</v>
      </c>
      <c r="B179" s="81"/>
      <c r="C179" s="82"/>
      <c r="D179" s="83">
        <v>0.14399999999999999</v>
      </c>
      <c r="E179" s="84"/>
      <c r="F179" s="84"/>
      <c r="G179" s="85"/>
      <c r="H179" s="80" t="s">
        <v>38</v>
      </c>
      <c r="I179" s="81"/>
      <c r="J179" s="82"/>
      <c r="K179" s="83">
        <f>+K137+0.3%</f>
        <v>0.192</v>
      </c>
      <c r="L179" s="84"/>
      <c r="M179" s="85"/>
    </row>
    <row r="180" spans="1:13" ht="24" customHeight="1" thickBot="1">
      <c r="A180" s="72" t="s">
        <v>9</v>
      </c>
      <c r="B180" s="73"/>
      <c r="C180" s="73"/>
      <c r="D180" s="73"/>
      <c r="E180" s="73"/>
      <c r="F180" s="73"/>
      <c r="G180" s="73"/>
      <c r="H180" s="73"/>
      <c r="I180" s="73"/>
      <c r="J180" s="73"/>
      <c r="K180" s="73"/>
      <c r="L180" s="73"/>
      <c r="M180" s="74"/>
    </row>
    <row r="181" spans="1:13" ht="35.25" customHeight="1" thickBot="1">
      <c r="A181" s="75" t="s">
        <v>10</v>
      </c>
      <c r="B181" s="76"/>
      <c r="C181" s="76"/>
      <c r="D181" s="77"/>
      <c r="E181" s="14" t="s">
        <v>11</v>
      </c>
      <c r="F181" s="75" t="s">
        <v>12</v>
      </c>
      <c r="G181" s="77"/>
      <c r="H181" s="75" t="s">
        <v>13</v>
      </c>
      <c r="I181" s="77"/>
      <c r="J181" s="78" t="s">
        <v>14</v>
      </c>
      <c r="K181" s="79"/>
      <c r="L181" s="75" t="s">
        <v>15</v>
      </c>
      <c r="M181" s="77"/>
    </row>
    <row r="182" spans="1:13" ht="26.1" customHeight="1" thickBot="1">
      <c r="A182" s="141" t="s">
        <v>92</v>
      </c>
      <c r="B182" s="142"/>
      <c r="C182" s="142"/>
      <c r="D182" s="143"/>
      <c r="E182" s="2" t="s">
        <v>69</v>
      </c>
      <c r="F182" s="56">
        <v>1</v>
      </c>
      <c r="G182" s="57"/>
      <c r="H182" s="56">
        <v>0.05</v>
      </c>
      <c r="I182" s="57"/>
      <c r="J182" s="56">
        <v>0.8</v>
      </c>
      <c r="K182" s="57"/>
      <c r="L182" s="58"/>
      <c r="M182" s="59"/>
    </row>
    <row r="183" spans="1:13" ht="26.1" customHeight="1" thickBot="1">
      <c r="A183" s="141"/>
      <c r="B183" s="142"/>
      <c r="C183" s="142"/>
      <c r="D183" s="143"/>
      <c r="E183" s="15"/>
      <c r="F183" s="56"/>
      <c r="G183" s="57"/>
      <c r="H183" s="56"/>
      <c r="I183" s="57"/>
      <c r="J183" s="56"/>
      <c r="K183" s="57"/>
      <c r="L183" s="58"/>
      <c r="M183" s="59"/>
    </row>
    <row r="184" spans="1:13" ht="26.1" customHeight="1" thickTop="1" thickBot="1">
      <c r="A184" s="130" t="s">
        <v>16</v>
      </c>
      <c r="B184" s="67"/>
      <c r="C184" s="67"/>
      <c r="D184" s="68"/>
      <c r="E184" s="41"/>
      <c r="F184" s="131"/>
      <c r="G184" s="132"/>
      <c r="H184" s="131"/>
      <c r="I184" s="132"/>
      <c r="J184" s="131"/>
      <c r="K184" s="132"/>
      <c r="L184" s="131"/>
      <c r="M184" s="133"/>
    </row>
    <row r="185" spans="1:13" ht="26.1" customHeight="1" thickBot="1">
      <c r="A185" s="134" t="s">
        <v>17</v>
      </c>
      <c r="B185" s="135"/>
      <c r="C185" s="135"/>
      <c r="D185" s="59"/>
      <c r="E185" s="41"/>
      <c r="F185" s="58"/>
      <c r="G185" s="59"/>
      <c r="H185" s="58"/>
      <c r="I185" s="59"/>
      <c r="J185" s="58"/>
      <c r="K185" s="59"/>
      <c r="L185" s="58"/>
      <c r="M185" s="136"/>
    </row>
    <row r="186" spans="1:13" ht="26.1" customHeight="1" thickBot="1">
      <c r="A186" s="118" t="s">
        <v>18</v>
      </c>
      <c r="B186" s="119"/>
      <c r="C186" s="119"/>
      <c r="D186" s="120"/>
      <c r="E186" s="24"/>
      <c r="F186" s="121"/>
      <c r="G186" s="120"/>
      <c r="H186" s="121"/>
      <c r="I186" s="120"/>
      <c r="J186" s="121"/>
      <c r="K186" s="120"/>
      <c r="L186" s="121"/>
      <c r="M186" s="122"/>
    </row>
    <row r="187" spans="1:13" ht="24" customHeight="1" thickTop="1" thickBot="1">
      <c r="A187" s="66" t="s">
        <v>19</v>
      </c>
      <c r="B187" s="67"/>
      <c r="C187" s="67"/>
      <c r="D187" s="67"/>
      <c r="E187" s="67"/>
      <c r="F187" s="67"/>
      <c r="G187" s="67"/>
      <c r="H187" s="67"/>
      <c r="I187" s="67"/>
      <c r="J187" s="67"/>
      <c r="K187" s="67"/>
      <c r="L187" s="67"/>
      <c r="M187" s="68"/>
    </row>
    <row r="188" spans="1:13" ht="35.25" customHeight="1" thickBot="1">
      <c r="A188" s="75" t="s">
        <v>20</v>
      </c>
      <c r="B188" s="76"/>
      <c r="C188" s="76"/>
      <c r="D188" s="77"/>
      <c r="E188" s="14" t="s">
        <v>11</v>
      </c>
      <c r="F188" s="75" t="s">
        <v>39</v>
      </c>
      <c r="G188" s="77"/>
      <c r="H188" s="75" t="s">
        <v>21</v>
      </c>
      <c r="I188" s="77"/>
      <c r="J188" s="78" t="s">
        <v>22</v>
      </c>
      <c r="K188" s="79"/>
      <c r="L188" s="75" t="s">
        <v>15</v>
      </c>
      <c r="M188" s="77"/>
    </row>
    <row r="189" spans="1:13" ht="24" customHeight="1" thickBot="1">
      <c r="A189" s="96"/>
      <c r="B189" s="97"/>
      <c r="C189" s="97"/>
      <c r="D189" s="98"/>
      <c r="E189" s="41"/>
      <c r="F189" s="58"/>
      <c r="G189" s="59"/>
      <c r="H189" s="58"/>
      <c r="I189" s="59"/>
      <c r="J189" s="56"/>
      <c r="K189" s="57"/>
      <c r="L189" s="58"/>
      <c r="M189" s="59"/>
    </row>
    <row r="190" spans="1:13" ht="24" customHeight="1" thickBot="1">
      <c r="A190" s="96"/>
      <c r="B190" s="97"/>
      <c r="C190" s="97"/>
      <c r="D190" s="98"/>
      <c r="E190" s="41"/>
      <c r="F190" s="58"/>
      <c r="G190" s="59"/>
      <c r="H190" s="58"/>
      <c r="I190" s="59"/>
      <c r="J190" s="56"/>
      <c r="K190" s="57"/>
      <c r="L190" s="58"/>
      <c r="M190" s="59"/>
    </row>
    <row r="191" spans="1:13" ht="24" customHeight="1" thickBot="1">
      <c r="A191" s="60" t="s">
        <v>23</v>
      </c>
      <c r="B191" s="61"/>
      <c r="C191" s="61"/>
      <c r="D191" s="61"/>
      <c r="E191" s="61"/>
      <c r="F191" s="61"/>
      <c r="G191" s="61"/>
      <c r="H191" s="61"/>
      <c r="I191" s="61"/>
      <c r="J191" s="61"/>
      <c r="K191" s="61"/>
      <c r="L191" s="61"/>
      <c r="M191" s="62"/>
    </row>
    <row r="192" spans="1:13" ht="35.25" customHeight="1" thickBot="1">
      <c r="A192" s="75" t="s">
        <v>24</v>
      </c>
      <c r="B192" s="77"/>
      <c r="C192" s="75" t="s">
        <v>25</v>
      </c>
      <c r="D192" s="77"/>
      <c r="E192" s="75" t="s">
        <v>26</v>
      </c>
      <c r="F192" s="76"/>
      <c r="G192" s="77"/>
      <c r="H192" s="75" t="s">
        <v>27</v>
      </c>
      <c r="I192" s="77"/>
      <c r="J192" s="78" t="s">
        <v>21</v>
      </c>
      <c r="K192" s="79"/>
      <c r="L192" s="75" t="s">
        <v>22</v>
      </c>
      <c r="M192" s="77"/>
    </row>
    <row r="193" spans="1:13" s="18" customFormat="1" ht="26.1" customHeight="1" thickBot="1">
      <c r="A193" s="99" t="s">
        <v>80</v>
      </c>
      <c r="B193" s="98"/>
      <c r="C193" s="56">
        <v>1</v>
      </c>
      <c r="D193" s="57"/>
      <c r="E193" s="56">
        <v>25</v>
      </c>
      <c r="F193" s="100"/>
      <c r="G193" s="57"/>
      <c r="H193" s="56"/>
      <c r="I193" s="57"/>
      <c r="J193" s="56"/>
      <c r="K193" s="57"/>
      <c r="L193" s="56"/>
      <c r="M193" s="57"/>
    </row>
    <row r="194" spans="1:13" ht="26.1" customHeight="1" thickBot="1">
      <c r="A194" s="99"/>
      <c r="B194" s="98"/>
      <c r="C194" s="56"/>
      <c r="D194" s="57"/>
      <c r="E194" s="56"/>
      <c r="F194" s="100"/>
      <c r="G194" s="57"/>
      <c r="H194" s="56"/>
      <c r="I194" s="57"/>
      <c r="J194" s="56"/>
      <c r="K194" s="57"/>
      <c r="L194" s="56"/>
      <c r="M194" s="57"/>
    </row>
    <row r="195" spans="1:13" ht="33" customHeight="1" thickBot="1">
      <c r="A195" s="112" t="s">
        <v>40</v>
      </c>
      <c r="B195" s="113"/>
      <c r="C195" s="113"/>
      <c r="D195" s="113"/>
      <c r="E195" s="113"/>
      <c r="F195" s="113"/>
      <c r="G195" s="113"/>
      <c r="H195" s="113"/>
      <c r="I195" s="113"/>
      <c r="J195" s="113"/>
      <c r="K195" s="113"/>
      <c r="L195" s="113"/>
      <c r="M195" s="114"/>
    </row>
    <row r="196" spans="1:13" ht="16.5" customHeight="1">
      <c r="A196" s="115" t="s">
        <v>41</v>
      </c>
      <c r="B196" s="116"/>
      <c r="C196" s="116"/>
      <c r="D196" s="116"/>
      <c r="E196" s="116"/>
      <c r="F196" s="116"/>
      <c r="G196" s="116"/>
      <c r="H196" s="116"/>
      <c r="I196" s="116"/>
      <c r="J196" s="116"/>
      <c r="K196" s="116"/>
      <c r="L196" s="116"/>
      <c r="M196" s="117"/>
    </row>
    <row r="197" spans="1:13" ht="16.5" customHeight="1">
      <c r="A197" s="90" t="s">
        <v>28</v>
      </c>
      <c r="B197" s="91"/>
      <c r="C197" s="91"/>
      <c r="D197" s="91"/>
      <c r="E197" s="91"/>
      <c r="F197" s="91"/>
      <c r="G197" s="91"/>
      <c r="H197" s="91"/>
      <c r="I197" s="91"/>
      <c r="J197" s="91"/>
      <c r="K197" s="91"/>
      <c r="L197" s="91"/>
      <c r="M197" s="92"/>
    </row>
    <row r="198" spans="1:13" s="1" customFormat="1" ht="16.5" customHeight="1">
      <c r="A198" s="93" t="s">
        <v>56</v>
      </c>
      <c r="B198" s="94"/>
      <c r="C198" s="94"/>
      <c r="D198" s="94"/>
      <c r="E198" s="94"/>
      <c r="F198" s="94"/>
      <c r="G198" s="94"/>
      <c r="H198" s="94"/>
      <c r="I198" s="94"/>
      <c r="J198" s="94"/>
      <c r="K198" s="94"/>
      <c r="L198" s="94"/>
      <c r="M198" s="95"/>
    </row>
    <row r="199" spans="1:13" s="1" customFormat="1" ht="16.5" customHeight="1">
      <c r="A199" s="93" t="s">
        <v>57</v>
      </c>
      <c r="B199" s="94"/>
      <c r="C199" s="94"/>
      <c r="D199" s="94"/>
      <c r="E199" s="94"/>
      <c r="F199" s="94"/>
      <c r="G199" s="94"/>
      <c r="H199" s="94"/>
      <c r="I199" s="94"/>
      <c r="J199" s="94"/>
      <c r="K199" s="94"/>
      <c r="L199" s="94"/>
      <c r="M199" s="95"/>
    </row>
    <row r="200" spans="1:13" s="1" customFormat="1" ht="16.5" customHeight="1">
      <c r="A200" s="93" t="s">
        <v>58</v>
      </c>
      <c r="B200" s="94"/>
      <c r="C200" s="94"/>
      <c r="D200" s="94"/>
      <c r="E200" s="94"/>
      <c r="F200" s="94"/>
      <c r="G200" s="94"/>
      <c r="H200" s="94"/>
      <c r="I200" s="94"/>
      <c r="J200" s="94"/>
      <c r="K200" s="94"/>
      <c r="L200" s="94"/>
      <c r="M200" s="95"/>
    </row>
    <row r="201" spans="1:13" s="1" customFormat="1" ht="16.5" customHeight="1">
      <c r="A201" s="93" t="s">
        <v>59</v>
      </c>
      <c r="B201" s="94"/>
      <c r="C201" s="94"/>
      <c r="D201" s="94"/>
      <c r="E201" s="94"/>
      <c r="F201" s="94"/>
      <c r="G201" s="94"/>
      <c r="H201" s="94"/>
      <c r="I201" s="94"/>
      <c r="J201" s="94"/>
      <c r="K201" s="94"/>
      <c r="L201" s="94"/>
      <c r="M201" s="95"/>
    </row>
    <row r="202" spans="1:13" ht="16.5" customHeight="1">
      <c r="A202" s="106" t="s">
        <v>29</v>
      </c>
      <c r="B202" s="107"/>
      <c r="C202" s="107"/>
      <c r="D202" s="107"/>
      <c r="E202" s="107"/>
      <c r="F202" s="107"/>
      <c r="G202" s="107"/>
      <c r="H202" s="107"/>
      <c r="I202" s="107"/>
      <c r="J202" s="107"/>
      <c r="K202" s="107"/>
      <c r="L202" s="107"/>
      <c r="M202" s="108"/>
    </row>
    <row r="203" spans="1:13" ht="9.75" customHeight="1" thickBot="1">
      <c r="A203" s="109"/>
      <c r="B203" s="110"/>
      <c r="C203" s="110"/>
      <c r="D203" s="110"/>
      <c r="E203" s="110"/>
      <c r="F203" s="110"/>
      <c r="G203" s="110"/>
      <c r="H203" s="110"/>
      <c r="I203" s="110"/>
      <c r="J203" s="110"/>
      <c r="K203" s="110"/>
      <c r="L203" s="110"/>
      <c r="M203" s="111"/>
    </row>
    <row r="204" spans="1:13" ht="24" customHeight="1" thickBot="1">
      <c r="A204" s="72" t="s">
        <v>30</v>
      </c>
      <c r="B204" s="73"/>
      <c r="C204" s="73"/>
      <c r="D204" s="73"/>
      <c r="E204" s="73"/>
      <c r="F204" s="73"/>
      <c r="G204" s="73"/>
      <c r="H204" s="73"/>
      <c r="I204" s="73"/>
      <c r="J204" s="73"/>
      <c r="K204" s="73"/>
      <c r="L204" s="73"/>
      <c r="M204" s="74"/>
    </row>
    <row r="205" spans="1:13" ht="24" customHeight="1" thickBot="1">
      <c r="A205" s="72" t="s">
        <v>31</v>
      </c>
      <c r="B205" s="73"/>
      <c r="C205" s="73"/>
      <c r="D205" s="73"/>
      <c r="E205" s="73"/>
      <c r="F205" s="73"/>
      <c r="G205" s="73"/>
      <c r="H205" s="73"/>
      <c r="I205" s="73"/>
      <c r="J205" s="73"/>
      <c r="K205" s="73"/>
      <c r="L205" s="73"/>
      <c r="M205" s="74"/>
    </row>
    <row r="206" spans="1:13" ht="24" customHeight="1" thickBot="1">
      <c r="A206" s="72" t="s">
        <v>136</v>
      </c>
      <c r="B206" s="73"/>
      <c r="C206" s="73"/>
      <c r="D206" s="73"/>
      <c r="E206" s="73"/>
      <c r="F206" s="73"/>
      <c r="G206" s="73"/>
      <c r="H206" s="73"/>
      <c r="I206" s="73"/>
      <c r="J206" s="73"/>
      <c r="K206" s="73"/>
      <c r="L206" s="73"/>
      <c r="M206" s="74"/>
    </row>
    <row r="207" spans="1:13" ht="27" customHeight="1" thickBot="1">
      <c r="A207" s="72" t="s">
        <v>46</v>
      </c>
      <c r="B207" s="73"/>
      <c r="C207" s="73"/>
      <c r="D207" s="73"/>
      <c r="E207" s="73"/>
      <c r="F207" s="73"/>
      <c r="G207" s="73"/>
      <c r="H207" s="73"/>
      <c r="I207" s="73"/>
      <c r="J207" s="73"/>
      <c r="K207" s="73"/>
      <c r="L207" s="73"/>
      <c r="M207" s="74"/>
    </row>
    <row r="208" spans="1:13" ht="11.1" customHeight="1">
      <c r="A208" s="105" t="s">
        <v>49</v>
      </c>
      <c r="B208" s="105"/>
      <c r="C208" s="105"/>
      <c r="D208" s="105"/>
      <c r="E208" s="105"/>
      <c r="F208" s="105"/>
      <c r="G208" s="105"/>
      <c r="H208" s="105"/>
      <c r="I208" s="105"/>
      <c r="J208" s="105"/>
      <c r="K208" s="105"/>
      <c r="L208" s="105"/>
      <c r="M208" s="105"/>
    </row>
    <row r="209" spans="1:15" ht="11.1" customHeight="1">
      <c r="A209" s="105" t="s">
        <v>50</v>
      </c>
      <c r="B209" s="105"/>
      <c r="C209" s="105"/>
      <c r="D209" s="105"/>
      <c r="E209" s="105"/>
      <c r="F209" s="105"/>
      <c r="G209" s="105"/>
      <c r="H209" s="105"/>
      <c r="I209" s="105"/>
      <c r="J209" s="105"/>
      <c r="K209" s="105"/>
      <c r="L209" s="105"/>
      <c r="M209" s="105"/>
    </row>
    <row r="210" spans="1:15" ht="11.1" customHeight="1">
      <c r="A210" s="104" t="s">
        <v>51</v>
      </c>
      <c r="B210" s="104"/>
      <c r="C210" s="104"/>
      <c r="D210" s="104"/>
      <c r="E210" s="104"/>
      <c r="F210" s="104"/>
      <c r="G210" s="104"/>
      <c r="H210" s="104"/>
      <c r="I210" s="104"/>
      <c r="J210" s="104"/>
      <c r="K210" s="104"/>
      <c r="L210" s="104"/>
      <c r="M210" s="104"/>
    </row>
    <row r="211" spans="1:15" ht="11.1" customHeight="1">
      <c r="A211" s="104" t="s">
        <v>52</v>
      </c>
      <c r="B211" s="104"/>
      <c r="C211" s="104"/>
      <c r="D211" s="104"/>
      <c r="E211" s="104"/>
      <c r="F211" s="104"/>
      <c r="G211" s="104"/>
      <c r="H211" s="104"/>
      <c r="I211" s="104"/>
      <c r="J211" s="104"/>
      <c r="K211" s="104"/>
      <c r="L211" s="104"/>
      <c r="M211" s="104"/>
    </row>
    <row r="212" spans="1:15" ht="11.1" customHeight="1">
      <c r="A212" s="104" t="s">
        <v>53</v>
      </c>
      <c r="B212" s="104"/>
      <c r="C212" s="104"/>
      <c r="D212" s="104"/>
      <c r="E212" s="104"/>
      <c r="F212" s="104"/>
      <c r="G212" s="104"/>
      <c r="H212" s="104"/>
      <c r="I212" s="104"/>
      <c r="J212" s="104"/>
      <c r="K212" s="104"/>
      <c r="L212" s="104"/>
      <c r="M212" s="104"/>
    </row>
    <row r="213" spans="1:15" ht="11.1" customHeight="1">
      <c r="A213" s="101" t="s">
        <v>54</v>
      </c>
      <c r="B213" s="101"/>
      <c r="C213" s="101"/>
      <c r="D213" s="101"/>
      <c r="E213" s="101"/>
      <c r="F213" s="101"/>
      <c r="G213" s="101"/>
      <c r="H213" s="101"/>
      <c r="I213" s="101"/>
      <c r="J213" s="101"/>
      <c r="K213" s="101"/>
      <c r="L213" s="101"/>
      <c r="M213" s="101"/>
    </row>
    <row r="214" spans="1:15" ht="11.1" customHeight="1">
      <c r="A214" s="101" t="s">
        <v>55</v>
      </c>
      <c r="B214" s="101"/>
      <c r="C214" s="101"/>
      <c r="D214" s="101"/>
      <c r="E214" s="101"/>
      <c r="F214" s="101"/>
      <c r="G214" s="101"/>
      <c r="H214" s="101"/>
      <c r="I214" s="101"/>
      <c r="J214" s="101"/>
      <c r="K214" s="101"/>
      <c r="L214" s="101"/>
      <c r="M214" s="101"/>
    </row>
    <row r="215" spans="1:15" ht="19.5" customHeight="1">
      <c r="A215" s="69" t="s">
        <v>0</v>
      </c>
      <c r="B215" s="69"/>
      <c r="C215" s="69"/>
      <c r="D215" s="69"/>
      <c r="E215" s="69"/>
      <c r="F215" s="69"/>
      <c r="G215" s="69"/>
      <c r="H215" s="69"/>
      <c r="I215" s="69"/>
      <c r="J215" s="69"/>
      <c r="K215" s="69"/>
      <c r="L215" s="69"/>
      <c r="M215" s="69"/>
    </row>
    <row r="216" spans="1:15" ht="20.100000000000001" customHeight="1">
      <c r="A216" s="4" t="s">
        <v>32</v>
      </c>
      <c r="B216" s="5">
        <f>+B174+1</f>
        <v>41</v>
      </c>
      <c r="C216" s="30"/>
      <c r="D216" s="30"/>
      <c r="E216" s="30"/>
      <c r="F216" s="30"/>
      <c r="G216" s="30"/>
      <c r="H216" s="30"/>
      <c r="I216" s="30"/>
      <c r="J216" s="30"/>
      <c r="K216" s="30"/>
      <c r="L216" s="30"/>
      <c r="M216" s="30"/>
    </row>
    <row r="217" spans="1:15" ht="24" customHeight="1" thickBot="1">
      <c r="A217" s="4" t="s">
        <v>33</v>
      </c>
      <c r="H217" s="70" t="s">
        <v>34</v>
      </c>
      <c r="I217" s="70"/>
      <c r="J217" s="70"/>
      <c r="K217" s="102">
        <f>+K175+1</f>
        <v>45967</v>
      </c>
      <c r="L217" s="102"/>
      <c r="M217" s="102"/>
      <c r="O217" s="7"/>
    </row>
    <row r="218" spans="1:15" ht="33.75" customHeight="1" thickBot="1">
      <c r="A218" s="80" t="s">
        <v>1</v>
      </c>
      <c r="B218" s="81"/>
      <c r="C218" s="82"/>
      <c r="D218" s="86" t="str">
        <f>+D176</f>
        <v>光明國中B與C區5樓老舊廁所整修工程</v>
      </c>
      <c r="E218" s="87"/>
      <c r="F218" s="87"/>
      <c r="G218" s="88"/>
      <c r="H218" s="80" t="s">
        <v>2</v>
      </c>
      <c r="I218" s="81"/>
      <c r="J218" s="82"/>
      <c r="K218" s="80" t="s">
        <v>35</v>
      </c>
      <c r="L218" s="81"/>
      <c r="M218" s="82"/>
    </row>
    <row r="219" spans="1:15" ht="33.75" customHeight="1" thickBot="1">
      <c r="A219" s="8" t="s">
        <v>3</v>
      </c>
      <c r="B219" s="29">
        <f>+B177</f>
        <v>142</v>
      </c>
      <c r="C219" s="10" t="s">
        <v>36</v>
      </c>
      <c r="D219" s="80" t="s">
        <v>4</v>
      </c>
      <c r="E219" s="89"/>
      <c r="F219" s="31">
        <f>+F177+1</f>
        <v>41</v>
      </c>
      <c r="G219" s="12" t="s">
        <v>36</v>
      </c>
      <c r="H219" s="13" t="s">
        <v>5</v>
      </c>
      <c r="I219" s="29">
        <f>+B219-F219</f>
        <v>101</v>
      </c>
      <c r="J219" s="10" t="s">
        <v>36</v>
      </c>
      <c r="K219" s="80" t="s">
        <v>6</v>
      </c>
      <c r="L219" s="82"/>
      <c r="M219" s="13">
        <f>+M177</f>
        <v>12</v>
      </c>
    </row>
    <row r="220" spans="1:15" ht="24" customHeight="1" thickBot="1">
      <c r="A220" s="80" t="s">
        <v>7</v>
      </c>
      <c r="B220" s="81"/>
      <c r="C220" s="82"/>
      <c r="D220" s="80" t="str">
        <f>+D178</f>
        <v>114.9.27</v>
      </c>
      <c r="E220" s="81"/>
      <c r="F220" s="81"/>
      <c r="G220" s="82"/>
      <c r="H220" s="80" t="s">
        <v>8</v>
      </c>
      <c r="I220" s="81"/>
      <c r="J220" s="82"/>
      <c r="K220" s="80" t="str">
        <f>+K178</f>
        <v>115.2.15</v>
      </c>
      <c r="L220" s="81"/>
      <c r="M220" s="82"/>
    </row>
    <row r="221" spans="1:15" ht="24" customHeight="1" thickBot="1">
      <c r="A221" s="80" t="s">
        <v>37</v>
      </c>
      <c r="B221" s="81"/>
      <c r="C221" s="82"/>
      <c r="D221" s="83">
        <v>0.15</v>
      </c>
      <c r="E221" s="84"/>
      <c r="F221" s="84"/>
      <c r="G221" s="85"/>
      <c r="H221" s="80" t="s">
        <v>38</v>
      </c>
      <c r="I221" s="81"/>
      <c r="J221" s="82"/>
      <c r="K221" s="83">
        <f>+K179+0.3%+0.6%</f>
        <v>0.20100000000000001</v>
      </c>
      <c r="L221" s="84"/>
      <c r="M221" s="85"/>
    </row>
    <row r="222" spans="1:15" ht="24" customHeight="1" thickBot="1">
      <c r="A222" s="72" t="s">
        <v>9</v>
      </c>
      <c r="B222" s="73"/>
      <c r="C222" s="73"/>
      <c r="D222" s="73"/>
      <c r="E222" s="73"/>
      <c r="F222" s="73"/>
      <c r="G222" s="73"/>
      <c r="H222" s="73"/>
      <c r="I222" s="73"/>
      <c r="J222" s="73"/>
      <c r="K222" s="73"/>
      <c r="L222" s="73"/>
      <c r="M222" s="74"/>
    </row>
    <row r="223" spans="1:15" ht="35.25" customHeight="1" thickBot="1">
      <c r="A223" s="75" t="s">
        <v>10</v>
      </c>
      <c r="B223" s="76"/>
      <c r="C223" s="76"/>
      <c r="D223" s="77"/>
      <c r="E223" s="14" t="s">
        <v>11</v>
      </c>
      <c r="F223" s="75" t="s">
        <v>12</v>
      </c>
      <c r="G223" s="77"/>
      <c r="H223" s="75" t="s">
        <v>13</v>
      </c>
      <c r="I223" s="77"/>
      <c r="J223" s="78" t="s">
        <v>14</v>
      </c>
      <c r="K223" s="79"/>
      <c r="L223" s="75" t="s">
        <v>15</v>
      </c>
      <c r="M223" s="77"/>
    </row>
    <row r="224" spans="1:15" ht="27.95" customHeight="1" thickBot="1">
      <c r="A224" s="141" t="s">
        <v>92</v>
      </c>
      <c r="B224" s="142"/>
      <c r="C224" s="142"/>
      <c r="D224" s="143"/>
      <c r="E224" s="2" t="s">
        <v>69</v>
      </c>
      <c r="F224" s="56">
        <v>1</v>
      </c>
      <c r="G224" s="57"/>
      <c r="H224" s="56">
        <v>0.05</v>
      </c>
      <c r="I224" s="57"/>
      <c r="J224" s="56">
        <v>0.85</v>
      </c>
      <c r="K224" s="57"/>
      <c r="L224" s="58"/>
      <c r="M224" s="59"/>
    </row>
    <row r="225" spans="1:13" ht="27.95" customHeight="1" thickBot="1">
      <c r="A225" s="141" t="s">
        <v>138</v>
      </c>
      <c r="B225" s="142"/>
      <c r="C225" s="142"/>
      <c r="D225" s="143"/>
      <c r="E225" s="15" t="s">
        <v>69</v>
      </c>
      <c r="F225" s="56">
        <v>1</v>
      </c>
      <c r="G225" s="57"/>
      <c r="H225" s="56">
        <v>0.1</v>
      </c>
      <c r="I225" s="57"/>
      <c r="J225" s="56">
        <v>0.2</v>
      </c>
      <c r="K225" s="57"/>
      <c r="L225" s="58"/>
      <c r="M225" s="59"/>
    </row>
    <row r="226" spans="1:13" ht="24.95" customHeight="1" thickTop="1" thickBot="1">
      <c r="A226" s="130" t="s">
        <v>16</v>
      </c>
      <c r="B226" s="67"/>
      <c r="C226" s="67"/>
      <c r="D226" s="68"/>
      <c r="E226" s="32"/>
      <c r="F226" s="131"/>
      <c r="G226" s="132"/>
      <c r="H226" s="131"/>
      <c r="I226" s="132"/>
      <c r="J226" s="131"/>
      <c r="K226" s="132"/>
      <c r="L226" s="131"/>
      <c r="M226" s="133"/>
    </row>
    <row r="227" spans="1:13" ht="24.95" customHeight="1" thickBot="1">
      <c r="A227" s="134"/>
      <c r="B227" s="135"/>
      <c r="C227" s="135"/>
      <c r="D227" s="59"/>
      <c r="E227" s="32"/>
      <c r="F227" s="58"/>
      <c r="G227" s="59"/>
      <c r="H227" s="58"/>
      <c r="I227" s="59"/>
      <c r="J227" s="58"/>
      <c r="K227" s="59"/>
      <c r="L227" s="58"/>
      <c r="M227" s="136"/>
    </row>
    <row r="228" spans="1:13" ht="24.95" customHeight="1" thickBot="1">
      <c r="A228" s="118"/>
      <c r="B228" s="119"/>
      <c r="C228" s="119"/>
      <c r="D228" s="120"/>
      <c r="E228" s="24"/>
      <c r="F228" s="121"/>
      <c r="G228" s="120"/>
      <c r="H228" s="121"/>
      <c r="I228" s="120"/>
      <c r="J228" s="121"/>
      <c r="K228" s="120"/>
      <c r="L228" s="121"/>
      <c r="M228" s="122"/>
    </row>
    <row r="229" spans="1:13" ht="24" customHeight="1" thickTop="1" thickBot="1">
      <c r="A229" s="66" t="s">
        <v>19</v>
      </c>
      <c r="B229" s="67"/>
      <c r="C229" s="67"/>
      <c r="D229" s="67"/>
      <c r="E229" s="67"/>
      <c r="F229" s="67"/>
      <c r="G229" s="67"/>
      <c r="H229" s="67"/>
      <c r="I229" s="67"/>
      <c r="J229" s="67"/>
      <c r="K229" s="67"/>
      <c r="L229" s="67"/>
      <c r="M229" s="68"/>
    </row>
    <row r="230" spans="1:13" ht="35.25" customHeight="1" thickBot="1">
      <c r="A230" s="75" t="s">
        <v>20</v>
      </c>
      <c r="B230" s="76"/>
      <c r="C230" s="76"/>
      <c r="D230" s="77"/>
      <c r="E230" s="14" t="s">
        <v>11</v>
      </c>
      <c r="F230" s="75" t="s">
        <v>39</v>
      </c>
      <c r="G230" s="77"/>
      <c r="H230" s="75" t="s">
        <v>21</v>
      </c>
      <c r="I230" s="77"/>
      <c r="J230" s="78" t="s">
        <v>22</v>
      </c>
      <c r="K230" s="79"/>
      <c r="L230" s="75" t="s">
        <v>15</v>
      </c>
      <c r="M230" s="77"/>
    </row>
    <row r="231" spans="1:13" ht="24" customHeight="1" thickBot="1">
      <c r="A231" s="96"/>
      <c r="B231" s="97"/>
      <c r="C231" s="97"/>
      <c r="D231" s="98"/>
      <c r="E231" s="32"/>
      <c r="F231" s="58"/>
      <c r="G231" s="59"/>
      <c r="H231" s="58"/>
      <c r="I231" s="59"/>
      <c r="J231" s="56"/>
      <c r="K231" s="57"/>
      <c r="L231" s="58"/>
      <c r="M231" s="59"/>
    </row>
    <row r="232" spans="1:13" ht="24" customHeight="1" thickBot="1">
      <c r="A232" s="96"/>
      <c r="B232" s="97"/>
      <c r="C232" s="97"/>
      <c r="D232" s="98"/>
      <c r="E232" s="32"/>
      <c r="F232" s="58"/>
      <c r="G232" s="59"/>
      <c r="H232" s="58"/>
      <c r="I232" s="59"/>
      <c r="J232" s="56"/>
      <c r="K232" s="57"/>
      <c r="L232" s="58"/>
      <c r="M232" s="59"/>
    </row>
    <row r="233" spans="1:13" ht="24" customHeight="1" thickBot="1">
      <c r="A233" s="60" t="s">
        <v>23</v>
      </c>
      <c r="B233" s="61"/>
      <c r="C233" s="61"/>
      <c r="D233" s="61"/>
      <c r="E233" s="61"/>
      <c r="F233" s="61"/>
      <c r="G233" s="61"/>
      <c r="H233" s="61"/>
      <c r="I233" s="61"/>
      <c r="J233" s="61"/>
      <c r="K233" s="61"/>
      <c r="L233" s="61"/>
      <c r="M233" s="62"/>
    </row>
    <row r="234" spans="1:13" ht="35.25" customHeight="1" thickBot="1">
      <c r="A234" s="75" t="s">
        <v>24</v>
      </c>
      <c r="B234" s="77"/>
      <c r="C234" s="75" t="s">
        <v>25</v>
      </c>
      <c r="D234" s="77"/>
      <c r="E234" s="75" t="s">
        <v>26</v>
      </c>
      <c r="F234" s="76"/>
      <c r="G234" s="77"/>
      <c r="H234" s="75" t="s">
        <v>27</v>
      </c>
      <c r="I234" s="77"/>
      <c r="J234" s="78" t="s">
        <v>21</v>
      </c>
      <c r="K234" s="79"/>
      <c r="L234" s="75" t="s">
        <v>22</v>
      </c>
      <c r="M234" s="77"/>
    </row>
    <row r="235" spans="1:13" s="18" customFormat="1" ht="24.75" customHeight="1" thickBot="1">
      <c r="A235" s="99" t="s">
        <v>80</v>
      </c>
      <c r="B235" s="98"/>
      <c r="C235" s="56">
        <v>3</v>
      </c>
      <c r="D235" s="57"/>
      <c r="E235" s="56">
        <v>28</v>
      </c>
      <c r="F235" s="100"/>
      <c r="G235" s="57"/>
      <c r="H235" s="56"/>
      <c r="I235" s="57"/>
      <c r="J235" s="56"/>
      <c r="K235" s="57"/>
      <c r="L235" s="56"/>
      <c r="M235" s="57"/>
    </row>
    <row r="236" spans="1:13" s="18" customFormat="1" ht="24.75" customHeight="1" thickBot="1">
      <c r="A236" s="99"/>
      <c r="B236" s="98"/>
      <c r="C236" s="56"/>
      <c r="D236" s="57"/>
      <c r="E236" s="56"/>
      <c r="F236" s="100"/>
      <c r="G236" s="57"/>
      <c r="H236" s="56"/>
      <c r="I236" s="57"/>
      <c r="J236" s="56"/>
      <c r="K236" s="57"/>
      <c r="L236" s="56"/>
      <c r="M236" s="57"/>
    </row>
    <row r="237" spans="1:13" ht="33" customHeight="1" thickBot="1">
      <c r="A237" s="112" t="s">
        <v>40</v>
      </c>
      <c r="B237" s="113"/>
      <c r="C237" s="113"/>
      <c r="D237" s="113"/>
      <c r="E237" s="113"/>
      <c r="F237" s="113"/>
      <c r="G237" s="113"/>
      <c r="H237" s="113"/>
      <c r="I237" s="113"/>
      <c r="J237" s="113"/>
      <c r="K237" s="113"/>
      <c r="L237" s="113"/>
      <c r="M237" s="114"/>
    </row>
    <row r="238" spans="1:13" ht="16.5" customHeight="1">
      <c r="A238" s="115" t="s">
        <v>41</v>
      </c>
      <c r="B238" s="116"/>
      <c r="C238" s="116"/>
      <c r="D238" s="116"/>
      <c r="E238" s="116"/>
      <c r="F238" s="116"/>
      <c r="G238" s="116"/>
      <c r="H238" s="116"/>
      <c r="I238" s="116"/>
      <c r="J238" s="116"/>
      <c r="K238" s="116"/>
      <c r="L238" s="116"/>
      <c r="M238" s="117"/>
    </row>
    <row r="239" spans="1:13" ht="16.5" customHeight="1">
      <c r="A239" s="90" t="s">
        <v>28</v>
      </c>
      <c r="B239" s="91"/>
      <c r="C239" s="91"/>
      <c r="D239" s="91"/>
      <c r="E239" s="91"/>
      <c r="F239" s="91"/>
      <c r="G239" s="91"/>
      <c r="H239" s="91"/>
      <c r="I239" s="91"/>
      <c r="J239" s="91"/>
      <c r="K239" s="91"/>
      <c r="L239" s="91"/>
      <c r="M239" s="92"/>
    </row>
    <row r="240" spans="1:13" s="1" customFormat="1" ht="16.5" customHeight="1">
      <c r="A240" s="93" t="s">
        <v>56</v>
      </c>
      <c r="B240" s="94"/>
      <c r="C240" s="94"/>
      <c r="D240" s="94"/>
      <c r="E240" s="94"/>
      <c r="F240" s="94"/>
      <c r="G240" s="94"/>
      <c r="H240" s="94"/>
      <c r="I240" s="94"/>
      <c r="J240" s="94"/>
      <c r="K240" s="94"/>
      <c r="L240" s="94"/>
      <c r="M240" s="95"/>
    </row>
    <row r="241" spans="1:13" s="1" customFormat="1" ht="16.5" customHeight="1">
      <c r="A241" s="93" t="s">
        <v>57</v>
      </c>
      <c r="B241" s="94"/>
      <c r="C241" s="94"/>
      <c r="D241" s="94"/>
      <c r="E241" s="94"/>
      <c r="F241" s="94"/>
      <c r="G241" s="94"/>
      <c r="H241" s="94"/>
      <c r="I241" s="94"/>
      <c r="J241" s="94"/>
      <c r="K241" s="94"/>
      <c r="L241" s="94"/>
      <c r="M241" s="95"/>
    </row>
    <row r="242" spans="1:13" s="1" customFormat="1" ht="16.5" customHeight="1">
      <c r="A242" s="93" t="s">
        <v>58</v>
      </c>
      <c r="B242" s="94"/>
      <c r="C242" s="94"/>
      <c r="D242" s="94"/>
      <c r="E242" s="94"/>
      <c r="F242" s="94"/>
      <c r="G242" s="94"/>
      <c r="H242" s="94"/>
      <c r="I242" s="94"/>
      <c r="J242" s="94"/>
      <c r="K242" s="94"/>
      <c r="L242" s="94"/>
      <c r="M242" s="95"/>
    </row>
    <row r="243" spans="1:13" s="1" customFormat="1" ht="16.5" customHeight="1">
      <c r="A243" s="93" t="s">
        <v>59</v>
      </c>
      <c r="B243" s="94"/>
      <c r="C243" s="94"/>
      <c r="D243" s="94"/>
      <c r="E243" s="94"/>
      <c r="F243" s="94"/>
      <c r="G243" s="94"/>
      <c r="H243" s="94"/>
      <c r="I243" s="94"/>
      <c r="J243" s="94"/>
      <c r="K243" s="94"/>
      <c r="L243" s="94"/>
      <c r="M243" s="95"/>
    </row>
    <row r="244" spans="1:13" ht="16.5" customHeight="1">
      <c r="A244" s="106" t="s">
        <v>29</v>
      </c>
      <c r="B244" s="107"/>
      <c r="C244" s="107"/>
      <c r="D244" s="107"/>
      <c r="E244" s="107"/>
      <c r="F244" s="107"/>
      <c r="G244" s="107"/>
      <c r="H244" s="107"/>
      <c r="I244" s="107"/>
      <c r="J244" s="107"/>
      <c r="K244" s="107"/>
      <c r="L244" s="107"/>
      <c r="M244" s="108"/>
    </row>
    <row r="245" spans="1:13" ht="9.75" customHeight="1" thickBot="1">
      <c r="A245" s="109"/>
      <c r="B245" s="110"/>
      <c r="C245" s="110"/>
      <c r="D245" s="110"/>
      <c r="E245" s="110"/>
      <c r="F245" s="110"/>
      <c r="G245" s="110"/>
      <c r="H245" s="110"/>
      <c r="I245" s="110"/>
      <c r="J245" s="110"/>
      <c r="K245" s="110"/>
      <c r="L245" s="110"/>
      <c r="M245" s="111"/>
    </row>
    <row r="246" spans="1:13" ht="18.75" customHeight="1" thickBot="1">
      <c r="A246" s="72" t="s">
        <v>30</v>
      </c>
      <c r="B246" s="73"/>
      <c r="C246" s="73"/>
      <c r="D246" s="73"/>
      <c r="E246" s="73"/>
      <c r="F246" s="73"/>
      <c r="G246" s="73"/>
      <c r="H246" s="73"/>
      <c r="I246" s="73"/>
      <c r="J246" s="73"/>
      <c r="K246" s="73"/>
      <c r="L246" s="73"/>
      <c r="M246" s="74"/>
    </row>
    <row r="247" spans="1:13" ht="24" customHeight="1" thickBot="1">
      <c r="A247" s="72" t="s">
        <v>31</v>
      </c>
      <c r="B247" s="73"/>
      <c r="C247" s="73"/>
      <c r="D247" s="73"/>
      <c r="E247" s="73"/>
      <c r="F247" s="73"/>
      <c r="G247" s="73"/>
      <c r="H247" s="73"/>
      <c r="I247" s="73"/>
      <c r="J247" s="73"/>
      <c r="K247" s="73"/>
      <c r="L247" s="73"/>
      <c r="M247" s="74"/>
    </row>
    <row r="248" spans="1:13" ht="24" customHeight="1" thickBot="1">
      <c r="A248" s="72" t="s">
        <v>116</v>
      </c>
      <c r="B248" s="73"/>
      <c r="C248" s="73"/>
      <c r="D248" s="73"/>
      <c r="E248" s="73"/>
      <c r="F248" s="73"/>
      <c r="G248" s="73"/>
      <c r="H248" s="73"/>
      <c r="I248" s="73"/>
      <c r="J248" s="73"/>
      <c r="K248" s="73"/>
      <c r="L248" s="73"/>
      <c r="M248" s="74"/>
    </row>
    <row r="249" spans="1:13" ht="24" customHeight="1" thickBot="1">
      <c r="A249" s="60" t="s">
        <v>46</v>
      </c>
      <c r="B249" s="61"/>
      <c r="C249" s="61"/>
      <c r="D249" s="61"/>
      <c r="E249" s="61"/>
      <c r="F249" s="61"/>
      <c r="G249" s="61"/>
      <c r="H249" s="61"/>
      <c r="I249" s="61"/>
      <c r="J249" s="61"/>
      <c r="K249" s="61"/>
      <c r="L249" s="61"/>
      <c r="M249" s="62"/>
    </row>
    <row r="250" spans="1:13" ht="11.1" customHeight="1">
      <c r="A250" s="103" t="s">
        <v>47</v>
      </c>
      <c r="B250" s="103"/>
      <c r="C250" s="103"/>
      <c r="D250" s="103"/>
      <c r="E250" s="103"/>
      <c r="F250" s="103"/>
      <c r="G250" s="103"/>
      <c r="H250" s="103"/>
      <c r="I250" s="103"/>
      <c r="J250" s="103"/>
      <c r="K250" s="103"/>
      <c r="L250" s="103"/>
      <c r="M250" s="103"/>
    </row>
    <row r="251" spans="1:13" ht="11.1" customHeight="1">
      <c r="A251" s="104" t="s">
        <v>48</v>
      </c>
      <c r="B251" s="104"/>
      <c r="C251" s="104"/>
      <c r="D251" s="104"/>
      <c r="E251" s="104"/>
      <c r="F251" s="104"/>
      <c r="G251" s="104"/>
      <c r="H251" s="104"/>
      <c r="I251" s="104"/>
      <c r="J251" s="104"/>
      <c r="K251" s="104"/>
      <c r="L251" s="104"/>
      <c r="M251" s="104"/>
    </row>
    <row r="252" spans="1:13" ht="11.1" customHeight="1">
      <c r="A252" s="105" t="s">
        <v>49</v>
      </c>
      <c r="B252" s="105"/>
      <c r="C252" s="105"/>
      <c r="D252" s="105"/>
      <c r="E252" s="105"/>
      <c r="F252" s="105"/>
      <c r="G252" s="105"/>
      <c r="H252" s="105"/>
      <c r="I252" s="105"/>
      <c r="J252" s="105"/>
      <c r="K252" s="105"/>
      <c r="L252" s="105"/>
      <c r="M252" s="105"/>
    </row>
    <row r="253" spans="1:13" ht="11.1" customHeight="1">
      <c r="A253" s="105" t="s">
        <v>50</v>
      </c>
      <c r="B253" s="105"/>
      <c r="C253" s="105"/>
      <c r="D253" s="105"/>
      <c r="E253" s="105"/>
      <c r="F253" s="105"/>
      <c r="G253" s="105"/>
      <c r="H253" s="105"/>
      <c r="I253" s="105"/>
      <c r="J253" s="105"/>
      <c r="K253" s="105"/>
      <c r="L253" s="105"/>
      <c r="M253" s="105"/>
    </row>
    <row r="254" spans="1:13" ht="11.1" customHeight="1">
      <c r="A254" s="104" t="s">
        <v>51</v>
      </c>
      <c r="B254" s="104"/>
      <c r="C254" s="104"/>
      <c r="D254" s="104"/>
      <c r="E254" s="104"/>
      <c r="F254" s="104"/>
      <c r="G254" s="104"/>
      <c r="H254" s="104"/>
      <c r="I254" s="104"/>
      <c r="J254" s="104"/>
      <c r="K254" s="104"/>
      <c r="L254" s="104"/>
      <c r="M254" s="104"/>
    </row>
    <row r="255" spans="1:13" ht="11.1" customHeight="1">
      <c r="A255" s="104" t="s">
        <v>52</v>
      </c>
      <c r="B255" s="104"/>
      <c r="C255" s="104"/>
      <c r="D255" s="104"/>
      <c r="E255" s="104"/>
      <c r="F255" s="104"/>
      <c r="G255" s="104"/>
      <c r="H255" s="104"/>
      <c r="I255" s="104"/>
      <c r="J255" s="104"/>
      <c r="K255" s="104"/>
      <c r="L255" s="104"/>
      <c r="M255" s="104"/>
    </row>
    <row r="256" spans="1:13" ht="11.1" customHeight="1">
      <c r="A256" s="104" t="s">
        <v>53</v>
      </c>
      <c r="B256" s="104"/>
      <c r="C256" s="104"/>
      <c r="D256" s="104"/>
      <c r="E256" s="104"/>
      <c r="F256" s="104"/>
      <c r="G256" s="104"/>
      <c r="H256" s="104"/>
      <c r="I256" s="104"/>
      <c r="J256" s="104"/>
      <c r="K256" s="104"/>
      <c r="L256" s="104"/>
      <c r="M256" s="104"/>
    </row>
    <row r="257" spans="1:15" ht="11.1" customHeight="1">
      <c r="A257" s="101" t="s">
        <v>54</v>
      </c>
      <c r="B257" s="101"/>
      <c r="C257" s="101"/>
      <c r="D257" s="101"/>
      <c r="E257" s="101"/>
      <c r="F257" s="101"/>
      <c r="G257" s="101"/>
      <c r="H257" s="101"/>
      <c r="I257" s="101"/>
      <c r="J257" s="101"/>
      <c r="K257" s="101"/>
      <c r="L257" s="101"/>
      <c r="M257" s="101"/>
    </row>
    <row r="258" spans="1:15" ht="11.1" customHeight="1">
      <c r="A258" s="101" t="s">
        <v>55</v>
      </c>
      <c r="B258" s="101"/>
      <c r="C258" s="101"/>
      <c r="D258" s="101"/>
      <c r="E258" s="101"/>
      <c r="F258" s="101"/>
      <c r="G258" s="101"/>
      <c r="H258" s="101"/>
      <c r="I258" s="101"/>
      <c r="J258" s="101"/>
      <c r="K258" s="101"/>
      <c r="L258" s="101"/>
      <c r="M258" s="101"/>
    </row>
    <row r="259" spans="1:15" ht="19.5" customHeight="1">
      <c r="A259" s="69" t="s">
        <v>0</v>
      </c>
      <c r="B259" s="69"/>
      <c r="C259" s="69"/>
      <c r="D259" s="69"/>
      <c r="E259" s="69"/>
      <c r="F259" s="69"/>
      <c r="G259" s="69"/>
      <c r="H259" s="69"/>
      <c r="I259" s="69"/>
      <c r="J259" s="69"/>
      <c r="K259" s="69"/>
      <c r="L259" s="69"/>
      <c r="M259" s="69"/>
    </row>
    <row r="260" spans="1:15" ht="20.100000000000001" customHeight="1">
      <c r="A260" s="4" t="s">
        <v>32</v>
      </c>
      <c r="B260" s="5">
        <f>+B216+1</f>
        <v>42</v>
      </c>
      <c r="C260" s="30"/>
      <c r="D260" s="30"/>
      <c r="E260" s="30"/>
      <c r="F260" s="30"/>
      <c r="G260" s="30"/>
      <c r="H260" s="30"/>
      <c r="I260" s="30"/>
      <c r="J260" s="30"/>
      <c r="K260" s="30"/>
      <c r="L260" s="30"/>
      <c r="M260" s="30"/>
    </row>
    <row r="261" spans="1:15" ht="24" customHeight="1" thickBot="1">
      <c r="A261" s="4" t="s">
        <v>33</v>
      </c>
      <c r="H261" s="70" t="s">
        <v>34</v>
      </c>
      <c r="I261" s="70"/>
      <c r="J261" s="70"/>
      <c r="K261" s="102">
        <f>+K217+1</f>
        <v>45968</v>
      </c>
      <c r="L261" s="102"/>
      <c r="M261" s="102"/>
      <c r="O261" s="7"/>
    </row>
    <row r="262" spans="1:15" ht="33.75" customHeight="1" thickBot="1">
      <c r="A262" s="80" t="s">
        <v>1</v>
      </c>
      <c r="B262" s="81"/>
      <c r="C262" s="82"/>
      <c r="D262" s="86" t="str">
        <f>+D218</f>
        <v>光明國中B與C區5樓老舊廁所整修工程</v>
      </c>
      <c r="E262" s="87"/>
      <c r="F262" s="87"/>
      <c r="G262" s="88"/>
      <c r="H262" s="80" t="s">
        <v>2</v>
      </c>
      <c r="I262" s="81"/>
      <c r="J262" s="82"/>
      <c r="K262" s="80" t="s">
        <v>35</v>
      </c>
      <c r="L262" s="81"/>
      <c r="M262" s="82"/>
    </row>
    <row r="263" spans="1:15" ht="33.75" customHeight="1" thickBot="1">
      <c r="A263" s="8" t="s">
        <v>3</v>
      </c>
      <c r="B263" s="29">
        <f>+B219</f>
        <v>142</v>
      </c>
      <c r="C263" s="10" t="s">
        <v>36</v>
      </c>
      <c r="D263" s="80" t="s">
        <v>4</v>
      </c>
      <c r="E263" s="89"/>
      <c r="F263" s="31">
        <f>+F219+1</f>
        <v>42</v>
      </c>
      <c r="G263" s="12" t="s">
        <v>36</v>
      </c>
      <c r="H263" s="13" t="s">
        <v>5</v>
      </c>
      <c r="I263" s="29">
        <f>+B263-F263</f>
        <v>100</v>
      </c>
      <c r="J263" s="10" t="s">
        <v>36</v>
      </c>
      <c r="K263" s="80" t="s">
        <v>6</v>
      </c>
      <c r="L263" s="82"/>
      <c r="M263" s="13">
        <f>+M219</f>
        <v>12</v>
      </c>
    </row>
    <row r="264" spans="1:15" ht="24" customHeight="1" thickBot="1">
      <c r="A264" s="80" t="s">
        <v>7</v>
      </c>
      <c r="B264" s="81"/>
      <c r="C264" s="82"/>
      <c r="D264" s="80" t="str">
        <f>+D220</f>
        <v>114.9.27</v>
      </c>
      <c r="E264" s="81"/>
      <c r="F264" s="81"/>
      <c r="G264" s="82"/>
      <c r="H264" s="80" t="s">
        <v>8</v>
      </c>
      <c r="I264" s="81"/>
      <c r="J264" s="82"/>
      <c r="K264" s="80" t="str">
        <f>+K220</f>
        <v>115.2.15</v>
      </c>
      <c r="L264" s="81"/>
      <c r="M264" s="82"/>
    </row>
    <row r="265" spans="1:15" ht="24" customHeight="1" thickBot="1">
      <c r="A265" s="80" t="s">
        <v>37</v>
      </c>
      <c r="B265" s="81"/>
      <c r="C265" s="82"/>
      <c r="D265" s="83">
        <v>0.156</v>
      </c>
      <c r="E265" s="84"/>
      <c r="F265" s="84"/>
      <c r="G265" s="85"/>
      <c r="H265" s="80" t="s">
        <v>38</v>
      </c>
      <c r="I265" s="81"/>
      <c r="J265" s="82"/>
      <c r="K265" s="83">
        <f>+K221</f>
        <v>0.20100000000000001</v>
      </c>
      <c r="L265" s="84"/>
      <c r="M265" s="85"/>
    </row>
    <row r="266" spans="1:15" ht="24" customHeight="1" thickBot="1">
      <c r="A266" s="72" t="s">
        <v>9</v>
      </c>
      <c r="B266" s="73"/>
      <c r="C266" s="73"/>
      <c r="D266" s="73"/>
      <c r="E266" s="73"/>
      <c r="F266" s="73"/>
      <c r="G266" s="73"/>
      <c r="H266" s="73"/>
      <c r="I266" s="73"/>
      <c r="J266" s="73"/>
      <c r="K266" s="73"/>
      <c r="L266" s="73"/>
      <c r="M266" s="74"/>
    </row>
    <row r="267" spans="1:15" ht="35.25" customHeight="1" thickBot="1">
      <c r="A267" s="75" t="s">
        <v>10</v>
      </c>
      <c r="B267" s="76"/>
      <c r="C267" s="76"/>
      <c r="D267" s="77"/>
      <c r="E267" s="14" t="s">
        <v>11</v>
      </c>
      <c r="F267" s="75" t="s">
        <v>12</v>
      </c>
      <c r="G267" s="77"/>
      <c r="H267" s="75" t="s">
        <v>13</v>
      </c>
      <c r="I267" s="77"/>
      <c r="J267" s="78" t="s">
        <v>14</v>
      </c>
      <c r="K267" s="79"/>
      <c r="L267" s="75" t="s">
        <v>15</v>
      </c>
      <c r="M267" s="77"/>
    </row>
    <row r="268" spans="1:15" ht="27.95" customHeight="1" thickBot="1">
      <c r="A268" s="141"/>
      <c r="B268" s="142"/>
      <c r="C268" s="142"/>
      <c r="D268" s="143"/>
      <c r="E268" s="2"/>
      <c r="F268" s="56"/>
      <c r="G268" s="57"/>
      <c r="H268" s="56"/>
      <c r="I268" s="57"/>
      <c r="J268" s="56"/>
      <c r="K268" s="57"/>
      <c r="L268" s="58"/>
      <c r="M268" s="59"/>
    </row>
    <row r="269" spans="1:15" ht="27.95" customHeight="1" thickBot="1">
      <c r="A269" s="141"/>
      <c r="B269" s="142"/>
      <c r="C269" s="142"/>
      <c r="D269" s="143"/>
      <c r="E269" s="15"/>
      <c r="F269" s="56"/>
      <c r="G269" s="57"/>
      <c r="H269" s="56"/>
      <c r="I269" s="57"/>
      <c r="J269" s="56"/>
      <c r="K269" s="57"/>
      <c r="L269" s="58"/>
      <c r="M269" s="59"/>
    </row>
    <row r="270" spans="1:15" ht="24.95" customHeight="1" thickTop="1" thickBot="1">
      <c r="A270" s="130" t="s">
        <v>16</v>
      </c>
      <c r="B270" s="67"/>
      <c r="C270" s="67"/>
      <c r="D270" s="68"/>
      <c r="E270" s="32"/>
      <c r="F270" s="131"/>
      <c r="G270" s="132"/>
      <c r="H270" s="131"/>
      <c r="I270" s="132"/>
      <c r="J270" s="131"/>
      <c r="K270" s="132"/>
      <c r="L270" s="131"/>
      <c r="M270" s="133"/>
    </row>
    <row r="271" spans="1:15" ht="24.95" customHeight="1" thickBot="1">
      <c r="A271" s="134"/>
      <c r="B271" s="135"/>
      <c r="C271" s="135"/>
      <c r="D271" s="59"/>
      <c r="E271" s="32"/>
      <c r="F271" s="58"/>
      <c r="G271" s="59"/>
      <c r="H271" s="58"/>
      <c r="I271" s="59"/>
      <c r="J271" s="58"/>
      <c r="K271" s="59"/>
      <c r="L271" s="58"/>
      <c r="M271" s="136"/>
    </row>
    <row r="272" spans="1:15" ht="24.95" customHeight="1" thickBot="1">
      <c r="A272" s="118"/>
      <c r="B272" s="119"/>
      <c r="C272" s="119"/>
      <c r="D272" s="120"/>
      <c r="E272" s="24"/>
      <c r="F272" s="121"/>
      <c r="G272" s="120"/>
      <c r="H272" s="121"/>
      <c r="I272" s="120"/>
      <c r="J272" s="121"/>
      <c r="K272" s="120"/>
      <c r="L272" s="121"/>
      <c r="M272" s="122"/>
    </row>
    <row r="273" spans="1:13" ht="24" customHeight="1" thickTop="1" thickBot="1">
      <c r="A273" s="66" t="s">
        <v>19</v>
      </c>
      <c r="B273" s="67"/>
      <c r="C273" s="67"/>
      <c r="D273" s="67"/>
      <c r="E273" s="67"/>
      <c r="F273" s="67"/>
      <c r="G273" s="67"/>
      <c r="H273" s="67"/>
      <c r="I273" s="67"/>
      <c r="J273" s="67"/>
      <c r="K273" s="67"/>
      <c r="L273" s="67"/>
      <c r="M273" s="68"/>
    </row>
    <row r="274" spans="1:13" ht="35.25" customHeight="1" thickBot="1">
      <c r="A274" s="75" t="s">
        <v>20</v>
      </c>
      <c r="B274" s="76"/>
      <c r="C274" s="76"/>
      <c r="D274" s="77"/>
      <c r="E274" s="14" t="s">
        <v>11</v>
      </c>
      <c r="F274" s="75" t="s">
        <v>39</v>
      </c>
      <c r="G274" s="77"/>
      <c r="H274" s="75" t="s">
        <v>21</v>
      </c>
      <c r="I274" s="77"/>
      <c r="J274" s="78" t="s">
        <v>22</v>
      </c>
      <c r="K274" s="79"/>
      <c r="L274" s="75" t="s">
        <v>15</v>
      </c>
      <c r="M274" s="77"/>
    </row>
    <row r="275" spans="1:13" ht="24" customHeight="1" thickBot="1">
      <c r="A275" s="96"/>
      <c r="B275" s="97"/>
      <c r="C275" s="97"/>
      <c r="D275" s="98"/>
      <c r="E275" s="32"/>
      <c r="F275" s="58"/>
      <c r="G275" s="59"/>
      <c r="H275" s="58"/>
      <c r="I275" s="59"/>
      <c r="J275" s="56"/>
      <c r="K275" s="57"/>
      <c r="L275" s="58"/>
      <c r="M275" s="59"/>
    </row>
    <row r="276" spans="1:13" ht="24" customHeight="1" thickBot="1">
      <c r="A276" s="96"/>
      <c r="B276" s="97"/>
      <c r="C276" s="97"/>
      <c r="D276" s="98"/>
      <c r="E276" s="32"/>
      <c r="F276" s="58"/>
      <c r="G276" s="59"/>
      <c r="H276" s="58"/>
      <c r="I276" s="59"/>
      <c r="J276" s="56"/>
      <c r="K276" s="57"/>
      <c r="L276" s="58"/>
      <c r="M276" s="59"/>
    </row>
    <row r="277" spans="1:13" ht="24" customHeight="1" thickBot="1">
      <c r="A277" s="60" t="s">
        <v>23</v>
      </c>
      <c r="B277" s="61"/>
      <c r="C277" s="61"/>
      <c r="D277" s="61"/>
      <c r="E277" s="61"/>
      <c r="F277" s="61"/>
      <c r="G277" s="61"/>
      <c r="H277" s="61"/>
      <c r="I277" s="61"/>
      <c r="J277" s="61"/>
      <c r="K277" s="61"/>
      <c r="L277" s="61"/>
      <c r="M277" s="62"/>
    </row>
    <row r="278" spans="1:13" ht="35.25" customHeight="1" thickBot="1">
      <c r="A278" s="75" t="s">
        <v>24</v>
      </c>
      <c r="B278" s="77"/>
      <c r="C278" s="75" t="s">
        <v>25</v>
      </c>
      <c r="D278" s="77"/>
      <c r="E278" s="75" t="s">
        <v>26</v>
      </c>
      <c r="F278" s="76"/>
      <c r="G278" s="77"/>
      <c r="H278" s="75" t="s">
        <v>27</v>
      </c>
      <c r="I278" s="77"/>
      <c r="J278" s="78" t="s">
        <v>21</v>
      </c>
      <c r="K278" s="79"/>
      <c r="L278" s="75" t="s">
        <v>22</v>
      </c>
      <c r="M278" s="77"/>
    </row>
    <row r="279" spans="1:13" s="18" customFormat="1" ht="24.75" customHeight="1" thickBot="1">
      <c r="A279" s="99"/>
      <c r="B279" s="98"/>
      <c r="C279" s="56"/>
      <c r="D279" s="57"/>
      <c r="E279" s="56"/>
      <c r="F279" s="100"/>
      <c r="G279" s="57"/>
      <c r="H279" s="56"/>
      <c r="I279" s="57"/>
      <c r="J279" s="56"/>
      <c r="K279" s="57"/>
      <c r="L279" s="56"/>
      <c r="M279" s="57"/>
    </row>
    <row r="280" spans="1:13" s="18" customFormat="1" ht="24.75" customHeight="1" thickBot="1">
      <c r="A280" s="99"/>
      <c r="B280" s="98"/>
      <c r="C280" s="56"/>
      <c r="D280" s="57"/>
      <c r="E280" s="56"/>
      <c r="F280" s="100"/>
      <c r="G280" s="57"/>
      <c r="H280" s="56"/>
      <c r="I280" s="57"/>
      <c r="J280" s="56"/>
      <c r="K280" s="57"/>
      <c r="L280" s="56"/>
      <c r="M280" s="57"/>
    </row>
    <row r="281" spans="1:13" ht="33" customHeight="1" thickBot="1">
      <c r="A281" s="112" t="s">
        <v>60</v>
      </c>
      <c r="B281" s="113"/>
      <c r="C281" s="113"/>
      <c r="D281" s="113"/>
      <c r="E281" s="113"/>
      <c r="F281" s="113"/>
      <c r="G281" s="113"/>
      <c r="H281" s="113"/>
      <c r="I281" s="113"/>
      <c r="J281" s="113"/>
      <c r="K281" s="113"/>
      <c r="L281" s="113"/>
      <c r="M281" s="114"/>
    </row>
    <row r="282" spans="1:13" ht="16.5" customHeight="1">
      <c r="A282" s="115" t="s">
        <v>41</v>
      </c>
      <c r="B282" s="116"/>
      <c r="C282" s="116"/>
      <c r="D282" s="116"/>
      <c r="E282" s="116"/>
      <c r="F282" s="116"/>
      <c r="G282" s="116"/>
      <c r="H282" s="116"/>
      <c r="I282" s="116"/>
      <c r="J282" s="116"/>
      <c r="K282" s="116"/>
      <c r="L282" s="116"/>
      <c r="M282" s="117"/>
    </row>
    <row r="283" spans="1:13" ht="16.5" customHeight="1">
      <c r="A283" s="90" t="s">
        <v>28</v>
      </c>
      <c r="B283" s="91"/>
      <c r="C283" s="91"/>
      <c r="D283" s="91"/>
      <c r="E283" s="91"/>
      <c r="F283" s="91"/>
      <c r="G283" s="91"/>
      <c r="H283" s="91"/>
      <c r="I283" s="91"/>
      <c r="J283" s="91"/>
      <c r="K283" s="91"/>
      <c r="L283" s="91"/>
      <c r="M283" s="92"/>
    </row>
    <row r="284" spans="1:13" ht="16.5" customHeight="1">
      <c r="A284" s="106" t="s">
        <v>42</v>
      </c>
      <c r="B284" s="107"/>
      <c r="C284" s="107"/>
      <c r="D284" s="107"/>
      <c r="E284" s="107"/>
      <c r="F284" s="107"/>
      <c r="G284" s="107"/>
      <c r="H284" s="107"/>
      <c r="I284" s="107"/>
      <c r="J284" s="107"/>
      <c r="K284" s="107"/>
      <c r="L284" s="107"/>
      <c r="M284" s="108"/>
    </row>
    <row r="285" spans="1:13" ht="16.5" customHeight="1">
      <c r="A285" s="106" t="s">
        <v>43</v>
      </c>
      <c r="B285" s="107"/>
      <c r="C285" s="107"/>
      <c r="D285" s="107"/>
      <c r="E285" s="107"/>
      <c r="F285" s="107"/>
      <c r="G285" s="107"/>
      <c r="H285" s="107"/>
      <c r="I285" s="107"/>
      <c r="J285" s="107"/>
      <c r="K285" s="107"/>
      <c r="L285" s="107"/>
      <c r="M285" s="108"/>
    </row>
    <row r="286" spans="1:13" ht="16.5" customHeight="1">
      <c r="A286" s="106" t="s">
        <v>44</v>
      </c>
      <c r="B286" s="107"/>
      <c r="C286" s="107"/>
      <c r="D286" s="107"/>
      <c r="E286" s="107"/>
      <c r="F286" s="107"/>
      <c r="G286" s="107"/>
      <c r="H286" s="107"/>
      <c r="I286" s="107"/>
      <c r="J286" s="107"/>
      <c r="K286" s="107"/>
      <c r="L286" s="107"/>
      <c r="M286" s="108"/>
    </row>
    <row r="287" spans="1:13" ht="16.5" customHeight="1">
      <c r="A287" s="106" t="s">
        <v>45</v>
      </c>
      <c r="B287" s="107"/>
      <c r="C287" s="107"/>
      <c r="D287" s="107"/>
      <c r="E287" s="107"/>
      <c r="F287" s="107"/>
      <c r="G287" s="107"/>
      <c r="H287" s="107"/>
      <c r="I287" s="107"/>
      <c r="J287" s="107"/>
      <c r="K287" s="107"/>
      <c r="L287" s="107"/>
      <c r="M287" s="108"/>
    </row>
    <row r="288" spans="1:13" ht="16.5" customHeight="1">
      <c r="A288" s="106" t="s">
        <v>29</v>
      </c>
      <c r="B288" s="107"/>
      <c r="C288" s="107"/>
      <c r="D288" s="107"/>
      <c r="E288" s="107"/>
      <c r="F288" s="107"/>
      <c r="G288" s="107"/>
      <c r="H288" s="107"/>
      <c r="I288" s="107"/>
      <c r="J288" s="107"/>
      <c r="K288" s="107"/>
      <c r="L288" s="107"/>
      <c r="M288" s="108"/>
    </row>
    <row r="289" spans="1:13" ht="9.75" customHeight="1" thickBot="1">
      <c r="A289" s="109"/>
      <c r="B289" s="110"/>
      <c r="C289" s="110"/>
      <c r="D289" s="110"/>
      <c r="E289" s="110"/>
      <c r="F289" s="110"/>
      <c r="G289" s="110"/>
      <c r="H289" s="110"/>
      <c r="I289" s="110"/>
      <c r="J289" s="110"/>
      <c r="K289" s="110"/>
      <c r="L289" s="110"/>
      <c r="M289" s="111"/>
    </row>
    <row r="290" spans="1:13" ht="18.75" customHeight="1" thickBot="1">
      <c r="A290" s="72" t="s">
        <v>30</v>
      </c>
      <c r="B290" s="73"/>
      <c r="C290" s="73"/>
      <c r="D290" s="73"/>
      <c r="E290" s="73"/>
      <c r="F290" s="73"/>
      <c r="G290" s="73"/>
      <c r="H290" s="73"/>
      <c r="I290" s="73"/>
      <c r="J290" s="73"/>
      <c r="K290" s="73"/>
      <c r="L290" s="73"/>
      <c r="M290" s="74"/>
    </row>
    <row r="291" spans="1:13" ht="24" customHeight="1" thickBot="1">
      <c r="A291" s="72" t="s">
        <v>31</v>
      </c>
      <c r="B291" s="73"/>
      <c r="C291" s="73"/>
      <c r="D291" s="73"/>
      <c r="E291" s="73"/>
      <c r="F291" s="73"/>
      <c r="G291" s="73"/>
      <c r="H291" s="73"/>
      <c r="I291" s="73"/>
      <c r="J291" s="73"/>
      <c r="K291" s="73"/>
      <c r="L291" s="73"/>
      <c r="M291" s="74"/>
    </row>
    <row r="292" spans="1:13" ht="24" customHeight="1" thickBot="1">
      <c r="A292" s="72" t="s">
        <v>129</v>
      </c>
      <c r="B292" s="73"/>
      <c r="C292" s="73"/>
      <c r="D292" s="73"/>
      <c r="E292" s="73"/>
      <c r="F292" s="73"/>
      <c r="G292" s="73"/>
      <c r="H292" s="73"/>
      <c r="I292" s="73"/>
      <c r="J292" s="73"/>
      <c r="K292" s="73"/>
      <c r="L292" s="73"/>
      <c r="M292" s="74"/>
    </row>
    <row r="293" spans="1:13" ht="24" customHeight="1" thickBot="1">
      <c r="A293" s="60" t="s">
        <v>46</v>
      </c>
      <c r="B293" s="61"/>
      <c r="C293" s="61"/>
      <c r="D293" s="61"/>
      <c r="E293" s="61"/>
      <c r="F293" s="61"/>
      <c r="G293" s="61"/>
      <c r="H293" s="61"/>
      <c r="I293" s="61"/>
      <c r="J293" s="61"/>
      <c r="K293" s="61"/>
      <c r="L293" s="61"/>
      <c r="M293" s="62"/>
    </row>
    <row r="294" spans="1:13" ht="11.1" customHeight="1">
      <c r="A294" s="103" t="s">
        <v>47</v>
      </c>
      <c r="B294" s="103"/>
      <c r="C294" s="103"/>
      <c r="D294" s="103"/>
      <c r="E294" s="103"/>
      <c r="F294" s="103"/>
      <c r="G294" s="103"/>
      <c r="H294" s="103"/>
      <c r="I294" s="103"/>
      <c r="J294" s="103"/>
      <c r="K294" s="103"/>
      <c r="L294" s="103"/>
      <c r="M294" s="103"/>
    </row>
    <row r="295" spans="1:13" ht="11.1" customHeight="1">
      <c r="A295" s="104" t="s">
        <v>48</v>
      </c>
      <c r="B295" s="104"/>
      <c r="C295" s="104"/>
      <c r="D295" s="104"/>
      <c r="E295" s="104"/>
      <c r="F295" s="104"/>
      <c r="G295" s="104"/>
      <c r="H295" s="104"/>
      <c r="I295" s="104"/>
      <c r="J295" s="104"/>
      <c r="K295" s="104"/>
      <c r="L295" s="104"/>
      <c r="M295" s="104"/>
    </row>
    <row r="296" spans="1:13" ht="11.1" customHeight="1">
      <c r="A296" s="105" t="s">
        <v>49</v>
      </c>
      <c r="B296" s="105"/>
      <c r="C296" s="105"/>
      <c r="D296" s="105"/>
      <c r="E296" s="105"/>
      <c r="F296" s="105"/>
      <c r="G296" s="105"/>
      <c r="H296" s="105"/>
      <c r="I296" s="105"/>
      <c r="J296" s="105"/>
      <c r="K296" s="105"/>
      <c r="L296" s="105"/>
      <c r="M296" s="105"/>
    </row>
    <row r="297" spans="1:13" ht="11.1" customHeight="1">
      <c r="A297" s="105" t="s">
        <v>50</v>
      </c>
      <c r="B297" s="105"/>
      <c r="C297" s="105"/>
      <c r="D297" s="105"/>
      <c r="E297" s="105"/>
      <c r="F297" s="105"/>
      <c r="G297" s="105"/>
      <c r="H297" s="105"/>
      <c r="I297" s="105"/>
      <c r="J297" s="105"/>
      <c r="K297" s="105"/>
      <c r="L297" s="105"/>
      <c r="M297" s="105"/>
    </row>
    <row r="298" spans="1:13" ht="11.1" customHeight="1">
      <c r="A298" s="104" t="s">
        <v>51</v>
      </c>
      <c r="B298" s="104"/>
      <c r="C298" s="104"/>
      <c r="D298" s="104"/>
      <c r="E298" s="104"/>
      <c r="F298" s="104"/>
      <c r="G298" s="104"/>
      <c r="H298" s="104"/>
      <c r="I298" s="104"/>
      <c r="J298" s="104"/>
      <c r="K298" s="104"/>
      <c r="L298" s="104"/>
      <c r="M298" s="104"/>
    </row>
    <row r="299" spans="1:13" ht="11.1" customHeight="1">
      <c r="A299" s="104" t="s">
        <v>52</v>
      </c>
      <c r="B299" s="104"/>
      <c r="C299" s="104"/>
      <c r="D299" s="104"/>
      <c r="E299" s="104"/>
      <c r="F299" s="104"/>
      <c r="G299" s="104"/>
      <c r="H299" s="104"/>
      <c r="I299" s="104"/>
      <c r="J299" s="104"/>
      <c r="K299" s="104"/>
      <c r="L299" s="104"/>
      <c r="M299" s="104"/>
    </row>
    <row r="300" spans="1:13" ht="11.1" customHeight="1">
      <c r="A300" s="104" t="s">
        <v>53</v>
      </c>
      <c r="B300" s="104"/>
      <c r="C300" s="104"/>
      <c r="D300" s="104"/>
      <c r="E300" s="104"/>
      <c r="F300" s="104"/>
      <c r="G300" s="104"/>
      <c r="H300" s="104"/>
      <c r="I300" s="104"/>
      <c r="J300" s="104"/>
      <c r="K300" s="104"/>
      <c r="L300" s="104"/>
      <c r="M300" s="104"/>
    </row>
    <row r="301" spans="1:13" ht="11.1" customHeight="1">
      <c r="A301" s="101" t="s">
        <v>54</v>
      </c>
      <c r="B301" s="101"/>
      <c r="C301" s="101"/>
      <c r="D301" s="101"/>
      <c r="E301" s="101"/>
      <c r="F301" s="101"/>
      <c r="G301" s="101"/>
      <c r="H301" s="101"/>
      <c r="I301" s="101"/>
      <c r="J301" s="101"/>
      <c r="K301" s="101"/>
      <c r="L301" s="101"/>
      <c r="M301" s="101"/>
    </row>
    <row r="302" spans="1:13" ht="11.1" customHeight="1">
      <c r="A302" s="101" t="s">
        <v>55</v>
      </c>
      <c r="B302" s="101"/>
      <c r="C302" s="101"/>
      <c r="D302" s="101"/>
      <c r="E302" s="101"/>
      <c r="F302" s="101"/>
      <c r="G302" s="101"/>
      <c r="H302" s="101"/>
      <c r="I302" s="101"/>
      <c r="J302" s="101"/>
      <c r="K302" s="101"/>
      <c r="L302" s="101"/>
      <c r="M302" s="101"/>
    </row>
    <row r="303" spans="1:13" ht="19.5" customHeight="1">
      <c r="A303" s="69" t="s">
        <v>0</v>
      </c>
      <c r="B303" s="69"/>
      <c r="C303" s="69"/>
      <c r="D303" s="69"/>
      <c r="E303" s="69"/>
      <c r="F303" s="69"/>
      <c r="G303" s="69"/>
      <c r="H303" s="69"/>
      <c r="I303" s="69"/>
      <c r="J303" s="69"/>
      <c r="K303" s="69"/>
      <c r="L303" s="69"/>
      <c r="M303" s="69"/>
    </row>
    <row r="304" spans="1:13" ht="20.100000000000001" customHeight="1">
      <c r="A304" s="4" t="s">
        <v>32</v>
      </c>
      <c r="B304" s="5">
        <f>+B260+1</f>
        <v>43</v>
      </c>
      <c r="C304" s="30"/>
      <c r="D304" s="30"/>
      <c r="E304" s="30"/>
      <c r="F304" s="30"/>
      <c r="G304" s="30"/>
      <c r="H304" s="30"/>
      <c r="I304" s="30"/>
      <c r="J304" s="30"/>
      <c r="K304" s="30"/>
      <c r="L304" s="30"/>
      <c r="M304" s="30"/>
    </row>
    <row r="305" spans="1:15" ht="24" customHeight="1" thickBot="1">
      <c r="A305" s="4" t="s">
        <v>33</v>
      </c>
      <c r="H305" s="70" t="s">
        <v>34</v>
      </c>
      <c r="I305" s="70"/>
      <c r="J305" s="70"/>
      <c r="K305" s="102">
        <f>+K261+1</f>
        <v>45969</v>
      </c>
      <c r="L305" s="102"/>
      <c r="M305" s="102"/>
      <c r="O305" s="7"/>
    </row>
    <row r="306" spans="1:15" ht="33.75" customHeight="1" thickBot="1">
      <c r="A306" s="80" t="s">
        <v>1</v>
      </c>
      <c r="B306" s="81"/>
      <c r="C306" s="82"/>
      <c r="D306" s="86" t="str">
        <f>+D262</f>
        <v>光明國中B與C區5樓老舊廁所整修工程</v>
      </c>
      <c r="E306" s="87"/>
      <c r="F306" s="87"/>
      <c r="G306" s="88"/>
      <c r="H306" s="80" t="s">
        <v>2</v>
      </c>
      <c r="I306" s="81"/>
      <c r="J306" s="82"/>
      <c r="K306" s="80" t="s">
        <v>35</v>
      </c>
      <c r="L306" s="81"/>
      <c r="M306" s="82"/>
    </row>
    <row r="307" spans="1:15" ht="33.75" customHeight="1" thickBot="1">
      <c r="A307" s="8" t="s">
        <v>3</v>
      </c>
      <c r="B307" s="29">
        <f>+B263</f>
        <v>142</v>
      </c>
      <c r="C307" s="10" t="s">
        <v>36</v>
      </c>
      <c r="D307" s="80" t="s">
        <v>4</v>
      </c>
      <c r="E307" s="89"/>
      <c r="F307" s="31">
        <f>+F263+1</f>
        <v>43</v>
      </c>
      <c r="G307" s="12" t="s">
        <v>36</v>
      </c>
      <c r="H307" s="13" t="s">
        <v>5</v>
      </c>
      <c r="I307" s="29">
        <f>+B307-F307</f>
        <v>99</v>
      </c>
      <c r="J307" s="10" t="s">
        <v>36</v>
      </c>
      <c r="K307" s="80" t="s">
        <v>6</v>
      </c>
      <c r="L307" s="82"/>
      <c r="M307" s="13">
        <f>+M263</f>
        <v>12</v>
      </c>
    </row>
    <row r="308" spans="1:15" ht="24" customHeight="1" thickBot="1">
      <c r="A308" s="80" t="s">
        <v>7</v>
      </c>
      <c r="B308" s="81"/>
      <c r="C308" s="82"/>
      <c r="D308" s="80" t="str">
        <f>+D264</f>
        <v>114.9.27</v>
      </c>
      <c r="E308" s="81"/>
      <c r="F308" s="81"/>
      <c r="G308" s="82"/>
      <c r="H308" s="80" t="s">
        <v>8</v>
      </c>
      <c r="I308" s="81"/>
      <c r="J308" s="82"/>
      <c r="K308" s="80" t="str">
        <f>+K264</f>
        <v>115.2.15</v>
      </c>
      <c r="L308" s="81"/>
      <c r="M308" s="82"/>
    </row>
    <row r="309" spans="1:15" ht="24" customHeight="1" thickBot="1">
      <c r="A309" s="80" t="s">
        <v>37</v>
      </c>
      <c r="B309" s="81"/>
      <c r="C309" s="82"/>
      <c r="D309" s="83">
        <v>0.16200000000000001</v>
      </c>
      <c r="E309" s="84"/>
      <c r="F309" s="84"/>
      <c r="G309" s="85"/>
      <c r="H309" s="80" t="s">
        <v>38</v>
      </c>
      <c r="I309" s="81"/>
      <c r="J309" s="82"/>
      <c r="K309" s="83">
        <f>+K265+0.3%+0.3%</f>
        <v>0.20700000000000002</v>
      </c>
      <c r="L309" s="84"/>
      <c r="M309" s="85"/>
    </row>
    <row r="310" spans="1:15" ht="24" customHeight="1" thickBot="1">
      <c r="A310" s="72" t="s">
        <v>9</v>
      </c>
      <c r="B310" s="73"/>
      <c r="C310" s="73"/>
      <c r="D310" s="73"/>
      <c r="E310" s="73"/>
      <c r="F310" s="73"/>
      <c r="G310" s="73"/>
      <c r="H310" s="73"/>
      <c r="I310" s="73"/>
      <c r="J310" s="73"/>
      <c r="K310" s="73"/>
      <c r="L310" s="73"/>
      <c r="M310" s="74"/>
    </row>
    <row r="311" spans="1:15" ht="35.25" customHeight="1" thickBot="1">
      <c r="A311" s="75" t="s">
        <v>10</v>
      </c>
      <c r="B311" s="76"/>
      <c r="C311" s="76"/>
      <c r="D311" s="77"/>
      <c r="E311" s="14" t="s">
        <v>11</v>
      </c>
      <c r="F311" s="75" t="s">
        <v>12</v>
      </c>
      <c r="G311" s="77"/>
      <c r="H311" s="75" t="s">
        <v>13</v>
      </c>
      <c r="I311" s="77"/>
      <c r="J311" s="78" t="s">
        <v>14</v>
      </c>
      <c r="K311" s="79"/>
      <c r="L311" s="75" t="s">
        <v>15</v>
      </c>
      <c r="M311" s="77"/>
    </row>
    <row r="312" spans="1:15" ht="27.95" customHeight="1" thickBot="1">
      <c r="A312" s="141" t="s">
        <v>92</v>
      </c>
      <c r="B312" s="142"/>
      <c r="C312" s="142"/>
      <c r="D312" s="143"/>
      <c r="E312" s="2" t="s">
        <v>69</v>
      </c>
      <c r="F312" s="56">
        <v>1</v>
      </c>
      <c r="G312" s="57"/>
      <c r="H312" s="56">
        <v>0.05</v>
      </c>
      <c r="I312" s="57"/>
      <c r="J312" s="56">
        <v>0.9</v>
      </c>
      <c r="K312" s="57"/>
      <c r="L312" s="58"/>
      <c r="M312" s="59"/>
    </row>
    <row r="313" spans="1:15" ht="27.95" customHeight="1" thickBot="1">
      <c r="A313" s="141" t="s">
        <v>133</v>
      </c>
      <c r="B313" s="142"/>
      <c r="C313" s="142"/>
      <c r="D313" s="143"/>
      <c r="E313" s="15" t="s">
        <v>118</v>
      </c>
      <c r="F313" s="56">
        <v>34</v>
      </c>
      <c r="G313" s="57"/>
      <c r="H313" s="56">
        <v>5</v>
      </c>
      <c r="I313" s="57"/>
      <c r="J313" s="56">
        <v>5</v>
      </c>
      <c r="K313" s="57"/>
      <c r="L313" s="58"/>
      <c r="M313" s="59"/>
    </row>
    <row r="314" spans="1:15" ht="24.95" customHeight="1" thickTop="1" thickBot="1">
      <c r="A314" s="130" t="s">
        <v>16</v>
      </c>
      <c r="B314" s="67"/>
      <c r="C314" s="67"/>
      <c r="D314" s="68"/>
      <c r="E314" s="32"/>
      <c r="F314" s="131"/>
      <c r="G314" s="132"/>
      <c r="H314" s="131"/>
      <c r="I314" s="132"/>
      <c r="J314" s="131"/>
      <c r="K314" s="132"/>
      <c r="L314" s="131"/>
      <c r="M314" s="133"/>
    </row>
    <row r="315" spans="1:15" ht="24.95" customHeight="1" thickBot="1">
      <c r="A315" s="134"/>
      <c r="B315" s="135"/>
      <c r="C315" s="135"/>
      <c r="D315" s="59"/>
      <c r="E315" s="32"/>
      <c r="F315" s="58"/>
      <c r="G315" s="59"/>
      <c r="H315" s="58"/>
      <c r="I315" s="59"/>
      <c r="J315" s="58"/>
      <c r="K315" s="59"/>
      <c r="L315" s="58"/>
      <c r="M315" s="136"/>
    </row>
    <row r="316" spans="1:15" ht="24.95" customHeight="1" thickBot="1">
      <c r="A316" s="118"/>
      <c r="B316" s="119"/>
      <c r="C316" s="119"/>
      <c r="D316" s="120"/>
      <c r="E316" s="24"/>
      <c r="F316" s="121"/>
      <c r="G316" s="120"/>
      <c r="H316" s="121"/>
      <c r="I316" s="120"/>
      <c r="J316" s="121"/>
      <c r="K316" s="120"/>
      <c r="L316" s="121"/>
      <c r="M316" s="122"/>
    </row>
    <row r="317" spans="1:15" ht="24" customHeight="1" thickTop="1" thickBot="1">
      <c r="A317" s="66" t="s">
        <v>19</v>
      </c>
      <c r="B317" s="67"/>
      <c r="C317" s="67"/>
      <c r="D317" s="67"/>
      <c r="E317" s="67"/>
      <c r="F317" s="67"/>
      <c r="G317" s="67"/>
      <c r="H317" s="67"/>
      <c r="I317" s="67"/>
      <c r="J317" s="67"/>
      <c r="K317" s="67"/>
      <c r="L317" s="67"/>
      <c r="M317" s="68"/>
    </row>
    <row r="318" spans="1:15" ht="35.25" customHeight="1" thickBot="1">
      <c r="A318" s="75" t="s">
        <v>20</v>
      </c>
      <c r="B318" s="76"/>
      <c r="C318" s="76"/>
      <c r="D318" s="77"/>
      <c r="E318" s="14" t="s">
        <v>11</v>
      </c>
      <c r="F318" s="75" t="s">
        <v>39</v>
      </c>
      <c r="G318" s="77"/>
      <c r="H318" s="75" t="s">
        <v>21</v>
      </c>
      <c r="I318" s="77"/>
      <c r="J318" s="78" t="s">
        <v>22</v>
      </c>
      <c r="K318" s="79"/>
      <c r="L318" s="75" t="s">
        <v>15</v>
      </c>
      <c r="M318" s="77"/>
    </row>
    <row r="319" spans="1:15" ht="24" customHeight="1" thickBot="1">
      <c r="A319" s="96"/>
      <c r="B319" s="97"/>
      <c r="C319" s="97"/>
      <c r="D319" s="98"/>
      <c r="E319" s="32"/>
      <c r="F319" s="58"/>
      <c r="G319" s="59"/>
      <c r="H319" s="58"/>
      <c r="I319" s="59"/>
      <c r="J319" s="56"/>
      <c r="K319" s="57"/>
      <c r="L319" s="58"/>
      <c r="M319" s="59"/>
    </row>
    <row r="320" spans="1:15" ht="24" customHeight="1" thickBot="1">
      <c r="A320" s="96"/>
      <c r="B320" s="97"/>
      <c r="C320" s="97"/>
      <c r="D320" s="98"/>
      <c r="E320" s="32"/>
      <c r="F320" s="58"/>
      <c r="G320" s="59"/>
      <c r="H320" s="58"/>
      <c r="I320" s="59"/>
      <c r="J320" s="56"/>
      <c r="K320" s="57"/>
      <c r="L320" s="58"/>
      <c r="M320" s="59"/>
    </row>
    <row r="321" spans="1:13" ht="24" customHeight="1" thickBot="1">
      <c r="A321" s="60" t="s">
        <v>23</v>
      </c>
      <c r="B321" s="61"/>
      <c r="C321" s="61"/>
      <c r="D321" s="61"/>
      <c r="E321" s="61"/>
      <c r="F321" s="61"/>
      <c r="G321" s="61"/>
      <c r="H321" s="61"/>
      <c r="I321" s="61"/>
      <c r="J321" s="61"/>
      <c r="K321" s="61"/>
      <c r="L321" s="61"/>
      <c r="M321" s="62"/>
    </row>
    <row r="322" spans="1:13" ht="35.25" customHeight="1" thickBot="1">
      <c r="A322" s="75" t="s">
        <v>24</v>
      </c>
      <c r="B322" s="77"/>
      <c r="C322" s="75" t="s">
        <v>25</v>
      </c>
      <c r="D322" s="77"/>
      <c r="E322" s="75" t="s">
        <v>26</v>
      </c>
      <c r="F322" s="76"/>
      <c r="G322" s="77"/>
      <c r="H322" s="75" t="s">
        <v>27</v>
      </c>
      <c r="I322" s="77"/>
      <c r="J322" s="78" t="s">
        <v>21</v>
      </c>
      <c r="K322" s="79"/>
      <c r="L322" s="75" t="s">
        <v>22</v>
      </c>
      <c r="M322" s="77"/>
    </row>
    <row r="323" spans="1:13" s="18" customFormat="1" ht="24.75" customHeight="1" thickBot="1">
      <c r="A323" s="99" t="s">
        <v>80</v>
      </c>
      <c r="B323" s="98"/>
      <c r="C323" s="56">
        <v>1</v>
      </c>
      <c r="D323" s="57"/>
      <c r="E323" s="56">
        <v>29</v>
      </c>
      <c r="F323" s="100"/>
      <c r="G323" s="57"/>
      <c r="H323" s="56"/>
      <c r="I323" s="57"/>
      <c r="J323" s="56"/>
      <c r="K323" s="57"/>
      <c r="L323" s="56"/>
      <c r="M323" s="57"/>
    </row>
    <row r="324" spans="1:13" s="18" customFormat="1" ht="25.5" customHeight="1" thickBot="1">
      <c r="A324" s="99" t="s">
        <v>119</v>
      </c>
      <c r="B324" s="98"/>
      <c r="C324" s="56">
        <v>1</v>
      </c>
      <c r="D324" s="57"/>
      <c r="E324" s="56">
        <v>1</v>
      </c>
      <c r="F324" s="100"/>
      <c r="G324" s="57"/>
      <c r="H324" s="56"/>
      <c r="I324" s="57"/>
      <c r="J324" s="56"/>
      <c r="K324" s="57"/>
      <c r="L324" s="56"/>
      <c r="M324" s="57"/>
    </row>
    <row r="325" spans="1:13" ht="33" customHeight="1" thickBot="1">
      <c r="A325" s="112" t="s">
        <v>40</v>
      </c>
      <c r="B325" s="113"/>
      <c r="C325" s="113"/>
      <c r="D325" s="113"/>
      <c r="E325" s="113"/>
      <c r="F325" s="113"/>
      <c r="G325" s="113"/>
      <c r="H325" s="113"/>
      <c r="I325" s="113"/>
      <c r="J325" s="113"/>
      <c r="K325" s="113"/>
      <c r="L325" s="113"/>
      <c r="M325" s="114"/>
    </row>
    <row r="326" spans="1:13" ht="16.5" customHeight="1">
      <c r="A326" s="115" t="s">
        <v>41</v>
      </c>
      <c r="B326" s="116"/>
      <c r="C326" s="116"/>
      <c r="D326" s="116"/>
      <c r="E326" s="116"/>
      <c r="F326" s="116"/>
      <c r="G326" s="116"/>
      <c r="H326" s="116"/>
      <c r="I326" s="116"/>
      <c r="J326" s="116"/>
      <c r="K326" s="116"/>
      <c r="L326" s="116"/>
      <c r="M326" s="117"/>
    </row>
    <row r="327" spans="1:13" ht="16.5" customHeight="1">
      <c r="A327" s="90" t="s">
        <v>28</v>
      </c>
      <c r="B327" s="91"/>
      <c r="C327" s="91"/>
      <c r="D327" s="91"/>
      <c r="E327" s="91"/>
      <c r="F327" s="91"/>
      <c r="G327" s="91"/>
      <c r="H327" s="91"/>
      <c r="I327" s="91"/>
      <c r="J327" s="91"/>
      <c r="K327" s="91"/>
      <c r="L327" s="91"/>
      <c r="M327" s="92"/>
    </row>
    <row r="328" spans="1:13" s="1" customFormat="1" ht="16.5" customHeight="1">
      <c r="A328" s="93" t="s">
        <v>56</v>
      </c>
      <c r="B328" s="94"/>
      <c r="C328" s="94"/>
      <c r="D328" s="94"/>
      <c r="E328" s="94"/>
      <c r="F328" s="94"/>
      <c r="G328" s="94"/>
      <c r="H328" s="94"/>
      <c r="I328" s="94"/>
      <c r="J328" s="94"/>
      <c r="K328" s="94"/>
      <c r="L328" s="94"/>
      <c r="M328" s="95"/>
    </row>
    <row r="329" spans="1:13" s="1" customFormat="1" ht="16.5" customHeight="1">
      <c r="A329" s="93" t="s">
        <v>57</v>
      </c>
      <c r="B329" s="94"/>
      <c r="C329" s="94"/>
      <c r="D329" s="94"/>
      <c r="E329" s="94"/>
      <c r="F329" s="94"/>
      <c r="G329" s="94"/>
      <c r="H329" s="94"/>
      <c r="I329" s="94"/>
      <c r="J329" s="94"/>
      <c r="K329" s="94"/>
      <c r="L329" s="94"/>
      <c r="M329" s="95"/>
    </row>
    <row r="330" spans="1:13" s="1" customFormat="1" ht="16.5" customHeight="1">
      <c r="A330" s="93" t="s">
        <v>58</v>
      </c>
      <c r="B330" s="94"/>
      <c r="C330" s="94"/>
      <c r="D330" s="94"/>
      <c r="E330" s="94"/>
      <c r="F330" s="94"/>
      <c r="G330" s="94"/>
      <c r="H330" s="94"/>
      <c r="I330" s="94"/>
      <c r="J330" s="94"/>
      <c r="K330" s="94"/>
      <c r="L330" s="94"/>
      <c r="M330" s="95"/>
    </row>
    <row r="331" spans="1:13" s="1" customFormat="1" ht="16.5" customHeight="1">
      <c r="A331" s="93" t="s">
        <v>59</v>
      </c>
      <c r="B331" s="94"/>
      <c r="C331" s="94"/>
      <c r="D331" s="94"/>
      <c r="E331" s="94"/>
      <c r="F331" s="94"/>
      <c r="G331" s="94"/>
      <c r="H331" s="94"/>
      <c r="I331" s="94"/>
      <c r="J331" s="94"/>
      <c r="K331" s="94"/>
      <c r="L331" s="94"/>
      <c r="M331" s="95"/>
    </row>
    <row r="332" spans="1:13" ht="16.5" customHeight="1">
      <c r="A332" s="106" t="s">
        <v>29</v>
      </c>
      <c r="B332" s="107"/>
      <c r="C332" s="107"/>
      <c r="D332" s="107"/>
      <c r="E332" s="107"/>
      <c r="F332" s="107"/>
      <c r="G332" s="107"/>
      <c r="H332" s="107"/>
      <c r="I332" s="107"/>
      <c r="J332" s="107"/>
      <c r="K332" s="107"/>
      <c r="L332" s="107"/>
      <c r="M332" s="108"/>
    </row>
    <row r="333" spans="1:13" ht="9.75" customHeight="1" thickBot="1">
      <c r="A333" s="109"/>
      <c r="B333" s="110"/>
      <c r="C333" s="110"/>
      <c r="D333" s="110"/>
      <c r="E333" s="110"/>
      <c r="F333" s="110"/>
      <c r="G333" s="110"/>
      <c r="H333" s="110"/>
      <c r="I333" s="110"/>
      <c r="J333" s="110"/>
      <c r="K333" s="110"/>
      <c r="L333" s="110"/>
      <c r="M333" s="111"/>
    </row>
    <row r="334" spans="1:13" ht="18.75" customHeight="1" thickBot="1">
      <c r="A334" s="72" t="s">
        <v>30</v>
      </c>
      <c r="B334" s="73"/>
      <c r="C334" s="73"/>
      <c r="D334" s="73"/>
      <c r="E334" s="73"/>
      <c r="F334" s="73"/>
      <c r="G334" s="73"/>
      <c r="H334" s="73"/>
      <c r="I334" s="73"/>
      <c r="J334" s="73"/>
      <c r="K334" s="73"/>
      <c r="L334" s="73"/>
      <c r="M334" s="74"/>
    </row>
    <row r="335" spans="1:13" ht="24" customHeight="1" thickBot="1">
      <c r="A335" s="72" t="s">
        <v>31</v>
      </c>
      <c r="B335" s="73"/>
      <c r="C335" s="73"/>
      <c r="D335" s="73"/>
      <c r="E335" s="73"/>
      <c r="F335" s="73"/>
      <c r="G335" s="73"/>
      <c r="H335" s="73"/>
      <c r="I335" s="73"/>
      <c r="J335" s="73"/>
      <c r="K335" s="73"/>
      <c r="L335" s="73"/>
      <c r="M335" s="74"/>
    </row>
    <row r="336" spans="1:13" ht="24" customHeight="1" thickBot="1">
      <c r="A336" s="72" t="s">
        <v>132</v>
      </c>
      <c r="B336" s="73"/>
      <c r="C336" s="73"/>
      <c r="D336" s="73"/>
      <c r="E336" s="73"/>
      <c r="F336" s="73"/>
      <c r="G336" s="73"/>
      <c r="H336" s="73"/>
      <c r="I336" s="73"/>
      <c r="J336" s="73"/>
      <c r="K336" s="73"/>
      <c r="L336" s="73"/>
      <c r="M336" s="74"/>
    </row>
    <row r="337" spans="1:15" ht="24" customHeight="1" thickBot="1">
      <c r="A337" s="60" t="s">
        <v>46</v>
      </c>
      <c r="B337" s="61"/>
      <c r="C337" s="61"/>
      <c r="D337" s="61"/>
      <c r="E337" s="61"/>
      <c r="F337" s="61"/>
      <c r="G337" s="61"/>
      <c r="H337" s="61"/>
      <c r="I337" s="61"/>
      <c r="J337" s="61"/>
      <c r="K337" s="61"/>
      <c r="L337" s="61"/>
      <c r="M337" s="62"/>
    </row>
    <row r="338" spans="1:15" ht="11.1" customHeight="1">
      <c r="A338" s="103" t="s">
        <v>47</v>
      </c>
      <c r="B338" s="103"/>
      <c r="C338" s="103"/>
      <c r="D338" s="103"/>
      <c r="E338" s="103"/>
      <c r="F338" s="103"/>
      <c r="G338" s="103"/>
      <c r="H338" s="103"/>
      <c r="I338" s="103"/>
      <c r="J338" s="103"/>
      <c r="K338" s="103"/>
      <c r="L338" s="103"/>
      <c r="M338" s="103"/>
    </row>
    <row r="339" spans="1:15" ht="11.1" customHeight="1">
      <c r="A339" s="104" t="s">
        <v>48</v>
      </c>
      <c r="B339" s="104"/>
      <c r="C339" s="104"/>
      <c r="D339" s="104"/>
      <c r="E339" s="104"/>
      <c r="F339" s="104"/>
      <c r="G339" s="104"/>
      <c r="H339" s="104"/>
      <c r="I339" s="104"/>
      <c r="J339" s="104"/>
      <c r="K339" s="104"/>
      <c r="L339" s="104"/>
      <c r="M339" s="104"/>
    </row>
    <row r="340" spans="1:15" ht="11.1" customHeight="1">
      <c r="A340" s="105" t="s">
        <v>49</v>
      </c>
      <c r="B340" s="105"/>
      <c r="C340" s="105"/>
      <c r="D340" s="105"/>
      <c r="E340" s="105"/>
      <c r="F340" s="105"/>
      <c r="G340" s="105"/>
      <c r="H340" s="105"/>
      <c r="I340" s="105"/>
      <c r="J340" s="105"/>
      <c r="K340" s="105"/>
      <c r="L340" s="105"/>
      <c r="M340" s="105"/>
    </row>
    <row r="341" spans="1:15" ht="11.1" customHeight="1">
      <c r="A341" s="105" t="s">
        <v>50</v>
      </c>
      <c r="B341" s="105"/>
      <c r="C341" s="105"/>
      <c r="D341" s="105"/>
      <c r="E341" s="105"/>
      <c r="F341" s="105"/>
      <c r="G341" s="105"/>
      <c r="H341" s="105"/>
      <c r="I341" s="105"/>
      <c r="J341" s="105"/>
      <c r="K341" s="105"/>
      <c r="L341" s="105"/>
      <c r="M341" s="105"/>
    </row>
    <row r="342" spans="1:15" ht="11.1" customHeight="1">
      <c r="A342" s="104" t="s">
        <v>51</v>
      </c>
      <c r="B342" s="104"/>
      <c r="C342" s="104"/>
      <c r="D342" s="104"/>
      <c r="E342" s="104"/>
      <c r="F342" s="104"/>
      <c r="G342" s="104"/>
      <c r="H342" s="104"/>
      <c r="I342" s="104"/>
      <c r="J342" s="104"/>
      <c r="K342" s="104"/>
      <c r="L342" s="104"/>
      <c r="M342" s="104"/>
    </row>
    <row r="343" spans="1:15" ht="11.1" customHeight="1">
      <c r="A343" s="104" t="s">
        <v>52</v>
      </c>
      <c r="B343" s="104"/>
      <c r="C343" s="104"/>
      <c r="D343" s="104"/>
      <c r="E343" s="104"/>
      <c r="F343" s="104"/>
      <c r="G343" s="104"/>
      <c r="H343" s="104"/>
      <c r="I343" s="104"/>
      <c r="J343" s="104"/>
      <c r="K343" s="104"/>
      <c r="L343" s="104"/>
      <c r="M343" s="104"/>
    </row>
    <row r="344" spans="1:15" ht="11.1" customHeight="1">
      <c r="A344" s="104" t="s">
        <v>53</v>
      </c>
      <c r="B344" s="104"/>
      <c r="C344" s="104"/>
      <c r="D344" s="104"/>
      <c r="E344" s="104"/>
      <c r="F344" s="104"/>
      <c r="G344" s="104"/>
      <c r="H344" s="104"/>
      <c r="I344" s="104"/>
      <c r="J344" s="104"/>
      <c r="K344" s="104"/>
      <c r="L344" s="104"/>
      <c r="M344" s="104"/>
    </row>
    <row r="345" spans="1:15" ht="11.1" customHeight="1">
      <c r="A345" s="101" t="s">
        <v>54</v>
      </c>
      <c r="B345" s="101"/>
      <c r="C345" s="101"/>
      <c r="D345" s="101"/>
      <c r="E345" s="101"/>
      <c r="F345" s="101"/>
      <c r="G345" s="101"/>
      <c r="H345" s="101"/>
      <c r="I345" s="101"/>
      <c r="J345" s="101"/>
      <c r="K345" s="101"/>
      <c r="L345" s="101"/>
      <c r="M345" s="101"/>
    </row>
    <row r="346" spans="1:15" ht="11.1" customHeight="1">
      <c r="A346" s="101" t="s">
        <v>55</v>
      </c>
      <c r="B346" s="101"/>
      <c r="C346" s="101"/>
      <c r="D346" s="101"/>
      <c r="E346" s="101"/>
      <c r="F346" s="101"/>
      <c r="G346" s="101"/>
      <c r="H346" s="101"/>
      <c r="I346" s="101"/>
      <c r="J346" s="101"/>
      <c r="K346" s="101"/>
      <c r="L346" s="101"/>
      <c r="M346" s="101"/>
    </row>
    <row r="347" spans="1:15" ht="19.5" customHeight="1">
      <c r="A347" s="69" t="s">
        <v>0</v>
      </c>
      <c r="B347" s="69"/>
      <c r="C347" s="69"/>
      <c r="D347" s="69"/>
      <c r="E347" s="69"/>
      <c r="F347" s="69"/>
      <c r="G347" s="69"/>
      <c r="H347" s="69"/>
      <c r="I347" s="69"/>
      <c r="J347" s="69"/>
      <c r="K347" s="69"/>
      <c r="L347" s="69"/>
      <c r="M347" s="69"/>
    </row>
    <row r="348" spans="1:15" ht="20.100000000000001" customHeight="1">
      <c r="A348" s="4" t="s">
        <v>32</v>
      </c>
      <c r="B348" s="5">
        <f>+B304+1</f>
        <v>44</v>
      </c>
      <c r="C348" s="30"/>
      <c r="D348" s="30"/>
      <c r="E348" s="30"/>
      <c r="F348" s="30"/>
      <c r="G348" s="30"/>
      <c r="H348" s="30"/>
      <c r="I348" s="30"/>
      <c r="J348" s="30"/>
      <c r="K348" s="30"/>
      <c r="L348" s="30"/>
      <c r="M348" s="30"/>
    </row>
    <row r="349" spans="1:15" ht="24" customHeight="1" thickBot="1">
      <c r="A349" s="4" t="s">
        <v>33</v>
      </c>
      <c r="H349" s="70" t="s">
        <v>34</v>
      </c>
      <c r="I349" s="70"/>
      <c r="J349" s="70"/>
      <c r="K349" s="102">
        <f>+K305+1</f>
        <v>45970</v>
      </c>
      <c r="L349" s="102"/>
      <c r="M349" s="102"/>
      <c r="O349" s="7"/>
    </row>
    <row r="350" spans="1:15" ht="33.75" customHeight="1" thickBot="1">
      <c r="A350" s="80" t="s">
        <v>1</v>
      </c>
      <c r="B350" s="81"/>
      <c r="C350" s="82"/>
      <c r="D350" s="86" t="str">
        <f>+D306</f>
        <v>光明國中B與C區5樓老舊廁所整修工程</v>
      </c>
      <c r="E350" s="87"/>
      <c r="F350" s="87"/>
      <c r="G350" s="88"/>
      <c r="H350" s="80" t="s">
        <v>2</v>
      </c>
      <c r="I350" s="81"/>
      <c r="J350" s="82"/>
      <c r="K350" s="80" t="s">
        <v>35</v>
      </c>
      <c r="L350" s="81"/>
      <c r="M350" s="82"/>
    </row>
    <row r="351" spans="1:15" ht="33.75" customHeight="1" thickBot="1">
      <c r="A351" s="8" t="s">
        <v>3</v>
      </c>
      <c r="B351" s="29">
        <f>+B307</f>
        <v>142</v>
      </c>
      <c r="C351" s="10" t="s">
        <v>36</v>
      </c>
      <c r="D351" s="80" t="s">
        <v>4</v>
      </c>
      <c r="E351" s="89"/>
      <c r="F351" s="31">
        <f>+F307+1</f>
        <v>44</v>
      </c>
      <c r="G351" s="12" t="s">
        <v>36</v>
      </c>
      <c r="H351" s="13" t="s">
        <v>5</v>
      </c>
      <c r="I351" s="29">
        <f>+B351-F351</f>
        <v>98</v>
      </c>
      <c r="J351" s="10" t="s">
        <v>36</v>
      </c>
      <c r="K351" s="80" t="s">
        <v>6</v>
      </c>
      <c r="L351" s="82"/>
      <c r="M351" s="13">
        <f>+M307</f>
        <v>12</v>
      </c>
    </row>
    <row r="352" spans="1:15" ht="24" customHeight="1" thickBot="1">
      <c r="A352" s="80" t="s">
        <v>7</v>
      </c>
      <c r="B352" s="81"/>
      <c r="C352" s="82"/>
      <c r="D352" s="80" t="str">
        <f>+D308</f>
        <v>114.9.27</v>
      </c>
      <c r="E352" s="81"/>
      <c r="F352" s="81"/>
      <c r="G352" s="82"/>
      <c r="H352" s="80" t="s">
        <v>8</v>
      </c>
      <c r="I352" s="81"/>
      <c r="J352" s="82"/>
      <c r="K352" s="80" t="str">
        <f>+K308</f>
        <v>115.2.15</v>
      </c>
      <c r="L352" s="81"/>
      <c r="M352" s="82"/>
    </row>
    <row r="353" spans="1:13" ht="24" customHeight="1" thickBot="1">
      <c r="A353" s="80" t="s">
        <v>37</v>
      </c>
      <c r="B353" s="81"/>
      <c r="C353" s="82"/>
      <c r="D353" s="83">
        <v>0.16800000000000001</v>
      </c>
      <c r="E353" s="84"/>
      <c r="F353" s="84"/>
      <c r="G353" s="85"/>
      <c r="H353" s="80" t="s">
        <v>38</v>
      </c>
      <c r="I353" s="81"/>
      <c r="J353" s="82"/>
      <c r="K353" s="83">
        <f>+K309+1.3%+0.6%</f>
        <v>0.22600000000000003</v>
      </c>
      <c r="L353" s="84"/>
      <c r="M353" s="85"/>
    </row>
    <row r="354" spans="1:13" ht="24" customHeight="1" thickBot="1">
      <c r="A354" s="72" t="s">
        <v>9</v>
      </c>
      <c r="B354" s="73"/>
      <c r="C354" s="73"/>
      <c r="D354" s="73"/>
      <c r="E354" s="73"/>
      <c r="F354" s="73"/>
      <c r="G354" s="73"/>
      <c r="H354" s="73"/>
      <c r="I354" s="73"/>
      <c r="J354" s="73"/>
      <c r="K354" s="73"/>
      <c r="L354" s="73"/>
      <c r="M354" s="74"/>
    </row>
    <row r="355" spans="1:13" ht="35.25" customHeight="1" thickBot="1">
      <c r="A355" s="75" t="s">
        <v>10</v>
      </c>
      <c r="B355" s="76"/>
      <c r="C355" s="76"/>
      <c r="D355" s="77"/>
      <c r="E355" s="14" t="s">
        <v>11</v>
      </c>
      <c r="F355" s="75" t="s">
        <v>12</v>
      </c>
      <c r="G355" s="77"/>
      <c r="H355" s="75" t="s">
        <v>13</v>
      </c>
      <c r="I355" s="77"/>
      <c r="J355" s="78" t="s">
        <v>61</v>
      </c>
      <c r="K355" s="79"/>
      <c r="L355" s="75" t="s">
        <v>15</v>
      </c>
      <c r="M355" s="77"/>
    </row>
    <row r="356" spans="1:13" ht="27.95" customHeight="1" thickBot="1">
      <c r="A356" s="141" t="s">
        <v>138</v>
      </c>
      <c r="B356" s="142"/>
      <c r="C356" s="142"/>
      <c r="D356" s="143"/>
      <c r="E356" s="50" t="s">
        <v>69</v>
      </c>
      <c r="F356" s="56">
        <v>1</v>
      </c>
      <c r="G356" s="57"/>
      <c r="H356" s="56">
        <v>0.1</v>
      </c>
      <c r="I356" s="57"/>
      <c r="J356" s="56">
        <v>0.3</v>
      </c>
      <c r="K356" s="57"/>
      <c r="L356" s="58"/>
      <c r="M356" s="59"/>
    </row>
    <row r="357" spans="1:13" ht="27.95" customHeight="1" thickBot="1">
      <c r="A357" s="141"/>
      <c r="B357" s="142"/>
      <c r="C357" s="142"/>
      <c r="D357" s="143"/>
      <c r="E357" s="15"/>
      <c r="F357" s="56"/>
      <c r="G357" s="57"/>
      <c r="H357" s="56"/>
      <c r="I357" s="57"/>
      <c r="J357" s="56"/>
      <c r="K357" s="57"/>
      <c r="L357" s="58"/>
      <c r="M357" s="59"/>
    </row>
    <row r="358" spans="1:13" ht="24.95" customHeight="1" thickTop="1" thickBot="1">
      <c r="A358" s="130" t="s">
        <v>16</v>
      </c>
      <c r="B358" s="67"/>
      <c r="C358" s="67"/>
      <c r="D358" s="68"/>
      <c r="E358" s="32"/>
      <c r="F358" s="131"/>
      <c r="G358" s="132"/>
      <c r="H358" s="131"/>
      <c r="I358" s="132"/>
      <c r="J358" s="131"/>
      <c r="K358" s="132"/>
      <c r="L358" s="131"/>
      <c r="M358" s="133"/>
    </row>
    <row r="359" spans="1:13" ht="24.95" customHeight="1" thickBot="1">
      <c r="A359" s="134" t="s">
        <v>17</v>
      </c>
      <c r="B359" s="135"/>
      <c r="C359" s="135"/>
      <c r="D359" s="59"/>
      <c r="E359" s="32"/>
      <c r="F359" s="58"/>
      <c r="G359" s="59"/>
      <c r="H359" s="58"/>
      <c r="I359" s="59"/>
      <c r="J359" s="58"/>
      <c r="K359" s="59"/>
      <c r="L359" s="58"/>
      <c r="M359" s="136"/>
    </row>
    <row r="360" spans="1:13" ht="24.95" customHeight="1" thickBot="1">
      <c r="A360" s="118" t="s">
        <v>18</v>
      </c>
      <c r="B360" s="119"/>
      <c r="C360" s="119"/>
      <c r="D360" s="120"/>
      <c r="E360" s="24"/>
      <c r="F360" s="121"/>
      <c r="G360" s="120"/>
      <c r="H360" s="121"/>
      <c r="I360" s="120"/>
      <c r="J360" s="121"/>
      <c r="K360" s="120"/>
      <c r="L360" s="121"/>
      <c r="M360" s="122"/>
    </row>
    <row r="361" spans="1:13" ht="24" customHeight="1" thickTop="1" thickBot="1">
      <c r="A361" s="66" t="s">
        <v>19</v>
      </c>
      <c r="B361" s="67"/>
      <c r="C361" s="67"/>
      <c r="D361" s="67"/>
      <c r="E361" s="67"/>
      <c r="F361" s="67"/>
      <c r="G361" s="67"/>
      <c r="H361" s="67"/>
      <c r="I361" s="67"/>
      <c r="J361" s="67"/>
      <c r="K361" s="67"/>
      <c r="L361" s="67"/>
      <c r="M361" s="68"/>
    </row>
    <row r="362" spans="1:13" ht="35.25" customHeight="1" thickBot="1">
      <c r="A362" s="75" t="s">
        <v>20</v>
      </c>
      <c r="B362" s="76"/>
      <c r="C362" s="76"/>
      <c r="D362" s="77"/>
      <c r="E362" s="14" t="s">
        <v>11</v>
      </c>
      <c r="F362" s="75" t="s">
        <v>39</v>
      </c>
      <c r="G362" s="77"/>
      <c r="H362" s="75" t="s">
        <v>21</v>
      </c>
      <c r="I362" s="77"/>
      <c r="J362" s="78" t="s">
        <v>22</v>
      </c>
      <c r="K362" s="79"/>
      <c r="L362" s="75" t="s">
        <v>15</v>
      </c>
      <c r="M362" s="77"/>
    </row>
    <row r="363" spans="1:13" ht="24" customHeight="1" thickBot="1">
      <c r="A363" s="96"/>
      <c r="B363" s="97"/>
      <c r="C363" s="97"/>
      <c r="D363" s="98"/>
      <c r="E363" s="32"/>
      <c r="F363" s="58"/>
      <c r="G363" s="59"/>
      <c r="H363" s="58"/>
      <c r="I363" s="59"/>
      <c r="J363" s="56"/>
      <c r="K363" s="57"/>
      <c r="L363" s="58"/>
      <c r="M363" s="59"/>
    </row>
    <row r="364" spans="1:13" ht="24" customHeight="1" thickBot="1">
      <c r="A364" s="96"/>
      <c r="B364" s="97"/>
      <c r="C364" s="97"/>
      <c r="D364" s="98"/>
      <c r="E364" s="32"/>
      <c r="F364" s="58"/>
      <c r="G364" s="59"/>
      <c r="H364" s="58"/>
      <c r="I364" s="59"/>
      <c r="J364" s="56"/>
      <c r="K364" s="57"/>
      <c r="L364" s="58"/>
      <c r="M364" s="59"/>
    </row>
    <row r="365" spans="1:13" ht="24" customHeight="1" thickBot="1">
      <c r="A365" s="60" t="s">
        <v>23</v>
      </c>
      <c r="B365" s="61"/>
      <c r="C365" s="61"/>
      <c r="D365" s="61"/>
      <c r="E365" s="61"/>
      <c r="F365" s="61"/>
      <c r="G365" s="61"/>
      <c r="H365" s="61"/>
      <c r="I365" s="61"/>
      <c r="J365" s="61"/>
      <c r="K365" s="61"/>
      <c r="L365" s="61"/>
      <c r="M365" s="62"/>
    </row>
    <row r="366" spans="1:13" ht="35.25" customHeight="1" thickBot="1">
      <c r="A366" s="75" t="s">
        <v>24</v>
      </c>
      <c r="B366" s="77"/>
      <c r="C366" s="75" t="s">
        <v>25</v>
      </c>
      <c r="D366" s="77"/>
      <c r="E366" s="75" t="s">
        <v>26</v>
      </c>
      <c r="F366" s="76"/>
      <c r="G366" s="77"/>
      <c r="H366" s="75" t="s">
        <v>27</v>
      </c>
      <c r="I366" s="77"/>
      <c r="J366" s="78" t="s">
        <v>21</v>
      </c>
      <c r="K366" s="79"/>
      <c r="L366" s="75" t="s">
        <v>22</v>
      </c>
      <c r="M366" s="77"/>
    </row>
    <row r="367" spans="1:13" s="18" customFormat="1" ht="24.75" customHeight="1" thickBot="1">
      <c r="A367" s="99" t="s">
        <v>80</v>
      </c>
      <c r="B367" s="98"/>
      <c r="C367" s="56">
        <v>2</v>
      </c>
      <c r="D367" s="57"/>
      <c r="E367" s="56">
        <v>31</v>
      </c>
      <c r="F367" s="100"/>
      <c r="G367" s="57"/>
      <c r="H367" s="56"/>
      <c r="I367" s="57"/>
      <c r="J367" s="56"/>
      <c r="K367" s="57"/>
      <c r="L367" s="56"/>
      <c r="M367" s="57"/>
    </row>
    <row r="368" spans="1:13" s="18" customFormat="1" ht="25.5" customHeight="1" thickBot="1">
      <c r="A368" s="99"/>
      <c r="B368" s="98"/>
      <c r="C368" s="56"/>
      <c r="D368" s="57"/>
      <c r="E368" s="56"/>
      <c r="F368" s="100"/>
      <c r="G368" s="57"/>
      <c r="H368" s="56"/>
      <c r="I368" s="57"/>
      <c r="J368" s="56"/>
      <c r="K368" s="57"/>
      <c r="L368" s="56"/>
      <c r="M368" s="57"/>
    </row>
    <row r="369" spans="1:13" ht="33" customHeight="1" thickBot="1">
      <c r="A369" s="112" t="s">
        <v>40</v>
      </c>
      <c r="B369" s="113"/>
      <c r="C369" s="113"/>
      <c r="D369" s="113"/>
      <c r="E369" s="113"/>
      <c r="F369" s="113"/>
      <c r="G369" s="113"/>
      <c r="H369" s="113"/>
      <c r="I369" s="113"/>
      <c r="J369" s="113"/>
      <c r="K369" s="113"/>
      <c r="L369" s="113"/>
      <c r="M369" s="114"/>
    </row>
    <row r="370" spans="1:13" ht="16.5" customHeight="1">
      <c r="A370" s="115" t="s">
        <v>41</v>
      </c>
      <c r="B370" s="116"/>
      <c r="C370" s="116"/>
      <c r="D370" s="116"/>
      <c r="E370" s="116"/>
      <c r="F370" s="116"/>
      <c r="G370" s="116"/>
      <c r="H370" s="116"/>
      <c r="I370" s="116"/>
      <c r="J370" s="116"/>
      <c r="K370" s="116"/>
      <c r="L370" s="116"/>
      <c r="M370" s="117"/>
    </row>
    <row r="371" spans="1:13" ht="16.5" customHeight="1">
      <c r="A371" s="90" t="s">
        <v>28</v>
      </c>
      <c r="B371" s="91"/>
      <c r="C371" s="91"/>
      <c r="D371" s="91"/>
      <c r="E371" s="91"/>
      <c r="F371" s="91"/>
      <c r="G371" s="91"/>
      <c r="H371" s="91"/>
      <c r="I371" s="91"/>
      <c r="J371" s="91"/>
      <c r="K371" s="91"/>
      <c r="L371" s="91"/>
      <c r="M371" s="92"/>
    </row>
    <row r="372" spans="1:13" s="1" customFormat="1" ht="16.5" customHeight="1">
      <c r="A372" s="93" t="s">
        <v>56</v>
      </c>
      <c r="B372" s="94"/>
      <c r="C372" s="94"/>
      <c r="D372" s="94"/>
      <c r="E372" s="94"/>
      <c r="F372" s="94"/>
      <c r="G372" s="94"/>
      <c r="H372" s="94"/>
      <c r="I372" s="94"/>
      <c r="J372" s="94"/>
      <c r="K372" s="94"/>
      <c r="L372" s="94"/>
      <c r="M372" s="95"/>
    </row>
    <row r="373" spans="1:13" s="1" customFormat="1" ht="16.5" customHeight="1">
      <c r="A373" s="93" t="s">
        <v>57</v>
      </c>
      <c r="B373" s="94"/>
      <c r="C373" s="94"/>
      <c r="D373" s="94"/>
      <c r="E373" s="94"/>
      <c r="F373" s="94"/>
      <c r="G373" s="94"/>
      <c r="H373" s="94"/>
      <c r="I373" s="94"/>
      <c r="J373" s="94"/>
      <c r="K373" s="94"/>
      <c r="L373" s="94"/>
      <c r="M373" s="95"/>
    </row>
    <row r="374" spans="1:13" s="1" customFormat="1" ht="16.5" customHeight="1">
      <c r="A374" s="93" t="s">
        <v>58</v>
      </c>
      <c r="B374" s="94"/>
      <c r="C374" s="94"/>
      <c r="D374" s="94"/>
      <c r="E374" s="94"/>
      <c r="F374" s="94"/>
      <c r="G374" s="94"/>
      <c r="H374" s="94"/>
      <c r="I374" s="94"/>
      <c r="J374" s="94"/>
      <c r="K374" s="94"/>
      <c r="L374" s="94"/>
      <c r="M374" s="95"/>
    </row>
    <row r="375" spans="1:13" s="1" customFormat="1" ht="16.5" customHeight="1">
      <c r="A375" s="93" t="s">
        <v>59</v>
      </c>
      <c r="B375" s="94"/>
      <c r="C375" s="94"/>
      <c r="D375" s="94"/>
      <c r="E375" s="94"/>
      <c r="F375" s="94"/>
      <c r="G375" s="94"/>
      <c r="H375" s="94"/>
      <c r="I375" s="94"/>
      <c r="J375" s="94"/>
      <c r="K375" s="94"/>
      <c r="L375" s="94"/>
      <c r="M375" s="95"/>
    </row>
    <row r="376" spans="1:13" ht="16.5" customHeight="1">
      <c r="A376" s="106" t="s">
        <v>29</v>
      </c>
      <c r="B376" s="107"/>
      <c r="C376" s="107"/>
      <c r="D376" s="107"/>
      <c r="E376" s="107"/>
      <c r="F376" s="107"/>
      <c r="G376" s="107"/>
      <c r="H376" s="107"/>
      <c r="I376" s="107"/>
      <c r="J376" s="107"/>
      <c r="K376" s="107"/>
      <c r="L376" s="107"/>
      <c r="M376" s="108"/>
    </row>
    <row r="377" spans="1:13" ht="9.75" customHeight="1" thickBot="1">
      <c r="A377" s="109"/>
      <c r="B377" s="110"/>
      <c r="C377" s="110"/>
      <c r="D377" s="110"/>
      <c r="E377" s="110"/>
      <c r="F377" s="110"/>
      <c r="G377" s="110"/>
      <c r="H377" s="110"/>
      <c r="I377" s="110"/>
      <c r="J377" s="110"/>
      <c r="K377" s="110"/>
      <c r="L377" s="110"/>
      <c r="M377" s="111"/>
    </row>
    <row r="378" spans="1:13" ht="18.75" customHeight="1" thickBot="1">
      <c r="A378" s="72" t="s">
        <v>30</v>
      </c>
      <c r="B378" s="73"/>
      <c r="C378" s="73"/>
      <c r="D378" s="73"/>
      <c r="E378" s="73"/>
      <c r="F378" s="73"/>
      <c r="G378" s="73"/>
      <c r="H378" s="73"/>
      <c r="I378" s="73"/>
      <c r="J378" s="73"/>
      <c r="K378" s="73"/>
      <c r="L378" s="73"/>
      <c r="M378" s="74"/>
    </row>
    <row r="379" spans="1:13" ht="24" customHeight="1" thickBot="1">
      <c r="A379" s="72" t="s">
        <v>31</v>
      </c>
      <c r="B379" s="73"/>
      <c r="C379" s="73"/>
      <c r="D379" s="73"/>
      <c r="E379" s="73"/>
      <c r="F379" s="73"/>
      <c r="G379" s="73"/>
      <c r="H379" s="73"/>
      <c r="I379" s="73"/>
      <c r="J379" s="73"/>
      <c r="K379" s="73"/>
      <c r="L379" s="73"/>
      <c r="M379" s="74"/>
    </row>
    <row r="380" spans="1:13" ht="24" customHeight="1" thickBot="1">
      <c r="A380" s="72" t="s">
        <v>137</v>
      </c>
      <c r="B380" s="73"/>
      <c r="C380" s="73"/>
      <c r="D380" s="73"/>
      <c r="E380" s="73"/>
      <c r="F380" s="73"/>
      <c r="G380" s="73"/>
      <c r="H380" s="73"/>
      <c r="I380" s="73"/>
      <c r="J380" s="73"/>
      <c r="K380" s="73"/>
      <c r="L380" s="73"/>
      <c r="M380" s="74"/>
    </row>
    <row r="381" spans="1:13" ht="24" customHeight="1" thickBot="1">
      <c r="A381" s="60" t="s">
        <v>46</v>
      </c>
      <c r="B381" s="61"/>
      <c r="C381" s="61"/>
      <c r="D381" s="61"/>
      <c r="E381" s="61"/>
      <c r="F381" s="61"/>
      <c r="G381" s="61"/>
      <c r="H381" s="61"/>
      <c r="I381" s="61"/>
      <c r="J381" s="61"/>
      <c r="K381" s="61"/>
      <c r="L381" s="61"/>
      <c r="M381" s="62"/>
    </row>
    <row r="382" spans="1:13" ht="11.1" customHeight="1">
      <c r="A382" s="103" t="s">
        <v>47</v>
      </c>
      <c r="B382" s="103"/>
      <c r="C382" s="103"/>
      <c r="D382" s="103"/>
      <c r="E382" s="103"/>
      <c r="F382" s="103"/>
      <c r="G382" s="103"/>
      <c r="H382" s="103"/>
      <c r="I382" s="103"/>
      <c r="J382" s="103"/>
      <c r="K382" s="103"/>
      <c r="L382" s="103"/>
      <c r="M382" s="103"/>
    </row>
    <row r="383" spans="1:13" ht="11.1" customHeight="1">
      <c r="A383" s="104" t="s">
        <v>48</v>
      </c>
      <c r="B383" s="104"/>
      <c r="C383" s="104"/>
      <c r="D383" s="104"/>
      <c r="E383" s="104"/>
      <c r="F383" s="104"/>
      <c r="G383" s="104"/>
      <c r="H383" s="104"/>
      <c r="I383" s="104"/>
      <c r="J383" s="104"/>
      <c r="K383" s="104"/>
      <c r="L383" s="104"/>
      <c r="M383" s="104"/>
    </row>
    <row r="384" spans="1:13" ht="11.1" customHeight="1">
      <c r="A384" s="105" t="s">
        <v>49</v>
      </c>
      <c r="B384" s="105"/>
      <c r="C384" s="105"/>
      <c r="D384" s="105"/>
      <c r="E384" s="105"/>
      <c r="F384" s="105"/>
      <c r="G384" s="105"/>
      <c r="H384" s="105"/>
      <c r="I384" s="105"/>
      <c r="J384" s="105"/>
      <c r="K384" s="105"/>
      <c r="L384" s="105"/>
      <c r="M384" s="105"/>
    </row>
    <row r="385" spans="1:15" ht="11.1" customHeight="1">
      <c r="A385" s="105" t="s">
        <v>50</v>
      </c>
      <c r="B385" s="105"/>
      <c r="C385" s="105"/>
      <c r="D385" s="105"/>
      <c r="E385" s="105"/>
      <c r="F385" s="105"/>
      <c r="G385" s="105"/>
      <c r="H385" s="105"/>
      <c r="I385" s="105"/>
      <c r="J385" s="105"/>
      <c r="K385" s="105"/>
      <c r="L385" s="105"/>
      <c r="M385" s="105"/>
    </row>
    <row r="386" spans="1:15" ht="11.1" customHeight="1">
      <c r="A386" s="104" t="s">
        <v>51</v>
      </c>
      <c r="B386" s="104"/>
      <c r="C386" s="104"/>
      <c r="D386" s="104"/>
      <c r="E386" s="104"/>
      <c r="F386" s="104"/>
      <c r="G386" s="104"/>
      <c r="H386" s="104"/>
      <c r="I386" s="104"/>
      <c r="J386" s="104"/>
      <c r="K386" s="104"/>
      <c r="L386" s="104"/>
      <c r="M386" s="104"/>
    </row>
    <row r="387" spans="1:15" ht="11.1" customHeight="1">
      <c r="A387" s="104" t="s">
        <v>52</v>
      </c>
      <c r="B387" s="104"/>
      <c r="C387" s="104"/>
      <c r="D387" s="104"/>
      <c r="E387" s="104"/>
      <c r="F387" s="104"/>
      <c r="G387" s="104"/>
      <c r="H387" s="104"/>
      <c r="I387" s="104"/>
      <c r="J387" s="104"/>
      <c r="K387" s="104"/>
      <c r="L387" s="104"/>
      <c r="M387" s="104"/>
    </row>
    <row r="388" spans="1:15" ht="11.1" customHeight="1">
      <c r="A388" s="104" t="s">
        <v>53</v>
      </c>
      <c r="B388" s="104"/>
      <c r="C388" s="104"/>
      <c r="D388" s="104"/>
      <c r="E388" s="104"/>
      <c r="F388" s="104"/>
      <c r="G388" s="104"/>
      <c r="H388" s="104"/>
      <c r="I388" s="104"/>
      <c r="J388" s="104"/>
      <c r="K388" s="104"/>
      <c r="L388" s="104"/>
      <c r="M388" s="104"/>
    </row>
    <row r="389" spans="1:15" ht="11.1" customHeight="1">
      <c r="A389" s="101" t="s">
        <v>54</v>
      </c>
      <c r="B389" s="101"/>
      <c r="C389" s="101"/>
      <c r="D389" s="101"/>
      <c r="E389" s="101"/>
      <c r="F389" s="101"/>
      <c r="G389" s="101"/>
      <c r="H389" s="101"/>
      <c r="I389" s="101"/>
      <c r="J389" s="101"/>
      <c r="K389" s="101"/>
      <c r="L389" s="101"/>
      <c r="M389" s="101"/>
    </row>
    <row r="390" spans="1:15" ht="11.1" customHeight="1">
      <c r="A390" s="101" t="s">
        <v>55</v>
      </c>
      <c r="B390" s="101"/>
      <c r="C390" s="101"/>
      <c r="D390" s="101"/>
      <c r="E390" s="101"/>
      <c r="F390" s="101"/>
      <c r="G390" s="101"/>
      <c r="H390" s="101"/>
      <c r="I390" s="101"/>
      <c r="J390" s="101"/>
      <c r="K390" s="101"/>
      <c r="L390" s="101"/>
      <c r="M390" s="101"/>
    </row>
    <row r="391" spans="1:15" ht="19.5" customHeight="1">
      <c r="A391" s="69" t="s">
        <v>0</v>
      </c>
      <c r="B391" s="69"/>
      <c r="C391" s="69"/>
      <c r="D391" s="69"/>
      <c r="E391" s="69"/>
      <c r="F391" s="69"/>
      <c r="G391" s="69"/>
      <c r="H391" s="69"/>
      <c r="I391" s="69"/>
      <c r="J391" s="69"/>
      <c r="K391" s="69"/>
      <c r="L391" s="69"/>
      <c r="M391" s="69"/>
    </row>
    <row r="392" spans="1:15" ht="20.100000000000001" customHeight="1">
      <c r="A392" s="4" t="s">
        <v>32</v>
      </c>
      <c r="B392" s="5">
        <f>+B348+1</f>
        <v>45</v>
      </c>
      <c r="C392" s="30"/>
      <c r="D392" s="30"/>
      <c r="E392" s="30"/>
      <c r="F392" s="30"/>
      <c r="G392" s="30"/>
      <c r="H392" s="30"/>
      <c r="I392" s="30"/>
      <c r="J392" s="30"/>
      <c r="K392" s="30"/>
      <c r="L392" s="30"/>
      <c r="M392" s="30"/>
    </row>
    <row r="393" spans="1:15" ht="24" customHeight="1" thickBot="1">
      <c r="A393" s="4" t="s">
        <v>33</v>
      </c>
      <c r="H393" s="70" t="s">
        <v>34</v>
      </c>
      <c r="I393" s="70"/>
      <c r="J393" s="70"/>
      <c r="K393" s="102">
        <f>+K349+1</f>
        <v>45971</v>
      </c>
      <c r="L393" s="102"/>
      <c r="M393" s="102"/>
      <c r="O393" s="7"/>
    </row>
    <row r="394" spans="1:15" ht="33.75" customHeight="1" thickBot="1">
      <c r="A394" s="80" t="s">
        <v>1</v>
      </c>
      <c r="B394" s="81"/>
      <c r="C394" s="82"/>
      <c r="D394" s="86" t="str">
        <f>+D350</f>
        <v>光明國中B與C區5樓老舊廁所整修工程</v>
      </c>
      <c r="E394" s="87"/>
      <c r="F394" s="87"/>
      <c r="G394" s="88"/>
      <c r="H394" s="80" t="s">
        <v>2</v>
      </c>
      <c r="I394" s="81"/>
      <c r="J394" s="82"/>
      <c r="K394" s="80" t="s">
        <v>35</v>
      </c>
      <c r="L394" s="81"/>
      <c r="M394" s="82"/>
    </row>
    <row r="395" spans="1:15" ht="33.75" customHeight="1" thickBot="1">
      <c r="A395" s="8" t="s">
        <v>3</v>
      </c>
      <c r="B395" s="29">
        <f>+B351</f>
        <v>142</v>
      </c>
      <c r="C395" s="10" t="s">
        <v>36</v>
      </c>
      <c r="D395" s="80" t="s">
        <v>4</v>
      </c>
      <c r="E395" s="89"/>
      <c r="F395" s="31">
        <f>+F351+1</f>
        <v>45</v>
      </c>
      <c r="G395" s="12" t="s">
        <v>36</v>
      </c>
      <c r="H395" s="13" t="s">
        <v>5</v>
      </c>
      <c r="I395" s="29">
        <f>+B395-F395</f>
        <v>97</v>
      </c>
      <c r="J395" s="10" t="s">
        <v>36</v>
      </c>
      <c r="K395" s="80" t="s">
        <v>6</v>
      </c>
      <c r="L395" s="82"/>
      <c r="M395" s="13">
        <f>+M351</f>
        <v>12</v>
      </c>
    </row>
    <row r="396" spans="1:15" ht="24" customHeight="1" thickBot="1">
      <c r="A396" s="80" t="s">
        <v>7</v>
      </c>
      <c r="B396" s="81"/>
      <c r="C396" s="82"/>
      <c r="D396" s="80" t="str">
        <f>+D352</f>
        <v>114.9.27</v>
      </c>
      <c r="E396" s="81"/>
      <c r="F396" s="81"/>
      <c r="G396" s="82"/>
      <c r="H396" s="80" t="s">
        <v>8</v>
      </c>
      <c r="I396" s="81"/>
      <c r="J396" s="82"/>
      <c r="K396" s="80" t="str">
        <f>+K352</f>
        <v>115.2.15</v>
      </c>
      <c r="L396" s="81"/>
      <c r="M396" s="82"/>
    </row>
    <row r="397" spans="1:15" ht="24" customHeight="1" thickBot="1">
      <c r="A397" s="80" t="s">
        <v>37</v>
      </c>
      <c r="B397" s="81"/>
      <c r="C397" s="82"/>
      <c r="D397" s="83">
        <v>0.17399999999999999</v>
      </c>
      <c r="E397" s="84"/>
      <c r="F397" s="84"/>
      <c r="G397" s="85"/>
      <c r="H397" s="80" t="s">
        <v>38</v>
      </c>
      <c r="I397" s="81"/>
      <c r="J397" s="82"/>
      <c r="K397" s="83">
        <f>+K353+0.3%+0.3%</f>
        <v>0.23200000000000004</v>
      </c>
      <c r="L397" s="84"/>
      <c r="M397" s="85"/>
    </row>
    <row r="398" spans="1:15" ht="24" customHeight="1" thickBot="1">
      <c r="A398" s="72" t="s">
        <v>9</v>
      </c>
      <c r="B398" s="73"/>
      <c r="C398" s="73"/>
      <c r="D398" s="73"/>
      <c r="E398" s="73"/>
      <c r="F398" s="73"/>
      <c r="G398" s="73"/>
      <c r="H398" s="73"/>
      <c r="I398" s="73"/>
      <c r="J398" s="73"/>
      <c r="K398" s="73"/>
      <c r="L398" s="73"/>
      <c r="M398" s="74"/>
    </row>
    <row r="399" spans="1:15" ht="33.75" customHeight="1" thickBot="1">
      <c r="A399" s="75" t="s">
        <v>10</v>
      </c>
      <c r="B399" s="76"/>
      <c r="C399" s="76"/>
      <c r="D399" s="77"/>
      <c r="E399" s="14" t="s">
        <v>11</v>
      </c>
      <c r="F399" s="75" t="s">
        <v>12</v>
      </c>
      <c r="G399" s="77"/>
      <c r="H399" s="75" t="s">
        <v>13</v>
      </c>
      <c r="I399" s="77"/>
      <c r="J399" s="78" t="s">
        <v>14</v>
      </c>
      <c r="K399" s="79"/>
      <c r="L399" s="75" t="s">
        <v>15</v>
      </c>
      <c r="M399" s="77"/>
    </row>
    <row r="400" spans="1:15" ht="27.95" customHeight="1" thickBot="1">
      <c r="A400" s="141" t="s">
        <v>92</v>
      </c>
      <c r="B400" s="142"/>
      <c r="C400" s="142"/>
      <c r="D400" s="143"/>
      <c r="E400" s="2" t="s">
        <v>69</v>
      </c>
      <c r="F400" s="56">
        <v>1</v>
      </c>
      <c r="G400" s="57"/>
      <c r="H400" s="56">
        <v>0.05</v>
      </c>
      <c r="I400" s="57"/>
      <c r="J400" s="56">
        <v>0.95</v>
      </c>
      <c r="K400" s="57"/>
      <c r="L400" s="58"/>
      <c r="M400" s="59"/>
    </row>
    <row r="401" spans="1:13" ht="27.95" customHeight="1" thickBot="1">
      <c r="A401" s="141" t="s">
        <v>117</v>
      </c>
      <c r="B401" s="142"/>
      <c r="C401" s="142"/>
      <c r="D401" s="143"/>
      <c r="E401" s="15" t="s">
        <v>118</v>
      </c>
      <c r="F401" s="56">
        <v>34</v>
      </c>
      <c r="G401" s="57"/>
      <c r="H401" s="56">
        <v>5</v>
      </c>
      <c r="I401" s="57"/>
      <c r="J401" s="56">
        <v>10</v>
      </c>
      <c r="K401" s="57"/>
      <c r="L401" s="58"/>
      <c r="M401" s="59"/>
    </row>
    <row r="402" spans="1:13" ht="24.95" customHeight="1" thickTop="1" thickBot="1">
      <c r="A402" s="130" t="s">
        <v>16</v>
      </c>
      <c r="B402" s="67"/>
      <c r="C402" s="67"/>
      <c r="D402" s="68"/>
      <c r="E402" s="41"/>
      <c r="F402" s="131"/>
      <c r="G402" s="132"/>
      <c r="H402" s="131"/>
      <c r="I402" s="132"/>
      <c r="J402" s="131"/>
      <c r="K402" s="132"/>
      <c r="L402" s="131"/>
      <c r="M402" s="133"/>
    </row>
    <row r="403" spans="1:13" ht="24.95" customHeight="1" thickBot="1">
      <c r="A403" s="134"/>
      <c r="B403" s="135"/>
      <c r="C403" s="135"/>
      <c r="D403" s="59"/>
      <c r="E403" s="41"/>
      <c r="F403" s="58"/>
      <c r="G403" s="59"/>
      <c r="H403" s="58"/>
      <c r="I403" s="59"/>
      <c r="J403" s="58"/>
      <c r="K403" s="59"/>
      <c r="L403" s="58"/>
      <c r="M403" s="136"/>
    </row>
    <row r="404" spans="1:13" ht="24.95" customHeight="1" thickBot="1">
      <c r="A404" s="118"/>
      <c r="B404" s="119"/>
      <c r="C404" s="119"/>
      <c r="D404" s="120"/>
      <c r="E404" s="24"/>
      <c r="F404" s="121"/>
      <c r="G404" s="120"/>
      <c r="H404" s="121"/>
      <c r="I404" s="120"/>
      <c r="J404" s="121"/>
      <c r="K404" s="120"/>
      <c r="L404" s="121"/>
      <c r="M404" s="122"/>
    </row>
    <row r="405" spans="1:13" ht="24" customHeight="1" thickTop="1" thickBot="1">
      <c r="A405" s="66" t="s">
        <v>19</v>
      </c>
      <c r="B405" s="67"/>
      <c r="C405" s="67"/>
      <c r="D405" s="67"/>
      <c r="E405" s="67"/>
      <c r="F405" s="67"/>
      <c r="G405" s="67"/>
      <c r="H405" s="67"/>
      <c r="I405" s="67"/>
      <c r="J405" s="67"/>
      <c r="K405" s="67"/>
      <c r="L405" s="67"/>
      <c r="M405" s="68"/>
    </row>
    <row r="406" spans="1:13" ht="31.5" customHeight="1" thickBot="1">
      <c r="A406" s="75" t="s">
        <v>20</v>
      </c>
      <c r="B406" s="76"/>
      <c r="C406" s="76"/>
      <c r="D406" s="77"/>
      <c r="E406" s="14" t="s">
        <v>11</v>
      </c>
      <c r="F406" s="75" t="s">
        <v>39</v>
      </c>
      <c r="G406" s="77"/>
      <c r="H406" s="75" t="s">
        <v>21</v>
      </c>
      <c r="I406" s="77"/>
      <c r="J406" s="78" t="s">
        <v>22</v>
      </c>
      <c r="K406" s="79"/>
      <c r="L406" s="75" t="s">
        <v>15</v>
      </c>
      <c r="M406" s="77"/>
    </row>
    <row r="407" spans="1:13" ht="24" customHeight="1" thickBot="1">
      <c r="A407" s="96"/>
      <c r="B407" s="97"/>
      <c r="C407" s="97"/>
      <c r="D407" s="98"/>
      <c r="E407" s="41"/>
      <c r="F407" s="58"/>
      <c r="G407" s="59"/>
      <c r="H407" s="58"/>
      <c r="I407" s="59"/>
      <c r="J407" s="56"/>
      <c r="K407" s="57"/>
      <c r="L407" s="58"/>
      <c r="M407" s="59"/>
    </row>
    <row r="408" spans="1:13" ht="24" customHeight="1" thickBot="1">
      <c r="A408" s="96"/>
      <c r="B408" s="97"/>
      <c r="C408" s="97"/>
      <c r="D408" s="98"/>
      <c r="E408" s="41"/>
      <c r="F408" s="58"/>
      <c r="G408" s="59"/>
      <c r="H408" s="58"/>
      <c r="I408" s="59"/>
      <c r="J408" s="56"/>
      <c r="K408" s="57"/>
      <c r="L408" s="58"/>
      <c r="M408" s="59"/>
    </row>
    <row r="409" spans="1:13" ht="24" customHeight="1" thickBot="1">
      <c r="A409" s="60" t="s">
        <v>23</v>
      </c>
      <c r="B409" s="61"/>
      <c r="C409" s="61"/>
      <c r="D409" s="61"/>
      <c r="E409" s="61"/>
      <c r="F409" s="61"/>
      <c r="G409" s="61"/>
      <c r="H409" s="61"/>
      <c r="I409" s="61"/>
      <c r="J409" s="61"/>
      <c r="K409" s="61"/>
      <c r="L409" s="61"/>
      <c r="M409" s="62"/>
    </row>
    <row r="410" spans="1:13" ht="40.5" customHeight="1" thickBot="1">
      <c r="A410" s="75" t="s">
        <v>24</v>
      </c>
      <c r="B410" s="77"/>
      <c r="C410" s="75" t="s">
        <v>25</v>
      </c>
      <c r="D410" s="77"/>
      <c r="E410" s="75" t="s">
        <v>26</v>
      </c>
      <c r="F410" s="76"/>
      <c r="G410" s="77"/>
      <c r="H410" s="75" t="s">
        <v>27</v>
      </c>
      <c r="I410" s="77"/>
      <c r="J410" s="78" t="s">
        <v>21</v>
      </c>
      <c r="K410" s="79"/>
      <c r="L410" s="75" t="s">
        <v>22</v>
      </c>
      <c r="M410" s="77"/>
    </row>
    <row r="411" spans="1:13" s="18" customFormat="1" ht="24.75" customHeight="1" thickBot="1">
      <c r="A411" s="99" t="s">
        <v>80</v>
      </c>
      <c r="B411" s="98"/>
      <c r="C411" s="56">
        <v>1</v>
      </c>
      <c r="D411" s="57"/>
      <c r="E411" s="56">
        <v>32</v>
      </c>
      <c r="F411" s="100"/>
      <c r="G411" s="57"/>
      <c r="H411" s="56"/>
      <c r="I411" s="57"/>
      <c r="J411" s="56"/>
      <c r="K411" s="57"/>
      <c r="L411" s="56"/>
      <c r="M411" s="57"/>
    </row>
    <row r="412" spans="1:13" s="18" customFormat="1" ht="25.5" customHeight="1" thickBot="1">
      <c r="A412" s="99" t="s">
        <v>119</v>
      </c>
      <c r="B412" s="98"/>
      <c r="C412" s="56">
        <v>1</v>
      </c>
      <c r="D412" s="57"/>
      <c r="E412" s="56">
        <v>2</v>
      </c>
      <c r="F412" s="100"/>
      <c r="G412" s="57"/>
      <c r="H412" s="56"/>
      <c r="I412" s="57"/>
      <c r="J412" s="56"/>
      <c r="K412" s="57"/>
      <c r="L412" s="56"/>
      <c r="M412" s="57"/>
    </row>
    <row r="413" spans="1:13" ht="33" customHeight="1" thickBot="1">
      <c r="A413" s="112" t="s">
        <v>40</v>
      </c>
      <c r="B413" s="113"/>
      <c r="C413" s="113"/>
      <c r="D413" s="113"/>
      <c r="E413" s="113"/>
      <c r="F413" s="113"/>
      <c r="G413" s="113"/>
      <c r="H413" s="113"/>
      <c r="I413" s="113"/>
      <c r="J413" s="113"/>
      <c r="K413" s="113"/>
      <c r="L413" s="113"/>
      <c r="M413" s="114"/>
    </row>
    <row r="414" spans="1:13" ht="16.5" customHeight="1">
      <c r="A414" s="115" t="s">
        <v>41</v>
      </c>
      <c r="B414" s="116"/>
      <c r="C414" s="116"/>
      <c r="D414" s="116"/>
      <c r="E414" s="116"/>
      <c r="F414" s="116"/>
      <c r="G414" s="116"/>
      <c r="H414" s="116"/>
      <c r="I414" s="116"/>
      <c r="J414" s="116"/>
      <c r="K414" s="116"/>
      <c r="L414" s="116"/>
      <c r="M414" s="117"/>
    </row>
    <row r="415" spans="1:13" ht="16.5" customHeight="1">
      <c r="A415" s="90" t="s">
        <v>28</v>
      </c>
      <c r="B415" s="91"/>
      <c r="C415" s="91"/>
      <c r="D415" s="91"/>
      <c r="E415" s="91"/>
      <c r="F415" s="91"/>
      <c r="G415" s="91"/>
      <c r="H415" s="91"/>
      <c r="I415" s="91"/>
      <c r="J415" s="91"/>
      <c r="K415" s="91"/>
      <c r="L415" s="91"/>
      <c r="M415" s="92"/>
    </row>
    <row r="416" spans="1:13" s="1" customFormat="1" ht="16.5" customHeight="1">
      <c r="A416" s="93" t="s">
        <v>56</v>
      </c>
      <c r="B416" s="94"/>
      <c r="C416" s="94"/>
      <c r="D416" s="94"/>
      <c r="E416" s="94"/>
      <c r="F416" s="94"/>
      <c r="G416" s="94"/>
      <c r="H416" s="94"/>
      <c r="I416" s="94"/>
      <c r="J416" s="94"/>
      <c r="K416" s="94"/>
      <c r="L416" s="94"/>
      <c r="M416" s="95"/>
    </row>
    <row r="417" spans="1:13" s="1" customFormat="1" ht="16.5" customHeight="1">
      <c r="A417" s="93" t="s">
        <v>57</v>
      </c>
      <c r="B417" s="94"/>
      <c r="C417" s="94"/>
      <c r="D417" s="94"/>
      <c r="E417" s="94"/>
      <c r="F417" s="94"/>
      <c r="G417" s="94"/>
      <c r="H417" s="94"/>
      <c r="I417" s="94"/>
      <c r="J417" s="94"/>
      <c r="K417" s="94"/>
      <c r="L417" s="94"/>
      <c r="M417" s="95"/>
    </row>
    <row r="418" spans="1:13" s="1" customFormat="1" ht="16.5" customHeight="1">
      <c r="A418" s="93" t="s">
        <v>58</v>
      </c>
      <c r="B418" s="94"/>
      <c r="C418" s="94"/>
      <c r="D418" s="94"/>
      <c r="E418" s="94"/>
      <c r="F418" s="94"/>
      <c r="G418" s="94"/>
      <c r="H418" s="94"/>
      <c r="I418" s="94"/>
      <c r="J418" s="94"/>
      <c r="K418" s="94"/>
      <c r="L418" s="94"/>
      <c r="M418" s="95"/>
    </row>
    <row r="419" spans="1:13" s="1" customFormat="1" ht="16.5" customHeight="1">
      <c r="A419" s="93" t="s">
        <v>59</v>
      </c>
      <c r="B419" s="94"/>
      <c r="C419" s="94"/>
      <c r="D419" s="94"/>
      <c r="E419" s="94"/>
      <c r="F419" s="94"/>
      <c r="G419" s="94"/>
      <c r="H419" s="94"/>
      <c r="I419" s="94"/>
      <c r="J419" s="94"/>
      <c r="K419" s="94"/>
      <c r="L419" s="94"/>
      <c r="M419" s="95"/>
    </row>
    <row r="420" spans="1:13" ht="16.5" customHeight="1">
      <c r="A420" s="106" t="s">
        <v>29</v>
      </c>
      <c r="B420" s="107"/>
      <c r="C420" s="107"/>
      <c r="D420" s="107"/>
      <c r="E420" s="107"/>
      <c r="F420" s="107"/>
      <c r="G420" s="107"/>
      <c r="H420" s="107"/>
      <c r="I420" s="107"/>
      <c r="J420" s="107"/>
      <c r="K420" s="107"/>
      <c r="L420" s="107"/>
      <c r="M420" s="108"/>
    </row>
    <row r="421" spans="1:13" ht="8.25" customHeight="1" thickBot="1">
      <c r="A421" s="109"/>
      <c r="B421" s="110"/>
      <c r="C421" s="110"/>
      <c r="D421" s="110"/>
      <c r="E421" s="110"/>
      <c r="F421" s="110"/>
      <c r="G421" s="110"/>
      <c r="H421" s="110"/>
      <c r="I421" s="110"/>
      <c r="J421" s="110"/>
      <c r="K421" s="110"/>
      <c r="L421" s="110"/>
      <c r="M421" s="111"/>
    </row>
    <row r="422" spans="1:13" ht="18.75" customHeight="1" thickBot="1">
      <c r="A422" s="72" t="s">
        <v>30</v>
      </c>
      <c r="B422" s="73"/>
      <c r="C422" s="73"/>
      <c r="D422" s="73"/>
      <c r="E422" s="73"/>
      <c r="F422" s="73"/>
      <c r="G422" s="73"/>
      <c r="H422" s="73"/>
      <c r="I422" s="73"/>
      <c r="J422" s="73"/>
      <c r="K422" s="73"/>
      <c r="L422" s="73"/>
      <c r="M422" s="74"/>
    </row>
    <row r="423" spans="1:13" ht="24" customHeight="1" thickBot="1">
      <c r="A423" s="72" t="s">
        <v>31</v>
      </c>
      <c r="B423" s="73"/>
      <c r="C423" s="73"/>
      <c r="D423" s="73"/>
      <c r="E423" s="73"/>
      <c r="F423" s="73"/>
      <c r="G423" s="73"/>
      <c r="H423" s="73"/>
      <c r="I423" s="73"/>
      <c r="J423" s="73"/>
      <c r="K423" s="73"/>
      <c r="L423" s="73"/>
      <c r="M423" s="74"/>
    </row>
    <row r="424" spans="1:13" ht="24" customHeight="1" thickBot="1">
      <c r="A424" s="72" t="s">
        <v>132</v>
      </c>
      <c r="B424" s="73"/>
      <c r="C424" s="73"/>
      <c r="D424" s="73"/>
      <c r="E424" s="73"/>
      <c r="F424" s="73"/>
      <c r="G424" s="73"/>
      <c r="H424" s="73"/>
      <c r="I424" s="73"/>
      <c r="J424" s="73"/>
      <c r="K424" s="73"/>
      <c r="L424" s="73"/>
      <c r="M424" s="74"/>
    </row>
    <row r="425" spans="1:13" ht="24" customHeight="1" thickBot="1">
      <c r="A425" s="60" t="s">
        <v>46</v>
      </c>
      <c r="B425" s="61"/>
      <c r="C425" s="61"/>
      <c r="D425" s="61"/>
      <c r="E425" s="61"/>
      <c r="F425" s="61"/>
      <c r="G425" s="61"/>
      <c r="H425" s="61"/>
      <c r="I425" s="61"/>
      <c r="J425" s="61"/>
      <c r="K425" s="61"/>
      <c r="L425" s="61"/>
      <c r="M425" s="62"/>
    </row>
    <row r="426" spans="1:13" ht="11.1" customHeight="1">
      <c r="A426" s="103" t="s">
        <v>47</v>
      </c>
      <c r="B426" s="103"/>
      <c r="C426" s="103"/>
      <c r="D426" s="103"/>
      <c r="E426" s="103"/>
      <c r="F426" s="103"/>
      <c r="G426" s="103"/>
      <c r="H426" s="103"/>
      <c r="I426" s="103"/>
      <c r="J426" s="103"/>
      <c r="K426" s="103"/>
      <c r="L426" s="103"/>
      <c r="M426" s="103"/>
    </row>
    <row r="427" spans="1:13" ht="11.1" customHeight="1">
      <c r="A427" s="104" t="s">
        <v>48</v>
      </c>
      <c r="B427" s="104"/>
      <c r="C427" s="104"/>
      <c r="D427" s="104"/>
      <c r="E427" s="104"/>
      <c r="F427" s="104"/>
      <c r="G427" s="104"/>
      <c r="H427" s="104"/>
      <c r="I427" s="104"/>
      <c r="J427" s="104"/>
      <c r="K427" s="104"/>
      <c r="L427" s="104"/>
      <c r="M427" s="104"/>
    </row>
    <row r="428" spans="1:13" ht="11.1" customHeight="1">
      <c r="A428" s="105" t="s">
        <v>49</v>
      </c>
      <c r="B428" s="105"/>
      <c r="C428" s="105"/>
      <c r="D428" s="105"/>
      <c r="E428" s="105"/>
      <c r="F428" s="105"/>
      <c r="G428" s="105"/>
      <c r="H428" s="105"/>
      <c r="I428" s="105"/>
      <c r="J428" s="105"/>
      <c r="K428" s="105"/>
      <c r="L428" s="105"/>
      <c r="M428" s="105"/>
    </row>
    <row r="429" spans="1:13" ht="11.1" customHeight="1">
      <c r="A429" s="105" t="s">
        <v>50</v>
      </c>
      <c r="B429" s="105"/>
      <c r="C429" s="105"/>
      <c r="D429" s="105"/>
      <c r="E429" s="105"/>
      <c r="F429" s="105"/>
      <c r="G429" s="105"/>
      <c r="H429" s="105"/>
      <c r="I429" s="105"/>
      <c r="J429" s="105"/>
      <c r="K429" s="105"/>
      <c r="L429" s="105"/>
      <c r="M429" s="105"/>
    </row>
    <row r="430" spans="1:13" ht="11.1" customHeight="1">
      <c r="A430" s="104" t="s">
        <v>51</v>
      </c>
      <c r="B430" s="104"/>
      <c r="C430" s="104"/>
      <c r="D430" s="104"/>
      <c r="E430" s="104"/>
      <c r="F430" s="104"/>
      <c r="G430" s="104"/>
      <c r="H430" s="104"/>
      <c r="I430" s="104"/>
      <c r="J430" s="104"/>
      <c r="K430" s="104"/>
      <c r="L430" s="104"/>
      <c r="M430" s="104"/>
    </row>
    <row r="431" spans="1:13" ht="11.1" customHeight="1">
      <c r="A431" s="104" t="s">
        <v>52</v>
      </c>
      <c r="B431" s="104"/>
      <c r="C431" s="104"/>
      <c r="D431" s="104"/>
      <c r="E431" s="104"/>
      <c r="F431" s="104"/>
      <c r="G431" s="104"/>
      <c r="H431" s="104"/>
      <c r="I431" s="104"/>
      <c r="J431" s="104"/>
      <c r="K431" s="104"/>
      <c r="L431" s="104"/>
      <c r="M431" s="104"/>
    </row>
    <row r="432" spans="1:13" ht="11.1" customHeight="1">
      <c r="A432" s="104" t="s">
        <v>53</v>
      </c>
      <c r="B432" s="104"/>
      <c r="C432" s="104"/>
      <c r="D432" s="104"/>
      <c r="E432" s="104"/>
      <c r="F432" s="104"/>
      <c r="G432" s="104"/>
      <c r="H432" s="104"/>
      <c r="I432" s="104"/>
      <c r="J432" s="104"/>
      <c r="K432" s="104"/>
      <c r="L432" s="104"/>
      <c r="M432" s="104"/>
    </row>
    <row r="433" spans="1:15" ht="11.1" customHeight="1">
      <c r="A433" s="101" t="s">
        <v>54</v>
      </c>
      <c r="B433" s="101"/>
      <c r="C433" s="101"/>
      <c r="D433" s="101"/>
      <c r="E433" s="101"/>
      <c r="F433" s="101"/>
      <c r="G433" s="101"/>
      <c r="H433" s="101"/>
      <c r="I433" s="101"/>
      <c r="J433" s="101"/>
      <c r="K433" s="101"/>
      <c r="L433" s="101"/>
      <c r="M433" s="101"/>
    </row>
    <row r="434" spans="1:15" ht="11.1" customHeight="1">
      <c r="A434" s="101" t="s">
        <v>55</v>
      </c>
      <c r="B434" s="101"/>
      <c r="C434" s="101"/>
      <c r="D434" s="101"/>
      <c r="E434" s="101"/>
      <c r="F434" s="101"/>
      <c r="G434" s="101"/>
      <c r="H434" s="101"/>
      <c r="I434" s="101"/>
      <c r="J434" s="101"/>
      <c r="K434" s="101"/>
      <c r="L434" s="101"/>
      <c r="M434" s="101"/>
    </row>
    <row r="435" spans="1:15" ht="19.5" customHeight="1">
      <c r="A435" s="69" t="s">
        <v>0</v>
      </c>
      <c r="B435" s="69"/>
      <c r="C435" s="69"/>
      <c r="D435" s="69"/>
      <c r="E435" s="69"/>
      <c r="F435" s="69"/>
      <c r="G435" s="69"/>
      <c r="H435" s="69"/>
      <c r="I435" s="69"/>
      <c r="J435" s="69"/>
      <c r="K435" s="69"/>
      <c r="L435" s="69"/>
      <c r="M435" s="69"/>
    </row>
    <row r="436" spans="1:15" ht="20.100000000000001" customHeight="1">
      <c r="A436" s="4" t="s">
        <v>32</v>
      </c>
      <c r="B436" s="5">
        <f>+B392+1</f>
        <v>46</v>
      </c>
      <c r="C436" s="30"/>
      <c r="D436" s="30"/>
      <c r="E436" s="30"/>
      <c r="F436" s="30"/>
      <c r="G436" s="30"/>
      <c r="H436" s="30"/>
      <c r="I436" s="30"/>
      <c r="J436" s="30"/>
      <c r="K436" s="30"/>
      <c r="L436" s="30"/>
      <c r="M436" s="30"/>
    </row>
    <row r="437" spans="1:15" ht="24" customHeight="1" thickBot="1">
      <c r="A437" s="4" t="s">
        <v>33</v>
      </c>
      <c r="H437" s="70" t="s">
        <v>34</v>
      </c>
      <c r="I437" s="70"/>
      <c r="J437" s="70"/>
      <c r="K437" s="102">
        <f>+K393+1</f>
        <v>45972</v>
      </c>
      <c r="L437" s="102"/>
      <c r="M437" s="102"/>
      <c r="O437" s="7"/>
    </row>
    <row r="438" spans="1:15" ht="33.75" customHeight="1" thickBot="1">
      <c r="A438" s="80" t="s">
        <v>1</v>
      </c>
      <c r="B438" s="81"/>
      <c r="C438" s="82"/>
      <c r="D438" s="86" t="str">
        <f>+D394</f>
        <v>光明國中B與C區5樓老舊廁所整修工程</v>
      </c>
      <c r="E438" s="87"/>
      <c r="F438" s="87"/>
      <c r="G438" s="88"/>
      <c r="H438" s="80" t="s">
        <v>2</v>
      </c>
      <c r="I438" s="81"/>
      <c r="J438" s="82"/>
      <c r="K438" s="80" t="s">
        <v>35</v>
      </c>
      <c r="L438" s="81"/>
      <c r="M438" s="82"/>
    </row>
    <row r="439" spans="1:15" ht="33.75" customHeight="1" thickBot="1">
      <c r="A439" s="8" t="s">
        <v>3</v>
      </c>
      <c r="B439" s="29">
        <f>+B395</f>
        <v>142</v>
      </c>
      <c r="C439" s="10" t="s">
        <v>36</v>
      </c>
      <c r="D439" s="80" t="s">
        <v>4</v>
      </c>
      <c r="E439" s="89"/>
      <c r="F439" s="31">
        <f>+F395+1</f>
        <v>46</v>
      </c>
      <c r="G439" s="12" t="s">
        <v>36</v>
      </c>
      <c r="H439" s="13" t="s">
        <v>5</v>
      </c>
      <c r="I439" s="29">
        <f>+B439-F439</f>
        <v>96</v>
      </c>
      <c r="J439" s="10" t="s">
        <v>36</v>
      </c>
      <c r="K439" s="80" t="s">
        <v>6</v>
      </c>
      <c r="L439" s="82"/>
      <c r="M439" s="13">
        <f>+M395</f>
        <v>12</v>
      </c>
    </row>
    <row r="440" spans="1:15" ht="24" customHeight="1" thickBot="1">
      <c r="A440" s="80" t="s">
        <v>7</v>
      </c>
      <c r="B440" s="81"/>
      <c r="C440" s="82"/>
      <c r="D440" s="80" t="str">
        <f>+D396</f>
        <v>114.9.27</v>
      </c>
      <c r="E440" s="81"/>
      <c r="F440" s="81"/>
      <c r="G440" s="82"/>
      <c r="H440" s="80" t="s">
        <v>8</v>
      </c>
      <c r="I440" s="81"/>
      <c r="J440" s="82"/>
      <c r="K440" s="80" t="str">
        <f>+K396</f>
        <v>115.2.15</v>
      </c>
      <c r="L440" s="81"/>
      <c r="M440" s="82"/>
    </row>
    <row r="441" spans="1:15" ht="24" customHeight="1" thickBot="1">
      <c r="A441" s="80" t="s">
        <v>37</v>
      </c>
      <c r="B441" s="81"/>
      <c r="C441" s="82"/>
      <c r="D441" s="83">
        <v>0.18</v>
      </c>
      <c r="E441" s="84"/>
      <c r="F441" s="84"/>
      <c r="G441" s="85"/>
      <c r="H441" s="80" t="s">
        <v>38</v>
      </c>
      <c r="I441" s="81"/>
      <c r="J441" s="82"/>
      <c r="K441" s="83">
        <f>+K397+0.3%+0.3%</f>
        <v>0.23800000000000004</v>
      </c>
      <c r="L441" s="84"/>
      <c r="M441" s="85"/>
    </row>
    <row r="442" spans="1:15" ht="24" customHeight="1" thickBot="1">
      <c r="A442" s="72" t="s">
        <v>9</v>
      </c>
      <c r="B442" s="73"/>
      <c r="C442" s="73"/>
      <c r="D442" s="73"/>
      <c r="E442" s="73"/>
      <c r="F442" s="73"/>
      <c r="G442" s="73"/>
      <c r="H442" s="73"/>
      <c r="I442" s="73"/>
      <c r="J442" s="73"/>
      <c r="K442" s="73"/>
      <c r="L442" s="73"/>
      <c r="M442" s="74"/>
    </row>
    <row r="443" spans="1:15" ht="33.75" customHeight="1" thickBot="1">
      <c r="A443" s="75" t="s">
        <v>10</v>
      </c>
      <c r="B443" s="76"/>
      <c r="C443" s="76"/>
      <c r="D443" s="77"/>
      <c r="E443" s="14" t="s">
        <v>11</v>
      </c>
      <c r="F443" s="75" t="s">
        <v>12</v>
      </c>
      <c r="G443" s="77"/>
      <c r="H443" s="75" t="s">
        <v>13</v>
      </c>
      <c r="I443" s="77"/>
      <c r="J443" s="78" t="s">
        <v>14</v>
      </c>
      <c r="K443" s="79"/>
      <c r="L443" s="75" t="s">
        <v>15</v>
      </c>
      <c r="M443" s="77"/>
    </row>
    <row r="444" spans="1:15" ht="27.95" customHeight="1" thickBot="1">
      <c r="A444" s="141" t="s">
        <v>92</v>
      </c>
      <c r="B444" s="142"/>
      <c r="C444" s="142"/>
      <c r="D444" s="143"/>
      <c r="E444" s="2" t="s">
        <v>69</v>
      </c>
      <c r="F444" s="56">
        <v>1</v>
      </c>
      <c r="G444" s="57"/>
      <c r="H444" s="56">
        <v>0.05</v>
      </c>
      <c r="I444" s="57"/>
      <c r="J444" s="56">
        <v>1</v>
      </c>
      <c r="K444" s="57"/>
      <c r="L444" s="58"/>
      <c r="M444" s="59"/>
    </row>
    <row r="445" spans="1:15" ht="27.95" customHeight="1" thickBot="1">
      <c r="A445" s="141" t="s">
        <v>117</v>
      </c>
      <c r="B445" s="142"/>
      <c r="C445" s="142"/>
      <c r="D445" s="143"/>
      <c r="E445" s="15" t="s">
        <v>118</v>
      </c>
      <c r="F445" s="56">
        <v>34</v>
      </c>
      <c r="G445" s="57"/>
      <c r="H445" s="56">
        <v>5</v>
      </c>
      <c r="I445" s="57"/>
      <c r="J445" s="56">
        <v>15</v>
      </c>
      <c r="K445" s="57"/>
      <c r="L445" s="58"/>
      <c r="M445" s="59"/>
    </row>
    <row r="446" spans="1:15" ht="24.95" customHeight="1" thickTop="1" thickBot="1">
      <c r="A446" s="130" t="s">
        <v>16</v>
      </c>
      <c r="B446" s="67"/>
      <c r="C446" s="67"/>
      <c r="D446" s="68"/>
      <c r="E446" s="41"/>
      <c r="F446" s="131"/>
      <c r="G446" s="132"/>
      <c r="H446" s="131"/>
      <c r="I446" s="132"/>
      <c r="J446" s="131"/>
      <c r="K446" s="132"/>
      <c r="L446" s="131"/>
      <c r="M446" s="133"/>
    </row>
    <row r="447" spans="1:15" ht="24.95" customHeight="1" thickBot="1">
      <c r="A447" s="134"/>
      <c r="B447" s="135"/>
      <c r="C447" s="135"/>
      <c r="D447" s="59"/>
      <c r="E447" s="41"/>
      <c r="F447" s="58"/>
      <c r="G447" s="59"/>
      <c r="H447" s="58"/>
      <c r="I447" s="59"/>
      <c r="J447" s="58"/>
      <c r="K447" s="59"/>
      <c r="L447" s="58"/>
      <c r="M447" s="136"/>
    </row>
    <row r="448" spans="1:15" ht="24.95" customHeight="1" thickBot="1">
      <c r="A448" s="118"/>
      <c r="B448" s="119"/>
      <c r="C448" s="119"/>
      <c r="D448" s="120"/>
      <c r="E448" s="24"/>
      <c r="F448" s="121"/>
      <c r="G448" s="120"/>
      <c r="H448" s="121"/>
      <c r="I448" s="120"/>
      <c r="J448" s="121"/>
      <c r="K448" s="120"/>
      <c r="L448" s="121"/>
      <c r="M448" s="122"/>
    </row>
    <row r="449" spans="1:13" ht="24" customHeight="1" thickTop="1" thickBot="1">
      <c r="A449" s="66" t="s">
        <v>19</v>
      </c>
      <c r="B449" s="67"/>
      <c r="C449" s="67"/>
      <c r="D449" s="67"/>
      <c r="E449" s="67"/>
      <c r="F449" s="67"/>
      <c r="G449" s="67"/>
      <c r="H449" s="67"/>
      <c r="I449" s="67"/>
      <c r="J449" s="67"/>
      <c r="K449" s="67"/>
      <c r="L449" s="67"/>
      <c r="M449" s="68"/>
    </row>
    <row r="450" spans="1:13" ht="35.25" customHeight="1" thickBot="1">
      <c r="A450" s="75" t="s">
        <v>20</v>
      </c>
      <c r="B450" s="76"/>
      <c r="C450" s="76"/>
      <c r="D450" s="77"/>
      <c r="E450" s="14" t="s">
        <v>11</v>
      </c>
      <c r="F450" s="75" t="s">
        <v>39</v>
      </c>
      <c r="G450" s="77"/>
      <c r="H450" s="75" t="s">
        <v>21</v>
      </c>
      <c r="I450" s="77"/>
      <c r="J450" s="78" t="s">
        <v>22</v>
      </c>
      <c r="K450" s="79"/>
      <c r="L450" s="75" t="s">
        <v>15</v>
      </c>
      <c r="M450" s="77"/>
    </row>
    <row r="451" spans="1:13" ht="24" customHeight="1" thickBot="1">
      <c r="A451" s="96"/>
      <c r="B451" s="97"/>
      <c r="C451" s="97"/>
      <c r="D451" s="98"/>
      <c r="E451" s="41"/>
      <c r="F451" s="58"/>
      <c r="G451" s="59"/>
      <c r="H451" s="58"/>
      <c r="I451" s="59"/>
      <c r="J451" s="56"/>
      <c r="K451" s="57"/>
      <c r="L451" s="58"/>
      <c r="M451" s="59"/>
    </row>
    <row r="452" spans="1:13" ht="24" customHeight="1" thickBot="1">
      <c r="A452" s="96"/>
      <c r="B452" s="97"/>
      <c r="C452" s="97"/>
      <c r="D452" s="98"/>
      <c r="E452" s="41"/>
      <c r="F452" s="58"/>
      <c r="G452" s="59"/>
      <c r="H452" s="58"/>
      <c r="I452" s="59"/>
      <c r="J452" s="56"/>
      <c r="K452" s="57"/>
      <c r="L452" s="58"/>
      <c r="M452" s="59"/>
    </row>
    <row r="453" spans="1:13" ht="24" customHeight="1" thickBot="1">
      <c r="A453" s="60" t="s">
        <v>23</v>
      </c>
      <c r="B453" s="61"/>
      <c r="C453" s="61"/>
      <c r="D453" s="61"/>
      <c r="E453" s="61"/>
      <c r="F453" s="61"/>
      <c r="G453" s="61"/>
      <c r="H453" s="61"/>
      <c r="I453" s="61"/>
      <c r="J453" s="61"/>
      <c r="K453" s="61"/>
      <c r="L453" s="61"/>
      <c r="M453" s="62"/>
    </row>
    <row r="454" spans="1:13" ht="32.25" customHeight="1" thickBot="1">
      <c r="A454" s="75" t="s">
        <v>24</v>
      </c>
      <c r="B454" s="77"/>
      <c r="C454" s="75" t="s">
        <v>25</v>
      </c>
      <c r="D454" s="77"/>
      <c r="E454" s="75" t="s">
        <v>26</v>
      </c>
      <c r="F454" s="76"/>
      <c r="G454" s="77"/>
      <c r="H454" s="75" t="s">
        <v>27</v>
      </c>
      <c r="I454" s="77"/>
      <c r="J454" s="78" t="s">
        <v>21</v>
      </c>
      <c r="K454" s="79"/>
      <c r="L454" s="75" t="s">
        <v>22</v>
      </c>
      <c r="M454" s="77"/>
    </row>
    <row r="455" spans="1:13" s="18" customFormat="1" ht="24.75" customHeight="1" thickBot="1">
      <c r="A455" s="99" t="s">
        <v>80</v>
      </c>
      <c r="B455" s="98"/>
      <c r="C455" s="56">
        <v>1</v>
      </c>
      <c r="D455" s="57"/>
      <c r="E455" s="56">
        <v>33</v>
      </c>
      <c r="F455" s="100"/>
      <c r="G455" s="57"/>
      <c r="H455" s="56"/>
      <c r="I455" s="57"/>
      <c r="J455" s="56"/>
      <c r="K455" s="57"/>
      <c r="L455" s="56"/>
      <c r="M455" s="57"/>
    </row>
    <row r="456" spans="1:13" s="18" customFormat="1" ht="25.5" customHeight="1" thickBot="1">
      <c r="A456" s="99" t="s">
        <v>119</v>
      </c>
      <c r="B456" s="98"/>
      <c r="C456" s="56">
        <v>1</v>
      </c>
      <c r="D456" s="57"/>
      <c r="E456" s="56">
        <v>3</v>
      </c>
      <c r="F456" s="100"/>
      <c r="G456" s="57"/>
      <c r="H456" s="56"/>
      <c r="I456" s="57"/>
      <c r="J456" s="56"/>
      <c r="K456" s="57"/>
      <c r="L456" s="56"/>
      <c r="M456" s="57"/>
    </row>
    <row r="457" spans="1:13" ht="33" customHeight="1" thickBot="1">
      <c r="A457" s="112" t="s">
        <v>40</v>
      </c>
      <c r="B457" s="113"/>
      <c r="C457" s="113"/>
      <c r="D457" s="113"/>
      <c r="E457" s="113"/>
      <c r="F457" s="113"/>
      <c r="G457" s="113"/>
      <c r="H457" s="113"/>
      <c r="I457" s="113"/>
      <c r="J457" s="113"/>
      <c r="K457" s="113"/>
      <c r="L457" s="113"/>
      <c r="M457" s="114"/>
    </row>
    <row r="458" spans="1:13" ht="16.5" customHeight="1">
      <c r="A458" s="115" t="s">
        <v>41</v>
      </c>
      <c r="B458" s="116"/>
      <c r="C458" s="116"/>
      <c r="D458" s="116"/>
      <c r="E458" s="116"/>
      <c r="F458" s="116"/>
      <c r="G458" s="116"/>
      <c r="H458" s="116"/>
      <c r="I458" s="116"/>
      <c r="J458" s="116"/>
      <c r="K458" s="116"/>
      <c r="L458" s="116"/>
      <c r="M458" s="117"/>
    </row>
    <row r="459" spans="1:13" ht="16.5" customHeight="1">
      <c r="A459" s="90" t="s">
        <v>28</v>
      </c>
      <c r="B459" s="91"/>
      <c r="C459" s="91"/>
      <c r="D459" s="91"/>
      <c r="E459" s="91"/>
      <c r="F459" s="91"/>
      <c r="G459" s="91"/>
      <c r="H459" s="91"/>
      <c r="I459" s="91"/>
      <c r="J459" s="91"/>
      <c r="K459" s="91"/>
      <c r="L459" s="91"/>
      <c r="M459" s="92"/>
    </row>
    <row r="460" spans="1:13" s="1" customFormat="1" ht="16.5" customHeight="1">
      <c r="A460" s="93" t="s">
        <v>56</v>
      </c>
      <c r="B460" s="94"/>
      <c r="C460" s="94"/>
      <c r="D460" s="94"/>
      <c r="E460" s="94"/>
      <c r="F460" s="94"/>
      <c r="G460" s="94"/>
      <c r="H460" s="94"/>
      <c r="I460" s="94"/>
      <c r="J460" s="94"/>
      <c r="K460" s="94"/>
      <c r="L460" s="94"/>
      <c r="M460" s="95"/>
    </row>
    <row r="461" spans="1:13" s="1" customFormat="1" ht="16.5" customHeight="1">
      <c r="A461" s="93" t="s">
        <v>57</v>
      </c>
      <c r="B461" s="94"/>
      <c r="C461" s="94"/>
      <c r="D461" s="94"/>
      <c r="E461" s="94"/>
      <c r="F461" s="94"/>
      <c r="G461" s="94"/>
      <c r="H461" s="94"/>
      <c r="I461" s="94"/>
      <c r="J461" s="94"/>
      <c r="K461" s="94"/>
      <c r="L461" s="94"/>
      <c r="M461" s="95"/>
    </row>
    <row r="462" spans="1:13" s="1" customFormat="1" ht="16.5" customHeight="1">
      <c r="A462" s="93" t="s">
        <v>58</v>
      </c>
      <c r="B462" s="94"/>
      <c r="C462" s="94"/>
      <c r="D462" s="94"/>
      <c r="E462" s="94"/>
      <c r="F462" s="94"/>
      <c r="G462" s="94"/>
      <c r="H462" s="94"/>
      <c r="I462" s="94"/>
      <c r="J462" s="94"/>
      <c r="K462" s="94"/>
      <c r="L462" s="94"/>
      <c r="M462" s="95"/>
    </row>
    <row r="463" spans="1:13" s="1" customFormat="1" ht="16.5" customHeight="1">
      <c r="A463" s="93" t="s">
        <v>59</v>
      </c>
      <c r="B463" s="94"/>
      <c r="C463" s="94"/>
      <c r="D463" s="94"/>
      <c r="E463" s="94"/>
      <c r="F463" s="94"/>
      <c r="G463" s="94"/>
      <c r="H463" s="94"/>
      <c r="I463" s="94"/>
      <c r="J463" s="94"/>
      <c r="K463" s="94"/>
      <c r="L463" s="94"/>
      <c r="M463" s="95"/>
    </row>
    <row r="464" spans="1:13" ht="16.5" customHeight="1">
      <c r="A464" s="106" t="s">
        <v>29</v>
      </c>
      <c r="B464" s="107"/>
      <c r="C464" s="107"/>
      <c r="D464" s="107"/>
      <c r="E464" s="107"/>
      <c r="F464" s="107"/>
      <c r="G464" s="107"/>
      <c r="H464" s="107"/>
      <c r="I464" s="107"/>
      <c r="J464" s="107"/>
      <c r="K464" s="107"/>
      <c r="L464" s="107"/>
      <c r="M464" s="108"/>
    </row>
    <row r="465" spans="1:13" ht="5.25" customHeight="1" thickBot="1">
      <c r="A465" s="109"/>
      <c r="B465" s="110"/>
      <c r="C465" s="110"/>
      <c r="D465" s="110"/>
      <c r="E465" s="110"/>
      <c r="F465" s="110"/>
      <c r="G465" s="110"/>
      <c r="H465" s="110"/>
      <c r="I465" s="110"/>
      <c r="J465" s="110"/>
      <c r="K465" s="110"/>
      <c r="L465" s="110"/>
      <c r="M465" s="111"/>
    </row>
    <row r="466" spans="1:13" ht="18.75" customHeight="1" thickBot="1">
      <c r="A466" s="72" t="s">
        <v>30</v>
      </c>
      <c r="B466" s="73"/>
      <c r="C466" s="73"/>
      <c r="D466" s="73"/>
      <c r="E466" s="73"/>
      <c r="F466" s="73"/>
      <c r="G466" s="73"/>
      <c r="H466" s="73"/>
      <c r="I466" s="73"/>
      <c r="J466" s="73"/>
      <c r="K466" s="73"/>
      <c r="L466" s="73"/>
      <c r="M466" s="74"/>
    </row>
    <row r="467" spans="1:13" ht="24" customHeight="1" thickBot="1">
      <c r="A467" s="72" t="s">
        <v>31</v>
      </c>
      <c r="B467" s="73"/>
      <c r="C467" s="73"/>
      <c r="D467" s="73"/>
      <c r="E467" s="73"/>
      <c r="F467" s="73"/>
      <c r="G467" s="73"/>
      <c r="H467" s="73"/>
      <c r="I467" s="73"/>
      <c r="J467" s="73"/>
      <c r="K467" s="73"/>
      <c r="L467" s="73"/>
      <c r="M467" s="74"/>
    </row>
    <row r="468" spans="1:13" ht="24" customHeight="1" thickBot="1">
      <c r="A468" s="72" t="s">
        <v>132</v>
      </c>
      <c r="B468" s="73"/>
      <c r="C468" s="73"/>
      <c r="D468" s="73"/>
      <c r="E468" s="73"/>
      <c r="F468" s="73"/>
      <c r="G468" s="73"/>
      <c r="H468" s="73"/>
      <c r="I468" s="73"/>
      <c r="J468" s="73"/>
      <c r="K468" s="73"/>
      <c r="L468" s="73"/>
      <c r="M468" s="74"/>
    </row>
    <row r="469" spans="1:13" ht="24" customHeight="1" thickBot="1">
      <c r="A469" s="60" t="s">
        <v>46</v>
      </c>
      <c r="B469" s="61"/>
      <c r="C469" s="61"/>
      <c r="D469" s="61"/>
      <c r="E469" s="61"/>
      <c r="F469" s="61"/>
      <c r="G469" s="61"/>
      <c r="H469" s="61"/>
      <c r="I469" s="61"/>
      <c r="J469" s="61"/>
      <c r="K469" s="61"/>
      <c r="L469" s="61"/>
      <c r="M469" s="62"/>
    </row>
    <row r="470" spans="1:13" ht="11.1" customHeight="1">
      <c r="A470" s="103" t="s">
        <v>47</v>
      </c>
      <c r="B470" s="103"/>
      <c r="C470" s="103"/>
      <c r="D470" s="103"/>
      <c r="E470" s="103"/>
      <c r="F470" s="103"/>
      <c r="G470" s="103"/>
      <c r="H470" s="103"/>
      <c r="I470" s="103"/>
      <c r="J470" s="103"/>
      <c r="K470" s="103"/>
      <c r="L470" s="103"/>
      <c r="M470" s="103"/>
    </row>
    <row r="471" spans="1:13" ht="11.1" customHeight="1">
      <c r="A471" s="104" t="s">
        <v>48</v>
      </c>
      <c r="B471" s="104"/>
      <c r="C471" s="104"/>
      <c r="D471" s="104"/>
      <c r="E471" s="104"/>
      <c r="F471" s="104"/>
      <c r="G471" s="104"/>
      <c r="H471" s="104"/>
      <c r="I471" s="104"/>
      <c r="J471" s="104"/>
      <c r="K471" s="104"/>
      <c r="L471" s="104"/>
      <c r="M471" s="104"/>
    </row>
    <row r="472" spans="1:13" ht="11.1" customHeight="1">
      <c r="A472" s="105" t="s">
        <v>49</v>
      </c>
      <c r="B472" s="105"/>
      <c r="C472" s="105"/>
      <c r="D472" s="105"/>
      <c r="E472" s="105"/>
      <c r="F472" s="105"/>
      <c r="G472" s="105"/>
      <c r="H472" s="105"/>
      <c r="I472" s="105"/>
      <c r="J472" s="105"/>
      <c r="K472" s="105"/>
      <c r="L472" s="105"/>
      <c r="M472" s="105"/>
    </row>
    <row r="473" spans="1:13" ht="11.1" customHeight="1">
      <c r="A473" s="105" t="s">
        <v>50</v>
      </c>
      <c r="B473" s="105"/>
      <c r="C473" s="105"/>
      <c r="D473" s="105"/>
      <c r="E473" s="105"/>
      <c r="F473" s="105"/>
      <c r="G473" s="105"/>
      <c r="H473" s="105"/>
      <c r="I473" s="105"/>
      <c r="J473" s="105"/>
      <c r="K473" s="105"/>
      <c r="L473" s="105"/>
      <c r="M473" s="105"/>
    </row>
    <row r="474" spans="1:13" ht="11.1" customHeight="1">
      <c r="A474" s="104" t="s">
        <v>51</v>
      </c>
      <c r="B474" s="104"/>
      <c r="C474" s="104"/>
      <c r="D474" s="104"/>
      <c r="E474" s="104"/>
      <c r="F474" s="104"/>
      <c r="G474" s="104"/>
      <c r="H474" s="104"/>
      <c r="I474" s="104"/>
      <c r="J474" s="104"/>
      <c r="K474" s="104"/>
      <c r="L474" s="104"/>
      <c r="M474" s="104"/>
    </row>
    <row r="475" spans="1:13" ht="11.1" customHeight="1">
      <c r="A475" s="104" t="s">
        <v>52</v>
      </c>
      <c r="B475" s="104"/>
      <c r="C475" s="104"/>
      <c r="D475" s="104"/>
      <c r="E475" s="104"/>
      <c r="F475" s="104"/>
      <c r="G475" s="104"/>
      <c r="H475" s="104"/>
      <c r="I475" s="104"/>
      <c r="J475" s="104"/>
      <c r="K475" s="104"/>
      <c r="L475" s="104"/>
      <c r="M475" s="104"/>
    </row>
    <row r="476" spans="1:13" ht="11.1" customHeight="1">
      <c r="A476" s="104" t="s">
        <v>53</v>
      </c>
      <c r="B476" s="104"/>
      <c r="C476" s="104"/>
      <c r="D476" s="104"/>
      <c r="E476" s="104"/>
      <c r="F476" s="104"/>
      <c r="G476" s="104"/>
      <c r="H476" s="104"/>
      <c r="I476" s="104"/>
      <c r="J476" s="104"/>
      <c r="K476" s="104"/>
      <c r="L476" s="104"/>
      <c r="M476" s="104"/>
    </row>
    <row r="477" spans="1:13" ht="11.1" customHeight="1">
      <c r="A477" s="101" t="s">
        <v>54</v>
      </c>
      <c r="B477" s="101"/>
      <c r="C477" s="101"/>
      <c r="D477" s="101"/>
      <c r="E477" s="101"/>
      <c r="F477" s="101"/>
      <c r="G477" s="101"/>
      <c r="H477" s="101"/>
      <c r="I477" s="101"/>
      <c r="J477" s="101"/>
      <c r="K477" s="101"/>
      <c r="L477" s="101"/>
      <c r="M477" s="101"/>
    </row>
    <row r="478" spans="1:13" ht="11.1" customHeight="1">
      <c r="A478" s="101" t="s">
        <v>55</v>
      </c>
      <c r="B478" s="101"/>
      <c r="C478" s="101"/>
      <c r="D478" s="101"/>
      <c r="E478" s="101"/>
      <c r="F478" s="101"/>
      <c r="G478" s="101"/>
      <c r="H478" s="101"/>
      <c r="I478" s="101"/>
      <c r="J478" s="101"/>
      <c r="K478" s="101"/>
      <c r="L478" s="101"/>
      <c r="M478" s="101"/>
    </row>
    <row r="479" spans="1:13" ht="19.5" customHeight="1">
      <c r="A479" s="69" t="s">
        <v>0</v>
      </c>
      <c r="B479" s="69"/>
      <c r="C479" s="69"/>
      <c r="D479" s="69"/>
      <c r="E479" s="69"/>
      <c r="F479" s="69"/>
      <c r="G479" s="69"/>
      <c r="H479" s="69"/>
      <c r="I479" s="69"/>
      <c r="J479" s="69"/>
      <c r="K479" s="69"/>
      <c r="L479" s="69"/>
      <c r="M479" s="69"/>
    </row>
    <row r="480" spans="1:13" ht="20.100000000000001" customHeight="1">
      <c r="A480" s="4" t="s">
        <v>32</v>
      </c>
      <c r="B480" s="5">
        <f>+B436+1</f>
        <v>47</v>
      </c>
      <c r="C480" s="30"/>
      <c r="D480" s="30"/>
      <c r="E480" s="30"/>
      <c r="F480" s="30"/>
      <c r="G480" s="30"/>
      <c r="H480" s="30"/>
      <c r="I480" s="30"/>
      <c r="J480" s="30"/>
      <c r="K480" s="30"/>
      <c r="L480" s="30"/>
      <c r="M480" s="30"/>
    </row>
    <row r="481" spans="1:15" ht="24" customHeight="1" thickBot="1">
      <c r="A481" s="4" t="s">
        <v>33</v>
      </c>
      <c r="H481" s="70" t="s">
        <v>34</v>
      </c>
      <c r="I481" s="70"/>
      <c r="J481" s="70"/>
      <c r="K481" s="102">
        <f>+K437+1</f>
        <v>45973</v>
      </c>
      <c r="L481" s="102"/>
      <c r="M481" s="102"/>
      <c r="O481" s="7"/>
    </row>
    <row r="482" spans="1:15" ht="33.75" customHeight="1" thickBot="1">
      <c r="A482" s="80" t="s">
        <v>1</v>
      </c>
      <c r="B482" s="81"/>
      <c r="C482" s="82"/>
      <c r="D482" s="86" t="str">
        <f>+D438</f>
        <v>光明國中B與C區5樓老舊廁所整修工程</v>
      </c>
      <c r="E482" s="87"/>
      <c r="F482" s="87"/>
      <c r="G482" s="88"/>
      <c r="H482" s="80" t="s">
        <v>2</v>
      </c>
      <c r="I482" s="81"/>
      <c r="J482" s="82"/>
      <c r="K482" s="80" t="s">
        <v>35</v>
      </c>
      <c r="L482" s="81"/>
      <c r="M482" s="82"/>
    </row>
    <row r="483" spans="1:15" ht="33.75" customHeight="1" thickBot="1">
      <c r="A483" s="8" t="s">
        <v>3</v>
      </c>
      <c r="B483" s="29">
        <f>+B439</f>
        <v>142</v>
      </c>
      <c r="C483" s="10" t="s">
        <v>36</v>
      </c>
      <c r="D483" s="80" t="s">
        <v>4</v>
      </c>
      <c r="E483" s="89"/>
      <c r="F483" s="31">
        <f>+F439+1</f>
        <v>47</v>
      </c>
      <c r="G483" s="12" t="s">
        <v>36</v>
      </c>
      <c r="H483" s="13" t="s">
        <v>5</v>
      </c>
      <c r="I483" s="29">
        <f>+B483-F483</f>
        <v>95</v>
      </c>
      <c r="J483" s="10" t="s">
        <v>36</v>
      </c>
      <c r="K483" s="80" t="s">
        <v>6</v>
      </c>
      <c r="L483" s="82"/>
      <c r="M483" s="13">
        <f>+M439</f>
        <v>12</v>
      </c>
    </row>
    <row r="484" spans="1:15" ht="24" customHeight="1" thickBot="1">
      <c r="A484" s="80" t="s">
        <v>7</v>
      </c>
      <c r="B484" s="81"/>
      <c r="C484" s="82"/>
      <c r="D484" s="80" t="str">
        <f>+D440</f>
        <v>114.9.27</v>
      </c>
      <c r="E484" s="81"/>
      <c r="F484" s="81"/>
      <c r="G484" s="82"/>
      <c r="H484" s="80" t="s">
        <v>8</v>
      </c>
      <c r="I484" s="81"/>
      <c r="J484" s="82"/>
      <c r="K484" s="80" t="str">
        <f>+K440</f>
        <v>115.2.15</v>
      </c>
      <c r="L484" s="81"/>
      <c r="M484" s="82"/>
    </row>
    <row r="485" spans="1:15" ht="24" customHeight="1" thickBot="1">
      <c r="A485" s="80" t="s">
        <v>37</v>
      </c>
      <c r="B485" s="81"/>
      <c r="C485" s="82"/>
      <c r="D485" s="83">
        <v>0.186</v>
      </c>
      <c r="E485" s="84"/>
      <c r="F485" s="84"/>
      <c r="G485" s="85"/>
      <c r="H485" s="80" t="s">
        <v>38</v>
      </c>
      <c r="I485" s="81"/>
      <c r="J485" s="82"/>
      <c r="K485" s="83">
        <f>+K441</f>
        <v>0.23800000000000004</v>
      </c>
      <c r="L485" s="84"/>
      <c r="M485" s="85"/>
    </row>
    <row r="486" spans="1:15" ht="24" customHeight="1" thickBot="1">
      <c r="A486" s="72" t="s">
        <v>9</v>
      </c>
      <c r="B486" s="73"/>
      <c r="C486" s="73"/>
      <c r="D486" s="73"/>
      <c r="E486" s="73"/>
      <c r="F486" s="73"/>
      <c r="G486" s="73"/>
      <c r="H486" s="73"/>
      <c r="I486" s="73"/>
      <c r="J486" s="73"/>
      <c r="K486" s="73"/>
      <c r="L486" s="73"/>
      <c r="M486" s="74"/>
    </row>
    <row r="487" spans="1:15" ht="35.25" customHeight="1" thickBot="1">
      <c r="A487" s="75" t="s">
        <v>10</v>
      </c>
      <c r="B487" s="76"/>
      <c r="C487" s="76"/>
      <c r="D487" s="77"/>
      <c r="E487" s="14" t="s">
        <v>11</v>
      </c>
      <c r="F487" s="75" t="s">
        <v>12</v>
      </c>
      <c r="G487" s="77"/>
      <c r="H487" s="75" t="s">
        <v>13</v>
      </c>
      <c r="I487" s="77"/>
      <c r="J487" s="78" t="s">
        <v>14</v>
      </c>
      <c r="K487" s="79"/>
      <c r="L487" s="75" t="s">
        <v>15</v>
      </c>
      <c r="M487" s="77"/>
    </row>
    <row r="488" spans="1:15" ht="27.95" customHeight="1" thickBot="1">
      <c r="A488" s="141"/>
      <c r="B488" s="142"/>
      <c r="C488" s="142"/>
      <c r="D488" s="143"/>
      <c r="E488" s="2"/>
      <c r="F488" s="56"/>
      <c r="G488" s="57"/>
      <c r="H488" s="56"/>
      <c r="I488" s="57"/>
      <c r="J488" s="56"/>
      <c r="K488" s="57"/>
      <c r="L488" s="58"/>
      <c r="M488" s="59"/>
    </row>
    <row r="489" spans="1:15" ht="27.95" customHeight="1" thickBot="1">
      <c r="A489" s="141"/>
      <c r="B489" s="142"/>
      <c r="C489" s="142"/>
      <c r="D489" s="143"/>
      <c r="E489" s="15"/>
      <c r="F489" s="56"/>
      <c r="G489" s="57"/>
      <c r="H489" s="56"/>
      <c r="I489" s="57"/>
      <c r="J489" s="56"/>
      <c r="K489" s="57"/>
      <c r="L489" s="58"/>
      <c r="M489" s="59"/>
    </row>
    <row r="490" spans="1:15" ht="24.95" customHeight="1" thickTop="1" thickBot="1">
      <c r="A490" s="130" t="s">
        <v>16</v>
      </c>
      <c r="B490" s="67"/>
      <c r="C490" s="67"/>
      <c r="D490" s="68"/>
      <c r="E490" s="32"/>
      <c r="F490" s="131"/>
      <c r="G490" s="132"/>
      <c r="H490" s="131"/>
      <c r="I490" s="132"/>
      <c r="J490" s="131"/>
      <c r="K490" s="132"/>
      <c r="L490" s="131"/>
      <c r="M490" s="133"/>
    </row>
    <row r="491" spans="1:15" ht="24.95" customHeight="1" thickBot="1">
      <c r="A491" s="134" t="s">
        <v>17</v>
      </c>
      <c r="B491" s="135"/>
      <c r="C491" s="135"/>
      <c r="D491" s="59"/>
      <c r="E491" s="32"/>
      <c r="F491" s="58"/>
      <c r="G491" s="59"/>
      <c r="H491" s="58"/>
      <c r="I491" s="59"/>
      <c r="J491" s="58"/>
      <c r="K491" s="59"/>
      <c r="L491" s="58"/>
      <c r="M491" s="136"/>
    </row>
    <row r="492" spans="1:15" ht="24.95" customHeight="1" thickBot="1">
      <c r="A492" s="118" t="s">
        <v>18</v>
      </c>
      <c r="B492" s="119"/>
      <c r="C492" s="119"/>
      <c r="D492" s="120"/>
      <c r="E492" s="24"/>
      <c r="F492" s="121"/>
      <c r="G492" s="120"/>
      <c r="H492" s="121"/>
      <c r="I492" s="120"/>
      <c r="J492" s="121"/>
      <c r="K492" s="120"/>
      <c r="L492" s="121"/>
      <c r="M492" s="122"/>
    </row>
    <row r="493" spans="1:15" ht="24" customHeight="1" thickTop="1" thickBot="1">
      <c r="A493" s="66" t="s">
        <v>19</v>
      </c>
      <c r="B493" s="67"/>
      <c r="C493" s="67"/>
      <c r="D493" s="67"/>
      <c r="E493" s="67"/>
      <c r="F493" s="67"/>
      <c r="G493" s="67"/>
      <c r="H493" s="67"/>
      <c r="I493" s="67"/>
      <c r="J493" s="67"/>
      <c r="K493" s="67"/>
      <c r="L493" s="67"/>
      <c r="M493" s="68"/>
    </row>
    <row r="494" spans="1:15" ht="35.25" customHeight="1" thickBot="1">
      <c r="A494" s="75" t="s">
        <v>20</v>
      </c>
      <c r="B494" s="76"/>
      <c r="C494" s="76"/>
      <c r="D494" s="77"/>
      <c r="E494" s="14" t="s">
        <v>11</v>
      </c>
      <c r="F494" s="75" t="s">
        <v>39</v>
      </c>
      <c r="G494" s="77"/>
      <c r="H494" s="75" t="s">
        <v>21</v>
      </c>
      <c r="I494" s="77"/>
      <c r="J494" s="78" t="s">
        <v>22</v>
      </c>
      <c r="K494" s="79"/>
      <c r="L494" s="75" t="s">
        <v>15</v>
      </c>
      <c r="M494" s="77"/>
    </row>
    <row r="495" spans="1:15" ht="24" customHeight="1" thickBot="1">
      <c r="A495" s="96"/>
      <c r="B495" s="97"/>
      <c r="C495" s="97"/>
      <c r="D495" s="98"/>
      <c r="E495" s="32"/>
      <c r="F495" s="58"/>
      <c r="G495" s="59"/>
      <c r="H495" s="58"/>
      <c r="I495" s="59"/>
      <c r="J495" s="56"/>
      <c r="K495" s="57"/>
      <c r="L495" s="58"/>
      <c r="M495" s="59"/>
    </row>
    <row r="496" spans="1:15" ht="24" customHeight="1" thickBot="1">
      <c r="A496" s="96"/>
      <c r="B496" s="97"/>
      <c r="C496" s="97"/>
      <c r="D496" s="98"/>
      <c r="E496" s="32"/>
      <c r="F496" s="58"/>
      <c r="G496" s="59"/>
      <c r="H496" s="58"/>
      <c r="I496" s="59"/>
      <c r="J496" s="56"/>
      <c r="K496" s="57"/>
      <c r="L496" s="58"/>
      <c r="M496" s="59"/>
    </row>
    <row r="497" spans="1:13" ht="24" customHeight="1" thickBot="1">
      <c r="A497" s="60" t="s">
        <v>23</v>
      </c>
      <c r="B497" s="61"/>
      <c r="C497" s="61"/>
      <c r="D497" s="61"/>
      <c r="E497" s="61"/>
      <c r="F497" s="61"/>
      <c r="G497" s="61"/>
      <c r="H497" s="61"/>
      <c r="I497" s="61"/>
      <c r="J497" s="61"/>
      <c r="K497" s="61"/>
      <c r="L497" s="61"/>
      <c r="M497" s="62"/>
    </row>
    <row r="498" spans="1:13" ht="35.25" customHeight="1" thickBot="1">
      <c r="A498" s="75" t="s">
        <v>24</v>
      </c>
      <c r="B498" s="77"/>
      <c r="C498" s="75" t="s">
        <v>25</v>
      </c>
      <c r="D498" s="77"/>
      <c r="E498" s="75" t="s">
        <v>26</v>
      </c>
      <c r="F498" s="76"/>
      <c r="G498" s="77"/>
      <c r="H498" s="75" t="s">
        <v>27</v>
      </c>
      <c r="I498" s="77"/>
      <c r="J498" s="78" t="s">
        <v>21</v>
      </c>
      <c r="K498" s="79"/>
      <c r="L498" s="75" t="s">
        <v>22</v>
      </c>
      <c r="M498" s="77"/>
    </row>
    <row r="499" spans="1:13" s="18" customFormat="1" ht="24.75" customHeight="1" thickBot="1">
      <c r="A499" s="99"/>
      <c r="B499" s="98"/>
      <c r="C499" s="56"/>
      <c r="D499" s="57"/>
      <c r="E499" s="56"/>
      <c r="F499" s="100"/>
      <c r="G499" s="57"/>
      <c r="H499" s="56"/>
      <c r="I499" s="57"/>
      <c r="J499" s="56"/>
      <c r="K499" s="57"/>
      <c r="L499" s="56"/>
      <c r="M499" s="57"/>
    </row>
    <row r="500" spans="1:13" s="18" customFormat="1" ht="24.75" customHeight="1" thickBot="1">
      <c r="A500" s="99"/>
      <c r="B500" s="98"/>
      <c r="C500" s="56"/>
      <c r="D500" s="57"/>
      <c r="E500" s="56"/>
      <c r="F500" s="100"/>
      <c r="G500" s="57"/>
      <c r="H500" s="56"/>
      <c r="I500" s="57"/>
      <c r="J500" s="56"/>
      <c r="K500" s="57"/>
      <c r="L500" s="56"/>
      <c r="M500" s="57"/>
    </row>
    <row r="501" spans="1:13" ht="33" customHeight="1" thickBot="1">
      <c r="A501" s="112" t="s">
        <v>60</v>
      </c>
      <c r="B501" s="113"/>
      <c r="C501" s="113"/>
      <c r="D501" s="113"/>
      <c r="E501" s="113"/>
      <c r="F501" s="113"/>
      <c r="G501" s="113"/>
      <c r="H501" s="113"/>
      <c r="I501" s="113"/>
      <c r="J501" s="113"/>
      <c r="K501" s="113"/>
      <c r="L501" s="113"/>
      <c r="M501" s="114"/>
    </row>
    <row r="502" spans="1:13" ht="16.5" customHeight="1">
      <c r="A502" s="115" t="s">
        <v>41</v>
      </c>
      <c r="B502" s="116"/>
      <c r="C502" s="116"/>
      <c r="D502" s="116"/>
      <c r="E502" s="116"/>
      <c r="F502" s="116"/>
      <c r="G502" s="116"/>
      <c r="H502" s="116"/>
      <c r="I502" s="116"/>
      <c r="J502" s="116"/>
      <c r="K502" s="116"/>
      <c r="L502" s="116"/>
      <c r="M502" s="117"/>
    </row>
    <row r="503" spans="1:13" ht="16.5" customHeight="1">
      <c r="A503" s="90" t="s">
        <v>28</v>
      </c>
      <c r="B503" s="91"/>
      <c r="C503" s="91"/>
      <c r="D503" s="91"/>
      <c r="E503" s="91"/>
      <c r="F503" s="91"/>
      <c r="G503" s="91"/>
      <c r="H503" s="91"/>
      <c r="I503" s="91"/>
      <c r="J503" s="91"/>
      <c r="K503" s="91"/>
      <c r="L503" s="91"/>
      <c r="M503" s="92"/>
    </row>
    <row r="504" spans="1:13" ht="16.5" customHeight="1">
      <c r="A504" s="106" t="s">
        <v>42</v>
      </c>
      <c r="B504" s="107"/>
      <c r="C504" s="107"/>
      <c r="D504" s="107"/>
      <c r="E504" s="107"/>
      <c r="F504" s="107"/>
      <c r="G504" s="107"/>
      <c r="H504" s="107"/>
      <c r="I504" s="107"/>
      <c r="J504" s="107"/>
      <c r="K504" s="107"/>
      <c r="L504" s="107"/>
      <c r="M504" s="108"/>
    </row>
    <row r="505" spans="1:13" ht="16.5" customHeight="1">
      <c r="A505" s="106" t="s">
        <v>43</v>
      </c>
      <c r="B505" s="107"/>
      <c r="C505" s="107"/>
      <c r="D505" s="107"/>
      <c r="E505" s="107"/>
      <c r="F505" s="107"/>
      <c r="G505" s="107"/>
      <c r="H505" s="107"/>
      <c r="I505" s="107"/>
      <c r="J505" s="107"/>
      <c r="K505" s="107"/>
      <c r="L505" s="107"/>
      <c r="M505" s="108"/>
    </row>
    <row r="506" spans="1:13" ht="16.5" customHeight="1">
      <c r="A506" s="106" t="s">
        <v>44</v>
      </c>
      <c r="B506" s="107"/>
      <c r="C506" s="107"/>
      <c r="D506" s="107"/>
      <c r="E506" s="107"/>
      <c r="F506" s="107"/>
      <c r="G506" s="107"/>
      <c r="H506" s="107"/>
      <c r="I506" s="107"/>
      <c r="J506" s="107"/>
      <c r="K506" s="107"/>
      <c r="L506" s="107"/>
      <c r="M506" s="108"/>
    </row>
    <row r="507" spans="1:13" ht="16.5" customHeight="1">
      <c r="A507" s="106" t="s">
        <v>45</v>
      </c>
      <c r="B507" s="107"/>
      <c r="C507" s="107"/>
      <c r="D507" s="107"/>
      <c r="E507" s="107"/>
      <c r="F507" s="107"/>
      <c r="G507" s="107"/>
      <c r="H507" s="107"/>
      <c r="I507" s="107"/>
      <c r="J507" s="107"/>
      <c r="K507" s="107"/>
      <c r="L507" s="107"/>
      <c r="M507" s="108"/>
    </row>
    <row r="508" spans="1:13" ht="16.5" customHeight="1">
      <c r="A508" s="106" t="s">
        <v>29</v>
      </c>
      <c r="B508" s="107"/>
      <c r="C508" s="107"/>
      <c r="D508" s="107"/>
      <c r="E508" s="107"/>
      <c r="F508" s="107"/>
      <c r="G508" s="107"/>
      <c r="H508" s="107"/>
      <c r="I508" s="107"/>
      <c r="J508" s="107"/>
      <c r="K508" s="107"/>
      <c r="L508" s="107"/>
      <c r="M508" s="108"/>
    </row>
    <row r="509" spans="1:13" ht="9.75" customHeight="1" thickBot="1">
      <c r="A509" s="109"/>
      <c r="B509" s="110"/>
      <c r="C509" s="110"/>
      <c r="D509" s="110"/>
      <c r="E509" s="110"/>
      <c r="F509" s="110"/>
      <c r="G509" s="110"/>
      <c r="H509" s="110"/>
      <c r="I509" s="110"/>
      <c r="J509" s="110"/>
      <c r="K509" s="110"/>
      <c r="L509" s="110"/>
      <c r="M509" s="111"/>
    </row>
    <row r="510" spans="1:13" ht="18.75" customHeight="1" thickBot="1">
      <c r="A510" s="72" t="s">
        <v>30</v>
      </c>
      <c r="B510" s="73"/>
      <c r="C510" s="73"/>
      <c r="D510" s="73"/>
      <c r="E510" s="73"/>
      <c r="F510" s="73"/>
      <c r="G510" s="73"/>
      <c r="H510" s="73"/>
      <c r="I510" s="73"/>
      <c r="J510" s="73"/>
      <c r="K510" s="73"/>
      <c r="L510" s="73"/>
      <c r="M510" s="74"/>
    </row>
    <row r="511" spans="1:13" ht="24" customHeight="1" thickBot="1">
      <c r="A511" s="72" t="s">
        <v>31</v>
      </c>
      <c r="B511" s="73"/>
      <c r="C511" s="73"/>
      <c r="D511" s="73"/>
      <c r="E511" s="73"/>
      <c r="F511" s="73"/>
      <c r="G511" s="73"/>
      <c r="H511" s="73"/>
      <c r="I511" s="73"/>
      <c r="J511" s="73"/>
      <c r="K511" s="73"/>
      <c r="L511" s="73"/>
      <c r="M511" s="74"/>
    </row>
    <row r="512" spans="1:13" ht="24" customHeight="1" thickBot="1">
      <c r="A512" s="72" t="s">
        <v>143</v>
      </c>
      <c r="B512" s="73"/>
      <c r="C512" s="73"/>
      <c r="D512" s="73"/>
      <c r="E512" s="73"/>
      <c r="F512" s="73"/>
      <c r="G512" s="73"/>
      <c r="H512" s="73"/>
      <c r="I512" s="73"/>
      <c r="J512" s="73"/>
      <c r="K512" s="73"/>
      <c r="L512" s="73"/>
      <c r="M512" s="74"/>
    </row>
    <row r="513" spans="1:15" ht="24" customHeight="1" thickBot="1">
      <c r="A513" s="60" t="s">
        <v>46</v>
      </c>
      <c r="B513" s="61"/>
      <c r="C513" s="61"/>
      <c r="D513" s="61"/>
      <c r="E513" s="61"/>
      <c r="F513" s="61"/>
      <c r="G513" s="61"/>
      <c r="H513" s="61"/>
      <c r="I513" s="61"/>
      <c r="J513" s="61"/>
      <c r="K513" s="61"/>
      <c r="L513" s="61"/>
      <c r="M513" s="62"/>
    </row>
    <row r="514" spans="1:15" ht="11.1" customHeight="1">
      <c r="A514" s="103" t="s">
        <v>47</v>
      </c>
      <c r="B514" s="103"/>
      <c r="C514" s="103"/>
      <c r="D514" s="103"/>
      <c r="E514" s="103"/>
      <c r="F514" s="103"/>
      <c r="G514" s="103"/>
      <c r="H514" s="103"/>
      <c r="I514" s="103"/>
      <c r="J514" s="103"/>
      <c r="K514" s="103"/>
      <c r="L514" s="103"/>
      <c r="M514" s="103"/>
    </row>
    <row r="515" spans="1:15" ht="11.1" customHeight="1">
      <c r="A515" s="104" t="s">
        <v>48</v>
      </c>
      <c r="B515" s="104"/>
      <c r="C515" s="104"/>
      <c r="D515" s="104"/>
      <c r="E515" s="104"/>
      <c r="F515" s="104"/>
      <c r="G515" s="104"/>
      <c r="H515" s="104"/>
      <c r="I515" s="104"/>
      <c r="J515" s="104"/>
      <c r="K515" s="104"/>
      <c r="L515" s="104"/>
      <c r="M515" s="104"/>
    </row>
    <row r="516" spans="1:15" ht="11.1" customHeight="1">
      <c r="A516" s="105" t="s">
        <v>49</v>
      </c>
      <c r="B516" s="105"/>
      <c r="C516" s="105"/>
      <c r="D516" s="105"/>
      <c r="E516" s="105"/>
      <c r="F516" s="105"/>
      <c r="G516" s="105"/>
      <c r="H516" s="105"/>
      <c r="I516" s="105"/>
      <c r="J516" s="105"/>
      <c r="K516" s="105"/>
      <c r="L516" s="105"/>
      <c r="M516" s="105"/>
    </row>
    <row r="517" spans="1:15" ht="11.1" customHeight="1">
      <c r="A517" s="105" t="s">
        <v>50</v>
      </c>
      <c r="B517" s="105"/>
      <c r="C517" s="105"/>
      <c r="D517" s="105"/>
      <c r="E517" s="105"/>
      <c r="F517" s="105"/>
      <c r="G517" s="105"/>
      <c r="H517" s="105"/>
      <c r="I517" s="105"/>
      <c r="J517" s="105"/>
      <c r="K517" s="105"/>
      <c r="L517" s="105"/>
      <c r="M517" s="105"/>
    </row>
    <row r="518" spans="1:15" ht="11.1" customHeight="1">
      <c r="A518" s="104" t="s">
        <v>51</v>
      </c>
      <c r="B518" s="104"/>
      <c r="C518" s="104"/>
      <c r="D518" s="104"/>
      <c r="E518" s="104"/>
      <c r="F518" s="104"/>
      <c r="G518" s="104"/>
      <c r="H518" s="104"/>
      <c r="I518" s="104"/>
      <c r="J518" s="104"/>
      <c r="K518" s="104"/>
      <c r="L518" s="104"/>
      <c r="M518" s="104"/>
    </row>
    <row r="519" spans="1:15" ht="11.1" customHeight="1">
      <c r="A519" s="104" t="s">
        <v>52</v>
      </c>
      <c r="B519" s="104"/>
      <c r="C519" s="104"/>
      <c r="D519" s="104"/>
      <c r="E519" s="104"/>
      <c r="F519" s="104"/>
      <c r="G519" s="104"/>
      <c r="H519" s="104"/>
      <c r="I519" s="104"/>
      <c r="J519" s="104"/>
      <c r="K519" s="104"/>
      <c r="L519" s="104"/>
      <c r="M519" s="104"/>
    </row>
    <row r="520" spans="1:15" ht="11.1" customHeight="1">
      <c r="A520" s="104" t="s">
        <v>53</v>
      </c>
      <c r="B520" s="104"/>
      <c r="C520" s="104"/>
      <c r="D520" s="104"/>
      <c r="E520" s="104"/>
      <c r="F520" s="104"/>
      <c r="G520" s="104"/>
      <c r="H520" s="104"/>
      <c r="I520" s="104"/>
      <c r="J520" s="104"/>
      <c r="K520" s="104"/>
      <c r="L520" s="104"/>
      <c r="M520" s="104"/>
    </row>
    <row r="521" spans="1:15" ht="11.1" customHeight="1">
      <c r="A521" s="101" t="s">
        <v>54</v>
      </c>
      <c r="B521" s="101"/>
      <c r="C521" s="101"/>
      <c r="D521" s="101"/>
      <c r="E521" s="101"/>
      <c r="F521" s="101"/>
      <c r="G521" s="101"/>
      <c r="H521" s="101"/>
      <c r="I521" s="101"/>
      <c r="J521" s="101"/>
      <c r="K521" s="101"/>
      <c r="L521" s="101"/>
      <c r="M521" s="101"/>
    </row>
    <row r="522" spans="1:15" ht="11.1" customHeight="1">
      <c r="A522" s="101" t="s">
        <v>55</v>
      </c>
      <c r="B522" s="101"/>
      <c r="C522" s="101"/>
      <c r="D522" s="101"/>
      <c r="E522" s="101"/>
      <c r="F522" s="101"/>
      <c r="G522" s="101"/>
      <c r="H522" s="101"/>
      <c r="I522" s="101"/>
      <c r="J522" s="101"/>
      <c r="K522" s="101"/>
      <c r="L522" s="101"/>
      <c r="M522" s="101"/>
    </row>
    <row r="523" spans="1:15" ht="19.5" customHeight="1">
      <c r="A523" s="69" t="s">
        <v>0</v>
      </c>
      <c r="B523" s="69"/>
      <c r="C523" s="69"/>
      <c r="D523" s="69"/>
      <c r="E523" s="69"/>
      <c r="F523" s="69"/>
      <c r="G523" s="69"/>
      <c r="H523" s="69"/>
      <c r="I523" s="69"/>
      <c r="J523" s="69"/>
      <c r="K523" s="69"/>
      <c r="L523" s="69"/>
      <c r="M523" s="69"/>
    </row>
    <row r="524" spans="1:15" ht="20.100000000000001" customHeight="1">
      <c r="A524" s="4" t="s">
        <v>32</v>
      </c>
      <c r="B524" s="5">
        <f>+B480+1</f>
        <v>48</v>
      </c>
      <c r="C524" s="30"/>
      <c r="D524" s="30"/>
      <c r="E524" s="30"/>
      <c r="F524" s="30"/>
      <c r="G524" s="30"/>
      <c r="H524" s="30"/>
      <c r="I524" s="30"/>
      <c r="J524" s="30"/>
      <c r="K524" s="30"/>
      <c r="L524" s="30"/>
      <c r="M524" s="30"/>
    </row>
    <row r="525" spans="1:15" ht="24" customHeight="1" thickBot="1">
      <c r="A525" s="4" t="s">
        <v>33</v>
      </c>
      <c r="H525" s="70" t="s">
        <v>34</v>
      </c>
      <c r="I525" s="70"/>
      <c r="J525" s="70"/>
      <c r="K525" s="102">
        <f>+K481+1</f>
        <v>45974</v>
      </c>
      <c r="L525" s="102"/>
      <c r="M525" s="102"/>
      <c r="O525" s="7"/>
    </row>
    <row r="526" spans="1:15" ht="33.75" customHeight="1" thickBot="1">
      <c r="A526" s="80" t="s">
        <v>1</v>
      </c>
      <c r="B526" s="81"/>
      <c r="C526" s="82"/>
      <c r="D526" s="86" t="str">
        <f>+D482</f>
        <v>光明國中B與C區5樓老舊廁所整修工程</v>
      </c>
      <c r="E526" s="87"/>
      <c r="F526" s="87"/>
      <c r="G526" s="88"/>
      <c r="H526" s="80" t="s">
        <v>2</v>
      </c>
      <c r="I526" s="81"/>
      <c r="J526" s="82"/>
      <c r="K526" s="80" t="s">
        <v>35</v>
      </c>
      <c r="L526" s="81"/>
      <c r="M526" s="82"/>
    </row>
    <row r="527" spans="1:15" ht="33.75" customHeight="1" thickBot="1">
      <c r="A527" s="8" t="s">
        <v>3</v>
      </c>
      <c r="B527" s="29">
        <f>+B483</f>
        <v>142</v>
      </c>
      <c r="C527" s="10" t="s">
        <v>36</v>
      </c>
      <c r="D527" s="80" t="s">
        <v>4</v>
      </c>
      <c r="E527" s="89"/>
      <c r="F527" s="31">
        <f>+F483+1</f>
        <v>48</v>
      </c>
      <c r="G527" s="12" t="s">
        <v>36</v>
      </c>
      <c r="H527" s="13" t="s">
        <v>5</v>
      </c>
      <c r="I527" s="29">
        <f>+B527-F527</f>
        <v>94</v>
      </c>
      <c r="J527" s="10" t="s">
        <v>36</v>
      </c>
      <c r="K527" s="80" t="s">
        <v>6</v>
      </c>
      <c r="L527" s="82"/>
      <c r="M527" s="13">
        <f>+M483</f>
        <v>12</v>
      </c>
    </row>
    <row r="528" spans="1:15" ht="24" customHeight="1" thickBot="1">
      <c r="A528" s="80" t="s">
        <v>7</v>
      </c>
      <c r="B528" s="81"/>
      <c r="C528" s="82"/>
      <c r="D528" s="80" t="str">
        <f>+D484</f>
        <v>114.9.27</v>
      </c>
      <c r="E528" s="81"/>
      <c r="F528" s="81"/>
      <c r="G528" s="82"/>
      <c r="H528" s="80" t="s">
        <v>8</v>
      </c>
      <c r="I528" s="81"/>
      <c r="J528" s="82"/>
      <c r="K528" s="80" t="str">
        <f>+K484</f>
        <v>115.2.15</v>
      </c>
      <c r="L528" s="81"/>
      <c r="M528" s="82"/>
    </row>
    <row r="529" spans="1:13" ht="24" customHeight="1" thickBot="1">
      <c r="A529" s="80" t="s">
        <v>37</v>
      </c>
      <c r="B529" s="81"/>
      <c r="C529" s="82"/>
      <c r="D529" s="83">
        <v>0.192</v>
      </c>
      <c r="E529" s="84"/>
      <c r="F529" s="84"/>
      <c r="G529" s="85"/>
      <c r="H529" s="80" t="s">
        <v>38</v>
      </c>
      <c r="I529" s="81"/>
      <c r="J529" s="82"/>
      <c r="K529" s="83">
        <f>+K485+1%+0.3%</f>
        <v>0.25100000000000006</v>
      </c>
      <c r="L529" s="84"/>
      <c r="M529" s="85"/>
    </row>
    <row r="530" spans="1:13" ht="24" customHeight="1" thickBot="1">
      <c r="A530" s="72" t="s">
        <v>9</v>
      </c>
      <c r="B530" s="73"/>
      <c r="C530" s="73"/>
      <c r="D530" s="73"/>
      <c r="E530" s="73"/>
      <c r="F530" s="73"/>
      <c r="G530" s="73"/>
      <c r="H530" s="73"/>
      <c r="I530" s="73"/>
      <c r="J530" s="73"/>
      <c r="K530" s="73"/>
      <c r="L530" s="73"/>
      <c r="M530" s="74"/>
    </row>
    <row r="531" spans="1:13" ht="35.25" customHeight="1" thickBot="1">
      <c r="A531" s="75" t="s">
        <v>10</v>
      </c>
      <c r="B531" s="76"/>
      <c r="C531" s="76"/>
      <c r="D531" s="77"/>
      <c r="E531" s="14" t="s">
        <v>11</v>
      </c>
      <c r="F531" s="75" t="s">
        <v>12</v>
      </c>
      <c r="G531" s="77"/>
      <c r="H531" s="75" t="s">
        <v>13</v>
      </c>
      <c r="I531" s="77"/>
      <c r="J531" s="78" t="s">
        <v>14</v>
      </c>
      <c r="K531" s="79"/>
      <c r="L531" s="75" t="s">
        <v>15</v>
      </c>
      <c r="M531" s="77"/>
    </row>
    <row r="532" spans="1:13" ht="27.95" customHeight="1" thickBot="1">
      <c r="A532" s="141" t="s">
        <v>120</v>
      </c>
      <c r="B532" s="142"/>
      <c r="C532" s="142"/>
      <c r="D532" s="143"/>
      <c r="E532" s="2" t="s">
        <v>69</v>
      </c>
      <c r="F532" s="56">
        <v>1</v>
      </c>
      <c r="G532" s="57"/>
      <c r="H532" s="56">
        <v>0.4</v>
      </c>
      <c r="I532" s="57"/>
      <c r="J532" s="56">
        <v>0.4</v>
      </c>
      <c r="K532" s="57"/>
      <c r="L532" s="58"/>
      <c r="M532" s="59"/>
    </row>
    <row r="533" spans="1:13" ht="27.95" customHeight="1" thickBot="1">
      <c r="A533" s="141" t="s">
        <v>117</v>
      </c>
      <c r="B533" s="142"/>
      <c r="C533" s="142"/>
      <c r="D533" s="143"/>
      <c r="E533" s="15" t="s">
        <v>118</v>
      </c>
      <c r="F533" s="56">
        <v>34</v>
      </c>
      <c r="G533" s="57"/>
      <c r="H533" s="56">
        <v>10</v>
      </c>
      <c r="I533" s="57"/>
      <c r="J533" s="56">
        <v>20</v>
      </c>
      <c r="K533" s="57"/>
      <c r="L533" s="58"/>
      <c r="M533" s="59"/>
    </row>
    <row r="534" spans="1:13" ht="24.95" customHeight="1" thickTop="1" thickBot="1">
      <c r="A534" s="130" t="s">
        <v>16</v>
      </c>
      <c r="B534" s="67"/>
      <c r="C534" s="67"/>
      <c r="D534" s="68"/>
      <c r="E534" s="44"/>
      <c r="F534" s="131"/>
      <c r="G534" s="132"/>
      <c r="H534" s="131"/>
      <c r="I534" s="132"/>
      <c r="J534" s="131"/>
      <c r="K534" s="132"/>
      <c r="L534" s="131"/>
      <c r="M534" s="133"/>
    </row>
    <row r="535" spans="1:13" ht="24.95" customHeight="1" thickBot="1">
      <c r="A535" s="134" t="s">
        <v>17</v>
      </c>
      <c r="B535" s="135"/>
      <c r="C535" s="135"/>
      <c r="D535" s="59"/>
      <c r="E535" s="44"/>
      <c r="F535" s="58"/>
      <c r="G535" s="59"/>
      <c r="H535" s="58"/>
      <c r="I535" s="59"/>
      <c r="J535" s="58"/>
      <c r="K535" s="59"/>
      <c r="L535" s="58"/>
      <c r="M535" s="136"/>
    </row>
    <row r="536" spans="1:13" ht="24.95" customHeight="1" thickBot="1">
      <c r="A536" s="118" t="s">
        <v>18</v>
      </c>
      <c r="B536" s="119"/>
      <c r="C536" s="119"/>
      <c r="D536" s="120"/>
      <c r="E536" s="24"/>
      <c r="F536" s="121"/>
      <c r="G536" s="120"/>
      <c r="H536" s="121"/>
      <c r="I536" s="120"/>
      <c r="J536" s="121"/>
      <c r="K536" s="120"/>
      <c r="L536" s="121"/>
      <c r="M536" s="122"/>
    </row>
    <row r="537" spans="1:13" ht="24" customHeight="1" thickTop="1" thickBot="1">
      <c r="A537" s="66" t="s">
        <v>19</v>
      </c>
      <c r="B537" s="67"/>
      <c r="C537" s="67"/>
      <c r="D537" s="67"/>
      <c r="E537" s="67"/>
      <c r="F537" s="67"/>
      <c r="G537" s="67"/>
      <c r="H537" s="67"/>
      <c r="I537" s="67"/>
      <c r="J537" s="67"/>
      <c r="K537" s="67"/>
      <c r="L537" s="67"/>
      <c r="M537" s="68"/>
    </row>
    <row r="538" spans="1:13" ht="35.25" customHeight="1" thickBot="1">
      <c r="A538" s="75" t="s">
        <v>20</v>
      </c>
      <c r="B538" s="76"/>
      <c r="C538" s="76"/>
      <c r="D538" s="77"/>
      <c r="E538" s="14" t="s">
        <v>11</v>
      </c>
      <c r="F538" s="75" t="s">
        <v>39</v>
      </c>
      <c r="G538" s="77"/>
      <c r="H538" s="75" t="s">
        <v>21</v>
      </c>
      <c r="I538" s="77"/>
      <c r="J538" s="78" t="s">
        <v>22</v>
      </c>
      <c r="K538" s="79"/>
      <c r="L538" s="75" t="s">
        <v>15</v>
      </c>
      <c r="M538" s="77"/>
    </row>
    <row r="539" spans="1:13" ht="24" customHeight="1" thickBot="1">
      <c r="A539" s="96"/>
      <c r="B539" s="97"/>
      <c r="C539" s="97"/>
      <c r="D539" s="98"/>
      <c r="E539" s="44"/>
      <c r="F539" s="58"/>
      <c r="G539" s="59"/>
      <c r="H539" s="58"/>
      <c r="I539" s="59"/>
      <c r="J539" s="56"/>
      <c r="K539" s="57"/>
      <c r="L539" s="58"/>
      <c r="M539" s="59"/>
    </row>
    <row r="540" spans="1:13" ht="24" customHeight="1" thickBot="1">
      <c r="A540" s="96"/>
      <c r="B540" s="97"/>
      <c r="C540" s="97"/>
      <c r="D540" s="98"/>
      <c r="E540" s="44"/>
      <c r="F540" s="58"/>
      <c r="G540" s="59"/>
      <c r="H540" s="58"/>
      <c r="I540" s="59"/>
      <c r="J540" s="56"/>
      <c r="K540" s="57"/>
      <c r="L540" s="58"/>
      <c r="M540" s="59"/>
    </row>
    <row r="541" spans="1:13" ht="24" customHeight="1" thickBot="1">
      <c r="A541" s="60" t="s">
        <v>23</v>
      </c>
      <c r="B541" s="61"/>
      <c r="C541" s="61"/>
      <c r="D541" s="61"/>
      <c r="E541" s="61"/>
      <c r="F541" s="61"/>
      <c r="G541" s="61"/>
      <c r="H541" s="61"/>
      <c r="I541" s="61"/>
      <c r="J541" s="61"/>
      <c r="K541" s="61"/>
      <c r="L541" s="61"/>
      <c r="M541" s="62"/>
    </row>
    <row r="542" spans="1:13" ht="35.25" customHeight="1" thickBot="1">
      <c r="A542" s="75" t="s">
        <v>24</v>
      </c>
      <c r="B542" s="77"/>
      <c r="C542" s="75" t="s">
        <v>25</v>
      </c>
      <c r="D542" s="77"/>
      <c r="E542" s="75" t="s">
        <v>26</v>
      </c>
      <c r="F542" s="76"/>
      <c r="G542" s="77"/>
      <c r="H542" s="75" t="s">
        <v>27</v>
      </c>
      <c r="I542" s="77"/>
      <c r="J542" s="78" t="s">
        <v>21</v>
      </c>
      <c r="K542" s="79"/>
      <c r="L542" s="75" t="s">
        <v>22</v>
      </c>
      <c r="M542" s="77"/>
    </row>
    <row r="543" spans="1:13" s="18" customFormat="1" ht="24.75" customHeight="1" thickBot="1">
      <c r="A543" s="99" t="s">
        <v>119</v>
      </c>
      <c r="B543" s="98"/>
      <c r="C543" s="56">
        <v>4</v>
      </c>
      <c r="D543" s="57"/>
      <c r="E543" s="56">
        <v>7</v>
      </c>
      <c r="F543" s="100"/>
      <c r="G543" s="57"/>
      <c r="H543" s="56"/>
      <c r="I543" s="57"/>
      <c r="J543" s="56"/>
      <c r="K543" s="57"/>
      <c r="L543" s="56"/>
      <c r="M543" s="57"/>
    </row>
    <row r="544" spans="1:13" s="18" customFormat="1" ht="24.75" customHeight="1" thickBot="1">
      <c r="A544" s="99"/>
      <c r="B544" s="98"/>
      <c r="C544" s="56"/>
      <c r="D544" s="57"/>
      <c r="E544" s="56"/>
      <c r="F544" s="100"/>
      <c r="G544" s="57"/>
      <c r="H544" s="56"/>
      <c r="I544" s="57"/>
      <c r="J544" s="56"/>
      <c r="K544" s="57"/>
      <c r="L544" s="56"/>
      <c r="M544" s="57"/>
    </row>
    <row r="545" spans="1:13" ht="33" customHeight="1" thickBot="1">
      <c r="A545" s="112" t="s">
        <v>40</v>
      </c>
      <c r="B545" s="113"/>
      <c r="C545" s="113"/>
      <c r="D545" s="113"/>
      <c r="E545" s="113"/>
      <c r="F545" s="113"/>
      <c r="G545" s="113"/>
      <c r="H545" s="113"/>
      <c r="I545" s="113"/>
      <c r="J545" s="113"/>
      <c r="K545" s="113"/>
      <c r="L545" s="113"/>
      <c r="M545" s="114"/>
    </row>
    <row r="546" spans="1:13" ht="16.5" customHeight="1">
      <c r="A546" s="115" t="s">
        <v>41</v>
      </c>
      <c r="B546" s="116"/>
      <c r="C546" s="116"/>
      <c r="D546" s="116"/>
      <c r="E546" s="116"/>
      <c r="F546" s="116"/>
      <c r="G546" s="116"/>
      <c r="H546" s="116"/>
      <c r="I546" s="116"/>
      <c r="J546" s="116"/>
      <c r="K546" s="116"/>
      <c r="L546" s="116"/>
      <c r="M546" s="117"/>
    </row>
    <row r="547" spans="1:13" ht="16.5" customHeight="1">
      <c r="A547" s="90" t="s">
        <v>28</v>
      </c>
      <c r="B547" s="91"/>
      <c r="C547" s="91"/>
      <c r="D547" s="91"/>
      <c r="E547" s="91"/>
      <c r="F547" s="91"/>
      <c r="G547" s="91"/>
      <c r="H547" s="91"/>
      <c r="I547" s="91"/>
      <c r="J547" s="91"/>
      <c r="K547" s="91"/>
      <c r="L547" s="91"/>
      <c r="M547" s="92"/>
    </row>
    <row r="548" spans="1:13" s="1" customFormat="1" ht="16.5" customHeight="1">
      <c r="A548" s="93" t="s">
        <v>56</v>
      </c>
      <c r="B548" s="94"/>
      <c r="C548" s="94"/>
      <c r="D548" s="94"/>
      <c r="E548" s="94"/>
      <c r="F548" s="94"/>
      <c r="G548" s="94"/>
      <c r="H548" s="94"/>
      <c r="I548" s="94"/>
      <c r="J548" s="94"/>
      <c r="K548" s="94"/>
      <c r="L548" s="94"/>
      <c r="M548" s="95"/>
    </row>
    <row r="549" spans="1:13" s="1" customFormat="1" ht="16.5" customHeight="1">
      <c r="A549" s="93" t="s">
        <v>57</v>
      </c>
      <c r="B549" s="94"/>
      <c r="C549" s="94"/>
      <c r="D549" s="94"/>
      <c r="E549" s="94"/>
      <c r="F549" s="94"/>
      <c r="G549" s="94"/>
      <c r="H549" s="94"/>
      <c r="I549" s="94"/>
      <c r="J549" s="94"/>
      <c r="K549" s="94"/>
      <c r="L549" s="94"/>
      <c r="M549" s="95"/>
    </row>
    <row r="550" spans="1:13" s="1" customFormat="1" ht="16.5" customHeight="1">
      <c r="A550" s="93" t="s">
        <v>58</v>
      </c>
      <c r="B550" s="94"/>
      <c r="C550" s="94"/>
      <c r="D550" s="94"/>
      <c r="E550" s="94"/>
      <c r="F550" s="94"/>
      <c r="G550" s="94"/>
      <c r="H550" s="94"/>
      <c r="I550" s="94"/>
      <c r="J550" s="94"/>
      <c r="K550" s="94"/>
      <c r="L550" s="94"/>
      <c r="M550" s="95"/>
    </row>
    <row r="551" spans="1:13" s="1" customFormat="1" ht="16.5" customHeight="1">
      <c r="A551" s="93" t="s">
        <v>59</v>
      </c>
      <c r="B551" s="94"/>
      <c r="C551" s="94"/>
      <c r="D551" s="94"/>
      <c r="E551" s="94"/>
      <c r="F551" s="94"/>
      <c r="G551" s="94"/>
      <c r="H551" s="94"/>
      <c r="I551" s="94"/>
      <c r="J551" s="94"/>
      <c r="K551" s="94"/>
      <c r="L551" s="94"/>
      <c r="M551" s="95"/>
    </row>
    <row r="552" spans="1:13" ht="16.5" customHeight="1">
      <c r="A552" s="106" t="s">
        <v>29</v>
      </c>
      <c r="B552" s="107"/>
      <c r="C552" s="107"/>
      <c r="D552" s="107"/>
      <c r="E552" s="107"/>
      <c r="F552" s="107"/>
      <c r="G552" s="107"/>
      <c r="H552" s="107"/>
      <c r="I552" s="107"/>
      <c r="J552" s="107"/>
      <c r="K552" s="107"/>
      <c r="L552" s="107"/>
      <c r="M552" s="108"/>
    </row>
    <row r="553" spans="1:13" ht="9.75" customHeight="1" thickBot="1">
      <c r="A553" s="109"/>
      <c r="B553" s="110"/>
      <c r="C553" s="110"/>
      <c r="D553" s="110"/>
      <c r="E553" s="110"/>
      <c r="F553" s="110"/>
      <c r="G553" s="110"/>
      <c r="H553" s="110"/>
      <c r="I553" s="110"/>
      <c r="J553" s="110"/>
      <c r="K553" s="110"/>
      <c r="L553" s="110"/>
      <c r="M553" s="111"/>
    </row>
    <row r="554" spans="1:13" ht="18.75" customHeight="1" thickBot="1">
      <c r="A554" s="72" t="s">
        <v>30</v>
      </c>
      <c r="B554" s="73"/>
      <c r="C554" s="73"/>
      <c r="D554" s="73"/>
      <c r="E554" s="73"/>
      <c r="F554" s="73"/>
      <c r="G554" s="73"/>
      <c r="H554" s="73"/>
      <c r="I554" s="73"/>
      <c r="J554" s="73"/>
      <c r="K554" s="73"/>
      <c r="L554" s="73"/>
      <c r="M554" s="74"/>
    </row>
    <row r="555" spans="1:13" ht="24" customHeight="1" thickBot="1">
      <c r="A555" s="72" t="s">
        <v>31</v>
      </c>
      <c r="B555" s="73"/>
      <c r="C555" s="73"/>
      <c r="D555" s="73"/>
      <c r="E555" s="73"/>
      <c r="F555" s="73"/>
      <c r="G555" s="73"/>
      <c r="H555" s="73"/>
      <c r="I555" s="73"/>
      <c r="J555" s="73"/>
      <c r="K555" s="73"/>
      <c r="L555" s="73"/>
      <c r="M555" s="74"/>
    </row>
    <row r="556" spans="1:13" ht="24" customHeight="1" thickBot="1">
      <c r="A556" s="72" t="s">
        <v>134</v>
      </c>
      <c r="B556" s="73"/>
      <c r="C556" s="73"/>
      <c r="D556" s="73"/>
      <c r="E556" s="73"/>
      <c r="F556" s="73"/>
      <c r="G556" s="73"/>
      <c r="H556" s="73"/>
      <c r="I556" s="73"/>
      <c r="J556" s="73"/>
      <c r="K556" s="73"/>
      <c r="L556" s="73"/>
      <c r="M556" s="74"/>
    </row>
    <row r="557" spans="1:13" ht="24" customHeight="1" thickBot="1">
      <c r="A557" s="60" t="s">
        <v>46</v>
      </c>
      <c r="B557" s="61"/>
      <c r="C557" s="61"/>
      <c r="D557" s="61"/>
      <c r="E557" s="61"/>
      <c r="F557" s="61"/>
      <c r="G557" s="61"/>
      <c r="H557" s="61"/>
      <c r="I557" s="61"/>
      <c r="J557" s="61"/>
      <c r="K557" s="61"/>
      <c r="L557" s="61"/>
      <c r="M557" s="62"/>
    </row>
    <row r="558" spans="1:13" ht="11.1" customHeight="1">
      <c r="A558" s="103" t="s">
        <v>47</v>
      </c>
      <c r="B558" s="103"/>
      <c r="C558" s="103"/>
      <c r="D558" s="103"/>
      <c r="E558" s="103"/>
      <c r="F558" s="103"/>
      <c r="G558" s="103"/>
      <c r="H558" s="103"/>
      <c r="I558" s="103"/>
      <c r="J558" s="103"/>
      <c r="K558" s="103"/>
      <c r="L558" s="103"/>
      <c r="M558" s="103"/>
    </row>
    <row r="559" spans="1:13" ht="11.1" customHeight="1">
      <c r="A559" s="104" t="s">
        <v>48</v>
      </c>
      <c r="B559" s="104"/>
      <c r="C559" s="104"/>
      <c r="D559" s="104"/>
      <c r="E559" s="104"/>
      <c r="F559" s="104"/>
      <c r="G559" s="104"/>
      <c r="H559" s="104"/>
      <c r="I559" s="104"/>
      <c r="J559" s="104"/>
      <c r="K559" s="104"/>
      <c r="L559" s="104"/>
      <c r="M559" s="104"/>
    </row>
    <row r="560" spans="1:13" ht="11.1" customHeight="1">
      <c r="A560" s="105" t="s">
        <v>49</v>
      </c>
      <c r="B560" s="105"/>
      <c r="C560" s="105"/>
      <c r="D560" s="105"/>
      <c r="E560" s="105"/>
      <c r="F560" s="105"/>
      <c r="G560" s="105"/>
      <c r="H560" s="105"/>
      <c r="I560" s="105"/>
      <c r="J560" s="105"/>
      <c r="K560" s="105"/>
      <c r="L560" s="105"/>
      <c r="M560" s="105"/>
    </row>
    <row r="561" spans="1:15" ht="11.1" customHeight="1">
      <c r="A561" s="105" t="s">
        <v>50</v>
      </c>
      <c r="B561" s="105"/>
      <c r="C561" s="105"/>
      <c r="D561" s="105"/>
      <c r="E561" s="105"/>
      <c r="F561" s="105"/>
      <c r="G561" s="105"/>
      <c r="H561" s="105"/>
      <c r="I561" s="105"/>
      <c r="J561" s="105"/>
      <c r="K561" s="105"/>
      <c r="L561" s="105"/>
      <c r="M561" s="105"/>
    </row>
    <row r="562" spans="1:15" ht="11.1" customHeight="1">
      <c r="A562" s="104" t="s">
        <v>51</v>
      </c>
      <c r="B562" s="104"/>
      <c r="C562" s="104"/>
      <c r="D562" s="104"/>
      <c r="E562" s="104"/>
      <c r="F562" s="104"/>
      <c r="G562" s="104"/>
      <c r="H562" s="104"/>
      <c r="I562" s="104"/>
      <c r="J562" s="104"/>
      <c r="K562" s="104"/>
      <c r="L562" s="104"/>
      <c r="M562" s="104"/>
    </row>
    <row r="563" spans="1:15" ht="11.1" customHeight="1">
      <c r="A563" s="104" t="s">
        <v>52</v>
      </c>
      <c r="B563" s="104"/>
      <c r="C563" s="104"/>
      <c r="D563" s="104"/>
      <c r="E563" s="104"/>
      <c r="F563" s="104"/>
      <c r="G563" s="104"/>
      <c r="H563" s="104"/>
      <c r="I563" s="104"/>
      <c r="J563" s="104"/>
      <c r="K563" s="104"/>
      <c r="L563" s="104"/>
      <c r="M563" s="104"/>
    </row>
    <row r="564" spans="1:15" ht="11.1" customHeight="1">
      <c r="A564" s="104" t="s">
        <v>53</v>
      </c>
      <c r="B564" s="104"/>
      <c r="C564" s="104"/>
      <c r="D564" s="104"/>
      <c r="E564" s="104"/>
      <c r="F564" s="104"/>
      <c r="G564" s="104"/>
      <c r="H564" s="104"/>
      <c r="I564" s="104"/>
      <c r="J564" s="104"/>
      <c r="K564" s="104"/>
      <c r="L564" s="104"/>
      <c r="M564" s="104"/>
    </row>
    <row r="565" spans="1:15" ht="11.1" customHeight="1">
      <c r="A565" s="101" t="s">
        <v>54</v>
      </c>
      <c r="B565" s="101"/>
      <c r="C565" s="101"/>
      <c r="D565" s="101"/>
      <c r="E565" s="101"/>
      <c r="F565" s="101"/>
      <c r="G565" s="101"/>
      <c r="H565" s="101"/>
      <c r="I565" s="101"/>
      <c r="J565" s="101"/>
      <c r="K565" s="101"/>
      <c r="L565" s="101"/>
      <c r="M565" s="101"/>
    </row>
    <row r="566" spans="1:15" ht="11.1" customHeight="1">
      <c r="A566" s="101" t="s">
        <v>55</v>
      </c>
      <c r="B566" s="101"/>
      <c r="C566" s="101"/>
      <c r="D566" s="101"/>
      <c r="E566" s="101"/>
      <c r="F566" s="101"/>
      <c r="G566" s="101"/>
      <c r="H566" s="101"/>
      <c r="I566" s="101"/>
      <c r="J566" s="101"/>
      <c r="K566" s="101"/>
      <c r="L566" s="101"/>
      <c r="M566" s="101"/>
    </row>
    <row r="567" spans="1:15" ht="19.5" customHeight="1">
      <c r="A567" s="69" t="s">
        <v>0</v>
      </c>
      <c r="B567" s="69"/>
      <c r="C567" s="69"/>
      <c r="D567" s="69"/>
      <c r="E567" s="69"/>
      <c r="F567" s="69"/>
      <c r="G567" s="69"/>
      <c r="H567" s="69"/>
      <c r="I567" s="69"/>
      <c r="J567" s="69"/>
      <c r="K567" s="69"/>
      <c r="L567" s="69"/>
      <c r="M567" s="69"/>
    </row>
    <row r="568" spans="1:15" ht="20.100000000000001" customHeight="1">
      <c r="A568" s="4" t="s">
        <v>32</v>
      </c>
      <c r="B568" s="5">
        <f>+B524+1</f>
        <v>49</v>
      </c>
      <c r="C568" s="30"/>
      <c r="D568" s="30"/>
      <c r="E568" s="30"/>
      <c r="F568" s="30"/>
      <c r="G568" s="30"/>
      <c r="H568" s="30"/>
      <c r="I568" s="30"/>
      <c r="J568" s="30"/>
      <c r="K568" s="30"/>
      <c r="L568" s="30"/>
      <c r="M568" s="30"/>
    </row>
    <row r="569" spans="1:15" ht="24" customHeight="1" thickBot="1">
      <c r="A569" s="4" t="s">
        <v>33</v>
      </c>
      <c r="H569" s="70" t="s">
        <v>34</v>
      </c>
      <c r="I569" s="70"/>
      <c r="J569" s="70"/>
      <c r="K569" s="102">
        <f>+K525+1</f>
        <v>45975</v>
      </c>
      <c r="L569" s="102"/>
      <c r="M569" s="102"/>
      <c r="O569" s="7"/>
    </row>
    <row r="570" spans="1:15" ht="33.75" customHeight="1" thickBot="1">
      <c r="A570" s="80" t="s">
        <v>1</v>
      </c>
      <c r="B570" s="81"/>
      <c r="C570" s="82"/>
      <c r="D570" s="86" t="str">
        <f>+D526</f>
        <v>光明國中B與C區5樓老舊廁所整修工程</v>
      </c>
      <c r="E570" s="87"/>
      <c r="F570" s="87"/>
      <c r="G570" s="88"/>
      <c r="H570" s="80" t="s">
        <v>2</v>
      </c>
      <c r="I570" s="81"/>
      <c r="J570" s="82"/>
      <c r="K570" s="80" t="s">
        <v>35</v>
      </c>
      <c r="L570" s="81"/>
      <c r="M570" s="82"/>
    </row>
    <row r="571" spans="1:15" ht="33.75" customHeight="1" thickBot="1">
      <c r="A571" s="8" t="s">
        <v>3</v>
      </c>
      <c r="B571" s="29">
        <f>+B527</f>
        <v>142</v>
      </c>
      <c r="C571" s="10" t="s">
        <v>36</v>
      </c>
      <c r="D571" s="80" t="s">
        <v>4</v>
      </c>
      <c r="E571" s="89"/>
      <c r="F571" s="31">
        <f>+F527+1</f>
        <v>49</v>
      </c>
      <c r="G571" s="12" t="s">
        <v>36</v>
      </c>
      <c r="H571" s="13" t="s">
        <v>5</v>
      </c>
      <c r="I571" s="29">
        <f>+B571-F571</f>
        <v>93</v>
      </c>
      <c r="J571" s="10" t="s">
        <v>36</v>
      </c>
      <c r="K571" s="80" t="s">
        <v>6</v>
      </c>
      <c r="L571" s="82"/>
      <c r="M571" s="13">
        <f>+M527</f>
        <v>12</v>
      </c>
    </row>
    <row r="572" spans="1:15" ht="24" customHeight="1" thickBot="1">
      <c r="A572" s="80" t="s">
        <v>7</v>
      </c>
      <c r="B572" s="81"/>
      <c r="C572" s="82"/>
      <c r="D572" s="80" t="str">
        <f>+D528</f>
        <v>114.9.27</v>
      </c>
      <c r="E572" s="81"/>
      <c r="F572" s="81"/>
      <c r="G572" s="82"/>
      <c r="H572" s="80" t="s">
        <v>8</v>
      </c>
      <c r="I572" s="81"/>
      <c r="J572" s="82"/>
      <c r="K572" s="80" t="str">
        <f>+K528</f>
        <v>115.2.15</v>
      </c>
      <c r="L572" s="81"/>
      <c r="M572" s="82"/>
    </row>
    <row r="573" spans="1:15" ht="24" customHeight="1" thickBot="1">
      <c r="A573" s="80" t="s">
        <v>37</v>
      </c>
      <c r="B573" s="81"/>
      <c r="C573" s="82"/>
      <c r="D573" s="83">
        <v>0.19800000000000001</v>
      </c>
      <c r="E573" s="84"/>
      <c r="F573" s="84"/>
      <c r="G573" s="85"/>
      <c r="H573" s="80" t="s">
        <v>38</v>
      </c>
      <c r="I573" s="81"/>
      <c r="J573" s="82"/>
      <c r="K573" s="83">
        <f>+K529+1%+0.3%</f>
        <v>0.26400000000000007</v>
      </c>
      <c r="L573" s="84"/>
      <c r="M573" s="85"/>
    </row>
    <row r="574" spans="1:15" ht="24" customHeight="1" thickBot="1">
      <c r="A574" s="72" t="s">
        <v>9</v>
      </c>
      <c r="B574" s="73"/>
      <c r="C574" s="73"/>
      <c r="D574" s="73"/>
      <c r="E574" s="73"/>
      <c r="F574" s="73"/>
      <c r="G574" s="73"/>
      <c r="H574" s="73"/>
      <c r="I574" s="73"/>
      <c r="J574" s="73"/>
      <c r="K574" s="73"/>
      <c r="L574" s="73"/>
      <c r="M574" s="74"/>
    </row>
    <row r="575" spans="1:15" ht="35.25" customHeight="1" thickBot="1">
      <c r="A575" s="75" t="s">
        <v>10</v>
      </c>
      <c r="B575" s="76"/>
      <c r="C575" s="76"/>
      <c r="D575" s="77"/>
      <c r="E575" s="14" t="s">
        <v>11</v>
      </c>
      <c r="F575" s="75" t="s">
        <v>12</v>
      </c>
      <c r="G575" s="77"/>
      <c r="H575" s="75" t="s">
        <v>13</v>
      </c>
      <c r="I575" s="77"/>
      <c r="J575" s="78" t="s">
        <v>14</v>
      </c>
      <c r="K575" s="79"/>
      <c r="L575" s="75" t="s">
        <v>15</v>
      </c>
      <c r="M575" s="77"/>
    </row>
    <row r="576" spans="1:15" ht="27.95" customHeight="1" thickBot="1">
      <c r="A576" s="141" t="s">
        <v>135</v>
      </c>
      <c r="B576" s="142"/>
      <c r="C576" s="142"/>
      <c r="D576" s="143"/>
      <c r="E576" s="2" t="s">
        <v>69</v>
      </c>
      <c r="F576" s="56">
        <v>1</v>
      </c>
      <c r="G576" s="57"/>
      <c r="H576" s="56">
        <v>0.3</v>
      </c>
      <c r="I576" s="57"/>
      <c r="J576" s="56">
        <v>0.7</v>
      </c>
      <c r="K576" s="57"/>
      <c r="L576" s="58"/>
      <c r="M576" s="59"/>
    </row>
    <row r="577" spans="1:13" ht="27.95" customHeight="1" thickBot="1">
      <c r="A577" s="141" t="s">
        <v>117</v>
      </c>
      <c r="B577" s="142"/>
      <c r="C577" s="142"/>
      <c r="D577" s="143"/>
      <c r="E577" s="15" t="s">
        <v>118</v>
      </c>
      <c r="F577" s="56">
        <v>34</v>
      </c>
      <c r="G577" s="57"/>
      <c r="H577" s="56">
        <v>14</v>
      </c>
      <c r="I577" s="57"/>
      <c r="J577" s="56">
        <v>34</v>
      </c>
      <c r="K577" s="57"/>
      <c r="L577" s="58"/>
      <c r="M577" s="59"/>
    </row>
    <row r="578" spans="1:13" ht="24.95" customHeight="1" thickTop="1" thickBot="1">
      <c r="A578" s="130" t="s">
        <v>16</v>
      </c>
      <c r="B578" s="67"/>
      <c r="C578" s="67"/>
      <c r="D578" s="68"/>
      <c r="E578" s="42"/>
      <c r="F578" s="131"/>
      <c r="G578" s="132"/>
      <c r="H578" s="131"/>
      <c r="I578" s="132"/>
      <c r="J578" s="131"/>
      <c r="K578" s="132"/>
      <c r="L578" s="131"/>
      <c r="M578" s="133"/>
    </row>
    <row r="579" spans="1:13" ht="24.95" customHeight="1" thickBot="1">
      <c r="A579" s="134" t="s">
        <v>17</v>
      </c>
      <c r="B579" s="135"/>
      <c r="C579" s="135"/>
      <c r="D579" s="59"/>
      <c r="E579" s="42"/>
      <c r="F579" s="58"/>
      <c r="G579" s="59"/>
      <c r="H579" s="58"/>
      <c r="I579" s="59"/>
      <c r="J579" s="58"/>
      <c r="K579" s="59"/>
      <c r="L579" s="58"/>
      <c r="M579" s="136"/>
    </row>
    <row r="580" spans="1:13" ht="24.95" customHeight="1" thickBot="1">
      <c r="A580" s="118" t="s">
        <v>18</v>
      </c>
      <c r="B580" s="119"/>
      <c r="C580" s="119"/>
      <c r="D580" s="120"/>
      <c r="E580" s="24"/>
      <c r="F580" s="121"/>
      <c r="G580" s="120"/>
      <c r="H580" s="121"/>
      <c r="I580" s="120"/>
      <c r="J580" s="121"/>
      <c r="K580" s="120"/>
      <c r="L580" s="121"/>
      <c r="M580" s="122"/>
    </row>
    <row r="581" spans="1:13" ht="24" customHeight="1" thickTop="1" thickBot="1">
      <c r="A581" s="66" t="s">
        <v>19</v>
      </c>
      <c r="B581" s="67"/>
      <c r="C581" s="67"/>
      <c r="D581" s="67"/>
      <c r="E581" s="67"/>
      <c r="F581" s="67"/>
      <c r="G581" s="67"/>
      <c r="H581" s="67"/>
      <c r="I581" s="67"/>
      <c r="J581" s="67"/>
      <c r="K581" s="67"/>
      <c r="L581" s="67"/>
      <c r="M581" s="68"/>
    </row>
    <row r="582" spans="1:13" ht="35.25" customHeight="1" thickBot="1">
      <c r="A582" s="75" t="s">
        <v>20</v>
      </c>
      <c r="B582" s="76"/>
      <c r="C582" s="76"/>
      <c r="D582" s="77"/>
      <c r="E582" s="14" t="s">
        <v>11</v>
      </c>
      <c r="F582" s="75" t="s">
        <v>39</v>
      </c>
      <c r="G582" s="77"/>
      <c r="H582" s="75" t="s">
        <v>21</v>
      </c>
      <c r="I582" s="77"/>
      <c r="J582" s="78" t="s">
        <v>22</v>
      </c>
      <c r="K582" s="79"/>
      <c r="L582" s="75" t="s">
        <v>15</v>
      </c>
      <c r="M582" s="77"/>
    </row>
    <row r="583" spans="1:13" ht="24" customHeight="1" thickBot="1">
      <c r="A583" s="96"/>
      <c r="B583" s="97"/>
      <c r="C583" s="97"/>
      <c r="D583" s="98"/>
      <c r="E583" s="42"/>
      <c r="F583" s="58"/>
      <c r="G583" s="59"/>
      <c r="H583" s="58"/>
      <c r="I583" s="59"/>
      <c r="J583" s="56"/>
      <c r="K583" s="57"/>
      <c r="L583" s="58"/>
      <c r="M583" s="59"/>
    </row>
    <row r="584" spans="1:13" ht="24" customHeight="1" thickBot="1">
      <c r="A584" s="96"/>
      <c r="B584" s="97"/>
      <c r="C584" s="97"/>
      <c r="D584" s="98"/>
      <c r="E584" s="42"/>
      <c r="F584" s="58"/>
      <c r="G584" s="59"/>
      <c r="H584" s="58"/>
      <c r="I584" s="59"/>
      <c r="J584" s="56"/>
      <c r="K584" s="57"/>
      <c r="L584" s="58"/>
      <c r="M584" s="59"/>
    </row>
    <row r="585" spans="1:13" ht="24" customHeight="1" thickBot="1">
      <c r="A585" s="60" t="s">
        <v>23</v>
      </c>
      <c r="B585" s="61"/>
      <c r="C585" s="61"/>
      <c r="D585" s="61"/>
      <c r="E585" s="61"/>
      <c r="F585" s="61"/>
      <c r="G585" s="61"/>
      <c r="H585" s="61"/>
      <c r="I585" s="61"/>
      <c r="J585" s="61"/>
      <c r="K585" s="61"/>
      <c r="L585" s="61"/>
      <c r="M585" s="62"/>
    </row>
    <row r="586" spans="1:13" ht="35.25" customHeight="1" thickBot="1">
      <c r="A586" s="75" t="s">
        <v>24</v>
      </c>
      <c r="B586" s="77"/>
      <c r="C586" s="75" t="s">
        <v>25</v>
      </c>
      <c r="D586" s="77"/>
      <c r="E586" s="75" t="s">
        <v>26</v>
      </c>
      <c r="F586" s="76"/>
      <c r="G586" s="77"/>
      <c r="H586" s="75" t="s">
        <v>27</v>
      </c>
      <c r="I586" s="77"/>
      <c r="J586" s="78" t="s">
        <v>21</v>
      </c>
      <c r="K586" s="79"/>
      <c r="L586" s="75" t="s">
        <v>22</v>
      </c>
      <c r="M586" s="77"/>
    </row>
    <row r="587" spans="1:13" s="18" customFormat="1" ht="24.75" customHeight="1" thickBot="1">
      <c r="A587" s="99" t="s">
        <v>119</v>
      </c>
      <c r="B587" s="98"/>
      <c r="C587" s="56">
        <v>6</v>
      </c>
      <c r="D587" s="57"/>
      <c r="E587" s="56">
        <v>13</v>
      </c>
      <c r="F587" s="100"/>
      <c r="G587" s="57"/>
      <c r="H587" s="56"/>
      <c r="I587" s="57"/>
      <c r="J587" s="56"/>
      <c r="K587" s="57"/>
      <c r="L587" s="56"/>
      <c r="M587" s="57"/>
    </row>
    <row r="588" spans="1:13" s="18" customFormat="1" ht="24.75" customHeight="1" thickBot="1">
      <c r="A588" s="99"/>
      <c r="B588" s="98"/>
      <c r="C588" s="56"/>
      <c r="D588" s="57"/>
      <c r="E588" s="56"/>
      <c r="F588" s="100"/>
      <c r="G588" s="57"/>
      <c r="H588" s="56"/>
      <c r="I588" s="57"/>
      <c r="J588" s="56"/>
      <c r="K588" s="57"/>
      <c r="L588" s="56"/>
      <c r="M588" s="57"/>
    </row>
    <row r="589" spans="1:13" ht="33" customHeight="1" thickBot="1">
      <c r="A589" s="112" t="s">
        <v>40</v>
      </c>
      <c r="B589" s="113"/>
      <c r="C589" s="113"/>
      <c r="D589" s="113"/>
      <c r="E589" s="113"/>
      <c r="F589" s="113"/>
      <c r="G589" s="113"/>
      <c r="H589" s="113"/>
      <c r="I589" s="113"/>
      <c r="J589" s="113"/>
      <c r="K589" s="113"/>
      <c r="L589" s="113"/>
      <c r="M589" s="114"/>
    </row>
    <row r="590" spans="1:13" ht="16.5" customHeight="1">
      <c r="A590" s="115" t="s">
        <v>41</v>
      </c>
      <c r="B590" s="116"/>
      <c r="C590" s="116"/>
      <c r="D590" s="116"/>
      <c r="E590" s="116"/>
      <c r="F590" s="116"/>
      <c r="G590" s="116"/>
      <c r="H590" s="116"/>
      <c r="I590" s="116"/>
      <c r="J590" s="116"/>
      <c r="K590" s="116"/>
      <c r="L590" s="116"/>
      <c r="M590" s="117"/>
    </row>
    <row r="591" spans="1:13" ht="16.5" customHeight="1">
      <c r="A591" s="90" t="s">
        <v>28</v>
      </c>
      <c r="B591" s="91"/>
      <c r="C591" s="91"/>
      <c r="D591" s="91"/>
      <c r="E591" s="91"/>
      <c r="F591" s="91"/>
      <c r="G591" s="91"/>
      <c r="H591" s="91"/>
      <c r="I591" s="91"/>
      <c r="J591" s="91"/>
      <c r="K591" s="91"/>
      <c r="L591" s="91"/>
      <c r="M591" s="92"/>
    </row>
    <row r="592" spans="1:13" s="1" customFormat="1" ht="16.5" customHeight="1">
      <c r="A592" s="93" t="s">
        <v>56</v>
      </c>
      <c r="B592" s="94"/>
      <c r="C592" s="94"/>
      <c r="D592" s="94"/>
      <c r="E592" s="94"/>
      <c r="F592" s="94"/>
      <c r="G592" s="94"/>
      <c r="H592" s="94"/>
      <c r="I592" s="94"/>
      <c r="J592" s="94"/>
      <c r="K592" s="94"/>
      <c r="L592" s="94"/>
      <c r="M592" s="95"/>
    </row>
    <row r="593" spans="1:13" s="1" customFormat="1" ht="16.5" customHeight="1">
      <c r="A593" s="93" t="s">
        <v>57</v>
      </c>
      <c r="B593" s="94"/>
      <c r="C593" s="94"/>
      <c r="D593" s="94"/>
      <c r="E593" s="94"/>
      <c r="F593" s="94"/>
      <c r="G593" s="94"/>
      <c r="H593" s="94"/>
      <c r="I593" s="94"/>
      <c r="J593" s="94"/>
      <c r="K593" s="94"/>
      <c r="L593" s="94"/>
      <c r="M593" s="95"/>
    </row>
    <row r="594" spans="1:13" s="1" customFormat="1" ht="16.5" customHeight="1">
      <c r="A594" s="93" t="s">
        <v>58</v>
      </c>
      <c r="B594" s="94"/>
      <c r="C594" s="94"/>
      <c r="D594" s="94"/>
      <c r="E594" s="94"/>
      <c r="F594" s="94"/>
      <c r="G594" s="94"/>
      <c r="H594" s="94"/>
      <c r="I594" s="94"/>
      <c r="J594" s="94"/>
      <c r="K594" s="94"/>
      <c r="L594" s="94"/>
      <c r="M594" s="95"/>
    </row>
    <row r="595" spans="1:13" s="1" customFormat="1" ht="16.5" customHeight="1">
      <c r="A595" s="93" t="s">
        <v>59</v>
      </c>
      <c r="B595" s="94"/>
      <c r="C595" s="94"/>
      <c r="D595" s="94"/>
      <c r="E595" s="94"/>
      <c r="F595" s="94"/>
      <c r="G595" s="94"/>
      <c r="H595" s="94"/>
      <c r="I595" s="94"/>
      <c r="J595" s="94"/>
      <c r="K595" s="94"/>
      <c r="L595" s="94"/>
      <c r="M595" s="95"/>
    </row>
    <row r="596" spans="1:13" ht="16.5" customHeight="1">
      <c r="A596" s="106" t="s">
        <v>29</v>
      </c>
      <c r="B596" s="107"/>
      <c r="C596" s="107"/>
      <c r="D596" s="107"/>
      <c r="E596" s="107"/>
      <c r="F596" s="107"/>
      <c r="G596" s="107"/>
      <c r="H596" s="107"/>
      <c r="I596" s="107"/>
      <c r="J596" s="107"/>
      <c r="K596" s="107"/>
      <c r="L596" s="107"/>
      <c r="M596" s="108"/>
    </row>
    <row r="597" spans="1:13" ht="9.75" customHeight="1" thickBot="1">
      <c r="A597" s="109"/>
      <c r="B597" s="110"/>
      <c r="C597" s="110"/>
      <c r="D597" s="110"/>
      <c r="E597" s="110"/>
      <c r="F597" s="110"/>
      <c r="G597" s="110"/>
      <c r="H597" s="110"/>
      <c r="I597" s="110"/>
      <c r="J597" s="110"/>
      <c r="K597" s="110"/>
      <c r="L597" s="110"/>
      <c r="M597" s="111"/>
    </row>
    <row r="598" spans="1:13" ht="18.75" customHeight="1" thickBot="1">
      <c r="A598" s="72" t="s">
        <v>30</v>
      </c>
      <c r="B598" s="73"/>
      <c r="C598" s="73"/>
      <c r="D598" s="73"/>
      <c r="E598" s="73"/>
      <c r="F598" s="73"/>
      <c r="G598" s="73"/>
      <c r="H598" s="73"/>
      <c r="I598" s="73"/>
      <c r="J598" s="73"/>
      <c r="K598" s="73"/>
      <c r="L598" s="73"/>
      <c r="M598" s="74"/>
    </row>
    <row r="599" spans="1:13" ht="24" customHeight="1" thickBot="1">
      <c r="A599" s="72" t="s">
        <v>31</v>
      </c>
      <c r="B599" s="73"/>
      <c r="C599" s="73"/>
      <c r="D599" s="73"/>
      <c r="E599" s="73"/>
      <c r="F599" s="73"/>
      <c r="G599" s="73"/>
      <c r="H599" s="73"/>
      <c r="I599" s="73"/>
      <c r="J599" s="73"/>
      <c r="K599" s="73"/>
      <c r="L599" s="73"/>
      <c r="M599" s="74"/>
    </row>
    <row r="600" spans="1:13" ht="24" customHeight="1" thickBot="1">
      <c r="A600" s="72" t="s">
        <v>134</v>
      </c>
      <c r="B600" s="73"/>
      <c r="C600" s="73"/>
      <c r="D600" s="73"/>
      <c r="E600" s="73"/>
      <c r="F600" s="73"/>
      <c r="G600" s="73"/>
      <c r="H600" s="73"/>
      <c r="I600" s="73"/>
      <c r="J600" s="73"/>
      <c r="K600" s="73"/>
      <c r="L600" s="73"/>
      <c r="M600" s="74"/>
    </row>
    <row r="601" spans="1:13" ht="24" customHeight="1" thickBot="1">
      <c r="A601" s="60" t="s">
        <v>46</v>
      </c>
      <c r="B601" s="61"/>
      <c r="C601" s="61"/>
      <c r="D601" s="61"/>
      <c r="E601" s="61"/>
      <c r="F601" s="61"/>
      <c r="G601" s="61"/>
      <c r="H601" s="61"/>
      <c r="I601" s="61"/>
      <c r="J601" s="61"/>
      <c r="K601" s="61"/>
      <c r="L601" s="61"/>
      <c r="M601" s="62"/>
    </row>
    <row r="602" spans="1:13" ht="11.1" customHeight="1">
      <c r="A602" s="103" t="s">
        <v>47</v>
      </c>
      <c r="B602" s="103"/>
      <c r="C602" s="103"/>
      <c r="D602" s="103"/>
      <c r="E602" s="103"/>
      <c r="F602" s="103"/>
      <c r="G602" s="103"/>
      <c r="H602" s="103"/>
      <c r="I602" s="103"/>
      <c r="J602" s="103"/>
      <c r="K602" s="103"/>
      <c r="L602" s="103"/>
      <c r="M602" s="103"/>
    </row>
    <row r="603" spans="1:13" ht="11.1" customHeight="1">
      <c r="A603" s="104" t="s">
        <v>48</v>
      </c>
      <c r="B603" s="104"/>
      <c r="C603" s="104"/>
      <c r="D603" s="104"/>
      <c r="E603" s="104"/>
      <c r="F603" s="104"/>
      <c r="G603" s="104"/>
      <c r="H603" s="104"/>
      <c r="I603" s="104"/>
      <c r="J603" s="104"/>
      <c r="K603" s="104"/>
      <c r="L603" s="104"/>
      <c r="M603" s="104"/>
    </row>
    <row r="604" spans="1:13" ht="11.1" customHeight="1">
      <c r="A604" s="105" t="s">
        <v>49</v>
      </c>
      <c r="B604" s="105"/>
      <c r="C604" s="105"/>
      <c r="D604" s="105"/>
      <c r="E604" s="105"/>
      <c r="F604" s="105"/>
      <c r="G604" s="105"/>
      <c r="H604" s="105"/>
      <c r="I604" s="105"/>
      <c r="J604" s="105"/>
      <c r="K604" s="105"/>
      <c r="L604" s="105"/>
      <c r="M604" s="105"/>
    </row>
    <row r="605" spans="1:13" ht="11.1" customHeight="1">
      <c r="A605" s="105" t="s">
        <v>50</v>
      </c>
      <c r="B605" s="105"/>
      <c r="C605" s="105"/>
      <c r="D605" s="105"/>
      <c r="E605" s="105"/>
      <c r="F605" s="105"/>
      <c r="G605" s="105"/>
      <c r="H605" s="105"/>
      <c r="I605" s="105"/>
      <c r="J605" s="105"/>
      <c r="K605" s="105"/>
      <c r="L605" s="105"/>
      <c r="M605" s="105"/>
    </row>
    <row r="606" spans="1:13" ht="11.1" customHeight="1">
      <c r="A606" s="104" t="s">
        <v>51</v>
      </c>
      <c r="B606" s="104"/>
      <c r="C606" s="104"/>
      <c r="D606" s="104"/>
      <c r="E606" s="104"/>
      <c r="F606" s="104"/>
      <c r="G606" s="104"/>
      <c r="H606" s="104"/>
      <c r="I606" s="104"/>
      <c r="J606" s="104"/>
      <c r="K606" s="104"/>
      <c r="L606" s="104"/>
      <c r="M606" s="104"/>
    </row>
    <row r="607" spans="1:13" ht="11.1" customHeight="1">
      <c r="A607" s="104" t="s">
        <v>52</v>
      </c>
      <c r="B607" s="104"/>
      <c r="C607" s="104"/>
      <c r="D607" s="104"/>
      <c r="E607" s="104"/>
      <c r="F607" s="104"/>
      <c r="G607" s="104"/>
      <c r="H607" s="104"/>
      <c r="I607" s="104"/>
      <c r="J607" s="104"/>
      <c r="K607" s="104"/>
      <c r="L607" s="104"/>
      <c r="M607" s="104"/>
    </row>
    <row r="608" spans="1:13" ht="11.1" customHeight="1">
      <c r="A608" s="104" t="s">
        <v>53</v>
      </c>
      <c r="B608" s="104"/>
      <c r="C608" s="104"/>
      <c r="D608" s="104"/>
      <c r="E608" s="104"/>
      <c r="F608" s="104"/>
      <c r="G608" s="104"/>
      <c r="H608" s="104"/>
      <c r="I608" s="104"/>
      <c r="J608" s="104"/>
      <c r="K608" s="104"/>
      <c r="L608" s="104"/>
      <c r="M608" s="104"/>
    </row>
    <row r="609" spans="1:15" ht="11.1" customHeight="1">
      <c r="A609" s="101" t="s">
        <v>54</v>
      </c>
      <c r="B609" s="101"/>
      <c r="C609" s="101"/>
      <c r="D609" s="101"/>
      <c r="E609" s="101"/>
      <c r="F609" s="101"/>
      <c r="G609" s="101"/>
      <c r="H609" s="101"/>
      <c r="I609" s="101"/>
      <c r="J609" s="101"/>
      <c r="K609" s="101"/>
      <c r="L609" s="101"/>
      <c r="M609" s="101"/>
    </row>
    <row r="610" spans="1:15" ht="11.1" customHeight="1">
      <c r="A610" s="101" t="s">
        <v>55</v>
      </c>
      <c r="B610" s="101"/>
      <c r="C610" s="101"/>
      <c r="D610" s="101"/>
      <c r="E610" s="101"/>
      <c r="F610" s="101"/>
      <c r="G610" s="101"/>
      <c r="H610" s="101"/>
      <c r="I610" s="101"/>
      <c r="J610" s="101"/>
      <c r="K610" s="101"/>
      <c r="L610" s="101"/>
      <c r="M610" s="101"/>
    </row>
    <row r="611" spans="1:15" ht="19.5" customHeight="1">
      <c r="A611" s="69" t="s">
        <v>0</v>
      </c>
      <c r="B611" s="69"/>
      <c r="C611" s="69"/>
      <c r="D611" s="69"/>
      <c r="E611" s="69"/>
      <c r="F611" s="69"/>
      <c r="G611" s="69"/>
      <c r="H611" s="69"/>
      <c r="I611" s="69"/>
      <c r="J611" s="69"/>
      <c r="K611" s="69"/>
      <c r="L611" s="69"/>
      <c r="M611" s="69"/>
    </row>
    <row r="612" spans="1:15" ht="20.100000000000001" customHeight="1">
      <c r="A612" s="4" t="s">
        <v>32</v>
      </c>
      <c r="B612" s="5">
        <f>+B568+1</f>
        <v>50</v>
      </c>
      <c r="C612" s="30"/>
      <c r="D612" s="30"/>
      <c r="E612" s="30"/>
      <c r="F612" s="30"/>
      <c r="G612" s="30"/>
      <c r="H612" s="30"/>
      <c r="I612" s="30"/>
      <c r="J612" s="30"/>
      <c r="K612" s="30"/>
      <c r="L612" s="30"/>
      <c r="M612" s="30"/>
    </row>
    <row r="613" spans="1:15" ht="24" customHeight="1" thickBot="1">
      <c r="A613" s="4" t="s">
        <v>33</v>
      </c>
      <c r="H613" s="70" t="s">
        <v>34</v>
      </c>
      <c r="I613" s="70"/>
      <c r="J613" s="70"/>
      <c r="K613" s="102">
        <f>+K569+1</f>
        <v>45976</v>
      </c>
      <c r="L613" s="102"/>
      <c r="M613" s="102"/>
      <c r="O613" s="7"/>
    </row>
    <row r="614" spans="1:15" ht="33.75" customHeight="1" thickBot="1">
      <c r="A614" s="80" t="s">
        <v>1</v>
      </c>
      <c r="B614" s="81"/>
      <c r="C614" s="82"/>
      <c r="D614" s="86" t="str">
        <f>+D570</f>
        <v>光明國中B與C區5樓老舊廁所整修工程</v>
      </c>
      <c r="E614" s="87"/>
      <c r="F614" s="87"/>
      <c r="G614" s="88"/>
      <c r="H614" s="80" t="s">
        <v>2</v>
      </c>
      <c r="I614" s="81"/>
      <c r="J614" s="82"/>
      <c r="K614" s="80" t="s">
        <v>35</v>
      </c>
      <c r="L614" s="81"/>
      <c r="M614" s="82"/>
    </row>
    <row r="615" spans="1:15" ht="33.75" customHeight="1" thickBot="1">
      <c r="A615" s="8" t="s">
        <v>3</v>
      </c>
      <c r="B615" s="29">
        <f>+B571</f>
        <v>142</v>
      </c>
      <c r="C615" s="10" t="s">
        <v>36</v>
      </c>
      <c r="D615" s="80" t="s">
        <v>4</v>
      </c>
      <c r="E615" s="89"/>
      <c r="F615" s="31">
        <f>+F571+1</f>
        <v>50</v>
      </c>
      <c r="G615" s="12" t="s">
        <v>36</v>
      </c>
      <c r="H615" s="13" t="s">
        <v>5</v>
      </c>
      <c r="I615" s="29">
        <f>+B615-F615</f>
        <v>92</v>
      </c>
      <c r="J615" s="10" t="s">
        <v>36</v>
      </c>
      <c r="K615" s="80" t="s">
        <v>6</v>
      </c>
      <c r="L615" s="82"/>
      <c r="M615" s="13">
        <f>+M571</f>
        <v>12</v>
      </c>
    </row>
    <row r="616" spans="1:15" ht="24" customHeight="1" thickBot="1">
      <c r="A616" s="80" t="s">
        <v>7</v>
      </c>
      <c r="B616" s="81"/>
      <c r="C616" s="82"/>
      <c r="D616" s="80" t="str">
        <f>+D572</f>
        <v>114.9.27</v>
      </c>
      <c r="E616" s="81"/>
      <c r="F616" s="81"/>
      <c r="G616" s="82"/>
      <c r="H616" s="80" t="s">
        <v>8</v>
      </c>
      <c r="I616" s="81"/>
      <c r="J616" s="82"/>
      <c r="K616" s="80" t="str">
        <f>+K572</f>
        <v>115.2.15</v>
      </c>
      <c r="L616" s="81"/>
      <c r="M616" s="82"/>
    </row>
    <row r="617" spans="1:15" ht="24" customHeight="1" thickBot="1">
      <c r="A617" s="80" t="s">
        <v>37</v>
      </c>
      <c r="B617" s="81"/>
      <c r="C617" s="82"/>
      <c r="D617" s="83">
        <v>0.20399999999999999</v>
      </c>
      <c r="E617" s="84"/>
      <c r="F617" s="84"/>
      <c r="G617" s="85"/>
      <c r="H617" s="80" t="s">
        <v>38</v>
      </c>
      <c r="I617" s="81"/>
      <c r="J617" s="82"/>
      <c r="K617" s="83">
        <f>+K573</f>
        <v>0.26400000000000007</v>
      </c>
      <c r="L617" s="84"/>
      <c r="M617" s="85"/>
    </row>
    <row r="618" spans="1:15" ht="24" customHeight="1" thickBot="1">
      <c r="A618" s="72" t="s">
        <v>9</v>
      </c>
      <c r="B618" s="73"/>
      <c r="C618" s="73"/>
      <c r="D618" s="73"/>
      <c r="E618" s="73"/>
      <c r="F618" s="73"/>
      <c r="G618" s="73"/>
      <c r="H618" s="73"/>
      <c r="I618" s="73"/>
      <c r="J618" s="73"/>
      <c r="K618" s="73"/>
      <c r="L618" s="73"/>
      <c r="M618" s="74"/>
    </row>
    <row r="619" spans="1:15" ht="35.25" customHeight="1" thickBot="1">
      <c r="A619" s="75" t="s">
        <v>10</v>
      </c>
      <c r="B619" s="76"/>
      <c r="C619" s="76"/>
      <c r="D619" s="77"/>
      <c r="E619" s="14" t="s">
        <v>11</v>
      </c>
      <c r="F619" s="75" t="s">
        <v>12</v>
      </c>
      <c r="G619" s="77"/>
      <c r="H619" s="75" t="s">
        <v>13</v>
      </c>
      <c r="I619" s="77"/>
      <c r="J619" s="78" t="s">
        <v>14</v>
      </c>
      <c r="K619" s="79"/>
      <c r="L619" s="75" t="s">
        <v>15</v>
      </c>
      <c r="M619" s="77"/>
    </row>
    <row r="620" spans="1:15" ht="27.95" customHeight="1" thickBot="1">
      <c r="A620" s="141"/>
      <c r="B620" s="142"/>
      <c r="C620" s="142"/>
      <c r="D620" s="143"/>
      <c r="E620" s="2"/>
      <c r="F620" s="56"/>
      <c r="G620" s="57"/>
      <c r="H620" s="56"/>
      <c r="I620" s="57"/>
      <c r="J620" s="56"/>
      <c r="K620" s="57"/>
      <c r="L620" s="58"/>
      <c r="M620" s="59"/>
    </row>
    <row r="621" spans="1:15" ht="27.95" customHeight="1" thickBot="1">
      <c r="A621" s="141"/>
      <c r="B621" s="142"/>
      <c r="C621" s="142"/>
      <c r="D621" s="143"/>
      <c r="E621" s="15"/>
      <c r="F621" s="56"/>
      <c r="G621" s="57"/>
      <c r="H621" s="56"/>
      <c r="I621" s="57"/>
      <c r="J621" s="56"/>
      <c r="K621" s="57"/>
      <c r="L621" s="58"/>
      <c r="M621" s="59"/>
    </row>
    <row r="622" spans="1:15" ht="24.95" customHeight="1" thickTop="1" thickBot="1">
      <c r="A622" s="130" t="s">
        <v>16</v>
      </c>
      <c r="B622" s="67"/>
      <c r="C622" s="67"/>
      <c r="D622" s="68"/>
      <c r="E622" s="32"/>
      <c r="F622" s="131"/>
      <c r="G622" s="132"/>
      <c r="H622" s="131"/>
      <c r="I622" s="132"/>
      <c r="J622" s="131"/>
      <c r="K622" s="132"/>
      <c r="L622" s="131"/>
      <c r="M622" s="133"/>
    </row>
    <row r="623" spans="1:15" ht="24.95" customHeight="1" thickBot="1">
      <c r="A623" s="134" t="s">
        <v>17</v>
      </c>
      <c r="B623" s="135"/>
      <c r="C623" s="135"/>
      <c r="D623" s="59"/>
      <c r="E623" s="32"/>
      <c r="F623" s="58"/>
      <c r="G623" s="59"/>
      <c r="H623" s="58"/>
      <c r="I623" s="59"/>
      <c r="J623" s="58"/>
      <c r="K623" s="59"/>
      <c r="L623" s="58"/>
      <c r="M623" s="136"/>
    </row>
    <row r="624" spans="1:15" ht="24.95" customHeight="1" thickBot="1">
      <c r="A624" s="118" t="s">
        <v>18</v>
      </c>
      <c r="B624" s="119"/>
      <c r="C624" s="119"/>
      <c r="D624" s="120"/>
      <c r="E624" s="24"/>
      <c r="F624" s="121"/>
      <c r="G624" s="120"/>
      <c r="H624" s="121"/>
      <c r="I624" s="120"/>
      <c r="J624" s="121"/>
      <c r="K624" s="120"/>
      <c r="L624" s="121"/>
      <c r="M624" s="122"/>
    </row>
    <row r="625" spans="1:13" ht="24" customHeight="1" thickTop="1" thickBot="1">
      <c r="A625" s="66" t="s">
        <v>19</v>
      </c>
      <c r="B625" s="67"/>
      <c r="C625" s="67"/>
      <c r="D625" s="67"/>
      <c r="E625" s="67"/>
      <c r="F625" s="67"/>
      <c r="G625" s="67"/>
      <c r="H625" s="67"/>
      <c r="I625" s="67"/>
      <c r="J625" s="67"/>
      <c r="K625" s="67"/>
      <c r="L625" s="67"/>
      <c r="M625" s="68"/>
    </row>
    <row r="626" spans="1:13" ht="35.25" customHeight="1" thickBot="1">
      <c r="A626" s="75" t="s">
        <v>20</v>
      </c>
      <c r="B626" s="76"/>
      <c r="C626" s="76"/>
      <c r="D626" s="77"/>
      <c r="E626" s="14" t="s">
        <v>11</v>
      </c>
      <c r="F626" s="75" t="s">
        <v>39</v>
      </c>
      <c r="G626" s="77"/>
      <c r="H626" s="75" t="s">
        <v>21</v>
      </c>
      <c r="I626" s="77"/>
      <c r="J626" s="78" t="s">
        <v>22</v>
      </c>
      <c r="K626" s="79"/>
      <c r="L626" s="75" t="s">
        <v>15</v>
      </c>
      <c r="M626" s="77"/>
    </row>
    <row r="627" spans="1:13" ht="24" customHeight="1" thickBot="1">
      <c r="A627" s="96"/>
      <c r="B627" s="97"/>
      <c r="C627" s="97"/>
      <c r="D627" s="98"/>
      <c r="E627" s="32"/>
      <c r="F627" s="58"/>
      <c r="G627" s="59"/>
      <c r="H627" s="58"/>
      <c r="I627" s="59"/>
      <c r="J627" s="56"/>
      <c r="K627" s="57"/>
      <c r="L627" s="58"/>
      <c r="M627" s="59"/>
    </row>
    <row r="628" spans="1:13" ht="24" customHeight="1" thickBot="1">
      <c r="A628" s="96"/>
      <c r="B628" s="97"/>
      <c r="C628" s="97"/>
      <c r="D628" s="98"/>
      <c r="E628" s="32"/>
      <c r="F628" s="58"/>
      <c r="G628" s="59"/>
      <c r="H628" s="58"/>
      <c r="I628" s="59"/>
      <c r="J628" s="56"/>
      <c r="K628" s="57"/>
      <c r="L628" s="58"/>
      <c r="M628" s="59"/>
    </row>
    <row r="629" spans="1:13" ht="24" customHeight="1" thickBot="1">
      <c r="A629" s="60" t="s">
        <v>23</v>
      </c>
      <c r="B629" s="61"/>
      <c r="C629" s="61"/>
      <c r="D629" s="61"/>
      <c r="E629" s="61"/>
      <c r="F629" s="61"/>
      <c r="G629" s="61"/>
      <c r="H629" s="61"/>
      <c r="I629" s="61"/>
      <c r="J629" s="61"/>
      <c r="K629" s="61"/>
      <c r="L629" s="61"/>
      <c r="M629" s="62"/>
    </row>
    <row r="630" spans="1:13" ht="35.25" customHeight="1" thickBot="1">
      <c r="A630" s="75" t="s">
        <v>24</v>
      </c>
      <c r="B630" s="77"/>
      <c r="C630" s="75" t="s">
        <v>25</v>
      </c>
      <c r="D630" s="77"/>
      <c r="E630" s="75" t="s">
        <v>26</v>
      </c>
      <c r="F630" s="76"/>
      <c r="G630" s="77"/>
      <c r="H630" s="75" t="s">
        <v>27</v>
      </c>
      <c r="I630" s="77"/>
      <c r="J630" s="78" t="s">
        <v>21</v>
      </c>
      <c r="K630" s="79"/>
      <c r="L630" s="75" t="s">
        <v>22</v>
      </c>
      <c r="M630" s="77"/>
    </row>
    <row r="631" spans="1:13" s="18" customFormat="1" ht="24.75" customHeight="1" thickBot="1">
      <c r="A631" s="99"/>
      <c r="B631" s="98"/>
      <c r="C631" s="56"/>
      <c r="D631" s="57"/>
      <c r="E631" s="56"/>
      <c r="F631" s="100"/>
      <c r="G631" s="57"/>
      <c r="H631" s="56"/>
      <c r="I631" s="57"/>
      <c r="J631" s="56"/>
      <c r="K631" s="57"/>
      <c r="L631" s="56"/>
      <c r="M631" s="57"/>
    </row>
    <row r="632" spans="1:13" s="18" customFormat="1" ht="24.75" customHeight="1" thickBot="1">
      <c r="A632" s="99"/>
      <c r="B632" s="98"/>
      <c r="C632" s="56"/>
      <c r="D632" s="57"/>
      <c r="E632" s="56"/>
      <c r="F632" s="100"/>
      <c r="G632" s="57"/>
      <c r="H632" s="56"/>
      <c r="I632" s="57"/>
      <c r="J632" s="56"/>
      <c r="K632" s="57"/>
      <c r="L632" s="56"/>
      <c r="M632" s="57"/>
    </row>
    <row r="633" spans="1:13" ht="33" customHeight="1" thickBot="1">
      <c r="A633" s="112" t="s">
        <v>60</v>
      </c>
      <c r="B633" s="113"/>
      <c r="C633" s="113"/>
      <c r="D633" s="113"/>
      <c r="E633" s="113"/>
      <c r="F633" s="113"/>
      <c r="G633" s="113"/>
      <c r="H633" s="113"/>
      <c r="I633" s="113"/>
      <c r="J633" s="113"/>
      <c r="K633" s="113"/>
      <c r="L633" s="113"/>
      <c r="M633" s="114"/>
    </row>
    <row r="634" spans="1:13" ht="16.5" customHeight="1">
      <c r="A634" s="115" t="s">
        <v>41</v>
      </c>
      <c r="B634" s="116"/>
      <c r="C634" s="116"/>
      <c r="D634" s="116"/>
      <c r="E634" s="116"/>
      <c r="F634" s="116"/>
      <c r="G634" s="116"/>
      <c r="H634" s="116"/>
      <c r="I634" s="116"/>
      <c r="J634" s="116"/>
      <c r="K634" s="116"/>
      <c r="L634" s="116"/>
      <c r="M634" s="117"/>
    </row>
    <row r="635" spans="1:13" ht="16.5" customHeight="1">
      <c r="A635" s="90" t="s">
        <v>28</v>
      </c>
      <c r="B635" s="91"/>
      <c r="C635" s="91"/>
      <c r="D635" s="91"/>
      <c r="E635" s="91"/>
      <c r="F635" s="91"/>
      <c r="G635" s="91"/>
      <c r="H635" s="91"/>
      <c r="I635" s="91"/>
      <c r="J635" s="91"/>
      <c r="K635" s="91"/>
      <c r="L635" s="91"/>
      <c r="M635" s="92"/>
    </row>
    <row r="636" spans="1:13" ht="16.5" customHeight="1">
      <c r="A636" s="106" t="s">
        <v>42</v>
      </c>
      <c r="B636" s="107"/>
      <c r="C636" s="107"/>
      <c r="D636" s="107"/>
      <c r="E636" s="107"/>
      <c r="F636" s="107"/>
      <c r="G636" s="107"/>
      <c r="H636" s="107"/>
      <c r="I636" s="107"/>
      <c r="J636" s="107"/>
      <c r="K636" s="107"/>
      <c r="L636" s="107"/>
      <c r="M636" s="108"/>
    </row>
    <row r="637" spans="1:13" ht="16.5" customHeight="1">
      <c r="A637" s="106" t="s">
        <v>43</v>
      </c>
      <c r="B637" s="107"/>
      <c r="C637" s="107"/>
      <c r="D637" s="107"/>
      <c r="E637" s="107"/>
      <c r="F637" s="107"/>
      <c r="G637" s="107"/>
      <c r="H637" s="107"/>
      <c r="I637" s="107"/>
      <c r="J637" s="107"/>
      <c r="K637" s="107"/>
      <c r="L637" s="107"/>
      <c r="M637" s="108"/>
    </row>
    <row r="638" spans="1:13" ht="16.5" customHeight="1">
      <c r="A638" s="106" t="s">
        <v>44</v>
      </c>
      <c r="B638" s="107"/>
      <c r="C638" s="107"/>
      <c r="D638" s="107"/>
      <c r="E638" s="107"/>
      <c r="F638" s="107"/>
      <c r="G638" s="107"/>
      <c r="H638" s="107"/>
      <c r="I638" s="107"/>
      <c r="J638" s="107"/>
      <c r="K638" s="107"/>
      <c r="L638" s="107"/>
      <c r="M638" s="108"/>
    </row>
    <row r="639" spans="1:13" ht="16.5" customHeight="1">
      <c r="A639" s="106" t="s">
        <v>45</v>
      </c>
      <c r="B639" s="107"/>
      <c r="C639" s="107"/>
      <c r="D639" s="107"/>
      <c r="E639" s="107"/>
      <c r="F639" s="107"/>
      <c r="G639" s="107"/>
      <c r="H639" s="107"/>
      <c r="I639" s="107"/>
      <c r="J639" s="107"/>
      <c r="K639" s="107"/>
      <c r="L639" s="107"/>
      <c r="M639" s="108"/>
    </row>
    <row r="640" spans="1:13" ht="16.5" customHeight="1">
      <c r="A640" s="106" t="s">
        <v>29</v>
      </c>
      <c r="B640" s="107"/>
      <c r="C640" s="107"/>
      <c r="D640" s="107"/>
      <c r="E640" s="107"/>
      <c r="F640" s="107"/>
      <c r="G640" s="107"/>
      <c r="H640" s="107"/>
      <c r="I640" s="107"/>
      <c r="J640" s="107"/>
      <c r="K640" s="107"/>
      <c r="L640" s="107"/>
      <c r="M640" s="108"/>
    </row>
    <row r="641" spans="1:13" ht="9.75" customHeight="1" thickBot="1">
      <c r="A641" s="109"/>
      <c r="B641" s="110"/>
      <c r="C641" s="110"/>
      <c r="D641" s="110"/>
      <c r="E641" s="110"/>
      <c r="F641" s="110"/>
      <c r="G641" s="110"/>
      <c r="H641" s="110"/>
      <c r="I641" s="110"/>
      <c r="J641" s="110"/>
      <c r="K641" s="110"/>
      <c r="L641" s="110"/>
      <c r="M641" s="111"/>
    </row>
    <row r="642" spans="1:13" ht="18.75" customHeight="1" thickBot="1">
      <c r="A642" s="72" t="s">
        <v>30</v>
      </c>
      <c r="B642" s="73"/>
      <c r="C642" s="73"/>
      <c r="D642" s="73"/>
      <c r="E642" s="73"/>
      <c r="F642" s="73"/>
      <c r="G642" s="73"/>
      <c r="H642" s="73"/>
      <c r="I642" s="73"/>
      <c r="J642" s="73"/>
      <c r="K642" s="73"/>
      <c r="L642" s="73"/>
      <c r="M642" s="74"/>
    </row>
    <row r="643" spans="1:13" ht="24" customHeight="1" thickBot="1">
      <c r="A643" s="72" t="s">
        <v>31</v>
      </c>
      <c r="B643" s="73"/>
      <c r="C643" s="73"/>
      <c r="D643" s="73"/>
      <c r="E643" s="73"/>
      <c r="F643" s="73"/>
      <c r="G643" s="73"/>
      <c r="H643" s="73"/>
      <c r="I643" s="73"/>
      <c r="J643" s="73"/>
      <c r="K643" s="73"/>
      <c r="L643" s="73"/>
      <c r="M643" s="74"/>
    </row>
    <row r="644" spans="1:13" ht="24" customHeight="1" thickBot="1">
      <c r="A644" s="72" t="s">
        <v>129</v>
      </c>
      <c r="B644" s="73"/>
      <c r="C644" s="73"/>
      <c r="D644" s="73"/>
      <c r="E644" s="73"/>
      <c r="F644" s="73"/>
      <c r="G644" s="73"/>
      <c r="H644" s="73"/>
      <c r="I644" s="73"/>
      <c r="J644" s="73"/>
      <c r="K644" s="73"/>
      <c r="L644" s="73"/>
      <c r="M644" s="74"/>
    </row>
    <row r="645" spans="1:13" ht="24" customHeight="1" thickBot="1">
      <c r="A645" s="60" t="s">
        <v>46</v>
      </c>
      <c r="B645" s="61"/>
      <c r="C645" s="61"/>
      <c r="D645" s="61"/>
      <c r="E645" s="61"/>
      <c r="F645" s="61"/>
      <c r="G645" s="61"/>
      <c r="H645" s="61"/>
      <c r="I645" s="61"/>
      <c r="J645" s="61"/>
      <c r="K645" s="61"/>
      <c r="L645" s="61"/>
      <c r="M645" s="62"/>
    </row>
    <row r="646" spans="1:13" ht="11.1" customHeight="1">
      <c r="A646" s="103" t="s">
        <v>47</v>
      </c>
      <c r="B646" s="103"/>
      <c r="C646" s="103"/>
      <c r="D646" s="103"/>
      <c r="E646" s="103"/>
      <c r="F646" s="103"/>
      <c r="G646" s="103"/>
      <c r="H646" s="103"/>
      <c r="I646" s="103"/>
      <c r="J646" s="103"/>
      <c r="K646" s="103"/>
      <c r="L646" s="103"/>
      <c r="M646" s="103"/>
    </row>
    <row r="647" spans="1:13" ht="11.1" customHeight="1">
      <c r="A647" s="104" t="s">
        <v>48</v>
      </c>
      <c r="B647" s="104"/>
      <c r="C647" s="104"/>
      <c r="D647" s="104"/>
      <c r="E647" s="104"/>
      <c r="F647" s="104"/>
      <c r="G647" s="104"/>
      <c r="H647" s="104"/>
      <c r="I647" s="104"/>
      <c r="J647" s="104"/>
      <c r="K647" s="104"/>
      <c r="L647" s="104"/>
      <c r="M647" s="104"/>
    </row>
    <row r="648" spans="1:13" ht="11.1" customHeight="1">
      <c r="A648" s="105" t="s">
        <v>49</v>
      </c>
      <c r="B648" s="105"/>
      <c r="C648" s="105"/>
      <c r="D648" s="105"/>
      <c r="E648" s="105"/>
      <c r="F648" s="105"/>
      <c r="G648" s="105"/>
      <c r="H648" s="105"/>
      <c r="I648" s="105"/>
      <c r="J648" s="105"/>
      <c r="K648" s="105"/>
      <c r="L648" s="105"/>
      <c r="M648" s="105"/>
    </row>
    <row r="649" spans="1:13" ht="11.1" customHeight="1">
      <c r="A649" s="105" t="s">
        <v>50</v>
      </c>
      <c r="B649" s="105"/>
      <c r="C649" s="105"/>
      <c r="D649" s="105"/>
      <c r="E649" s="105"/>
      <c r="F649" s="105"/>
      <c r="G649" s="105"/>
      <c r="H649" s="105"/>
      <c r="I649" s="105"/>
      <c r="J649" s="105"/>
      <c r="K649" s="105"/>
      <c r="L649" s="105"/>
      <c r="M649" s="105"/>
    </row>
    <row r="650" spans="1:13" ht="11.1" customHeight="1">
      <c r="A650" s="104" t="s">
        <v>51</v>
      </c>
      <c r="B650" s="104"/>
      <c r="C650" s="104"/>
      <c r="D650" s="104"/>
      <c r="E650" s="104"/>
      <c r="F650" s="104"/>
      <c r="G650" s="104"/>
      <c r="H650" s="104"/>
      <c r="I650" s="104"/>
      <c r="J650" s="104"/>
      <c r="K650" s="104"/>
      <c r="L650" s="104"/>
      <c r="M650" s="104"/>
    </row>
    <row r="651" spans="1:13" ht="11.1" customHeight="1">
      <c r="A651" s="104" t="s">
        <v>52</v>
      </c>
      <c r="B651" s="104"/>
      <c r="C651" s="104"/>
      <c r="D651" s="104"/>
      <c r="E651" s="104"/>
      <c r="F651" s="104"/>
      <c r="G651" s="104"/>
      <c r="H651" s="104"/>
      <c r="I651" s="104"/>
      <c r="J651" s="104"/>
      <c r="K651" s="104"/>
      <c r="L651" s="104"/>
      <c r="M651" s="104"/>
    </row>
    <row r="652" spans="1:13" ht="11.1" customHeight="1">
      <c r="A652" s="104" t="s">
        <v>53</v>
      </c>
      <c r="B652" s="104"/>
      <c r="C652" s="104"/>
      <c r="D652" s="104"/>
      <c r="E652" s="104"/>
      <c r="F652" s="104"/>
      <c r="G652" s="104"/>
      <c r="H652" s="104"/>
      <c r="I652" s="104"/>
      <c r="J652" s="104"/>
      <c r="K652" s="104"/>
      <c r="L652" s="104"/>
      <c r="M652" s="104"/>
    </row>
    <row r="653" spans="1:13" ht="11.1" customHeight="1">
      <c r="A653" s="101" t="s">
        <v>54</v>
      </c>
      <c r="B653" s="101"/>
      <c r="C653" s="101"/>
      <c r="D653" s="101"/>
      <c r="E653" s="101"/>
      <c r="F653" s="101"/>
      <c r="G653" s="101"/>
      <c r="H653" s="101"/>
      <c r="I653" s="101"/>
      <c r="J653" s="101"/>
      <c r="K653" s="101"/>
      <c r="L653" s="101"/>
      <c r="M653" s="101"/>
    </row>
    <row r="654" spans="1:13" ht="11.1" customHeight="1">
      <c r="A654" s="101" t="s">
        <v>55</v>
      </c>
      <c r="B654" s="101"/>
      <c r="C654" s="101"/>
      <c r="D654" s="101"/>
      <c r="E654" s="101"/>
      <c r="F654" s="101"/>
      <c r="G654" s="101"/>
      <c r="H654" s="101"/>
      <c r="I654" s="101"/>
      <c r="J654" s="101"/>
      <c r="K654" s="101"/>
      <c r="L654" s="101"/>
      <c r="M654" s="101"/>
    </row>
    <row r="655" spans="1:13" ht="19.5" customHeight="1">
      <c r="A655" s="69" t="s">
        <v>0</v>
      </c>
      <c r="B655" s="69"/>
      <c r="C655" s="69"/>
      <c r="D655" s="69"/>
      <c r="E655" s="69"/>
      <c r="F655" s="69"/>
      <c r="G655" s="69"/>
      <c r="H655" s="69"/>
      <c r="I655" s="69"/>
      <c r="J655" s="69"/>
      <c r="K655" s="69"/>
      <c r="L655" s="69"/>
      <c r="M655" s="69"/>
    </row>
    <row r="656" spans="1:13" ht="20.100000000000001" customHeight="1">
      <c r="A656" s="4" t="s">
        <v>32</v>
      </c>
      <c r="B656" s="5">
        <f>+B612+1</f>
        <v>51</v>
      </c>
      <c r="C656" s="30"/>
      <c r="D656" s="30"/>
      <c r="E656" s="30"/>
      <c r="F656" s="30"/>
      <c r="G656" s="30"/>
      <c r="H656" s="30"/>
      <c r="I656" s="30"/>
      <c r="J656" s="30"/>
      <c r="K656" s="30"/>
      <c r="L656" s="30"/>
      <c r="M656" s="30"/>
    </row>
    <row r="657" spans="1:15" ht="24" customHeight="1" thickBot="1">
      <c r="A657" s="4" t="s">
        <v>33</v>
      </c>
      <c r="H657" s="70" t="s">
        <v>34</v>
      </c>
      <c r="I657" s="70"/>
      <c r="J657" s="70"/>
      <c r="K657" s="102">
        <f>+K613+1</f>
        <v>45977</v>
      </c>
      <c r="L657" s="102"/>
      <c r="M657" s="102"/>
      <c r="O657" s="7"/>
    </row>
    <row r="658" spans="1:15" ht="33.75" customHeight="1" thickBot="1">
      <c r="A658" s="80" t="s">
        <v>1</v>
      </c>
      <c r="B658" s="81"/>
      <c r="C658" s="82"/>
      <c r="D658" s="86" t="str">
        <f>+D614</f>
        <v>光明國中B與C區5樓老舊廁所整修工程</v>
      </c>
      <c r="E658" s="87"/>
      <c r="F658" s="87"/>
      <c r="G658" s="88"/>
      <c r="H658" s="80" t="s">
        <v>2</v>
      </c>
      <c r="I658" s="81"/>
      <c r="J658" s="82"/>
      <c r="K658" s="80" t="s">
        <v>35</v>
      </c>
      <c r="L658" s="81"/>
      <c r="M658" s="82"/>
    </row>
    <row r="659" spans="1:15" ht="33.75" customHeight="1" thickBot="1">
      <c r="A659" s="8" t="s">
        <v>3</v>
      </c>
      <c r="B659" s="29">
        <f>+B615</f>
        <v>142</v>
      </c>
      <c r="C659" s="10" t="s">
        <v>36</v>
      </c>
      <c r="D659" s="80" t="s">
        <v>4</v>
      </c>
      <c r="E659" s="89"/>
      <c r="F659" s="31">
        <f>+F615+1</f>
        <v>51</v>
      </c>
      <c r="G659" s="12" t="s">
        <v>36</v>
      </c>
      <c r="H659" s="13" t="s">
        <v>5</v>
      </c>
      <c r="I659" s="29">
        <f>+B659-F659</f>
        <v>91</v>
      </c>
      <c r="J659" s="10" t="s">
        <v>36</v>
      </c>
      <c r="K659" s="80" t="s">
        <v>6</v>
      </c>
      <c r="L659" s="82"/>
      <c r="M659" s="13">
        <f>+M615</f>
        <v>12</v>
      </c>
    </row>
    <row r="660" spans="1:15" ht="24" customHeight="1" thickBot="1">
      <c r="A660" s="80" t="s">
        <v>7</v>
      </c>
      <c r="B660" s="81"/>
      <c r="C660" s="82"/>
      <c r="D660" s="80" t="str">
        <f>+D616</f>
        <v>114.9.27</v>
      </c>
      <c r="E660" s="81"/>
      <c r="F660" s="81"/>
      <c r="G660" s="82"/>
      <c r="H660" s="80" t="s">
        <v>8</v>
      </c>
      <c r="I660" s="81"/>
      <c r="J660" s="82"/>
      <c r="K660" s="80" t="str">
        <f>+K616</f>
        <v>115.2.15</v>
      </c>
      <c r="L660" s="81"/>
      <c r="M660" s="82"/>
    </row>
    <row r="661" spans="1:15" ht="24" customHeight="1" thickBot="1">
      <c r="A661" s="80" t="s">
        <v>37</v>
      </c>
      <c r="B661" s="81"/>
      <c r="C661" s="82"/>
      <c r="D661" s="83">
        <v>0.21</v>
      </c>
      <c r="E661" s="84"/>
      <c r="F661" s="84"/>
      <c r="G661" s="85"/>
      <c r="H661" s="80" t="s">
        <v>38</v>
      </c>
      <c r="I661" s="81"/>
      <c r="J661" s="82"/>
      <c r="K661" s="83">
        <f>+K617+1%</f>
        <v>0.27400000000000008</v>
      </c>
      <c r="L661" s="84"/>
      <c r="M661" s="85"/>
    </row>
    <row r="662" spans="1:15" ht="24" customHeight="1" thickBot="1">
      <c r="A662" s="72" t="s">
        <v>9</v>
      </c>
      <c r="B662" s="73"/>
      <c r="C662" s="73"/>
      <c r="D662" s="73"/>
      <c r="E662" s="73"/>
      <c r="F662" s="73"/>
      <c r="G662" s="73"/>
      <c r="H662" s="73"/>
      <c r="I662" s="73"/>
      <c r="J662" s="73"/>
      <c r="K662" s="73"/>
      <c r="L662" s="73"/>
      <c r="M662" s="74"/>
    </row>
    <row r="663" spans="1:15" ht="35.25" customHeight="1" thickBot="1">
      <c r="A663" s="75" t="s">
        <v>10</v>
      </c>
      <c r="B663" s="76"/>
      <c r="C663" s="76"/>
      <c r="D663" s="77"/>
      <c r="E663" s="14" t="s">
        <v>11</v>
      </c>
      <c r="F663" s="75" t="s">
        <v>12</v>
      </c>
      <c r="G663" s="77"/>
      <c r="H663" s="75" t="s">
        <v>13</v>
      </c>
      <c r="I663" s="77"/>
      <c r="J663" s="78" t="s">
        <v>14</v>
      </c>
      <c r="K663" s="79"/>
      <c r="L663" s="75" t="s">
        <v>15</v>
      </c>
      <c r="M663" s="77"/>
    </row>
    <row r="664" spans="1:15" ht="27.95" customHeight="1" thickBot="1">
      <c r="A664" s="141" t="s">
        <v>120</v>
      </c>
      <c r="B664" s="142"/>
      <c r="C664" s="142"/>
      <c r="D664" s="143"/>
      <c r="E664" s="2" t="s">
        <v>69</v>
      </c>
      <c r="F664" s="56">
        <v>1</v>
      </c>
      <c r="G664" s="57"/>
      <c r="H664" s="56">
        <v>0.3</v>
      </c>
      <c r="I664" s="57"/>
      <c r="J664" s="56">
        <v>1</v>
      </c>
      <c r="K664" s="57"/>
      <c r="L664" s="58"/>
      <c r="M664" s="59"/>
    </row>
    <row r="665" spans="1:15" ht="27.95" customHeight="1" thickBot="1">
      <c r="A665" s="141"/>
      <c r="B665" s="142"/>
      <c r="C665" s="142"/>
      <c r="D665" s="143"/>
      <c r="E665" s="15"/>
      <c r="F665" s="56"/>
      <c r="G665" s="57"/>
      <c r="H665" s="56"/>
      <c r="I665" s="57"/>
      <c r="J665" s="56"/>
      <c r="K665" s="57"/>
      <c r="L665" s="58"/>
      <c r="M665" s="59"/>
    </row>
    <row r="666" spans="1:15" ht="24.95" customHeight="1" thickTop="1" thickBot="1">
      <c r="A666" s="130" t="s">
        <v>16</v>
      </c>
      <c r="B666" s="67"/>
      <c r="C666" s="67"/>
      <c r="D666" s="68"/>
      <c r="E666" s="42"/>
      <c r="F666" s="131"/>
      <c r="G666" s="132"/>
      <c r="H666" s="131"/>
      <c r="I666" s="132"/>
      <c r="J666" s="131"/>
      <c r="K666" s="132"/>
      <c r="L666" s="131"/>
      <c r="M666" s="133"/>
    </row>
    <row r="667" spans="1:15" ht="24.95" customHeight="1" thickBot="1">
      <c r="A667" s="134" t="s">
        <v>17</v>
      </c>
      <c r="B667" s="135"/>
      <c r="C667" s="135"/>
      <c r="D667" s="59"/>
      <c r="E667" s="42"/>
      <c r="F667" s="58"/>
      <c r="G667" s="59"/>
      <c r="H667" s="58"/>
      <c r="I667" s="59"/>
      <c r="J667" s="58"/>
      <c r="K667" s="59"/>
      <c r="L667" s="58"/>
      <c r="M667" s="136"/>
    </row>
    <row r="668" spans="1:15" ht="24.95" customHeight="1" thickBot="1">
      <c r="A668" s="118" t="s">
        <v>18</v>
      </c>
      <c r="B668" s="119"/>
      <c r="C668" s="119"/>
      <c r="D668" s="120"/>
      <c r="E668" s="24"/>
      <c r="F668" s="121"/>
      <c r="G668" s="120"/>
      <c r="H668" s="121"/>
      <c r="I668" s="120"/>
      <c r="J668" s="121"/>
      <c r="K668" s="120"/>
      <c r="L668" s="121"/>
      <c r="M668" s="122"/>
    </row>
    <row r="669" spans="1:15" ht="24" customHeight="1" thickTop="1" thickBot="1">
      <c r="A669" s="66" t="s">
        <v>19</v>
      </c>
      <c r="B669" s="67"/>
      <c r="C669" s="67"/>
      <c r="D669" s="67"/>
      <c r="E669" s="67"/>
      <c r="F669" s="67"/>
      <c r="G669" s="67"/>
      <c r="H669" s="67"/>
      <c r="I669" s="67"/>
      <c r="J669" s="67"/>
      <c r="K669" s="67"/>
      <c r="L669" s="67"/>
      <c r="M669" s="68"/>
    </row>
    <row r="670" spans="1:15" ht="35.25" customHeight="1" thickBot="1">
      <c r="A670" s="75" t="s">
        <v>20</v>
      </c>
      <c r="B670" s="76"/>
      <c r="C670" s="76"/>
      <c r="D670" s="77"/>
      <c r="E670" s="14" t="s">
        <v>11</v>
      </c>
      <c r="F670" s="75" t="s">
        <v>39</v>
      </c>
      <c r="G670" s="77"/>
      <c r="H670" s="75" t="s">
        <v>21</v>
      </c>
      <c r="I670" s="77"/>
      <c r="J670" s="78" t="s">
        <v>22</v>
      </c>
      <c r="K670" s="79"/>
      <c r="L670" s="75" t="s">
        <v>15</v>
      </c>
      <c r="M670" s="77"/>
    </row>
    <row r="671" spans="1:15" ht="24" customHeight="1" thickBot="1">
      <c r="A671" s="96"/>
      <c r="B671" s="97"/>
      <c r="C671" s="97"/>
      <c r="D671" s="98"/>
      <c r="E671" s="42"/>
      <c r="F671" s="58"/>
      <c r="G671" s="59"/>
      <c r="H671" s="58"/>
      <c r="I671" s="59"/>
      <c r="J671" s="56"/>
      <c r="K671" s="57"/>
      <c r="L671" s="58"/>
      <c r="M671" s="59"/>
    </row>
    <row r="672" spans="1:15" ht="24" customHeight="1" thickBot="1">
      <c r="A672" s="96"/>
      <c r="B672" s="97"/>
      <c r="C672" s="97"/>
      <c r="D672" s="98"/>
      <c r="E672" s="42"/>
      <c r="F672" s="58"/>
      <c r="G672" s="59"/>
      <c r="H672" s="58"/>
      <c r="I672" s="59"/>
      <c r="J672" s="56"/>
      <c r="K672" s="57"/>
      <c r="L672" s="58"/>
      <c r="M672" s="59"/>
    </row>
    <row r="673" spans="1:13" ht="24" customHeight="1" thickBot="1">
      <c r="A673" s="60" t="s">
        <v>23</v>
      </c>
      <c r="B673" s="61"/>
      <c r="C673" s="61"/>
      <c r="D673" s="61"/>
      <c r="E673" s="61"/>
      <c r="F673" s="61"/>
      <c r="G673" s="61"/>
      <c r="H673" s="61"/>
      <c r="I673" s="61"/>
      <c r="J673" s="61"/>
      <c r="K673" s="61"/>
      <c r="L673" s="61"/>
      <c r="M673" s="62"/>
    </row>
    <row r="674" spans="1:13" ht="35.25" customHeight="1" thickBot="1">
      <c r="A674" s="75" t="s">
        <v>24</v>
      </c>
      <c r="B674" s="77"/>
      <c r="C674" s="75" t="s">
        <v>25</v>
      </c>
      <c r="D674" s="77"/>
      <c r="E674" s="75" t="s">
        <v>26</v>
      </c>
      <c r="F674" s="76"/>
      <c r="G674" s="77"/>
      <c r="H674" s="75" t="s">
        <v>27</v>
      </c>
      <c r="I674" s="77"/>
      <c r="J674" s="78" t="s">
        <v>21</v>
      </c>
      <c r="K674" s="79"/>
      <c r="L674" s="75" t="s">
        <v>22</v>
      </c>
      <c r="M674" s="77"/>
    </row>
    <row r="675" spans="1:13" s="18" customFormat="1" ht="24.75" customHeight="1" thickBot="1">
      <c r="A675" s="99" t="s">
        <v>119</v>
      </c>
      <c r="B675" s="98"/>
      <c r="C675" s="56">
        <v>3</v>
      </c>
      <c r="D675" s="57"/>
      <c r="E675" s="56">
        <v>16</v>
      </c>
      <c r="F675" s="100"/>
      <c r="G675" s="57"/>
      <c r="H675" s="56"/>
      <c r="I675" s="57"/>
      <c r="J675" s="56"/>
      <c r="K675" s="57"/>
      <c r="L675" s="56"/>
      <c r="M675" s="57"/>
    </row>
    <row r="676" spans="1:13" s="18" customFormat="1" ht="24.75" customHeight="1" thickBot="1">
      <c r="A676" s="99"/>
      <c r="B676" s="98"/>
      <c r="C676" s="56"/>
      <c r="D676" s="57"/>
      <c r="E676" s="56"/>
      <c r="F676" s="100"/>
      <c r="G676" s="57"/>
      <c r="H676" s="56"/>
      <c r="I676" s="57"/>
      <c r="J676" s="56"/>
      <c r="K676" s="57"/>
      <c r="L676" s="56"/>
      <c r="M676" s="57"/>
    </row>
    <row r="677" spans="1:13" ht="33" customHeight="1" thickBot="1">
      <c r="A677" s="112" t="s">
        <v>40</v>
      </c>
      <c r="B677" s="113"/>
      <c r="C677" s="113"/>
      <c r="D677" s="113"/>
      <c r="E677" s="113"/>
      <c r="F677" s="113"/>
      <c r="G677" s="113"/>
      <c r="H677" s="113"/>
      <c r="I677" s="113"/>
      <c r="J677" s="113"/>
      <c r="K677" s="113"/>
      <c r="L677" s="113"/>
      <c r="M677" s="114"/>
    </row>
    <row r="678" spans="1:13" ht="16.5" customHeight="1">
      <c r="A678" s="115" t="s">
        <v>41</v>
      </c>
      <c r="B678" s="116"/>
      <c r="C678" s="116"/>
      <c r="D678" s="116"/>
      <c r="E678" s="116"/>
      <c r="F678" s="116"/>
      <c r="G678" s="116"/>
      <c r="H678" s="116"/>
      <c r="I678" s="116"/>
      <c r="J678" s="116"/>
      <c r="K678" s="116"/>
      <c r="L678" s="116"/>
      <c r="M678" s="117"/>
    </row>
    <row r="679" spans="1:13" ht="16.5" customHeight="1">
      <c r="A679" s="90" t="s">
        <v>28</v>
      </c>
      <c r="B679" s="91"/>
      <c r="C679" s="91"/>
      <c r="D679" s="91"/>
      <c r="E679" s="91"/>
      <c r="F679" s="91"/>
      <c r="G679" s="91"/>
      <c r="H679" s="91"/>
      <c r="I679" s="91"/>
      <c r="J679" s="91"/>
      <c r="K679" s="91"/>
      <c r="L679" s="91"/>
      <c r="M679" s="92"/>
    </row>
    <row r="680" spans="1:13" s="1" customFormat="1" ht="16.5" customHeight="1">
      <c r="A680" s="93" t="s">
        <v>56</v>
      </c>
      <c r="B680" s="94"/>
      <c r="C680" s="94"/>
      <c r="D680" s="94"/>
      <c r="E680" s="94"/>
      <c r="F680" s="94"/>
      <c r="G680" s="94"/>
      <c r="H680" s="94"/>
      <c r="I680" s="94"/>
      <c r="J680" s="94"/>
      <c r="K680" s="94"/>
      <c r="L680" s="94"/>
      <c r="M680" s="95"/>
    </row>
    <row r="681" spans="1:13" s="1" customFormat="1" ht="16.5" customHeight="1">
      <c r="A681" s="93" t="s">
        <v>57</v>
      </c>
      <c r="B681" s="94"/>
      <c r="C681" s="94"/>
      <c r="D681" s="94"/>
      <c r="E681" s="94"/>
      <c r="F681" s="94"/>
      <c r="G681" s="94"/>
      <c r="H681" s="94"/>
      <c r="I681" s="94"/>
      <c r="J681" s="94"/>
      <c r="K681" s="94"/>
      <c r="L681" s="94"/>
      <c r="M681" s="95"/>
    </row>
    <row r="682" spans="1:13" s="1" customFormat="1" ht="16.5" customHeight="1">
      <c r="A682" s="93" t="s">
        <v>58</v>
      </c>
      <c r="B682" s="94"/>
      <c r="C682" s="94"/>
      <c r="D682" s="94"/>
      <c r="E682" s="94"/>
      <c r="F682" s="94"/>
      <c r="G682" s="94"/>
      <c r="H682" s="94"/>
      <c r="I682" s="94"/>
      <c r="J682" s="94"/>
      <c r="K682" s="94"/>
      <c r="L682" s="94"/>
      <c r="M682" s="95"/>
    </row>
    <row r="683" spans="1:13" s="1" customFormat="1" ht="16.5" customHeight="1">
      <c r="A683" s="93" t="s">
        <v>59</v>
      </c>
      <c r="B683" s="94"/>
      <c r="C683" s="94"/>
      <c r="D683" s="94"/>
      <c r="E683" s="94"/>
      <c r="F683" s="94"/>
      <c r="G683" s="94"/>
      <c r="H683" s="94"/>
      <c r="I683" s="94"/>
      <c r="J683" s="94"/>
      <c r="K683" s="94"/>
      <c r="L683" s="94"/>
      <c r="M683" s="95"/>
    </row>
    <row r="684" spans="1:13" ht="16.5" customHeight="1">
      <c r="A684" s="106" t="s">
        <v>29</v>
      </c>
      <c r="B684" s="107"/>
      <c r="C684" s="107"/>
      <c r="D684" s="107"/>
      <c r="E684" s="107"/>
      <c r="F684" s="107"/>
      <c r="G684" s="107"/>
      <c r="H684" s="107"/>
      <c r="I684" s="107"/>
      <c r="J684" s="107"/>
      <c r="K684" s="107"/>
      <c r="L684" s="107"/>
      <c r="M684" s="108"/>
    </row>
    <row r="685" spans="1:13" ht="9.75" customHeight="1" thickBot="1">
      <c r="A685" s="109"/>
      <c r="B685" s="110"/>
      <c r="C685" s="110"/>
      <c r="D685" s="110"/>
      <c r="E685" s="110"/>
      <c r="F685" s="110"/>
      <c r="G685" s="110"/>
      <c r="H685" s="110"/>
      <c r="I685" s="110"/>
      <c r="J685" s="110"/>
      <c r="K685" s="110"/>
      <c r="L685" s="110"/>
      <c r="M685" s="111"/>
    </row>
    <row r="686" spans="1:13" ht="18.75" customHeight="1" thickBot="1">
      <c r="A686" s="72" t="s">
        <v>30</v>
      </c>
      <c r="B686" s="73"/>
      <c r="C686" s="73"/>
      <c r="D686" s="73"/>
      <c r="E686" s="73"/>
      <c r="F686" s="73"/>
      <c r="G686" s="73"/>
      <c r="H686" s="73"/>
      <c r="I686" s="73"/>
      <c r="J686" s="73"/>
      <c r="K686" s="73"/>
      <c r="L686" s="73"/>
      <c r="M686" s="74"/>
    </row>
    <row r="687" spans="1:13" ht="24" customHeight="1" thickBot="1">
      <c r="A687" s="72" t="s">
        <v>31</v>
      </c>
      <c r="B687" s="73"/>
      <c r="C687" s="73"/>
      <c r="D687" s="73"/>
      <c r="E687" s="73"/>
      <c r="F687" s="73"/>
      <c r="G687" s="73"/>
      <c r="H687" s="73"/>
      <c r="I687" s="73"/>
      <c r="J687" s="73"/>
      <c r="K687" s="73"/>
      <c r="L687" s="73"/>
      <c r="M687" s="74"/>
    </row>
    <row r="688" spans="1:13" ht="24" customHeight="1" thickBot="1">
      <c r="A688" s="72" t="s">
        <v>139</v>
      </c>
      <c r="B688" s="73"/>
      <c r="C688" s="73"/>
      <c r="D688" s="73"/>
      <c r="E688" s="73"/>
      <c r="F688" s="73"/>
      <c r="G688" s="73"/>
      <c r="H688" s="73"/>
      <c r="I688" s="73"/>
      <c r="J688" s="73"/>
      <c r="K688" s="73"/>
      <c r="L688" s="73"/>
      <c r="M688" s="74"/>
    </row>
    <row r="689" spans="1:15" ht="24" customHeight="1" thickBot="1">
      <c r="A689" s="60" t="s">
        <v>46</v>
      </c>
      <c r="B689" s="61"/>
      <c r="C689" s="61"/>
      <c r="D689" s="61"/>
      <c r="E689" s="61"/>
      <c r="F689" s="61"/>
      <c r="G689" s="61"/>
      <c r="H689" s="61"/>
      <c r="I689" s="61"/>
      <c r="J689" s="61"/>
      <c r="K689" s="61"/>
      <c r="L689" s="61"/>
      <c r="M689" s="62"/>
    </row>
    <row r="690" spans="1:15" ht="11.1" customHeight="1">
      <c r="A690" s="103" t="s">
        <v>47</v>
      </c>
      <c r="B690" s="103"/>
      <c r="C690" s="103"/>
      <c r="D690" s="103"/>
      <c r="E690" s="103"/>
      <c r="F690" s="103"/>
      <c r="G690" s="103"/>
      <c r="H690" s="103"/>
      <c r="I690" s="103"/>
      <c r="J690" s="103"/>
      <c r="K690" s="103"/>
      <c r="L690" s="103"/>
      <c r="M690" s="103"/>
    </row>
    <row r="691" spans="1:15" ht="11.1" customHeight="1">
      <c r="A691" s="104" t="s">
        <v>48</v>
      </c>
      <c r="B691" s="104"/>
      <c r="C691" s="104"/>
      <c r="D691" s="104"/>
      <c r="E691" s="104"/>
      <c r="F691" s="104"/>
      <c r="G691" s="104"/>
      <c r="H691" s="104"/>
      <c r="I691" s="104"/>
      <c r="J691" s="104"/>
      <c r="K691" s="104"/>
      <c r="L691" s="104"/>
      <c r="M691" s="104"/>
    </row>
    <row r="692" spans="1:15" ht="11.1" customHeight="1">
      <c r="A692" s="105" t="s">
        <v>49</v>
      </c>
      <c r="B692" s="105"/>
      <c r="C692" s="105"/>
      <c r="D692" s="105"/>
      <c r="E692" s="105"/>
      <c r="F692" s="105"/>
      <c r="G692" s="105"/>
      <c r="H692" s="105"/>
      <c r="I692" s="105"/>
      <c r="J692" s="105"/>
      <c r="K692" s="105"/>
      <c r="L692" s="105"/>
      <c r="M692" s="105"/>
    </row>
    <row r="693" spans="1:15" ht="11.1" customHeight="1">
      <c r="A693" s="105" t="s">
        <v>50</v>
      </c>
      <c r="B693" s="105"/>
      <c r="C693" s="105"/>
      <c r="D693" s="105"/>
      <c r="E693" s="105"/>
      <c r="F693" s="105"/>
      <c r="G693" s="105"/>
      <c r="H693" s="105"/>
      <c r="I693" s="105"/>
      <c r="J693" s="105"/>
      <c r="K693" s="105"/>
      <c r="L693" s="105"/>
      <c r="M693" s="105"/>
    </row>
    <row r="694" spans="1:15" ht="11.1" customHeight="1">
      <c r="A694" s="104" t="s">
        <v>51</v>
      </c>
      <c r="B694" s="104"/>
      <c r="C694" s="104"/>
      <c r="D694" s="104"/>
      <c r="E694" s="104"/>
      <c r="F694" s="104"/>
      <c r="G694" s="104"/>
      <c r="H694" s="104"/>
      <c r="I694" s="104"/>
      <c r="J694" s="104"/>
      <c r="K694" s="104"/>
      <c r="L694" s="104"/>
      <c r="M694" s="104"/>
    </row>
    <row r="695" spans="1:15" ht="11.1" customHeight="1">
      <c r="A695" s="104" t="s">
        <v>52</v>
      </c>
      <c r="B695" s="104"/>
      <c r="C695" s="104"/>
      <c r="D695" s="104"/>
      <c r="E695" s="104"/>
      <c r="F695" s="104"/>
      <c r="G695" s="104"/>
      <c r="H695" s="104"/>
      <c r="I695" s="104"/>
      <c r="J695" s="104"/>
      <c r="K695" s="104"/>
      <c r="L695" s="104"/>
      <c r="M695" s="104"/>
    </row>
    <row r="696" spans="1:15" ht="11.1" customHeight="1">
      <c r="A696" s="104" t="s">
        <v>53</v>
      </c>
      <c r="B696" s="104"/>
      <c r="C696" s="104"/>
      <c r="D696" s="104"/>
      <c r="E696" s="104"/>
      <c r="F696" s="104"/>
      <c r="G696" s="104"/>
      <c r="H696" s="104"/>
      <c r="I696" s="104"/>
      <c r="J696" s="104"/>
      <c r="K696" s="104"/>
      <c r="L696" s="104"/>
      <c r="M696" s="104"/>
    </row>
    <row r="697" spans="1:15" ht="11.1" customHeight="1">
      <c r="A697" s="101" t="s">
        <v>54</v>
      </c>
      <c r="B697" s="101"/>
      <c r="C697" s="101"/>
      <c r="D697" s="101"/>
      <c r="E697" s="101"/>
      <c r="F697" s="101"/>
      <c r="G697" s="101"/>
      <c r="H697" s="101"/>
      <c r="I697" s="101"/>
      <c r="J697" s="101"/>
      <c r="K697" s="101"/>
      <c r="L697" s="101"/>
      <c r="M697" s="101"/>
    </row>
    <row r="698" spans="1:15" ht="11.1" customHeight="1">
      <c r="A698" s="101" t="s">
        <v>55</v>
      </c>
      <c r="B698" s="101"/>
      <c r="C698" s="101"/>
      <c r="D698" s="101"/>
      <c r="E698" s="101"/>
      <c r="F698" s="101"/>
      <c r="G698" s="101"/>
      <c r="H698" s="101"/>
      <c r="I698" s="101"/>
      <c r="J698" s="101"/>
      <c r="K698" s="101"/>
      <c r="L698" s="101"/>
      <c r="M698" s="101"/>
    </row>
    <row r="699" spans="1:15" ht="19.5" customHeight="1">
      <c r="A699" s="69" t="s">
        <v>0</v>
      </c>
      <c r="B699" s="69"/>
      <c r="C699" s="69"/>
      <c r="D699" s="69"/>
      <c r="E699" s="69"/>
      <c r="F699" s="69"/>
      <c r="G699" s="69"/>
      <c r="H699" s="69"/>
      <c r="I699" s="69"/>
      <c r="J699" s="69"/>
      <c r="K699" s="69"/>
      <c r="L699" s="69"/>
      <c r="M699" s="69"/>
    </row>
    <row r="700" spans="1:15" ht="20.100000000000001" customHeight="1">
      <c r="A700" s="4" t="s">
        <v>32</v>
      </c>
      <c r="B700" s="5">
        <f>+B656+1</f>
        <v>52</v>
      </c>
      <c r="C700" s="30"/>
      <c r="D700" s="30"/>
      <c r="E700" s="30"/>
      <c r="F700" s="30"/>
      <c r="G700" s="30"/>
      <c r="H700" s="30"/>
      <c r="I700" s="30"/>
      <c r="J700" s="30"/>
      <c r="K700" s="30"/>
      <c r="L700" s="30"/>
      <c r="M700" s="30"/>
    </row>
    <row r="701" spans="1:15" ht="24" customHeight="1" thickBot="1">
      <c r="A701" s="4" t="s">
        <v>33</v>
      </c>
      <c r="H701" s="70" t="s">
        <v>34</v>
      </c>
      <c r="I701" s="70"/>
      <c r="J701" s="70"/>
      <c r="K701" s="102">
        <f>+K657+1</f>
        <v>45978</v>
      </c>
      <c r="L701" s="102"/>
      <c r="M701" s="102"/>
      <c r="O701" s="7"/>
    </row>
    <row r="702" spans="1:15" ht="33.75" customHeight="1" thickBot="1">
      <c r="A702" s="80" t="s">
        <v>1</v>
      </c>
      <c r="B702" s="81"/>
      <c r="C702" s="82"/>
      <c r="D702" s="86" t="str">
        <f>+D658</f>
        <v>光明國中B與C區5樓老舊廁所整修工程</v>
      </c>
      <c r="E702" s="87"/>
      <c r="F702" s="87"/>
      <c r="G702" s="88"/>
      <c r="H702" s="80" t="s">
        <v>2</v>
      </c>
      <c r="I702" s="81"/>
      <c r="J702" s="82"/>
      <c r="K702" s="80" t="s">
        <v>35</v>
      </c>
      <c r="L702" s="81"/>
      <c r="M702" s="82"/>
    </row>
    <row r="703" spans="1:15" ht="33.75" customHeight="1" thickBot="1">
      <c r="A703" s="8" t="s">
        <v>3</v>
      </c>
      <c r="B703" s="29">
        <f>+B659</f>
        <v>142</v>
      </c>
      <c r="C703" s="10" t="s">
        <v>36</v>
      </c>
      <c r="D703" s="80" t="s">
        <v>4</v>
      </c>
      <c r="E703" s="89"/>
      <c r="F703" s="31">
        <f>+F659+1</f>
        <v>52</v>
      </c>
      <c r="G703" s="12" t="s">
        <v>36</v>
      </c>
      <c r="H703" s="13" t="s">
        <v>5</v>
      </c>
      <c r="I703" s="29">
        <f>+B703-F703</f>
        <v>90</v>
      </c>
      <c r="J703" s="10" t="s">
        <v>36</v>
      </c>
      <c r="K703" s="80" t="s">
        <v>6</v>
      </c>
      <c r="L703" s="82"/>
      <c r="M703" s="13">
        <f>+M659</f>
        <v>12</v>
      </c>
    </row>
    <row r="704" spans="1:15" ht="24" customHeight="1" thickBot="1">
      <c r="A704" s="80" t="s">
        <v>7</v>
      </c>
      <c r="B704" s="81"/>
      <c r="C704" s="82"/>
      <c r="D704" s="80" t="str">
        <f>+D660</f>
        <v>114.9.27</v>
      </c>
      <c r="E704" s="81"/>
      <c r="F704" s="81"/>
      <c r="G704" s="82"/>
      <c r="H704" s="80" t="s">
        <v>8</v>
      </c>
      <c r="I704" s="81"/>
      <c r="J704" s="82"/>
      <c r="K704" s="80" t="str">
        <f>+K660</f>
        <v>115.2.15</v>
      </c>
      <c r="L704" s="81"/>
      <c r="M704" s="82"/>
    </row>
    <row r="705" spans="1:13" ht="24" customHeight="1" thickBot="1">
      <c r="A705" s="80" t="s">
        <v>37</v>
      </c>
      <c r="B705" s="81"/>
      <c r="C705" s="82"/>
      <c r="D705" s="83">
        <v>0.216</v>
      </c>
      <c r="E705" s="84"/>
      <c r="F705" s="84"/>
      <c r="G705" s="85"/>
      <c r="H705" s="80" t="s">
        <v>38</v>
      </c>
      <c r="I705" s="81"/>
      <c r="J705" s="82"/>
      <c r="K705" s="83">
        <f>+K661</f>
        <v>0.27400000000000008</v>
      </c>
      <c r="L705" s="84"/>
      <c r="M705" s="85"/>
    </row>
    <row r="706" spans="1:13" ht="24" customHeight="1" thickBot="1">
      <c r="A706" s="72" t="s">
        <v>9</v>
      </c>
      <c r="B706" s="73"/>
      <c r="C706" s="73"/>
      <c r="D706" s="73"/>
      <c r="E706" s="73"/>
      <c r="F706" s="73"/>
      <c r="G706" s="73"/>
      <c r="H706" s="73"/>
      <c r="I706" s="73"/>
      <c r="J706" s="73"/>
      <c r="K706" s="73"/>
      <c r="L706" s="73"/>
      <c r="M706" s="74"/>
    </row>
    <row r="707" spans="1:13" ht="35.25" customHeight="1" thickBot="1">
      <c r="A707" s="75" t="s">
        <v>10</v>
      </c>
      <c r="B707" s="76"/>
      <c r="C707" s="76"/>
      <c r="D707" s="77"/>
      <c r="E707" s="14" t="s">
        <v>11</v>
      </c>
      <c r="F707" s="75" t="s">
        <v>12</v>
      </c>
      <c r="G707" s="77"/>
      <c r="H707" s="75" t="s">
        <v>13</v>
      </c>
      <c r="I707" s="77"/>
      <c r="J707" s="78" t="s">
        <v>14</v>
      </c>
      <c r="K707" s="79"/>
      <c r="L707" s="75" t="s">
        <v>15</v>
      </c>
      <c r="M707" s="77"/>
    </row>
    <row r="708" spans="1:13" ht="27.95" customHeight="1" thickBot="1">
      <c r="A708" s="141"/>
      <c r="B708" s="142"/>
      <c r="C708" s="142"/>
      <c r="D708" s="143"/>
      <c r="E708" s="2"/>
      <c r="F708" s="56"/>
      <c r="G708" s="57"/>
      <c r="H708" s="56"/>
      <c r="I708" s="57"/>
      <c r="J708" s="56"/>
      <c r="K708" s="57"/>
      <c r="L708" s="58"/>
      <c r="M708" s="59"/>
    </row>
    <row r="709" spans="1:13" ht="27.95" customHeight="1" thickBot="1">
      <c r="A709" s="141"/>
      <c r="B709" s="142"/>
      <c r="C709" s="142"/>
      <c r="D709" s="143"/>
      <c r="E709" s="15"/>
      <c r="F709" s="56"/>
      <c r="G709" s="57"/>
      <c r="H709" s="56"/>
      <c r="I709" s="57"/>
      <c r="J709" s="56"/>
      <c r="K709" s="57"/>
      <c r="L709" s="58"/>
      <c r="M709" s="59"/>
    </row>
    <row r="710" spans="1:13" ht="24.95" customHeight="1" thickTop="1" thickBot="1">
      <c r="A710" s="130" t="s">
        <v>16</v>
      </c>
      <c r="B710" s="67"/>
      <c r="C710" s="67"/>
      <c r="D710" s="68"/>
      <c r="E710" s="32"/>
      <c r="F710" s="131"/>
      <c r="G710" s="132"/>
      <c r="H710" s="131"/>
      <c r="I710" s="132"/>
      <c r="J710" s="131"/>
      <c r="K710" s="132"/>
      <c r="L710" s="131"/>
      <c r="M710" s="133"/>
    </row>
    <row r="711" spans="1:13" ht="24.95" customHeight="1" thickBot="1">
      <c r="A711" s="134" t="s">
        <v>17</v>
      </c>
      <c r="B711" s="135"/>
      <c r="C711" s="135"/>
      <c r="D711" s="59"/>
      <c r="E711" s="32"/>
      <c r="F711" s="58"/>
      <c r="G711" s="59"/>
      <c r="H711" s="58"/>
      <c r="I711" s="59"/>
      <c r="J711" s="58"/>
      <c r="K711" s="59"/>
      <c r="L711" s="58"/>
      <c r="M711" s="136"/>
    </row>
    <row r="712" spans="1:13" ht="24.95" customHeight="1" thickBot="1">
      <c r="A712" s="118" t="s">
        <v>18</v>
      </c>
      <c r="B712" s="119"/>
      <c r="C712" s="119"/>
      <c r="D712" s="120"/>
      <c r="E712" s="24"/>
      <c r="F712" s="121"/>
      <c r="G712" s="120"/>
      <c r="H712" s="121"/>
      <c r="I712" s="120"/>
      <c r="J712" s="121"/>
      <c r="K712" s="120"/>
      <c r="L712" s="121"/>
      <c r="M712" s="122"/>
    </row>
    <row r="713" spans="1:13" ht="24" customHeight="1" thickTop="1" thickBot="1">
      <c r="A713" s="66" t="s">
        <v>19</v>
      </c>
      <c r="B713" s="67"/>
      <c r="C713" s="67"/>
      <c r="D713" s="67"/>
      <c r="E713" s="67"/>
      <c r="F713" s="67"/>
      <c r="G713" s="67"/>
      <c r="H713" s="67"/>
      <c r="I713" s="67"/>
      <c r="J713" s="67"/>
      <c r="K713" s="67"/>
      <c r="L713" s="67"/>
      <c r="M713" s="68"/>
    </row>
    <row r="714" spans="1:13" ht="35.25" customHeight="1" thickBot="1">
      <c r="A714" s="75" t="s">
        <v>20</v>
      </c>
      <c r="B714" s="76"/>
      <c r="C714" s="76"/>
      <c r="D714" s="77"/>
      <c r="E714" s="14" t="s">
        <v>11</v>
      </c>
      <c r="F714" s="75" t="s">
        <v>39</v>
      </c>
      <c r="G714" s="77"/>
      <c r="H714" s="75" t="s">
        <v>21</v>
      </c>
      <c r="I714" s="77"/>
      <c r="J714" s="78" t="s">
        <v>22</v>
      </c>
      <c r="K714" s="79"/>
      <c r="L714" s="75" t="s">
        <v>15</v>
      </c>
      <c r="M714" s="77"/>
    </row>
    <row r="715" spans="1:13" ht="24" customHeight="1" thickBot="1">
      <c r="A715" s="96"/>
      <c r="B715" s="97"/>
      <c r="C715" s="97"/>
      <c r="D715" s="98"/>
      <c r="E715" s="32"/>
      <c r="F715" s="58"/>
      <c r="G715" s="59"/>
      <c r="H715" s="58"/>
      <c r="I715" s="59"/>
      <c r="J715" s="56"/>
      <c r="K715" s="57"/>
      <c r="L715" s="58"/>
      <c r="M715" s="59"/>
    </row>
    <row r="716" spans="1:13" ht="24" customHeight="1" thickBot="1">
      <c r="A716" s="96"/>
      <c r="B716" s="97"/>
      <c r="C716" s="97"/>
      <c r="D716" s="98"/>
      <c r="E716" s="32"/>
      <c r="F716" s="58"/>
      <c r="G716" s="59"/>
      <c r="H716" s="58"/>
      <c r="I716" s="59"/>
      <c r="J716" s="56"/>
      <c r="K716" s="57"/>
      <c r="L716" s="58"/>
      <c r="M716" s="59"/>
    </row>
    <row r="717" spans="1:13" ht="24" customHeight="1" thickBot="1">
      <c r="A717" s="60" t="s">
        <v>23</v>
      </c>
      <c r="B717" s="61"/>
      <c r="C717" s="61"/>
      <c r="D717" s="61"/>
      <c r="E717" s="61"/>
      <c r="F717" s="61"/>
      <c r="G717" s="61"/>
      <c r="H717" s="61"/>
      <c r="I717" s="61"/>
      <c r="J717" s="61"/>
      <c r="K717" s="61"/>
      <c r="L717" s="61"/>
      <c r="M717" s="62"/>
    </row>
    <row r="718" spans="1:13" ht="35.25" customHeight="1" thickBot="1">
      <c r="A718" s="75" t="s">
        <v>24</v>
      </c>
      <c r="B718" s="77"/>
      <c r="C718" s="75" t="s">
        <v>25</v>
      </c>
      <c r="D718" s="77"/>
      <c r="E718" s="75" t="s">
        <v>26</v>
      </c>
      <c r="F718" s="76"/>
      <c r="G718" s="77"/>
      <c r="H718" s="75" t="s">
        <v>27</v>
      </c>
      <c r="I718" s="77"/>
      <c r="J718" s="78" t="s">
        <v>21</v>
      </c>
      <c r="K718" s="79"/>
      <c r="L718" s="75" t="s">
        <v>22</v>
      </c>
      <c r="M718" s="77"/>
    </row>
    <row r="719" spans="1:13" s="18" customFormat="1" ht="24.75" customHeight="1" thickBot="1">
      <c r="A719" s="99"/>
      <c r="B719" s="98"/>
      <c r="C719" s="56"/>
      <c r="D719" s="57"/>
      <c r="E719" s="56"/>
      <c r="F719" s="100"/>
      <c r="G719" s="57"/>
      <c r="H719" s="56"/>
      <c r="I719" s="57"/>
      <c r="J719" s="56"/>
      <c r="K719" s="57"/>
      <c r="L719" s="56"/>
      <c r="M719" s="57"/>
    </row>
    <row r="720" spans="1:13" s="18" customFormat="1" ht="24.75" customHeight="1" thickBot="1">
      <c r="A720" s="99"/>
      <c r="B720" s="98"/>
      <c r="C720" s="56"/>
      <c r="D720" s="57"/>
      <c r="E720" s="56"/>
      <c r="F720" s="100"/>
      <c r="G720" s="57"/>
      <c r="H720" s="56"/>
      <c r="I720" s="57"/>
      <c r="J720" s="56"/>
      <c r="K720" s="57"/>
      <c r="L720" s="56"/>
      <c r="M720" s="57"/>
    </row>
    <row r="721" spans="1:13" ht="33" customHeight="1" thickBot="1">
      <c r="A721" s="112" t="s">
        <v>60</v>
      </c>
      <c r="B721" s="113"/>
      <c r="C721" s="113"/>
      <c r="D721" s="113"/>
      <c r="E721" s="113"/>
      <c r="F721" s="113"/>
      <c r="G721" s="113"/>
      <c r="H721" s="113"/>
      <c r="I721" s="113"/>
      <c r="J721" s="113"/>
      <c r="K721" s="113"/>
      <c r="L721" s="113"/>
      <c r="M721" s="114"/>
    </row>
    <row r="722" spans="1:13" ht="16.5" customHeight="1">
      <c r="A722" s="115" t="s">
        <v>41</v>
      </c>
      <c r="B722" s="116"/>
      <c r="C722" s="116"/>
      <c r="D722" s="116"/>
      <c r="E722" s="116"/>
      <c r="F722" s="116"/>
      <c r="G722" s="116"/>
      <c r="H722" s="116"/>
      <c r="I722" s="116"/>
      <c r="J722" s="116"/>
      <c r="K722" s="116"/>
      <c r="L722" s="116"/>
      <c r="M722" s="117"/>
    </row>
    <row r="723" spans="1:13" ht="16.5" customHeight="1">
      <c r="A723" s="90" t="s">
        <v>28</v>
      </c>
      <c r="B723" s="91"/>
      <c r="C723" s="91"/>
      <c r="D723" s="91"/>
      <c r="E723" s="91"/>
      <c r="F723" s="91"/>
      <c r="G723" s="91"/>
      <c r="H723" s="91"/>
      <c r="I723" s="91"/>
      <c r="J723" s="91"/>
      <c r="K723" s="91"/>
      <c r="L723" s="91"/>
      <c r="M723" s="92"/>
    </row>
    <row r="724" spans="1:13" ht="16.5" customHeight="1">
      <c r="A724" s="106" t="s">
        <v>42</v>
      </c>
      <c r="B724" s="107"/>
      <c r="C724" s="107"/>
      <c r="D724" s="107"/>
      <c r="E724" s="107"/>
      <c r="F724" s="107"/>
      <c r="G724" s="107"/>
      <c r="H724" s="107"/>
      <c r="I724" s="107"/>
      <c r="J724" s="107"/>
      <c r="K724" s="107"/>
      <c r="L724" s="107"/>
      <c r="M724" s="108"/>
    </row>
    <row r="725" spans="1:13" ht="16.5" customHeight="1">
      <c r="A725" s="106" t="s">
        <v>43</v>
      </c>
      <c r="B725" s="107"/>
      <c r="C725" s="107"/>
      <c r="D725" s="107"/>
      <c r="E725" s="107"/>
      <c r="F725" s="107"/>
      <c r="G725" s="107"/>
      <c r="H725" s="107"/>
      <c r="I725" s="107"/>
      <c r="J725" s="107"/>
      <c r="K725" s="107"/>
      <c r="L725" s="107"/>
      <c r="M725" s="108"/>
    </row>
    <row r="726" spans="1:13" ht="16.5" customHeight="1">
      <c r="A726" s="106" t="s">
        <v>44</v>
      </c>
      <c r="B726" s="107"/>
      <c r="C726" s="107"/>
      <c r="D726" s="107"/>
      <c r="E726" s="107"/>
      <c r="F726" s="107"/>
      <c r="G726" s="107"/>
      <c r="H726" s="107"/>
      <c r="I726" s="107"/>
      <c r="J726" s="107"/>
      <c r="K726" s="107"/>
      <c r="L726" s="107"/>
      <c r="M726" s="108"/>
    </row>
    <row r="727" spans="1:13" ht="16.5" customHeight="1">
      <c r="A727" s="106" t="s">
        <v>45</v>
      </c>
      <c r="B727" s="107"/>
      <c r="C727" s="107"/>
      <c r="D727" s="107"/>
      <c r="E727" s="107"/>
      <c r="F727" s="107"/>
      <c r="G727" s="107"/>
      <c r="H727" s="107"/>
      <c r="I727" s="107"/>
      <c r="J727" s="107"/>
      <c r="K727" s="107"/>
      <c r="L727" s="107"/>
      <c r="M727" s="108"/>
    </row>
    <row r="728" spans="1:13" ht="16.5" customHeight="1">
      <c r="A728" s="106" t="s">
        <v>29</v>
      </c>
      <c r="B728" s="107"/>
      <c r="C728" s="107"/>
      <c r="D728" s="107"/>
      <c r="E728" s="107"/>
      <c r="F728" s="107"/>
      <c r="G728" s="107"/>
      <c r="H728" s="107"/>
      <c r="I728" s="107"/>
      <c r="J728" s="107"/>
      <c r="K728" s="107"/>
      <c r="L728" s="107"/>
      <c r="M728" s="108"/>
    </row>
    <row r="729" spans="1:13" ht="9.75" customHeight="1" thickBot="1">
      <c r="A729" s="109"/>
      <c r="B729" s="110"/>
      <c r="C729" s="110"/>
      <c r="D729" s="110"/>
      <c r="E729" s="110"/>
      <c r="F729" s="110"/>
      <c r="G729" s="110"/>
      <c r="H729" s="110"/>
      <c r="I729" s="110"/>
      <c r="J729" s="110"/>
      <c r="K729" s="110"/>
      <c r="L729" s="110"/>
      <c r="M729" s="111"/>
    </row>
    <row r="730" spans="1:13" ht="18.75" customHeight="1" thickBot="1">
      <c r="A730" s="72" t="s">
        <v>30</v>
      </c>
      <c r="B730" s="73"/>
      <c r="C730" s="73"/>
      <c r="D730" s="73"/>
      <c r="E730" s="73"/>
      <c r="F730" s="73"/>
      <c r="G730" s="73"/>
      <c r="H730" s="73"/>
      <c r="I730" s="73"/>
      <c r="J730" s="73"/>
      <c r="K730" s="73"/>
      <c r="L730" s="73"/>
      <c r="M730" s="74"/>
    </row>
    <row r="731" spans="1:13" ht="24" customHeight="1" thickBot="1">
      <c r="A731" s="72" t="s">
        <v>31</v>
      </c>
      <c r="B731" s="73"/>
      <c r="C731" s="73"/>
      <c r="D731" s="73"/>
      <c r="E731" s="73"/>
      <c r="F731" s="73"/>
      <c r="G731" s="73"/>
      <c r="H731" s="73"/>
      <c r="I731" s="73"/>
      <c r="J731" s="73"/>
      <c r="K731" s="73"/>
      <c r="L731" s="73"/>
      <c r="M731" s="74"/>
    </row>
    <row r="732" spans="1:13" ht="24" customHeight="1" thickBot="1">
      <c r="A732" s="72" t="s">
        <v>129</v>
      </c>
      <c r="B732" s="73"/>
      <c r="C732" s="73"/>
      <c r="D732" s="73"/>
      <c r="E732" s="73"/>
      <c r="F732" s="73"/>
      <c r="G732" s="73"/>
      <c r="H732" s="73"/>
      <c r="I732" s="73"/>
      <c r="J732" s="73"/>
      <c r="K732" s="73"/>
      <c r="L732" s="73"/>
      <c r="M732" s="74"/>
    </row>
    <row r="733" spans="1:13" ht="24" customHeight="1" thickBot="1">
      <c r="A733" s="60" t="s">
        <v>46</v>
      </c>
      <c r="B733" s="61"/>
      <c r="C733" s="61"/>
      <c r="D733" s="61"/>
      <c r="E733" s="61"/>
      <c r="F733" s="61"/>
      <c r="G733" s="61"/>
      <c r="H733" s="61"/>
      <c r="I733" s="61"/>
      <c r="J733" s="61"/>
      <c r="K733" s="61"/>
      <c r="L733" s="61"/>
      <c r="M733" s="62"/>
    </row>
    <row r="734" spans="1:13" ht="11.1" customHeight="1">
      <c r="A734" s="103" t="s">
        <v>47</v>
      </c>
      <c r="B734" s="103"/>
      <c r="C734" s="103"/>
      <c r="D734" s="103"/>
      <c r="E734" s="103"/>
      <c r="F734" s="103"/>
      <c r="G734" s="103"/>
      <c r="H734" s="103"/>
      <c r="I734" s="103"/>
      <c r="J734" s="103"/>
      <c r="K734" s="103"/>
      <c r="L734" s="103"/>
      <c r="M734" s="103"/>
    </row>
    <row r="735" spans="1:13" ht="11.1" customHeight="1">
      <c r="A735" s="104" t="s">
        <v>48</v>
      </c>
      <c r="B735" s="104"/>
      <c r="C735" s="104"/>
      <c r="D735" s="104"/>
      <c r="E735" s="104"/>
      <c r="F735" s="104"/>
      <c r="G735" s="104"/>
      <c r="H735" s="104"/>
      <c r="I735" s="104"/>
      <c r="J735" s="104"/>
      <c r="K735" s="104"/>
      <c r="L735" s="104"/>
      <c r="M735" s="104"/>
    </row>
    <row r="736" spans="1:13" ht="11.1" customHeight="1">
      <c r="A736" s="105" t="s">
        <v>49</v>
      </c>
      <c r="B736" s="105"/>
      <c r="C736" s="105"/>
      <c r="D736" s="105"/>
      <c r="E736" s="105"/>
      <c r="F736" s="105"/>
      <c r="G736" s="105"/>
      <c r="H736" s="105"/>
      <c r="I736" s="105"/>
      <c r="J736" s="105"/>
      <c r="K736" s="105"/>
      <c r="L736" s="105"/>
      <c r="M736" s="105"/>
    </row>
    <row r="737" spans="1:15" ht="11.1" customHeight="1">
      <c r="A737" s="105" t="s">
        <v>50</v>
      </c>
      <c r="B737" s="105"/>
      <c r="C737" s="105"/>
      <c r="D737" s="105"/>
      <c r="E737" s="105"/>
      <c r="F737" s="105"/>
      <c r="G737" s="105"/>
      <c r="H737" s="105"/>
      <c r="I737" s="105"/>
      <c r="J737" s="105"/>
      <c r="K737" s="105"/>
      <c r="L737" s="105"/>
      <c r="M737" s="105"/>
    </row>
    <row r="738" spans="1:15" ht="11.1" customHeight="1">
      <c r="A738" s="104" t="s">
        <v>51</v>
      </c>
      <c r="B738" s="104"/>
      <c r="C738" s="104"/>
      <c r="D738" s="104"/>
      <c r="E738" s="104"/>
      <c r="F738" s="104"/>
      <c r="G738" s="104"/>
      <c r="H738" s="104"/>
      <c r="I738" s="104"/>
      <c r="J738" s="104"/>
      <c r="K738" s="104"/>
      <c r="L738" s="104"/>
      <c r="M738" s="104"/>
    </row>
    <row r="739" spans="1:15" ht="11.1" customHeight="1">
      <c r="A739" s="104" t="s">
        <v>52</v>
      </c>
      <c r="B739" s="104"/>
      <c r="C739" s="104"/>
      <c r="D739" s="104"/>
      <c r="E739" s="104"/>
      <c r="F739" s="104"/>
      <c r="G739" s="104"/>
      <c r="H739" s="104"/>
      <c r="I739" s="104"/>
      <c r="J739" s="104"/>
      <c r="K739" s="104"/>
      <c r="L739" s="104"/>
      <c r="M739" s="104"/>
    </row>
    <row r="740" spans="1:15" ht="11.1" customHeight="1">
      <c r="A740" s="104" t="s">
        <v>53</v>
      </c>
      <c r="B740" s="104"/>
      <c r="C740" s="104"/>
      <c r="D740" s="104"/>
      <c r="E740" s="104"/>
      <c r="F740" s="104"/>
      <c r="G740" s="104"/>
      <c r="H740" s="104"/>
      <c r="I740" s="104"/>
      <c r="J740" s="104"/>
      <c r="K740" s="104"/>
      <c r="L740" s="104"/>
      <c r="M740" s="104"/>
    </row>
    <row r="741" spans="1:15" ht="11.1" customHeight="1">
      <c r="A741" s="101" t="s">
        <v>54</v>
      </c>
      <c r="B741" s="101"/>
      <c r="C741" s="101"/>
      <c r="D741" s="101"/>
      <c r="E741" s="101"/>
      <c r="F741" s="101"/>
      <c r="G741" s="101"/>
      <c r="H741" s="101"/>
      <c r="I741" s="101"/>
      <c r="J741" s="101"/>
      <c r="K741" s="101"/>
      <c r="L741" s="101"/>
      <c r="M741" s="101"/>
    </row>
    <row r="742" spans="1:15" ht="11.1" customHeight="1">
      <c r="A742" s="101" t="s">
        <v>55</v>
      </c>
      <c r="B742" s="101"/>
      <c r="C742" s="101"/>
      <c r="D742" s="101"/>
      <c r="E742" s="101"/>
      <c r="F742" s="101"/>
      <c r="G742" s="101"/>
      <c r="H742" s="101"/>
      <c r="I742" s="101"/>
      <c r="J742" s="101"/>
      <c r="K742" s="101"/>
      <c r="L742" s="101"/>
      <c r="M742" s="101"/>
    </row>
    <row r="743" spans="1:15" ht="19.5" customHeight="1">
      <c r="A743" s="69" t="s">
        <v>0</v>
      </c>
      <c r="B743" s="69"/>
      <c r="C743" s="69"/>
      <c r="D743" s="69"/>
      <c r="E743" s="69"/>
      <c r="F743" s="69"/>
      <c r="G743" s="69"/>
      <c r="H743" s="69"/>
      <c r="I743" s="69"/>
      <c r="J743" s="69"/>
      <c r="K743" s="69"/>
      <c r="L743" s="69"/>
      <c r="M743" s="69"/>
    </row>
    <row r="744" spans="1:15" ht="20.100000000000001" customHeight="1">
      <c r="A744" s="4" t="s">
        <v>32</v>
      </c>
      <c r="B744" s="5">
        <f>+B700+1</f>
        <v>53</v>
      </c>
      <c r="C744" s="30"/>
      <c r="D744" s="30"/>
      <c r="E744" s="30"/>
      <c r="F744" s="30"/>
      <c r="G744" s="30"/>
      <c r="H744" s="30"/>
      <c r="I744" s="30"/>
      <c r="J744" s="30"/>
      <c r="K744" s="30"/>
      <c r="L744" s="30"/>
      <c r="M744" s="30"/>
    </row>
    <row r="745" spans="1:15" ht="24" customHeight="1" thickBot="1">
      <c r="A745" s="4" t="s">
        <v>33</v>
      </c>
      <c r="H745" s="70" t="s">
        <v>34</v>
      </c>
      <c r="I745" s="70"/>
      <c r="J745" s="70"/>
      <c r="K745" s="102">
        <f>+K701+1</f>
        <v>45979</v>
      </c>
      <c r="L745" s="102"/>
      <c r="M745" s="102"/>
      <c r="O745" s="7"/>
    </row>
    <row r="746" spans="1:15" ht="33.75" customHeight="1" thickBot="1">
      <c r="A746" s="80" t="s">
        <v>1</v>
      </c>
      <c r="B746" s="81"/>
      <c r="C746" s="82"/>
      <c r="D746" s="86" t="str">
        <f>+D702</f>
        <v>光明國中B與C區5樓老舊廁所整修工程</v>
      </c>
      <c r="E746" s="87"/>
      <c r="F746" s="87"/>
      <c r="G746" s="88"/>
      <c r="H746" s="80" t="s">
        <v>2</v>
      </c>
      <c r="I746" s="81"/>
      <c r="J746" s="82"/>
      <c r="K746" s="80" t="s">
        <v>35</v>
      </c>
      <c r="L746" s="81"/>
      <c r="M746" s="82"/>
    </row>
    <row r="747" spans="1:15" ht="33.75" customHeight="1" thickBot="1">
      <c r="A747" s="8" t="s">
        <v>3</v>
      </c>
      <c r="B747" s="29">
        <f>+B703</f>
        <v>142</v>
      </c>
      <c r="C747" s="10" t="s">
        <v>36</v>
      </c>
      <c r="D747" s="80" t="s">
        <v>4</v>
      </c>
      <c r="E747" s="89"/>
      <c r="F747" s="31">
        <f>+F703+1</f>
        <v>53</v>
      </c>
      <c r="G747" s="12" t="s">
        <v>36</v>
      </c>
      <c r="H747" s="13" t="s">
        <v>5</v>
      </c>
      <c r="I747" s="29">
        <f>+B747-F747</f>
        <v>89</v>
      </c>
      <c r="J747" s="10" t="s">
        <v>36</v>
      </c>
      <c r="K747" s="80" t="s">
        <v>6</v>
      </c>
      <c r="L747" s="82"/>
      <c r="M747" s="13">
        <f>+M703</f>
        <v>12</v>
      </c>
    </row>
    <row r="748" spans="1:15" ht="24" customHeight="1" thickBot="1">
      <c r="A748" s="80" t="s">
        <v>7</v>
      </c>
      <c r="B748" s="81"/>
      <c r="C748" s="82"/>
      <c r="D748" s="80" t="str">
        <f>+D704</f>
        <v>114.9.27</v>
      </c>
      <c r="E748" s="81"/>
      <c r="F748" s="81"/>
      <c r="G748" s="82"/>
      <c r="H748" s="80" t="s">
        <v>8</v>
      </c>
      <c r="I748" s="81"/>
      <c r="J748" s="82"/>
      <c r="K748" s="80" t="str">
        <f>+K704</f>
        <v>115.2.15</v>
      </c>
      <c r="L748" s="81"/>
      <c r="M748" s="82"/>
    </row>
    <row r="749" spans="1:15" ht="24" customHeight="1" thickBot="1">
      <c r="A749" s="80" t="s">
        <v>37</v>
      </c>
      <c r="B749" s="81"/>
      <c r="C749" s="82"/>
      <c r="D749" s="83">
        <v>0.222</v>
      </c>
      <c r="E749" s="84"/>
      <c r="F749" s="84"/>
      <c r="G749" s="85"/>
      <c r="H749" s="80" t="s">
        <v>38</v>
      </c>
      <c r="I749" s="81"/>
      <c r="J749" s="82"/>
      <c r="K749" s="83">
        <f>+K705+0.1%+0.8%</f>
        <v>0.28300000000000008</v>
      </c>
      <c r="L749" s="84"/>
      <c r="M749" s="85"/>
    </row>
    <row r="750" spans="1:15" ht="24" customHeight="1" thickBot="1">
      <c r="A750" s="72" t="s">
        <v>9</v>
      </c>
      <c r="B750" s="73"/>
      <c r="C750" s="73"/>
      <c r="D750" s="73"/>
      <c r="E750" s="73"/>
      <c r="F750" s="73"/>
      <c r="G750" s="73"/>
      <c r="H750" s="73"/>
      <c r="I750" s="73"/>
      <c r="J750" s="73"/>
      <c r="K750" s="73"/>
      <c r="L750" s="73"/>
      <c r="M750" s="74"/>
    </row>
    <row r="751" spans="1:15" ht="35.25" customHeight="1" thickBot="1">
      <c r="A751" s="75" t="s">
        <v>10</v>
      </c>
      <c r="B751" s="76"/>
      <c r="C751" s="76"/>
      <c r="D751" s="77"/>
      <c r="E751" s="14" t="s">
        <v>11</v>
      </c>
      <c r="F751" s="75" t="s">
        <v>12</v>
      </c>
      <c r="G751" s="77"/>
      <c r="H751" s="75" t="s">
        <v>13</v>
      </c>
      <c r="I751" s="77"/>
      <c r="J751" s="78" t="s">
        <v>14</v>
      </c>
      <c r="K751" s="79"/>
      <c r="L751" s="75" t="s">
        <v>15</v>
      </c>
      <c r="M751" s="77"/>
    </row>
    <row r="752" spans="1:15" ht="27.95" customHeight="1" thickBot="1">
      <c r="A752" s="141" t="s">
        <v>140</v>
      </c>
      <c r="B752" s="142"/>
      <c r="C752" s="142"/>
      <c r="D752" s="143"/>
      <c r="E752" s="2" t="s">
        <v>69</v>
      </c>
      <c r="F752" s="56">
        <v>1</v>
      </c>
      <c r="G752" s="57"/>
      <c r="H752" s="56">
        <v>0.3</v>
      </c>
      <c r="I752" s="57"/>
      <c r="J752" s="56">
        <v>0.3</v>
      </c>
      <c r="K752" s="57"/>
      <c r="L752" s="58"/>
      <c r="M752" s="59"/>
    </row>
    <row r="753" spans="1:13" ht="27.95" customHeight="1" thickBot="1">
      <c r="A753" s="141" t="s">
        <v>121</v>
      </c>
      <c r="B753" s="142"/>
      <c r="C753" s="142"/>
      <c r="D753" s="143"/>
      <c r="E753" s="15" t="s">
        <v>118</v>
      </c>
      <c r="F753" s="56">
        <v>313</v>
      </c>
      <c r="G753" s="57"/>
      <c r="H753" s="56">
        <v>30</v>
      </c>
      <c r="I753" s="57"/>
      <c r="J753" s="56">
        <v>30</v>
      </c>
      <c r="K753" s="57"/>
      <c r="L753" s="58"/>
      <c r="M753" s="59"/>
    </row>
    <row r="754" spans="1:13" ht="24.95" customHeight="1" thickTop="1" thickBot="1">
      <c r="A754" s="130" t="s">
        <v>16</v>
      </c>
      <c r="B754" s="67"/>
      <c r="C754" s="67"/>
      <c r="D754" s="68"/>
      <c r="E754" s="32"/>
      <c r="F754" s="131"/>
      <c r="G754" s="132"/>
      <c r="H754" s="131"/>
      <c r="I754" s="132"/>
      <c r="J754" s="131"/>
      <c r="K754" s="132"/>
      <c r="L754" s="131"/>
      <c r="M754" s="133"/>
    </row>
    <row r="755" spans="1:13" ht="24.95" customHeight="1" thickBot="1">
      <c r="A755" s="134" t="s">
        <v>17</v>
      </c>
      <c r="B755" s="135"/>
      <c r="C755" s="135"/>
      <c r="D755" s="59"/>
      <c r="E755" s="32"/>
      <c r="F755" s="58"/>
      <c r="G755" s="59"/>
      <c r="H755" s="58"/>
      <c r="I755" s="59"/>
      <c r="J755" s="58"/>
      <c r="K755" s="59"/>
      <c r="L755" s="58"/>
      <c r="M755" s="136"/>
    </row>
    <row r="756" spans="1:13" ht="24.95" customHeight="1" thickBot="1">
      <c r="A756" s="118" t="s">
        <v>18</v>
      </c>
      <c r="B756" s="119"/>
      <c r="C756" s="119"/>
      <c r="D756" s="120"/>
      <c r="E756" s="24"/>
      <c r="F756" s="121"/>
      <c r="G756" s="120"/>
      <c r="H756" s="121"/>
      <c r="I756" s="120"/>
      <c r="J756" s="121"/>
      <c r="K756" s="120"/>
      <c r="L756" s="121"/>
      <c r="M756" s="122"/>
    </row>
    <row r="757" spans="1:13" ht="24" customHeight="1" thickTop="1" thickBot="1">
      <c r="A757" s="66" t="s">
        <v>19</v>
      </c>
      <c r="B757" s="67"/>
      <c r="C757" s="67"/>
      <c r="D757" s="67"/>
      <c r="E757" s="67"/>
      <c r="F757" s="67"/>
      <c r="G757" s="67"/>
      <c r="H757" s="67"/>
      <c r="I757" s="67"/>
      <c r="J757" s="67"/>
      <c r="K757" s="67"/>
      <c r="L757" s="67"/>
      <c r="M757" s="68"/>
    </row>
    <row r="758" spans="1:13" ht="35.25" customHeight="1" thickBot="1">
      <c r="A758" s="75" t="s">
        <v>20</v>
      </c>
      <c r="B758" s="76"/>
      <c r="C758" s="76"/>
      <c r="D758" s="77"/>
      <c r="E758" s="14" t="s">
        <v>11</v>
      </c>
      <c r="F758" s="75" t="s">
        <v>39</v>
      </c>
      <c r="G758" s="77"/>
      <c r="H758" s="75" t="s">
        <v>21</v>
      </c>
      <c r="I758" s="77"/>
      <c r="J758" s="78" t="s">
        <v>22</v>
      </c>
      <c r="K758" s="79"/>
      <c r="L758" s="75" t="s">
        <v>15</v>
      </c>
      <c r="M758" s="77"/>
    </row>
    <row r="759" spans="1:13" ht="24" customHeight="1" thickBot="1">
      <c r="A759" s="96"/>
      <c r="B759" s="97"/>
      <c r="C759" s="97"/>
      <c r="D759" s="98"/>
      <c r="E759" s="32"/>
      <c r="F759" s="58"/>
      <c r="G759" s="59"/>
      <c r="H759" s="58"/>
      <c r="I759" s="59"/>
      <c r="J759" s="56"/>
      <c r="K759" s="57"/>
      <c r="L759" s="58"/>
      <c r="M759" s="59"/>
    </row>
    <row r="760" spans="1:13" ht="24" customHeight="1" thickBot="1">
      <c r="A760" s="96"/>
      <c r="B760" s="97"/>
      <c r="C760" s="97"/>
      <c r="D760" s="98"/>
      <c r="E760" s="32"/>
      <c r="F760" s="58"/>
      <c r="G760" s="59"/>
      <c r="H760" s="58"/>
      <c r="I760" s="59"/>
      <c r="J760" s="56"/>
      <c r="K760" s="57"/>
      <c r="L760" s="58"/>
      <c r="M760" s="59"/>
    </row>
    <row r="761" spans="1:13" ht="24" customHeight="1" thickBot="1">
      <c r="A761" s="60" t="s">
        <v>23</v>
      </c>
      <c r="B761" s="61"/>
      <c r="C761" s="61"/>
      <c r="D761" s="61"/>
      <c r="E761" s="61"/>
      <c r="F761" s="61"/>
      <c r="G761" s="61"/>
      <c r="H761" s="61"/>
      <c r="I761" s="61"/>
      <c r="J761" s="61"/>
      <c r="K761" s="61"/>
      <c r="L761" s="61"/>
      <c r="M761" s="62"/>
    </row>
    <row r="762" spans="1:13" ht="35.25" customHeight="1" thickBot="1">
      <c r="A762" s="75" t="s">
        <v>24</v>
      </c>
      <c r="B762" s="77"/>
      <c r="C762" s="75" t="s">
        <v>25</v>
      </c>
      <c r="D762" s="77"/>
      <c r="E762" s="75" t="s">
        <v>26</v>
      </c>
      <c r="F762" s="76"/>
      <c r="G762" s="77"/>
      <c r="H762" s="75" t="s">
        <v>27</v>
      </c>
      <c r="I762" s="77"/>
      <c r="J762" s="78" t="s">
        <v>21</v>
      </c>
      <c r="K762" s="79"/>
      <c r="L762" s="75" t="s">
        <v>22</v>
      </c>
      <c r="M762" s="77"/>
    </row>
    <row r="763" spans="1:13" s="18" customFormat="1" ht="24.75" customHeight="1" thickBot="1">
      <c r="A763" s="99" t="s">
        <v>119</v>
      </c>
      <c r="B763" s="98"/>
      <c r="C763" s="56">
        <v>4</v>
      </c>
      <c r="D763" s="57"/>
      <c r="E763" s="56">
        <v>20</v>
      </c>
      <c r="F763" s="100"/>
      <c r="G763" s="57"/>
      <c r="H763" s="56"/>
      <c r="I763" s="57"/>
      <c r="J763" s="56"/>
      <c r="K763" s="57"/>
      <c r="L763" s="56"/>
      <c r="M763" s="57"/>
    </row>
    <row r="764" spans="1:13" s="18" customFormat="1" ht="24.75" customHeight="1" thickBot="1">
      <c r="A764" s="99"/>
      <c r="B764" s="98"/>
      <c r="C764" s="56"/>
      <c r="D764" s="57"/>
      <c r="E764" s="56"/>
      <c r="F764" s="100"/>
      <c r="G764" s="57"/>
      <c r="H764" s="56"/>
      <c r="I764" s="57"/>
      <c r="J764" s="56"/>
      <c r="K764" s="57"/>
      <c r="L764" s="56"/>
      <c r="M764" s="57"/>
    </row>
    <row r="765" spans="1:13" ht="33" customHeight="1" thickBot="1">
      <c r="A765" s="112" t="s">
        <v>40</v>
      </c>
      <c r="B765" s="113"/>
      <c r="C765" s="113"/>
      <c r="D765" s="113"/>
      <c r="E765" s="113"/>
      <c r="F765" s="113"/>
      <c r="G765" s="113"/>
      <c r="H765" s="113"/>
      <c r="I765" s="113"/>
      <c r="J765" s="113"/>
      <c r="K765" s="113"/>
      <c r="L765" s="113"/>
      <c r="M765" s="114"/>
    </row>
    <row r="766" spans="1:13" ht="16.5" customHeight="1">
      <c r="A766" s="115" t="s">
        <v>41</v>
      </c>
      <c r="B766" s="116"/>
      <c r="C766" s="116"/>
      <c r="D766" s="116"/>
      <c r="E766" s="116"/>
      <c r="F766" s="116"/>
      <c r="G766" s="116"/>
      <c r="H766" s="116"/>
      <c r="I766" s="116"/>
      <c r="J766" s="116"/>
      <c r="K766" s="116"/>
      <c r="L766" s="116"/>
      <c r="M766" s="117"/>
    </row>
    <row r="767" spans="1:13" ht="16.5" customHeight="1">
      <c r="A767" s="90" t="s">
        <v>28</v>
      </c>
      <c r="B767" s="91"/>
      <c r="C767" s="91"/>
      <c r="D767" s="91"/>
      <c r="E767" s="91"/>
      <c r="F767" s="91"/>
      <c r="G767" s="91"/>
      <c r="H767" s="91"/>
      <c r="I767" s="91"/>
      <c r="J767" s="91"/>
      <c r="K767" s="91"/>
      <c r="L767" s="91"/>
      <c r="M767" s="92"/>
    </row>
    <row r="768" spans="1:13" s="1" customFormat="1" ht="16.5" customHeight="1">
      <c r="A768" s="93" t="s">
        <v>56</v>
      </c>
      <c r="B768" s="94"/>
      <c r="C768" s="94"/>
      <c r="D768" s="94"/>
      <c r="E768" s="94"/>
      <c r="F768" s="94"/>
      <c r="G768" s="94"/>
      <c r="H768" s="94"/>
      <c r="I768" s="94"/>
      <c r="J768" s="94"/>
      <c r="K768" s="94"/>
      <c r="L768" s="94"/>
      <c r="M768" s="95"/>
    </row>
    <row r="769" spans="1:13" s="1" customFormat="1" ht="16.5" customHeight="1">
      <c r="A769" s="93" t="s">
        <v>57</v>
      </c>
      <c r="B769" s="94"/>
      <c r="C769" s="94"/>
      <c r="D769" s="94"/>
      <c r="E769" s="94"/>
      <c r="F769" s="94"/>
      <c r="G769" s="94"/>
      <c r="H769" s="94"/>
      <c r="I769" s="94"/>
      <c r="J769" s="94"/>
      <c r="K769" s="94"/>
      <c r="L769" s="94"/>
      <c r="M769" s="95"/>
    </row>
    <row r="770" spans="1:13" s="1" customFormat="1" ht="16.5" customHeight="1">
      <c r="A770" s="93" t="s">
        <v>58</v>
      </c>
      <c r="B770" s="94"/>
      <c r="C770" s="94"/>
      <c r="D770" s="94"/>
      <c r="E770" s="94"/>
      <c r="F770" s="94"/>
      <c r="G770" s="94"/>
      <c r="H770" s="94"/>
      <c r="I770" s="94"/>
      <c r="J770" s="94"/>
      <c r="K770" s="94"/>
      <c r="L770" s="94"/>
      <c r="M770" s="95"/>
    </row>
    <row r="771" spans="1:13" s="1" customFormat="1" ht="16.5" customHeight="1">
      <c r="A771" s="93" t="s">
        <v>59</v>
      </c>
      <c r="B771" s="94"/>
      <c r="C771" s="94"/>
      <c r="D771" s="94"/>
      <c r="E771" s="94"/>
      <c r="F771" s="94"/>
      <c r="G771" s="94"/>
      <c r="H771" s="94"/>
      <c r="I771" s="94"/>
      <c r="J771" s="94"/>
      <c r="K771" s="94"/>
      <c r="L771" s="94"/>
      <c r="M771" s="95"/>
    </row>
    <row r="772" spans="1:13" ht="16.5" customHeight="1">
      <c r="A772" s="106" t="s">
        <v>29</v>
      </c>
      <c r="B772" s="107"/>
      <c r="C772" s="107"/>
      <c r="D772" s="107"/>
      <c r="E772" s="107"/>
      <c r="F772" s="107"/>
      <c r="G772" s="107"/>
      <c r="H772" s="107"/>
      <c r="I772" s="107"/>
      <c r="J772" s="107"/>
      <c r="K772" s="107"/>
      <c r="L772" s="107"/>
      <c r="M772" s="108"/>
    </row>
    <row r="773" spans="1:13" ht="9.75" customHeight="1" thickBot="1">
      <c r="A773" s="109"/>
      <c r="B773" s="110"/>
      <c r="C773" s="110"/>
      <c r="D773" s="110"/>
      <c r="E773" s="110"/>
      <c r="F773" s="110"/>
      <c r="G773" s="110"/>
      <c r="H773" s="110"/>
      <c r="I773" s="110"/>
      <c r="J773" s="110"/>
      <c r="K773" s="110"/>
      <c r="L773" s="110"/>
      <c r="M773" s="111"/>
    </row>
    <row r="774" spans="1:13" ht="18.75" customHeight="1" thickBot="1">
      <c r="A774" s="72" t="s">
        <v>30</v>
      </c>
      <c r="B774" s="73"/>
      <c r="C774" s="73"/>
      <c r="D774" s="73"/>
      <c r="E774" s="73"/>
      <c r="F774" s="73"/>
      <c r="G774" s="73"/>
      <c r="H774" s="73"/>
      <c r="I774" s="73"/>
      <c r="J774" s="73"/>
      <c r="K774" s="73"/>
      <c r="L774" s="73"/>
      <c r="M774" s="74"/>
    </row>
    <row r="775" spans="1:13" ht="24" customHeight="1" thickBot="1">
      <c r="A775" s="72" t="s">
        <v>31</v>
      </c>
      <c r="B775" s="73"/>
      <c r="C775" s="73"/>
      <c r="D775" s="73"/>
      <c r="E775" s="73"/>
      <c r="F775" s="73"/>
      <c r="G775" s="73"/>
      <c r="H775" s="73"/>
      <c r="I775" s="73"/>
      <c r="J775" s="73"/>
      <c r="K775" s="73"/>
      <c r="L775" s="73"/>
      <c r="M775" s="74"/>
    </row>
    <row r="776" spans="1:13" ht="24" customHeight="1" thickBot="1">
      <c r="A776" s="72" t="s">
        <v>141</v>
      </c>
      <c r="B776" s="73"/>
      <c r="C776" s="73"/>
      <c r="D776" s="73"/>
      <c r="E776" s="73"/>
      <c r="F776" s="73"/>
      <c r="G776" s="73"/>
      <c r="H776" s="73"/>
      <c r="I776" s="73"/>
      <c r="J776" s="73"/>
      <c r="K776" s="73"/>
      <c r="L776" s="73"/>
      <c r="M776" s="74"/>
    </row>
    <row r="777" spans="1:13" ht="24" customHeight="1" thickBot="1">
      <c r="A777" s="60" t="s">
        <v>46</v>
      </c>
      <c r="B777" s="61"/>
      <c r="C777" s="61"/>
      <c r="D777" s="61"/>
      <c r="E777" s="61"/>
      <c r="F777" s="61"/>
      <c r="G777" s="61"/>
      <c r="H777" s="61"/>
      <c r="I777" s="61"/>
      <c r="J777" s="61"/>
      <c r="K777" s="61"/>
      <c r="L777" s="61"/>
      <c r="M777" s="62"/>
    </row>
    <row r="778" spans="1:13" ht="11.1" customHeight="1">
      <c r="A778" s="103" t="s">
        <v>47</v>
      </c>
      <c r="B778" s="103"/>
      <c r="C778" s="103"/>
      <c r="D778" s="103"/>
      <c r="E778" s="103"/>
      <c r="F778" s="103"/>
      <c r="G778" s="103"/>
      <c r="H778" s="103"/>
      <c r="I778" s="103"/>
      <c r="J778" s="103"/>
      <c r="K778" s="103"/>
      <c r="L778" s="103"/>
      <c r="M778" s="103"/>
    </row>
    <row r="779" spans="1:13" ht="11.1" customHeight="1">
      <c r="A779" s="104" t="s">
        <v>48</v>
      </c>
      <c r="B779" s="104"/>
      <c r="C779" s="104"/>
      <c r="D779" s="104"/>
      <c r="E779" s="104"/>
      <c r="F779" s="104"/>
      <c r="G779" s="104"/>
      <c r="H779" s="104"/>
      <c r="I779" s="104"/>
      <c r="J779" s="104"/>
      <c r="K779" s="104"/>
      <c r="L779" s="104"/>
      <c r="M779" s="104"/>
    </row>
    <row r="780" spans="1:13" ht="11.1" customHeight="1">
      <c r="A780" s="105" t="s">
        <v>49</v>
      </c>
      <c r="B780" s="105"/>
      <c r="C780" s="105"/>
      <c r="D780" s="105"/>
      <c r="E780" s="105"/>
      <c r="F780" s="105"/>
      <c r="G780" s="105"/>
      <c r="H780" s="105"/>
      <c r="I780" s="105"/>
      <c r="J780" s="105"/>
      <c r="K780" s="105"/>
      <c r="L780" s="105"/>
      <c r="M780" s="105"/>
    </row>
    <row r="781" spans="1:13" ht="11.1" customHeight="1">
      <c r="A781" s="105" t="s">
        <v>50</v>
      </c>
      <c r="B781" s="105"/>
      <c r="C781" s="105"/>
      <c r="D781" s="105"/>
      <c r="E781" s="105"/>
      <c r="F781" s="105"/>
      <c r="G781" s="105"/>
      <c r="H781" s="105"/>
      <c r="I781" s="105"/>
      <c r="J781" s="105"/>
      <c r="K781" s="105"/>
      <c r="L781" s="105"/>
      <c r="M781" s="105"/>
    </row>
    <row r="782" spans="1:13" ht="11.1" customHeight="1">
      <c r="A782" s="104" t="s">
        <v>51</v>
      </c>
      <c r="B782" s="104"/>
      <c r="C782" s="104"/>
      <c r="D782" s="104"/>
      <c r="E782" s="104"/>
      <c r="F782" s="104"/>
      <c r="G782" s="104"/>
      <c r="H782" s="104"/>
      <c r="I782" s="104"/>
      <c r="J782" s="104"/>
      <c r="K782" s="104"/>
      <c r="L782" s="104"/>
      <c r="M782" s="104"/>
    </row>
    <row r="783" spans="1:13" ht="11.1" customHeight="1">
      <c r="A783" s="104" t="s">
        <v>52</v>
      </c>
      <c r="B783" s="104"/>
      <c r="C783" s="104"/>
      <c r="D783" s="104"/>
      <c r="E783" s="104"/>
      <c r="F783" s="104"/>
      <c r="G783" s="104"/>
      <c r="H783" s="104"/>
      <c r="I783" s="104"/>
      <c r="J783" s="104"/>
      <c r="K783" s="104"/>
      <c r="L783" s="104"/>
      <c r="M783" s="104"/>
    </row>
    <row r="784" spans="1:13" ht="11.1" customHeight="1">
      <c r="A784" s="104" t="s">
        <v>53</v>
      </c>
      <c r="B784" s="104"/>
      <c r="C784" s="104"/>
      <c r="D784" s="104"/>
      <c r="E784" s="104"/>
      <c r="F784" s="104"/>
      <c r="G784" s="104"/>
      <c r="H784" s="104"/>
      <c r="I784" s="104"/>
      <c r="J784" s="104"/>
      <c r="K784" s="104"/>
      <c r="L784" s="104"/>
      <c r="M784" s="104"/>
    </row>
    <row r="785" spans="1:15" ht="11.1" customHeight="1">
      <c r="A785" s="101" t="s">
        <v>54</v>
      </c>
      <c r="B785" s="101"/>
      <c r="C785" s="101"/>
      <c r="D785" s="101"/>
      <c r="E785" s="101"/>
      <c r="F785" s="101"/>
      <c r="G785" s="101"/>
      <c r="H785" s="101"/>
      <c r="I785" s="101"/>
      <c r="J785" s="101"/>
      <c r="K785" s="101"/>
      <c r="L785" s="101"/>
      <c r="M785" s="101"/>
    </row>
    <row r="786" spans="1:15" ht="11.1" customHeight="1">
      <c r="A786" s="101" t="s">
        <v>55</v>
      </c>
      <c r="B786" s="101"/>
      <c r="C786" s="101"/>
      <c r="D786" s="101"/>
      <c r="E786" s="101"/>
      <c r="F786" s="101"/>
      <c r="G786" s="101"/>
      <c r="H786" s="101"/>
      <c r="I786" s="101"/>
      <c r="J786" s="101"/>
      <c r="K786" s="101"/>
      <c r="L786" s="101"/>
      <c r="M786" s="101"/>
    </row>
    <row r="787" spans="1:15" ht="19.5" customHeight="1">
      <c r="A787" s="69" t="s">
        <v>0</v>
      </c>
      <c r="B787" s="69"/>
      <c r="C787" s="69"/>
      <c r="D787" s="69"/>
      <c r="E787" s="69"/>
      <c r="F787" s="69"/>
      <c r="G787" s="69"/>
      <c r="H787" s="69"/>
      <c r="I787" s="69"/>
      <c r="J787" s="69"/>
      <c r="K787" s="69"/>
      <c r="L787" s="69"/>
      <c r="M787" s="69"/>
    </row>
    <row r="788" spans="1:15" ht="20.100000000000001" customHeight="1">
      <c r="A788" s="4" t="s">
        <v>32</v>
      </c>
      <c r="B788" s="5">
        <f>+B744+1</f>
        <v>54</v>
      </c>
      <c r="C788" s="30"/>
      <c r="D788" s="30"/>
      <c r="E788" s="30"/>
      <c r="F788" s="30"/>
      <c r="G788" s="30"/>
      <c r="H788" s="30"/>
      <c r="I788" s="30"/>
      <c r="J788" s="30"/>
      <c r="K788" s="30"/>
      <c r="L788" s="30"/>
      <c r="M788" s="30"/>
    </row>
    <row r="789" spans="1:15" ht="24" customHeight="1" thickBot="1">
      <c r="A789" s="4" t="s">
        <v>33</v>
      </c>
      <c r="H789" s="70" t="s">
        <v>34</v>
      </c>
      <c r="I789" s="70"/>
      <c r="J789" s="70"/>
      <c r="K789" s="102">
        <f>+K745+1</f>
        <v>45980</v>
      </c>
      <c r="L789" s="102"/>
      <c r="M789" s="102"/>
      <c r="O789" s="7"/>
    </row>
    <row r="790" spans="1:15" ht="33.75" customHeight="1" thickBot="1">
      <c r="A790" s="80" t="s">
        <v>1</v>
      </c>
      <c r="B790" s="81"/>
      <c r="C790" s="82"/>
      <c r="D790" s="86" t="str">
        <f>+D746</f>
        <v>光明國中B與C區5樓老舊廁所整修工程</v>
      </c>
      <c r="E790" s="87"/>
      <c r="F790" s="87"/>
      <c r="G790" s="88"/>
      <c r="H790" s="80" t="s">
        <v>2</v>
      </c>
      <c r="I790" s="81"/>
      <c r="J790" s="82"/>
      <c r="K790" s="80" t="s">
        <v>35</v>
      </c>
      <c r="L790" s="81"/>
      <c r="M790" s="82"/>
    </row>
    <row r="791" spans="1:15" ht="33.75" customHeight="1" thickBot="1">
      <c r="A791" s="8" t="s">
        <v>3</v>
      </c>
      <c r="B791" s="29">
        <f>+B747+1</f>
        <v>143</v>
      </c>
      <c r="C791" s="10" t="s">
        <v>36</v>
      </c>
      <c r="D791" s="80" t="s">
        <v>4</v>
      </c>
      <c r="E791" s="89"/>
      <c r="F791" s="31">
        <f>+F747+1</f>
        <v>54</v>
      </c>
      <c r="G791" s="12" t="s">
        <v>36</v>
      </c>
      <c r="H791" s="13" t="s">
        <v>5</v>
      </c>
      <c r="I791" s="29">
        <f>+B791-F791</f>
        <v>89</v>
      </c>
      <c r="J791" s="10" t="s">
        <v>36</v>
      </c>
      <c r="K791" s="80" t="s">
        <v>6</v>
      </c>
      <c r="L791" s="82"/>
      <c r="M791" s="13">
        <f>+M747+1</f>
        <v>13</v>
      </c>
    </row>
    <row r="792" spans="1:15" ht="24" customHeight="1" thickBot="1">
      <c r="A792" s="80" t="s">
        <v>7</v>
      </c>
      <c r="B792" s="81"/>
      <c r="C792" s="82"/>
      <c r="D792" s="80" t="str">
        <f>+D748</f>
        <v>114.9.27</v>
      </c>
      <c r="E792" s="81"/>
      <c r="F792" s="81"/>
      <c r="G792" s="82"/>
      <c r="H792" s="80" t="s">
        <v>8</v>
      </c>
      <c r="I792" s="81"/>
      <c r="J792" s="82"/>
      <c r="K792" s="80" t="s">
        <v>144</v>
      </c>
      <c r="L792" s="81"/>
      <c r="M792" s="82"/>
    </row>
    <row r="793" spans="1:15" ht="24" customHeight="1" thickBot="1">
      <c r="A793" s="80" t="s">
        <v>37</v>
      </c>
      <c r="B793" s="81"/>
      <c r="C793" s="82"/>
      <c r="D793" s="83">
        <v>0.22800000000000001</v>
      </c>
      <c r="E793" s="84"/>
      <c r="F793" s="84"/>
      <c r="G793" s="85"/>
      <c r="H793" s="80" t="s">
        <v>38</v>
      </c>
      <c r="I793" s="81"/>
      <c r="J793" s="82"/>
      <c r="K793" s="83">
        <f>+K749+0.1%+0.8%</f>
        <v>0.29200000000000009</v>
      </c>
      <c r="L793" s="84"/>
      <c r="M793" s="85"/>
    </row>
    <row r="794" spans="1:15" ht="24" customHeight="1" thickBot="1">
      <c r="A794" s="72" t="s">
        <v>9</v>
      </c>
      <c r="B794" s="73"/>
      <c r="C794" s="73"/>
      <c r="D794" s="73"/>
      <c r="E794" s="73"/>
      <c r="F794" s="73"/>
      <c r="G794" s="73"/>
      <c r="H794" s="73"/>
      <c r="I794" s="73"/>
      <c r="J794" s="73"/>
      <c r="K794" s="73"/>
      <c r="L794" s="73"/>
      <c r="M794" s="74"/>
    </row>
    <row r="795" spans="1:15" ht="35.25" customHeight="1" thickBot="1">
      <c r="A795" s="75" t="s">
        <v>10</v>
      </c>
      <c r="B795" s="76"/>
      <c r="C795" s="76"/>
      <c r="D795" s="77"/>
      <c r="E795" s="14" t="s">
        <v>11</v>
      </c>
      <c r="F795" s="75" t="s">
        <v>12</v>
      </c>
      <c r="G795" s="77"/>
      <c r="H795" s="75" t="s">
        <v>13</v>
      </c>
      <c r="I795" s="77"/>
      <c r="J795" s="78" t="s">
        <v>14</v>
      </c>
      <c r="K795" s="79"/>
      <c r="L795" s="75" t="s">
        <v>15</v>
      </c>
      <c r="M795" s="77"/>
    </row>
    <row r="796" spans="1:15" ht="27.95" customHeight="1" thickBot="1">
      <c r="A796" s="141" t="s">
        <v>125</v>
      </c>
      <c r="B796" s="142"/>
      <c r="C796" s="142"/>
      <c r="D796" s="143"/>
      <c r="E796" s="2" t="s">
        <v>69</v>
      </c>
      <c r="F796" s="56">
        <v>1</v>
      </c>
      <c r="G796" s="57"/>
      <c r="H796" s="56">
        <v>0.3</v>
      </c>
      <c r="I796" s="57"/>
      <c r="J796" s="56">
        <v>0.6</v>
      </c>
      <c r="K796" s="57"/>
      <c r="L796" s="58"/>
      <c r="M796" s="59"/>
    </row>
    <row r="797" spans="1:15" ht="24.75" customHeight="1" thickBot="1">
      <c r="A797" s="141" t="s">
        <v>121</v>
      </c>
      <c r="B797" s="142"/>
      <c r="C797" s="142"/>
      <c r="D797" s="143"/>
      <c r="E797" s="15" t="s">
        <v>118</v>
      </c>
      <c r="F797" s="56">
        <v>313</v>
      </c>
      <c r="G797" s="57"/>
      <c r="H797" s="56">
        <v>30</v>
      </c>
      <c r="I797" s="57"/>
      <c r="J797" s="56">
        <v>60</v>
      </c>
      <c r="K797" s="57"/>
      <c r="L797" s="58"/>
      <c r="M797" s="59"/>
    </row>
    <row r="798" spans="1:15" ht="24.95" customHeight="1" thickTop="1" thickBot="1">
      <c r="A798" s="130" t="s">
        <v>16</v>
      </c>
      <c r="B798" s="67"/>
      <c r="C798" s="67"/>
      <c r="D798" s="68"/>
      <c r="E798" s="43"/>
      <c r="F798" s="131"/>
      <c r="G798" s="132"/>
      <c r="H798" s="131"/>
      <c r="I798" s="132"/>
      <c r="J798" s="131"/>
      <c r="K798" s="132"/>
      <c r="L798" s="131"/>
      <c r="M798" s="133"/>
    </row>
    <row r="799" spans="1:15" ht="24.95" customHeight="1" thickBot="1">
      <c r="A799" s="134" t="s">
        <v>17</v>
      </c>
      <c r="B799" s="135"/>
      <c r="C799" s="135"/>
      <c r="D799" s="59"/>
      <c r="E799" s="43"/>
      <c r="F799" s="58"/>
      <c r="G799" s="59"/>
      <c r="H799" s="58"/>
      <c r="I799" s="59"/>
      <c r="J799" s="58"/>
      <c r="K799" s="59"/>
      <c r="L799" s="58"/>
      <c r="M799" s="136"/>
    </row>
    <row r="800" spans="1:15" ht="24.95" customHeight="1" thickBot="1">
      <c r="A800" s="118" t="s">
        <v>18</v>
      </c>
      <c r="B800" s="119"/>
      <c r="C800" s="119"/>
      <c r="D800" s="120"/>
      <c r="E800" s="24"/>
      <c r="F800" s="121"/>
      <c r="G800" s="120"/>
      <c r="H800" s="121"/>
      <c r="I800" s="120"/>
      <c r="J800" s="121"/>
      <c r="K800" s="120"/>
      <c r="L800" s="121"/>
      <c r="M800" s="122"/>
    </row>
    <row r="801" spans="1:13" ht="24" customHeight="1" thickTop="1" thickBot="1">
      <c r="A801" s="66" t="s">
        <v>19</v>
      </c>
      <c r="B801" s="67"/>
      <c r="C801" s="67"/>
      <c r="D801" s="67"/>
      <c r="E801" s="67"/>
      <c r="F801" s="67"/>
      <c r="G801" s="67"/>
      <c r="H801" s="67"/>
      <c r="I801" s="67"/>
      <c r="J801" s="67"/>
      <c r="K801" s="67"/>
      <c r="L801" s="67"/>
      <c r="M801" s="68"/>
    </row>
    <row r="802" spans="1:13" ht="35.25" customHeight="1" thickBot="1">
      <c r="A802" s="75" t="s">
        <v>20</v>
      </c>
      <c r="B802" s="76"/>
      <c r="C802" s="76"/>
      <c r="D802" s="77"/>
      <c r="E802" s="14" t="s">
        <v>11</v>
      </c>
      <c r="F802" s="75" t="s">
        <v>39</v>
      </c>
      <c r="G802" s="77"/>
      <c r="H802" s="75" t="s">
        <v>21</v>
      </c>
      <c r="I802" s="77"/>
      <c r="J802" s="78" t="s">
        <v>22</v>
      </c>
      <c r="K802" s="79"/>
      <c r="L802" s="75" t="s">
        <v>15</v>
      </c>
      <c r="M802" s="77"/>
    </row>
    <row r="803" spans="1:13" ht="24" customHeight="1" thickBot="1">
      <c r="A803" s="96"/>
      <c r="B803" s="97"/>
      <c r="C803" s="97"/>
      <c r="D803" s="98"/>
      <c r="E803" s="43"/>
      <c r="F803" s="58"/>
      <c r="G803" s="59"/>
      <c r="H803" s="58"/>
      <c r="I803" s="59"/>
      <c r="J803" s="56"/>
      <c r="K803" s="57"/>
      <c r="L803" s="58"/>
      <c r="M803" s="59"/>
    </row>
    <row r="804" spans="1:13" ht="24" customHeight="1" thickBot="1">
      <c r="A804" s="96"/>
      <c r="B804" s="97"/>
      <c r="C804" s="97"/>
      <c r="D804" s="98"/>
      <c r="E804" s="43"/>
      <c r="F804" s="58"/>
      <c r="G804" s="59"/>
      <c r="H804" s="58"/>
      <c r="I804" s="59"/>
      <c r="J804" s="56"/>
      <c r="K804" s="57"/>
      <c r="L804" s="58"/>
      <c r="M804" s="59"/>
    </row>
    <row r="805" spans="1:13" ht="24" customHeight="1" thickBot="1">
      <c r="A805" s="60" t="s">
        <v>23</v>
      </c>
      <c r="B805" s="61"/>
      <c r="C805" s="61"/>
      <c r="D805" s="61"/>
      <c r="E805" s="61"/>
      <c r="F805" s="61"/>
      <c r="G805" s="61"/>
      <c r="H805" s="61"/>
      <c r="I805" s="61"/>
      <c r="J805" s="61"/>
      <c r="K805" s="61"/>
      <c r="L805" s="61"/>
      <c r="M805" s="62"/>
    </row>
    <row r="806" spans="1:13" ht="30.75" customHeight="1" thickBot="1">
      <c r="A806" s="75" t="s">
        <v>24</v>
      </c>
      <c r="B806" s="77"/>
      <c r="C806" s="75" t="s">
        <v>25</v>
      </c>
      <c r="D806" s="77"/>
      <c r="E806" s="75" t="s">
        <v>26</v>
      </c>
      <c r="F806" s="76"/>
      <c r="G806" s="77"/>
      <c r="H806" s="75" t="s">
        <v>27</v>
      </c>
      <c r="I806" s="77"/>
      <c r="J806" s="78" t="s">
        <v>21</v>
      </c>
      <c r="K806" s="79"/>
      <c r="L806" s="75" t="s">
        <v>22</v>
      </c>
      <c r="M806" s="77"/>
    </row>
    <row r="807" spans="1:13" s="18" customFormat="1" ht="24.75" customHeight="1" thickBot="1">
      <c r="A807" s="99" t="s">
        <v>119</v>
      </c>
      <c r="B807" s="98"/>
      <c r="C807" s="56">
        <v>4</v>
      </c>
      <c r="D807" s="57"/>
      <c r="E807" s="56">
        <v>24</v>
      </c>
      <c r="F807" s="100"/>
      <c r="G807" s="57"/>
      <c r="H807" s="56"/>
      <c r="I807" s="57"/>
      <c r="J807" s="56"/>
      <c r="K807" s="57"/>
      <c r="L807" s="56"/>
      <c r="M807" s="57"/>
    </row>
    <row r="808" spans="1:13" s="18" customFormat="1" ht="24.75" customHeight="1" thickBot="1">
      <c r="A808" s="99"/>
      <c r="B808" s="98"/>
      <c r="C808" s="56"/>
      <c r="D808" s="57"/>
      <c r="E808" s="56"/>
      <c r="F808" s="100"/>
      <c r="G808" s="57"/>
      <c r="H808" s="56"/>
      <c r="I808" s="57"/>
      <c r="J808" s="56"/>
      <c r="K808" s="57"/>
      <c r="L808" s="56"/>
      <c r="M808" s="57"/>
    </row>
    <row r="809" spans="1:13" ht="30.75" customHeight="1" thickBot="1">
      <c r="A809" s="112" t="s">
        <v>40</v>
      </c>
      <c r="B809" s="113"/>
      <c r="C809" s="113"/>
      <c r="D809" s="113"/>
      <c r="E809" s="113"/>
      <c r="F809" s="113"/>
      <c r="G809" s="113"/>
      <c r="H809" s="113"/>
      <c r="I809" s="113"/>
      <c r="J809" s="113"/>
      <c r="K809" s="113"/>
      <c r="L809" s="113"/>
      <c r="M809" s="114"/>
    </row>
    <row r="810" spans="1:13" ht="16.5" customHeight="1">
      <c r="A810" s="115" t="s">
        <v>41</v>
      </c>
      <c r="B810" s="116"/>
      <c r="C810" s="116"/>
      <c r="D810" s="116"/>
      <c r="E810" s="116"/>
      <c r="F810" s="116"/>
      <c r="G810" s="116"/>
      <c r="H810" s="116"/>
      <c r="I810" s="116"/>
      <c r="J810" s="116"/>
      <c r="K810" s="116"/>
      <c r="L810" s="116"/>
      <c r="M810" s="117"/>
    </row>
    <row r="811" spans="1:13" ht="16.5" customHeight="1">
      <c r="A811" s="90" t="s">
        <v>28</v>
      </c>
      <c r="B811" s="91"/>
      <c r="C811" s="91"/>
      <c r="D811" s="91"/>
      <c r="E811" s="91"/>
      <c r="F811" s="91"/>
      <c r="G811" s="91"/>
      <c r="H811" s="91"/>
      <c r="I811" s="91"/>
      <c r="J811" s="91"/>
      <c r="K811" s="91"/>
      <c r="L811" s="91"/>
      <c r="M811" s="92"/>
    </row>
    <row r="812" spans="1:13" s="1" customFormat="1" ht="16.5" customHeight="1">
      <c r="A812" s="93" t="s">
        <v>56</v>
      </c>
      <c r="B812" s="94"/>
      <c r="C812" s="94"/>
      <c r="D812" s="94"/>
      <c r="E812" s="94"/>
      <c r="F812" s="94"/>
      <c r="G812" s="94"/>
      <c r="H812" s="94"/>
      <c r="I812" s="94"/>
      <c r="J812" s="94"/>
      <c r="K812" s="94"/>
      <c r="L812" s="94"/>
      <c r="M812" s="95"/>
    </row>
    <row r="813" spans="1:13" s="1" customFormat="1" ht="16.5" customHeight="1">
      <c r="A813" s="93" t="s">
        <v>57</v>
      </c>
      <c r="B813" s="94"/>
      <c r="C813" s="94"/>
      <c r="D813" s="94"/>
      <c r="E813" s="94"/>
      <c r="F813" s="94"/>
      <c r="G813" s="94"/>
      <c r="H813" s="94"/>
      <c r="I813" s="94"/>
      <c r="J813" s="94"/>
      <c r="K813" s="94"/>
      <c r="L813" s="94"/>
      <c r="M813" s="95"/>
    </row>
    <row r="814" spans="1:13" s="1" customFormat="1" ht="16.5" customHeight="1">
      <c r="A814" s="93" t="s">
        <v>58</v>
      </c>
      <c r="B814" s="94"/>
      <c r="C814" s="94"/>
      <c r="D814" s="94"/>
      <c r="E814" s="94"/>
      <c r="F814" s="94"/>
      <c r="G814" s="94"/>
      <c r="H814" s="94"/>
      <c r="I814" s="94"/>
      <c r="J814" s="94"/>
      <c r="K814" s="94"/>
      <c r="L814" s="94"/>
      <c r="M814" s="95"/>
    </row>
    <row r="815" spans="1:13" s="1" customFormat="1" ht="16.5" customHeight="1">
      <c r="A815" s="93" t="s">
        <v>59</v>
      </c>
      <c r="B815" s="94"/>
      <c r="C815" s="94"/>
      <c r="D815" s="94"/>
      <c r="E815" s="94"/>
      <c r="F815" s="94"/>
      <c r="G815" s="94"/>
      <c r="H815" s="94"/>
      <c r="I815" s="94"/>
      <c r="J815" s="94"/>
      <c r="K815" s="94"/>
      <c r="L815" s="94"/>
      <c r="M815" s="95"/>
    </row>
    <row r="816" spans="1:13" ht="16.5" customHeight="1">
      <c r="A816" s="106" t="s">
        <v>29</v>
      </c>
      <c r="B816" s="107"/>
      <c r="C816" s="107"/>
      <c r="D816" s="107"/>
      <c r="E816" s="107"/>
      <c r="F816" s="107"/>
      <c r="G816" s="107"/>
      <c r="H816" s="107"/>
      <c r="I816" s="107"/>
      <c r="J816" s="107"/>
      <c r="K816" s="107"/>
      <c r="L816" s="107"/>
      <c r="M816" s="108"/>
    </row>
    <row r="817" spans="1:13" ht="9.75" customHeight="1" thickBot="1">
      <c r="A817" s="109"/>
      <c r="B817" s="110"/>
      <c r="C817" s="110"/>
      <c r="D817" s="110"/>
      <c r="E817" s="110"/>
      <c r="F817" s="110"/>
      <c r="G817" s="110"/>
      <c r="H817" s="110"/>
      <c r="I817" s="110"/>
      <c r="J817" s="110"/>
      <c r="K817" s="110"/>
      <c r="L817" s="110"/>
      <c r="M817" s="111"/>
    </row>
    <row r="818" spans="1:13" ht="18.75" customHeight="1" thickBot="1">
      <c r="A818" s="72" t="s">
        <v>30</v>
      </c>
      <c r="B818" s="73"/>
      <c r="C818" s="73"/>
      <c r="D818" s="73"/>
      <c r="E818" s="73"/>
      <c r="F818" s="73"/>
      <c r="G818" s="73"/>
      <c r="H818" s="73"/>
      <c r="I818" s="73"/>
      <c r="J818" s="73"/>
      <c r="K818" s="73"/>
      <c r="L818" s="73"/>
      <c r="M818" s="74"/>
    </row>
    <row r="819" spans="1:13" ht="24" customHeight="1" thickBot="1">
      <c r="A819" s="72" t="s">
        <v>31</v>
      </c>
      <c r="B819" s="73"/>
      <c r="C819" s="73"/>
      <c r="D819" s="73"/>
      <c r="E819" s="73"/>
      <c r="F819" s="73"/>
      <c r="G819" s="73"/>
      <c r="H819" s="73"/>
      <c r="I819" s="73"/>
      <c r="J819" s="73"/>
      <c r="K819" s="73"/>
      <c r="L819" s="73"/>
      <c r="M819" s="74"/>
    </row>
    <row r="820" spans="1:13" ht="35.25" customHeight="1" thickBot="1">
      <c r="A820" s="72" t="s">
        <v>145</v>
      </c>
      <c r="B820" s="73"/>
      <c r="C820" s="73"/>
      <c r="D820" s="73"/>
      <c r="E820" s="73"/>
      <c r="F820" s="73"/>
      <c r="G820" s="73"/>
      <c r="H820" s="73"/>
      <c r="I820" s="73"/>
      <c r="J820" s="73"/>
      <c r="K820" s="73"/>
      <c r="L820" s="73"/>
      <c r="M820" s="74"/>
    </row>
    <row r="821" spans="1:13" ht="24" customHeight="1" thickBot="1">
      <c r="A821" s="60" t="s">
        <v>46</v>
      </c>
      <c r="B821" s="61"/>
      <c r="C821" s="61"/>
      <c r="D821" s="61"/>
      <c r="E821" s="61"/>
      <c r="F821" s="61"/>
      <c r="G821" s="61"/>
      <c r="H821" s="61"/>
      <c r="I821" s="61"/>
      <c r="J821" s="61"/>
      <c r="K821" s="61"/>
      <c r="L821" s="61"/>
      <c r="M821" s="62"/>
    </row>
    <row r="822" spans="1:13" ht="11.1" customHeight="1">
      <c r="A822" s="103" t="s">
        <v>47</v>
      </c>
      <c r="B822" s="103"/>
      <c r="C822" s="103"/>
      <c r="D822" s="103"/>
      <c r="E822" s="103"/>
      <c r="F822" s="103"/>
      <c r="G822" s="103"/>
      <c r="H822" s="103"/>
      <c r="I822" s="103"/>
      <c r="J822" s="103"/>
      <c r="K822" s="103"/>
      <c r="L822" s="103"/>
      <c r="M822" s="103"/>
    </row>
    <row r="823" spans="1:13" ht="11.1" customHeight="1">
      <c r="A823" s="104" t="s">
        <v>48</v>
      </c>
      <c r="B823" s="104"/>
      <c r="C823" s="104"/>
      <c r="D823" s="104"/>
      <c r="E823" s="104"/>
      <c r="F823" s="104"/>
      <c r="G823" s="104"/>
      <c r="H823" s="104"/>
      <c r="I823" s="104"/>
      <c r="J823" s="104"/>
      <c r="K823" s="104"/>
      <c r="L823" s="104"/>
      <c r="M823" s="104"/>
    </row>
    <row r="824" spans="1:13" ht="11.1" customHeight="1">
      <c r="A824" s="105" t="s">
        <v>49</v>
      </c>
      <c r="B824" s="105"/>
      <c r="C824" s="105"/>
      <c r="D824" s="105"/>
      <c r="E824" s="105"/>
      <c r="F824" s="105"/>
      <c r="G824" s="105"/>
      <c r="H824" s="105"/>
      <c r="I824" s="105"/>
      <c r="J824" s="105"/>
      <c r="K824" s="105"/>
      <c r="L824" s="105"/>
      <c r="M824" s="105"/>
    </row>
    <row r="825" spans="1:13" ht="11.1" customHeight="1">
      <c r="A825" s="105" t="s">
        <v>50</v>
      </c>
      <c r="B825" s="105"/>
      <c r="C825" s="105"/>
      <c r="D825" s="105"/>
      <c r="E825" s="105"/>
      <c r="F825" s="105"/>
      <c r="G825" s="105"/>
      <c r="H825" s="105"/>
      <c r="I825" s="105"/>
      <c r="J825" s="105"/>
      <c r="K825" s="105"/>
      <c r="L825" s="105"/>
      <c r="M825" s="105"/>
    </row>
    <row r="826" spans="1:13" ht="11.1" customHeight="1">
      <c r="A826" s="104" t="s">
        <v>51</v>
      </c>
      <c r="B826" s="104"/>
      <c r="C826" s="104"/>
      <c r="D826" s="104"/>
      <c r="E826" s="104"/>
      <c r="F826" s="104"/>
      <c r="G826" s="104"/>
      <c r="H826" s="104"/>
      <c r="I826" s="104"/>
      <c r="J826" s="104"/>
      <c r="K826" s="104"/>
      <c r="L826" s="104"/>
      <c r="M826" s="104"/>
    </row>
    <row r="827" spans="1:13" ht="11.1" customHeight="1">
      <c r="A827" s="104" t="s">
        <v>52</v>
      </c>
      <c r="B827" s="104"/>
      <c r="C827" s="104"/>
      <c r="D827" s="104"/>
      <c r="E827" s="104"/>
      <c r="F827" s="104"/>
      <c r="G827" s="104"/>
      <c r="H827" s="104"/>
      <c r="I827" s="104"/>
      <c r="J827" s="104"/>
      <c r="K827" s="104"/>
      <c r="L827" s="104"/>
      <c r="M827" s="104"/>
    </row>
    <row r="828" spans="1:13" ht="11.1" customHeight="1">
      <c r="A828" s="104" t="s">
        <v>53</v>
      </c>
      <c r="B828" s="104"/>
      <c r="C828" s="104"/>
      <c r="D828" s="104"/>
      <c r="E828" s="104"/>
      <c r="F828" s="104"/>
      <c r="G828" s="104"/>
      <c r="H828" s="104"/>
      <c r="I828" s="104"/>
      <c r="J828" s="104"/>
      <c r="K828" s="104"/>
      <c r="L828" s="104"/>
      <c r="M828" s="104"/>
    </row>
    <row r="829" spans="1:13" ht="11.1" customHeight="1">
      <c r="A829" s="101" t="s">
        <v>54</v>
      </c>
      <c r="B829" s="101"/>
      <c r="C829" s="101"/>
      <c r="D829" s="101"/>
      <c r="E829" s="101"/>
      <c r="F829" s="101"/>
      <c r="G829" s="101"/>
      <c r="H829" s="101"/>
      <c r="I829" s="101"/>
      <c r="J829" s="101"/>
      <c r="K829" s="101"/>
      <c r="L829" s="101"/>
      <c r="M829" s="101"/>
    </row>
    <row r="830" spans="1:13" ht="11.1" customHeight="1">
      <c r="A830" s="101" t="s">
        <v>55</v>
      </c>
      <c r="B830" s="101"/>
      <c r="C830" s="101"/>
      <c r="D830" s="101"/>
      <c r="E830" s="101"/>
      <c r="F830" s="101"/>
      <c r="G830" s="101"/>
      <c r="H830" s="101"/>
      <c r="I830" s="101"/>
      <c r="J830" s="101"/>
      <c r="K830" s="101"/>
      <c r="L830" s="101"/>
      <c r="M830" s="101"/>
    </row>
    <row r="831" spans="1:13" ht="19.5" customHeight="1">
      <c r="A831" s="69" t="s">
        <v>0</v>
      </c>
      <c r="B831" s="69"/>
      <c r="C831" s="69"/>
      <c r="D831" s="69"/>
      <c r="E831" s="69"/>
      <c r="F831" s="69"/>
      <c r="G831" s="69"/>
      <c r="H831" s="69"/>
      <c r="I831" s="69"/>
      <c r="J831" s="69"/>
      <c r="K831" s="69"/>
      <c r="L831" s="69"/>
      <c r="M831" s="69"/>
    </row>
    <row r="832" spans="1:13" ht="20.100000000000001" customHeight="1">
      <c r="A832" s="4" t="s">
        <v>32</v>
      </c>
      <c r="B832" s="5">
        <f>+B788+1</f>
        <v>55</v>
      </c>
      <c r="C832" s="30"/>
      <c r="D832" s="30"/>
      <c r="E832" s="30"/>
      <c r="F832" s="30"/>
      <c r="G832" s="30"/>
      <c r="H832" s="30"/>
      <c r="I832" s="30"/>
      <c r="J832" s="30"/>
      <c r="K832" s="30"/>
      <c r="L832" s="30"/>
      <c r="M832" s="30"/>
    </row>
    <row r="833" spans="1:15" ht="24" customHeight="1" thickBot="1">
      <c r="A833" s="4" t="s">
        <v>33</v>
      </c>
      <c r="H833" s="70" t="s">
        <v>34</v>
      </c>
      <c r="I833" s="70"/>
      <c r="J833" s="70"/>
      <c r="K833" s="102">
        <f>+K789+1</f>
        <v>45981</v>
      </c>
      <c r="L833" s="102"/>
      <c r="M833" s="102"/>
      <c r="O833" s="7"/>
    </row>
    <row r="834" spans="1:15" ht="33.75" customHeight="1" thickBot="1">
      <c r="A834" s="80" t="s">
        <v>1</v>
      </c>
      <c r="B834" s="81"/>
      <c r="C834" s="82"/>
      <c r="D834" s="86" t="str">
        <f>+D790</f>
        <v>光明國中B與C區5樓老舊廁所整修工程</v>
      </c>
      <c r="E834" s="87"/>
      <c r="F834" s="87"/>
      <c r="G834" s="88"/>
      <c r="H834" s="80" t="s">
        <v>2</v>
      </c>
      <c r="I834" s="81"/>
      <c r="J834" s="82"/>
      <c r="K834" s="80" t="s">
        <v>35</v>
      </c>
      <c r="L834" s="81"/>
      <c r="M834" s="82"/>
    </row>
    <row r="835" spans="1:15" ht="33.75" customHeight="1" thickBot="1">
      <c r="A835" s="8" t="s">
        <v>3</v>
      </c>
      <c r="B835" s="29">
        <f>+B791</f>
        <v>143</v>
      </c>
      <c r="C835" s="10" t="s">
        <v>36</v>
      </c>
      <c r="D835" s="80" t="s">
        <v>4</v>
      </c>
      <c r="E835" s="89"/>
      <c r="F835" s="31">
        <f>+F791+1</f>
        <v>55</v>
      </c>
      <c r="G835" s="12" t="s">
        <v>36</v>
      </c>
      <c r="H835" s="13" t="s">
        <v>5</v>
      </c>
      <c r="I835" s="29">
        <f>+B835-F835</f>
        <v>88</v>
      </c>
      <c r="J835" s="10" t="s">
        <v>36</v>
      </c>
      <c r="K835" s="80" t="s">
        <v>6</v>
      </c>
      <c r="L835" s="82"/>
      <c r="M835" s="13">
        <f>+M791</f>
        <v>13</v>
      </c>
    </row>
    <row r="836" spans="1:15" ht="24" customHeight="1" thickBot="1">
      <c r="A836" s="80" t="s">
        <v>7</v>
      </c>
      <c r="B836" s="81"/>
      <c r="C836" s="82"/>
      <c r="D836" s="80" t="str">
        <f>+D792</f>
        <v>114.9.27</v>
      </c>
      <c r="E836" s="81"/>
      <c r="F836" s="81"/>
      <c r="G836" s="82"/>
      <c r="H836" s="80" t="s">
        <v>8</v>
      </c>
      <c r="I836" s="81"/>
      <c r="J836" s="82"/>
      <c r="K836" s="80" t="str">
        <f>+K792</f>
        <v>115.2.16</v>
      </c>
      <c r="L836" s="81"/>
      <c r="M836" s="82"/>
    </row>
    <row r="837" spans="1:15" ht="24" customHeight="1" thickBot="1">
      <c r="A837" s="80" t="s">
        <v>37</v>
      </c>
      <c r="B837" s="81"/>
      <c r="C837" s="82"/>
      <c r="D837" s="83">
        <v>0.23400000000000001</v>
      </c>
      <c r="E837" s="84"/>
      <c r="F837" s="84"/>
      <c r="G837" s="85"/>
      <c r="H837" s="80" t="s">
        <v>38</v>
      </c>
      <c r="I837" s="81"/>
      <c r="J837" s="82"/>
      <c r="K837" s="83">
        <f>+K793+0.8%</f>
        <v>0.3000000000000001</v>
      </c>
      <c r="L837" s="84"/>
      <c r="M837" s="85"/>
    </row>
    <row r="838" spans="1:15" ht="24" customHeight="1" thickBot="1">
      <c r="A838" s="72" t="s">
        <v>9</v>
      </c>
      <c r="B838" s="73"/>
      <c r="C838" s="73"/>
      <c r="D838" s="73"/>
      <c r="E838" s="73"/>
      <c r="F838" s="73"/>
      <c r="G838" s="73"/>
      <c r="H838" s="73"/>
      <c r="I838" s="73"/>
      <c r="J838" s="73"/>
      <c r="K838" s="73"/>
      <c r="L838" s="73"/>
      <c r="M838" s="74"/>
    </row>
    <row r="839" spans="1:15" ht="35.25" customHeight="1" thickBot="1">
      <c r="A839" s="75" t="s">
        <v>10</v>
      </c>
      <c r="B839" s="76"/>
      <c r="C839" s="76"/>
      <c r="D839" s="77"/>
      <c r="E839" s="14" t="s">
        <v>11</v>
      </c>
      <c r="F839" s="75" t="s">
        <v>12</v>
      </c>
      <c r="G839" s="77"/>
      <c r="H839" s="75" t="s">
        <v>13</v>
      </c>
      <c r="I839" s="77"/>
      <c r="J839" s="78" t="s">
        <v>14</v>
      </c>
      <c r="K839" s="79"/>
      <c r="L839" s="75" t="s">
        <v>15</v>
      </c>
      <c r="M839" s="77"/>
    </row>
    <row r="840" spans="1:15" ht="27.95" customHeight="1" thickBot="1">
      <c r="A840" s="141" t="s">
        <v>121</v>
      </c>
      <c r="B840" s="142"/>
      <c r="C840" s="142"/>
      <c r="D840" s="143"/>
      <c r="E840" s="49" t="s">
        <v>118</v>
      </c>
      <c r="F840" s="56">
        <v>313</v>
      </c>
      <c r="G840" s="57"/>
      <c r="H840" s="56">
        <v>30</v>
      </c>
      <c r="I840" s="57"/>
      <c r="J840" s="56">
        <v>90</v>
      </c>
      <c r="K840" s="57"/>
      <c r="L840" s="58"/>
      <c r="M840" s="59"/>
    </row>
    <row r="841" spans="1:15" ht="27.95" customHeight="1" thickBot="1">
      <c r="A841" s="141"/>
      <c r="B841" s="142"/>
      <c r="C841" s="142"/>
      <c r="D841" s="143"/>
      <c r="E841" s="15"/>
      <c r="F841" s="56"/>
      <c r="G841" s="57"/>
      <c r="H841" s="56"/>
      <c r="I841" s="57"/>
      <c r="J841" s="56"/>
      <c r="K841" s="57"/>
      <c r="L841" s="58"/>
      <c r="M841" s="59"/>
    </row>
    <row r="842" spans="1:15" ht="24.95" customHeight="1" thickTop="1" thickBot="1">
      <c r="A842" s="130" t="s">
        <v>16</v>
      </c>
      <c r="B842" s="67"/>
      <c r="C842" s="67"/>
      <c r="D842" s="68"/>
      <c r="E842" s="43"/>
      <c r="F842" s="131"/>
      <c r="G842" s="132"/>
      <c r="H842" s="131"/>
      <c r="I842" s="132"/>
      <c r="J842" s="131"/>
      <c r="K842" s="132"/>
      <c r="L842" s="131"/>
      <c r="M842" s="133"/>
    </row>
    <row r="843" spans="1:15" ht="24.95" customHeight="1" thickBot="1">
      <c r="A843" s="134" t="s">
        <v>17</v>
      </c>
      <c r="B843" s="135"/>
      <c r="C843" s="135"/>
      <c r="D843" s="59"/>
      <c r="E843" s="43"/>
      <c r="F843" s="58"/>
      <c r="G843" s="59"/>
      <c r="H843" s="58"/>
      <c r="I843" s="59"/>
      <c r="J843" s="58"/>
      <c r="K843" s="59"/>
      <c r="L843" s="58"/>
      <c r="M843" s="136"/>
    </row>
    <row r="844" spans="1:15" ht="24.95" customHeight="1" thickBot="1">
      <c r="A844" s="118" t="s">
        <v>18</v>
      </c>
      <c r="B844" s="119"/>
      <c r="C844" s="119"/>
      <c r="D844" s="120"/>
      <c r="E844" s="24"/>
      <c r="F844" s="121"/>
      <c r="G844" s="120"/>
      <c r="H844" s="121"/>
      <c r="I844" s="120"/>
      <c r="J844" s="121"/>
      <c r="K844" s="120"/>
      <c r="L844" s="121"/>
      <c r="M844" s="122"/>
    </row>
    <row r="845" spans="1:15" ht="24" customHeight="1" thickTop="1" thickBot="1">
      <c r="A845" s="66" t="s">
        <v>19</v>
      </c>
      <c r="B845" s="67"/>
      <c r="C845" s="67"/>
      <c r="D845" s="67"/>
      <c r="E845" s="67"/>
      <c r="F845" s="67"/>
      <c r="G845" s="67"/>
      <c r="H845" s="67"/>
      <c r="I845" s="67"/>
      <c r="J845" s="67"/>
      <c r="K845" s="67"/>
      <c r="L845" s="67"/>
      <c r="M845" s="68"/>
    </row>
    <row r="846" spans="1:15" ht="35.25" customHeight="1" thickBot="1">
      <c r="A846" s="75" t="s">
        <v>20</v>
      </c>
      <c r="B846" s="76"/>
      <c r="C846" s="76"/>
      <c r="D846" s="77"/>
      <c r="E846" s="14" t="s">
        <v>11</v>
      </c>
      <c r="F846" s="75" t="s">
        <v>39</v>
      </c>
      <c r="G846" s="77"/>
      <c r="H846" s="75" t="s">
        <v>21</v>
      </c>
      <c r="I846" s="77"/>
      <c r="J846" s="78" t="s">
        <v>22</v>
      </c>
      <c r="K846" s="79"/>
      <c r="L846" s="75" t="s">
        <v>15</v>
      </c>
      <c r="M846" s="77"/>
    </row>
    <row r="847" spans="1:15" ht="24" customHeight="1" thickBot="1">
      <c r="A847" s="96"/>
      <c r="B847" s="97"/>
      <c r="C847" s="97"/>
      <c r="D847" s="98"/>
      <c r="E847" s="43"/>
      <c r="F847" s="58"/>
      <c r="G847" s="59"/>
      <c r="H847" s="58"/>
      <c r="I847" s="59"/>
      <c r="J847" s="56"/>
      <c r="K847" s="57"/>
      <c r="L847" s="58"/>
      <c r="M847" s="59"/>
    </row>
    <row r="848" spans="1:15" ht="24" customHeight="1" thickBot="1">
      <c r="A848" s="96"/>
      <c r="B848" s="97"/>
      <c r="C848" s="97"/>
      <c r="D848" s="98"/>
      <c r="E848" s="43"/>
      <c r="F848" s="58"/>
      <c r="G848" s="59"/>
      <c r="H848" s="58"/>
      <c r="I848" s="59"/>
      <c r="J848" s="56"/>
      <c r="K848" s="57"/>
      <c r="L848" s="58"/>
      <c r="M848" s="59"/>
    </row>
    <row r="849" spans="1:13" ht="24" customHeight="1" thickBot="1">
      <c r="A849" s="60" t="s">
        <v>23</v>
      </c>
      <c r="B849" s="61"/>
      <c r="C849" s="61"/>
      <c r="D849" s="61"/>
      <c r="E849" s="61"/>
      <c r="F849" s="61"/>
      <c r="G849" s="61"/>
      <c r="H849" s="61"/>
      <c r="I849" s="61"/>
      <c r="J849" s="61"/>
      <c r="K849" s="61"/>
      <c r="L849" s="61"/>
      <c r="M849" s="62"/>
    </row>
    <row r="850" spans="1:13" ht="35.25" customHeight="1" thickBot="1">
      <c r="A850" s="75" t="s">
        <v>24</v>
      </c>
      <c r="B850" s="77"/>
      <c r="C850" s="75" t="s">
        <v>25</v>
      </c>
      <c r="D850" s="77"/>
      <c r="E850" s="75" t="s">
        <v>26</v>
      </c>
      <c r="F850" s="76"/>
      <c r="G850" s="77"/>
      <c r="H850" s="75" t="s">
        <v>27</v>
      </c>
      <c r="I850" s="77"/>
      <c r="J850" s="78" t="s">
        <v>21</v>
      </c>
      <c r="K850" s="79"/>
      <c r="L850" s="75" t="s">
        <v>22</v>
      </c>
      <c r="M850" s="77"/>
    </row>
    <row r="851" spans="1:13" s="18" customFormat="1" ht="24.75" customHeight="1" thickBot="1">
      <c r="A851" s="99" t="s">
        <v>119</v>
      </c>
      <c r="B851" s="98"/>
      <c r="C851" s="56">
        <v>2</v>
      </c>
      <c r="D851" s="57"/>
      <c r="E851" s="56">
        <v>26</v>
      </c>
      <c r="F851" s="100"/>
      <c r="G851" s="57"/>
      <c r="H851" s="56"/>
      <c r="I851" s="57"/>
      <c r="J851" s="56"/>
      <c r="K851" s="57"/>
      <c r="L851" s="56"/>
      <c r="M851" s="57"/>
    </row>
    <row r="852" spans="1:13" s="18" customFormat="1" ht="24.75" customHeight="1" thickBot="1">
      <c r="A852" s="99"/>
      <c r="B852" s="98"/>
      <c r="C852" s="56"/>
      <c r="D852" s="57"/>
      <c r="E852" s="56"/>
      <c r="F852" s="100"/>
      <c r="G852" s="57"/>
      <c r="H852" s="56"/>
      <c r="I852" s="57"/>
      <c r="J852" s="56"/>
      <c r="K852" s="57"/>
      <c r="L852" s="56"/>
      <c r="M852" s="57"/>
    </row>
    <row r="853" spans="1:13" ht="33" customHeight="1" thickBot="1">
      <c r="A853" s="112" t="s">
        <v>40</v>
      </c>
      <c r="B853" s="113"/>
      <c r="C853" s="113"/>
      <c r="D853" s="113"/>
      <c r="E853" s="113"/>
      <c r="F853" s="113"/>
      <c r="G853" s="113"/>
      <c r="H853" s="113"/>
      <c r="I853" s="113"/>
      <c r="J853" s="113"/>
      <c r="K853" s="113"/>
      <c r="L853" s="113"/>
      <c r="M853" s="114"/>
    </row>
    <row r="854" spans="1:13" ht="16.5" customHeight="1">
      <c r="A854" s="115" t="s">
        <v>41</v>
      </c>
      <c r="B854" s="116"/>
      <c r="C854" s="116"/>
      <c r="D854" s="116"/>
      <c r="E854" s="116"/>
      <c r="F854" s="116"/>
      <c r="G854" s="116"/>
      <c r="H854" s="116"/>
      <c r="I854" s="116"/>
      <c r="J854" s="116"/>
      <c r="K854" s="116"/>
      <c r="L854" s="116"/>
      <c r="M854" s="117"/>
    </row>
    <row r="855" spans="1:13" ht="16.5" customHeight="1">
      <c r="A855" s="90" t="s">
        <v>28</v>
      </c>
      <c r="B855" s="91"/>
      <c r="C855" s="91"/>
      <c r="D855" s="91"/>
      <c r="E855" s="91"/>
      <c r="F855" s="91"/>
      <c r="G855" s="91"/>
      <c r="H855" s="91"/>
      <c r="I855" s="91"/>
      <c r="J855" s="91"/>
      <c r="K855" s="91"/>
      <c r="L855" s="91"/>
      <c r="M855" s="92"/>
    </row>
    <row r="856" spans="1:13" s="1" customFormat="1" ht="16.5" customHeight="1">
      <c r="A856" s="93" t="s">
        <v>56</v>
      </c>
      <c r="B856" s="94"/>
      <c r="C856" s="94"/>
      <c r="D856" s="94"/>
      <c r="E856" s="94"/>
      <c r="F856" s="94"/>
      <c r="G856" s="94"/>
      <c r="H856" s="94"/>
      <c r="I856" s="94"/>
      <c r="J856" s="94"/>
      <c r="K856" s="94"/>
      <c r="L856" s="94"/>
      <c r="M856" s="95"/>
    </row>
    <row r="857" spans="1:13" s="1" customFormat="1" ht="16.5" customHeight="1">
      <c r="A857" s="93" t="s">
        <v>57</v>
      </c>
      <c r="B857" s="94"/>
      <c r="C857" s="94"/>
      <c r="D857" s="94"/>
      <c r="E857" s="94"/>
      <c r="F857" s="94"/>
      <c r="G857" s="94"/>
      <c r="H857" s="94"/>
      <c r="I857" s="94"/>
      <c r="J857" s="94"/>
      <c r="K857" s="94"/>
      <c r="L857" s="94"/>
      <c r="M857" s="95"/>
    </row>
    <row r="858" spans="1:13" s="1" customFormat="1" ht="16.5" customHeight="1">
      <c r="A858" s="93" t="s">
        <v>58</v>
      </c>
      <c r="B858" s="94"/>
      <c r="C858" s="94"/>
      <c r="D858" s="94"/>
      <c r="E858" s="94"/>
      <c r="F858" s="94"/>
      <c r="G858" s="94"/>
      <c r="H858" s="94"/>
      <c r="I858" s="94"/>
      <c r="J858" s="94"/>
      <c r="K858" s="94"/>
      <c r="L858" s="94"/>
      <c r="M858" s="95"/>
    </row>
    <row r="859" spans="1:13" s="1" customFormat="1" ht="16.5" customHeight="1">
      <c r="A859" s="93" t="s">
        <v>59</v>
      </c>
      <c r="B859" s="94"/>
      <c r="C859" s="94"/>
      <c r="D859" s="94"/>
      <c r="E859" s="94"/>
      <c r="F859" s="94"/>
      <c r="G859" s="94"/>
      <c r="H859" s="94"/>
      <c r="I859" s="94"/>
      <c r="J859" s="94"/>
      <c r="K859" s="94"/>
      <c r="L859" s="94"/>
      <c r="M859" s="95"/>
    </row>
    <row r="860" spans="1:13" ht="16.5" customHeight="1">
      <c r="A860" s="106" t="s">
        <v>29</v>
      </c>
      <c r="B860" s="107"/>
      <c r="C860" s="107"/>
      <c r="D860" s="107"/>
      <c r="E860" s="107"/>
      <c r="F860" s="107"/>
      <c r="G860" s="107"/>
      <c r="H860" s="107"/>
      <c r="I860" s="107"/>
      <c r="J860" s="107"/>
      <c r="K860" s="107"/>
      <c r="L860" s="107"/>
      <c r="M860" s="108"/>
    </row>
    <row r="861" spans="1:13" ht="9.75" customHeight="1" thickBot="1">
      <c r="A861" s="109"/>
      <c r="B861" s="110"/>
      <c r="C861" s="110"/>
      <c r="D861" s="110"/>
      <c r="E861" s="110"/>
      <c r="F861" s="110"/>
      <c r="G861" s="110"/>
      <c r="H861" s="110"/>
      <c r="I861" s="110"/>
      <c r="J861" s="110"/>
      <c r="K861" s="110"/>
      <c r="L861" s="110"/>
      <c r="M861" s="111"/>
    </row>
    <row r="862" spans="1:13" ht="18.75" customHeight="1" thickBot="1">
      <c r="A862" s="72" t="s">
        <v>30</v>
      </c>
      <c r="B862" s="73"/>
      <c r="C862" s="73"/>
      <c r="D862" s="73"/>
      <c r="E862" s="73"/>
      <c r="F862" s="73"/>
      <c r="G862" s="73"/>
      <c r="H862" s="73"/>
      <c r="I862" s="73"/>
      <c r="J862" s="73"/>
      <c r="K862" s="73"/>
      <c r="L862" s="73"/>
      <c r="M862" s="74"/>
    </row>
    <row r="863" spans="1:13" ht="24" customHeight="1" thickBot="1">
      <c r="A863" s="72" t="s">
        <v>31</v>
      </c>
      <c r="B863" s="73"/>
      <c r="C863" s="73"/>
      <c r="D863" s="73"/>
      <c r="E863" s="73"/>
      <c r="F863" s="73"/>
      <c r="G863" s="73"/>
      <c r="H863" s="73"/>
      <c r="I863" s="73"/>
      <c r="J863" s="73"/>
      <c r="K863" s="73"/>
      <c r="L863" s="73"/>
      <c r="M863" s="74"/>
    </row>
    <row r="864" spans="1:13" ht="24" customHeight="1" thickBot="1">
      <c r="A864" s="72" t="s">
        <v>142</v>
      </c>
      <c r="B864" s="73"/>
      <c r="C864" s="73"/>
      <c r="D864" s="73"/>
      <c r="E864" s="73"/>
      <c r="F864" s="73"/>
      <c r="G864" s="73"/>
      <c r="H864" s="73"/>
      <c r="I864" s="73"/>
      <c r="J864" s="73"/>
      <c r="K864" s="73"/>
      <c r="L864" s="73"/>
      <c r="M864" s="74"/>
    </row>
    <row r="865" spans="1:15" ht="24" customHeight="1" thickBot="1">
      <c r="A865" s="60" t="s">
        <v>46</v>
      </c>
      <c r="B865" s="61"/>
      <c r="C865" s="61"/>
      <c r="D865" s="61"/>
      <c r="E865" s="61"/>
      <c r="F865" s="61"/>
      <c r="G865" s="61"/>
      <c r="H865" s="61"/>
      <c r="I865" s="61"/>
      <c r="J865" s="61"/>
      <c r="K865" s="61"/>
      <c r="L865" s="61"/>
      <c r="M865" s="62"/>
    </row>
    <row r="866" spans="1:15" ht="11.1" customHeight="1">
      <c r="A866" s="103" t="s">
        <v>47</v>
      </c>
      <c r="B866" s="103"/>
      <c r="C866" s="103"/>
      <c r="D866" s="103"/>
      <c r="E866" s="103"/>
      <c r="F866" s="103"/>
      <c r="G866" s="103"/>
      <c r="H866" s="103"/>
      <c r="I866" s="103"/>
      <c r="J866" s="103"/>
      <c r="K866" s="103"/>
      <c r="L866" s="103"/>
      <c r="M866" s="103"/>
    </row>
    <row r="867" spans="1:15" ht="11.1" customHeight="1">
      <c r="A867" s="104" t="s">
        <v>48</v>
      </c>
      <c r="B867" s="104"/>
      <c r="C867" s="104"/>
      <c r="D867" s="104"/>
      <c r="E867" s="104"/>
      <c r="F867" s="104"/>
      <c r="G867" s="104"/>
      <c r="H867" s="104"/>
      <c r="I867" s="104"/>
      <c r="J867" s="104"/>
      <c r="K867" s="104"/>
      <c r="L867" s="104"/>
      <c r="M867" s="104"/>
    </row>
    <row r="868" spans="1:15" ht="11.1" customHeight="1">
      <c r="A868" s="105" t="s">
        <v>49</v>
      </c>
      <c r="B868" s="105"/>
      <c r="C868" s="105"/>
      <c r="D868" s="105"/>
      <c r="E868" s="105"/>
      <c r="F868" s="105"/>
      <c r="G868" s="105"/>
      <c r="H868" s="105"/>
      <c r="I868" s="105"/>
      <c r="J868" s="105"/>
      <c r="K868" s="105"/>
      <c r="L868" s="105"/>
      <c r="M868" s="105"/>
    </row>
    <row r="869" spans="1:15" ht="11.1" customHeight="1">
      <c r="A869" s="105" t="s">
        <v>50</v>
      </c>
      <c r="B869" s="105"/>
      <c r="C869" s="105"/>
      <c r="D869" s="105"/>
      <c r="E869" s="105"/>
      <c r="F869" s="105"/>
      <c r="G869" s="105"/>
      <c r="H869" s="105"/>
      <c r="I869" s="105"/>
      <c r="J869" s="105"/>
      <c r="K869" s="105"/>
      <c r="L869" s="105"/>
      <c r="M869" s="105"/>
    </row>
    <row r="870" spans="1:15" ht="11.1" customHeight="1">
      <c r="A870" s="104" t="s">
        <v>51</v>
      </c>
      <c r="B870" s="104"/>
      <c r="C870" s="104"/>
      <c r="D870" s="104"/>
      <c r="E870" s="104"/>
      <c r="F870" s="104"/>
      <c r="G870" s="104"/>
      <c r="H870" s="104"/>
      <c r="I870" s="104"/>
      <c r="J870" s="104"/>
      <c r="K870" s="104"/>
      <c r="L870" s="104"/>
      <c r="M870" s="104"/>
    </row>
    <row r="871" spans="1:15" ht="11.1" customHeight="1">
      <c r="A871" s="104" t="s">
        <v>52</v>
      </c>
      <c r="B871" s="104"/>
      <c r="C871" s="104"/>
      <c r="D871" s="104"/>
      <c r="E871" s="104"/>
      <c r="F871" s="104"/>
      <c r="G871" s="104"/>
      <c r="H871" s="104"/>
      <c r="I871" s="104"/>
      <c r="J871" s="104"/>
      <c r="K871" s="104"/>
      <c r="L871" s="104"/>
      <c r="M871" s="104"/>
    </row>
    <row r="872" spans="1:15" ht="11.1" customHeight="1">
      <c r="A872" s="104" t="s">
        <v>53</v>
      </c>
      <c r="B872" s="104"/>
      <c r="C872" s="104"/>
      <c r="D872" s="104"/>
      <c r="E872" s="104"/>
      <c r="F872" s="104"/>
      <c r="G872" s="104"/>
      <c r="H872" s="104"/>
      <c r="I872" s="104"/>
      <c r="J872" s="104"/>
      <c r="K872" s="104"/>
      <c r="L872" s="104"/>
      <c r="M872" s="104"/>
    </row>
    <row r="873" spans="1:15" ht="11.1" customHeight="1">
      <c r="A873" s="101" t="s">
        <v>54</v>
      </c>
      <c r="B873" s="101"/>
      <c r="C873" s="101"/>
      <c r="D873" s="101"/>
      <c r="E873" s="101"/>
      <c r="F873" s="101"/>
      <c r="G873" s="101"/>
      <c r="H873" s="101"/>
      <c r="I873" s="101"/>
      <c r="J873" s="101"/>
      <c r="K873" s="101"/>
      <c r="L873" s="101"/>
      <c r="M873" s="101"/>
    </row>
    <row r="874" spans="1:15" ht="11.1" customHeight="1">
      <c r="A874" s="101" t="s">
        <v>55</v>
      </c>
      <c r="B874" s="101"/>
      <c r="C874" s="101"/>
      <c r="D874" s="101"/>
      <c r="E874" s="101"/>
      <c r="F874" s="101"/>
      <c r="G874" s="101"/>
      <c r="H874" s="101"/>
      <c r="I874" s="101"/>
      <c r="J874" s="101"/>
      <c r="K874" s="101"/>
      <c r="L874" s="101"/>
      <c r="M874" s="101"/>
    </row>
    <row r="875" spans="1:15" ht="19.5" customHeight="1">
      <c r="A875" s="69" t="s">
        <v>0</v>
      </c>
      <c r="B875" s="69"/>
      <c r="C875" s="69"/>
      <c r="D875" s="69"/>
      <c r="E875" s="69"/>
      <c r="F875" s="69"/>
      <c r="G875" s="69"/>
      <c r="H875" s="69"/>
      <c r="I875" s="69"/>
      <c r="J875" s="69"/>
      <c r="K875" s="69"/>
      <c r="L875" s="69"/>
      <c r="M875" s="69"/>
    </row>
    <row r="876" spans="1:15" ht="20.100000000000001" customHeight="1">
      <c r="A876" s="4" t="s">
        <v>32</v>
      </c>
      <c r="B876" s="5">
        <f>+B832+1</f>
        <v>56</v>
      </c>
      <c r="C876" s="30"/>
      <c r="D876" s="30"/>
      <c r="E876" s="30"/>
      <c r="F876" s="30"/>
      <c r="G876" s="30"/>
      <c r="H876" s="30"/>
      <c r="I876" s="30"/>
      <c r="J876" s="30"/>
      <c r="K876" s="30"/>
      <c r="L876" s="30"/>
      <c r="M876" s="30"/>
    </row>
    <row r="877" spans="1:15" ht="24" customHeight="1" thickBot="1">
      <c r="A877" s="4" t="s">
        <v>33</v>
      </c>
      <c r="H877" s="70" t="s">
        <v>34</v>
      </c>
      <c r="I877" s="70"/>
      <c r="J877" s="70"/>
      <c r="K877" s="102">
        <f>+K833+1</f>
        <v>45982</v>
      </c>
      <c r="L877" s="102"/>
      <c r="M877" s="102"/>
      <c r="O877" s="7"/>
    </row>
    <row r="878" spans="1:15" ht="33.75" customHeight="1" thickBot="1">
      <c r="A878" s="80" t="s">
        <v>1</v>
      </c>
      <c r="B878" s="81"/>
      <c r="C878" s="82"/>
      <c r="D878" s="86" t="str">
        <f>+D834</f>
        <v>光明國中B與C區5樓老舊廁所整修工程</v>
      </c>
      <c r="E878" s="87"/>
      <c r="F878" s="87"/>
      <c r="G878" s="88"/>
      <c r="H878" s="80" t="s">
        <v>2</v>
      </c>
      <c r="I878" s="81"/>
      <c r="J878" s="82"/>
      <c r="K878" s="80" t="s">
        <v>35</v>
      </c>
      <c r="L878" s="81"/>
      <c r="M878" s="82"/>
    </row>
    <row r="879" spans="1:15" ht="33.75" customHeight="1" thickBot="1">
      <c r="A879" s="8" t="s">
        <v>3</v>
      </c>
      <c r="B879" s="29">
        <f>+B835</f>
        <v>143</v>
      </c>
      <c r="C879" s="10" t="s">
        <v>36</v>
      </c>
      <c r="D879" s="80" t="s">
        <v>4</v>
      </c>
      <c r="E879" s="89"/>
      <c r="F879" s="31">
        <f>+F835+1</f>
        <v>56</v>
      </c>
      <c r="G879" s="12" t="s">
        <v>36</v>
      </c>
      <c r="H879" s="13" t="s">
        <v>5</v>
      </c>
      <c r="I879" s="29">
        <f>+B879-F879</f>
        <v>87</v>
      </c>
      <c r="J879" s="10" t="s">
        <v>36</v>
      </c>
      <c r="K879" s="80" t="s">
        <v>6</v>
      </c>
      <c r="L879" s="82"/>
      <c r="M879" s="13">
        <f>+M835</f>
        <v>13</v>
      </c>
    </row>
    <row r="880" spans="1:15" ht="24" customHeight="1" thickBot="1">
      <c r="A880" s="80" t="s">
        <v>7</v>
      </c>
      <c r="B880" s="81"/>
      <c r="C880" s="82"/>
      <c r="D880" s="80" t="str">
        <f>+D836</f>
        <v>114.9.27</v>
      </c>
      <c r="E880" s="81"/>
      <c r="F880" s="81"/>
      <c r="G880" s="82"/>
      <c r="H880" s="80" t="s">
        <v>8</v>
      </c>
      <c r="I880" s="81"/>
      <c r="J880" s="82"/>
      <c r="K880" s="80" t="str">
        <f>+K836</f>
        <v>115.2.16</v>
      </c>
      <c r="L880" s="81"/>
      <c r="M880" s="82"/>
    </row>
    <row r="881" spans="1:13" ht="24" customHeight="1" thickBot="1">
      <c r="A881" s="80" t="s">
        <v>37</v>
      </c>
      <c r="B881" s="81"/>
      <c r="C881" s="82"/>
      <c r="D881" s="83">
        <v>0.24</v>
      </c>
      <c r="E881" s="84"/>
      <c r="F881" s="84"/>
      <c r="G881" s="85"/>
      <c r="H881" s="80" t="s">
        <v>38</v>
      </c>
      <c r="I881" s="81"/>
      <c r="J881" s="82"/>
      <c r="K881" s="83">
        <f>+K837+0.8%</f>
        <v>0.30800000000000011</v>
      </c>
      <c r="L881" s="84"/>
      <c r="M881" s="85"/>
    </row>
    <row r="882" spans="1:13" ht="24" customHeight="1" thickBot="1">
      <c r="A882" s="72" t="s">
        <v>9</v>
      </c>
      <c r="B882" s="73"/>
      <c r="C882" s="73"/>
      <c r="D882" s="73"/>
      <c r="E882" s="73"/>
      <c r="F882" s="73"/>
      <c r="G882" s="73"/>
      <c r="H882" s="73"/>
      <c r="I882" s="73"/>
      <c r="J882" s="73"/>
      <c r="K882" s="73"/>
      <c r="L882" s="73"/>
      <c r="M882" s="74"/>
    </row>
    <row r="883" spans="1:13" ht="35.25" customHeight="1" thickBot="1">
      <c r="A883" s="75" t="s">
        <v>10</v>
      </c>
      <c r="B883" s="76"/>
      <c r="C883" s="76"/>
      <c r="D883" s="77"/>
      <c r="E883" s="14" t="s">
        <v>11</v>
      </c>
      <c r="F883" s="75" t="s">
        <v>12</v>
      </c>
      <c r="G883" s="77"/>
      <c r="H883" s="75" t="s">
        <v>13</v>
      </c>
      <c r="I883" s="77"/>
      <c r="J883" s="78" t="s">
        <v>14</v>
      </c>
      <c r="K883" s="79"/>
      <c r="L883" s="75" t="s">
        <v>15</v>
      </c>
      <c r="M883" s="77"/>
    </row>
    <row r="884" spans="1:13" ht="27.95" customHeight="1" thickBot="1">
      <c r="A884" s="141" t="s">
        <v>121</v>
      </c>
      <c r="B884" s="142"/>
      <c r="C884" s="142"/>
      <c r="D884" s="143"/>
      <c r="E884" s="49" t="s">
        <v>118</v>
      </c>
      <c r="F884" s="56">
        <v>313</v>
      </c>
      <c r="G884" s="57"/>
      <c r="H884" s="56">
        <v>30</v>
      </c>
      <c r="I884" s="57"/>
      <c r="J884" s="56">
        <v>120</v>
      </c>
      <c r="K884" s="57"/>
      <c r="L884" s="58"/>
      <c r="M884" s="59"/>
    </row>
    <row r="885" spans="1:13" ht="27.95" customHeight="1" thickBot="1">
      <c r="A885" s="141"/>
      <c r="B885" s="142"/>
      <c r="C885" s="142"/>
      <c r="D885" s="143"/>
      <c r="E885" s="15"/>
      <c r="F885" s="56"/>
      <c r="G885" s="57"/>
      <c r="H885" s="56"/>
      <c r="I885" s="57"/>
      <c r="J885" s="56"/>
      <c r="K885" s="57"/>
      <c r="L885" s="58"/>
      <c r="M885" s="59"/>
    </row>
    <row r="886" spans="1:13" ht="24.95" customHeight="1" thickTop="1" thickBot="1">
      <c r="A886" s="130" t="s">
        <v>16</v>
      </c>
      <c r="B886" s="67"/>
      <c r="C886" s="67"/>
      <c r="D886" s="68"/>
      <c r="E886" s="32"/>
      <c r="F886" s="131"/>
      <c r="G886" s="132"/>
      <c r="H886" s="131"/>
      <c r="I886" s="132"/>
      <c r="J886" s="131"/>
      <c r="K886" s="132"/>
      <c r="L886" s="131"/>
      <c r="M886" s="133"/>
    </row>
    <row r="887" spans="1:13" ht="24.95" customHeight="1" thickBot="1">
      <c r="A887" s="134" t="s">
        <v>17</v>
      </c>
      <c r="B887" s="135"/>
      <c r="C887" s="135"/>
      <c r="D887" s="59"/>
      <c r="E887" s="32"/>
      <c r="F887" s="58"/>
      <c r="G887" s="59"/>
      <c r="H887" s="58"/>
      <c r="I887" s="59"/>
      <c r="J887" s="58"/>
      <c r="K887" s="59"/>
      <c r="L887" s="58"/>
      <c r="M887" s="136"/>
    </row>
    <row r="888" spans="1:13" ht="24.95" customHeight="1" thickBot="1">
      <c r="A888" s="118" t="s">
        <v>18</v>
      </c>
      <c r="B888" s="119"/>
      <c r="C888" s="119"/>
      <c r="D888" s="120"/>
      <c r="E888" s="24"/>
      <c r="F888" s="121"/>
      <c r="G888" s="120"/>
      <c r="H888" s="121"/>
      <c r="I888" s="120"/>
      <c r="J888" s="121"/>
      <c r="K888" s="120"/>
      <c r="L888" s="121"/>
      <c r="M888" s="122"/>
    </row>
    <row r="889" spans="1:13" ht="24" customHeight="1" thickTop="1" thickBot="1">
      <c r="A889" s="66" t="s">
        <v>19</v>
      </c>
      <c r="B889" s="67"/>
      <c r="C889" s="67"/>
      <c r="D889" s="67"/>
      <c r="E889" s="67"/>
      <c r="F889" s="67"/>
      <c r="G889" s="67"/>
      <c r="H889" s="67"/>
      <c r="I889" s="67"/>
      <c r="J889" s="67"/>
      <c r="K889" s="67"/>
      <c r="L889" s="67"/>
      <c r="M889" s="68"/>
    </row>
    <row r="890" spans="1:13" ht="35.25" customHeight="1" thickBot="1">
      <c r="A890" s="75" t="s">
        <v>20</v>
      </c>
      <c r="B890" s="76"/>
      <c r="C890" s="76"/>
      <c r="D890" s="77"/>
      <c r="E890" s="14" t="s">
        <v>11</v>
      </c>
      <c r="F890" s="75" t="s">
        <v>39</v>
      </c>
      <c r="G890" s="77"/>
      <c r="H890" s="75" t="s">
        <v>21</v>
      </c>
      <c r="I890" s="77"/>
      <c r="J890" s="78" t="s">
        <v>22</v>
      </c>
      <c r="K890" s="79"/>
      <c r="L890" s="75" t="s">
        <v>15</v>
      </c>
      <c r="M890" s="77"/>
    </row>
    <row r="891" spans="1:13" ht="24" customHeight="1" thickBot="1">
      <c r="A891" s="96"/>
      <c r="B891" s="97"/>
      <c r="C891" s="97"/>
      <c r="D891" s="98"/>
      <c r="E891" s="32"/>
      <c r="F891" s="58"/>
      <c r="G891" s="59"/>
      <c r="H891" s="58"/>
      <c r="I891" s="59"/>
      <c r="J891" s="56"/>
      <c r="K891" s="57"/>
      <c r="L891" s="58"/>
      <c r="M891" s="59"/>
    </row>
    <row r="892" spans="1:13" ht="24" customHeight="1" thickBot="1">
      <c r="A892" s="96"/>
      <c r="B892" s="97"/>
      <c r="C892" s="97"/>
      <c r="D892" s="98"/>
      <c r="E892" s="32"/>
      <c r="F892" s="58"/>
      <c r="G892" s="59"/>
      <c r="H892" s="58"/>
      <c r="I892" s="59"/>
      <c r="J892" s="56"/>
      <c r="K892" s="57"/>
      <c r="L892" s="58"/>
      <c r="M892" s="59"/>
    </row>
    <row r="893" spans="1:13" ht="24" customHeight="1" thickBot="1">
      <c r="A893" s="60" t="s">
        <v>23</v>
      </c>
      <c r="B893" s="61"/>
      <c r="C893" s="61"/>
      <c r="D893" s="61"/>
      <c r="E893" s="61"/>
      <c r="F893" s="61"/>
      <c r="G893" s="61"/>
      <c r="H893" s="61"/>
      <c r="I893" s="61"/>
      <c r="J893" s="61"/>
      <c r="K893" s="61"/>
      <c r="L893" s="61"/>
      <c r="M893" s="62"/>
    </row>
    <row r="894" spans="1:13" ht="35.25" customHeight="1" thickBot="1">
      <c r="A894" s="75" t="s">
        <v>24</v>
      </c>
      <c r="B894" s="77"/>
      <c r="C894" s="75" t="s">
        <v>25</v>
      </c>
      <c r="D894" s="77"/>
      <c r="E894" s="75" t="s">
        <v>26</v>
      </c>
      <c r="F894" s="76"/>
      <c r="G894" s="77"/>
      <c r="H894" s="75" t="s">
        <v>27</v>
      </c>
      <c r="I894" s="77"/>
      <c r="J894" s="78" t="s">
        <v>21</v>
      </c>
      <c r="K894" s="79"/>
      <c r="L894" s="75" t="s">
        <v>22</v>
      </c>
      <c r="M894" s="77"/>
    </row>
    <row r="895" spans="1:13" s="18" customFormat="1" ht="24.75" customHeight="1" thickBot="1">
      <c r="A895" s="99" t="s">
        <v>119</v>
      </c>
      <c r="B895" s="98"/>
      <c r="C895" s="56">
        <v>2</v>
      </c>
      <c r="D895" s="57"/>
      <c r="E895" s="56">
        <v>28</v>
      </c>
      <c r="F895" s="100"/>
      <c r="G895" s="57"/>
      <c r="H895" s="56"/>
      <c r="I895" s="57"/>
      <c r="J895" s="56"/>
      <c r="K895" s="57"/>
      <c r="L895" s="56"/>
      <c r="M895" s="57"/>
    </row>
    <row r="896" spans="1:13" s="18" customFormat="1" ht="24.75" customHeight="1" thickBot="1">
      <c r="A896" s="99"/>
      <c r="B896" s="98"/>
      <c r="C896" s="56"/>
      <c r="D896" s="57"/>
      <c r="E896" s="56"/>
      <c r="F896" s="100"/>
      <c r="G896" s="57"/>
      <c r="H896" s="56"/>
      <c r="I896" s="57"/>
      <c r="J896" s="56"/>
      <c r="K896" s="57"/>
      <c r="L896" s="56"/>
      <c r="M896" s="57"/>
    </row>
    <row r="897" spans="1:13" ht="33" customHeight="1" thickBot="1">
      <c r="A897" s="112" t="s">
        <v>40</v>
      </c>
      <c r="B897" s="113"/>
      <c r="C897" s="113"/>
      <c r="D897" s="113"/>
      <c r="E897" s="113"/>
      <c r="F897" s="113"/>
      <c r="G897" s="113"/>
      <c r="H897" s="113"/>
      <c r="I897" s="113"/>
      <c r="J897" s="113"/>
      <c r="K897" s="113"/>
      <c r="L897" s="113"/>
      <c r="M897" s="114"/>
    </row>
    <row r="898" spans="1:13" ht="16.5" customHeight="1">
      <c r="A898" s="115" t="s">
        <v>41</v>
      </c>
      <c r="B898" s="116"/>
      <c r="C898" s="116"/>
      <c r="D898" s="116"/>
      <c r="E898" s="116"/>
      <c r="F898" s="116"/>
      <c r="G898" s="116"/>
      <c r="H898" s="116"/>
      <c r="I898" s="116"/>
      <c r="J898" s="116"/>
      <c r="K898" s="116"/>
      <c r="L898" s="116"/>
      <c r="M898" s="117"/>
    </row>
    <row r="899" spans="1:13" ht="16.5" customHeight="1">
      <c r="A899" s="90" t="s">
        <v>28</v>
      </c>
      <c r="B899" s="91"/>
      <c r="C899" s="91"/>
      <c r="D899" s="91"/>
      <c r="E899" s="91"/>
      <c r="F899" s="91"/>
      <c r="G899" s="91"/>
      <c r="H899" s="91"/>
      <c r="I899" s="91"/>
      <c r="J899" s="91"/>
      <c r="K899" s="91"/>
      <c r="L899" s="91"/>
      <c r="M899" s="92"/>
    </row>
    <row r="900" spans="1:13" s="1" customFormat="1" ht="16.5" customHeight="1">
      <c r="A900" s="93" t="s">
        <v>56</v>
      </c>
      <c r="B900" s="94"/>
      <c r="C900" s="94"/>
      <c r="D900" s="94"/>
      <c r="E900" s="94"/>
      <c r="F900" s="94"/>
      <c r="G900" s="94"/>
      <c r="H900" s="94"/>
      <c r="I900" s="94"/>
      <c r="J900" s="94"/>
      <c r="K900" s="94"/>
      <c r="L900" s="94"/>
      <c r="M900" s="95"/>
    </row>
    <row r="901" spans="1:13" s="1" customFormat="1" ht="16.5" customHeight="1">
      <c r="A901" s="93" t="s">
        <v>57</v>
      </c>
      <c r="B901" s="94"/>
      <c r="C901" s="94"/>
      <c r="D901" s="94"/>
      <c r="E901" s="94"/>
      <c r="F901" s="94"/>
      <c r="G901" s="94"/>
      <c r="H901" s="94"/>
      <c r="I901" s="94"/>
      <c r="J901" s="94"/>
      <c r="K901" s="94"/>
      <c r="L901" s="94"/>
      <c r="M901" s="95"/>
    </row>
    <row r="902" spans="1:13" s="1" customFormat="1" ht="16.5" customHeight="1">
      <c r="A902" s="93" t="s">
        <v>58</v>
      </c>
      <c r="B902" s="94"/>
      <c r="C902" s="94"/>
      <c r="D902" s="94"/>
      <c r="E902" s="94"/>
      <c r="F902" s="94"/>
      <c r="G902" s="94"/>
      <c r="H902" s="94"/>
      <c r="I902" s="94"/>
      <c r="J902" s="94"/>
      <c r="K902" s="94"/>
      <c r="L902" s="94"/>
      <c r="M902" s="95"/>
    </row>
    <row r="903" spans="1:13" s="1" customFormat="1" ht="16.5" customHeight="1">
      <c r="A903" s="93" t="s">
        <v>59</v>
      </c>
      <c r="B903" s="94"/>
      <c r="C903" s="94"/>
      <c r="D903" s="94"/>
      <c r="E903" s="94"/>
      <c r="F903" s="94"/>
      <c r="G903" s="94"/>
      <c r="H903" s="94"/>
      <c r="I903" s="94"/>
      <c r="J903" s="94"/>
      <c r="K903" s="94"/>
      <c r="L903" s="94"/>
      <c r="M903" s="95"/>
    </row>
    <row r="904" spans="1:13" ht="16.5" customHeight="1">
      <c r="A904" s="106" t="s">
        <v>29</v>
      </c>
      <c r="B904" s="107"/>
      <c r="C904" s="107"/>
      <c r="D904" s="107"/>
      <c r="E904" s="107"/>
      <c r="F904" s="107"/>
      <c r="G904" s="107"/>
      <c r="H904" s="107"/>
      <c r="I904" s="107"/>
      <c r="J904" s="107"/>
      <c r="K904" s="107"/>
      <c r="L904" s="107"/>
      <c r="M904" s="108"/>
    </row>
    <row r="905" spans="1:13" ht="9.75" customHeight="1" thickBot="1">
      <c r="A905" s="109"/>
      <c r="B905" s="110"/>
      <c r="C905" s="110"/>
      <c r="D905" s="110"/>
      <c r="E905" s="110"/>
      <c r="F905" s="110"/>
      <c r="G905" s="110"/>
      <c r="H905" s="110"/>
      <c r="I905" s="110"/>
      <c r="J905" s="110"/>
      <c r="K905" s="110"/>
      <c r="L905" s="110"/>
      <c r="M905" s="111"/>
    </row>
    <row r="906" spans="1:13" ht="18.75" customHeight="1" thickBot="1">
      <c r="A906" s="72" t="s">
        <v>30</v>
      </c>
      <c r="B906" s="73"/>
      <c r="C906" s="73"/>
      <c r="D906" s="73"/>
      <c r="E906" s="73"/>
      <c r="F906" s="73"/>
      <c r="G906" s="73"/>
      <c r="H906" s="73"/>
      <c r="I906" s="73"/>
      <c r="J906" s="73"/>
      <c r="K906" s="73"/>
      <c r="L906" s="73"/>
      <c r="M906" s="74"/>
    </row>
    <row r="907" spans="1:13" ht="24" customHeight="1" thickBot="1">
      <c r="A907" s="72" t="s">
        <v>31</v>
      </c>
      <c r="B907" s="73"/>
      <c r="C907" s="73"/>
      <c r="D907" s="73"/>
      <c r="E907" s="73"/>
      <c r="F907" s="73"/>
      <c r="G907" s="73"/>
      <c r="H907" s="73"/>
      <c r="I907" s="73"/>
      <c r="J907" s="73"/>
      <c r="K907" s="73"/>
      <c r="L907" s="73"/>
      <c r="M907" s="74"/>
    </row>
    <row r="908" spans="1:13" ht="24" customHeight="1" thickBot="1">
      <c r="A908" s="72" t="s">
        <v>122</v>
      </c>
      <c r="B908" s="73"/>
      <c r="C908" s="73"/>
      <c r="D908" s="73"/>
      <c r="E908" s="73"/>
      <c r="F908" s="73"/>
      <c r="G908" s="73"/>
      <c r="H908" s="73"/>
      <c r="I908" s="73"/>
      <c r="J908" s="73"/>
      <c r="K908" s="73"/>
      <c r="L908" s="73"/>
      <c r="M908" s="74"/>
    </row>
    <row r="909" spans="1:13" ht="24" customHeight="1" thickBot="1">
      <c r="A909" s="60" t="s">
        <v>46</v>
      </c>
      <c r="B909" s="61"/>
      <c r="C909" s="61"/>
      <c r="D909" s="61"/>
      <c r="E909" s="61"/>
      <c r="F909" s="61"/>
      <c r="G909" s="61"/>
      <c r="H909" s="61"/>
      <c r="I909" s="61"/>
      <c r="J909" s="61"/>
      <c r="K909" s="61"/>
      <c r="L909" s="61"/>
      <c r="M909" s="62"/>
    </row>
    <row r="910" spans="1:13" ht="11.1" customHeight="1">
      <c r="A910" s="103" t="s">
        <v>47</v>
      </c>
      <c r="B910" s="103"/>
      <c r="C910" s="103"/>
      <c r="D910" s="103"/>
      <c r="E910" s="103"/>
      <c r="F910" s="103"/>
      <c r="G910" s="103"/>
      <c r="H910" s="103"/>
      <c r="I910" s="103"/>
      <c r="J910" s="103"/>
      <c r="K910" s="103"/>
      <c r="L910" s="103"/>
      <c r="M910" s="103"/>
    </row>
    <row r="911" spans="1:13" ht="11.1" customHeight="1">
      <c r="A911" s="104" t="s">
        <v>48</v>
      </c>
      <c r="B911" s="104"/>
      <c r="C911" s="104"/>
      <c r="D911" s="104"/>
      <c r="E911" s="104"/>
      <c r="F911" s="104"/>
      <c r="G911" s="104"/>
      <c r="H911" s="104"/>
      <c r="I911" s="104"/>
      <c r="J911" s="104"/>
      <c r="K911" s="104"/>
      <c r="L911" s="104"/>
      <c r="M911" s="104"/>
    </row>
    <row r="912" spans="1:13" ht="11.1" customHeight="1">
      <c r="A912" s="105" t="s">
        <v>49</v>
      </c>
      <c r="B912" s="105"/>
      <c r="C912" s="105"/>
      <c r="D912" s="105"/>
      <c r="E912" s="105"/>
      <c r="F912" s="105"/>
      <c r="G912" s="105"/>
      <c r="H912" s="105"/>
      <c r="I912" s="105"/>
      <c r="J912" s="105"/>
      <c r="K912" s="105"/>
      <c r="L912" s="105"/>
      <c r="M912" s="105"/>
    </row>
    <row r="913" spans="1:15" ht="11.1" customHeight="1">
      <c r="A913" s="105" t="s">
        <v>50</v>
      </c>
      <c r="B913" s="105"/>
      <c r="C913" s="105"/>
      <c r="D913" s="105"/>
      <c r="E913" s="105"/>
      <c r="F913" s="105"/>
      <c r="G913" s="105"/>
      <c r="H913" s="105"/>
      <c r="I913" s="105"/>
      <c r="J913" s="105"/>
      <c r="K913" s="105"/>
      <c r="L913" s="105"/>
      <c r="M913" s="105"/>
    </row>
    <row r="914" spans="1:15" ht="11.1" customHeight="1">
      <c r="A914" s="104" t="s">
        <v>51</v>
      </c>
      <c r="B914" s="104"/>
      <c r="C914" s="104"/>
      <c r="D914" s="104"/>
      <c r="E914" s="104"/>
      <c r="F914" s="104"/>
      <c r="G914" s="104"/>
      <c r="H914" s="104"/>
      <c r="I914" s="104"/>
      <c r="J914" s="104"/>
      <c r="K914" s="104"/>
      <c r="L914" s="104"/>
      <c r="M914" s="104"/>
    </row>
    <row r="915" spans="1:15" ht="11.1" customHeight="1">
      <c r="A915" s="104" t="s">
        <v>52</v>
      </c>
      <c r="B915" s="104"/>
      <c r="C915" s="104"/>
      <c r="D915" s="104"/>
      <c r="E915" s="104"/>
      <c r="F915" s="104"/>
      <c r="G915" s="104"/>
      <c r="H915" s="104"/>
      <c r="I915" s="104"/>
      <c r="J915" s="104"/>
      <c r="K915" s="104"/>
      <c r="L915" s="104"/>
      <c r="M915" s="104"/>
    </row>
    <row r="916" spans="1:15" ht="11.1" customHeight="1">
      <c r="A916" s="104" t="s">
        <v>53</v>
      </c>
      <c r="B916" s="104"/>
      <c r="C916" s="104"/>
      <c r="D916" s="104"/>
      <c r="E916" s="104"/>
      <c r="F916" s="104"/>
      <c r="G916" s="104"/>
      <c r="H916" s="104"/>
      <c r="I916" s="104"/>
      <c r="J916" s="104"/>
      <c r="K916" s="104"/>
      <c r="L916" s="104"/>
      <c r="M916" s="104"/>
    </row>
    <row r="917" spans="1:15" ht="11.1" customHeight="1">
      <c r="A917" s="101" t="s">
        <v>54</v>
      </c>
      <c r="B917" s="101"/>
      <c r="C917" s="101"/>
      <c r="D917" s="101"/>
      <c r="E917" s="101"/>
      <c r="F917" s="101"/>
      <c r="G917" s="101"/>
      <c r="H917" s="101"/>
      <c r="I917" s="101"/>
      <c r="J917" s="101"/>
      <c r="K917" s="101"/>
      <c r="L917" s="101"/>
      <c r="M917" s="101"/>
    </row>
    <row r="918" spans="1:15" ht="11.1" customHeight="1">
      <c r="A918" s="101" t="s">
        <v>55</v>
      </c>
      <c r="B918" s="101"/>
      <c r="C918" s="101"/>
      <c r="D918" s="101"/>
      <c r="E918" s="101"/>
      <c r="F918" s="101"/>
      <c r="G918" s="101"/>
      <c r="H918" s="101"/>
      <c r="I918" s="101"/>
      <c r="J918" s="101"/>
      <c r="K918" s="101"/>
      <c r="L918" s="101"/>
      <c r="M918" s="101"/>
    </row>
    <row r="919" spans="1:15" ht="19.5" customHeight="1">
      <c r="A919" s="69" t="s">
        <v>0</v>
      </c>
      <c r="B919" s="69"/>
      <c r="C919" s="69"/>
      <c r="D919" s="69"/>
      <c r="E919" s="69"/>
      <c r="F919" s="69"/>
      <c r="G919" s="69"/>
      <c r="H919" s="69"/>
      <c r="I919" s="69"/>
      <c r="J919" s="69"/>
      <c r="K919" s="69"/>
      <c r="L919" s="69"/>
      <c r="M919" s="69"/>
    </row>
    <row r="920" spans="1:15" ht="20.100000000000001" customHeight="1">
      <c r="A920" s="4" t="s">
        <v>32</v>
      </c>
      <c r="B920" s="5">
        <f>+B876+1</f>
        <v>57</v>
      </c>
      <c r="C920" s="30"/>
      <c r="D920" s="30"/>
      <c r="E920" s="30"/>
      <c r="F920" s="30"/>
      <c r="G920" s="30"/>
      <c r="H920" s="30"/>
      <c r="I920" s="30"/>
      <c r="J920" s="30"/>
      <c r="K920" s="30"/>
      <c r="L920" s="30"/>
      <c r="M920" s="30"/>
    </row>
    <row r="921" spans="1:15" ht="24" customHeight="1" thickBot="1">
      <c r="A921" s="4" t="s">
        <v>33</v>
      </c>
      <c r="H921" s="70" t="s">
        <v>34</v>
      </c>
      <c r="I921" s="70"/>
      <c r="J921" s="70"/>
      <c r="K921" s="102">
        <f>+K877+1</f>
        <v>45983</v>
      </c>
      <c r="L921" s="102"/>
      <c r="M921" s="102"/>
      <c r="O921" s="7"/>
    </row>
    <row r="922" spans="1:15" ht="33.75" customHeight="1" thickBot="1">
      <c r="A922" s="80" t="s">
        <v>1</v>
      </c>
      <c r="B922" s="81"/>
      <c r="C922" s="82"/>
      <c r="D922" s="86" t="str">
        <f>+D878</f>
        <v>光明國中B與C區5樓老舊廁所整修工程</v>
      </c>
      <c r="E922" s="87"/>
      <c r="F922" s="87"/>
      <c r="G922" s="88"/>
      <c r="H922" s="80" t="s">
        <v>2</v>
      </c>
      <c r="I922" s="81"/>
      <c r="J922" s="82"/>
      <c r="K922" s="80" t="s">
        <v>35</v>
      </c>
      <c r="L922" s="81"/>
      <c r="M922" s="82"/>
    </row>
    <row r="923" spans="1:15" ht="33.75" customHeight="1" thickBot="1">
      <c r="A923" s="8" t="s">
        <v>3</v>
      </c>
      <c r="B923" s="29">
        <f>+B879</f>
        <v>143</v>
      </c>
      <c r="C923" s="10" t="s">
        <v>36</v>
      </c>
      <c r="D923" s="80" t="s">
        <v>4</v>
      </c>
      <c r="E923" s="89"/>
      <c r="F923" s="31">
        <f>+F879+1</f>
        <v>57</v>
      </c>
      <c r="G923" s="12" t="s">
        <v>36</v>
      </c>
      <c r="H923" s="13" t="s">
        <v>5</v>
      </c>
      <c r="I923" s="29">
        <f>+B923-F923</f>
        <v>86</v>
      </c>
      <c r="J923" s="10" t="s">
        <v>36</v>
      </c>
      <c r="K923" s="80" t="s">
        <v>6</v>
      </c>
      <c r="L923" s="82"/>
      <c r="M923" s="13">
        <f>+M879</f>
        <v>13</v>
      </c>
    </row>
    <row r="924" spans="1:15" ht="24" customHeight="1" thickBot="1">
      <c r="A924" s="80" t="s">
        <v>7</v>
      </c>
      <c r="B924" s="81"/>
      <c r="C924" s="82"/>
      <c r="D924" s="80" t="str">
        <f>+D880</f>
        <v>114.9.27</v>
      </c>
      <c r="E924" s="81"/>
      <c r="F924" s="81"/>
      <c r="G924" s="82"/>
      <c r="H924" s="80" t="s">
        <v>8</v>
      </c>
      <c r="I924" s="81"/>
      <c r="J924" s="82"/>
      <c r="K924" s="80" t="str">
        <f>+K880</f>
        <v>115.2.16</v>
      </c>
      <c r="L924" s="81"/>
      <c r="M924" s="82"/>
    </row>
    <row r="925" spans="1:15" ht="24" customHeight="1" thickBot="1">
      <c r="A925" s="80" t="s">
        <v>37</v>
      </c>
      <c r="B925" s="81"/>
      <c r="C925" s="82"/>
      <c r="D925" s="83">
        <v>0.246</v>
      </c>
      <c r="E925" s="84"/>
      <c r="F925" s="84"/>
      <c r="G925" s="85"/>
      <c r="H925" s="80" t="s">
        <v>38</v>
      </c>
      <c r="I925" s="81"/>
      <c r="J925" s="82"/>
      <c r="K925" s="83">
        <f>+K881+0.8%</f>
        <v>0.31600000000000011</v>
      </c>
      <c r="L925" s="84"/>
      <c r="M925" s="85"/>
    </row>
    <row r="926" spans="1:15" ht="24" customHeight="1" thickBot="1">
      <c r="A926" s="72" t="s">
        <v>9</v>
      </c>
      <c r="B926" s="73"/>
      <c r="C926" s="73"/>
      <c r="D926" s="73"/>
      <c r="E926" s="73"/>
      <c r="F926" s="73"/>
      <c r="G926" s="73"/>
      <c r="H926" s="73"/>
      <c r="I926" s="73"/>
      <c r="J926" s="73"/>
      <c r="K926" s="73"/>
      <c r="L926" s="73"/>
      <c r="M926" s="74"/>
    </row>
    <row r="927" spans="1:15" ht="35.25" customHeight="1" thickBot="1">
      <c r="A927" s="75" t="s">
        <v>10</v>
      </c>
      <c r="B927" s="76"/>
      <c r="C927" s="76"/>
      <c r="D927" s="77"/>
      <c r="E927" s="14" t="s">
        <v>11</v>
      </c>
      <c r="F927" s="75" t="s">
        <v>12</v>
      </c>
      <c r="G927" s="77"/>
      <c r="H927" s="75" t="s">
        <v>13</v>
      </c>
      <c r="I927" s="77"/>
      <c r="J927" s="78" t="s">
        <v>14</v>
      </c>
      <c r="K927" s="79"/>
      <c r="L927" s="75" t="s">
        <v>15</v>
      </c>
      <c r="M927" s="77"/>
    </row>
    <row r="928" spans="1:15" ht="27.95" customHeight="1" thickBot="1">
      <c r="A928" s="141" t="s">
        <v>121</v>
      </c>
      <c r="B928" s="142"/>
      <c r="C928" s="142"/>
      <c r="D928" s="143"/>
      <c r="E928" s="49" t="s">
        <v>118</v>
      </c>
      <c r="F928" s="56">
        <v>313</v>
      </c>
      <c r="G928" s="57"/>
      <c r="H928" s="56">
        <v>30</v>
      </c>
      <c r="I928" s="57"/>
      <c r="J928" s="56">
        <v>150</v>
      </c>
      <c r="K928" s="57"/>
      <c r="L928" s="58"/>
      <c r="M928" s="59"/>
    </row>
    <row r="929" spans="1:13" ht="27.95" customHeight="1" thickBot="1">
      <c r="A929" s="141"/>
      <c r="B929" s="142"/>
      <c r="C929" s="142"/>
      <c r="D929" s="143"/>
      <c r="E929" s="15"/>
      <c r="F929" s="56"/>
      <c r="G929" s="57"/>
      <c r="H929" s="56"/>
      <c r="I929" s="57"/>
      <c r="J929" s="56"/>
      <c r="K929" s="57"/>
      <c r="L929" s="58"/>
      <c r="M929" s="59"/>
    </row>
    <row r="930" spans="1:13" ht="24.95" customHeight="1" thickTop="1" thickBot="1">
      <c r="A930" s="130" t="s">
        <v>16</v>
      </c>
      <c r="B930" s="67"/>
      <c r="C930" s="67"/>
      <c r="D930" s="68"/>
      <c r="E930" s="43"/>
      <c r="F930" s="131"/>
      <c r="G930" s="132"/>
      <c r="H930" s="131"/>
      <c r="I930" s="132"/>
      <c r="J930" s="131"/>
      <c r="K930" s="132"/>
      <c r="L930" s="131"/>
      <c r="M930" s="133"/>
    </row>
    <row r="931" spans="1:13" ht="24.95" customHeight="1" thickBot="1">
      <c r="A931" s="134" t="s">
        <v>17</v>
      </c>
      <c r="B931" s="135"/>
      <c r="C931" s="135"/>
      <c r="D931" s="59"/>
      <c r="E931" s="43"/>
      <c r="F931" s="58"/>
      <c r="G931" s="59"/>
      <c r="H931" s="58"/>
      <c r="I931" s="59"/>
      <c r="J931" s="58"/>
      <c r="K931" s="59"/>
      <c r="L931" s="58"/>
      <c r="M931" s="136"/>
    </row>
    <row r="932" spans="1:13" ht="24.95" customHeight="1" thickBot="1">
      <c r="A932" s="118" t="s">
        <v>18</v>
      </c>
      <c r="B932" s="119"/>
      <c r="C932" s="119"/>
      <c r="D932" s="120"/>
      <c r="E932" s="24"/>
      <c r="F932" s="121"/>
      <c r="G932" s="120"/>
      <c r="H932" s="121"/>
      <c r="I932" s="120"/>
      <c r="J932" s="121"/>
      <c r="K932" s="120"/>
      <c r="L932" s="121"/>
      <c r="M932" s="122"/>
    </row>
    <row r="933" spans="1:13" ht="24" customHeight="1" thickTop="1" thickBot="1">
      <c r="A933" s="66" t="s">
        <v>19</v>
      </c>
      <c r="B933" s="67"/>
      <c r="C933" s="67"/>
      <c r="D933" s="67"/>
      <c r="E933" s="67"/>
      <c r="F933" s="67"/>
      <c r="G933" s="67"/>
      <c r="H933" s="67"/>
      <c r="I933" s="67"/>
      <c r="J933" s="67"/>
      <c r="K933" s="67"/>
      <c r="L933" s="67"/>
      <c r="M933" s="68"/>
    </row>
    <row r="934" spans="1:13" ht="35.25" customHeight="1" thickBot="1">
      <c r="A934" s="75" t="s">
        <v>20</v>
      </c>
      <c r="B934" s="76"/>
      <c r="C934" s="76"/>
      <c r="D934" s="77"/>
      <c r="E934" s="14" t="s">
        <v>11</v>
      </c>
      <c r="F934" s="75" t="s">
        <v>39</v>
      </c>
      <c r="G934" s="77"/>
      <c r="H934" s="75" t="s">
        <v>21</v>
      </c>
      <c r="I934" s="77"/>
      <c r="J934" s="78" t="s">
        <v>22</v>
      </c>
      <c r="K934" s="79"/>
      <c r="L934" s="75" t="s">
        <v>15</v>
      </c>
      <c r="M934" s="77"/>
    </row>
    <row r="935" spans="1:13" ht="24" customHeight="1" thickBot="1">
      <c r="A935" s="96"/>
      <c r="B935" s="97"/>
      <c r="C935" s="97"/>
      <c r="D935" s="98"/>
      <c r="E935" s="43"/>
      <c r="F935" s="58"/>
      <c r="G935" s="59"/>
      <c r="H935" s="58"/>
      <c r="I935" s="59"/>
      <c r="J935" s="56"/>
      <c r="K935" s="57"/>
      <c r="L935" s="58"/>
      <c r="M935" s="59"/>
    </row>
    <row r="936" spans="1:13" ht="24" customHeight="1" thickBot="1">
      <c r="A936" s="96"/>
      <c r="B936" s="97"/>
      <c r="C936" s="97"/>
      <c r="D936" s="98"/>
      <c r="E936" s="43"/>
      <c r="F936" s="58"/>
      <c r="G936" s="59"/>
      <c r="H936" s="58"/>
      <c r="I936" s="59"/>
      <c r="J936" s="56"/>
      <c r="K936" s="57"/>
      <c r="L936" s="58"/>
      <c r="M936" s="59"/>
    </row>
    <row r="937" spans="1:13" ht="24" customHeight="1" thickBot="1">
      <c r="A937" s="60" t="s">
        <v>23</v>
      </c>
      <c r="B937" s="61"/>
      <c r="C937" s="61"/>
      <c r="D937" s="61"/>
      <c r="E937" s="61"/>
      <c r="F937" s="61"/>
      <c r="G937" s="61"/>
      <c r="H937" s="61"/>
      <c r="I937" s="61"/>
      <c r="J937" s="61"/>
      <c r="K937" s="61"/>
      <c r="L937" s="61"/>
      <c r="M937" s="62"/>
    </row>
    <row r="938" spans="1:13" ht="35.25" customHeight="1" thickBot="1">
      <c r="A938" s="75" t="s">
        <v>24</v>
      </c>
      <c r="B938" s="77"/>
      <c r="C938" s="75" t="s">
        <v>25</v>
      </c>
      <c r="D938" s="77"/>
      <c r="E938" s="75" t="s">
        <v>26</v>
      </c>
      <c r="F938" s="76"/>
      <c r="G938" s="77"/>
      <c r="H938" s="75" t="s">
        <v>27</v>
      </c>
      <c r="I938" s="77"/>
      <c r="J938" s="78" t="s">
        <v>21</v>
      </c>
      <c r="K938" s="79"/>
      <c r="L938" s="75" t="s">
        <v>22</v>
      </c>
      <c r="M938" s="77"/>
    </row>
    <row r="939" spans="1:13" s="18" customFormat="1" ht="24.75" customHeight="1" thickBot="1">
      <c r="A939" s="99" t="s">
        <v>119</v>
      </c>
      <c r="B939" s="98"/>
      <c r="C939" s="56">
        <v>2</v>
      </c>
      <c r="D939" s="57"/>
      <c r="E939" s="56">
        <v>30</v>
      </c>
      <c r="F939" s="100"/>
      <c r="G939" s="57"/>
      <c r="H939" s="56"/>
      <c r="I939" s="57"/>
      <c r="J939" s="56"/>
      <c r="K939" s="57"/>
      <c r="L939" s="56"/>
      <c r="M939" s="57"/>
    </row>
    <row r="940" spans="1:13" s="18" customFormat="1" ht="24.75" customHeight="1" thickBot="1">
      <c r="A940" s="99"/>
      <c r="B940" s="98"/>
      <c r="C940" s="56"/>
      <c r="D940" s="57"/>
      <c r="E940" s="56"/>
      <c r="F940" s="100"/>
      <c r="G940" s="57"/>
      <c r="H940" s="56"/>
      <c r="I940" s="57"/>
      <c r="J940" s="56"/>
      <c r="K940" s="57"/>
      <c r="L940" s="56"/>
      <c r="M940" s="57"/>
    </row>
    <row r="941" spans="1:13" ht="33" customHeight="1" thickBot="1">
      <c r="A941" s="112" t="s">
        <v>40</v>
      </c>
      <c r="B941" s="113"/>
      <c r="C941" s="113"/>
      <c r="D941" s="113"/>
      <c r="E941" s="113"/>
      <c r="F941" s="113"/>
      <c r="G941" s="113"/>
      <c r="H941" s="113"/>
      <c r="I941" s="113"/>
      <c r="J941" s="113"/>
      <c r="K941" s="113"/>
      <c r="L941" s="113"/>
      <c r="M941" s="114"/>
    </row>
    <row r="942" spans="1:13" ht="16.5" customHeight="1">
      <c r="A942" s="115" t="s">
        <v>41</v>
      </c>
      <c r="B942" s="116"/>
      <c r="C942" s="116"/>
      <c r="D942" s="116"/>
      <c r="E942" s="116"/>
      <c r="F942" s="116"/>
      <c r="G942" s="116"/>
      <c r="H942" s="116"/>
      <c r="I942" s="116"/>
      <c r="J942" s="116"/>
      <c r="K942" s="116"/>
      <c r="L942" s="116"/>
      <c r="M942" s="117"/>
    </row>
    <row r="943" spans="1:13" ht="16.5" customHeight="1">
      <c r="A943" s="90" t="s">
        <v>28</v>
      </c>
      <c r="B943" s="91"/>
      <c r="C943" s="91"/>
      <c r="D943" s="91"/>
      <c r="E943" s="91"/>
      <c r="F943" s="91"/>
      <c r="G943" s="91"/>
      <c r="H943" s="91"/>
      <c r="I943" s="91"/>
      <c r="J943" s="91"/>
      <c r="K943" s="91"/>
      <c r="L943" s="91"/>
      <c r="M943" s="92"/>
    </row>
    <row r="944" spans="1:13" s="1" customFormat="1" ht="16.5" customHeight="1">
      <c r="A944" s="93" t="s">
        <v>56</v>
      </c>
      <c r="B944" s="94"/>
      <c r="C944" s="94"/>
      <c r="D944" s="94"/>
      <c r="E944" s="94"/>
      <c r="F944" s="94"/>
      <c r="G944" s="94"/>
      <c r="H944" s="94"/>
      <c r="I944" s="94"/>
      <c r="J944" s="94"/>
      <c r="K944" s="94"/>
      <c r="L944" s="94"/>
      <c r="M944" s="95"/>
    </row>
    <row r="945" spans="1:13" s="1" customFormat="1" ht="16.5" customHeight="1">
      <c r="A945" s="93" t="s">
        <v>57</v>
      </c>
      <c r="B945" s="94"/>
      <c r="C945" s="94"/>
      <c r="D945" s="94"/>
      <c r="E945" s="94"/>
      <c r="F945" s="94"/>
      <c r="G945" s="94"/>
      <c r="H945" s="94"/>
      <c r="I945" s="94"/>
      <c r="J945" s="94"/>
      <c r="K945" s="94"/>
      <c r="L945" s="94"/>
      <c r="M945" s="95"/>
    </row>
    <row r="946" spans="1:13" s="1" customFormat="1" ht="16.5" customHeight="1">
      <c r="A946" s="93" t="s">
        <v>58</v>
      </c>
      <c r="B946" s="94"/>
      <c r="C946" s="94"/>
      <c r="D946" s="94"/>
      <c r="E946" s="94"/>
      <c r="F946" s="94"/>
      <c r="G946" s="94"/>
      <c r="H946" s="94"/>
      <c r="I946" s="94"/>
      <c r="J946" s="94"/>
      <c r="K946" s="94"/>
      <c r="L946" s="94"/>
      <c r="M946" s="95"/>
    </row>
    <row r="947" spans="1:13" s="1" customFormat="1" ht="16.5" customHeight="1">
      <c r="A947" s="93" t="s">
        <v>59</v>
      </c>
      <c r="B947" s="94"/>
      <c r="C947" s="94"/>
      <c r="D947" s="94"/>
      <c r="E947" s="94"/>
      <c r="F947" s="94"/>
      <c r="G947" s="94"/>
      <c r="H947" s="94"/>
      <c r="I947" s="94"/>
      <c r="J947" s="94"/>
      <c r="K947" s="94"/>
      <c r="L947" s="94"/>
      <c r="M947" s="95"/>
    </row>
    <row r="948" spans="1:13" ht="16.5" customHeight="1">
      <c r="A948" s="106" t="s">
        <v>29</v>
      </c>
      <c r="B948" s="107"/>
      <c r="C948" s="107"/>
      <c r="D948" s="107"/>
      <c r="E948" s="107"/>
      <c r="F948" s="107"/>
      <c r="G948" s="107"/>
      <c r="H948" s="107"/>
      <c r="I948" s="107"/>
      <c r="J948" s="107"/>
      <c r="K948" s="107"/>
      <c r="L948" s="107"/>
      <c r="M948" s="108"/>
    </row>
    <row r="949" spans="1:13" ht="9.75" customHeight="1" thickBot="1">
      <c r="A949" s="109"/>
      <c r="B949" s="110"/>
      <c r="C949" s="110"/>
      <c r="D949" s="110"/>
      <c r="E949" s="110"/>
      <c r="F949" s="110"/>
      <c r="G949" s="110"/>
      <c r="H949" s="110"/>
      <c r="I949" s="110"/>
      <c r="J949" s="110"/>
      <c r="K949" s="110"/>
      <c r="L949" s="110"/>
      <c r="M949" s="111"/>
    </row>
    <row r="950" spans="1:13" ht="18.75" customHeight="1" thickBot="1">
      <c r="A950" s="72" t="s">
        <v>30</v>
      </c>
      <c r="B950" s="73"/>
      <c r="C950" s="73"/>
      <c r="D950" s="73"/>
      <c r="E950" s="73"/>
      <c r="F950" s="73"/>
      <c r="G950" s="73"/>
      <c r="H950" s="73"/>
      <c r="I950" s="73"/>
      <c r="J950" s="73"/>
      <c r="K950" s="73"/>
      <c r="L950" s="73"/>
      <c r="M950" s="74"/>
    </row>
    <row r="951" spans="1:13" ht="24" customHeight="1" thickBot="1">
      <c r="A951" s="72" t="s">
        <v>31</v>
      </c>
      <c r="B951" s="73"/>
      <c r="C951" s="73"/>
      <c r="D951" s="73"/>
      <c r="E951" s="73"/>
      <c r="F951" s="73"/>
      <c r="G951" s="73"/>
      <c r="H951" s="73"/>
      <c r="I951" s="73"/>
      <c r="J951" s="73"/>
      <c r="K951" s="73"/>
      <c r="L951" s="73"/>
      <c r="M951" s="74"/>
    </row>
    <row r="952" spans="1:13" ht="24" customHeight="1" thickBot="1">
      <c r="A952" s="72" t="s">
        <v>122</v>
      </c>
      <c r="B952" s="73"/>
      <c r="C952" s="73"/>
      <c r="D952" s="73"/>
      <c r="E952" s="73"/>
      <c r="F952" s="73"/>
      <c r="G952" s="73"/>
      <c r="H952" s="73"/>
      <c r="I952" s="73"/>
      <c r="J952" s="73"/>
      <c r="K952" s="73"/>
      <c r="L952" s="73"/>
      <c r="M952" s="74"/>
    </row>
    <row r="953" spans="1:13" ht="24" customHeight="1" thickBot="1">
      <c r="A953" s="60" t="s">
        <v>46</v>
      </c>
      <c r="B953" s="61"/>
      <c r="C953" s="61"/>
      <c r="D953" s="61"/>
      <c r="E953" s="61"/>
      <c r="F953" s="61"/>
      <c r="G953" s="61"/>
      <c r="H953" s="61"/>
      <c r="I953" s="61"/>
      <c r="J953" s="61"/>
      <c r="K953" s="61"/>
      <c r="L953" s="61"/>
      <c r="M953" s="62"/>
    </row>
    <row r="954" spans="1:13" ht="11.1" customHeight="1">
      <c r="A954" s="103" t="s">
        <v>47</v>
      </c>
      <c r="B954" s="103"/>
      <c r="C954" s="103"/>
      <c r="D954" s="103"/>
      <c r="E954" s="103"/>
      <c r="F954" s="103"/>
      <c r="G954" s="103"/>
      <c r="H954" s="103"/>
      <c r="I954" s="103"/>
      <c r="J954" s="103"/>
      <c r="K954" s="103"/>
      <c r="L954" s="103"/>
      <c r="M954" s="103"/>
    </row>
    <row r="955" spans="1:13" ht="11.1" customHeight="1">
      <c r="A955" s="104" t="s">
        <v>48</v>
      </c>
      <c r="B955" s="104"/>
      <c r="C955" s="104"/>
      <c r="D955" s="104"/>
      <c r="E955" s="104"/>
      <c r="F955" s="104"/>
      <c r="G955" s="104"/>
      <c r="H955" s="104"/>
      <c r="I955" s="104"/>
      <c r="J955" s="104"/>
      <c r="K955" s="104"/>
      <c r="L955" s="104"/>
      <c r="M955" s="104"/>
    </row>
    <row r="956" spans="1:13" ht="11.1" customHeight="1">
      <c r="A956" s="105" t="s">
        <v>49</v>
      </c>
      <c r="B956" s="105"/>
      <c r="C956" s="105"/>
      <c r="D956" s="105"/>
      <c r="E956" s="105"/>
      <c r="F956" s="105"/>
      <c r="G956" s="105"/>
      <c r="H956" s="105"/>
      <c r="I956" s="105"/>
      <c r="J956" s="105"/>
      <c r="K956" s="105"/>
      <c r="L956" s="105"/>
      <c r="M956" s="105"/>
    </row>
    <row r="957" spans="1:13" ht="11.1" customHeight="1">
      <c r="A957" s="105" t="s">
        <v>50</v>
      </c>
      <c r="B957" s="105"/>
      <c r="C957" s="105"/>
      <c r="D957" s="105"/>
      <c r="E957" s="105"/>
      <c r="F957" s="105"/>
      <c r="G957" s="105"/>
      <c r="H957" s="105"/>
      <c r="I957" s="105"/>
      <c r="J957" s="105"/>
      <c r="K957" s="105"/>
      <c r="L957" s="105"/>
      <c r="M957" s="105"/>
    </row>
    <row r="958" spans="1:13" ht="11.1" customHeight="1">
      <c r="A958" s="104" t="s">
        <v>51</v>
      </c>
      <c r="B958" s="104"/>
      <c r="C958" s="104"/>
      <c r="D958" s="104"/>
      <c r="E958" s="104"/>
      <c r="F958" s="104"/>
      <c r="G958" s="104"/>
      <c r="H958" s="104"/>
      <c r="I958" s="104"/>
      <c r="J958" s="104"/>
      <c r="K958" s="104"/>
      <c r="L958" s="104"/>
      <c r="M958" s="104"/>
    </row>
    <row r="959" spans="1:13" ht="11.1" customHeight="1">
      <c r="A959" s="104" t="s">
        <v>52</v>
      </c>
      <c r="B959" s="104"/>
      <c r="C959" s="104"/>
      <c r="D959" s="104"/>
      <c r="E959" s="104"/>
      <c r="F959" s="104"/>
      <c r="G959" s="104"/>
      <c r="H959" s="104"/>
      <c r="I959" s="104"/>
      <c r="J959" s="104"/>
      <c r="K959" s="104"/>
      <c r="L959" s="104"/>
      <c r="M959" s="104"/>
    </row>
    <row r="960" spans="1:13" ht="11.1" customHeight="1">
      <c r="A960" s="104" t="s">
        <v>53</v>
      </c>
      <c r="B960" s="104"/>
      <c r="C960" s="104"/>
      <c r="D960" s="104"/>
      <c r="E960" s="104"/>
      <c r="F960" s="104"/>
      <c r="G960" s="104"/>
      <c r="H960" s="104"/>
      <c r="I960" s="104"/>
      <c r="J960" s="104"/>
      <c r="K960" s="104"/>
      <c r="L960" s="104"/>
      <c r="M960" s="104"/>
    </row>
    <row r="961" spans="1:15" ht="11.1" customHeight="1">
      <c r="A961" s="101" t="s">
        <v>54</v>
      </c>
      <c r="B961" s="101"/>
      <c r="C961" s="101"/>
      <c r="D961" s="101"/>
      <c r="E961" s="101"/>
      <c r="F961" s="101"/>
      <c r="G961" s="101"/>
      <c r="H961" s="101"/>
      <c r="I961" s="101"/>
      <c r="J961" s="101"/>
      <c r="K961" s="101"/>
      <c r="L961" s="101"/>
      <c r="M961" s="101"/>
    </row>
    <row r="962" spans="1:15" ht="11.1" customHeight="1">
      <c r="A962" s="101" t="s">
        <v>55</v>
      </c>
      <c r="B962" s="101"/>
      <c r="C962" s="101"/>
      <c r="D962" s="101"/>
      <c r="E962" s="101"/>
      <c r="F962" s="101"/>
      <c r="G962" s="101"/>
      <c r="H962" s="101"/>
      <c r="I962" s="101"/>
      <c r="J962" s="101"/>
      <c r="K962" s="101"/>
      <c r="L962" s="101"/>
      <c r="M962" s="101"/>
    </row>
    <row r="963" spans="1:15" ht="19.5" customHeight="1">
      <c r="A963" s="69" t="s">
        <v>0</v>
      </c>
      <c r="B963" s="69"/>
      <c r="C963" s="69"/>
      <c r="D963" s="69"/>
      <c r="E963" s="69"/>
      <c r="F963" s="69"/>
      <c r="G963" s="69"/>
      <c r="H963" s="69"/>
      <c r="I963" s="69"/>
      <c r="J963" s="69"/>
      <c r="K963" s="69"/>
      <c r="L963" s="69"/>
      <c r="M963" s="69"/>
    </row>
    <row r="964" spans="1:15" ht="20.100000000000001" customHeight="1">
      <c r="A964" s="4" t="s">
        <v>32</v>
      </c>
      <c r="B964" s="5">
        <f>+B920+1</f>
        <v>58</v>
      </c>
      <c r="C964" s="30"/>
      <c r="D964" s="30"/>
      <c r="E964" s="30"/>
      <c r="F964" s="30"/>
      <c r="G964" s="30"/>
      <c r="H964" s="30"/>
      <c r="I964" s="30"/>
      <c r="J964" s="30"/>
      <c r="K964" s="30"/>
      <c r="L964" s="30"/>
      <c r="M964" s="30"/>
    </row>
    <row r="965" spans="1:15" ht="24" customHeight="1" thickBot="1">
      <c r="A965" s="4" t="s">
        <v>33</v>
      </c>
      <c r="H965" s="70" t="s">
        <v>34</v>
      </c>
      <c r="I965" s="70"/>
      <c r="J965" s="70"/>
      <c r="K965" s="102">
        <f>+K921+1</f>
        <v>45984</v>
      </c>
      <c r="L965" s="102"/>
      <c r="M965" s="102"/>
      <c r="O965" s="7"/>
    </row>
    <row r="966" spans="1:15" ht="33.75" customHeight="1" thickBot="1">
      <c r="A966" s="80" t="s">
        <v>1</v>
      </c>
      <c r="B966" s="81"/>
      <c r="C966" s="82"/>
      <c r="D966" s="86" t="str">
        <f>+D922</f>
        <v>光明國中B與C區5樓老舊廁所整修工程</v>
      </c>
      <c r="E966" s="87"/>
      <c r="F966" s="87"/>
      <c r="G966" s="88"/>
      <c r="H966" s="80" t="s">
        <v>2</v>
      </c>
      <c r="I966" s="81"/>
      <c r="J966" s="82"/>
      <c r="K966" s="80" t="s">
        <v>35</v>
      </c>
      <c r="L966" s="81"/>
      <c r="M966" s="82"/>
    </row>
    <row r="967" spans="1:15" ht="33.75" customHeight="1" thickBot="1">
      <c r="A967" s="8" t="s">
        <v>3</v>
      </c>
      <c r="B967" s="29">
        <f>+B923</f>
        <v>143</v>
      </c>
      <c r="C967" s="10" t="s">
        <v>36</v>
      </c>
      <c r="D967" s="80" t="s">
        <v>4</v>
      </c>
      <c r="E967" s="89"/>
      <c r="F967" s="31">
        <f>+F923+1</f>
        <v>58</v>
      </c>
      <c r="G967" s="12" t="s">
        <v>36</v>
      </c>
      <c r="H967" s="13" t="s">
        <v>5</v>
      </c>
      <c r="I967" s="29">
        <f>+B967-F967</f>
        <v>85</v>
      </c>
      <c r="J967" s="10" t="s">
        <v>36</v>
      </c>
      <c r="K967" s="80" t="s">
        <v>6</v>
      </c>
      <c r="L967" s="82"/>
      <c r="M967" s="13">
        <f>+M923</f>
        <v>13</v>
      </c>
    </row>
    <row r="968" spans="1:15" ht="24" customHeight="1" thickBot="1">
      <c r="A968" s="80" t="s">
        <v>7</v>
      </c>
      <c r="B968" s="81"/>
      <c r="C968" s="82"/>
      <c r="D968" s="80" t="str">
        <f>+D924</f>
        <v>114.9.27</v>
      </c>
      <c r="E968" s="81"/>
      <c r="F968" s="81"/>
      <c r="G968" s="82"/>
      <c r="H968" s="80" t="s">
        <v>8</v>
      </c>
      <c r="I968" s="81"/>
      <c r="J968" s="82"/>
      <c r="K968" s="80" t="str">
        <f>+K924</f>
        <v>115.2.16</v>
      </c>
      <c r="L968" s="81"/>
      <c r="M968" s="82"/>
    </row>
    <row r="969" spans="1:15" ht="24" customHeight="1" thickBot="1">
      <c r="A969" s="80" t="s">
        <v>37</v>
      </c>
      <c r="B969" s="81"/>
      <c r="C969" s="82"/>
      <c r="D969" s="83">
        <v>0.252</v>
      </c>
      <c r="E969" s="84"/>
      <c r="F969" s="84"/>
      <c r="G969" s="85"/>
      <c r="H969" s="80" t="s">
        <v>38</v>
      </c>
      <c r="I969" s="81"/>
      <c r="J969" s="82"/>
      <c r="K969" s="83">
        <f>+K925+0.8%</f>
        <v>0.32400000000000012</v>
      </c>
      <c r="L969" s="84"/>
      <c r="M969" s="85"/>
    </row>
    <row r="970" spans="1:15" ht="24" customHeight="1" thickBot="1">
      <c r="A970" s="72" t="s">
        <v>9</v>
      </c>
      <c r="B970" s="73"/>
      <c r="C970" s="73"/>
      <c r="D970" s="73"/>
      <c r="E970" s="73"/>
      <c r="F970" s="73"/>
      <c r="G970" s="73"/>
      <c r="H970" s="73"/>
      <c r="I970" s="73"/>
      <c r="J970" s="73"/>
      <c r="K970" s="73"/>
      <c r="L970" s="73"/>
      <c r="M970" s="74"/>
    </row>
    <row r="971" spans="1:15" ht="35.25" customHeight="1" thickBot="1">
      <c r="A971" s="75" t="s">
        <v>10</v>
      </c>
      <c r="B971" s="76"/>
      <c r="C971" s="76"/>
      <c r="D971" s="77"/>
      <c r="E971" s="14" t="s">
        <v>11</v>
      </c>
      <c r="F971" s="75" t="s">
        <v>12</v>
      </c>
      <c r="G971" s="77"/>
      <c r="H971" s="75" t="s">
        <v>13</v>
      </c>
      <c r="I971" s="77"/>
      <c r="J971" s="78" t="s">
        <v>14</v>
      </c>
      <c r="K971" s="79"/>
      <c r="L971" s="75" t="s">
        <v>15</v>
      </c>
      <c r="M971" s="77"/>
    </row>
    <row r="972" spans="1:15" ht="27.95" customHeight="1" thickBot="1">
      <c r="A972" s="141" t="s">
        <v>146</v>
      </c>
      <c r="B972" s="142"/>
      <c r="C972" s="142"/>
      <c r="D972" s="143"/>
      <c r="E972" s="49" t="s">
        <v>118</v>
      </c>
      <c r="F972" s="56">
        <v>160</v>
      </c>
      <c r="G972" s="57"/>
      <c r="H972" s="56">
        <v>50</v>
      </c>
      <c r="I972" s="57"/>
      <c r="J972" s="56">
        <v>50</v>
      </c>
      <c r="K972" s="57"/>
      <c r="L972" s="58"/>
      <c r="M972" s="59"/>
    </row>
    <row r="973" spans="1:15" ht="27.95" customHeight="1" thickBot="1">
      <c r="A973" s="141"/>
      <c r="B973" s="142"/>
      <c r="C973" s="142"/>
      <c r="D973" s="143"/>
      <c r="E973" s="15"/>
      <c r="F973" s="56"/>
      <c r="G973" s="57"/>
      <c r="H973" s="56"/>
      <c r="I973" s="57"/>
      <c r="J973" s="56"/>
      <c r="K973" s="57"/>
      <c r="L973" s="58"/>
      <c r="M973" s="59"/>
    </row>
    <row r="974" spans="1:15" ht="24.95" customHeight="1" thickTop="1" thickBot="1">
      <c r="A974" s="130" t="s">
        <v>16</v>
      </c>
      <c r="B974" s="67"/>
      <c r="C974" s="67"/>
      <c r="D974" s="68"/>
      <c r="E974" s="32"/>
      <c r="F974" s="131"/>
      <c r="G974" s="132"/>
      <c r="H974" s="131"/>
      <c r="I974" s="132"/>
      <c r="J974" s="131"/>
      <c r="K974" s="132"/>
      <c r="L974" s="131"/>
      <c r="M974" s="133"/>
    </row>
    <row r="975" spans="1:15" ht="24.95" customHeight="1" thickBot="1">
      <c r="A975" s="134" t="s">
        <v>17</v>
      </c>
      <c r="B975" s="135"/>
      <c r="C975" s="135"/>
      <c r="D975" s="59"/>
      <c r="E975" s="32"/>
      <c r="F975" s="58"/>
      <c r="G975" s="59"/>
      <c r="H975" s="58"/>
      <c r="I975" s="59"/>
      <c r="J975" s="58"/>
      <c r="K975" s="59"/>
      <c r="L975" s="58"/>
      <c r="M975" s="136"/>
    </row>
    <row r="976" spans="1:15" ht="24.95" customHeight="1" thickBot="1">
      <c r="A976" s="118" t="s">
        <v>18</v>
      </c>
      <c r="B976" s="119"/>
      <c r="C976" s="119"/>
      <c r="D976" s="120"/>
      <c r="E976" s="24"/>
      <c r="F976" s="121"/>
      <c r="G976" s="120"/>
      <c r="H976" s="121"/>
      <c r="I976" s="120"/>
      <c r="J976" s="121"/>
      <c r="K976" s="120"/>
      <c r="L976" s="121"/>
      <c r="M976" s="122"/>
    </row>
    <row r="977" spans="1:13" ht="24" customHeight="1" thickTop="1" thickBot="1">
      <c r="A977" s="66" t="s">
        <v>19</v>
      </c>
      <c r="B977" s="67"/>
      <c r="C977" s="67"/>
      <c r="D977" s="67"/>
      <c r="E977" s="67"/>
      <c r="F977" s="67"/>
      <c r="G977" s="67"/>
      <c r="H977" s="67"/>
      <c r="I977" s="67"/>
      <c r="J977" s="67"/>
      <c r="K977" s="67"/>
      <c r="L977" s="67"/>
      <c r="M977" s="68"/>
    </row>
    <row r="978" spans="1:13" ht="35.25" customHeight="1" thickBot="1">
      <c r="A978" s="75" t="s">
        <v>20</v>
      </c>
      <c r="B978" s="76"/>
      <c r="C978" s="76"/>
      <c r="D978" s="77"/>
      <c r="E978" s="14" t="s">
        <v>11</v>
      </c>
      <c r="F978" s="75" t="s">
        <v>39</v>
      </c>
      <c r="G978" s="77"/>
      <c r="H978" s="75" t="s">
        <v>21</v>
      </c>
      <c r="I978" s="77"/>
      <c r="J978" s="78" t="s">
        <v>22</v>
      </c>
      <c r="K978" s="79"/>
      <c r="L978" s="75" t="s">
        <v>15</v>
      </c>
      <c r="M978" s="77"/>
    </row>
    <row r="979" spans="1:13" ht="24" customHeight="1" thickBot="1">
      <c r="A979" s="96"/>
      <c r="B979" s="97"/>
      <c r="C979" s="97"/>
      <c r="D979" s="98"/>
      <c r="E979" s="32"/>
      <c r="F979" s="58"/>
      <c r="G979" s="59"/>
      <c r="H979" s="58"/>
      <c r="I979" s="59"/>
      <c r="J979" s="56"/>
      <c r="K979" s="57"/>
      <c r="L979" s="58"/>
      <c r="M979" s="59"/>
    </row>
    <row r="980" spans="1:13" ht="24" customHeight="1" thickBot="1">
      <c r="A980" s="96"/>
      <c r="B980" s="97"/>
      <c r="C980" s="97"/>
      <c r="D980" s="98"/>
      <c r="E980" s="32"/>
      <c r="F980" s="58"/>
      <c r="G980" s="59"/>
      <c r="H980" s="58"/>
      <c r="I980" s="59"/>
      <c r="J980" s="56"/>
      <c r="K980" s="57"/>
      <c r="L980" s="58"/>
      <c r="M980" s="59"/>
    </row>
    <row r="981" spans="1:13" ht="24" customHeight="1" thickBot="1">
      <c r="A981" s="60" t="s">
        <v>23</v>
      </c>
      <c r="B981" s="61"/>
      <c r="C981" s="61"/>
      <c r="D981" s="61"/>
      <c r="E981" s="61"/>
      <c r="F981" s="61"/>
      <c r="G981" s="61"/>
      <c r="H981" s="61"/>
      <c r="I981" s="61"/>
      <c r="J981" s="61"/>
      <c r="K981" s="61"/>
      <c r="L981" s="61"/>
      <c r="M981" s="62"/>
    </row>
    <row r="982" spans="1:13" ht="35.25" customHeight="1" thickBot="1">
      <c r="A982" s="75" t="s">
        <v>24</v>
      </c>
      <c r="B982" s="77"/>
      <c r="C982" s="75" t="s">
        <v>25</v>
      </c>
      <c r="D982" s="77"/>
      <c r="E982" s="75" t="s">
        <v>26</v>
      </c>
      <c r="F982" s="76"/>
      <c r="G982" s="77"/>
      <c r="H982" s="75" t="s">
        <v>27</v>
      </c>
      <c r="I982" s="77"/>
      <c r="J982" s="78" t="s">
        <v>21</v>
      </c>
      <c r="K982" s="79"/>
      <c r="L982" s="75" t="s">
        <v>22</v>
      </c>
      <c r="M982" s="77"/>
    </row>
    <row r="983" spans="1:13" s="18" customFormat="1" ht="24.75" customHeight="1" thickBot="1">
      <c r="A983" s="99" t="s">
        <v>119</v>
      </c>
      <c r="B983" s="98"/>
      <c r="C983" s="56">
        <v>2</v>
      </c>
      <c r="D983" s="57"/>
      <c r="E983" s="56">
        <v>32</v>
      </c>
      <c r="F983" s="100"/>
      <c r="G983" s="57"/>
      <c r="H983" s="56"/>
      <c r="I983" s="57"/>
      <c r="J983" s="56"/>
      <c r="K983" s="57"/>
      <c r="L983" s="56"/>
      <c r="M983" s="57"/>
    </row>
    <row r="984" spans="1:13" s="18" customFormat="1" ht="24.75" customHeight="1" thickBot="1">
      <c r="A984" s="99"/>
      <c r="B984" s="98"/>
      <c r="C984" s="56"/>
      <c r="D984" s="57"/>
      <c r="E984" s="56"/>
      <c r="F984" s="100"/>
      <c r="G984" s="57"/>
      <c r="H984" s="56"/>
      <c r="I984" s="57"/>
      <c r="J984" s="56"/>
      <c r="K984" s="57"/>
      <c r="L984" s="56"/>
      <c r="M984" s="57"/>
    </row>
    <row r="985" spans="1:13" ht="33" customHeight="1" thickBot="1">
      <c r="A985" s="112" t="s">
        <v>40</v>
      </c>
      <c r="B985" s="113"/>
      <c r="C985" s="113"/>
      <c r="D985" s="113"/>
      <c r="E985" s="113"/>
      <c r="F985" s="113"/>
      <c r="G985" s="113"/>
      <c r="H985" s="113"/>
      <c r="I985" s="113"/>
      <c r="J985" s="113"/>
      <c r="K985" s="113"/>
      <c r="L985" s="113"/>
      <c r="M985" s="114"/>
    </row>
    <row r="986" spans="1:13" ht="16.5" customHeight="1">
      <c r="A986" s="115" t="s">
        <v>41</v>
      </c>
      <c r="B986" s="116"/>
      <c r="C986" s="116"/>
      <c r="D986" s="116"/>
      <c r="E986" s="116"/>
      <c r="F986" s="116"/>
      <c r="G986" s="116"/>
      <c r="H986" s="116"/>
      <c r="I986" s="116"/>
      <c r="J986" s="116"/>
      <c r="K986" s="116"/>
      <c r="L986" s="116"/>
      <c r="M986" s="117"/>
    </row>
    <row r="987" spans="1:13" ht="16.5" customHeight="1">
      <c r="A987" s="90" t="s">
        <v>28</v>
      </c>
      <c r="B987" s="91"/>
      <c r="C987" s="91"/>
      <c r="D987" s="91"/>
      <c r="E987" s="91"/>
      <c r="F987" s="91"/>
      <c r="G987" s="91"/>
      <c r="H987" s="91"/>
      <c r="I987" s="91"/>
      <c r="J987" s="91"/>
      <c r="K987" s="91"/>
      <c r="L987" s="91"/>
      <c r="M987" s="92"/>
    </row>
    <row r="988" spans="1:13" s="1" customFormat="1" ht="16.5" customHeight="1">
      <c r="A988" s="93" t="s">
        <v>56</v>
      </c>
      <c r="B988" s="94"/>
      <c r="C988" s="94"/>
      <c r="D988" s="94"/>
      <c r="E988" s="94"/>
      <c r="F988" s="94"/>
      <c r="G988" s="94"/>
      <c r="H988" s="94"/>
      <c r="I988" s="94"/>
      <c r="J988" s="94"/>
      <c r="K988" s="94"/>
      <c r="L988" s="94"/>
      <c r="M988" s="95"/>
    </row>
    <row r="989" spans="1:13" s="1" customFormat="1" ht="16.5" customHeight="1">
      <c r="A989" s="93" t="s">
        <v>57</v>
      </c>
      <c r="B989" s="94"/>
      <c r="C989" s="94"/>
      <c r="D989" s="94"/>
      <c r="E989" s="94"/>
      <c r="F989" s="94"/>
      <c r="G989" s="94"/>
      <c r="H989" s="94"/>
      <c r="I989" s="94"/>
      <c r="J989" s="94"/>
      <c r="K989" s="94"/>
      <c r="L989" s="94"/>
      <c r="M989" s="95"/>
    </row>
    <row r="990" spans="1:13" s="1" customFormat="1" ht="16.5" customHeight="1">
      <c r="A990" s="93" t="s">
        <v>58</v>
      </c>
      <c r="B990" s="94"/>
      <c r="C990" s="94"/>
      <c r="D990" s="94"/>
      <c r="E990" s="94"/>
      <c r="F990" s="94"/>
      <c r="G990" s="94"/>
      <c r="H990" s="94"/>
      <c r="I990" s="94"/>
      <c r="J990" s="94"/>
      <c r="K990" s="94"/>
      <c r="L990" s="94"/>
      <c r="M990" s="95"/>
    </row>
    <row r="991" spans="1:13" s="1" customFormat="1" ht="16.5" customHeight="1">
      <c r="A991" s="93" t="s">
        <v>59</v>
      </c>
      <c r="B991" s="94"/>
      <c r="C991" s="94"/>
      <c r="D991" s="94"/>
      <c r="E991" s="94"/>
      <c r="F991" s="94"/>
      <c r="G991" s="94"/>
      <c r="H991" s="94"/>
      <c r="I991" s="94"/>
      <c r="J991" s="94"/>
      <c r="K991" s="94"/>
      <c r="L991" s="94"/>
      <c r="M991" s="95"/>
    </row>
    <row r="992" spans="1:13" ht="16.5" customHeight="1">
      <c r="A992" s="106" t="s">
        <v>29</v>
      </c>
      <c r="B992" s="107"/>
      <c r="C992" s="107"/>
      <c r="D992" s="107"/>
      <c r="E992" s="107"/>
      <c r="F992" s="107"/>
      <c r="G992" s="107"/>
      <c r="H992" s="107"/>
      <c r="I992" s="107"/>
      <c r="J992" s="107"/>
      <c r="K992" s="107"/>
      <c r="L992" s="107"/>
      <c r="M992" s="108"/>
    </row>
    <row r="993" spans="1:13" ht="9.75" customHeight="1" thickBot="1">
      <c r="A993" s="109"/>
      <c r="B993" s="110"/>
      <c r="C993" s="110"/>
      <c r="D993" s="110"/>
      <c r="E993" s="110"/>
      <c r="F993" s="110"/>
      <c r="G993" s="110"/>
      <c r="H993" s="110"/>
      <c r="I993" s="110"/>
      <c r="J993" s="110"/>
      <c r="K993" s="110"/>
      <c r="L993" s="110"/>
      <c r="M993" s="111"/>
    </row>
    <row r="994" spans="1:13" ht="18.75" customHeight="1" thickBot="1">
      <c r="A994" s="72" t="s">
        <v>30</v>
      </c>
      <c r="B994" s="73"/>
      <c r="C994" s="73"/>
      <c r="D994" s="73"/>
      <c r="E994" s="73"/>
      <c r="F994" s="73"/>
      <c r="G994" s="73"/>
      <c r="H994" s="73"/>
      <c r="I994" s="73"/>
      <c r="J994" s="73"/>
      <c r="K994" s="73"/>
      <c r="L994" s="73"/>
      <c r="M994" s="74"/>
    </row>
    <row r="995" spans="1:13" ht="24" customHeight="1" thickBot="1">
      <c r="A995" s="72" t="s">
        <v>31</v>
      </c>
      <c r="B995" s="73"/>
      <c r="C995" s="73"/>
      <c r="D995" s="73"/>
      <c r="E995" s="73"/>
      <c r="F995" s="73"/>
      <c r="G995" s="73"/>
      <c r="H995" s="73"/>
      <c r="I995" s="73"/>
      <c r="J995" s="73"/>
      <c r="K995" s="73"/>
      <c r="L995" s="73"/>
      <c r="M995" s="74"/>
    </row>
    <row r="996" spans="1:13" ht="24" customHeight="1" thickBot="1">
      <c r="A996" s="72" t="s">
        <v>124</v>
      </c>
      <c r="B996" s="73"/>
      <c r="C996" s="73"/>
      <c r="D996" s="73"/>
      <c r="E996" s="73"/>
      <c r="F996" s="73"/>
      <c r="G996" s="73"/>
      <c r="H996" s="73"/>
      <c r="I996" s="73"/>
      <c r="J996" s="73"/>
      <c r="K996" s="73"/>
      <c r="L996" s="73"/>
      <c r="M996" s="74"/>
    </row>
    <row r="997" spans="1:13" ht="24" customHeight="1" thickBot="1">
      <c r="A997" s="60" t="s">
        <v>46</v>
      </c>
      <c r="B997" s="61"/>
      <c r="C997" s="61"/>
      <c r="D997" s="61"/>
      <c r="E997" s="61"/>
      <c r="F997" s="61"/>
      <c r="G997" s="61"/>
      <c r="H997" s="61"/>
      <c r="I997" s="61"/>
      <c r="J997" s="61"/>
      <c r="K997" s="61"/>
      <c r="L997" s="61"/>
      <c r="M997" s="62"/>
    </row>
    <row r="998" spans="1:13" ht="11.1" customHeight="1">
      <c r="A998" s="103" t="s">
        <v>47</v>
      </c>
      <c r="B998" s="103"/>
      <c r="C998" s="103"/>
      <c r="D998" s="103"/>
      <c r="E998" s="103"/>
      <c r="F998" s="103"/>
      <c r="G998" s="103"/>
      <c r="H998" s="103"/>
      <c r="I998" s="103"/>
      <c r="J998" s="103"/>
      <c r="K998" s="103"/>
      <c r="L998" s="103"/>
      <c r="M998" s="103"/>
    </row>
    <row r="999" spans="1:13" ht="11.1" customHeight="1">
      <c r="A999" s="104" t="s">
        <v>48</v>
      </c>
      <c r="B999" s="104"/>
      <c r="C999" s="104"/>
      <c r="D999" s="104"/>
      <c r="E999" s="104"/>
      <c r="F999" s="104"/>
      <c r="G999" s="104"/>
      <c r="H999" s="104"/>
      <c r="I999" s="104"/>
      <c r="J999" s="104"/>
      <c r="K999" s="104"/>
      <c r="L999" s="104"/>
      <c r="M999" s="104"/>
    </row>
    <row r="1000" spans="1:13" ht="11.1" customHeight="1">
      <c r="A1000" s="105" t="s">
        <v>49</v>
      </c>
      <c r="B1000" s="105"/>
      <c r="C1000" s="105"/>
      <c r="D1000" s="105"/>
      <c r="E1000" s="105"/>
      <c r="F1000" s="105"/>
      <c r="G1000" s="105"/>
      <c r="H1000" s="105"/>
      <c r="I1000" s="105"/>
      <c r="J1000" s="105"/>
      <c r="K1000" s="105"/>
      <c r="L1000" s="105"/>
      <c r="M1000" s="105"/>
    </row>
    <row r="1001" spans="1:13" ht="11.1" customHeight="1">
      <c r="A1001" s="105" t="s">
        <v>50</v>
      </c>
      <c r="B1001" s="105"/>
      <c r="C1001" s="105"/>
      <c r="D1001" s="105"/>
      <c r="E1001" s="105"/>
      <c r="F1001" s="105"/>
      <c r="G1001" s="105"/>
      <c r="H1001" s="105"/>
      <c r="I1001" s="105"/>
      <c r="J1001" s="105"/>
      <c r="K1001" s="105"/>
      <c r="L1001" s="105"/>
      <c r="M1001" s="105"/>
    </row>
    <row r="1002" spans="1:13" ht="11.1" customHeight="1">
      <c r="A1002" s="104" t="s">
        <v>51</v>
      </c>
      <c r="B1002" s="104"/>
      <c r="C1002" s="104"/>
      <c r="D1002" s="104"/>
      <c r="E1002" s="104"/>
      <c r="F1002" s="104"/>
      <c r="G1002" s="104"/>
      <c r="H1002" s="104"/>
      <c r="I1002" s="104"/>
      <c r="J1002" s="104"/>
      <c r="K1002" s="104"/>
      <c r="L1002" s="104"/>
      <c r="M1002" s="104"/>
    </row>
    <row r="1003" spans="1:13" ht="11.1" customHeight="1">
      <c r="A1003" s="104" t="s">
        <v>52</v>
      </c>
      <c r="B1003" s="104"/>
      <c r="C1003" s="104"/>
      <c r="D1003" s="104"/>
      <c r="E1003" s="104"/>
      <c r="F1003" s="104"/>
      <c r="G1003" s="104"/>
      <c r="H1003" s="104"/>
      <c r="I1003" s="104"/>
      <c r="J1003" s="104"/>
      <c r="K1003" s="104"/>
      <c r="L1003" s="104"/>
      <c r="M1003" s="104"/>
    </row>
    <row r="1004" spans="1:13" ht="11.1" customHeight="1">
      <c r="A1004" s="104" t="s">
        <v>53</v>
      </c>
      <c r="B1004" s="104"/>
      <c r="C1004" s="104"/>
      <c r="D1004" s="104"/>
      <c r="E1004" s="104"/>
      <c r="F1004" s="104"/>
      <c r="G1004" s="104"/>
      <c r="H1004" s="104"/>
      <c r="I1004" s="104"/>
      <c r="J1004" s="104"/>
      <c r="K1004" s="104"/>
      <c r="L1004" s="104"/>
      <c r="M1004" s="104"/>
    </row>
    <row r="1005" spans="1:13" ht="11.1" customHeight="1">
      <c r="A1005" s="101" t="s">
        <v>54</v>
      </c>
      <c r="B1005" s="101"/>
      <c r="C1005" s="101"/>
      <c r="D1005" s="101"/>
      <c r="E1005" s="101"/>
      <c r="F1005" s="101"/>
      <c r="G1005" s="101"/>
      <c r="H1005" s="101"/>
      <c r="I1005" s="101"/>
      <c r="J1005" s="101"/>
      <c r="K1005" s="101"/>
      <c r="L1005" s="101"/>
      <c r="M1005" s="101"/>
    </row>
    <row r="1006" spans="1:13" ht="11.1" customHeight="1">
      <c r="A1006" s="101" t="s">
        <v>55</v>
      </c>
      <c r="B1006" s="101"/>
      <c r="C1006" s="101"/>
      <c r="D1006" s="101"/>
      <c r="E1006" s="101"/>
      <c r="F1006" s="101"/>
      <c r="G1006" s="101"/>
      <c r="H1006" s="101"/>
      <c r="I1006" s="101"/>
      <c r="J1006" s="101"/>
      <c r="K1006" s="101"/>
      <c r="L1006" s="101"/>
      <c r="M1006" s="101"/>
    </row>
    <row r="1007" spans="1:13" ht="19.5" customHeight="1">
      <c r="A1007" s="69" t="s">
        <v>0</v>
      </c>
      <c r="B1007" s="69"/>
      <c r="C1007" s="69"/>
      <c r="D1007" s="69"/>
      <c r="E1007" s="69"/>
      <c r="F1007" s="69"/>
      <c r="G1007" s="69"/>
      <c r="H1007" s="69"/>
      <c r="I1007" s="69"/>
      <c r="J1007" s="69"/>
      <c r="K1007" s="69"/>
      <c r="L1007" s="69"/>
      <c r="M1007" s="69"/>
    </row>
    <row r="1008" spans="1:13" ht="20.100000000000001" customHeight="1">
      <c r="A1008" s="4" t="s">
        <v>32</v>
      </c>
      <c r="B1008" s="5">
        <f>+B964+1</f>
        <v>59</v>
      </c>
      <c r="C1008" s="30"/>
      <c r="D1008" s="30"/>
      <c r="E1008" s="30"/>
      <c r="F1008" s="30"/>
      <c r="G1008" s="30"/>
      <c r="H1008" s="30"/>
      <c r="I1008" s="30"/>
      <c r="J1008" s="30"/>
      <c r="K1008" s="30"/>
      <c r="L1008" s="30"/>
      <c r="M1008" s="30"/>
    </row>
    <row r="1009" spans="1:15" ht="24" customHeight="1" thickBot="1">
      <c r="A1009" s="4" t="s">
        <v>33</v>
      </c>
      <c r="H1009" s="70" t="s">
        <v>34</v>
      </c>
      <c r="I1009" s="70"/>
      <c r="J1009" s="70"/>
      <c r="K1009" s="102">
        <f>+K965+1</f>
        <v>45985</v>
      </c>
      <c r="L1009" s="102"/>
      <c r="M1009" s="102"/>
      <c r="O1009" s="7"/>
    </row>
    <row r="1010" spans="1:15" ht="33.75" customHeight="1" thickBot="1">
      <c r="A1010" s="80" t="s">
        <v>1</v>
      </c>
      <c r="B1010" s="81"/>
      <c r="C1010" s="82"/>
      <c r="D1010" s="86" t="str">
        <f>+D966</f>
        <v>光明國中B與C區5樓老舊廁所整修工程</v>
      </c>
      <c r="E1010" s="87"/>
      <c r="F1010" s="87"/>
      <c r="G1010" s="88"/>
      <c r="H1010" s="80" t="s">
        <v>2</v>
      </c>
      <c r="I1010" s="81"/>
      <c r="J1010" s="82"/>
      <c r="K1010" s="80" t="s">
        <v>35</v>
      </c>
      <c r="L1010" s="81"/>
      <c r="M1010" s="82"/>
    </row>
    <row r="1011" spans="1:15" ht="33.75" customHeight="1" thickBot="1">
      <c r="A1011" s="8" t="s">
        <v>3</v>
      </c>
      <c r="B1011" s="29">
        <f>+B967</f>
        <v>143</v>
      </c>
      <c r="C1011" s="10" t="s">
        <v>36</v>
      </c>
      <c r="D1011" s="80" t="s">
        <v>4</v>
      </c>
      <c r="E1011" s="89"/>
      <c r="F1011" s="31">
        <f>+F967+1</f>
        <v>59</v>
      </c>
      <c r="G1011" s="12" t="s">
        <v>36</v>
      </c>
      <c r="H1011" s="13" t="s">
        <v>5</v>
      </c>
      <c r="I1011" s="29">
        <f>+B1011-F1011</f>
        <v>84</v>
      </c>
      <c r="J1011" s="10" t="s">
        <v>36</v>
      </c>
      <c r="K1011" s="80" t="s">
        <v>6</v>
      </c>
      <c r="L1011" s="82"/>
      <c r="M1011" s="13">
        <f>+M967</f>
        <v>13</v>
      </c>
    </row>
    <row r="1012" spans="1:15" ht="24" customHeight="1" thickBot="1">
      <c r="A1012" s="80" t="s">
        <v>7</v>
      </c>
      <c r="B1012" s="81"/>
      <c r="C1012" s="82"/>
      <c r="D1012" s="80" t="str">
        <f>+D968</f>
        <v>114.9.27</v>
      </c>
      <c r="E1012" s="81"/>
      <c r="F1012" s="81"/>
      <c r="G1012" s="82"/>
      <c r="H1012" s="80" t="s">
        <v>8</v>
      </c>
      <c r="I1012" s="81"/>
      <c r="J1012" s="82"/>
      <c r="K1012" s="80" t="str">
        <f>+K968</f>
        <v>115.2.16</v>
      </c>
      <c r="L1012" s="81"/>
      <c r="M1012" s="82"/>
    </row>
    <row r="1013" spans="1:15" ht="24" customHeight="1" thickBot="1">
      <c r="A1013" s="80" t="s">
        <v>37</v>
      </c>
      <c r="B1013" s="81"/>
      <c r="C1013" s="82"/>
      <c r="D1013" s="83">
        <v>0.25800000000000001</v>
      </c>
      <c r="E1013" s="84"/>
      <c r="F1013" s="84"/>
      <c r="G1013" s="85"/>
      <c r="H1013" s="80" t="s">
        <v>38</v>
      </c>
      <c r="I1013" s="81"/>
      <c r="J1013" s="82"/>
      <c r="K1013" s="83">
        <f>+K969</f>
        <v>0.32400000000000012</v>
      </c>
      <c r="L1013" s="84"/>
      <c r="M1013" s="85"/>
    </row>
    <row r="1014" spans="1:15" ht="24" customHeight="1" thickBot="1">
      <c r="A1014" s="72" t="s">
        <v>9</v>
      </c>
      <c r="B1014" s="73"/>
      <c r="C1014" s="73"/>
      <c r="D1014" s="73"/>
      <c r="E1014" s="73"/>
      <c r="F1014" s="73"/>
      <c r="G1014" s="73"/>
      <c r="H1014" s="73"/>
      <c r="I1014" s="73"/>
      <c r="J1014" s="73"/>
      <c r="K1014" s="73"/>
      <c r="L1014" s="73"/>
      <c r="M1014" s="74"/>
    </row>
    <row r="1015" spans="1:15" ht="35.25" customHeight="1" thickBot="1">
      <c r="A1015" s="75" t="s">
        <v>10</v>
      </c>
      <c r="B1015" s="76"/>
      <c r="C1015" s="76"/>
      <c r="D1015" s="77"/>
      <c r="E1015" s="14" t="s">
        <v>11</v>
      </c>
      <c r="F1015" s="75" t="s">
        <v>12</v>
      </c>
      <c r="G1015" s="77"/>
      <c r="H1015" s="75" t="s">
        <v>13</v>
      </c>
      <c r="I1015" s="77"/>
      <c r="J1015" s="78" t="s">
        <v>14</v>
      </c>
      <c r="K1015" s="79"/>
      <c r="L1015" s="75" t="s">
        <v>15</v>
      </c>
      <c r="M1015" s="77"/>
    </row>
    <row r="1016" spans="1:15" ht="27.95" customHeight="1" thickBot="1">
      <c r="A1016" s="141"/>
      <c r="B1016" s="142"/>
      <c r="C1016" s="142"/>
      <c r="D1016" s="143"/>
      <c r="E1016" s="49"/>
      <c r="F1016" s="56"/>
      <c r="G1016" s="57"/>
      <c r="H1016" s="56"/>
      <c r="I1016" s="57"/>
      <c r="J1016" s="56"/>
      <c r="K1016" s="57"/>
      <c r="L1016" s="58"/>
      <c r="M1016" s="59"/>
    </row>
    <row r="1017" spans="1:15" ht="27.95" customHeight="1" thickBot="1">
      <c r="A1017" s="141"/>
      <c r="B1017" s="142"/>
      <c r="C1017" s="142"/>
      <c r="D1017" s="143"/>
      <c r="E1017" s="15"/>
      <c r="F1017" s="56"/>
      <c r="G1017" s="57"/>
      <c r="H1017" s="56"/>
      <c r="I1017" s="57"/>
      <c r="J1017" s="56"/>
      <c r="K1017" s="57"/>
      <c r="L1017" s="58"/>
      <c r="M1017" s="59"/>
    </row>
    <row r="1018" spans="1:15" ht="24.95" customHeight="1" thickTop="1" thickBot="1">
      <c r="A1018" s="130" t="s">
        <v>16</v>
      </c>
      <c r="B1018" s="67"/>
      <c r="C1018" s="67"/>
      <c r="D1018" s="68"/>
      <c r="E1018" s="32"/>
      <c r="F1018" s="131"/>
      <c r="G1018" s="132"/>
      <c r="H1018" s="131"/>
      <c r="I1018" s="132"/>
      <c r="J1018" s="131"/>
      <c r="K1018" s="132"/>
      <c r="L1018" s="131"/>
      <c r="M1018" s="133"/>
    </row>
    <row r="1019" spans="1:15" ht="24.95" customHeight="1" thickBot="1">
      <c r="A1019" s="134" t="s">
        <v>17</v>
      </c>
      <c r="B1019" s="135"/>
      <c r="C1019" s="135"/>
      <c r="D1019" s="59"/>
      <c r="E1019" s="32"/>
      <c r="F1019" s="58"/>
      <c r="G1019" s="59"/>
      <c r="H1019" s="58"/>
      <c r="I1019" s="59"/>
      <c r="J1019" s="58"/>
      <c r="K1019" s="59"/>
      <c r="L1019" s="58"/>
      <c r="M1019" s="136"/>
    </row>
    <row r="1020" spans="1:15" ht="24.95" customHeight="1" thickBot="1">
      <c r="A1020" s="118" t="s">
        <v>18</v>
      </c>
      <c r="B1020" s="119"/>
      <c r="C1020" s="119"/>
      <c r="D1020" s="120"/>
      <c r="E1020" s="24"/>
      <c r="F1020" s="121"/>
      <c r="G1020" s="120"/>
      <c r="H1020" s="121"/>
      <c r="I1020" s="120"/>
      <c r="J1020" s="121"/>
      <c r="K1020" s="120"/>
      <c r="L1020" s="121"/>
      <c r="M1020" s="122"/>
    </row>
    <row r="1021" spans="1:15" ht="24" customHeight="1" thickTop="1" thickBot="1">
      <c r="A1021" s="66" t="s">
        <v>19</v>
      </c>
      <c r="B1021" s="67"/>
      <c r="C1021" s="67"/>
      <c r="D1021" s="67"/>
      <c r="E1021" s="67"/>
      <c r="F1021" s="67"/>
      <c r="G1021" s="67"/>
      <c r="H1021" s="67"/>
      <c r="I1021" s="67"/>
      <c r="J1021" s="67"/>
      <c r="K1021" s="67"/>
      <c r="L1021" s="67"/>
      <c r="M1021" s="68"/>
    </row>
    <row r="1022" spans="1:15" ht="35.25" customHeight="1" thickBot="1">
      <c r="A1022" s="75" t="s">
        <v>20</v>
      </c>
      <c r="B1022" s="76"/>
      <c r="C1022" s="76"/>
      <c r="D1022" s="77"/>
      <c r="E1022" s="14" t="s">
        <v>11</v>
      </c>
      <c r="F1022" s="75" t="s">
        <v>39</v>
      </c>
      <c r="G1022" s="77"/>
      <c r="H1022" s="75" t="s">
        <v>21</v>
      </c>
      <c r="I1022" s="77"/>
      <c r="J1022" s="78" t="s">
        <v>22</v>
      </c>
      <c r="K1022" s="79"/>
      <c r="L1022" s="75" t="s">
        <v>15</v>
      </c>
      <c r="M1022" s="77"/>
    </row>
    <row r="1023" spans="1:15" ht="24" customHeight="1" thickBot="1">
      <c r="A1023" s="96"/>
      <c r="B1023" s="97"/>
      <c r="C1023" s="97"/>
      <c r="D1023" s="98"/>
      <c r="E1023" s="32"/>
      <c r="F1023" s="58"/>
      <c r="G1023" s="59"/>
      <c r="H1023" s="58"/>
      <c r="I1023" s="59"/>
      <c r="J1023" s="56"/>
      <c r="K1023" s="57"/>
      <c r="L1023" s="58"/>
      <c r="M1023" s="59"/>
    </row>
    <row r="1024" spans="1:15" ht="24" customHeight="1" thickBot="1">
      <c r="A1024" s="96"/>
      <c r="B1024" s="97"/>
      <c r="C1024" s="97"/>
      <c r="D1024" s="98"/>
      <c r="E1024" s="32"/>
      <c r="F1024" s="58"/>
      <c r="G1024" s="59"/>
      <c r="H1024" s="58"/>
      <c r="I1024" s="59"/>
      <c r="J1024" s="56"/>
      <c r="K1024" s="57"/>
      <c r="L1024" s="58"/>
      <c r="M1024" s="59"/>
    </row>
    <row r="1025" spans="1:13" ht="24" customHeight="1" thickBot="1">
      <c r="A1025" s="60" t="s">
        <v>23</v>
      </c>
      <c r="B1025" s="61"/>
      <c r="C1025" s="61"/>
      <c r="D1025" s="61"/>
      <c r="E1025" s="61"/>
      <c r="F1025" s="61"/>
      <c r="G1025" s="61"/>
      <c r="H1025" s="61"/>
      <c r="I1025" s="61"/>
      <c r="J1025" s="61"/>
      <c r="K1025" s="61"/>
      <c r="L1025" s="61"/>
      <c r="M1025" s="62"/>
    </row>
    <row r="1026" spans="1:13" ht="35.25" customHeight="1" thickBot="1">
      <c r="A1026" s="75" t="s">
        <v>24</v>
      </c>
      <c r="B1026" s="77"/>
      <c r="C1026" s="75" t="s">
        <v>25</v>
      </c>
      <c r="D1026" s="77"/>
      <c r="E1026" s="75" t="s">
        <v>26</v>
      </c>
      <c r="F1026" s="76"/>
      <c r="G1026" s="77"/>
      <c r="H1026" s="75" t="s">
        <v>27</v>
      </c>
      <c r="I1026" s="77"/>
      <c r="J1026" s="78" t="s">
        <v>21</v>
      </c>
      <c r="K1026" s="79"/>
      <c r="L1026" s="75" t="s">
        <v>22</v>
      </c>
      <c r="M1026" s="77"/>
    </row>
    <row r="1027" spans="1:13" s="18" customFormat="1" ht="24.75" customHeight="1" thickBot="1">
      <c r="A1027" s="99"/>
      <c r="B1027" s="98"/>
      <c r="C1027" s="56"/>
      <c r="D1027" s="57"/>
      <c r="E1027" s="56"/>
      <c r="F1027" s="100"/>
      <c r="G1027" s="57"/>
      <c r="H1027" s="56"/>
      <c r="I1027" s="57"/>
      <c r="J1027" s="56"/>
      <c r="K1027" s="57"/>
      <c r="L1027" s="56"/>
      <c r="M1027" s="57"/>
    </row>
    <row r="1028" spans="1:13" s="18" customFormat="1" ht="24.75" customHeight="1" thickBot="1">
      <c r="A1028" s="99"/>
      <c r="B1028" s="98"/>
      <c r="C1028" s="56"/>
      <c r="D1028" s="57"/>
      <c r="E1028" s="56"/>
      <c r="F1028" s="100"/>
      <c r="G1028" s="57"/>
      <c r="H1028" s="56"/>
      <c r="I1028" s="57"/>
      <c r="J1028" s="56"/>
      <c r="K1028" s="57"/>
      <c r="L1028" s="56"/>
      <c r="M1028" s="57"/>
    </row>
    <row r="1029" spans="1:13" ht="33" customHeight="1" thickBot="1">
      <c r="A1029" s="112" t="s">
        <v>60</v>
      </c>
      <c r="B1029" s="113"/>
      <c r="C1029" s="113"/>
      <c r="D1029" s="113"/>
      <c r="E1029" s="113"/>
      <c r="F1029" s="113"/>
      <c r="G1029" s="113"/>
      <c r="H1029" s="113"/>
      <c r="I1029" s="113"/>
      <c r="J1029" s="113"/>
      <c r="K1029" s="113"/>
      <c r="L1029" s="113"/>
      <c r="M1029" s="114"/>
    </row>
    <row r="1030" spans="1:13" ht="16.5" customHeight="1">
      <c r="A1030" s="115" t="s">
        <v>41</v>
      </c>
      <c r="B1030" s="116"/>
      <c r="C1030" s="116"/>
      <c r="D1030" s="116"/>
      <c r="E1030" s="116"/>
      <c r="F1030" s="116"/>
      <c r="G1030" s="116"/>
      <c r="H1030" s="116"/>
      <c r="I1030" s="116"/>
      <c r="J1030" s="116"/>
      <c r="K1030" s="116"/>
      <c r="L1030" s="116"/>
      <c r="M1030" s="117"/>
    </row>
    <row r="1031" spans="1:13" ht="16.5" customHeight="1">
      <c r="A1031" s="90" t="s">
        <v>28</v>
      </c>
      <c r="B1031" s="91"/>
      <c r="C1031" s="91"/>
      <c r="D1031" s="91"/>
      <c r="E1031" s="91"/>
      <c r="F1031" s="91"/>
      <c r="G1031" s="91"/>
      <c r="H1031" s="91"/>
      <c r="I1031" s="91"/>
      <c r="J1031" s="91"/>
      <c r="K1031" s="91"/>
      <c r="L1031" s="91"/>
      <c r="M1031" s="92"/>
    </row>
    <row r="1032" spans="1:13" ht="16.5" customHeight="1">
      <c r="A1032" s="106" t="s">
        <v>42</v>
      </c>
      <c r="B1032" s="107"/>
      <c r="C1032" s="107"/>
      <c r="D1032" s="107"/>
      <c r="E1032" s="107"/>
      <c r="F1032" s="107"/>
      <c r="G1032" s="107"/>
      <c r="H1032" s="107"/>
      <c r="I1032" s="107"/>
      <c r="J1032" s="107"/>
      <c r="K1032" s="107"/>
      <c r="L1032" s="107"/>
      <c r="M1032" s="108"/>
    </row>
    <row r="1033" spans="1:13" ht="16.5" customHeight="1">
      <c r="A1033" s="106" t="s">
        <v>43</v>
      </c>
      <c r="B1033" s="107"/>
      <c r="C1033" s="107"/>
      <c r="D1033" s="107"/>
      <c r="E1033" s="107"/>
      <c r="F1033" s="107"/>
      <c r="G1033" s="107"/>
      <c r="H1033" s="107"/>
      <c r="I1033" s="107"/>
      <c r="J1033" s="107"/>
      <c r="K1033" s="107"/>
      <c r="L1033" s="107"/>
      <c r="M1033" s="108"/>
    </row>
    <row r="1034" spans="1:13" ht="16.5" customHeight="1">
      <c r="A1034" s="106" t="s">
        <v>44</v>
      </c>
      <c r="B1034" s="107"/>
      <c r="C1034" s="107"/>
      <c r="D1034" s="107"/>
      <c r="E1034" s="107"/>
      <c r="F1034" s="107"/>
      <c r="G1034" s="107"/>
      <c r="H1034" s="107"/>
      <c r="I1034" s="107"/>
      <c r="J1034" s="107"/>
      <c r="K1034" s="107"/>
      <c r="L1034" s="107"/>
      <c r="M1034" s="108"/>
    </row>
    <row r="1035" spans="1:13" ht="16.5" customHeight="1">
      <c r="A1035" s="106" t="s">
        <v>45</v>
      </c>
      <c r="B1035" s="107"/>
      <c r="C1035" s="107"/>
      <c r="D1035" s="107"/>
      <c r="E1035" s="107"/>
      <c r="F1035" s="107"/>
      <c r="G1035" s="107"/>
      <c r="H1035" s="107"/>
      <c r="I1035" s="107"/>
      <c r="J1035" s="107"/>
      <c r="K1035" s="107"/>
      <c r="L1035" s="107"/>
      <c r="M1035" s="108"/>
    </row>
    <row r="1036" spans="1:13" ht="16.5" customHeight="1">
      <c r="A1036" s="106" t="s">
        <v>29</v>
      </c>
      <c r="B1036" s="107"/>
      <c r="C1036" s="107"/>
      <c r="D1036" s="107"/>
      <c r="E1036" s="107"/>
      <c r="F1036" s="107"/>
      <c r="G1036" s="107"/>
      <c r="H1036" s="107"/>
      <c r="I1036" s="107"/>
      <c r="J1036" s="107"/>
      <c r="K1036" s="107"/>
      <c r="L1036" s="107"/>
      <c r="M1036" s="108"/>
    </row>
    <row r="1037" spans="1:13" ht="9.75" customHeight="1" thickBot="1">
      <c r="A1037" s="109"/>
      <c r="B1037" s="110"/>
      <c r="C1037" s="110"/>
      <c r="D1037" s="110"/>
      <c r="E1037" s="110"/>
      <c r="F1037" s="110"/>
      <c r="G1037" s="110"/>
      <c r="H1037" s="110"/>
      <c r="I1037" s="110"/>
      <c r="J1037" s="110"/>
      <c r="K1037" s="110"/>
      <c r="L1037" s="110"/>
      <c r="M1037" s="111"/>
    </row>
    <row r="1038" spans="1:13" ht="18.75" customHeight="1" thickBot="1">
      <c r="A1038" s="72" t="s">
        <v>30</v>
      </c>
      <c r="B1038" s="73"/>
      <c r="C1038" s="73"/>
      <c r="D1038" s="73"/>
      <c r="E1038" s="73"/>
      <c r="F1038" s="73"/>
      <c r="G1038" s="73"/>
      <c r="H1038" s="73"/>
      <c r="I1038" s="73"/>
      <c r="J1038" s="73"/>
      <c r="K1038" s="73"/>
      <c r="L1038" s="73"/>
      <c r="M1038" s="74"/>
    </row>
    <row r="1039" spans="1:13" ht="24" customHeight="1" thickBot="1">
      <c r="A1039" s="72" t="s">
        <v>31</v>
      </c>
      <c r="B1039" s="73"/>
      <c r="C1039" s="73"/>
      <c r="D1039" s="73"/>
      <c r="E1039" s="73"/>
      <c r="F1039" s="73"/>
      <c r="G1039" s="73"/>
      <c r="H1039" s="73"/>
      <c r="I1039" s="73"/>
      <c r="J1039" s="73"/>
      <c r="K1039" s="73"/>
      <c r="L1039" s="73"/>
      <c r="M1039" s="74"/>
    </row>
    <row r="1040" spans="1:13" ht="24" customHeight="1" thickBot="1">
      <c r="A1040" s="72" t="s">
        <v>129</v>
      </c>
      <c r="B1040" s="73"/>
      <c r="C1040" s="73"/>
      <c r="D1040" s="73"/>
      <c r="E1040" s="73"/>
      <c r="F1040" s="73"/>
      <c r="G1040" s="73"/>
      <c r="H1040" s="73"/>
      <c r="I1040" s="73"/>
      <c r="J1040" s="73"/>
      <c r="K1040" s="73"/>
      <c r="L1040" s="73"/>
      <c r="M1040" s="74"/>
    </row>
    <row r="1041" spans="1:15" ht="24" customHeight="1" thickBot="1">
      <c r="A1041" s="60" t="s">
        <v>46</v>
      </c>
      <c r="B1041" s="61"/>
      <c r="C1041" s="61"/>
      <c r="D1041" s="61"/>
      <c r="E1041" s="61"/>
      <c r="F1041" s="61"/>
      <c r="G1041" s="61"/>
      <c r="H1041" s="61"/>
      <c r="I1041" s="61"/>
      <c r="J1041" s="61"/>
      <c r="K1041" s="61"/>
      <c r="L1041" s="61"/>
      <c r="M1041" s="62"/>
    </row>
    <row r="1042" spans="1:15" ht="11.1" customHeight="1">
      <c r="A1042" s="103" t="s">
        <v>47</v>
      </c>
      <c r="B1042" s="103"/>
      <c r="C1042" s="103"/>
      <c r="D1042" s="103"/>
      <c r="E1042" s="103"/>
      <c r="F1042" s="103"/>
      <c r="G1042" s="103"/>
      <c r="H1042" s="103"/>
      <c r="I1042" s="103"/>
      <c r="J1042" s="103"/>
      <c r="K1042" s="103"/>
      <c r="L1042" s="103"/>
      <c r="M1042" s="103"/>
    </row>
    <row r="1043" spans="1:15" ht="11.1" customHeight="1">
      <c r="A1043" s="104" t="s">
        <v>48</v>
      </c>
      <c r="B1043" s="104"/>
      <c r="C1043" s="104"/>
      <c r="D1043" s="104"/>
      <c r="E1043" s="104"/>
      <c r="F1043" s="104"/>
      <c r="G1043" s="104"/>
      <c r="H1043" s="104"/>
      <c r="I1043" s="104"/>
      <c r="J1043" s="104"/>
      <c r="K1043" s="104"/>
      <c r="L1043" s="104"/>
      <c r="M1043" s="104"/>
    </row>
    <row r="1044" spans="1:15" ht="11.1" customHeight="1">
      <c r="A1044" s="105" t="s">
        <v>49</v>
      </c>
      <c r="B1044" s="105"/>
      <c r="C1044" s="105"/>
      <c r="D1044" s="105"/>
      <c r="E1044" s="105"/>
      <c r="F1044" s="105"/>
      <c r="G1044" s="105"/>
      <c r="H1044" s="105"/>
      <c r="I1044" s="105"/>
      <c r="J1044" s="105"/>
      <c r="K1044" s="105"/>
      <c r="L1044" s="105"/>
      <c r="M1044" s="105"/>
    </row>
    <row r="1045" spans="1:15" ht="11.1" customHeight="1">
      <c r="A1045" s="105" t="s">
        <v>50</v>
      </c>
      <c r="B1045" s="105"/>
      <c r="C1045" s="105"/>
      <c r="D1045" s="105"/>
      <c r="E1045" s="105"/>
      <c r="F1045" s="105"/>
      <c r="G1045" s="105"/>
      <c r="H1045" s="105"/>
      <c r="I1045" s="105"/>
      <c r="J1045" s="105"/>
      <c r="K1045" s="105"/>
      <c r="L1045" s="105"/>
      <c r="M1045" s="105"/>
    </row>
    <row r="1046" spans="1:15" ht="11.1" customHeight="1">
      <c r="A1046" s="104" t="s">
        <v>51</v>
      </c>
      <c r="B1046" s="104"/>
      <c r="C1046" s="104"/>
      <c r="D1046" s="104"/>
      <c r="E1046" s="104"/>
      <c r="F1046" s="104"/>
      <c r="G1046" s="104"/>
      <c r="H1046" s="104"/>
      <c r="I1046" s="104"/>
      <c r="J1046" s="104"/>
      <c r="K1046" s="104"/>
      <c r="L1046" s="104"/>
      <c r="M1046" s="104"/>
    </row>
    <row r="1047" spans="1:15" ht="11.1" customHeight="1">
      <c r="A1047" s="104" t="s">
        <v>52</v>
      </c>
      <c r="B1047" s="104"/>
      <c r="C1047" s="104"/>
      <c r="D1047" s="104"/>
      <c r="E1047" s="104"/>
      <c r="F1047" s="104"/>
      <c r="G1047" s="104"/>
      <c r="H1047" s="104"/>
      <c r="I1047" s="104"/>
      <c r="J1047" s="104"/>
      <c r="K1047" s="104"/>
      <c r="L1047" s="104"/>
      <c r="M1047" s="104"/>
    </row>
    <row r="1048" spans="1:15" ht="11.1" customHeight="1">
      <c r="A1048" s="104" t="s">
        <v>53</v>
      </c>
      <c r="B1048" s="104"/>
      <c r="C1048" s="104"/>
      <c r="D1048" s="104"/>
      <c r="E1048" s="104"/>
      <c r="F1048" s="104"/>
      <c r="G1048" s="104"/>
      <c r="H1048" s="104"/>
      <c r="I1048" s="104"/>
      <c r="J1048" s="104"/>
      <c r="K1048" s="104"/>
      <c r="L1048" s="104"/>
      <c r="M1048" s="104"/>
    </row>
    <row r="1049" spans="1:15" ht="11.1" customHeight="1">
      <c r="A1049" s="101" t="s">
        <v>54</v>
      </c>
      <c r="B1049" s="101"/>
      <c r="C1049" s="101"/>
      <c r="D1049" s="101"/>
      <c r="E1049" s="101"/>
      <c r="F1049" s="101"/>
      <c r="G1049" s="101"/>
      <c r="H1049" s="101"/>
      <c r="I1049" s="101"/>
      <c r="J1049" s="101"/>
      <c r="K1049" s="101"/>
      <c r="L1049" s="101"/>
      <c r="M1049" s="101"/>
    </row>
    <row r="1050" spans="1:15" ht="11.1" customHeight="1">
      <c r="A1050" s="101" t="s">
        <v>55</v>
      </c>
      <c r="B1050" s="101"/>
      <c r="C1050" s="101"/>
      <c r="D1050" s="101"/>
      <c r="E1050" s="101"/>
      <c r="F1050" s="101"/>
      <c r="G1050" s="101"/>
      <c r="H1050" s="101"/>
      <c r="I1050" s="101"/>
      <c r="J1050" s="101"/>
      <c r="K1050" s="101"/>
      <c r="L1050" s="101"/>
      <c r="M1050" s="101"/>
    </row>
    <row r="1051" spans="1:15" ht="19.5" customHeight="1">
      <c r="A1051" s="69" t="s">
        <v>0</v>
      </c>
      <c r="B1051" s="69"/>
      <c r="C1051" s="69"/>
      <c r="D1051" s="69"/>
      <c r="E1051" s="69"/>
      <c r="F1051" s="69"/>
      <c r="G1051" s="69"/>
      <c r="H1051" s="69"/>
      <c r="I1051" s="69"/>
      <c r="J1051" s="69"/>
      <c r="K1051" s="69"/>
      <c r="L1051" s="69"/>
      <c r="M1051" s="69"/>
    </row>
    <row r="1052" spans="1:15" ht="20.100000000000001" customHeight="1">
      <c r="A1052" s="4" t="s">
        <v>32</v>
      </c>
      <c r="B1052" s="5">
        <f>+B1008+1</f>
        <v>60</v>
      </c>
      <c r="C1052" s="30"/>
      <c r="D1052" s="30"/>
      <c r="E1052" s="30"/>
      <c r="F1052" s="30"/>
      <c r="G1052" s="30"/>
      <c r="H1052" s="30"/>
      <c r="I1052" s="30"/>
      <c r="J1052" s="30"/>
      <c r="K1052" s="30"/>
      <c r="L1052" s="30"/>
      <c r="M1052" s="30"/>
    </row>
    <row r="1053" spans="1:15" ht="24" customHeight="1" thickBot="1">
      <c r="A1053" s="4" t="s">
        <v>33</v>
      </c>
      <c r="H1053" s="70" t="s">
        <v>34</v>
      </c>
      <c r="I1053" s="70"/>
      <c r="J1053" s="70"/>
      <c r="K1053" s="102">
        <f>+K1009+1</f>
        <v>45986</v>
      </c>
      <c r="L1053" s="102"/>
      <c r="M1053" s="102"/>
      <c r="O1053" s="7"/>
    </row>
    <row r="1054" spans="1:15" ht="33.75" customHeight="1" thickBot="1">
      <c r="A1054" s="80" t="s">
        <v>1</v>
      </c>
      <c r="B1054" s="81"/>
      <c r="C1054" s="82"/>
      <c r="D1054" s="86" t="str">
        <f>+D1010</f>
        <v>光明國中B與C區5樓老舊廁所整修工程</v>
      </c>
      <c r="E1054" s="87"/>
      <c r="F1054" s="87"/>
      <c r="G1054" s="88"/>
      <c r="H1054" s="80" t="s">
        <v>2</v>
      </c>
      <c r="I1054" s="81"/>
      <c r="J1054" s="82"/>
      <c r="K1054" s="80" t="s">
        <v>35</v>
      </c>
      <c r="L1054" s="81"/>
      <c r="M1054" s="82"/>
    </row>
    <row r="1055" spans="1:15" ht="33.75" customHeight="1" thickBot="1">
      <c r="A1055" s="8" t="s">
        <v>3</v>
      </c>
      <c r="B1055" s="29">
        <f>+B1011</f>
        <v>143</v>
      </c>
      <c r="C1055" s="10" t="s">
        <v>36</v>
      </c>
      <c r="D1055" s="80" t="s">
        <v>4</v>
      </c>
      <c r="E1055" s="89"/>
      <c r="F1055" s="31">
        <f>+F1011+1</f>
        <v>60</v>
      </c>
      <c r="G1055" s="12" t="s">
        <v>36</v>
      </c>
      <c r="H1055" s="13" t="s">
        <v>5</v>
      </c>
      <c r="I1055" s="29">
        <f>+B1055-F1055</f>
        <v>83</v>
      </c>
      <c r="J1055" s="10" t="s">
        <v>36</v>
      </c>
      <c r="K1055" s="80" t="s">
        <v>6</v>
      </c>
      <c r="L1055" s="82"/>
      <c r="M1055" s="13">
        <f>+M1011</f>
        <v>13</v>
      </c>
    </row>
    <row r="1056" spans="1:15" ht="24" customHeight="1" thickBot="1">
      <c r="A1056" s="80" t="s">
        <v>7</v>
      </c>
      <c r="B1056" s="81"/>
      <c r="C1056" s="82"/>
      <c r="D1056" s="80" t="str">
        <f>+D1012</f>
        <v>114.9.27</v>
      </c>
      <c r="E1056" s="81"/>
      <c r="F1056" s="81"/>
      <c r="G1056" s="82"/>
      <c r="H1056" s="80" t="s">
        <v>8</v>
      </c>
      <c r="I1056" s="81"/>
      <c r="J1056" s="82"/>
      <c r="K1056" s="80" t="str">
        <f>+K1012</f>
        <v>115.2.16</v>
      </c>
      <c r="L1056" s="81"/>
      <c r="M1056" s="82"/>
    </row>
    <row r="1057" spans="1:13" ht="24" customHeight="1" thickBot="1">
      <c r="A1057" s="80" t="s">
        <v>37</v>
      </c>
      <c r="B1057" s="81"/>
      <c r="C1057" s="82"/>
      <c r="D1057" s="83">
        <v>0.26400000000000001</v>
      </c>
      <c r="E1057" s="84"/>
      <c r="F1057" s="84"/>
      <c r="G1057" s="85"/>
      <c r="H1057" s="80" t="s">
        <v>38</v>
      </c>
      <c r="I1057" s="81"/>
      <c r="J1057" s="82"/>
      <c r="K1057" s="83">
        <f>+K1013+0.8%</f>
        <v>0.33200000000000013</v>
      </c>
      <c r="L1057" s="84"/>
      <c r="M1057" s="85"/>
    </row>
    <row r="1058" spans="1:13" ht="24" customHeight="1" thickBot="1">
      <c r="A1058" s="72" t="s">
        <v>9</v>
      </c>
      <c r="B1058" s="73"/>
      <c r="C1058" s="73"/>
      <c r="D1058" s="73"/>
      <c r="E1058" s="73"/>
      <c r="F1058" s="73"/>
      <c r="G1058" s="73"/>
      <c r="H1058" s="73"/>
      <c r="I1058" s="73"/>
      <c r="J1058" s="73"/>
      <c r="K1058" s="73"/>
      <c r="L1058" s="73"/>
      <c r="M1058" s="74"/>
    </row>
    <row r="1059" spans="1:13" ht="35.25" customHeight="1" thickBot="1">
      <c r="A1059" s="75" t="s">
        <v>10</v>
      </c>
      <c r="B1059" s="76"/>
      <c r="C1059" s="76"/>
      <c r="D1059" s="77"/>
      <c r="E1059" s="14" t="s">
        <v>11</v>
      </c>
      <c r="F1059" s="75" t="s">
        <v>12</v>
      </c>
      <c r="G1059" s="77"/>
      <c r="H1059" s="75" t="s">
        <v>13</v>
      </c>
      <c r="I1059" s="77"/>
      <c r="J1059" s="78" t="s">
        <v>14</v>
      </c>
      <c r="K1059" s="79"/>
      <c r="L1059" s="75" t="s">
        <v>15</v>
      </c>
      <c r="M1059" s="77"/>
    </row>
    <row r="1060" spans="1:13" ht="27.95" customHeight="1" thickBot="1">
      <c r="A1060" s="141" t="s">
        <v>123</v>
      </c>
      <c r="B1060" s="142"/>
      <c r="C1060" s="142"/>
      <c r="D1060" s="143"/>
      <c r="E1060" s="49" t="s">
        <v>118</v>
      </c>
      <c r="F1060" s="56">
        <v>160</v>
      </c>
      <c r="G1060" s="57"/>
      <c r="H1060" s="56">
        <v>50</v>
      </c>
      <c r="I1060" s="57"/>
      <c r="J1060" s="56">
        <v>100</v>
      </c>
      <c r="K1060" s="57"/>
      <c r="L1060" s="58"/>
      <c r="M1060" s="59"/>
    </row>
    <row r="1061" spans="1:13" ht="27.95" customHeight="1" thickBot="1">
      <c r="A1061" s="141"/>
      <c r="B1061" s="142"/>
      <c r="C1061" s="142"/>
      <c r="D1061" s="143"/>
      <c r="E1061" s="15"/>
      <c r="F1061" s="56"/>
      <c r="G1061" s="57"/>
      <c r="H1061" s="56"/>
      <c r="I1061" s="57"/>
      <c r="J1061" s="56"/>
      <c r="K1061" s="57"/>
      <c r="L1061" s="58"/>
      <c r="M1061" s="59"/>
    </row>
    <row r="1062" spans="1:13" ht="24.95" customHeight="1" thickTop="1" thickBot="1">
      <c r="A1062" s="130" t="s">
        <v>16</v>
      </c>
      <c r="B1062" s="67"/>
      <c r="C1062" s="67"/>
      <c r="D1062" s="68"/>
      <c r="E1062" s="32"/>
      <c r="F1062" s="131"/>
      <c r="G1062" s="132"/>
      <c r="H1062" s="131"/>
      <c r="I1062" s="132"/>
      <c r="J1062" s="131"/>
      <c r="K1062" s="132"/>
      <c r="L1062" s="131"/>
      <c r="M1062" s="133"/>
    </row>
    <row r="1063" spans="1:13" ht="24.95" customHeight="1" thickBot="1">
      <c r="A1063" s="134" t="s">
        <v>17</v>
      </c>
      <c r="B1063" s="135"/>
      <c r="C1063" s="135"/>
      <c r="D1063" s="59"/>
      <c r="E1063" s="32"/>
      <c r="F1063" s="58"/>
      <c r="G1063" s="59"/>
      <c r="H1063" s="58"/>
      <c r="I1063" s="59"/>
      <c r="J1063" s="58"/>
      <c r="K1063" s="59"/>
      <c r="L1063" s="58"/>
      <c r="M1063" s="136"/>
    </row>
    <row r="1064" spans="1:13" ht="24.95" customHeight="1" thickBot="1">
      <c r="A1064" s="118" t="s">
        <v>18</v>
      </c>
      <c r="B1064" s="119"/>
      <c r="C1064" s="119"/>
      <c r="D1064" s="120"/>
      <c r="E1064" s="24"/>
      <c r="F1064" s="121"/>
      <c r="G1064" s="120"/>
      <c r="H1064" s="121"/>
      <c r="I1064" s="120"/>
      <c r="J1064" s="121"/>
      <c r="K1064" s="120"/>
      <c r="L1064" s="121"/>
      <c r="M1064" s="122"/>
    </row>
    <row r="1065" spans="1:13" ht="24" customHeight="1" thickTop="1" thickBot="1">
      <c r="A1065" s="66" t="s">
        <v>19</v>
      </c>
      <c r="B1065" s="67"/>
      <c r="C1065" s="67"/>
      <c r="D1065" s="67"/>
      <c r="E1065" s="67"/>
      <c r="F1065" s="67"/>
      <c r="G1065" s="67"/>
      <c r="H1065" s="67"/>
      <c r="I1065" s="67"/>
      <c r="J1065" s="67"/>
      <c r="K1065" s="67"/>
      <c r="L1065" s="67"/>
      <c r="M1065" s="68"/>
    </row>
    <row r="1066" spans="1:13" ht="35.25" customHeight="1" thickBot="1">
      <c r="A1066" s="75" t="s">
        <v>20</v>
      </c>
      <c r="B1066" s="76"/>
      <c r="C1066" s="76"/>
      <c r="D1066" s="77"/>
      <c r="E1066" s="14" t="s">
        <v>11</v>
      </c>
      <c r="F1066" s="75" t="s">
        <v>39</v>
      </c>
      <c r="G1066" s="77"/>
      <c r="H1066" s="75" t="s">
        <v>21</v>
      </c>
      <c r="I1066" s="77"/>
      <c r="J1066" s="78" t="s">
        <v>22</v>
      </c>
      <c r="K1066" s="79"/>
      <c r="L1066" s="75" t="s">
        <v>15</v>
      </c>
      <c r="M1066" s="77"/>
    </row>
    <row r="1067" spans="1:13" ht="24" customHeight="1" thickBot="1">
      <c r="A1067" s="96"/>
      <c r="B1067" s="97"/>
      <c r="C1067" s="97"/>
      <c r="D1067" s="98"/>
      <c r="E1067" s="32"/>
      <c r="F1067" s="58"/>
      <c r="G1067" s="59"/>
      <c r="H1067" s="58"/>
      <c r="I1067" s="59"/>
      <c r="J1067" s="56"/>
      <c r="K1067" s="57"/>
      <c r="L1067" s="58"/>
      <c r="M1067" s="59"/>
    </row>
    <row r="1068" spans="1:13" ht="24" customHeight="1" thickBot="1">
      <c r="A1068" s="96"/>
      <c r="B1068" s="97"/>
      <c r="C1068" s="97"/>
      <c r="D1068" s="98"/>
      <c r="E1068" s="32"/>
      <c r="F1068" s="58"/>
      <c r="G1068" s="59"/>
      <c r="H1068" s="58"/>
      <c r="I1068" s="59"/>
      <c r="J1068" s="56"/>
      <c r="K1068" s="57"/>
      <c r="L1068" s="58"/>
      <c r="M1068" s="59"/>
    </row>
    <row r="1069" spans="1:13" ht="24" customHeight="1" thickBot="1">
      <c r="A1069" s="60" t="s">
        <v>23</v>
      </c>
      <c r="B1069" s="61"/>
      <c r="C1069" s="61"/>
      <c r="D1069" s="61"/>
      <c r="E1069" s="61"/>
      <c r="F1069" s="61"/>
      <c r="G1069" s="61"/>
      <c r="H1069" s="61"/>
      <c r="I1069" s="61"/>
      <c r="J1069" s="61"/>
      <c r="K1069" s="61"/>
      <c r="L1069" s="61"/>
      <c r="M1069" s="62"/>
    </row>
    <row r="1070" spans="1:13" ht="35.25" customHeight="1" thickBot="1">
      <c r="A1070" s="75" t="s">
        <v>24</v>
      </c>
      <c r="B1070" s="77"/>
      <c r="C1070" s="75" t="s">
        <v>25</v>
      </c>
      <c r="D1070" s="77"/>
      <c r="E1070" s="75" t="s">
        <v>26</v>
      </c>
      <c r="F1070" s="76"/>
      <c r="G1070" s="77"/>
      <c r="H1070" s="75" t="s">
        <v>27</v>
      </c>
      <c r="I1070" s="77"/>
      <c r="J1070" s="78" t="s">
        <v>21</v>
      </c>
      <c r="K1070" s="79"/>
      <c r="L1070" s="75" t="s">
        <v>22</v>
      </c>
      <c r="M1070" s="77"/>
    </row>
    <row r="1071" spans="1:13" s="18" customFormat="1" ht="24.75" customHeight="1" thickBot="1">
      <c r="A1071" s="99" t="s">
        <v>119</v>
      </c>
      <c r="B1071" s="98"/>
      <c r="C1071" s="56">
        <v>2</v>
      </c>
      <c r="D1071" s="57"/>
      <c r="E1071" s="56">
        <v>34</v>
      </c>
      <c r="F1071" s="100"/>
      <c r="G1071" s="57"/>
      <c r="H1071" s="56"/>
      <c r="I1071" s="57"/>
      <c r="J1071" s="56"/>
      <c r="K1071" s="57"/>
      <c r="L1071" s="56"/>
      <c r="M1071" s="57"/>
    </row>
    <row r="1072" spans="1:13" s="18" customFormat="1" ht="24.75" customHeight="1" thickBot="1">
      <c r="A1072" s="99"/>
      <c r="B1072" s="98"/>
      <c r="C1072" s="56"/>
      <c r="D1072" s="57"/>
      <c r="E1072" s="56"/>
      <c r="F1072" s="100"/>
      <c r="G1072" s="57"/>
      <c r="H1072" s="56"/>
      <c r="I1072" s="57"/>
      <c r="J1072" s="56"/>
      <c r="K1072" s="57"/>
      <c r="L1072" s="56"/>
      <c r="M1072" s="57"/>
    </row>
    <row r="1073" spans="1:13" ht="33" customHeight="1" thickBot="1">
      <c r="A1073" s="112" t="s">
        <v>40</v>
      </c>
      <c r="B1073" s="113"/>
      <c r="C1073" s="113"/>
      <c r="D1073" s="113"/>
      <c r="E1073" s="113"/>
      <c r="F1073" s="113"/>
      <c r="G1073" s="113"/>
      <c r="H1073" s="113"/>
      <c r="I1073" s="113"/>
      <c r="J1073" s="113"/>
      <c r="K1073" s="113"/>
      <c r="L1073" s="113"/>
      <c r="M1073" s="114"/>
    </row>
    <row r="1074" spans="1:13" ht="16.5" customHeight="1">
      <c r="A1074" s="115" t="s">
        <v>41</v>
      </c>
      <c r="B1074" s="116"/>
      <c r="C1074" s="116"/>
      <c r="D1074" s="116"/>
      <c r="E1074" s="116"/>
      <c r="F1074" s="116"/>
      <c r="G1074" s="116"/>
      <c r="H1074" s="116"/>
      <c r="I1074" s="116"/>
      <c r="J1074" s="116"/>
      <c r="K1074" s="116"/>
      <c r="L1074" s="116"/>
      <c r="M1074" s="117"/>
    </row>
    <row r="1075" spans="1:13" ht="16.5" customHeight="1">
      <c r="A1075" s="90" t="s">
        <v>28</v>
      </c>
      <c r="B1075" s="91"/>
      <c r="C1075" s="91"/>
      <c r="D1075" s="91"/>
      <c r="E1075" s="91"/>
      <c r="F1075" s="91"/>
      <c r="G1075" s="91"/>
      <c r="H1075" s="91"/>
      <c r="I1075" s="91"/>
      <c r="J1075" s="91"/>
      <c r="K1075" s="91"/>
      <c r="L1075" s="91"/>
      <c r="M1075" s="92"/>
    </row>
    <row r="1076" spans="1:13" s="1" customFormat="1" ht="16.5" customHeight="1">
      <c r="A1076" s="93" t="s">
        <v>56</v>
      </c>
      <c r="B1076" s="94"/>
      <c r="C1076" s="94"/>
      <c r="D1076" s="94"/>
      <c r="E1076" s="94"/>
      <c r="F1076" s="94"/>
      <c r="G1076" s="94"/>
      <c r="H1076" s="94"/>
      <c r="I1076" s="94"/>
      <c r="J1076" s="94"/>
      <c r="K1076" s="94"/>
      <c r="L1076" s="94"/>
      <c r="M1076" s="95"/>
    </row>
    <row r="1077" spans="1:13" s="1" customFormat="1" ht="16.5" customHeight="1">
      <c r="A1077" s="93" t="s">
        <v>57</v>
      </c>
      <c r="B1077" s="94"/>
      <c r="C1077" s="94"/>
      <c r="D1077" s="94"/>
      <c r="E1077" s="94"/>
      <c r="F1077" s="94"/>
      <c r="G1077" s="94"/>
      <c r="H1077" s="94"/>
      <c r="I1077" s="94"/>
      <c r="J1077" s="94"/>
      <c r="K1077" s="94"/>
      <c r="L1077" s="94"/>
      <c r="M1077" s="95"/>
    </row>
    <row r="1078" spans="1:13" s="1" customFormat="1" ht="16.5" customHeight="1">
      <c r="A1078" s="93" t="s">
        <v>58</v>
      </c>
      <c r="B1078" s="94"/>
      <c r="C1078" s="94"/>
      <c r="D1078" s="94"/>
      <c r="E1078" s="94"/>
      <c r="F1078" s="94"/>
      <c r="G1078" s="94"/>
      <c r="H1078" s="94"/>
      <c r="I1078" s="94"/>
      <c r="J1078" s="94"/>
      <c r="K1078" s="94"/>
      <c r="L1078" s="94"/>
      <c r="M1078" s="95"/>
    </row>
    <row r="1079" spans="1:13" s="1" customFormat="1" ht="16.5" customHeight="1">
      <c r="A1079" s="93" t="s">
        <v>59</v>
      </c>
      <c r="B1079" s="94"/>
      <c r="C1079" s="94"/>
      <c r="D1079" s="94"/>
      <c r="E1079" s="94"/>
      <c r="F1079" s="94"/>
      <c r="G1079" s="94"/>
      <c r="H1079" s="94"/>
      <c r="I1079" s="94"/>
      <c r="J1079" s="94"/>
      <c r="K1079" s="94"/>
      <c r="L1079" s="94"/>
      <c r="M1079" s="95"/>
    </row>
    <row r="1080" spans="1:13" ht="16.5" customHeight="1">
      <c r="A1080" s="106" t="s">
        <v>29</v>
      </c>
      <c r="B1080" s="107"/>
      <c r="C1080" s="107"/>
      <c r="D1080" s="107"/>
      <c r="E1080" s="107"/>
      <c r="F1080" s="107"/>
      <c r="G1080" s="107"/>
      <c r="H1080" s="107"/>
      <c r="I1080" s="107"/>
      <c r="J1080" s="107"/>
      <c r="K1080" s="107"/>
      <c r="L1080" s="107"/>
      <c r="M1080" s="108"/>
    </row>
    <row r="1081" spans="1:13" ht="9.75" customHeight="1" thickBot="1">
      <c r="A1081" s="109"/>
      <c r="B1081" s="110"/>
      <c r="C1081" s="110"/>
      <c r="D1081" s="110"/>
      <c r="E1081" s="110"/>
      <c r="F1081" s="110"/>
      <c r="G1081" s="110"/>
      <c r="H1081" s="110"/>
      <c r="I1081" s="110"/>
      <c r="J1081" s="110"/>
      <c r="K1081" s="110"/>
      <c r="L1081" s="110"/>
      <c r="M1081" s="111"/>
    </row>
    <row r="1082" spans="1:13" ht="18.75" customHeight="1" thickBot="1">
      <c r="A1082" s="72" t="s">
        <v>30</v>
      </c>
      <c r="B1082" s="73"/>
      <c r="C1082" s="73"/>
      <c r="D1082" s="73"/>
      <c r="E1082" s="73"/>
      <c r="F1082" s="73"/>
      <c r="G1082" s="73"/>
      <c r="H1082" s="73"/>
      <c r="I1082" s="73"/>
      <c r="J1082" s="73"/>
      <c r="K1082" s="73"/>
      <c r="L1082" s="73"/>
      <c r="M1082" s="74"/>
    </row>
    <row r="1083" spans="1:13" ht="24" customHeight="1" thickBot="1">
      <c r="A1083" s="72" t="s">
        <v>31</v>
      </c>
      <c r="B1083" s="73"/>
      <c r="C1083" s="73"/>
      <c r="D1083" s="73"/>
      <c r="E1083" s="73"/>
      <c r="F1083" s="73"/>
      <c r="G1083" s="73"/>
      <c r="H1083" s="73"/>
      <c r="I1083" s="73"/>
      <c r="J1083" s="73"/>
      <c r="K1083" s="73"/>
      <c r="L1083" s="73"/>
      <c r="M1083" s="74"/>
    </row>
    <row r="1084" spans="1:13" ht="24" customHeight="1" thickBot="1">
      <c r="A1084" s="72" t="s">
        <v>150</v>
      </c>
      <c r="B1084" s="73"/>
      <c r="C1084" s="73"/>
      <c r="D1084" s="73"/>
      <c r="E1084" s="73"/>
      <c r="F1084" s="73"/>
      <c r="G1084" s="73"/>
      <c r="H1084" s="73"/>
      <c r="I1084" s="73"/>
      <c r="J1084" s="73"/>
      <c r="K1084" s="73"/>
      <c r="L1084" s="73"/>
      <c r="M1084" s="74"/>
    </row>
    <row r="1085" spans="1:13" ht="24" customHeight="1" thickBot="1">
      <c r="A1085" s="60" t="s">
        <v>46</v>
      </c>
      <c r="B1085" s="61"/>
      <c r="C1085" s="61"/>
      <c r="D1085" s="61"/>
      <c r="E1085" s="61"/>
      <c r="F1085" s="61"/>
      <c r="G1085" s="61"/>
      <c r="H1085" s="61"/>
      <c r="I1085" s="61"/>
      <c r="J1085" s="61"/>
      <c r="K1085" s="61"/>
      <c r="L1085" s="61"/>
      <c r="M1085" s="62"/>
    </row>
    <row r="1086" spans="1:13" ht="11.1" customHeight="1">
      <c r="A1086" s="103" t="s">
        <v>47</v>
      </c>
      <c r="B1086" s="103"/>
      <c r="C1086" s="103"/>
      <c r="D1086" s="103"/>
      <c r="E1086" s="103"/>
      <c r="F1086" s="103"/>
      <c r="G1086" s="103"/>
      <c r="H1086" s="103"/>
      <c r="I1086" s="103"/>
      <c r="J1086" s="103"/>
      <c r="K1086" s="103"/>
      <c r="L1086" s="103"/>
      <c r="M1086" s="103"/>
    </row>
    <row r="1087" spans="1:13" ht="11.1" customHeight="1">
      <c r="A1087" s="104" t="s">
        <v>48</v>
      </c>
      <c r="B1087" s="104"/>
      <c r="C1087" s="104"/>
      <c r="D1087" s="104"/>
      <c r="E1087" s="104"/>
      <c r="F1087" s="104"/>
      <c r="G1087" s="104"/>
      <c r="H1087" s="104"/>
      <c r="I1087" s="104"/>
      <c r="J1087" s="104"/>
      <c r="K1087" s="104"/>
      <c r="L1087" s="104"/>
      <c r="M1087" s="104"/>
    </row>
    <row r="1088" spans="1:13" ht="11.1" customHeight="1">
      <c r="A1088" s="105" t="s">
        <v>49</v>
      </c>
      <c r="B1088" s="105"/>
      <c r="C1088" s="105"/>
      <c r="D1088" s="105"/>
      <c r="E1088" s="105"/>
      <c r="F1088" s="105"/>
      <c r="G1088" s="105"/>
      <c r="H1088" s="105"/>
      <c r="I1088" s="105"/>
      <c r="J1088" s="105"/>
      <c r="K1088" s="105"/>
      <c r="L1088" s="105"/>
      <c r="M1088" s="105"/>
    </row>
    <row r="1089" spans="1:15" ht="11.1" customHeight="1">
      <c r="A1089" s="105" t="s">
        <v>50</v>
      </c>
      <c r="B1089" s="105"/>
      <c r="C1089" s="105"/>
      <c r="D1089" s="105"/>
      <c r="E1089" s="105"/>
      <c r="F1089" s="105"/>
      <c r="G1089" s="105"/>
      <c r="H1089" s="105"/>
      <c r="I1089" s="105"/>
      <c r="J1089" s="105"/>
      <c r="K1089" s="105"/>
      <c r="L1089" s="105"/>
      <c r="M1089" s="105"/>
    </row>
    <row r="1090" spans="1:15" ht="11.1" customHeight="1">
      <c r="A1090" s="104" t="s">
        <v>51</v>
      </c>
      <c r="B1090" s="104"/>
      <c r="C1090" s="104"/>
      <c r="D1090" s="104"/>
      <c r="E1090" s="104"/>
      <c r="F1090" s="104"/>
      <c r="G1090" s="104"/>
      <c r="H1090" s="104"/>
      <c r="I1090" s="104"/>
      <c r="J1090" s="104"/>
      <c r="K1090" s="104"/>
      <c r="L1090" s="104"/>
      <c r="M1090" s="104"/>
    </row>
    <row r="1091" spans="1:15" ht="11.1" customHeight="1">
      <c r="A1091" s="104" t="s">
        <v>52</v>
      </c>
      <c r="B1091" s="104"/>
      <c r="C1091" s="104"/>
      <c r="D1091" s="104"/>
      <c r="E1091" s="104"/>
      <c r="F1091" s="104"/>
      <c r="G1091" s="104"/>
      <c r="H1091" s="104"/>
      <c r="I1091" s="104"/>
      <c r="J1091" s="104"/>
      <c r="K1091" s="104"/>
      <c r="L1091" s="104"/>
      <c r="M1091" s="104"/>
    </row>
    <row r="1092" spans="1:15" ht="11.1" customHeight="1">
      <c r="A1092" s="104" t="s">
        <v>53</v>
      </c>
      <c r="B1092" s="104"/>
      <c r="C1092" s="104"/>
      <c r="D1092" s="104"/>
      <c r="E1092" s="104"/>
      <c r="F1092" s="104"/>
      <c r="G1092" s="104"/>
      <c r="H1092" s="104"/>
      <c r="I1092" s="104"/>
      <c r="J1092" s="104"/>
      <c r="K1092" s="104"/>
      <c r="L1092" s="104"/>
      <c r="M1092" s="104"/>
    </row>
    <row r="1093" spans="1:15" ht="11.1" customHeight="1">
      <c r="A1093" s="101" t="s">
        <v>54</v>
      </c>
      <c r="B1093" s="101"/>
      <c r="C1093" s="101"/>
      <c r="D1093" s="101"/>
      <c r="E1093" s="101"/>
      <c r="F1093" s="101"/>
      <c r="G1093" s="101"/>
      <c r="H1093" s="101"/>
      <c r="I1093" s="101"/>
      <c r="J1093" s="101"/>
      <c r="K1093" s="101"/>
      <c r="L1093" s="101"/>
      <c r="M1093" s="101"/>
    </row>
    <row r="1094" spans="1:15" ht="11.1" customHeight="1">
      <c r="A1094" s="101" t="s">
        <v>55</v>
      </c>
      <c r="B1094" s="101"/>
      <c r="C1094" s="101"/>
      <c r="D1094" s="101"/>
      <c r="E1094" s="101"/>
      <c r="F1094" s="101"/>
      <c r="G1094" s="101"/>
      <c r="H1094" s="101"/>
      <c r="I1094" s="101"/>
      <c r="J1094" s="101"/>
      <c r="K1094" s="101"/>
      <c r="L1094" s="101"/>
      <c r="M1094" s="101"/>
    </row>
    <row r="1095" spans="1:15" ht="19.5" customHeight="1">
      <c r="A1095" s="69" t="s">
        <v>0</v>
      </c>
      <c r="B1095" s="69"/>
      <c r="C1095" s="69"/>
      <c r="D1095" s="69"/>
      <c r="E1095" s="69"/>
      <c r="F1095" s="69"/>
      <c r="G1095" s="69"/>
      <c r="H1095" s="69"/>
      <c r="I1095" s="69"/>
      <c r="J1095" s="69"/>
      <c r="K1095" s="69"/>
      <c r="L1095" s="69"/>
      <c r="M1095" s="69"/>
    </row>
    <row r="1096" spans="1:15" ht="20.100000000000001" customHeight="1">
      <c r="A1096" s="4" t="s">
        <v>32</v>
      </c>
      <c r="B1096" s="5">
        <f>+B1052+1</f>
        <v>61</v>
      </c>
      <c r="C1096" s="30"/>
      <c r="D1096" s="30"/>
      <c r="E1096" s="30"/>
      <c r="F1096" s="30"/>
      <c r="G1096" s="30"/>
      <c r="H1096" s="30"/>
      <c r="I1096" s="30"/>
      <c r="J1096" s="30"/>
      <c r="K1096" s="30"/>
      <c r="L1096" s="30"/>
      <c r="M1096" s="30"/>
    </row>
    <row r="1097" spans="1:15" ht="24" customHeight="1" thickBot="1">
      <c r="A1097" s="4" t="s">
        <v>33</v>
      </c>
      <c r="H1097" s="70" t="s">
        <v>34</v>
      </c>
      <c r="I1097" s="70"/>
      <c r="J1097" s="70"/>
      <c r="K1097" s="102">
        <f>+K1053+1</f>
        <v>45987</v>
      </c>
      <c r="L1097" s="102"/>
      <c r="M1097" s="102"/>
      <c r="O1097" s="7"/>
    </row>
    <row r="1098" spans="1:15" ht="33.75" customHeight="1" thickBot="1">
      <c r="A1098" s="80" t="s">
        <v>1</v>
      </c>
      <c r="B1098" s="81"/>
      <c r="C1098" s="82"/>
      <c r="D1098" s="86" t="str">
        <f>+D1054</f>
        <v>光明國中B與C區5樓老舊廁所整修工程</v>
      </c>
      <c r="E1098" s="87"/>
      <c r="F1098" s="87"/>
      <c r="G1098" s="88"/>
      <c r="H1098" s="80" t="s">
        <v>2</v>
      </c>
      <c r="I1098" s="81"/>
      <c r="J1098" s="82"/>
      <c r="K1098" s="80" t="s">
        <v>35</v>
      </c>
      <c r="L1098" s="81"/>
      <c r="M1098" s="82"/>
    </row>
    <row r="1099" spans="1:15" ht="33.75" customHeight="1" thickBot="1">
      <c r="A1099" s="8" t="s">
        <v>3</v>
      </c>
      <c r="B1099" s="29">
        <f>+B1055</f>
        <v>143</v>
      </c>
      <c r="C1099" s="10" t="s">
        <v>36</v>
      </c>
      <c r="D1099" s="80" t="s">
        <v>4</v>
      </c>
      <c r="E1099" s="89"/>
      <c r="F1099" s="31">
        <f>+F1055+1</f>
        <v>61</v>
      </c>
      <c r="G1099" s="12" t="s">
        <v>36</v>
      </c>
      <c r="H1099" s="13" t="s">
        <v>5</v>
      </c>
      <c r="I1099" s="29">
        <f>+B1099-F1099</f>
        <v>82</v>
      </c>
      <c r="J1099" s="10" t="s">
        <v>36</v>
      </c>
      <c r="K1099" s="80" t="s">
        <v>6</v>
      </c>
      <c r="L1099" s="82"/>
      <c r="M1099" s="13">
        <f>+M1055</f>
        <v>13</v>
      </c>
    </row>
    <row r="1100" spans="1:15" ht="24" customHeight="1" thickBot="1">
      <c r="A1100" s="80" t="s">
        <v>7</v>
      </c>
      <c r="B1100" s="81"/>
      <c r="C1100" s="82"/>
      <c r="D1100" s="80" t="str">
        <f>+D1056</f>
        <v>114.9.27</v>
      </c>
      <c r="E1100" s="81"/>
      <c r="F1100" s="81"/>
      <c r="G1100" s="82"/>
      <c r="H1100" s="80" t="s">
        <v>8</v>
      </c>
      <c r="I1100" s="81"/>
      <c r="J1100" s="82"/>
      <c r="K1100" s="80" t="str">
        <f>+K1056</f>
        <v>115.2.16</v>
      </c>
      <c r="L1100" s="81"/>
      <c r="M1100" s="82"/>
    </row>
    <row r="1101" spans="1:15" ht="24" customHeight="1" thickBot="1">
      <c r="A1101" s="80" t="s">
        <v>37</v>
      </c>
      <c r="B1101" s="81"/>
      <c r="C1101" s="82"/>
      <c r="D1101" s="83">
        <v>0.27</v>
      </c>
      <c r="E1101" s="84"/>
      <c r="F1101" s="84"/>
      <c r="G1101" s="85"/>
      <c r="H1101" s="80" t="s">
        <v>38</v>
      </c>
      <c r="I1101" s="81"/>
      <c r="J1101" s="82"/>
      <c r="K1101" s="83">
        <f>+K1057</f>
        <v>0.33200000000000013</v>
      </c>
      <c r="L1101" s="84"/>
      <c r="M1101" s="85"/>
    </row>
    <row r="1102" spans="1:15" ht="24" customHeight="1" thickBot="1">
      <c r="A1102" s="72" t="s">
        <v>9</v>
      </c>
      <c r="B1102" s="73"/>
      <c r="C1102" s="73"/>
      <c r="D1102" s="73"/>
      <c r="E1102" s="73"/>
      <c r="F1102" s="73"/>
      <c r="G1102" s="73"/>
      <c r="H1102" s="73"/>
      <c r="I1102" s="73"/>
      <c r="J1102" s="73"/>
      <c r="K1102" s="73"/>
      <c r="L1102" s="73"/>
      <c r="M1102" s="74"/>
    </row>
    <row r="1103" spans="1:15" ht="35.25" customHeight="1" thickBot="1">
      <c r="A1103" s="75" t="s">
        <v>10</v>
      </c>
      <c r="B1103" s="76"/>
      <c r="C1103" s="76"/>
      <c r="D1103" s="77"/>
      <c r="E1103" s="14" t="s">
        <v>11</v>
      </c>
      <c r="F1103" s="75" t="s">
        <v>12</v>
      </c>
      <c r="G1103" s="77"/>
      <c r="H1103" s="75" t="s">
        <v>13</v>
      </c>
      <c r="I1103" s="77"/>
      <c r="J1103" s="78" t="s">
        <v>14</v>
      </c>
      <c r="K1103" s="79"/>
      <c r="L1103" s="75" t="s">
        <v>15</v>
      </c>
      <c r="M1103" s="77"/>
    </row>
    <row r="1104" spans="1:15" ht="27.95" customHeight="1" thickBot="1">
      <c r="A1104" s="141"/>
      <c r="B1104" s="142"/>
      <c r="C1104" s="142"/>
      <c r="D1104" s="143"/>
      <c r="E1104" s="49"/>
      <c r="F1104" s="56"/>
      <c r="G1104" s="57"/>
      <c r="H1104" s="56"/>
      <c r="I1104" s="57"/>
      <c r="J1104" s="56"/>
      <c r="K1104" s="57"/>
      <c r="L1104" s="58"/>
      <c r="M1104" s="59"/>
    </row>
    <row r="1105" spans="1:13" ht="27.95" customHeight="1" thickBot="1">
      <c r="A1105" s="141"/>
      <c r="B1105" s="142"/>
      <c r="C1105" s="142"/>
      <c r="D1105" s="143"/>
      <c r="E1105" s="15"/>
      <c r="F1105" s="56"/>
      <c r="G1105" s="57"/>
      <c r="H1105" s="56"/>
      <c r="I1105" s="57"/>
      <c r="J1105" s="56"/>
      <c r="K1105" s="57"/>
      <c r="L1105" s="58"/>
      <c r="M1105" s="59"/>
    </row>
    <row r="1106" spans="1:13" ht="24.95" customHeight="1" thickTop="1" thickBot="1">
      <c r="A1106" s="130" t="s">
        <v>16</v>
      </c>
      <c r="B1106" s="67"/>
      <c r="C1106" s="67"/>
      <c r="D1106" s="68"/>
      <c r="E1106" s="32"/>
      <c r="F1106" s="131"/>
      <c r="G1106" s="132"/>
      <c r="H1106" s="131"/>
      <c r="I1106" s="132"/>
      <c r="J1106" s="131"/>
      <c r="K1106" s="132"/>
      <c r="L1106" s="131"/>
      <c r="M1106" s="133"/>
    </row>
    <row r="1107" spans="1:13" ht="24.95" customHeight="1" thickBot="1">
      <c r="A1107" s="134" t="s">
        <v>17</v>
      </c>
      <c r="B1107" s="135"/>
      <c r="C1107" s="135"/>
      <c r="D1107" s="59"/>
      <c r="E1107" s="32"/>
      <c r="F1107" s="58"/>
      <c r="G1107" s="59"/>
      <c r="H1107" s="58"/>
      <c r="I1107" s="59"/>
      <c r="J1107" s="58"/>
      <c r="K1107" s="59"/>
      <c r="L1107" s="58"/>
      <c r="M1107" s="136"/>
    </row>
    <row r="1108" spans="1:13" ht="24.95" customHeight="1" thickBot="1">
      <c r="A1108" s="118" t="s">
        <v>18</v>
      </c>
      <c r="B1108" s="119"/>
      <c r="C1108" s="119"/>
      <c r="D1108" s="120"/>
      <c r="E1108" s="24"/>
      <c r="F1108" s="121"/>
      <c r="G1108" s="120"/>
      <c r="H1108" s="121"/>
      <c r="I1108" s="120"/>
      <c r="J1108" s="121"/>
      <c r="K1108" s="120"/>
      <c r="L1108" s="121"/>
      <c r="M1108" s="122"/>
    </row>
    <row r="1109" spans="1:13" ht="24" customHeight="1" thickTop="1" thickBot="1">
      <c r="A1109" s="66" t="s">
        <v>19</v>
      </c>
      <c r="B1109" s="67"/>
      <c r="C1109" s="67"/>
      <c r="D1109" s="67"/>
      <c r="E1109" s="67"/>
      <c r="F1109" s="67"/>
      <c r="G1109" s="67"/>
      <c r="H1109" s="67"/>
      <c r="I1109" s="67"/>
      <c r="J1109" s="67"/>
      <c r="K1109" s="67"/>
      <c r="L1109" s="67"/>
      <c r="M1109" s="68"/>
    </row>
    <row r="1110" spans="1:13" ht="35.25" customHeight="1" thickBot="1">
      <c r="A1110" s="75" t="s">
        <v>20</v>
      </c>
      <c r="B1110" s="76"/>
      <c r="C1110" s="76"/>
      <c r="D1110" s="77"/>
      <c r="E1110" s="14" t="s">
        <v>11</v>
      </c>
      <c r="F1110" s="75" t="s">
        <v>39</v>
      </c>
      <c r="G1110" s="77"/>
      <c r="H1110" s="75" t="s">
        <v>21</v>
      </c>
      <c r="I1110" s="77"/>
      <c r="J1110" s="78" t="s">
        <v>22</v>
      </c>
      <c r="K1110" s="79"/>
      <c r="L1110" s="75" t="s">
        <v>15</v>
      </c>
      <c r="M1110" s="77"/>
    </row>
    <row r="1111" spans="1:13" ht="24" customHeight="1" thickBot="1">
      <c r="A1111" s="96"/>
      <c r="B1111" s="97"/>
      <c r="C1111" s="97"/>
      <c r="D1111" s="98"/>
      <c r="E1111" s="32"/>
      <c r="F1111" s="58"/>
      <c r="G1111" s="59"/>
      <c r="H1111" s="58"/>
      <c r="I1111" s="59"/>
      <c r="J1111" s="56"/>
      <c r="K1111" s="57"/>
      <c r="L1111" s="58"/>
      <c r="M1111" s="59"/>
    </row>
    <row r="1112" spans="1:13" ht="24" customHeight="1" thickBot="1">
      <c r="A1112" s="96"/>
      <c r="B1112" s="97"/>
      <c r="C1112" s="97"/>
      <c r="D1112" s="98"/>
      <c r="E1112" s="32"/>
      <c r="F1112" s="58"/>
      <c r="G1112" s="59"/>
      <c r="H1112" s="58"/>
      <c r="I1112" s="59"/>
      <c r="J1112" s="56"/>
      <c r="K1112" s="57"/>
      <c r="L1112" s="58"/>
      <c r="M1112" s="59"/>
    </row>
    <row r="1113" spans="1:13" ht="24" customHeight="1" thickBot="1">
      <c r="A1113" s="60" t="s">
        <v>23</v>
      </c>
      <c r="B1113" s="61"/>
      <c r="C1113" s="61"/>
      <c r="D1113" s="61"/>
      <c r="E1113" s="61"/>
      <c r="F1113" s="61"/>
      <c r="G1113" s="61"/>
      <c r="H1113" s="61"/>
      <c r="I1113" s="61"/>
      <c r="J1113" s="61"/>
      <c r="K1113" s="61"/>
      <c r="L1113" s="61"/>
      <c r="M1113" s="62"/>
    </row>
    <row r="1114" spans="1:13" ht="35.25" customHeight="1" thickBot="1">
      <c r="A1114" s="75" t="s">
        <v>24</v>
      </c>
      <c r="B1114" s="77"/>
      <c r="C1114" s="75" t="s">
        <v>25</v>
      </c>
      <c r="D1114" s="77"/>
      <c r="E1114" s="75" t="s">
        <v>26</v>
      </c>
      <c r="F1114" s="76"/>
      <c r="G1114" s="77"/>
      <c r="H1114" s="75" t="s">
        <v>27</v>
      </c>
      <c r="I1114" s="77"/>
      <c r="J1114" s="78" t="s">
        <v>21</v>
      </c>
      <c r="K1114" s="79"/>
      <c r="L1114" s="75" t="s">
        <v>22</v>
      </c>
      <c r="M1114" s="77"/>
    </row>
    <row r="1115" spans="1:13" s="18" customFormat="1" ht="24.75" customHeight="1" thickBot="1">
      <c r="A1115" s="99"/>
      <c r="B1115" s="98"/>
      <c r="C1115" s="56"/>
      <c r="D1115" s="57"/>
      <c r="E1115" s="56"/>
      <c r="F1115" s="100"/>
      <c r="G1115" s="57"/>
      <c r="H1115" s="56"/>
      <c r="I1115" s="57"/>
      <c r="J1115" s="56"/>
      <c r="K1115" s="57"/>
      <c r="L1115" s="56"/>
      <c r="M1115" s="57"/>
    </row>
    <row r="1116" spans="1:13" s="18" customFormat="1" ht="24.75" customHeight="1" thickBot="1">
      <c r="A1116" s="99"/>
      <c r="B1116" s="98"/>
      <c r="C1116" s="56"/>
      <c r="D1116" s="57"/>
      <c r="E1116" s="56"/>
      <c r="F1116" s="100"/>
      <c r="G1116" s="57"/>
      <c r="H1116" s="56"/>
      <c r="I1116" s="57"/>
      <c r="J1116" s="56"/>
      <c r="K1116" s="57"/>
      <c r="L1116" s="56"/>
      <c r="M1116" s="57"/>
    </row>
    <row r="1117" spans="1:13" ht="33" customHeight="1" thickBot="1">
      <c r="A1117" s="112" t="s">
        <v>60</v>
      </c>
      <c r="B1117" s="113"/>
      <c r="C1117" s="113"/>
      <c r="D1117" s="113"/>
      <c r="E1117" s="113"/>
      <c r="F1117" s="113"/>
      <c r="G1117" s="113"/>
      <c r="H1117" s="113"/>
      <c r="I1117" s="113"/>
      <c r="J1117" s="113"/>
      <c r="K1117" s="113"/>
      <c r="L1117" s="113"/>
      <c r="M1117" s="114"/>
    </row>
    <row r="1118" spans="1:13" ht="16.5" customHeight="1">
      <c r="A1118" s="115" t="s">
        <v>41</v>
      </c>
      <c r="B1118" s="116"/>
      <c r="C1118" s="116"/>
      <c r="D1118" s="116"/>
      <c r="E1118" s="116"/>
      <c r="F1118" s="116"/>
      <c r="G1118" s="116"/>
      <c r="H1118" s="116"/>
      <c r="I1118" s="116"/>
      <c r="J1118" s="116"/>
      <c r="K1118" s="116"/>
      <c r="L1118" s="116"/>
      <c r="M1118" s="117"/>
    </row>
    <row r="1119" spans="1:13" ht="16.5" customHeight="1">
      <c r="A1119" s="90" t="s">
        <v>28</v>
      </c>
      <c r="B1119" s="91"/>
      <c r="C1119" s="91"/>
      <c r="D1119" s="91"/>
      <c r="E1119" s="91"/>
      <c r="F1119" s="91"/>
      <c r="G1119" s="91"/>
      <c r="H1119" s="91"/>
      <c r="I1119" s="91"/>
      <c r="J1119" s="91"/>
      <c r="K1119" s="91"/>
      <c r="L1119" s="91"/>
      <c r="M1119" s="92"/>
    </row>
    <row r="1120" spans="1:13" ht="16.5" customHeight="1">
      <c r="A1120" s="106" t="s">
        <v>42</v>
      </c>
      <c r="B1120" s="107"/>
      <c r="C1120" s="107"/>
      <c r="D1120" s="107"/>
      <c r="E1120" s="107"/>
      <c r="F1120" s="107"/>
      <c r="G1120" s="107"/>
      <c r="H1120" s="107"/>
      <c r="I1120" s="107"/>
      <c r="J1120" s="107"/>
      <c r="K1120" s="107"/>
      <c r="L1120" s="107"/>
      <c r="M1120" s="108"/>
    </row>
    <row r="1121" spans="1:13" ht="16.5" customHeight="1">
      <c r="A1121" s="106" t="s">
        <v>43</v>
      </c>
      <c r="B1121" s="107"/>
      <c r="C1121" s="107"/>
      <c r="D1121" s="107"/>
      <c r="E1121" s="107"/>
      <c r="F1121" s="107"/>
      <c r="G1121" s="107"/>
      <c r="H1121" s="107"/>
      <c r="I1121" s="107"/>
      <c r="J1121" s="107"/>
      <c r="K1121" s="107"/>
      <c r="L1121" s="107"/>
      <c r="M1121" s="108"/>
    </row>
    <row r="1122" spans="1:13" ht="16.5" customHeight="1">
      <c r="A1122" s="106" t="s">
        <v>44</v>
      </c>
      <c r="B1122" s="107"/>
      <c r="C1122" s="107"/>
      <c r="D1122" s="107"/>
      <c r="E1122" s="107"/>
      <c r="F1122" s="107"/>
      <c r="G1122" s="107"/>
      <c r="H1122" s="107"/>
      <c r="I1122" s="107"/>
      <c r="J1122" s="107"/>
      <c r="K1122" s="107"/>
      <c r="L1122" s="107"/>
      <c r="M1122" s="108"/>
    </row>
    <row r="1123" spans="1:13" ht="16.5" customHeight="1">
      <c r="A1123" s="106" t="s">
        <v>45</v>
      </c>
      <c r="B1123" s="107"/>
      <c r="C1123" s="107"/>
      <c r="D1123" s="107"/>
      <c r="E1123" s="107"/>
      <c r="F1123" s="107"/>
      <c r="G1123" s="107"/>
      <c r="H1123" s="107"/>
      <c r="I1123" s="107"/>
      <c r="J1123" s="107"/>
      <c r="K1123" s="107"/>
      <c r="L1123" s="107"/>
      <c r="M1123" s="108"/>
    </row>
    <row r="1124" spans="1:13" ht="16.5" customHeight="1">
      <c r="A1124" s="106" t="s">
        <v>29</v>
      </c>
      <c r="B1124" s="107"/>
      <c r="C1124" s="107"/>
      <c r="D1124" s="107"/>
      <c r="E1124" s="107"/>
      <c r="F1124" s="107"/>
      <c r="G1124" s="107"/>
      <c r="H1124" s="107"/>
      <c r="I1124" s="107"/>
      <c r="J1124" s="107"/>
      <c r="K1124" s="107"/>
      <c r="L1124" s="107"/>
      <c r="M1124" s="108"/>
    </row>
    <row r="1125" spans="1:13" ht="9.75" customHeight="1" thickBot="1">
      <c r="A1125" s="109"/>
      <c r="B1125" s="110"/>
      <c r="C1125" s="110"/>
      <c r="D1125" s="110"/>
      <c r="E1125" s="110"/>
      <c r="F1125" s="110"/>
      <c r="G1125" s="110"/>
      <c r="H1125" s="110"/>
      <c r="I1125" s="110"/>
      <c r="J1125" s="110"/>
      <c r="K1125" s="110"/>
      <c r="L1125" s="110"/>
      <c r="M1125" s="111"/>
    </row>
    <row r="1126" spans="1:13" ht="18.75" customHeight="1" thickBot="1">
      <c r="A1126" s="72" t="s">
        <v>30</v>
      </c>
      <c r="B1126" s="73"/>
      <c r="C1126" s="73"/>
      <c r="D1126" s="73"/>
      <c r="E1126" s="73"/>
      <c r="F1126" s="73"/>
      <c r="G1126" s="73"/>
      <c r="H1126" s="73"/>
      <c r="I1126" s="73"/>
      <c r="J1126" s="73"/>
      <c r="K1126" s="73"/>
      <c r="L1126" s="73"/>
      <c r="M1126" s="74"/>
    </row>
    <row r="1127" spans="1:13" ht="24" customHeight="1" thickBot="1">
      <c r="A1127" s="72" t="s">
        <v>31</v>
      </c>
      <c r="B1127" s="73"/>
      <c r="C1127" s="73"/>
      <c r="D1127" s="73"/>
      <c r="E1127" s="73"/>
      <c r="F1127" s="73"/>
      <c r="G1127" s="73"/>
      <c r="H1127" s="73"/>
      <c r="I1127" s="73"/>
      <c r="J1127" s="73"/>
      <c r="K1127" s="73"/>
      <c r="L1127" s="73"/>
      <c r="M1127" s="74"/>
    </row>
    <row r="1128" spans="1:13" ht="24" customHeight="1" thickBot="1">
      <c r="A1128" s="72" t="s">
        <v>129</v>
      </c>
      <c r="B1128" s="73"/>
      <c r="C1128" s="73"/>
      <c r="D1128" s="73"/>
      <c r="E1128" s="73"/>
      <c r="F1128" s="73"/>
      <c r="G1128" s="73"/>
      <c r="H1128" s="73"/>
      <c r="I1128" s="73"/>
      <c r="J1128" s="73"/>
      <c r="K1128" s="73"/>
      <c r="L1128" s="73"/>
      <c r="M1128" s="74"/>
    </row>
    <row r="1129" spans="1:13" ht="24" customHeight="1" thickBot="1">
      <c r="A1129" s="60" t="s">
        <v>46</v>
      </c>
      <c r="B1129" s="61"/>
      <c r="C1129" s="61"/>
      <c r="D1129" s="61"/>
      <c r="E1129" s="61"/>
      <c r="F1129" s="61"/>
      <c r="G1129" s="61"/>
      <c r="H1129" s="61"/>
      <c r="I1129" s="61"/>
      <c r="J1129" s="61"/>
      <c r="K1129" s="61"/>
      <c r="L1129" s="61"/>
      <c r="M1129" s="62"/>
    </row>
    <row r="1130" spans="1:13" ht="11.1" customHeight="1">
      <c r="A1130" s="103" t="s">
        <v>47</v>
      </c>
      <c r="B1130" s="103"/>
      <c r="C1130" s="103"/>
      <c r="D1130" s="103"/>
      <c r="E1130" s="103"/>
      <c r="F1130" s="103"/>
      <c r="G1130" s="103"/>
      <c r="H1130" s="103"/>
      <c r="I1130" s="103"/>
      <c r="J1130" s="103"/>
      <c r="K1130" s="103"/>
      <c r="L1130" s="103"/>
      <c r="M1130" s="103"/>
    </row>
    <row r="1131" spans="1:13" ht="11.1" customHeight="1">
      <c r="A1131" s="104" t="s">
        <v>48</v>
      </c>
      <c r="B1131" s="104"/>
      <c r="C1131" s="104"/>
      <c r="D1131" s="104"/>
      <c r="E1131" s="104"/>
      <c r="F1131" s="104"/>
      <c r="G1131" s="104"/>
      <c r="H1131" s="104"/>
      <c r="I1131" s="104"/>
      <c r="J1131" s="104"/>
      <c r="K1131" s="104"/>
      <c r="L1131" s="104"/>
      <c r="M1131" s="104"/>
    </row>
    <row r="1132" spans="1:13" ht="11.1" customHeight="1">
      <c r="A1132" s="105" t="s">
        <v>49</v>
      </c>
      <c r="B1132" s="105"/>
      <c r="C1132" s="105"/>
      <c r="D1132" s="105"/>
      <c r="E1132" s="105"/>
      <c r="F1132" s="105"/>
      <c r="G1132" s="105"/>
      <c r="H1132" s="105"/>
      <c r="I1132" s="105"/>
      <c r="J1132" s="105"/>
      <c r="K1132" s="105"/>
      <c r="L1132" s="105"/>
      <c r="M1132" s="105"/>
    </row>
    <row r="1133" spans="1:13" ht="11.1" customHeight="1">
      <c r="A1133" s="105" t="s">
        <v>50</v>
      </c>
      <c r="B1133" s="105"/>
      <c r="C1133" s="105"/>
      <c r="D1133" s="105"/>
      <c r="E1133" s="105"/>
      <c r="F1133" s="105"/>
      <c r="G1133" s="105"/>
      <c r="H1133" s="105"/>
      <c r="I1133" s="105"/>
      <c r="J1133" s="105"/>
      <c r="K1133" s="105"/>
      <c r="L1133" s="105"/>
      <c r="M1133" s="105"/>
    </row>
    <row r="1134" spans="1:13" ht="11.1" customHeight="1">
      <c r="A1134" s="104" t="s">
        <v>51</v>
      </c>
      <c r="B1134" s="104"/>
      <c r="C1134" s="104"/>
      <c r="D1134" s="104"/>
      <c r="E1134" s="104"/>
      <c r="F1134" s="104"/>
      <c r="G1134" s="104"/>
      <c r="H1134" s="104"/>
      <c r="I1134" s="104"/>
      <c r="J1134" s="104"/>
      <c r="K1134" s="104"/>
      <c r="L1134" s="104"/>
      <c r="M1134" s="104"/>
    </row>
    <row r="1135" spans="1:13" ht="11.1" customHeight="1">
      <c r="A1135" s="104" t="s">
        <v>52</v>
      </c>
      <c r="B1135" s="104"/>
      <c r="C1135" s="104"/>
      <c r="D1135" s="104"/>
      <c r="E1135" s="104"/>
      <c r="F1135" s="104"/>
      <c r="G1135" s="104"/>
      <c r="H1135" s="104"/>
      <c r="I1135" s="104"/>
      <c r="J1135" s="104"/>
      <c r="K1135" s="104"/>
      <c r="L1135" s="104"/>
      <c r="M1135" s="104"/>
    </row>
    <row r="1136" spans="1:13" ht="11.1" customHeight="1">
      <c r="A1136" s="104" t="s">
        <v>53</v>
      </c>
      <c r="B1136" s="104"/>
      <c r="C1136" s="104"/>
      <c r="D1136" s="104"/>
      <c r="E1136" s="104"/>
      <c r="F1136" s="104"/>
      <c r="G1136" s="104"/>
      <c r="H1136" s="104"/>
      <c r="I1136" s="104"/>
      <c r="J1136" s="104"/>
      <c r="K1136" s="104"/>
      <c r="L1136" s="104"/>
      <c r="M1136" s="104"/>
    </row>
    <row r="1137" spans="1:15" ht="11.1" customHeight="1">
      <c r="A1137" s="101" t="s">
        <v>54</v>
      </c>
      <c r="B1137" s="101"/>
      <c r="C1137" s="101"/>
      <c r="D1137" s="101"/>
      <c r="E1137" s="101"/>
      <c r="F1137" s="101"/>
      <c r="G1137" s="101"/>
      <c r="H1137" s="101"/>
      <c r="I1137" s="101"/>
      <c r="J1137" s="101"/>
      <c r="K1137" s="101"/>
      <c r="L1137" s="101"/>
      <c r="M1137" s="101"/>
    </row>
    <row r="1138" spans="1:15" ht="11.1" customHeight="1">
      <c r="A1138" s="101" t="s">
        <v>55</v>
      </c>
      <c r="B1138" s="101"/>
      <c r="C1138" s="101"/>
      <c r="D1138" s="101"/>
      <c r="E1138" s="101"/>
      <c r="F1138" s="101"/>
      <c r="G1138" s="101"/>
      <c r="H1138" s="101"/>
      <c r="I1138" s="101"/>
      <c r="J1138" s="101"/>
      <c r="K1138" s="101"/>
      <c r="L1138" s="101"/>
      <c r="M1138" s="101"/>
    </row>
    <row r="1139" spans="1:15" ht="19.5" customHeight="1">
      <c r="A1139" s="69" t="s">
        <v>0</v>
      </c>
      <c r="B1139" s="69"/>
      <c r="C1139" s="69"/>
      <c r="D1139" s="69"/>
      <c r="E1139" s="69"/>
      <c r="F1139" s="69"/>
      <c r="G1139" s="69"/>
      <c r="H1139" s="69"/>
      <c r="I1139" s="69"/>
      <c r="J1139" s="69"/>
      <c r="K1139" s="69"/>
      <c r="L1139" s="69"/>
      <c r="M1139" s="69"/>
    </row>
    <row r="1140" spans="1:15" ht="20.100000000000001" customHeight="1">
      <c r="A1140" s="4" t="s">
        <v>32</v>
      </c>
      <c r="B1140" s="5">
        <f>+B1096+1</f>
        <v>62</v>
      </c>
      <c r="C1140" s="30"/>
      <c r="D1140" s="30"/>
      <c r="E1140" s="30"/>
      <c r="F1140" s="30"/>
      <c r="G1140" s="30"/>
      <c r="H1140" s="30"/>
      <c r="I1140" s="30"/>
      <c r="J1140" s="30"/>
      <c r="K1140" s="30"/>
      <c r="L1140" s="30"/>
      <c r="M1140" s="30"/>
    </row>
    <row r="1141" spans="1:15" ht="24" customHeight="1" thickBot="1">
      <c r="A1141" s="4" t="s">
        <v>33</v>
      </c>
      <c r="H1141" s="70" t="s">
        <v>34</v>
      </c>
      <c r="I1141" s="70"/>
      <c r="J1141" s="70"/>
      <c r="K1141" s="102">
        <f>+K1097+1</f>
        <v>45988</v>
      </c>
      <c r="L1141" s="102"/>
      <c r="M1141" s="102"/>
      <c r="O1141" s="7"/>
    </row>
    <row r="1142" spans="1:15" ht="33.75" customHeight="1" thickBot="1">
      <c r="A1142" s="80" t="s">
        <v>1</v>
      </c>
      <c r="B1142" s="81"/>
      <c r="C1142" s="82"/>
      <c r="D1142" s="86" t="str">
        <f>+D1098</f>
        <v>光明國中B與C區5樓老舊廁所整修工程</v>
      </c>
      <c r="E1142" s="87"/>
      <c r="F1142" s="87"/>
      <c r="G1142" s="88"/>
      <c r="H1142" s="80" t="s">
        <v>2</v>
      </c>
      <c r="I1142" s="81"/>
      <c r="J1142" s="82"/>
      <c r="K1142" s="80" t="s">
        <v>35</v>
      </c>
      <c r="L1142" s="81"/>
      <c r="M1142" s="82"/>
    </row>
    <row r="1143" spans="1:15" ht="33.75" customHeight="1" thickBot="1">
      <c r="A1143" s="8" t="s">
        <v>3</v>
      </c>
      <c r="B1143" s="29">
        <f>+B1099</f>
        <v>143</v>
      </c>
      <c r="C1143" s="10" t="s">
        <v>36</v>
      </c>
      <c r="D1143" s="80" t="s">
        <v>4</v>
      </c>
      <c r="E1143" s="89"/>
      <c r="F1143" s="31">
        <f>+F1099+1</f>
        <v>62</v>
      </c>
      <c r="G1143" s="12" t="s">
        <v>36</v>
      </c>
      <c r="H1143" s="13" t="s">
        <v>5</v>
      </c>
      <c r="I1143" s="29">
        <f>+B1143-F1143</f>
        <v>81</v>
      </c>
      <c r="J1143" s="10" t="s">
        <v>36</v>
      </c>
      <c r="K1143" s="80" t="s">
        <v>6</v>
      </c>
      <c r="L1143" s="82"/>
      <c r="M1143" s="13">
        <f>+M1099</f>
        <v>13</v>
      </c>
    </row>
    <row r="1144" spans="1:15" ht="24" customHeight="1" thickBot="1">
      <c r="A1144" s="80" t="s">
        <v>7</v>
      </c>
      <c r="B1144" s="81"/>
      <c r="C1144" s="82"/>
      <c r="D1144" s="80" t="str">
        <f>+D1100</f>
        <v>114.9.27</v>
      </c>
      <c r="E1144" s="81"/>
      <c r="F1144" s="81"/>
      <c r="G1144" s="82"/>
      <c r="H1144" s="80" t="s">
        <v>8</v>
      </c>
      <c r="I1144" s="81"/>
      <c r="J1144" s="82"/>
      <c r="K1144" s="80" t="str">
        <f>+K1100</f>
        <v>115.2.16</v>
      </c>
      <c r="L1144" s="81"/>
      <c r="M1144" s="82"/>
    </row>
    <row r="1145" spans="1:15" ht="24" customHeight="1" thickBot="1">
      <c r="A1145" s="80" t="s">
        <v>37</v>
      </c>
      <c r="B1145" s="81"/>
      <c r="C1145" s="82"/>
      <c r="D1145" s="83">
        <v>0.27600000000000002</v>
      </c>
      <c r="E1145" s="84"/>
      <c r="F1145" s="84"/>
      <c r="G1145" s="85"/>
      <c r="H1145" s="80" t="s">
        <v>38</v>
      </c>
      <c r="I1145" s="81"/>
      <c r="J1145" s="82"/>
      <c r="K1145" s="83">
        <f>+K1101+0.8%</f>
        <v>0.34000000000000014</v>
      </c>
      <c r="L1145" s="84"/>
      <c r="M1145" s="85"/>
    </row>
    <row r="1146" spans="1:15" ht="24" customHeight="1" thickBot="1">
      <c r="A1146" s="72" t="s">
        <v>9</v>
      </c>
      <c r="B1146" s="73"/>
      <c r="C1146" s="73"/>
      <c r="D1146" s="73"/>
      <c r="E1146" s="73"/>
      <c r="F1146" s="73"/>
      <c r="G1146" s="73"/>
      <c r="H1146" s="73"/>
      <c r="I1146" s="73"/>
      <c r="J1146" s="73"/>
      <c r="K1146" s="73"/>
      <c r="L1146" s="73"/>
      <c r="M1146" s="74"/>
    </row>
    <row r="1147" spans="1:15" ht="35.25" customHeight="1" thickBot="1">
      <c r="A1147" s="75" t="s">
        <v>10</v>
      </c>
      <c r="B1147" s="76"/>
      <c r="C1147" s="76"/>
      <c r="D1147" s="77"/>
      <c r="E1147" s="14" t="s">
        <v>11</v>
      </c>
      <c r="F1147" s="75" t="s">
        <v>12</v>
      </c>
      <c r="G1147" s="77"/>
      <c r="H1147" s="75" t="s">
        <v>13</v>
      </c>
      <c r="I1147" s="77"/>
      <c r="J1147" s="78" t="s">
        <v>14</v>
      </c>
      <c r="K1147" s="79"/>
      <c r="L1147" s="75" t="s">
        <v>15</v>
      </c>
      <c r="M1147" s="77"/>
    </row>
    <row r="1148" spans="1:15" ht="27.95" customHeight="1" thickBot="1">
      <c r="A1148" s="141" t="s">
        <v>149</v>
      </c>
      <c r="B1148" s="142"/>
      <c r="C1148" s="142"/>
      <c r="D1148" s="143"/>
      <c r="E1148" s="49" t="s">
        <v>118</v>
      </c>
      <c r="F1148" s="56">
        <v>313</v>
      </c>
      <c r="G1148" s="57"/>
      <c r="H1148" s="56">
        <v>30</v>
      </c>
      <c r="I1148" s="57"/>
      <c r="J1148" s="56">
        <v>180</v>
      </c>
      <c r="K1148" s="57"/>
      <c r="L1148" s="58"/>
      <c r="M1148" s="59"/>
    </row>
    <row r="1149" spans="1:15" ht="27.95" customHeight="1" thickBot="1">
      <c r="A1149" s="141"/>
      <c r="B1149" s="142"/>
      <c r="C1149" s="142"/>
      <c r="D1149" s="143"/>
      <c r="E1149" s="49"/>
      <c r="F1149" s="56"/>
      <c r="G1149" s="57"/>
      <c r="H1149" s="56"/>
      <c r="I1149" s="57"/>
      <c r="J1149" s="56"/>
      <c r="K1149" s="57"/>
      <c r="L1149" s="58"/>
      <c r="M1149" s="59"/>
    </row>
    <row r="1150" spans="1:15" ht="24.95" customHeight="1" thickTop="1" thickBot="1">
      <c r="A1150" s="130" t="s">
        <v>16</v>
      </c>
      <c r="B1150" s="67"/>
      <c r="C1150" s="67"/>
      <c r="D1150" s="68"/>
      <c r="E1150" s="32"/>
      <c r="F1150" s="131"/>
      <c r="G1150" s="132"/>
      <c r="H1150" s="131"/>
      <c r="I1150" s="132"/>
      <c r="J1150" s="131"/>
      <c r="K1150" s="132"/>
      <c r="L1150" s="131"/>
      <c r="M1150" s="133"/>
    </row>
    <row r="1151" spans="1:15" ht="24.95" customHeight="1" thickBot="1">
      <c r="A1151" s="134" t="s">
        <v>17</v>
      </c>
      <c r="B1151" s="135"/>
      <c r="C1151" s="135"/>
      <c r="D1151" s="59"/>
      <c r="E1151" s="32"/>
      <c r="F1151" s="58"/>
      <c r="G1151" s="59"/>
      <c r="H1151" s="58"/>
      <c r="I1151" s="59"/>
      <c r="J1151" s="58"/>
      <c r="K1151" s="59"/>
      <c r="L1151" s="58"/>
      <c r="M1151" s="136"/>
    </row>
    <row r="1152" spans="1:15" ht="24.95" customHeight="1" thickBot="1">
      <c r="A1152" s="118" t="s">
        <v>18</v>
      </c>
      <c r="B1152" s="119"/>
      <c r="C1152" s="119"/>
      <c r="D1152" s="120"/>
      <c r="E1152" s="24"/>
      <c r="F1152" s="121"/>
      <c r="G1152" s="120"/>
      <c r="H1152" s="121"/>
      <c r="I1152" s="120"/>
      <c r="J1152" s="121"/>
      <c r="K1152" s="120"/>
      <c r="L1152" s="121"/>
      <c r="M1152" s="122"/>
    </row>
    <row r="1153" spans="1:13" ht="24" customHeight="1" thickTop="1" thickBot="1">
      <c r="A1153" s="66" t="s">
        <v>19</v>
      </c>
      <c r="B1153" s="67"/>
      <c r="C1153" s="67"/>
      <c r="D1153" s="67"/>
      <c r="E1153" s="67"/>
      <c r="F1153" s="67"/>
      <c r="G1153" s="67"/>
      <c r="H1153" s="67"/>
      <c r="I1153" s="67"/>
      <c r="J1153" s="67"/>
      <c r="K1153" s="67"/>
      <c r="L1153" s="67"/>
      <c r="M1153" s="68"/>
    </row>
    <row r="1154" spans="1:13" ht="35.25" customHeight="1" thickBot="1">
      <c r="A1154" s="75" t="s">
        <v>20</v>
      </c>
      <c r="B1154" s="76"/>
      <c r="C1154" s="76"/>
      <c r="D1154" s="77"/>
      <c r="E1154" s="14" t="s">
        <v>11</v>
      </c>
      <c r="F1154" s="75" t="s">
        <v>39</v>
      </c>
      <c r="G1154" s="77"/>
      <c r="H1154" s="75" t="s">
        <v>21</v>
      </c>
      <c r="I1154" s="77"/>
      <c r="J1154" s="78" t="s">
        <v>22</v>
      </c>
      <c r="K1154" s="79"/>
      <c r="L1154" s="75" t="s">
        <v>15</v>
      </c>
      <c r="M1154" s="77"/>
    </row>
    <row r="1155" spans="1:13" ht="24" customHeight="1" thickBot="1">
      <c r="A1155" s="96"/>
      <c r="B1155" s="97"/>
      <c r="C1155" s="97"/>
      <c r="D1155" s="98"/>
      <c r="E1155" s="32"/>
      <c r="F1155" s="58"/>
      <c r="G1155" s="59"/>
      <c r="H1155" s="58"/>
      <c r="I1155" s="59"/>
      <c r="J1155" s="56"/>
      <c r="K1155" s="57"/>
      <c r="L1155" s="58"/>
      <c r="M1155" s="59"/>
    </row>
    <row r="1156" spans="1:13" ht="24" customHeight="1" thickBot="1">
      <c r="A1156" s="96"/>
      <c r="B1156" s="97"/>
      <c r="C1156" s="97"/>
      <c r="D1156" s="98"/>
      <c r="E1156" s="32"/>
      <c r="F1156" s="58"/>
      <c r="G1156" s="59"/>
      <c r="H1156" s="58"/>
      <c r="I1156" s="59"/>
      <c r="J1156" s="56"/>
      <c r="K1156" s="57"/>
      <c r="L1156" s="58"/>
      <c r="M1156" s="59"/>
    </row>
    <row r="1157" spans="1:13" ht="24" customHeight="1" thickBot="1">
      <c r="A1157" s="60" t="s">
        <v>23</v>
      </c>
      <c r="B1157" s="61"/>
      <c r="C1157" s="61"/>
      <c r="D1157" s="61"/>
      <c r="E1157" s="61"/>
      <c r="F1157" s="61"/>
      <c r="G1157" s="61"/>
      <c r="H1157" s="61"/>
      <c r="I1157" s="61"/>
      <c r="J1157" s="61"/>
      <c r="K1157" s="61"/>
      <c r="L1157" s="61"/>
      <c r="M1157" s="62"/>
    </row>
    <row r="1158" spans="1:13" ht="35.25" customHeight="1" thickBot="1">
      <c r="A1158" s="75" t="s">
        <v>24</v>
      </c>
      <c r="B1158" s="77"/>
      <c r="C1158" s="75" t="s">
        <v>25</v>
      </c>
      <c r="D1158" s="77"/>
      <c r="E1158" s="75" t="s">
        <v>26</v>
      </c>
      <c r="F1158" s="76"/>
      <c r="G1158" s="77"/>
      <c r="H1158" s="75" t="s">
        <v>27</v>
      </c>
      <c r="I1158" s="77"/>
      <c r="J1158" s="78" t="s">
        <v>21</v>
      </c>
      <c r="K1158" s="79"/>
      <c r="L1158" s="75" t="s">
        <v>22</v>
      </c>
      <c r="M1158" s="77"/>
    </row>
    <row r="1159" spans="1:13" s="18" customFormat="1" ht="24.75" customHeight="1" thickBot="1">
      <c r="A1159" s="99" t="s">
        <v>119</v>
      </c>
      <c r="B1159" s="98"/>
      <c r="C1159" s="56">
        <v>2</v>
      </c>
      <c r="D1159" s="57"/>
      <c r="E1159" s="56">
        <v>36</v>
      </c>
      <c r="F1159" s="100"/>
      <c r="G1159" s="57"/>
      <c r="H1159" s="56"/>
      <c r="I1159" s="57"/>
      <c r="J1159" s="56"/>
      <c r="K1159" s="57"/>
      <c r="L1159" s="56"/>
      <c r="M1159" s="57"/>
    </row>
    <row r="1160" spans="1:13" s="18" customFormat="1" ht="24.75" customHeight="1" thickBot="1">
      <c r="A1160" s="99"/>
      <c r="B1160" s="98"/>
      <c r="C1160" s="56"/>
      <c r="D1160" s="57"/>
      <c r="E1160" s="56"/>
      <c r="F1160" s="100"/>
      <c r="G1160" s="57"/>
      <c r="H1160" s="56"/>
      <c r="I1160" s="57"/>
      <c r="J1160" s="56"/>
      <c r="K1160" s="57"/>
      <c r="L1160" s="56"/>
      <c r="M1160" s="57"/>
    </row>
    <row r="1161" spans="1:13" ht="33" customHeight="1" thickBot="1">
      <c r="A1161" s="112" t="s">
        <v>40</v>
      </c>
      <c r="B1161" s="113"/>
      <c r="C1161" s="113"/>
      <c r="D1161" s="113"/>
      <c r="E1161" s="113"/>
      <c r="F1161" s="113"/>
      <c r="G1161" s="113"/>
      <c r="H1161" s="113"/>
      <c r="I1161" s="113"/>
      <c r="J1161" s="113"/>
      <c r="K1161" s="113"/>
      <c r="L1161" s="113"/>
      <c r="M1161" s="114"/>
    </row>
    <row r="1162" spans="1:13" ht="16.5" customHeight="1">
      <c r="A1162" s="115" t="s">
        <v>41</v>
      </c>
      <c r="B1162" s="116"/>
      <c r="C1162" s="116"/>
      <c r="D1162" s="116"/>
      <c r="E1162" s="116"/>
      <c r="F1162" s="116"/>
      <c r="G1162" s="116"/>
      <c r="H1162" s="116"/>
      <c r="I1162" s="116"/>
      <c r="J1162" s="116"/>
      <c r="K1162" s="116"/>
      <c r="L1162" s="116"/>
      <c r="M1162" s="117"/>
    </row>
    <row r="1163" spans="1:13" ht="16.5" customHeight="1">
      <c r="A1163" s="90" t="s">
        <v>28</v>
      </c>
      <c r="B1163" s="91"/>
      <c r="C1163" s="91"/>
      <c r="D1163" s="91"/>
      <c r="E1163" s="91"/>
      <c r="F1163" s="91"/>
      <c r="G1163" s="91"/>
      <c r="H1163" s="91"/>
      <c r="I1163" s="91"/>
      <c r="J1163" s="91"/>
      <c r="K1163" s="91"/>
      <c r="L1163" s="91"/>
      <c r="M1163" s="92"/>
    </row>
    <row r="1164" spans="1:13" s="1" customFormat="1" ht="16.5" customHeight="1">
      <c r="A1164" s="93" t="s">
        <v>56</v>
      </c>
      <c r="B1164" s="94"/>
      <c r="C1164" s="94"/>
      <c r="D1164" s="94"/>
      <c r="E1164" s="94"/>
      <c r="F1164" s="94"/>
      <c r="G1164" s="94"/>
      <c r="H1164" s="94"/>
      <c r="I1164" s="94"/>
      <c r="J1164" s="94"/>
      <c r="K1164" s="94"/>
      <c r="L1164" s="94"/>
      <c r="M1164" s="95"/>
    </row>
    <row r="1165" spans="1:13" s="1" customFormat="1" ht="16.5" customHeight="1">
      <c r="A1165" s="93" t="s">
        <v>57</v>
      </c>
      <c r="B1165" s="94"/>
      <c r="C1165" s="94"/>
      <c r="D1165" s="94"/>
      <c r="E1165" s="94"/>
      <c r="F1165" s="94"/>
      <c r="G1165" s="94"/>
      <c r="H1165" s="94"/>
      <c r="I1165" s="94"/>
      <c r="J1165" s="94"/>
      <c r="K1165" s="94"/>
      <c r="L1165" s="94"/>
      <c r="M1165" s="95"/>
    </row>
    <row r="1166" spans="1:13" s="1" customFormat="1" ht="16.5" customHeight="1">
      <c r="A1166" s="93" t="s">
        <v>58</v>
      </c>
      <c r="B1166" s="94"/>
      <c r="C1166" s="94"/>
      <c r="D1166" s="94"/>
      <c r="E1166" s="94"/>
      <c r="F1166" s="94"/>
      <c r="G1166" s="94"/>
      <c r="H1166" s="94"/>
      <c r="I1166" s="94"/>
      <c r="J1166" s="94"/>
      <c r="K1166" s="94"/>
      <c r="L1166" s="94"/>
      <c r="M1166" s="95"/>
    </row>
    <row r="1167" spans="1:13" s="1" customFormat="1" ht="16.5" customHeight="1">
      <c r="A1167" s="93" t="s">
        <v>59</v>
      </c>
      <c r="B1167" s="94"/>
      <c r="C1167" s="94"/>
      <c r="D1167" s="94"/>
      <c r="E1167" s="94"/>
      <c r="F1167" s="94"/>
      <c r="G1167" s="94"/>
      <c r="H1167" s="94"/>
      <c r="I1167" s="94"/>
      <c r="J1167" s="94"/>
      <c r="K1167" s="94"/>
      <c r="L1167" s="94"/>
      <c r="M1167" s="95"/>
    </row>
    <row r="1168" spans="1:13" ht="16.5" customHeight="1">
      <c r="A1168" s="106" t="s">
        <v>29</v>
      </c>
      <c r="B1168" s="107"/>
      <c r="C1168" s="107"/>
      <c r="D1168" s="107"/>
      <c r="E1168" s="107"/>
      <c r="F1168" s="107"/>
      <c r="G1168" s="107"/>
      <c r="H1168" s="107"/>
      <c r="I1168" s="107"/>
      <c r="J1168" s="107"/>
      <c r="K1168" s="107"/>
      <c r="L1168" s="107"/>
      <c r="M1168" s="108"/>
    </row>
    <row r="1169" spans="1:13" ht="9.75" customHeight="1" thickBot="1">
      <c r="A1169" s="109"/>
      <c r="B1169" s="110"/>
      <c r="C1169" s="110"/>
      <c r="D1169" s="110"/>
      <c r="E1169" s="110"/>
      <c r="F1169" s="110"/>
      <c r="G1169" s="110"/>
      <c r="H1169" s="110"/>
      <c r="I1169" s="110"/>
      <c r="J1169" s="110"/>
      <c r="K1169" s="110"/>
      <c r="L1169" s="110"/>
      <c r="M1169" s="111"/>
    </row>
    <row r="1170" spans="1:13" ht="18.75" customHeight="1" thickBot="1">
      <c r="A1170" s="72" t="s">
        <v>30</v>
      </c>
      <c r="B1170" s="73"/>
      <c r="C1170" s="73"/>
      <c r="D1170" s="73"/>
      <c r="E1170" s="73"/>
      <c r="F1170" s="73"/>
      <c r="G1170" s="73"/>
      <c r="H1170" s="73"/>
      <c r="I1170" s="73"/>
      <c r="J1170" s="73"/>
      <c r="K1170" s="73"/>
      <c r="L1170" s="73"/>
      <c r="M1170" s="74"/>
    </row>
    <row r="1171" spans="1:13" ht="24" customHeight="1" thickBot="1">
      <c r="A1171" s="72" t="s">
        <v>31</v>
      </c>
      <c r="B1171" s="73"/>
      <c r="C1171" s="73"/>
      <c r="D1171" s="73"/>
      <c r="E1171" s="73"/>
      <c r="F1171" s="73"/>
      <c r="G1171" s="73"/>
      <c r="H1171" s="73"/>
      <c r="I1171" s="73"/>
      <c r="J1171" s="73"/>
      <c r="K1171" s="73"/>
      <c r="L1171" s="73"/>
      <c r="M1171" s="74"/>
    </row>
    <row r="1172" spans="1:13" ht="24" customHeight="1" thickBot="1">
      <c r="A1172" s="72" t="s">
        <v>175</v>
      </c>
      <c r="B1172" s="73"/>
      <c r="C1172" s="73"/>
      <c r="D1172" s="73"/>
      <c r="E1172" s="73"/>
      <c r="F1172" s="73"/>
      <c r="G1172" s="73"/>
      <c r="H1172" s="73"/>
      <c r="I1172" s="73"/>
      <c r="J1172" s="73"/>
      <c r="K1172" s="73"/>
      <c r="L1172" s="73"/>
      <c r="M1172" s="74"/>
    </row>
    <row r="1173" spans="1:13" ht="24" customHeight="1" thickBot="1">
      <c r="A1173" s="60" t="s">
        <v>46</v>
      </c>
      <c r="B1173" s="61"/>
      <c r="C1173" s="61"/>
      <c r="D1173" s="61"/>
      <c r="E1173" s="61"/>
      <c r="F1173" s="61"/>
      <c r="G1173" s="61"/>
      <c r="H1173" s="61"/>
      <c r="I1173" s="61"/>
      <c r="J1173" s="61"/>
      <c r="K1173" s="61"/>
      <c r="L1173" s="61"/>
      <c r="M1173" s="62"/>
    </row>
    <row r="1174" spans="1:13" ht="11.1" customHeight="1">
      <c r="A1174" s="103" t="s">
        <v>47</v>
      </c>
      <c r="B1174" s="103"/>
      <c r="C1174" s="103"/>
      <c r="D1174" s="103"/>
      <c r="E1174" s="103"/>
      <c r="F1174" s="103"/>
      <c r="G1174" s="103"/>
      <c r="H1174" s="103"/>
      <c r="I1174" s="103"/>
      <c r="J1174" s="103"/>
      <c r="K1174" s="103"/>
      <c r="L1174" s="103"/>
      <c r="M1174" s="103"/>
    </row>
    <row r="1175" spans="1:13" ht="11.1" customHeight="1">
      <c r="A1175" s="104" t="s">
        <v>48</v>
      </c>
      <c r="B1175" s="104"/>
      <c r="C1175" s="104"/>
      <c r="D1175" s="104"/>
      <c r="E1175" s="104"/>
      <c r="F1175" s="104"/>
      <c r="G1175" s="104"/>
      <c r="H1175" s="104"/>
      <c r="I1175" s="104"/>
      <c r="J1175" s="104"/>
      <c r="K1175" s="104"/>
      <c r="L1175" s="104"/>
      <c r="M1175" s="104"/>
    </row>
    <row r="1176" spans="1:13" ht="11.1" customHeight="1">
      <c r="A1176" s="105" t="s">
        <v>49</v>
      </c>
      <c r="B1176" s="105"/>
      <c r="C1176" s="105"/>
      <c r="D1176" s="105"/>
      <c r="E1176" s="105"/>
      <c r="F1176" s="105"/>
      <c r="G1176" s="105"/>
      <c r="H1176" s="105"/>
      <c r="I1176" s="105"/>
      <c r="J1176" s="105"/>
      <c r="K1176" s="105"/>
      <c r="L1176" s="105"/>
      <c r="M1176" s="105"/>
    </row>
    <row r="1177" spans="1:13" ht="11.1" customHeight="1">
      <c r="A1177" s="105" t="s">
        <v>50</v>
      </c>
      <c r="B1177" s="105"/>
      <c r="C1177" s="105"/>
      <c r="D1177" s="105"/>
      <c r="E1177" s="105"/>
      <c r="F1177" s="105"/>
      <c r="G1177" s="105"/>
      <c r="H1177" s="105"/>
      <c r="I1177" s="105"/>
      <c r="J1177" s="105"/>
      <c r="K1177" s="105"/>
      <c r="L1177" s="105"/>
      <c r="M1177" s="105"/>
    </row>
    <row r="1178" spans="1:13" ht="11.1" customHeight="1">
      <c r="A1178" s="104" t="s">
        <v>51</v>
      </c>
      <c r="B1178" s="104"/>
      <c r="C1178" s="104"/>
      <c r="D1178" s="104"/>
      <c r="E1178" s="104"/>
      <c r="F1178" s="104"/>
      <c r="G1178" s="104"/>
      <c r="H1178" s="104"/>
      <c r="I1178" s="104"/>
      <c r="J1178" s="104"/>
      <c r="K1178" s="104"/>
      <c r="L1178" s="104"/>
      <c r="M1178" s="104"/>
    </row>
    <row r="1179" spans="1:13" ht="11.1" customHeight="1">
      <c r="A1179" s="104" t="s">
        <v>52</v>
      </c>
      <c r="B1179" s="104"/>
      <c r="C1179" s="104"/>
      <c r="D1179" s="104"/>
      <c r="E1179" s="104"/>
      <c r="F1179" s="104"/>
      <c r="G1179" s="104"/>
      <c r="H1179" s="104"/>
      <c r="I1179" s="104"/>
      <c r="J1179" s="104"/>
      <c r="K1179" s="104"/>
      <c r="L1179" s="104"/>
      <c r="M1179" s="104"/>
    </row>
    <row r="1180" spans="1:13" ht="11.1" customHeight="1">
      <c r="A1180" s="104" t="s">
        <v>53</v>
      </c>
      <c r="B1180" s="104"/>
      <c r="C1180" s="104"/>
      <c r="D1180" s="104"/>
      <c r="E1180" s="104"/>
      <c r="F1180" s="104"/>
      <c r="G1180" s="104"/>
      <c r="H1180" s="104"/>
      <c r="I1180" s="104"/>
      <c r="J1180" s="104"/>
      <c r="K1180" s="104"/>
      <c r="L1180" s="104"/>
      <c r="M1180" s="104"/>
    </row>
    <row r="1181" spans="1:13" ht="11.1" customHeight="1">
      <c r="A1181" s="101" t="s">
        <v>54</v>
      </c>
      <c r="B1181" s="101"/>
      <c r="C1181" s="101"/>
      <c r="D1181" s="101"/>
      <c r="E1181" s="101"/>
      <c r="F1181" s="101"/>
      <c r="G1181" s="101"/>
      <c r="H1181" s="101"/>
      <c r="I1181" s="101"/>
      <c r="J1181" s="101"/>
      <c r="K1181" s="101"/>
      <c r="L1181" s="101"/>
      <c r="M1181" s="101"/>
    </row>
    <row r="1182" spans="1:13" ht="11.1" customHeight="1">
      <c r="A1182" s="101" t="s">
        <v>55</v>
      </c>
      <c r="B1182" s="101"/>
      <c r="C1182" s="101"/>
      <c r="D1182" s="101"/>
      <c r="E1182" s="101"/>
      <c r="F1182" s="101"/>
      <c r="G1182" s="101"/>
      <c r="H1182" s="101"/>
      <c r="I1182" s="101"/>
      <c r="J1182" s="101"/>
      <c r="K1182" s="101"/>
      <c r="L1182" s="101"/>
      <c r="M1182" s="101"/>
    </row>
    <row r="1183" spans="1:13" ht="19.5" customHeight="1">
      <c r="A1183" s="69" t="s">
        <v>0</v>
      </c>
      <c r="B1183" s="69"/>
      <c r="C1183" s="69"/>
      <c r="D1183" s="69"/>
      <c r="E1183" s="69"/>
      <c r="F1183" s="69"/>
      <c r="G1183" s="69"/>
      <c r="H1183" s="69"/>
      <c r="I1183" s="69"/>
      <c r="J1183" s="69"/>
      <c r="K1183" s="69"/>
      <c r="L1183" s="69"/>
      <c r="M1183" s="69"/>
    </row>
    <row r="1184" spans="1:13" ht="20.100000000000001" customHeight="1">
      <c r="A1184" s="4" t="s">
        <v>32</v>
      </c>
      <c r="B1184" s="5">
        <f>+B1140+1</f>
        <v>63</v>
      </c>
      <c r="C1184" s="30"/>
      <c r="D1184" s="30"/>
      <c r="E1184" s="30"/>
      <c r="F1184" s="30"/>
      <c r="G1184" s="30"/>
      <c r="H1184" s="30"/>
      <c r="I1184" s="30"/>
      <c r="J1184" s="30"/>
      <c r="K1184" s="30"/>
      <c r="L1184" s="30"/>
      <c r="M1184" s="30"/>
    </row>
    <row r="1185" spans="1:15" ht="24" customHeight="1" thickBot="1">
      <c r="A1185" s="4" t="s">
        <v>33</v>
      </c>
      <c r="H1185" s="70" t="s">
        <v>34</v>
      </c>
      <c r="I1185" s="70"/>
      <c r="J1185" s="70"/>
      <c r="K1185" s="102">
        <f>+K1141+1</f>
        <v>45989</v>
      </c>
      <c r="L1185" s="102"/>
      <c r="M1185" s="102"/>
      <c r="O1185" s="7"/>
    </row>
    <row r="1186" spans="1:15" ht="33.75" customHeight="1" thickBot="1">
      <c r="A1186" s="80" t="s">
        <v>1</v>
      </c>
      <c r="B1186" s="81"/>
      <c r="C1186" s="82"/>
      <c r="D1186" s="86" t="str">
        <f>+D1142</f>
        <v>光明國中B與C區5樓老舊廁所整修工程</v>
      </c>
      <c r="E1186" s="87"/>
      <c r="F1186" s="87"/>
      <c r="G1186" s="88"/>
      <c r="H1186" s="80" t="s">
        <v>2</v>
      </c>
      <c r="I1186" s="81"/>
      <c r="J1186" s="82"/>
      <c r="K1186" s="80" t="s">
        <v>35</v>
      </c>
      <c r="L1186" s="81"/>
      <c r="M1186" s="82"/>
    </row>
    <row r="1187" spans="1:15" ht="33.75" customHeight="1" thickBot="1">
      <c r="A1187" s="8" t="s">
        <v>3</v>
      </c>
      <c r="B1187" s="29">
        <f>+B1143</f>
        <v>143</v>
      </c>
      <c r="C1187" s="10" t="s">
        <v>36</v>
      </c>
      <c r="D1187" s="80" t="s">
        <v>4</v>
      </c>
      <c r="E1187" s="89"/>
      <c r="F1187" s="31">
        <f>+F1143+1</f>
        <v>63</v>
      </c>
      <c r="G1187" s="12" t="s">
        <v>36</v>
      </c>
      <c r="H1187" s="13" t="s">
        <v>5</v>
      </c>
      <c r="I1187" s="29">
        <f>+B1187-F1187</f>
        <v>80</v>
      </c>
      <c r="J1187" s="10" t="s">
        <v>36</v>
      </c>
      <c r="K1187" s="80" t="s">
        <v>6</v>
      </c>
      <c r="L1187" s="82"/>
      <c r="M1187" s="13">
        <f>+M1143</f>
        <v>13</v>
      </c>
    </row>
    <row r="1188" spans="1:15" ht="24" customHeight="1" thickBot="1">
      <c r="A1188" s="80" t="s">
        <v>7</v>
      </c>
      <c r="B1188" s="81"/>
      <c r="C1188" s="82"/>
      <c r="D1188" s="80" t="str">
        <f>+D1144</f>
        <v>114.9.27</v>
      </c>
      <c r="E1188" s="81"/>
      <c r="F1188" s="81"/>
      <c r="G1188" s="82"/>
      <c r="H1188" s="80" t="s">
        <v>8</v>
      </c>
      <c r="I1188" s="81"/>
      <c r="J1188" s="82"/>
      <c r="K1188" s="80" t="str">
        <f>+K1144</f>
        <v>115.2.16</v>
      </c>
      <c r="L1188" s="81"/>
      <c r="M1188" s="82"/>
    </row>
    <row r="1189" spans="1:15" ht="24" customHeight="1" thickBot="1">
      <c r="A1189" s="80" t="s">
        <v>37</v>
      </c>
      <c r="B1189" s="81"/>
      <c r="C1189" s="82"/>
      <c r="D1189" s="83">
        <v>0.28199999999999997</v>
      </c>
      <c r="E1189" s="84"/>
      <c r="F1189" s="84"/>
      <c r="G1189" s="85"/>
      <c r="H1189" s="80" t="s">
        <v>38</v>
      </c>
      <c r="I1189" s="81"/>
      <c r="J1189" s="82"/>
      <c r="K1189" s="83">
        <f>+K1145</f>
        <v>0.34000000000000014</v>
      </c>
      <c r="L1189" s="84"/>
      <c r="M1189" s="85"/>
    </row>
    <row r="1190" spans="1:15" ht="24" customHeight="1" thickBot="1">
      <c r="A1190" s="72" t="s">
        <v>9</v>
      </c>
      <c r="B1190" s="73"/>
      <c r="C1190" s="73"/>
      <c r="D1190" s="73"/>
      <c r="E1190" s="73"/>
      <c r="F1190" s="73"/>
      <c r="G1190" s="73"/>
      <c r="H1190" s="73"/>
      <c r="I1190" s="73"/>
      <c r="J1190" s="73"/>
      <c r="K1190" s="73"/>
      <c r="L1190" s="73"/>
      <c r="M1190" s="74"/>
    </row>
    <row r="1191" spans="1:15" ht="35.25" customHeight="1" thickBot="1">
      <c r="A1191" s="75" t="s">
        <v>10</v>
      </c>
      <c r="B1191" s="76"/>
      <c r="C1191" s="76"/>
      <c r="D1191" s="77"/>
      <c r="E1191" s="14" t="s">
        <v>11</v>
      </c>
      <c r="F1191" s="75" t="s">
        <v>12</v>
      </c>
      <c r="G1191" s="77"/>
      <c r="H1191" s="75" t="s">
        <v>13</v>
      </c>
      <c r="I1191" s="77"/>
      <c r="J1191" s="78" t="s">
        <v>14</v>
      </c>
      <c r="K1191" s="79"/>
      <c r="L1191" s="75" t="s">
        <v>15</v>
      </c>
      <c r="M1191" s="77"/>
    </row>
    <row r="1192" spans="1:15" ht="27.95" customHeight="1" thickBot="1">
      <c r="A1192" s="141"/>
      <c r="B1192" s="142"/>
      <c r="C1192" s="142"/>
      <c r="D1192" s="143"/>
      <c r="E1192" s="49"/>
      <c r="F1192" s="56"/>
      <c r="G1192" s="57"/>
      <c r="H1192" s="56"/>
      <c r="I1192" s="57"/>
      <c r="J1192" s="56"/>
      <c r="K1192" s="57"/>
      <c r="L1192" s="58"/>
      <c r="M1192" s="59"/>
    </row>
    <row r="1193" spans="1:15" ht="27.95" customHeight="1" thickBot="1">
      <c r="A1193" s="141"/>
      <c r="B1193" s="142"/>
      <c r="C1193" s="142"/>
      <c r="D1193" s="143"/>
      <c r="E1193" s="15"/>
      <c r="F1193" s="56"/>
      <c r="G1193" s="57"/>
      <c r="H1193" s="56"/>
      <c r="I1193" s="57"/>
      <c r="J1193" s="56"/>
      <c r="K1193" s="57"/>
      <c r="L1193" s="58"/>
      <c r="M1193" s="59"/>
    </row>
    <row r="1194" spans="1:15" ht="24.95" customHeight="1" thickTop="1" thickBot="1">
      <c r="A1194" s="130" t="s">
        <v>16</v>
      </c>
      <c r="B1194" s="67"/>
      <c r="C1194" s="67"/>
      <c r="D1194" s="68"/>
      <c r="E1194" s="32"/>
      <c r="F1194" s="131"/>
      <c r="G1194" s="132"/>
      <c r="H1194" s="131"/>
      <c r="I1194" s="132"/>
      <c r="J1194" s="131"/>
      <c r="K1194" s="132"/>
      <c r="L1194" s="131"/>
      <c r="M1194" s="133"/>
    </row>
    <row r="1195" spans="1:15" ht="24.95" customHeight="1" thickBot="1">
      <c r="A1195" s="134" t="s">
        <v>17</v>
      </c>
      <c r="B1195" s="135"/>
      <c r="C1195" s="135"/>
      <c r="D1195" s="59"/>
      <c r="E1195" s="32"/>
      <c r="F1195" s="58"/>
      <c r="G1195" s="59"/>
      <c r="H1195" s="58"/>
      <c r="I1195" s="59"/>
      <c r="J1195" s="58"/>
      <c r="K1195" s="59"/>
      <c r="L1195" s="58"/>
      <c r="M1195" s="136"/>
    </row>
    <row r="1196" spans="1:15" ht="24.95" customHeight="1" thickBot="1">
      <c r="A1196" s="118" t="s">
        <v>18</v>
      </c>
      <c r="B1196" s="119"/>
      <c r="C1196" s="119"/>
      <c r="D1196" s="120"/>
      <c r="E1196" s="24"/>
      <c r="F1196" s="121"/>
      <c r="G1196" s="120"/>
      <c r="H1196" s="121"/>
      <c r="I1196" s="120"/>
      <c r="J1196" s="121"/>
      <c r="K1196" s="120"/>
      <c r="L1196" s="121"/>
      <c r="M1196" s="122"/>
    </row>
    <row r="1197" spans="1:15" ht="24" customHeight="1" thickTop="1" thickBot="1">
      <c r="A1197" s="66" t="s">
        <v>19</v>
      </c>
      <c r="B1197" s="67"/>
      <c r="C1197" s="67"/>
      <c r="D1197" s="67"/>
      <c r="E1197" s="67"/>
      <c r="F1197" s="67"/>
      <c r="G1197" s="67"/>
      <c r="H1197" s="67"/>
      <c r="I1197" s="67"/>
      <c r="J1197" s="67"/>
      <c r="K1197" s="67"/>
      <c r="L1197" s="67"/>
      <c r="M1197" s="68"/>
    </row>
    <row r="1198" spans="1:15" ht="35.25" customHeight="1" thickBot="1">
      <c r="A1198" s="75" t="s">
        <v>20</v>
      </c>
      <c r="B1198" s="76"/>
      <c r="C1198" s="76"/>
      <c r="D1198" s="77"/>
      <c r="E1198" s="14" t="s">
        <v>11</v>
      </c>
      <c r="F1198" s="75" t="s">
        <v>39</v>
      </c>
      <c r="G1198" s="77"/>
      <c r="H1198" s="75" t="s">
        <v>21</v>
      </c>
      <c r="I1198" s="77"/>
      <c r="J1198" s="78" t="s">
        <v>22</v>
      </c>
      <c r="K1198" s="79"/>
      <c r="L1198" s="75" t="s">
        <v>15</v>
      </c>
      <c r="M1198" s="77"/>
    </row>
    <row r="1199" spans="1:15" ht="24" customHeight="1" thickBot="1">
      <c r="A1199" s="96"/>
      <c r="B1199" s="97"/>
      <c r="C1199" s="97"/>
      <c r="D1199" s="98"/>
      <c r="E1199" s="32"/>
      <c r="F1199" s="58"/>
      <c r="G1199" s="59"/>
      <c r="H1199" s="58"/>
      <c r="I1199" s="59"/>
      <c r="J1199" s="56"/>
      <c r="K1199" s="57"/>
      <c r="L1199" s="58"/>
      <c r="M1199" s="59"/>
    </row>
    <row r="1200" spans="1:15" ht="24" customHeight="1" thickBot="1">
      <c r="A1200" s="96"/>
      <c r="B1200" s="97"/>
      <c r="C1200" s="97"/>
      <c r="D1200" s="98"/>
      <c r="E1200" s="32"/>
      <c r="F1200" s="58"/>
      <c r="G1200" s="59"/>
      <c r="H1200" s="58"/>
      <c r="I1200" s="59"/>
      <c r="J1200" s="56"/>
      <c r="K1200" s="57"/>
      <c r="L1200" s="58"/>
      <c r="M1200" s="59"/>
    </row>
    <row r="1201" spans="1:13" ht="24" customHeight="1" thickBot="1">
      <c r="A1201" s="60" t="s">
        <v>23</v>
      </c>
      <c r="B1201" s="61"/>
      <c r="C1201" s="61"/>
      <c r="D1201" s="61"/>
      <c r="E1201" s="61"/>
      <c r="F1201" s="61"/>
      <c r="G1201" s="61"/>
      <c r="H1201" s="61"/>
      <c r="I1201" s="61"/>
      <c r="J1201" s="61"/>
      <c r="K1201" s="61"/>
      <c r="L1201" s="61"/>
      <c r="M1201" s="62"/>
    </row>
    <row r="1202" spans="1:13" ht="35.25" customHeight="1" thickBot="1">
      <c r="A1202" s="75" t="s">
        <v>24</v>
      </c>
      <c r="B1202" s="77"/>
      <c r="C1202" s="75" t="s">
        <v>25</v>
      </c>
      <c r="D1202" s="77"/>
      <c r="E1202" s="75" t="s">
        <v>26</v>
      </c>
      <c r="F1202" s="76"/>
      <c r="G1202" s="77"/>
      <c r="H1202" s="75" t="s">
        <v>27</v>
      </c>
      <c r="I1202" s="77"/>
      <c r="J1202" s="78" t="s">
        <v>21</v>
      </c>
      <c r="K1202" s="79"/>
      <c r="L1202" s="75" t="s">
        <v>22</v>
      </c>
      <c r="M1202" s="77"/>
    </row>
    <row r="1203" spans="1:13" s="18" customFormat="1" ht="24.75" customHeight="1" thickBot="1">
      <c r="A1203" s="99"/>
      <c r="B1203" s="98"/>
      <c r="C1203" s="56"/>
      <c r="D1203" s="57"/>
      <c r="E1203" s="56"/>
      <c r="F1203" s="100"/>
      <c r="G1203" s="57"/>
      <c r="H1203" s="56"/>
      <c r="I1203" s="57"/>
      <c r="J1203" s="56"/>
      <c r="K1203" s="57"/>
      <c r="L1203" s="56"/>
      <c r="M1203" s="57"/>
    </row>
    <row r="1204" spans="1:13" s="18" customFormat="1" ht="24.75" customHeight="1" thickBot="1">
      <c r="A1204" s="99"/>
      <c r="B1204" s="98"/>
      <c r="C1204" s="56"/>
      <c r="D1204" s="57"/>
      <c r="E1204" s="56"/>
      <c r="F1204" s="100"/>
      <c r="G1204" s="57"/>
      <c r="H1204" s="56"/>
      <c r="I1204" s="57"/>
      <c r="J1204" s="56"/>
      <c r="K1204" s="57"/>
      <c r="L1204" s="56"/>
      <c r="M1204" s="57"/>
    </row>
    <row r="1205" spans="1:13" ht="33" customHeight="1" thickBot="1">
      <c r="A1205" s="112" t="s">
        <v>60</v>
      </c>
      <c r="B1205" s="113"/>
      <c r="C1205" s="113"/>
      <c r="D1205" s="113"/>
      <c r="E1205" s="113"/>
      <c r="F1205" s="113"/>
      <c r="G1205" s="113"/>
      <c r="H1205" s="113"/>
      <c r="I1205" s="113"/>
      <c r="J1205" s="113"/>
      <c r="K1205" s="113"/>
      <c r="L1205" s="113"/>
      <c r="M1205" s="114"/>
    </row>
    <row r="1206" spans="1:13" ht="16.5" customHeight="1">
      <c r="A1206" s="115" t="s">
        <v>41</v>
      </c>
      <c r="B1206" s="116"/>
      <c r="C1206" s="116"/>
      <c r="D1206" s="116"/>
      <c r="E1206" s="116"/>
      <c r="F1206" s="116"/>
      <c r="G1206" s="116"/>
      <c r="H1206" s="116"/>
      <c r="I1206" s="116"/>
      <c r="J1206" s="116"/>
      <c r="K1206" s="116"/>
      <c r="L1206" s="116"/>
      <c r="M1206" s="117"/>
    </row>
    <row r="1207" spans="1:13" ht="16.5" customHeight="1">
      <c r="A1207" s="90" t="s">
        <v>28</v>
      </c>
      <c r="B1207" s="91"/>
      <c r="C1207" s="91"/>
      <c r="D1207" s="91"/>
      <c r="E1207" s="91"/>
      <c r="F1207" s="91"/>
      <c r="G1207" s="91"/>
      <c r="H1207" s="91"/>
      <c r="I1207" s="91"/>
      <c r="J1207" s="91"/>
      <c r="K1207" s="91"/>
      <c r="L1207" s="91"/>
      <c r="M1207" s="92"/>
    </row>
    <row r="1208" spans="1:13" ht="16.5" customHeight="1">
      <c r="A1208" s="106" t="s">
        <v>42</v>
      </c>
      <c r="B1208" s="107"/>
      <c r="C1208" s="107"/>
      <c r="D1208" s="107"/>
      <c r="E1208" s="107"/>
      <c r="F1208" s="107"/>
      <c r="G1208" s="107"/>
      <c r="H1208" s="107"/>
      <c r="I1208" s="107"/>
      <c r="J1208" s="107"/>
      <c r="K1208" s="107"/>
      <c r="L1208" s="107"/>
      <c r="M1208" s="108"/>
    </row>
    <row r="1209" spans="1:13" ht="16.5" customHeight="1">
      <c r="A1209" s="106" t="s">
        <v>43</v>
      </c>
      <c r="B1209" s="107"/>
      <c r="C1209" s="107"/>
      <c r="D1209" s="107"/>
      <c r="E1209" s="107"/>
      <c r="F1209" s="107"/>
      <c r="G1209" s="107"/>
      <c r="H1209" s="107"/>
      <c r="I1209" s="107"/>
      <c r="J1209" s="107"/>
      <c r="K1209" s="107"/>
      <c r="L1209" s="107"/>
      <c r="M1209" s="108"/>
    </row>
    <row r="1210" spans="1:13" ht="16.5" customHeight="1">
      <c r="A1210" s="106" t="s">
        <v>44</v>
      </c>
      <c r="B1210" s="107"/>
      <c r="C1210" s="107"/>
      <c r="D1210" s="107"/>
      <c r="E1210" s="107"/>
      <c r="F1210" s="107"/>
      <c r="G1210" s="107"/>
      <c r="H1210" s="107"/>
      <c r="I1210" s="107"/>
      <c r="J1210" s="107"/>
      <c r="K1210" s="107"/>
      <c r="L1210" s="107"/>
      <c r="M1210" s="108"/>
    </row>
    <row r="1211" spans="1:13" ht="16.5" customHeight="1">
      <c r="A1211" s="106" t="s">
        <v>45</v>
      </c>
      <c r="B1211" s="107"/>
      <c r="C1211" s="107"/>
      <c r="D1211" s="107"/>
      <c r="E1211" s="107"/>
      <c r="F1211" s="107"/>
      <c r="G1211" s="107"/>
      <c r="H1211" s="107"/>
      <c r="I1211" s="107"/>
      <c r="J1211" s="107"/>
      <c r="K1211" s="107"/>
      <c r="L1211" s="107"/>
      <c r="M1211" s="108"/>
    </row>
    <row r="1212" spans="1:13" ht="16.5" customHeight="1">
      <c r="A1212" s="106" t="s">
        <v>29</v>
      </c>
      <c r="B1212" s="107"/>
      <c r="C1212" s="107"/>
      <c r="D1212" s="107"/>
      <c r="E1212" s="107"/>
      <c r="F1212" s="107"/>
      <c r="G1212" s="107"/>
      <c r="H1212" s="107"/>
      <c r="I1212" s="107"/>
      <c r="J1212" s="107"/>
      <c r="K1212" s="107"/>
      <c r="L1212" s="107"/>
      <c r="M1212" s="108"/>
    </row>
    <row r="1213" spans="1:13" ht="9.75" customHeight="1" thickBot="1">
      <c r="A1213" s="109"/>
      <c r="B1213" s="110"/>
      <c r="C1213" s="110"/>
      <c r="D1213" s="110"/>
      <c r="E1213" s="110"/>
      <c r="F1213" s="110"/>
      <c r="G1213" s="110"/>
      <c r="H1213" s="110"/>
      <c r="I1213" s="110"/>
      <c r="J1213" s="110"/>
      <c r="K1213" s="110"/>
      <c r="L1213" s="110"/>
      <c r="M1213" s="111"/>
    </row>
    <row r="1214" spans="1:13" ht="18.75" customHeight="1" thickBot="1">
      <c r="A1214" s="72" t="s">
        <v>30</v>
      </c>
      <c r="B1214" s="73"/>
      <c r="C1214" s="73"/>
      <c r="D1214" s="73"/>
      <c r="E1214" s="73"/>
      <c r="F1214" s="73"/>
      <c r="G1214" s="73"/>
      <c r="H1214" s="73"/>
      <c r="I1214" s="73"/>
      <c r="J1214" s="73"/>
      <c r="K1214" s="73"/>
      <c r="L1214" s="73"/>
      <c r="M1214" s="74"/>
    </row>
    <row r="1215" spans="1:13" ht="24" customHeight="1" thickBot="1">
      <c r="A1215" s="72" t="s">
        <v>31</v>
      </c>
      <c r="B1215" s="73"/>
      <c r="C1215" s="73"/>
      <c r="D1215" s="73"/>
      <c r="E1215" s="73"/>
      <c r="F1215" s="73"/>
      <c r="G1215" s="73"/>
      <c r="H1215" s="73"/>
      <c r="I1215" s="73"/>
      <c r="J1215" s="73"/>
      <c r="K1215" s="73"/>
      <c r="L1215" s="73"/>
      <c r="M1215" s="74"/>
    </row>
    <row r="1216" spans="1:13" ht="24" customHeight="1" thickBot="1">
      <c r="A1216" s="72" t="s">
        <v>176</v>
      </c>
      <c r="B1216" s="73"/>
      <c r="C1216" s="73"/>
      <c r="D1216" s="73"/>
      <c r="E1216" s="73"/>
      <c r="F1216" s="73"/>
      <c r="G1216" s="73"/>
      <c r="H1216" s="73"/>
      <c r="I1216" s="73"/>
      <c r="J1216" s="73"/>
      <c r="K1216" s="73"/>
      <c r="L1216" s="73"/>
      <c r="M1216" s="74"/>
    </row>
    <row r="1217" spans="1:15" ht="24" customHeight="1" thickBot="1">
      <c r="A1217" s="60" t="s">
        <v>46</v>
      </c>
      <c r="B1217" s="61"/>
      <c r="C1217" s="61"/>
      <c r="D1217" s="61"/>
      <c r="E1217" s="61"/>
      <c r="F1217" s="61"/>
      <c r="G1217" s="61"/>
      <c r="H1217" s="61"/>
      <c r="I1217" s="61"/>
      <c r="J1217" s="61"/>
      <c r="K1217" s="61"/>
      <c r="L1217" s="61"/>
      <c r="M1217" s="62"/>
    </row>
    <row r="1218" spans="1:15" ht="11.1" customHeight="1">
      <c r="A1218" s="103" t="s">
        <v>47</v>
      </c>
      <c r="B1218" s="103"/>
      <c r="C1218" s="103"/>
      <c r="D1218" s="103"/>
      <c r="E1218" s="103"/>
      <c r="F1218" s="103"/>
      <c r="G1218" s="103"/>
      <c r="H1218" s="103"/>
      <c r="I1218" s="103"/>
      <c r="J1218" s="103"/>
      <c r="K1218" s="103"/>
      <c r="L1218" s="103"/>
      <c r="M1218" s="103"/>
    </row>
    <row r="1219" spans="1:15" ht="11.1" customHeight="1">
      <c r="A1219" s="104" t="s">
        <v>48</v>
      </c>
      <c r="B1219" s="104"/>
      <c r="C1219" s="104"/>
      <c r="D1219" s="104"/>
      <c r="E1219" s="104"/>
      <c r="F1219" s="104"/>
      <c r="G1219" s="104"/>
      <c r="H1219" s="104"/>
      <c r="I1219" s="104"/>
      <c r="J1219" s="104"/>
      <c r="K1219" s="104"/>
      <c r="L1219" s="104"/>
      <c r="M1219" s="104"/>
    </row>
    <row r="1220" spans="1:15" ht="11.1" customHeight="1">
      <c r="A1220" s="105" t="s">
        <v>49</v>
      </c>
      <c r="B1220" s="105"/>
      <c r="C1220" s="105"/>
      <c r="D1220" s="105"/>
      <c r="E1220" s="105"/>
      <c r="F1220" s="105"/>
      <c r="G1220" s="105"/>
      <c r="H1220" s="105"/>
      <c r="I1220" s="105"/>
      <c r="J1220" s="105"/>
      <c r="K1220" s="105"/>
      <c r="L1220" s="105"/>
      <c r="M1220" s="105"/>
    </row>
    <row r="1221" spans="1:15" ht="11.1" customHeight="1">
      <c r="A1221" s="105" t="s">
        <v>50</v>
      </c>
      <c r="B1221" s="105"/>
      <c r="C1221" s="105"/>
      <c r="D1221" s="105"/>
      <c r="E1221" s="105"/>
      <c r="F1221" s="105"/>
      <c r="G1221" s="105"/>
      <c r="H1221" s="105"/>
      <c r="I1221" s="105"/>
      <c r="J1221" s="105"/>
      <c r="K1221" s="105"/>
      <c r="L1221" s="105"/>
      <c r="M1221" s="105"/>
    </row>
    <row r="1222" spans="1:15" ht="11.1" customHeight="1">
      <c r="A1222" s="104" t="s">
        <v>51</v>
      </c>
      <c r="B1222" s="104"/>
      <c r="C1222" s="104"/>
      <c r="D1222" s="104"/>
      <c r="E1222" s="104"/>
      <c r="F1222" s="104"/>
      <c r="G1222" s="104"/>
      <c r="H1222" s="104"/>
      <c r="I1222" s="104"/>
      <c r="J1222" s="104"/>
      <c r="K1222" s="104"/>
      <c r="L1222" s="104"/>
      <c r="M1222" s="104"/>
    </row>
    <row r="1223" spans="1:15" ht="11.1" customHeight="1">
      <c r="A1223" s="104" t="s">
        <v>52</v>
      </c>
      <c r="B1223" s="104"/>
      <c r="C1223" s="104"/>
      <c r="D1223" s="104"/>
      <c r="E1223" s="104"/>
      <c r="F1223" s="104"/>
      <c r="G1223" s="104"/>
      <c r="H1223" s="104"/>
      <c r="I1223" s="104"/>
      <c r="J1223" s="104"/>
      <c r="K1223" s="104"/>
      <c r="L1223" s="104"/>
      <c r="M1223" s="104"/>
    </row>
    <row r="1224" spans="1:15" ht="11.1" customHeight="1">
      <c r="A1224" s="104" t="s">
        <v>53</v>
      </c>
      <c r="B1224" s="104"/>
      <c r="C1224" s="104"/>
      <c r="D1224" s="104"/>
      <c r="E1224" s="104"/>
      <c r="F1224" s="104"/>
      <c r="G1224" s="104"/>
      <c r="H1224" s="104"/>
      <c r="I1224" s="104"/>
      <c r="J1224" s="104"/>
      <c r="K1224" s="104"/>
      <c r="L1224" s="104"/>
      <c r="M1224" s="104"/>
    </row>
    <row r="1225" spans="1:15" ht="11.1" customHeight="1">
      <c r="A1225" s="101" t="s">
        <v>54</v>
      </c>
      <c r="B1225" s="101"/>
      <c r="C1225" s="101"/>
      <c r="D1225" s="101"/>
      <c r="E1225" s="101"/>
      <c r="F1225" s="101"/>
      <c r="G1225" s="101"/>
      <c r="H1225" s="101"/>
      <c r="I1225" s="101"/>
      <c r="J1225" s="101"/>
      <c r="K1225" s="101"/>
      <c r="L1225" s="101"/>
      <c r="M1225" s="101"/>
    </row>
    <row r="1226" spans="1:15" ht="11.1" customHeight="1">
      <c r="A1226" s="101" t="s">
        <v>55</v>
      </c>
      <c r="B1226" s="101"/>
      <c r="C1226" s="101"/>
      <c r="D1226" s="101"/>
      <c r="E1226" s="101"/>
      <c r="F1226" s="101"/>
      <c r="G1226" s="101"/>
      <c r="H1226" s="101"/>
      <c r="I1226" s="101"/>
      <c r="J1226" s="101"/>
      <c r="K1226" s="101"/>
      <c r="L1226" s="101"/>
      <c r="M1226" s="101"/>
    </row>
    <row r="1227" spans="1:15" ht="19.5" customHeight="1">
      <c r="A1227" s="69" t="s">
        <v>0</v>
      </c>
      <c r="B1227" s="69"/>
      <c r="C1227" s="69"/>
      <c r="D1227" s="69"/>
      <c r="E1227" s="69"/>
      <c r="F1227" s="69"/>
      <c r="G1227" s="69"/>
      <c r="H1227" s="69"/>
      <c r="I1227" s="69"/>
      <c r="J1227" s="69"/>
      <c r="K1227" s="69"/>
      <c r="L1227" s="69"/>
      <c r="M1227" s="69"/>
    </row>
    <row r="1228" spans="1:15" ht="20.100000000000001" customHeight="1">
      <c r="A1228" s="4" t="s">
        <v>32</v>
      </c>
      <c r="B1228" s="5">
        <f>+B1184+1</f>
        <v>64</v>
      </c>
      <c r="C1228" s="30"/>
      <c r="D1228" s="30"/>
      <c r="E1228" s="30"/>
      <c r="F1228" s="30"/>
      <c r="G1228" s="30"/>
      <c r="H1228" s="30"/>
      <c r="I1228" s="30"/>
      <c r="J1228" s="30"/>
      <c r="K1228" s="30"/>
      <c r="L1228" s="30"/>
      <c r="M1228" s="30"/>
    </row>
    <row r="1229" spans="1:15" ht="24" customHeight="1" thickBot="1">
      <c r="A1229" s="4" t="s">
        <v>33</v>
      </c>
      <c r="H1229" s="70" t="s">
        <v>34</v>
      </c>
      <c r="I1229" s="70"/>
      <c r="J1229" s="70"/>
      <c r="K1229" s="102">
        <f>+K1185+1</f>
        <v>45990</v>
      </c>
      <c r="L1229" s="102"/>
      <c r="M1229" s="102"/>
      <c r="O1229" s="7"/>
    </row>
    <row r="1230" spans="1:15" ht="33.75" customHeight="1" thickBot="1">
      <c r="A1230" s="80" t="s">
        <v>1</v>
      </c>
      <c r="B1230" s="81"/>
      <c r="C1230" s="82"/>
      <c r="D1230" s="86" t="str">
        <f>+D1186</f>
        <v>光明國中B與C區5樓老舊廁所整修工程</v>
      </c>
      <c r="E1230" s="87"/>
      <c r="F1230" s="87"/>
      <c r="G1230" s="88"/>
      <c r="H1230" s="80" t="s">
        <v>2</v>
      </c>
      <c r="I1230" s="81"/>
      <c r="J1230" s="82"/>
      <c r="K1230" s="80" t="s">
        <v>35</v>
      </c>
      <c r="L1230" s="81"/>
      <c r="M1230" s="82"/>
    </row>
    <row r="1231" spans="1:15" ht="33.75" customHeight="1" thickBot="1">
      <c r="A1231" s="8" t="s">
        <v>3</v>
      </c>
      <c r="B1231" s="29">
        <f>+B1187</f>
        <v>143</v>
      </c>
      <c r="C1231" s="10" t="s">
        <v>36</v>
      </c>
      <c r="D1231" s="80" t="s">
        <v>4</v>
      </c>
      <c r="E1231" s="89"/>
      <c r="F1231" s="31">
        <f>+F1187+1</f>
        <v>64</v>
      </c>
      <c r="G1231" s="12" t="s">
        <v>36</v>
      </c>
      <c r="H1231" s="13" t="s">
        <v>5</v>
      </c>
      <c r="I1231" s="29">
        <f>+B1231-F1231</f>
        <v>79</v>
      </c>
      <c r="J1231" s="10" t="s">
        <v>36</v>
      </c>
      <c r="K1231" s="80" t="s">
        <v>6</v>
      </c>
      <c r="L1231" s="82"/>
      <c r="M1231" s="13">
        <f>+M1187</f>
        <v>13</v>
      </c>
    </row>
    <row r="1232" spans="1:15" ht="24" customHeight="1" thickBot="1">
      <c r="A1232" s="80" t="s">
        <v>7</v>
      </c>
      <c r="B1232" s="81"/>
      <c r="C1232" s="82"/>
      <c r="D1232" s="80" t="str">
        <f>+D1188</f>
        <v>114.9.27</v>
      </c>
      <c r="E1232" s="81"/>
      <c r="F1232" s="81"/>
      <c r="G1232" s="82"/>
      <c r="H1232" s="80" t="s">
        <v>8</v>
      </c>
      <c r="I1232" s="81"/>
      <c r="J1232" s="82"/>
      <c r="K1232" s="80" t="str">
        <f>+K1188</f>
        <v>115.2.16</v>
      </c>
      <c r="L1232" s="81"/>
      <c r="M1232" s="82"/>
    </row>
    <row r="1233" spans="1:13" ht="24" customHeight="1" thickBot="1">
      <c r="A1233" s="80" t="s">
        <v>37</v>
      </c>
      <c r="B1233" s="81"/>
      <c r="C1233" s="82"/>
      <c r="D1233" s="83">
        <v>0.28799999999999998</v>
      </c>
      <c r="E1233" s="84"/>
      <c r="F1233" s="84"/>
      <c r="G1233" s="85"/>
      <c r="H1233" s="80" t="s">
        <v>38</v>
      </c>
      <c r="I1233" s="81"/>
      <c r="J1233" s="82"/>
      <c r="K1233" s="83">
        <f>+K1189+0.8%</f>
        <v>0.34800000000000014</v>
      </c>
      <c r="L1233" s="84"/>
      <c r="M1233" s="85"/>
    </row>
    <row r="1234" spans="1:13" ht="24" customHeight="1" thickBot="1">
      <c r="A1234" s="72" t="s">
        <v>9</v>
      </c>
      <c r="B1234" s="73"/>
      <c r="C1234" s="73"/>
      <c r="D1234" s="73"/>
      <c r="E1234" s="73"/>
      <c r="F1234" s="73"/>
      <c r="G1234" s="73"/>
      <c r="H1234" s="73"/>
      <c r="I1234" s="73"/>
      <c r="J1234" s="73"/>
      <c r="K1234" s="73"/>
      <c r="L1234" s="73"/>
      <c r="M1234" s="74"/>
    </row>
    <row r="1235" spans="1:13" ht="35.25" customHeight="1" thickBot="1">
      <c r="A1235" s="75" t="s">
        <v>10</v>
      </c>
      <c r="B1235" s="76"/>
      <c r="C1235" s="76"/>
      <c r="D1235" s="77"/>
      <c r="E1235" s="14" t="s">
        <v>11</v>
      </c>
      <c r="F1235" s="75" t="s">
        <v>12</v>
      </c>
      <c r="G1235" s="77"/>
      <c r="H1235" s="75" t="s">
        <v>13</v>
      </c>
      <c r="I1235" s="77"/>
      <c r="J1235" s="78" t="s">
        <v>14</v>
      </c>
      <c r="K1235" s="79"/>
      <c r="L1235" s="75" t="s">
        <v>15</v>
      </c>
      <c r="M1235" s="77"/>
    </row>
    <row r="1236" spans="1:13" ht="27.95" customHeight="1" thickBot="1">
      <c r="A1236" s="141" t="s">
        <v>147</v>
      </c>
      <c r="B1236" s="142"/>
      <c r="C1236" s="142"/>
      <c r="D1236" s="143"/>
      <c r="E1236" s="2" t="s">
        <v>126</v>
      </c>
      <c r="F1236" s="56">
        <v>190</v>
      </c>
      <c r="G1236" s="57"/>
      <c r="H1236" s="56">
        <v>20</v>
      </c>
      <c r="I1236" s="57"/>
      <c r="J1236" s="56">
        <v>20</v>
      </c>
      <c r="K1236" s="57"/>
      <c r="L1236" s="58"/>
      <c r="M1236" s="59"/>
    </row>
    <row r="1237" spans="1:13" ht="27.95" customHeight="1" thickBot="1">
      <c r="A1237" s="141"/>
      <c r="B1237" s="142"/>
      <c r="C1237" s="142"/>
      <c r="D1237" s="143"/>
      <c r="E1237" s="15"/>
      <c r="F1237" s="56"/>
      <c r="G1237" s="57"/>
      <c r="H1237" s="56"/>
      <c r="I1237" s="57"/>
      <c r="J1237" s="56"/>
      <c r="K1237" s="57"/>
      <c r="L1237" s="58"/>
      <c r="M1237" s="59"/>
    </row>
    <row r="1238" spans="1:13" ht="24.95" customHeight="1" thickTop="1" thickBot="1">
      <c r="A1238" s="130" t="s">
        <v>16</v>
      </c>
      <c r="B1238" s="67"/>
      <c r="C1238" s="67"/>
      <c r="D1238" s="68"/>
      <c r="E1238" s="32"/>
      <c r="F1238" s="131"/>
      <c r="G1238" s="132"/>
      <c r="H1238" s="131"/>
      <c r="I1238" s="132"/>
      <c r="J1238" s="131"/>
      <c r="K1238" s="132"/>
      <c r="L1238" s="131"/>
      <c r="M1238" s="133"/>
    </row>
    <row r="1239" spans="1:13" ht="24.95" customHeight="1" thickBot="1">
      <c r="A1239" s="134" t="s">
        <v>17</v>
      </c>
      <c r="B1239" s="135"/>
      <c r="C1239" s="135"/>
      <c r="D1239" s="59"/>
      <c r="E1239" s="32"/>
      <c r="F1239" s="58"/>
      <c r="G1239" s="59"/>
      <c r="H1239" s="58"/>
      <c r="I1239" s="59"/>
      <c r="J1239" s="58"/>
      <c r="K1239" s="59"/>
      <c r="L1239" s="58"/>
      <c r="M1239" s="136"/>
    </row>
    <row r="1240" spans="1:13" ht="24.95" customHeight="1" thickBot="1">
      <c r="A1240" s="118" t="s">
        <v>18</v>
      </c>
      <c r="B1240" s="119"/>
      <c r="C1240" s="119"/>
      <c r="D1240" s="120"/>
      <c r="E1240" s="24"/>
      <c r="F1240" s="121"/>
      <c r="G1240" s="120"/>
      <c r="H1240" s="121"/>
      <c r="I1240" s="120"/>
      <c r="J1240" s="121"/>
      <c r="K1240" s="120"/>
      <c r="L1240" s="121"/>
      <c r="M1240" s="122"/>
    </row>
    <row r="1241" spans="1:13" ht="24" customHeight="1" thickTop="1" thickBot="1">
      <c r="A1241" s="66" t="s">
        <v>19</v>
      </c>
      <c r="B1241" s="67"/>
      <c r="C1241" s="67"/>
      <c r="D1241" s="67"/>
      <c r="E1241" s="67"/>
      <c r="F1241" s="67"/>
      <c r="G1241" s="67"/>
      <c r="H1241" s="67"/>
      <c r="I1241" s="67"/>
      <c r="J1241" s="67"/>
      <c r="K1241" s="67"/>
      <c r="L1241" s="67"/>
      <c r="M1241" s="68"/>
    </row>
    <row r="1242" spans="1:13" ht="35.25" customHeight="1" thickBot="1">
      <c r="A1242" s="75" t="s">
        <v>20</v>
      </c>
      <c r="B1242" s="76"/>
      <c r="C1242" s="76"/>
      <c r="D1242" s="77"/>
      <c r="E1242" s="14" t="s">
        <v>11</v>
      </c>
      <c r="F1242" s="75" t="s">
        <v>39</v>
      </c>
      <c r="G1242" s="77"/>
      <c r="H1242" s="75" t="s">
        <v>21</v>
      </c>
      <c r="I1242" s="77"/>
      <c r="J1242" s="78" t="s">
        <v>22</v>
      </c>
      <c r="K1242" s="79"/>
      <c r="L1242" s="75" t="s">
        <v>15</v>
      </c>
      <c r="M1242" s="77"/>
    </row>
    <row r="1243" spans="1:13" ht="24" customHeight="1" thickBot="1">
      <c r="A1243" s="96"/>
      <c r="B1243" s="97"/>
      <c r="C1243" s="97"/>
      <c r="D1243" s="98"/>
      <c r="E1243" s="32"/>
      <c r="F1243" s="58"/>
      <c r="G1243" s="59"/>
      <c r="H1243" s="58"/>
      <c r="I1243" s="59"/>
      <c r="J1243" s="56"/>
      <c r="K1243" s="57"/>
      <c r="L1243" s="58"/>
      <c r="M1243" s="59"/>
    </row>
    <row r="1244" spans="1:13" ht="24" customHeight="1" thickBot="1">
      <c r="A1244" s="96"/>
      <c r="B1244" s="97"/>
      <c r="C1244" s="97"/>
      <c r="D1244" s="98"/>
      <c r="E1244" s="32"/>
      <c r="F1244" s="58"/>
      <c r="G1244" s="59"/>
      <c r="H1244" s="58"/>
      <c r="I1244" s="59"/>
      <c r="J1244" s="56"/>
      <c r="K1244" s="57"/>
      <c r="L1244" s="58"/>
      <c r="M1244" s="59"/>
    </row>
    <row r="1245" spans="1:13" ht="24" customHeight="1" thickBot="1">
      <c r="A1245" s="60" t="s">
        <v>23</v>
      </c>
      <c r="B1245" s="61"/>
      <c r="C1245" s="61"/>
      <c r="D1245" s="61"/>
      <c r="E1245" s="61"/>
      <c r="F1245" s="61"/>
      <c r="G1245" s="61"/>
      <c r="H1245" s="61"/>
      <c r="I1245" s="61"/>
      <c r="J1245" s="61"/>
      <c r="K1245" s="61"/>
      <c r="L1245" s="61"/>
      <c r="M1245" s="62"/>
    </row>
    <row r="1246" spans="1:13" ht="35.25" customHeight="1" thickBot="1">
      <c r="A1246" s="75" t="s">
        <v>24</v>
      </c>
      <c r="B1246" s="77"/>
      <c r="C1246" s="75" t="s">
        <v>25</v>
      </c>
      <c r="D1246" s="77"/>
      <c r="E1246" s="75" t="s">
        <v>26</v>
      </c>
      <c r="F1246" s="76"/>
      <c r="G1246" s="77"/>
      <c r="H1246" s="75" t="s">
        <v>27</v>
      </c>
      <c r="I1246" s="77"/>
      <c r="J1246" s="78" t="s">
        <v>21</v>
      </c>
      <c r="K1246" s="79"/>
      <c r="L1246" s="75" t="s">
        <v>22</v>
      </c>
      <c r="M1246" s="77"/>
    </row>
    <row r="1247" spans="1:13" s="18" customFormat="1" ht="24.75" customHeight="1" thickBot="1">
      <c r="A1247" s="99" t="s">
        <v>119</v>
      </c>
      <c r="B1247" s="98"/>
      <c r="C1247" s="56">
        <v>2</v>
      </c>
      <c r="D1247" s="57"/>
      <c r="E1247" s="56">
        <v>38</v>
      </c>
      <c r="F1247" s="100"/>
      <c r="G1247" s="57"/>
      <c r="H1247" s="56"/>
      <c r="I1247" s="57"/>
      <c r="J1247" s="56"/>
      <c r="K1247" s="57"/>
      <c r="L1247" s="56"/>
      <c r="M1247" s="57"/>
    </row>
    <row r="1248" spans="1:13" s="18" customFormat="1" ht="24.75" customHeight="1" thickBot="1">
      <c r="A1248" s="99"/>
      <c r="B1248" s="98"/>
      <c r="C1248" s="56"/>
      <c r="D1248" s="57"/>
      <c r="E1248" s="56"/>
      <c r="F1248" s="100"/>
      <c r="G1248" s="57"/>
      <c r="H1248" s="56"/>
      <c r="I1248" s="57"/>
      <c r="J1248" s="56"/>
      <c r="K1248" s="57"/>
      <c r="L1248" s="56"/>
      <c r="M1248" s="57"/>
    </row>
    <row r="1249" spans="1:13" ht="33" customHeight="1" thickBot="1">
      <c r="A1249" s="112" t="s">
        <v>40</v>
      </c>
      <c r="B1249" s="113"/>
      <c r="C1249" s="113"/>
      <c r="D1249" s="113"/>
      <c r="E1249" s="113"/>
      <c r="F1249" s="113"/>
      <c r="G1249" s="113"/>
      <c r="H1249" s="113"/>
      <c r="I1249" s="113"/>
      <c r="J1249" s="113"/>
      <c r="K1249" s="113"/>
      <c r="L1249" s="113"/>
      <c r="M1249" s="114"/>
    </row>
    <row r="1250" spans="1:13" ht="16.5" customHeight="1">
      <c r="A1250" s="115" t="s">
        <v>41</v>
      </c>
      <c r="B1250" s="116"/>
      <c r="C1250" s="116"/>
      <c r="D1250" s="116"/>
      <c r="E1250" s="116"/>
      <c r="F1250" s="116"/>
      <c r="G1250" s="116"/>
      <c r="H1250" s="116"/>
      <c r="I1250" s="116"/>
      <c r="J1250" s="116"/>
      <c r="K1250" s="116"/>
      <c r="L1250" s="116"/>
      <c r="M1250" s="117"/>
    </row>
    <row r="1251" spans="1:13" ht="16.5" customHeight="1">
      <c r="A1251" s="90" t="s">
        <v>28</v>
      </c>
      <c r="B1251" s="91"/>
      <c r="C1251" s="91"/>
      <c r="D1251" s="91"/>
      <c r="E1251" s="91"/>
      <c r="F1251" s="91"/>
      <c r="G1251" s="91"/>
      <c r="H1251" s="91"/>
      <c r="I1251" s="91"/>
      <c r="J1251" s="91"/>
      <c r="K1251" s="91"/>
      <c r="L1251" s="91"/>
      <c r="M1251" s="92"/>
    </row>
    <row r="1252" spans="1:13" s="1" customFormat="1" ht="16.5" customHeight="1">
      <c r="A1252" s="93" t="s">
        <v>56</v>
      </c>
      <c r="B1252" s="94"/>
      <c r="C1252" s="94"/>
      <c r="D1252" s="94"/>
      <c r="E1252" s="94"/>
      <c r="F1252" s="94"/>
      <c r="G1252" s="94"/>
      <c r="H1252" s="94"/>
      <c r="I1252" s="94"/>
      <c r="J1252" s="94"/>
      <c r="K1252" s="94"/>
      <c r="L1252" s="94"/>
      <c r="M1252" s="95"/>
    </row>
    <row r="1253" spans="1:13" s="1" customFormat="1" ht="16.5" customHeight="1">
      <c r="A1253" s="93" t="s">
        <v>57</v>
      </c>
      <c r="B1253" s="94"/>
      <c r="C1253" s="94"/>
      <c r="D1253" s="94"/>
      <c r="E1253" s="94"/>
      <c r="F1253" s="94"/>
      <c r="G1253" s="94"/>
      <c r="H1253" s="94"/>
      <c r="I1253" s="94"/>
      <c r="J1253" s="94"/>
      <c r="K1253" s="94"/>
      <c r="L1253" s="94"/>
      <c r="M1253" s="95"/>
    </row>
    <row r="1254" spans="1:13" s="1" customFormat="1" ht="16.5" customHeight="1">
      <c r="A1254" s="93" t="s">
        <v>58</v>
      </c>
      <c r="B1254" s="94"/>
      <c r="C1254" s="94"/>
      <c r="D1254" s="94"/>
      <c r="E1254" s="94"/>
      <c r="F1254" s="94"/>
      <c r="G1254" s="94"/>
      <c r="H1254" s="94"/>
      <c r="I1254" s="94"/>
      <c r="J1254" s="94"/>
      <c r="K1254" s="94"/>
      <c r="L1254" s="94"/>
      <c r="M1254" s="95"/>
    </row>
    <row r="1255" spans="1:13" s="1" customFormat="1" ht="16.5" customHeight="1">
      <c r="A1255" s="93" t="s">
        <v>59</v>
      </c>
      <c r="B1255" s="94"/>
      <c r="C1255" s="94"/>
      <c r="D1255" s="94"/>
      <c r="E1255" s="94"/>
      <c r="F1255" s="94"/>
      <c r="G1255" s="94"/>
      <c r="H1255" s="94"/>
      <c r="I1255" s="94"/>
      <c r="J1255" s="94"/>
      <c r="K1255" s="94"/>
      <c r="L1255" s="94"/>
      <c r="M1255" s="95"/>
    </row>
    <row r="1256" spans="1:13" ht="16.5" customHeight="1">
      <c r="A1256" s="106" t="s">
        <v>29</v>
      </c>
      <c r="B1256" s="107"/>
      <c r="C1256" s="107"/>
      <c r="D1256" s="107"/>
      <c r="E1256" s="107"/>
      <c r="F1256" s="107"/>
      <c r="G1256" s="107"/>
      <c r="H1256" s="107"/>
      <c r="I1256" s="107"/>
      <c r="J1256" s="107"/>
      <c r="K1256" s="107"/>
      <c r="L1256" s="107"/>
      <c r="M1256" s="108"/>
    </row>
    <row r="1257" spans="1:13" ht="9.75" customHeight="1" thickBot="1">
      <c r="A1257" s="109"/>
      <c r="B1257" s="110"/>
      <c r="C1257" s="110"/>
      <c r="D1257" s="110"/>
      <c r="E1257" s="110"/>
      <c r="F1257" s="110"/>
      <c r="G1257" s="110"/>
      <c r="H1257" s="110"/>
      <c r="I1257" s="110"/>
      <c r="J1257" s="110"/>
      <c r="K1257" s="110"/>
      <c r="L1257" s="110"/>
      <c r="M1257" s="111"/>
    </row>
    <row r="1258" spans="1:13" ht="18.75" customHeight="1" thickBot="1">
      <c r="A1258" s="72" t="s">
        <v>30</v>
      </c>
      <c r="B1258" s="73"/>
      <c r="C1258" s="73"/>
      <c r="D1258" s="73"/>
      <c r="E1258" s="73"/>
      <c r="F1258" s="73"/>
      <c r="G1258" s="73"/>
      <c r="H1258" s="73"/>
      <c r="I1258" s="73"/>
      <c r="J1258" s="73"/>
      <c r="K1258" s="73"/>
      <c r="L1258" s="73"/>
      <c r="M1258" s="74"/>
    </row>
    <row r="1259" spans="1:13" ht="24" customHeight="1" thickBot="1">
      <c r="A1259" s="72" t="s">
        <v>31</v>
      </c>
      <c r="B1259" s="73"/>
      <c r="C1259" s="73"/>
      <c r="D1259" s="73"/>
      <c r="E1259" s="73"/>
      <c r="F1259" s="73"/>
      <c r="G1259" s="73"/>
      <c r="H1259" s="73"/>
      <c r="I1259" s="73"/>
      <c r="J1259" s="73"/>
      <c r="K1259" s="73"/>
      <c r="L1259" s="73"/>
      <c r="M1259" s="74"/>
    </row>
    <row r="1260" spans="1:13" ht="24" customHeight="1" thickBot="1">
      <c r="A1260" s="72" t="s">
        <v>148</v>
      </c>
      <c r="B1260" s="73"/>
      <c r="C1260" s="73"/>
      <c r="D1260" s="73"/>
      <c r="E1260" s="73"/>
      <c r="F1260" s="73"/>
      <c r="G1260" s="73"/>
      <c r="H1260" s="73"/>
      <c r="I1260" s="73"/>
      <c r="J1260" s="73"/>
      <c r="K1260" s="73"/>
      <c r="L1260" s="73"/>
      <c r="M1260" s="74"/>
    </row>
    <row r="1261" spans="1:13" ht="24" customHeight="1" thickBot="1">
      <c r="A1261" s="60" t="s">
        <v>46</v>
      </c>
      <c r="B1261" s="61"/>
      <c r="C1261" s="61"/>
      <c r="D1261" s="61"/>
      <c r="E1261" s="61"/>
      <c r="F1261" s="61"/>
      <c r="G1261" s="61"/>
      <c r="H1261" s="61"/>
      <c r="I1261" s="61"/>
      <c r="J1261" s="61"/>
      <c r="K1261" s="61"/>
      <c r="L1261" s="61"/>
      <c r="M1261" s="62"/>
    </row>
    <row r="1262" spans="1:13" ht="11.1" customHeight="1">
      <c r="A1262" s="103" t="s">
        <v>47</v>
      </c>
      <c r="B1262" s="103"/>
      <c r="C1262" s="103"/>
      <c r="D1262" s="103"/>
      <c r="E1262" s="103"/>
      <c r="F1262" s="103"/>
      <c r="G1262" s="103"/>
      <c r="H1262" s="103"/>
      <c r="I1262" s="103"/>
      <c r="J1262" s="103"/>
      <c r="K1262" s="103"/>
      <c r="L1262" s="103"/>
      <c r="M1262" s="103"/>
    </row>
    <row r="1263" spans="1:13" ht="11.1" customHeight="1">
      <c r="A1263" s="104" t="s">
        <v>48</v>
      </c>
      <c r="B1263" s="104"/>
      <c r="C1263" s="104"/>
      <c r="D1263" s="104"/>
      <c r="E1263" s="104"/>
      <c r="F1263" s="104"/>
      <c r="G1263" s="104"/>
      <c r="H1263" s="104"/>
      <c r="I1263" s="104"/>
      <c r="J1263" s="104"/>
      <c r="K1263" s="104"/>
      <c r="L1263" s="104"/>
      <c r="M1263" s="104"/>
    </row>
    <row r="1264" spans="1:13" ht="11.1" customHeight="1">
      <c r="A1264" s="105" t="s">
        <v>49</v>
      </c>
      <c r="B1264" s="105"/>
      <c r="C1264" s="105"/>
      <c r="D1264" s="105"/>
      <c r="E1264" s="105"/>
      <c r="F1264" s="105"/>
      <c r="G1264" s="105"/>
      <c r="H1264" s="105"/>
      <c r="I1264" s="105"/>
      <c r="J1264" s="105"/>
      <c r="K1264" s="105"/>
      <c r="L1264" s="105"/>
      <c r="M1264" s="105"/>
    </row>
    <row r="1265" spans="1:15" ht="11.1" customHeight="1">
      <c r="A1265" s="105" t="s">
        <v>50</v>
      </c>
      <c r="B1265" s="105"/>
      <c r="C1265" s="105"/>
      <c r="D1265" s="105"/>
      <c r="E1265" s="105"/>
      <c r="F1265" s="105"/>
      <c r="G1265" s="105"/>
      <c r="H1265" s="105"/>
      <c r="I1265" s="105"/>
      <c r="J1265" s="105"/>
      <c r="K1265" s="105"/>
      <c r="L1265" s="105"/>
      <c r="M1265" s="105"/>
    </row>
    <row r="1266" spans="1:15" ht="11.1" customHeight="1">
      <c r="A1266" s="104" t="s">
        <v>51</v>
      </c>
      <c r="B1266" s="104"/>
      <c r="C1266" s="104"/>
      <c r="D1266" s="104"/>
      <c r="E1266" s="104"/>
      <c r="F1266" s="104"/>
      <c r="G1266" s="104"/>
      <c r="H1266" s="104"/>
      <c r="I1266" s="104"/>
      <c r="J1266" s="104"/>
      <c r="K1266" s="104"/>
      <c r="L1266" s="104"/>
      <c r="M1266" s="104"/>
    </row>
    <row r="1267" spans="1:15" ht="11.1" customHeight="1">
      <c r="A1267" s="104" t="s">
        <v>52</v>
      </c>
      <c r="B1267" s="104"/>
      <c r="C1267" s="104"/>
      <c r="D1267" s="104"/>
      <c r="E1267" s="104"/>
      <c r="F1267" s="104"/>
      <c r="G1267" s="104"/>
      <c r="H1267" s="104"/>
      <c r="I1267" s="104"/>
      <c r="J1267" s="104"/>
      <c r="K1267" s="104"/>
      <c r="L1267" s="104"/>
      <c r="M1267" s="104"/>
    </row>
    <row r="1268" spans="1:15" ht="11.1" customHeight="1">
      <c r="A1268" s="104" t="s">
        <v>53</v>
      </c>
      <c r="B1268" s="104"/>
      <c r="C1268" s="104"/>
      <c r="D1268" s="104"/>
      <c r="E1268" s="104"/>
      <c r="F1268" s="104"/>
      <c r="G1268" s="104"/>
      <c r="H1268" s="104"/>
      <c r="I1268" s="104"/>
      <c r="J1268" s="104"/>
      <c r="K1268" s="104"/>
      <c r="L1268" s="104"/>
      <c r="M1268" s="104"/>
    </row>
    <row r="1269" spans="1:15" ht="11.1" customHeight="1">
      <c r="A1269" s="101" t="s">
        <v>54</v>
      </c>
      <c r="B1269" s="101"/>
      <c r="C1269" s="101"/>
      <c r="D1269" s="101"/>
      <c r="E1269" s="101"/>
      <c r="F1269" s="101"/>
      <c r="G1269" s="101"/>
      <c r="H1269" s="101"/>
      <c r="I1269" s="101"/>
      <c r="J1269" s="101"/>
      <c r="K1269" s="101"/>
      <c r="L1269" s="101"/>
      <c r="M1269" s="101"/>
    </row>
    <row r="1270" spans="1:15" ht="11.1" customHeight="1">
      <c r="A1270" s="101" t="s">
        <v>55</v>
      </c>
      <c r="B1270" s="101"/>
      <c r="C1270" s="101"/>
      <c r="D1270" s="101"/>
      <c r="E1270" s="101"/>
      <c r="F1270" s="101"/>
      <c r="G1270" s="101"/>
      <c r="H1270" s="101"/>
      <c r="I1270" s="101"/>
      <c r="J1270" s="101"/>
      <c r="K1270" s="101"/>
      <c r="L1270" s="101"/>
      <c r="M1270" s="101"/>
    </row>
    <row r="1271" spans="1:15" ht="19.5" customHeight="1">
      <c r="A1271" s="69" t="s">
        <v>0</v>
      </c>
      <c r="B1271" s="69"/>
      <c r="C1271" s="69"/>
      <c r="D1271" s="69"/>
      <c r="E1271" s="69"/>
      <c r="F1271" s="69"/>
      <c r="G1271" s="69"/>
      <c r="H1271" s="69"/>
      <c r="I1271" s="69"/>
      <c r="J1271" s="69"/>
      <c r="K1271" s="69"/>
      <c r="L1271" s="69"/>
      <c r="M1271" s="69"/>
    </row>
    <row r="1272" spans="1:15" ht="20.100000000000001" customHeight="1">
      <c r="A1272" s="4" t="s">
        <v>32</v>
      </c>
      <c r="B1272" s="5">
        <f>+B1228+1</f>
        <v>65</v>
      </c>
      <c r="C1272" s="30"/>
      <c r="D1272" s="30"/>
      <c r="E1272" s="30"/>
      <c r="F1272" s="30"/>
      <c r="G1272" s="30"/>
      <c r="H1272" s="30"/>
      <c r="I1272" s="30"/>
      <c r="J1272" s="30"/>
      <c r="K1272" s="30"/>
      <c r="L1272" s="30"/>
      <c r="M1272" s="30"/>
    </row>
    <row r="1273" spans="1:15" ht="24" customHeight="1" thickBot="1">
      <c r="A1273" s="4" t="s">
        <v>33</v>
      </c>
      <c r="H1273" s="70" t="s">
        <v>34</v>
      </c>
      <c r="I1273" s="70"/>
      <c r="J1273" s="70"/>
      <c r="K1273" s="102">
        <f>+K1229+1</f>
        <v>45991</v>
      </c>
      <c r="L1273" s="102"/>
      <c r="M1273" s="102"/>
      <c r="O1273" s="7"/>
    </row>
    <row r="1274" spans="1:15" ht="33.75" customHeight="1" thickBot="1">
      <c r="A1274" s="80" t="s">
        <v>1</v>
      </c>
      <c r="B1274" s="81"/>
      <c r="C1274" s="82"/>
      <c r="D1274" s="86" t="str">
        <f>+D1230</f>
        <v>光明國中B與C區5樓老舊廁所整修工程</v>
      </c>
      <c r="E1274" s="87"/>
      <c r="F1274" s="87"/>
      <c r="G1274" s="88"/>
      <c r="H1274" s="80" t="s">
        <v>2</v>
      </c>
      <c r="I1274" s="81"/>
      <c r="J1274" s="82"/>
      <c r="K1274" s="80" t="s">
        <v>35</v>
      </c>
      <c r="L1274" s="81"/>
      <c r="M1274" s="82"/>
    </row>
    <row r="1275" spans="1:15" ht="33.75" customHeight="1" thickBot="1">
      <c r="A1275" s="8" t="s">
        <v>3</v>
      </c>
      <c r="B1275" s="29">
        <f>+B1231</f>
        <v>143</v>
      </c>
      <c r="C1275" s="10" t="s">
        <v>36</v>
      </c>
      <c r="D1275" s="80" t="s">
        <v>4</v>
      </c>
      <c r="E1275" s="89"/>
      <c r="F1275" s="31">
        <f>+F1231+1</f>
        <v>65</v>
      </c>
      <c r="G1275" s="12" t="s">
        <v>36</v>
      </c>
      <c r="H1275" s="13" t="s">
        <v>5</v>
      </c>
      <c r="I1275" s="29">
        <f>+B1275-F1275</f>
        <v>78</v>
      </c>
      <c r="J1275" s="10" t="s">
        <v>36</v>
      </c>
      <c r="K1275" s="80" t="s">
        <v>6</v>
      </c>
      <c r="L1275" s="82"/>
      <c r="M1275" s="13">
        <f>+M1231</f>
        <v>13</v>
      </c>
    </row>
    <row r="1276" spans="1:15" ht="24" customHeight="1" thickBot="1">
      <c r="A1276" s="80" t="s">
        <v>7</v>
      </c>
      <c r="B1276" s="81"/>
      <c r="C1276" s="82"/>
      <c r="D1276" s="80" t="str">
        <f>+D1232</f>
        <v>114.9.27</v>
      </c>
      <c r="E1276" s="81"/>
      <c r="F1276" s="81"/>
      <c r="G1276" s="82"/>
      <c r="H1276" s="80" t="s">
        <v>8</v>
      </c>
      <c r="I1276" s="81"/>
      <c r="J1276" s="82"/>
      <c r="K1276" s="80" t="str">
        <f>+K1232</f>
        <v>115.2.16</v>
      </c>
      <c r="L1276" s="81"/>
      <c r="M1276" s="82"/>
    </row>
    <row r="1277" spans="1:15" ht="24" customHeight="1" thickBot="1">
      <c r="A1277" s="80" t="s">
        <v>37</v>
      </c>
      <c r="B1277" s="81"/>
      <c r="C1277" s="82"/>
      <c r="D1277" s="83">
        <v>0.29399999999999998</v>
      </c>
      <c r="E1277" s="84"/>
      <c r="F1277" s="84"/>
      <c r="G1277" s="85"/>
      <c r="H1277" s="80" t="s">
        <v>38</v>
      </c>
      <c r="I1277" s="81"/>
      <c r="J1277" s="82"/>
      <c r="K1277" s="83">
        <f>+K1233</f>
        <v>0.34800000000000014</v>
      </c>
      <c r="L1277" s="84"/>
      <c r="M1277" s="85"/>
    </row>
    <row r="1278" spans="1:15" ht="24" customHeight="1" thickBot="1">
      <c r="A1278" s="72" t="s">
        <v>9</v>
      </c>
      <c r="B1278" s="73"/>
      <c r="C1278" s="73"/>
      <c r="D1278" s="73"/>
      <c r="E1278" s="73"/>
      <c r="F1278" s="73"/>
      <c r="G1278" s="73"/>
      <c r="H1278" s="73"/>
      <c r="I1278" s="73"/>
      <c r="J1278" s="73"/>
      <c r="K1278" s="73"/>
      <c r="L1278" s="73"/>
      <c r="M1278" s="74"/>
    </row>
    <row r="1279" spans="1:15" ht="30.75" customHeight="1" thickBot="1">
      <c r="A1279" s="75" t="s">
        <v>10</v>
      </c>
      <c r="B1279" s="76"/>
      <c r="C1279" s="76"/>
      <c r="D1279" s="77"/>
      <c r="E1279" s="14" t="s">
        <v>11</v>
      </c>
      <c r="F1279" s="75" t="s">
        <v>12</v>
      </c>
      <c r="G1279" s="77"/>
      <c r="H1279" s="75" t="s">
        <v>13</v>
      </c>
      <c r="I1279" s="77"/>
      <c r="J1279" s="78" t="s">
        <v>14</v>
      </c>
      <c r="K1279" s="79"/>
      <c r="L1279" s="75" t="s">
        <v>15</v>
      </c>
      <c r="M1279" s="77"/>
    </row>
    <row r="1280" spans="1:15" ht="27.95" customHeight="1" thickBot="1">
      <c r="A1280" s="141"/>
      <c r="B1280" s="142"/>
      <c r="C1280" s="142"/>
      <c r="D1280" s="143"/>
      <c r="E1280" s="49"/>
      <c r="F1280" s="56"/>
      <c r="G1280" s="57"/>
      <c r="H1280" s="56"/>
      <c r="I1280" s="57"/>
      <c r="J1280" s="56"/>
      <c r="K1280" s="57"/>
      <c r="L1280" s="58"/>
      <c r="M1280" s="59"/>
    </row>
    <row r="1281" spans="1:13" ht="27.95" customHeight="1" thickBot="1">
      <c r="A1281" s="141"/>
      <c r="B1281" s="142"/>
      <c r="C1281" s="142"/>
      <c r="D1281" s="143"/>
      <c r="E1281" s="15"/>
      <c r="F1281" s="56"/>
      <c r="G1281" s="57"/>
      <c r="H1281" s="56"/>
      <c r="I1281" s="57"/>
      <c r="J1281" s="56"/>
      <c r="K1281" s="57"/>
      <c r="L1281" s="58"/>
      <c r="M1281" s="59"/>
    </row>
    <row r="1282" spans="1:13" ht="24.95" customHeight="1" thickTop="1" thickBot="1">
      <c r="A1282" s="130" t="s">
        <v>16</v>
      </c>
      <c r="B1282" s="67"/>
      <c r="C1282" s="67"/>
      <c r="D1282" s="68"/>
      <c r="E1282" s="32"/>
      <c r="F1282" s="131"/>
      <c r="G1282" s="132"/>
      <c r="H1282" s="131"/>
      <c r="I1282" s="132"/>
      <c r="J1282" s="131"/>
      <c r="K1282" s="132"/>
      <c r="L1282" s="131"/>
      <c r="M1282" s="133"/>
    </row>
    <row r="1283" spans="1:13" ht="24.95" customHeight="1" thickBot="1">
      <c r="A1283" s="134" t="s">
        <v>17</v>
      </c>
      <c r="B1283" s="135"/>
      <c r="C1283" s="135"/>
      <c r="D1283" s="59"/>
      <c r="E1283" s="32"/>
      <c r="F1283" s="58"/>
      <c r="G1283" s="59"/>
      <c r="H1283" s="58"/>
      <c r="I1283" s="59"/>
      <c r="J1283" s="58"/>
      <c r="K1283" s="59"/>
      <c r="L1283" s="58"/>
      <c r="M1283" s="136"/>
    </row>
    <row r="1284" spans="1:13" ht="24.95" customHeight="1" thickBot="1">
      <c r="A1284" s="118" t="s">
        <v>18</v>
      </c>
      <c r="B1284" s="119"/>
      <c r="C1284" s="119"/>
      <c r="D1284" s="120"/>
      <c r="E1284" s="24"/>
      <c r="F1284" s="121"/>
      <c r="G1284" s="120"/>
      <c r="H1284" s="121"/>
      <c r="I1284" s="120"/>
      <c r="J1284" s="121"/>
      <c r="K1284" s="120"/>
      <c r="L1284" s="121"/>
      <c r="M1284" s="122"/>
    </row>
    <row r="1285" spans="1:13" ht="24" customHeight="1" thickTop="1" thickBot="1">
      <c r="A1285" s="66" t="s">
        <v>19</v>
      </c>
      <c r="B1285" s="67"/>
      <c r="C1285" s="67"/>
      <c r="D1285" s="67"/>
      <c r="E1285" s="67"/>
      <c r="F1285" s="67"/>
      <c r="G1285" s="67"/>
      <c r="H1285" s="67"/>
      <c r="I1285" s="67"/>
      <c r="J1285" s="67"/>
      <c r="K1285" s="67"/>
      <c r="L1285" s="67"/>
      <c r="M1285" s="68"/>
    </row>
    <row r="1286" spans="1:13" ht="28.5" customHeight="1" thickBot="1">
      <c r="A1286" s="75" t="s">
        <v>20</v>
      </c>
      <c r="B1286" s="76"/>
      <c r="C1286" s="76"/>
      <c r="D1286" s="77"/>
      <c r="E1286" s="14" t="s">
        <v>11</v>
      </c>
      <c r="F1286" s="75" t="s">
        <v>39</v>
      </c>
      <c r="G1286" s="77"/>
      <c r="H1286" s="75" t="s">
        <v>21</v>
      </c>
      <c r="I1286" s="77"/>
      <c r="J1286" s="78" t="s">
        <v>22</v>
      </c>
      <c r="K1286" s="79"/>
      <c r="L1286" s="75" t="s">
        <v>15</v>
      </c>
      <c r="M1286" s="77"/>
    </row>
    <row r="1287" spans="1:13" ht="24" customHeight="1" thickBot="1">
      <c r="A1287" s="96"/>
      <c r="B1287" s="97"/>
      <c r="C1287" s="97"/>
      <c r="D1287" s="98"/>
      <c r="E1287" s="32"/>
      <c r="F1287" s="58"/>
      <c r="G1287" s="59"/>
      <c r="H1287" s="58"/>
      <c r="I1287" s="59"/>
      <c r="J1287" s="56"/>
      <c r="K1287" s="57"/>
      <c r="L1287" s="58"/>
      <c r="M1287" s="59"/>
    </row>
    <row r="1288" spans="1:13" ht="24" customHeight="1" thickBot="1">
      <c r="A1288" s="96"/>
      <c r="B1288" s="97"/>
      <c r="C1288" s="97"/>
      <c r="D1288" s="98"/>
      <c r="E1288" s="32"/>
      <c r="F1288" s="58"/>
      <c r="G1288" s="59"/>
      <c r="H1288" s="58"/>
      <c r="I1288" s="59"/>
      <c r="J1288" s="56"/>
      <c r="K1288" s="57"/>
      <c r="L1288" s="58"/>
      <c r="M1288" s="59"/>
    </row>
    <row r="1289" spans="1:13" ht="24" customHeight="1" thickBot="1">
      <c r="A1289" s="60" t="s">
        <v>23</v>
      </c>
      <c r="B1289" s="61"/>
      <c r="C1289" s="61"/>
      <c r="D1289" s="61"/>
      <c r="E1289" s="61"/>
      <c r="F1289" s="61"/>
      <c r="G1289" s="61"/>
      <c r="H1289" s="61"/>
      <c r="I1289" s="61"/>
      <c r="J1289" s="61"/>
      <c r="K1289" s="61"/>
      <c r="L1289" s="61"/>
      <c r="M1289" s="62"/>
    </row>
    <row r="1290" spans="1:13" ht="26.25" customHeight="1" thickBot="1">
      <c r="A1290" s="75" t="s">
        <v>24</v>
      </c>
      <c r="B1290" s="77"/>
      <c r="C1290" s="75" t="s">
        <v>25</v>
      </c>
      <c r="D1290" s="77"/>
      <c r="E1290" s="75" t="s">
        <v>26</v>
      </c>
      <c r="F1290" s="76"/>
      <c r="G1290" s="77"/>
      <c r="H1290" s="75" t="s">
        <v>27</v>
      </c>
      <c r="I1290" s="77"/>
      <c r="J1290" s="78" t="s">
        <v>21</v>
      </c>
      <c r="K1290" s="79"/>
      <c r="L1290" s="75" t="s">
        <v>22</v>
      </c>
      <c r="M1290" s="77"/>
    </row>
    <row r="1291" spans="1:13" s="18" customFormat="1" ht="23.1" customHeight="1" thickBot="1">
      <c r="A1291" s="99" t="s">
        <v>80</v>
      </c>
      <c r="B1291" s="98"/>
      <c r="C1291" s="56">
        <v>0</v>
      </c>
      <c r="D1291" s="57"/>
      <c r="E1291" s="56">
        <v>33</v>
      </c>
      <c r="F1291" s="100"/>
      <c r="G1291" s="57"/>
      <c r="H1291" s="56"/>
      <c r="I1291" s="57"/>
      <c r="J1291" s="56"/>
      <c r="K1291" s="57"/>
      <c r="L1291" s="56"/>
      <c r="M1291" s="57"/>
    </row>
    <row r="1292" spans="1:13" s="18" customFormat="1" ht="23.1" customHeight="1" thickBot="1">
      <c r="A1292" s="99" t="s">
        <v>182</v>
      </c>
      <c r="B1292" s="98"/>
      <c r="C1292" s="56">
        <v>0</v>
      </c>
      <c r="D1292" s="57"/>
      <c r="E1292" s="56">
        <v>2</v>
      </c>
      <c r="F1292" s="100"/>
      <c r="G1292" s="57"/>
      <c r="H1292" s="56"/>
      <c r="I1292" s="57"/>
      <c r="J1292" s="56"/>
      <c r="K1292" s="57"/>
      <c r="L1292" s="56"/>
      <c r="M1292" s="57"/>
    </row>
    <row r="1293" spans="1:13" s="18" customFormat="1" ht="23.1" customHeight="1" thickBot="1">
      <c r="A1293" s="99" t="s">
        <v>71</v>
      </c>
      <c r="B1293" s="137"/>
      <c r="C1293" s="56">
        <v>0</v>
      </c>
      <c r="D1293" s="57"/>
      <c r="E1293" s="56">
        <v>65</v>
      </c>
      <c r="F1293" s="100"/>
      <c r="G1293" s="57"/>
      <c r="H1293" s="56"/>
      <c r="I1293" s="57"/>
      <c r="J1293" s="56"/>
      <c r="K1293" s="57"/>
      <c r="L1293" s="56"/>
      <c r="M1293" s="57"/>
    </row>
    <row r="1294" spans="1:13" s="18" customFormat="1" ht="23.1" customHeight="1" thickBot="1">
      <c r="A1294" s="99" t="s">
        <v>119</v>
      </c>
      <c r="B1294" s="137"/>
      <c r="C1294" s="56">
        <v>0</v>
      </c>
      <c r="D1294" s="57"/>
      <c r="E1294" s="56">
        <v>38</v>
      </c>
      <c r="F1294" s="100"/>
      <c r="G1294" s="57"/>
      <c r="H1294" s="56"/>
      <c r="I1294" s="57"/>
      <c r="J1294" s="56"/>
      <c r="K1294" s="57"/>
      <c r="L1294" s="56"/>
      <c r="M1294" s="57"/>
    </row>
    <row r="1295" spans="1:13" ht="33" customHeight="1" thickBot="1">
      <c r="A1295" s="112" t="s">
        <v>60</v>
      </c>
      <c r="B1295" s="113"/>
      <c r="C1295" s="113"/>
      <c r="D1295" s="113"/>
      <c r="E1295" s="113"/>
      <c r="F1295" s="113"/>
      <c r="G1295" s="113"/>
      <c r="H1295" s="113"/>
      <c r="I1295" s="113"/>
      <c r="J1295" s="113"/>
      <c r="K1295" s="113"/>
      <c r="L1295" s="113"/>
      <c r="M1295" s="114"/>
    </row>
    <row r="1296" spans="1:13" ht="16.5" customHeight="1">
      <c r="A1296" s="115" t="s">
        <v>41</v>
      </c>
      <c r="B1296" s="116"/>
      <c r="C1296" s="116"/>
      <c r="D1296" s="116"/>
      <c r="E1296" s="116"/>
      <c r="F1296" s="116"/>
      <c r="G1296" s="116"/>
      <c r="H1296" s="116"/>
      <c r="I1296" s="116"/>
      <c r="J1296" s="116"/>
      <c r="K1296" s="116"/>
      <c r="L1296" s="116"/>
      <c r="M1296" s="117"/>
    </row>
    <row r="1297" spans="1:13" ht="16.5" customHeight="1">
      <c r="A1297" s="90" t="s">
        <v>28</v>
      </c>
      <c r="B1297" s="91"/>
      <c r="C1297" s="91"/>
      <c r="D1297" s="91"/>
      <c r="E1297" s="91"/>
      <c r="F1297" s="91"/>
      <c r="G1297" s="91"/>
      <c r="H1297" s="91"/>
      <c r="I1297" s="91"/>
      <c r="J1297" s="91"/>
      <c r="K1297" s="91"/>
      <c r="L1297" s="91"/>
      <c r="M1297" s="92"/>
    </row>
    <row r="1298" spans="1:13" ht="16.5" customHeight="1">
      <c r="A1298" s="106" t="s">
        <v>42</v>
      </c>
      <c r="B1298" s="107"/>
      <c r="C1298" s="107"/>
      <c r="D1298" s="107"/>
      <c r="E1298" s="107"/>
      <c r="F1298" s="107"/>
      <c r="G1298" s="107"/>
      <c r="H1298" s="107"/>
      <c r="I1298" s="107"/>
      <c r="J1298" s="107"/>
      <c r="K1298" s="107"/>
      <c r="L1298" s="107"/>
      <c r="M1298" s="108"/>
    </row>
    <row r="1299" spans="1:13" ht="16.5" customHeight="1">
      <c r="A1299" s="106" t="s">
        <v>43</v>
      </c>
      <c r="B1299" s="107"/>
      <c r="C1299" s="107"/>
      <c r="D1299" s="107"/>
      <c r="E1299" s="107"/>
      <c r="F1299" s="107"/>
      <c r="G1299" s="107"/>
      <c r="H1299" s="107"/>
      <c r="I1299" s="107"/>
      <c r="J1299" s="107"/>
      <c r="K1299" s="107"/>
      <c r="L1299" s="107"/>
      <c r="M1299" s="108"/>
    </row>
    <row r="1300" spans="1:13" ht="16.5" customHeight="1">
      <c r="A1300" s="106" t="s">
        <v>44</v>
      </c>
      <c r="B1300" s="107"/>
      <c r="C1300" s="107"/>
      <c r="D1300" s="107"/>
      <c r="E1300" s="107"/>
      <c r="F1300" s="107"/>
      <c r="G1300" s="107"/>
      <c r="H1300" s="107"/>
      <c r="I1300" s="107"/>
      <c r="J1300" s="107"/>
      <c r="K1300" s="107"/>
      <c r="L1300" s="107"/>
      <c r="M1300" s="108"/>
    </row>
    <row r="1301" spans="1:13" ht="16.5" customHeight="1">
      <c r="A1301" s="106" t="s">
        <v>45</v>
      </c>
      <c r="B1301" s="107"/>
      <c r="C1301" s="107"/>
      <c r="D1301" s="107"/>
      <c r="E1301" s="107"/>
      <c r="F1301" s="107"/>
      <c r="G1301" s="107"/>
      <c r="H1301" s="107"/>
      <c r="I1301" s="107"/>
      <c r="J1301" s="107"/>
      <c r="K1301" s="107"/>
      <c r="L1301" s="107"/>
      <c r="M1301" s="108"/>
    </row>
    <row r="1302" spans="1:13" ht="16.5" customHeight="1">
      <c r="A1302" s="106" t="s">
        <v>29</v>
      </c>
      <c r="B1302" s="107"/>
      <c r="C1302" s="107"/>
      <c r="D1302" s="107"/>
      <c r="E1302" s="107"/>
      <c r="F1302" s="107"/>
      <c r="G1302" s="107"/>
      <c r="H1302" s="107"/>
      <c r="I1302" s="107"/>
      <c r="J1302" s="107"/>
      <c r="K1302" s="107"/>
      <c r="L1302" s="107"/>
      <c r="M1302" s="108"/>
    </row>
    <row r="1303" spans="1:13" ht="0.75" customHeight="1" thickBot="1">
      <c r="A1303" s="109"/>
      <c r="B1303" s="110"/>
      <c r="C1303" s="110"/>
      <c r="D1303" s="110"/>
      <c r="E1303" s="110"/>
      <c r="F1303" s="110"/>
      <c r="G1303" s="110"/>
      <c r="H1303" s="110"/>
      <c r="I1303" s="110"/>
      <c r="J1303" s="110"/>
      <c r="K1303" s="110"/>
      <c r="L1303" s="110"/>
      <c r="M1303" s="111"/>
    </row>
    <row r="1304" spans="1:13" ht="20.100000000000001" customHeight="1" thickBot="1">
      <c r="A1304" s="72" t="s">
        <v>30</v>
      </c>
      <c r="B1304" s="73"/>
      <c r="C1304" s="73"/>
      <c r="D1304" s="73"/>
      <c r="E1304" s="73"/>
      <c r="F1304" s="73"/>
      <c r="G1304" s="73"/>
      <c r="H1304" s="73"/>
      <c r="I1304" s="73"/>
      <c r="J1304" s="73"/>
      <c r="K1304" s="73"/>
      <c r="L1304" s="73"/>
      <c r="M1304" s="74"/>
    </row>
    <row r="1305" spans="1:13" ht="20.100000000000001" customHeight="1" thickBot="1">
      <c r="A1305" s="72" t="s">
        <v>31</v>
      </c>
      <c r="B1305" s="73"/>
      <c r="C1305" s="73"/>
      <c r="D1305" s="73"/>
      <c r="E1305" s="73"/>
      <c r="F1305" s="73"/>
      <c r="G1305" s="73"/>
      <c r="H1305" s="73"/>
      <c r="I1305" s="73"/>
      <c r="J1305" s="73"/>
      <c r="K1305" s="73"/>
      <c r="L1305" s="73"/>
      <c r="M1305" s="74"/>
    </row>
    <row r="1306" spans="1:13" ht="19.5" customHeight="1" thickBot="1">
      <c r="A1306" s="72" t="s">
        <v>176</v>
      </c>
      <c r="B1306" s="73"/>
      <c r="C1306" s="73"/>
      <c r="D1306" s="73"/>
      <c r="E1306" s="73"/>
      <c r="F1306" s="73"/>
      <c r="G1306" s="73"/>
      <c r="H1306" s="73"/>
      <c r="I1306" s="73"/>
      <c r="J1306" s="73"/>
      <c r="K1306" s="73"/>
      <c r="L1306" s="73"/>
      <c r="M1306" s="74"/>
    </row>
    <row r="1307" spans="1:13" ht="20.100000000000001" customHeight="1" thickBot="1">
      <c r="A1307" s="60" t="s">
        <v>46</v>
      </c>
      <c r="B1307" s="61"/>
      <c r="C1307" s="61"/>
      <c r="D1307" s="61"/>
      <c r="E1307" s="61"/>
      <c r="F1307" s="61"/>
      <c r="G1307" s="61"/>
      <c r="H1307" s="61"/>
      <c r="I1307" s="61"/>
      <c r="J1307" s="61"/>
      <c r="K1307" s="61"/>
      <c r="L1307" s="61"/>
      <c r="M1307" s="62"/>
    </row>
    <row r="1308" spans="1:13" ht="11.1" customHeight="1">
      <c r="A1308" s="103" t="s">
        <v>47</v>
      </c>
      <c r="B1308" s="103"/>
      <c r="C1308" s="103"/>
      <c r="D1308" s="103"/>
      <c r="E1308" s="103"/>
      <c r="F1308" s="103"/>
      <c r="G1308" s="103"/>
      <c r="H1308" s="103"/>
      <c r="I1308" s="103"/>
      <c r="J1308" s="103"/>
      <c r="K1308" s="103"/>
      <c r="L1308" s="103"/>
      <c r="M1308" s="103"/>
    </row>
    <row r="1309" spans="1:13" ht="11.1" customHeight="1">
      <c r="A1309" s="104" t="s">
        <v>48</v>
      </c>
      <c r="B1309" s="104"/>
      <c r="C1309" s="104"/>
      <c r="D1309" s="104"/>
      <c r="E1309" s="104"/>
      <c r="F1309" s="104"/>
      <c r="G1309" s="104"/>
      <c r="H1309" s="104"/>
      <c r="I1309" s="104"/>
      <c r="J1309" s="104"/>
      <c r="K1309" s="104"/>
      <c r="L1309" s="104"/>
      <c r="M1309" s="104"/>
    </row>
    <row r="1310" spans="1:13" ht="11.1" customHeight="1">
      <c r="A1310" s="105" t="s">
        <v>49</v>
      </c>
      <c r="B1310" s="105"/>
      <c r="C1310" s="105"/>
      <c r="D1310" s="105"/>
      <c r="E1310" s="105"/>
      <c r="F1310" s="105"/>
      <c r="G1310" s="105"/>
      <c r="H1310" s="105"/>
      <c r="I1310" s="105"/>
      <c r="J1310" s="105"/>
      <c r="K1310" s="105"/>
      <c r="L1310" s="105"/>
      <c r="M1310" s="105"/>
    </row>
    <row r="1311" spans="1:13" ht="11.1" customHeight="1">
      <c r="A1311" s="105" t="s">
        <v>50</v>
      </c>
      <c r="B1311" s="105"/>
      <c r="C1311" s="105"/>
      <c r="D1311" s="105"/>
      <c r="E1311" s="105"/>
      <c r="F1311" s="105"/>
      <c r="G1311" s="105"/>
      <c r="H1311" s="105"/>
      <c r="I1311" s="105"/>
      <c r="J1311" s="105"/>
      <c r="K1311" s="105"/>
      <c r="L1311" s="105"/>
      <c r="M1311" s="105"/>
    </row>
    <row r="1312" spans="1:13" ht="11.1" customHeight="1">
      <c r="A1312" s="104" t="s">
        <v>51</v>
      </c>
      <c r="B1312" s="104"/>
      <c r="C1312" s="104"/>
      <c r="D1312" s="104"/>
      <c r="E1312" s="104"/>
      <c r="F1312" s="104"/>
      <c r="G1312" s="104"/>
      <c r="H1312" s="104"/>
      <c r="I1312" s="104"/>
      <c r="J1312" s="104"/>
      <c r="K1312" s="104"/>
      <c r="L1312" s="104"/>
      <c r="M1312" s="104"/>
    </row>
    <row r="1313" spans="1:13" ht="11.1" customHeight="1">
      <c r="A1313" s="104" t="s">
        <v>52</v>
      </c>
      <c r="B1313" s="104"/>
      <c r="C1313" s="104"/>
      <c r="D1313" s="104"/>
      <c r="E1313" s="104"/>
      <c r="F1313" s="104"/>
      <c r="G1313" s="104"/>
      <c r="H1313" s="104"/>
      <c r="I1313" s="104"/>
      <c r="J1313" s="104"/>
      <c r="K1313" s="104"/>
      <c r="L1313" s="104"/>
      <c r="M1313" s="104"/>
    </row>
    <row r="1314" spans="1:13" ht="11.1" customHeight="1">
      <c r="A1314" s="104" t="s">
        <v>53</v>
      </c>
      <c r="B1314" s="104"/>
      <c r="C1314" s="104"/>
      <c r="D1314" s="104"/>
      <c r="E1314" s="104"/>
      <c r="F1314" s="104"/>
      <c r="G1314" s="104"/>
      <c r="H1314" s="104"/>
      <c r="I1314" s="104"/>
      <c r="J1314" s="104"/>
      <c r="K1314" s="104"/>
      <c r="L1314" s="104"/>
      <c r="M1314" s="104"/>
    </row>
    <row r="1315" spans="1:13" ht="11.1" customHeight="1">
      <c r="A1315" s="101" t="s">
        <v>54</v>
      </c>
      <c r="B1315" s="101"/>
      <c r="C1315" s="101"/>
      <c r="D1315" s="101"/>
      <c r="E1315" s="101"/>
      <c r="F1315" s="101"/>
      <c r="G1315" s="101"/>
      <c r="H1315" s="101"/>
      <c r="I1315" s="101"/>
      <c r="J1315" s="101"/>
      <c r="K1315" s="101"/>
      <c r="L1315" s="101"/>
      <c r="M1315" s="101"/>
    </row>
    <row r="1316" spans="1:13" ht="11.1" customHeight="1">
      <c r="A1316" s="101" t="s">
        <v>55</v>
      </c>
      <c r="B1316" s="101"/>
      <c r="C1316" s="101"/>
      <c r="D1316" s="101"/>
      <c r="E1316" s="101"/>
      <c r="F1316" s="101"/>
      <c r="G1316" s="101"/>
      <c r="H1316" s="101"/>
      <c r="I1316" s="101"/>
      <c r="J1316" s="101"/>
      <c r="K1316" s="101"/>
      <c r="L1316" s="101"/>
      <c r="M1316" s="101"/>
    </row>
  </sheetData>
  <mergeCells count="3156">
    <mergeCell ref="A7:C7"/>
    <mergeCell ref="D7:G7"/>
    <mergeCell ref="H7:J7"/>
    <mergeCell ref="K7:M7"/>
    <mergeCell ref="A8:M8"/>
    <mergeCell ref="A9:D9"/>
    <mergeCell ref="F9:G9"/>
    <mergeCell ref="H9:I9"/>
    <mergeCell ref="J9:K9"/>
    <mergeCell ref="L9:M9"/>
    <mergeCell ref="D5:E5"/>
    <mergeCell ref="K5:L5"/>
    <mergeCell ref="A6:C6"/>
    <mergeCell ref="D6:G6"/>
    <mergeCell ref="H6:J6"/>
    <mergeCell ref="K6:M6"/>
    <mergeCell ref="A1:M1"/>
    <mergeCell ref="H3:J3"/>
    <mergeCell ref="K3:M3"/>
    <mergeCell ref="A4:C4"/>
    <mergeCell ref="D4:G4"/>
    <mergeCell ref="H4:J4"/>
    <mergeCell ref="K4:M4"/>
    <mergeCell ref="A14:D14"/>
    <mergeCell ref="F14:G14"/>
    <mergeCell ref="H14:I14"/>
    <mergeCell ref="J14:K14"/>
    <mergeCell ref="L14:M14"/>
    <mergeCell ref="A15:M15"/>
    <mergeCell ref="A12:D12"/>
    <mergeCell ref="F12:G12"/>
    <mergeCell ref="H12:I12"/>
    <mergeCell ref="J12:K12"/>
    <mergeCell ref="L12:M12"/>
    <mergeCell ref="A13:D13"/>
    <mergeCell ref="F13:G13"/>
    <mergeCell ref="H13:I13"/>
    <mergeCell ref="J13:K13"/>
    <mergeCell ref="L13:M13"/>
    <mergeCell ref="A10:D10"/>
    <mergeCell ref="F10:G10"/>
    <mergeCell ref="H10:I10"/>
    <mergeCell ref="J10:K10"/>
    <mergeCell ref="L10:M10"/>
    <mergeCell ref="A11:D11"/>
    <mergeCell ref="F11:G11"/>
    <mergeCell ref="H11:I11"/>
    <mergeCell ref="J11:K11"/>
    <mergeCell ref="L11:M11"/>
    <mergeCell ref="A20:B20"/>
    <mergeCell ref="C20:D20"/>
    <mergeCell ref="E20:G20"/>
    <mergeCell ref="H20:I20"/>
    <mergeCell ref="J20:K20"/>
    <mergeCell ref="L20:M20"/>
    <mergeCell ref="A18:D18"/>
    <mergeCell ref="F18:G18"/>
    <mergeCell ref="H18:I18"/>
    <mergeCell ref="J18:K18"/>
    <mergeCell ref="L18:M18"/>
    <mergeCell ref="A19:M19"/>
    <mergeCell ref="A16:D16"/>
    <mergeCell ref="F16:G16"/>
    <mergeCell ref="H16:I16"/>
    <mergeCell ref="J16:K16"/>
    <mergeCell ref="L16:M16"/>
    <mergeCell ref="A17:D17"/>
    <mergeCell ref="F17:G17"/>
    <mergeCell ref="H17:I17"/>
    <mergeCell ref="J17:K17"/>
    <mergeCell ref="L17:M17"/>
    <mergeCell ref="A23:M23"/>
    <mergeCell ref="A24:M24"/>
    <mergeCell ref="A25:M25"/>
    <mergeCell ref="A26:M26"/>
    <mergeCell ref="A27:M27"/>
    <mergeCell ref="A22:B22"/>
    <mergeCell ref="C22:D22"/>
    <mergeCell ref="E22:G22"/>
    <mergeCell ref="H22:I22"/>
    <mergeCell ref="J22:K22"/>
    <mergeCell ref="L22:M22"/>
    <mergeCell ref="A21:B21"/>
    <mergeCell ref="C21:D21"/>
    <mergeCell ref="E21:G21"/>
    <mergeCell ref="H21:I21"/>
    <mergeCell ref="J21:K21"/>
    <mergeCell ref="L21:M21"/>
    <mergeCell ref="A40:M40"/>
    <mergeCell ref="A41:M41"/>
    <mergeCell ref="A42:M42"/>
    <mergeCell ref="A43:M43"/>
    <mergeCell ref="A44:M44"/>
    <mergeCell ref="H46:J46"/>
    <mergeCell ref="K46:M46"/>
    <mergeCell ref="A34:M34"/>
    <mergeCell ref="A35:M35"/>
    <mergeCell ref="A36:M36"/>
    <mergeCell ref="A37:M37"/>
    <mergeCell ref="A38:M38"/>
    <mergeCell ref="A39:M39"/>
    <mergeCell ref="A28:M28"/>
    <mergeCell ref="A29:M29"/>
    <mergeCell ref="A30:M30"/>
    <mergeCell ref="A31:M31"/>
    <mergeCell ref="A32:M32"/>
    <mergeCell ref="A33:M33"/>
    <mergeCell ref="A51:M51"/>
    <mergeCell ref="A52:D52"/>
    <mergeCell ref="F52:G52"/>
    <mergeCell ref="H52:I52"/>
    <mergeCell ref="J52:K52"/>
    <mergeCell ref="L52:M52"/>
    <mergeCell ref="A49:C49"/>
    <mergeCell ref="D49:G49"/>
    <mergeCell ref="H49:J49"/>
    <mergeCell ref="K49:M49"/>
    <mergeCell ref="A50:C50"/>
    <mergeCell ref="D50:G50"/>
    <mergeCell ref="H50:J50"/>
    <mergeCell ref="K50:M50"/>
    <mergeCell ref="A47:C47"/>
    <mergeCell ref="D47:G47"/>
    <mergeCell ref="H47:J47"/>
    <mergeCell ref="K47:M47"/>
    <mergeCell ref="D48:E48"/>
    <mergeCell ref="K48:L48"/>
    <mergeCell ref="A57:D57"/>
    <mergeCell ref="F57:G57"/>
    <mergeCell ref="H57:I57"/>
    <mergeCell ref="J57:K57"/>
    <mergeCell ref="L57:M57"/>
    <mergeCell ref="A58:M58"/>
    <mergeCell ref="A55:D55"/>
    <mergeCell ref="F55:G55"/>
    <mergeCell ref="H55:I55"/>
    <mergeCell ref="J55:K55"/>
    <mergeCell ref="L55:M55"/>
    <mergeCell ref="A56:D56"/>
    <mergeCell ref="F56:G56"/>
    <mergeCell ref="H56:I56"/>
    <mergeCell ref="J56:K56"/>
    <mergeCell ref="L56:M56"/>
    <mergeCell ref="A53:D53"/>
    <mergeCell ref="F53:G53"/>
    <mergeCell ref="H53:I53"/>
    <mergeCell ref="J53:K53"/>
    <mergeCell ref="L53:M53"/>
    <mergeCell ref="A54:D54"/>
    <mergeCell ref="F54:G54"/>
    <mergeCell ref="H54:I54"/>
    <mergeCell ref="J54:K54"/>
    <mergeCell ref="L54:M54"/>
    <mergeCell ref="A63:B63"/>
    <mergeCell ref="C63:D63"/>
    <mergeCell ref="E63:G63"/>
    <mergeCell ref="H63:I63"/>
    <mergeCell ref="J63:K63"/>
    <mergeCell ref="L63:M63"/>
    <mergeCell ref="A61:D61"/>
    <mergeCell ref="F61:G61"/>
    <mergeCell ref="H61:I61"/>
    <mergeCell ref="J61:K61"/>
    <mergeCell ref="L61:M61"/>
    <mergeCell ref="A62:M62"/>
    <mergeCell ref="A59:D59"/>
    <mergeCell ref="F59:G59"/>
    <mergeCell ref="H59:I59"/>
    <mergeCell ref="J59:K59"/>
    <mergeCell ref="L59:M59"/>
    <mergeCell ref="A60:D60"/>
    <mergeCell ref="F60:G60"/>
    <mergeCell ref="H60:I60"/>
    <mergeCell ref="J60:K60"/>
    <mergeCell ref="L60:M60"/>
    <mergeCell ref="A66:M66"/>
    <mergeCell ref="A67:M67"/>
    <mergeCell ref="A68:M68"/>
    <mergeCell ref="A69:M69"/>
    <mergeCell ref="A70:M70"/>
    <mergeCell ref="A71:M71"/>
    <mergeCell ref="A65:B65"/>
    <mergeCell ref="C65:D65"/>
    <mergeCell ref="E65:G65"/>
    <mergeCell ref="H65:I65"/>
    <mergeCell ref="J65:K65"/>
    <mergeCell ref="L65:M65"/>
    <mergeCell ref="A64:B64"/>
    <mergeCell ref="C64:D64"/>
    <mergeCell ref="E64:G64"/>
    <mergeCell ref="H64:I64"/>
    <mergeCell ref="J64:K64"/>
    <mergeCell ref="L64:M64"/>
    <mergeCell ref="A84:M84"/>
    <mergeCell ref="A85:M85"/>
    <mergeCell ref="A86:M86"/>
    <mergeCell ref="A87:M87"/>
    <mergeCell ref="A88:M88"/>
    <mergeCell ref="H90:J90"/>
    <mergeCell ref="K90:M90"/>
    <mergeCell ref="A78:M78"/>
    <mergeCell ref="A79:M79"/>
    <mergeCell ref="A80:M80"/>
    <mergeCell ref="A81:M81"/>
    <mergeCell ref="A82:M82"/>
    <mergeCell ref="A83:M83"/>
    <mergeCell ref="A72:M72"/>
    <mergeCell ref="A73:M73"/>
    <mergeCell ref="A74:M74"/>
    <mergeCell ref="A75:M75"/>
    <mergeCell ref="A76:M76"/>
    <mergeCell ref="A77:M77"/>
    <mergeCell ref="A95:M95"/>
    <mergeCell ref="A96:D96"/>
    <mergeCell ref="F96:G96"/>
    <mergeCell ref="H96:I96"/>
    <mergeCell ref="J96:K96"/>
    <mergeCell ref="L96:M96"/>
    <mergeCell ref="A93:C93"/>
    <mergeCell ref="D93:G93"/>
    <mergeCell ref="H93:J93"/>
    <mergeCell ref="K93:M93"/>
    <mergeCell ref="A94:C94"/>
    <mergeCell ref="D94:G94"/>
    <mergeCell ref="H94:J94"/>
    <mergeCell ref="K94:M94"/>
    <mergeCell ref="A91:C91"/>
    <mergeCell ref="D91:G91"/>
    <mergeCell ref="H91:J91"/>
    <mergeCell ref="K91:M91"/>
    <mergeCell ref="D92:E92"/>
    <mergeCell ref="K92:L92"/>
    <mergeCell ref="A101:D101"/>
    <mergeCell ref="F101:G101"/>
    <mergeCell ref="H101:I101"/>
    <mergeCell ref="J101:K101"/>
    <mergeCell ref="L101:M101"/>
    <mergeCell ref="A102:M102"/>
    <mergeCell ref="A99:D99"/>
    <mergeCell ref="F99:G99"/>
    <mergeCell ref="H99:I99"/>
    <mergeCell ref="J99:K99"/>
    <mergeCell ref="L99:M99"/>
    <mergeCell ref="A100:D100"/>
    <mergeCell ref="F100:G100"/>
    <mergeCell ref="H100:I100"/>
    <mergeCell ref="J100:K100"/>
    <mergeCell ref="L100:M100"/>
    <mergeCell ref="A97:D97"/>
    <mergeCell ref="F97:G97"/>
    <mergeCell ref="H97:I97"/>
    <mergeCell ref="J97:K97"/>
    <mergeCell ref="L97:M97"/>
    <mergeCell ref="A98:D98"/>
    <mergeCell ref="F98:G98"/>
    <mergeCell ref="H98:I98"/>
    <mergeCell ref="J98:K98"/>
    <mergeCell ref="L98:M98"/>
    <mergeCell ref="A107:B107"/>
    <mergeCell ref="C107:D107"/>
    <mergeCell ref="E107:G107"/>
    <mergeCell ref="H107:I107"/>
    <mergeCell ref="J107:K107"/>
    <mergeCell ref="L107:M107"/>
    <mergeCell ref="A105:D105"/>
    <mergeCell ref="F105:G105"/>
    <mergeCell ref="H105:I105"/>
    <mergeCell ref="J105:K105"/>
    <mergeCell ref="L105:M105"/>
    <mergeCell ref="A106:M106"/>
    <mergeCell ref="A103:D103"/>
    <mergeCell ref="F103:G103"/>
    <mergeCell ref="H103:I103"/>
    <mergeCell ref="J103:K103"/>
    <mergeCell ref="L103:M103"/>
    <mergeCell ref="A104:D104"/>
    <mergeCell ref="F104:G104"/>
    <mergeCell ref="H104:I104"/>
    <mergeCell ref="J104:K104"/>
    <mergeCell ref="L104:M104"/>
    <mergeCell ref="A110:M110"/>
    <mergeCell ref="A111:M111"/>
    <mergeCell ref="A112:M112"/>
    <mergeCell ref="A113:M113"/>
    <mergeCell ref="A114:M114"/>
    <mergeCell ref="A109:B109"/>
    <mergeCell ref="C109:D109"/>
    <mergeCell ref="E109:G109"/>
    <mergeCell ref="H109:I109"/>
    <mergeCell ref="J109:K109"/>
    <mergeCell ref="L109:M109"/>
    <mergeCell ref="A108:B108"/>
    <mergeCell ref="C108:D108"/>
    <mergeCell ref="E108:G108"/>
    <mergeCell ref="H108:I108"/>
    <mergeCell ref="J108:K108"/>
    <mergeCell ref="L108:M108"/>
    <mergeCell ref="A127:M127"/>
    <mergeCell ref="A128:M128"/>
    <mergeCell ref="A129:M129"/>
    <mergeCell ref="A130:M130"/>
    <mergeCell ref="A131:M131"/>
    <mergeCell ref="H133:J133"/>
    <mergeCell ref="K133:M133"/>
    <mergeCell ref="A121:M121"/>
    <mergeCell ref="A122:M122"/>
    <mergeCell ref="A123:M123"/>
    <mergeCell ref="A124:M124"/>
    <mergeCell ref="A125:M125"/>
    <mergeCell ref="A126:M126"/>
    <mergeCell ref="A115:M115"/>
    <mergeCell ref="A116:M116"/>
    <mergeCell ref="A117:M117"/>
    <mergeCell ref="A118:M118"/>
    <mergeCell ref="A119:M119"/>
    <mergeCell ref="A120:M120"/>
    <mergeCell ref="A138:M138"/>
    <mergeCell ref="A139:D139"/>
    <mergeCell ref="F139:G139"/>
    <mergeCell ref="H139:I139"/>
    <mergeCell ref="J139:K139"/>
    <mergeCell ref="L139:M139"/>
    <mergeCell ref="A136:C136"/>
    <mergeCell ref="D136:G136"/>
    <mergeCell ref="H136:J136"/>
    <mergeCell ref="K136:M136"/>
    <mergeCell ref="A137:C137"/>
    <mergeCell ref="D137:G137"/>
    <mergeCell ref="H137:J137"/>
    <mergeCell ref="K137:M137"/>
    <mergeCell ref="A134:C134"/>
    <mergeCell ref="D134:G134"/>
    <mergeCell ref="H134:J134"/>
    <mergeCell ref="K134:M134"/>
    <mergeCell ref="D135:E135"/>
    <mergeCell ref="K135:L135"/>
    <mergeCell ref="A142:D142"/>
    <mergeCell ref="F142:G142"/>
    <mergeCell ref="H142:I142"/>
    <mergeCell ref="J142:K142"/>
    <mergeCell ref="L142:M142"/>
    <mergeCell ref="A143:D143"/>
    <mergeCell ref="F143:G143"/>
    <mergeCell ref="H143:I143"/>
    <mergeCell ref="J143:K143"/>
    <mergeCell ref="L143:M143"/>
    <mergeCell ref="A140:D140"/>
    <mergeCell ref="F140:G140"/>
    <mergeCell ref="H140:I140"/>
    <mergeCell ref="J140:K140"/>
    <mergeCell ref="L140:M140"/>
    <mergeCell ref="A141:D141"/>
    <mergeCell ref="F141:G141"/>
    <mergeCell ref="H141:I141"/>
    <mergeCell ref="J141:K141"/>
    <mergeCell ref="L141:M141"/>
    <mergeCell ref="A148:D148"/>
    <mergeCell ref="F148:G148"/>
    <mergeCell ref="H148:I148"/>
    <mergeCell ref="J148:K148"/>
    <mergeCell ref="L148:M148"/>
    <mergeCell ref="A149:M149"/>
    <mergeCell ref="A146:D146"/>
    <mergeCell ref="F146:G146"/>
    <mergeCell ref="H146:I146"/>
    <mergeCell ref="J146:K146"/>
    <mergeCell ref="L146:M146"/>
    <mergeCell ref="A147:D147"/>
    <mergeCell ref="F147:G147"/>
    <mergeCell ref="H147:I147"/>
    <mergeCell ref="J147:K147"/>
    <mergeCell ref="L147:M147"/>
    <mergeCell ref="A144:D144"/>
    <mergeCell ref="F144:G144"/>
    <mergeCell ref="H144:I144"/>
    <mergeCell ref="J144:K144"/>
    <mergeCell ref="L144:M144"/>
    <mergeCell ref="A145:M145"/>
    <mergeCell ref="A153:M153"/>
    <mergeCell ref="A154:M154"/>
    <mergeCell ref="A155:M155"/>
    <mergeCell ref="A156:M156"/>
    <mergeCell ref="A151:B151"/>
    <mergeCell ref="C151:D151"/>
    <mergeCell ref="E151:G151"/>
    <mergeCell ref="H151:I151"/>
    <mergeCell ref="J151:K151"/>
    <mergeCell ref="L151:M151"/>
    <mergeCell ref="A152:B152"/>
    <mergeCell ref="C152:D152"/>
    <mergeCell ref="E152:G152"/>
    <mergeCell ref="H152:I152"/>
    <mergeCell ref="J152:K152"/>
    <mergeCell ref="L152:M152"/>
    <mergeCell ref="A150:B150"/>
    <mergeCell ref="C150:D150"/>
    <mergeCell ref="E150:G150"/>
    <mergeCell ref="H150:I150"/>
    <mergeCell ref="J150:K150"/>
    <mergeCell ref="L150:M150"/>
    <mergeCell ref="A169:M169"/>
    <mergeCell ref="A170:M170"/>
    <mergeCell ref="A171:M171"/>
    <mergeCell ref="A172:M172"/>
    <mergeCell ref="A173:M173"/>
    <mergeCell ref="H175:J175"/>
    <mergeCell ref="K175:M175"/>
    <mergeCell ref="A163:M163"/>
    <mergeCell ref="A164:M164"/>
    <mergeCell ref="A165:M165"/>
    <mergeCell ref="A166:M166"/>
    <mergeCell ref="A167:M167"/>
    <mergeCell ref="A168:M168"/>
    <mergeCell ref="A157:M157"/>
    <mergeCell ref="A158:M158"/>
    <mergeCell ref="A159:M159"/>
    <mergeCell ref="A160:M160"/>
    <mergeCell ref="A161:M161"/>
    <mergeCell ref="A162:M162"/>
    <mergeCell ref="A180:M180"/>
    <mergeCell ref="A181:D181"/>
    <mergeCell ref="F181:G181"/>
    <mergeCell ref="H181:I181"/>
    <mergeCell ref="J181:K181"/>
    <mergeCell ref="L181:M181"/>
    <mergeCell ref="A178:C178"/>
    <mergeCell ref="D178:G178"/>
    <mergeCell ref="H178:J178"/>
    <mergeCell ref="K178:M178"/>
    <mergeCell ref="A179:C179"/>
    <mergeCell ref="D179:G179"/>
    <mergeCell ref="H179:J179"/>
    <mergeCell ref="K179:M179"/>
    <mergeCell ref="A176:C176"/>
    <mergeCell ref="D176:G176"/>
    <mergeCell ref="H176:J176"/>
    <mergeCell ref="K176:M176"/>
    <mergeCell ref="D177:E177"/>
    <mergeCell ref="K177:L177"/>
    <mergeCell ref="A186:D186"/>
    <mergeCell ref="F186:G186"/>
    <mergeCell ref="H186:I186"/>
    <mergeCell ref="J186:K186"/>
    <mergeCell ref="L186:M186"/>
    <mergeCell ref="A187:M187"/>
    <mergeCell ref="A184:D184"/>
    <mergeCell ref="F184:G184"/>
    <mergeCell ref="H184:I184"/>
    <mergeCell ref="J184:K184"/>
    <mergeCell ref="L184:M184"/>
    <mergeCell ref="A185:D185"/>
    <mergeCell ref="F185:G185"/>
    <mergeCell ref="H185:I185"/>
    <mergeCell ref="J185:K185"/>
    <mergeCell ref="L185:M185"/>
    <mergeCell ref="A182:D182"/>
    <mergeCell ref="F182:G182"/>
    <mergeCell ref="H182:I182"/>
    <mergeCell ref="J182:K182"/>
    <mergeCell ref="L182:M182"/>
    <mergeCell ref="A183:D183"/>
    <mergeCell ref="F183:G183"/>
    <mergeCell ref="H183:I183"/>
    <mergeCell ref="J183:K183"/>
    <mergeCell ref="L183:M183"/>
    <mergeCell ref="A192:B192"/>
    <mergeCell ref="C192:D192"/>
    <mergeCell ref="E192:G192"/>
    <mergeCell ref="H192:I192"/>
    <mergeCell ref="J192:K192"/>
    <mergeCell ref="L192:M192"/>
    <mergeCell ref="A190:D190"/>
    <mergeCell ref="F190:G190"/>
    <mergeCell ref="H190:I190"/>
    <mergeCell ref="J190:K190"/>
    <mergeCell ref="L190:M190"/>
    <mergeCell ref="A191:M191"/>
    <mergeCell ref="A188:D188"/>
    <mergeCell ref="F188:G188"/>
    <mergeCell ref="H188:I188"/>
    <mergeCell ref="J188:K188"/>
    <mergeCell ref="L188:M188"/>
    <mergeCell ref="A189:D189"/>
    <mergeCell ref="F189:G189"/>
    <mergeCell ref="H189:I189"/>
    <mergeCell ref="J189:K189"/>
    <mergeCell ref="L189:M189"/>
    <mergeCell ref="A199:M199"/>
    <mergeCell ref="A200:M200"/>
    <mergeCell ref="A201:M201"/>
    <mergeCell ref="A202:M202"/>
    <mergeCell ref="A203:M203"/>
    <mergeCell ref="A204:M204"/>
    <mergeCell ref="A195:M195"/>
    <mergeCell ref="A196:M196"/>
    <mergeCell ref="A197:M197"/>
    <mergeCell ref="A198:M198"/>
    <mergeCell ref="A193:B193"/>
    <mergeCell ref="C193:D193"/>
    <mergeCell ref="E193:G193"/>
    <mergeCell ref="H193:I193"/>
    <mergeCell ref="J193:K193"/>
    <mergeCell ref="L193:M193"/>
    <mergeCell ref="A194:B194"/>
    <mergeCell ref="C194:D194"/>
    <mergeCell ref="E194:G194"/>
    <mergeCell ref="H194:I194"/>
    <mergeCell ref="J194:K194"/>
    <mergeCell ref="L194:M194"/>
    <mergeCell ref="A218:C218"/>
    <mergeCell ref="D218:G218"/>
    <mergeCell ref="H218:J218"/>
    <mergeCell ref="K218:M218"/>
    <mergeCell ref="D219:E219"/>
    <mergeCell ref="K219:L219"/>
    <mergeCell ref="A211:M211"/>
    <mergeCell ref="A212:M212"/>
    <mergeCell ref="A213:M213"/>
    <mergeCell ref="A214:M214"/>
    <mergeCell ref="A215:M215"/>
    <mergeCell ref="H217:J217"/>
    <mergeCell ref="K217:M217"/>
    <mergeCell ref="A205:M205"/>
    <mergeCell ref="A206:M206"/>
    <mergeCell ref="A207:M207"/>
    <mergeCell ref="A208:M208"/>
    <mergeCell ref="A209:M209"/>
    <mergeCell ref="A210:M210"/>
    <mergeCell ref="A224:D224"/>
    <mergeCell ref="F224:G224"/>
    <mergeCell ref="H224:I224"/>
    <mergeCell ref="J224:K224"/>
    <mergeCell ref="L224:M224"/>
    <mergeCell ref="A225:D225"/>
    <mergeCell ref="F225:G225"/>
    <mergeCell ref="H225:I225"/>
    <mergeCell ref="J225:K225"/>
    <mergeCell ref="L225:M225"/>
    <mergeCell ref="A222:M222"/>
    <mergeCell ref="A223:D223"/>
    <mergeCell ref="F223:G223"/>
    <mergeCell ref="H223:I223"/>
    <mergeCell ref="J223:K223"/>
    <mergeCell ref="L223:M223"/>
    <mergeCell ref="A220:C220"/>
    <mergeCell ref="D220:G220"/>
    <mergeCell ref="H220:J220"/>
    <mergeCell ref="K220:M220"/>
    <mergeCell ref="A221:C221"/>
    <mergeCell ref="D221:G221"/>
    <mergeCell ref="H221:J221"/>
    <mergeCell ref="K221:M221"/>
    <mergeCell ref="A230:D230"/>
    <mergeCell ref="F230:G230"/>
    <mergeCell ref="H230:I230"/>
    <mergeCell ref="J230:K230"/>
    <mergeCell ref="L230:M230"/>
    <mergeCell ref="A231:D231"/>
    <mergeCell ref="F231:G231"/>
    <mergeCell ref="H231:I231"/>
    <mergeCell ref="J231:K231"/>
    <mergeCell ref="L231:M231"/>
    <mergeCell ref="A228:D228"/>
    <mergeCell ref="F228:G228"/>
    <mergeCell ref="H228:I228"/>
    <mergeCell ref="J228:K228"/>
    <mergeCell ref="L228:M228"/>
    <mergeCell ref="A229:M229"/>
    <mergeCell ref="A226:D226"/>
    <mergeCell ref="F226:G226"/>
    <mergeCell ref="H226:I226"/>
    <mergeCell ref="J226:K226"/>
    <mergeCell ref="L226:M226"/>
    <mergeCell ref="A227:D227"/>
    <mergeCell ref="F227:G227"/>
    <mergeCell ref="H227:I227"/>
    <mergeCell ref="J227:K227"/>
    <mergeCell ref="L227:M227"/>
    <mergeCell ref="A235:B235"/>
    <mergeCell ref="C235:D235"/>
    <mergeCell ref="E235:G235"/>
    <mergeCell ref="H235:I235"/>
    <mergeCell ref="J235:K235"/>
    <mergeCell ref="L235:M235"/>
    <mergeCell ref="A234:B234"/>
    <mergeCell ref="C234:D234"/>
    <mergeCell ref="E234:G234"/>
    <mergeCell ref="H234:I234"/>
    <mergeCell ref="J234:K234"/>
    <mergeCell ref="L234:M234"/>
    <mergeCell ref="A232:D232"/>
    <mergeCell ref="F232:G232"/>
    <mergeCell ref="H232:I232"/>
    <mergeCell ref="J232:K232"/>
    <mergeCell ref="L232:M232"/>
    <mergeCell ref="A233:M233"/>
    <mergeCell ref="A243:M243"/>
    <mergeCell ref="A244:M244"/>
    <mergeCell ref="A245:M245"/>
    <mergeCell ref="A246:M246"/>
    <mergeCell ref="A247:M247"/>
    <mergeCell ref="A248:M248"/>
    <mergeCell ref="A237:M237"/>
    <mergeCell ref="A238:M238"/>
    <mergeCell ref="A239:M239"/>
    <mergeCell ref="A240:M240"/>
    <mergeCell ref="A241:M241"/>
    <mergeCell ref="A242:M242"/>
    <mergeCell ref="A236:B236"/>
    <mergeCell ref="C236:D236"/>
    <mergeCell ref="E236:G236"/>
    <mergeCell ref="H236:I236"/>
    <mergeCell ref="J236:K236"/>
    <mergeCell ref="L236:M236"/>
    <mergeCell ref="A262:C262"/>
    <mergeCell ref="D262:G262"/>
    <mergeCell ref="H262:J262"/>
    <mergeCell ref="K262:M262"/>
    <mergeCell ref="D263:E263"/>
    <mergeCell ref="K263:L263"/>
    <mergeCell ref="A255:M255"/>
    <mergeCell ref="A256:M256"/>
    <mergeCell ref="A257:M257"/>
    <mergeCell ref="A258:M258"/>
    <mergeCell ref="A259:M259"/>
    <mergeCell ref="H261:J261"/>
    <mergeCell ref="K261:M261"/>
    <mergeCell ref="A249:M249"/>
    <mergeCell ref="A250:M250"/>
    <mergeCell ref="A251:M251"/>
    <mergeCell ref="A252:M252"/>
    <mergeCell ref="A253:M253"/>
    <mergeCell ref="A254:M254"/>
    <mergeCell ref="A268:D268"/>
    <mergeCell ref="F268:G268"/>
    <mergeCell ref="H268:I268"/>
    <mergeCell ref="J268:K268"/>
    <mergeCell ref="L268:M268"/>
    <mergeCell ref="A269:D269"/>
    <mergeCell ref="F269:G269"/>
    <mergeCell ref="H269:I269"/>
    <mergeCell ref="J269:K269"/>
    <mergeCell ref="L269:M269"/>
    <mergeCell ref="A266:M266"/>
    <mergeCell ref="A267:D267"/>
    <mergeCell ref="F267:G267"/>
    <mergeCell ref="H267:I267"/>
    <mergeCell ref="J267:K267"/>
    <mergeCell ref="L267:M267"/>
    <mergeCell ref="A264:C264"/>
    <mergeCell ref="D264:G264"/>
    <mergeCell ref="H264:J264"/>
    <mergeCell ref="K264:M264"/>
    <mergeCell ref="A265:C265"/>
    <mergeCell ref="D265:G265"/>
    <mergeCell ref="H265:J265"/>
    <mergeCell ref="K265:M265"/>
    <mergeCell ref="A274:D274"/>
    <mergeCell ref="F274:G274"/>
    <mergeCell ref="H274:I274"/>
    <mergeCell ref="J274:K274"/>
    <mergeCell ref="L274:M274"/>
    <mergeCell ref="A275:D275"/>
    <mergeCell ref="F275:G275"/>
    <mergeCell ref="H275:I275"/>
    <mergeCell ref="J275:K275"/>
    <mergeCell ref="L275:M275"/>
    <mergeCell ref="A272:D272"/>
    <mergeCell ref="F272:G272"/>
    <mergeCell ref="H272:I272"/>
    <mergeCell ref="J272:K272"/>
    <mergeCell ref="L272:M272"/>
    <mergeCell ref="A273:M273"/>
    <mergeCell ref="A270:D270"/>
    <mergeCell ref="F270:G270"/>
    <mergeCell ref="H270:I270"/>
    <mergeCell ref="J270:K270"/>
    <mergeCell ref="L270:M270"/>
    <mergeCell ref="A271:D271"/>
    <mergeCell ref="F271:G271"/>
    <mergeCell ref="H271:I271"/>
    <mergeCell ref="J271:K271"/>
    <mergeCell ref="L271:M271"/>
    <mergeCell ref="A279:B279"/>
    <mergeCell ref="C279:D279"/>
    <mergeCell ref="E279:G279"/>
    <mergeCell ref="H279:I279"/>
    <mergeCell ref="J279:K279"/>
    <mergeCell ref="L279:M279"/>
    <mergeCell ref="A278:B278"/>
    <mergeCell ref="C278:D278"/>
    <mergeCell ref="E278:G278"/>
    <mergeCell ref="H278:I278"/>
    <mergeCell ref="J278:K278"/>
    <mergeCell ref="L278:M278"/>
    <mergeCell ref="A276:D276"/>
    <mergeCell ref="F276:G276"/>
    <mergeCell ref="H276:I276"/>
    <mergeCell ref="J276:K276"/>
    <mergeCell ref="L276:M276"/>
    <mergeCell ref="A277:M277"/>
    <mergeCell ref="A287:M287"/>
    <mergeCell ref="A288:M288"/>
    <mergeCell ref="A289:M289"/>
    <mergeCell ref="A290:M290"/>
    <mergeCell ref="A291:M291"/>
    <mergeCell ref="A292:M292"/>
    <mergeCell ref="A281:M281"/>
    <mergeCell ref="A282:M282"/>
    <mergeCell ref="A283:M283"/>
    <mergeCell ref="A284:M284"/>
    <mergeCell ref="A285:M285"/>
    <mergeCell ref="A286:M286"/>
    <mergeCell ref="A280:B280"/>
    <mergeCell ref="C280:D280"/>
    <mergeCell ref="E280:G280"/>
    <mergeCell ref="H280:I280"/>
    <mergeCell ref="J280:K280"/>
    <mergeCell ref="L280:M280"/>
    <mergeCell ref="A306:C306"/>
    <mergeCell ref="D306:G306"/>
    <mergeCell ref="H306:J306"/>
    <mergeCell ref="K306:M306"/>
    <mergeCell ref="D307:E307"/>
    <mergeCell ref="K307:L307"/>
    <mergeCell ref="A299:M299"/>
    <mergeCell ref="A300:M300"/>
    <mergeCell ref="A301:M301"/>
    <mergeCell ref="A302:M302"/>
    <mergeCell ref="A303:M303"/>
    <mergeCell ref="H305:J305"/>
    <mergeCell ref="K305:M305"/>
    <mergeCell ref="A293:M293"/>
    <mergeCell ref="A294:M294"/>
    <mergeCell ref="A295:M295"/>
    <mergeCell ref="A296:M296"/>
    <mergeCell ref="A297:M297"/>
    <mergeCell ref="A298:M298"/>
    <mergeCell ref="A312:D312"/>
    <mergeCell ref="F312:G312"/>
    <mergeCell ref="H312:I312"/>
    <mergeCell ref="J312:K312"/>
    <mergeCell ref="L312:M312"/>
    <mergeCell ref="A313:D313"/>
    <mergeCell ref="F313:G313"/>
    <mergeCell ref="H313:I313"/>
    <mergeCell ref="J313:K313"/>
    <mergeCell ref="L313:M313"/>
    <mergeCell ref="A310:M310"/>
    <mergeCell ref="A311:D311"/>
    <mergeCell ref="F311:G311"/>
    <mergeCell ref="H311:I311"/>
    <mergeCell ref="J311:K311"/>
    <mergeCell ref="L311:M311"/>
    <mergeCell ref="A308:C308"/>
    <mergeCell ref="D308:G308"/>
    <mergeCell ref="H308:J308"/>
    <mergeCell ref="K308:M308"/>
    <mergeCell ref="A309:C309"/>
    <mergeCell ref="D309:G309"/>
    <mergeCell ref="H309:J309"/>
    <mergeCell ref="K309:M309"/>
    <mergeCell ref="A318:D318"/>
    <mergeCell ref="F318:G318"/>
    <mergeCell ref="H318:I318"/>
    <mergeCell ref="J318:K318"/>
    <mergeCell ref="L318:M318"/>
    <mergeCell ref="A319:D319"/>
    <mergeCell ref="F319:G319"/>
    <mergeCell ref="H319:I319"/>
    <mergeCell ref="J319:K319"/>
    <mergeCell ref="L319:M319"/>
    <mergeCell ref="A316:D316"/>
    <mergeCell ref="F316:G316"/>
    <mergeCell ref="H316:I316"/>
    <mergeCell ref="J316:K316"/>
    <mergeCell ref="L316:M316"/>
    <mergeCell ref="A317:M317"/>
    <mergeCell ref="A314:D314"/>
    <mergeCell ref="F314:G314"/>
    <mergeCell ref="H314:I314"/>
    <mergeCell ref="J314:K314"/>
    <mergeCell ref="L314:M314"/>
    <mergeCell ref="A315:D315"/>
    <mergeCell ref="F315:G315"/>
    <mergeCell ref="H315:I315"/>
    <mergeCell ref="J315:K315"/>
    <mergeCell ref="L315:M315"/>
    <mergeCell ref="A323:B323"/>
    <mergeCell ref="C323:D323"/>
    <mergeCell ref="E323:G323"/>
    <mergeCell ref="H323:I323"/>
    <mergeCell ref="J323:K323"/>
    <mergeCell ref="L323:M323"/>
    <mergeCell ref="A322:B322"/>
    <mergeCell ref="C322:D322"/>
    <mergeCell ref="E322:G322"/>
    <mergeCell ref="H322:I322"/>
    <mergeCell ref="J322:K322"/>
    <mergeCell ref="L322:M322"/>
    <mergeCell ref="A320:D320"/>
    <mergeCell ref="F320:G320"/>
    <mergeCell ref="H320:I320"/>
    <mergeCell ref="J320:K320"/>
    <mergeCell ref="L320:M320"/>
    <mergeCell ref="A321:M321"/>
    <mergeCell ref="A331:M331"/>
    <mergeCell ref="A332:M332"/>
    <mergeCell ref="A333:M333"/>
    <mergeCell ref="A334:M334"/>
    <mergeCell ref="A335:M335"/>
    <mergeCell ref="A336:M336"/>
    <mergeCell ref="A325:M325"/>
    <mergeCell ref="A326:M326"/>
    <mergeCell ref="A327:M327"/>
    <mergeCell ref="A328:M328"/>
    <mergeCell ref="A329:M329"/>
    <mergeCell ref="A330:M330"/>
    <mergeCell ref="A324:B324"/>
    <mergeCell ref="C324:D324"/>
    <mergeCell ref="E324:G324"/>
    <mergeCell ref="H324:I324"/>
    <mergeCell ref="J324:K324"/>
    <mergeCell ref="L324:M324"/>
    <mergeCell ref="A350:C350"/>
    <mergeCell ref="D350:G350"/>
    <mergeCell ref="H350:J350"/>
    <mergeCell ref="K350:M350"/>
    <mergeCell ref="D351:E351"/>
    <mergeCell ref="K351:L351"/>
    <mergeCell ref="A343:M343"/>
    <mergeCell ref="A344:M344"/>
    <mergeCell ref="A345:M345"/>
    <mergeCell ref="A346:M346"/>
    <mergeCell ref="A347:M347"/>
    <mergeCell ref="H349:J349"/>
    <mergeCell ref="K349:M349"/>
    <mergeCell ref="A337:M337"/>
    <mergeCell ref="A338:M338"/>
    <mergeCell ref="A339:M339"/>
    <mergeCell ref="A340:M340"/>
    <mergeCell ref="A341:M341"/>
    <mergeCell ref="A342:M342"/>
    <mergeCell ref="A356:D356"/>
    <mergeCell ref="F356:G356"/>
    <mergeCell ref="H356:I356"/>
    <mergeCell ref="J356:K356"/>
    <mergeCell ref="L356:M356"/>
    <mergeCell ref="A357:D357"/>
    <mergeCell ref="F357:G357"/>
    <mergeCell ref="H357:I357"/>
    <mergeCell ref="J357:K357"/>
    <mergeCell ref="L357:M357"/>
    <mergeCell ref="A354:M354"/>
    <mergeCell ref="A355:D355"/>
    <mergeCell ref="F355:G355"/>
    <mergeCell ref="H355:I355"/>
    <mergeCell ref="J355:K355"/>
    <mergeCell ref="L355:M355"/>
    <mergeCell ref="A352:C352"/>
    <mergeCell ref="D352:G352"/>
    <mergeCell ref="H352:J352"/>
    <mergeCell ref="K352:M352"/>
    <mergeCell ref="A353:C353"/>
    <mergeCell ref="D353:G353"/>
    <mergeCell ref="H353:J353"/>
    <mergeCell ref="K353:M353"/>
    <mergeCell ref="A362:D362"/>
    <mergeCell ref="F362:G362"/>
    <mergeCell ref="H362:I362"/>
    <mergeCell ref="J362:K362"/>
    <mergeCell ref="L362:M362"/>
    <mergeCell ref="A363:D363"/>
    <mergeCell ref="F363:G363"/>
    <mergeCell ref="H363:I363"/>
    <mergeCell ref="J363:K363"/>
    <mergeCell ref="L363:M363"/>
    <mergeCell ref="A360:D360"/>
    <mergeCell ref="F360:G360"/>
    <mergeCell ref="H360:I360"/>
    <mergeCell ref="J360:K360"/>
    <mergeCell ref="L360:M360"/>
    <mergeCell ref="A361:M361"/>
    <mergeCell ref="A358:D358"/>
    <mergeCell ref="F358:G358"/>
    <mergeCell ref="H358:I358"/>
    <mergeCell ref="J358:K358"/>
    <mergeCell ref="L358:M358"/>
    <mergeCell ref="A359:D359"/>
    <mergeCell ref="F359:G359"/>
    <mergeCell ref="H359:I359"/>
    <mergeCell ref="J359:K359"/>
    <mergeCell ref="L359:M359"/>
    <mergeCell ref="A367:B367"/>
    <mergeCell ref="C367:D367"/>
    <mergeCell ref="E367:G367"/>
    <mergeCell ref="H367:I367"/>
    <mergeCell ref="J367:K367"/>
    <mergeCell ref="L367:M367"/>
    <mergeCell ref="A366:B366"/>
    <mergeCell ref="C366:D366"/>
    <mergeCell ref="E366:G366"/>
    <mergeCell ref="H366:I366"/>
    <mergeCell ref="J366:K366"/>
    <mergeCell ref="L366:M366"/>
    <mergeCell ref="A364:D364"/>
    <mergeCell ref="F364:G364"/>
    <mergeCell ref="H364:I364"/>
    <mergeCell ref="J364:K364"/>
    <mergeCell ref="L364:M364"/>
    <mergeCell ref="A365:M365"/>
    <mergeCell ref="A375:M375"/>
    <mergeCell ref="A376:M376"/>
    <mergeCell ref="A377:M377"/>
    <mergeCell ref="A378:M378"/>
    <mergeCell ref="A379:M379"/>
    <mergeCell ref="A380:M380"/>
    <mergeCell ref="A369:M369"/>
    <mergeCell ref="A370:M370"/>
    <mergeCell ref="A371:M371"/>
    <mergeCell ref="A372:M372"/>
    <mergeCell ref="A373:M373"/>
    <mergeCell ref="A374:M374"/>
    <mergeCell ref="A368:B368"/>
    <mergeCell ref="C368:D368"/>
    <mergeCell ref="E368:G368"/>
    <mergeCell ref="H368:I368"/>
    <mergeCell ref="J368:K368"/>
    <mergeCell ref="L368:M368"/>
    <mergeCell ref="A394:C394"/>
    <mergeCell ref="D394:G394"/>
    <mergeCell ref="H394:J394"/>
    <mergeCell ref="K394:M394"/>
    <mergeCell ref="D395:E395"/>
    <mergeCell ref="K395:L395"/>
    <mergeCell ref="A387:M387"/>
    <mergeCell ref="A388:M388"/>
    <mergeCell ref="A389:M389"/>
    <mergeCell ref="A390:M390"/>
    <mergeCell ref="A391:M391"/>
    <mergeCell ref="H393:J393"/>
    <mergeCell ref="K393:M393"/>
    <mergeCell ref="A381:M381"/>
    <mergeCell ref="A382:M382"/>
    <mergeCell ref="A383:M383"/>
    <mergeCell ref="A384:M384"/>
    <mergeCell ref="A385:M385"/>
    <mergeCell ref="A386:M386"/>
    <mergeCell ref="A400:D400"/>
    <mergeCell ref="F400:G400"/>
    <mergeCell ref="H400:I400"/>
    <mergeCell ref="J400:K400"/>
    <mergeCell ref="L400:M400"/>
    <mergeCell ref="A401:D401"/>
    <mergeCell ref="F401:G401"/>
    <mergeCell ref="H401:I401"/>
    <mergeCell ref="J401:K401"/>
    <mergeCell ref="L401:M401"/>
    <mergeCell ref="A398:M398"/>
    <mergeCell ref="A399:D399"/>
    <mergeCell ref="F399:G399"/>
    <mergeCell ref="H399:I399"/>
    <mergeCell ref="J399:K399"/>
    <mergeCell ref="L399:M399"/>
    <mergeCell ref="A396:C396"/>
    <mergeCell ref="D396:G396"/>
    <mergeCell ref="H396:J396"/>
    <mergeCell ref="K396:M396"/>
    <mergeCell ref="A397:C397"/>
    <mergeCell ref="D397:G397"/>
    <mergeCell ref="H397:J397"/>
    <mergeCell ref="K397:M397"/>
    <mergeCell ref="A406:D406"/>
    <mergeCell ref="F406:G406"/>
    <mergeCell ref="H406:I406"/>
    <mergeCell ref="J406:K406"/>
    <mergeCell ref="L406:M406"/>
    <mergeCell ref="A407:D407"/>
    <mergeCell ref="F407:G407"/>
    <mergeCell ref="H407:I407"/>
    <mergeCell ref="J407:K407"/>
    <mergeCell ref="L407:M407"/>
    <mergeCell ref="A404:D404"/>
    <mergeCell ref="F404:G404"/>
    <mergeCell ref="H404:I404"/>
    <mergeCell ref="J404:K404"/>
    <mergeCell ref="L404:M404"/>
    <mergeCell ref="A405:M405"/>
    <mergeCell ref="A402:D402"/>
    <mergeCell ref="F402:G402"/>
    <mergeCell ref="H402:I402"/>
    <mergeCell ref="J402:K402"/>
    <mergeCell ref="L402:M402"/>
    <mergeCell ref="A403:D403"/>
    <mergeCell ref="F403:G403"/>
    <mergeCell ref="H403:I403"/>
    <mergeCell ref="J403:K403"/>
    <mergeCell ref="L403:M403"/>
    <mergeCell ref="A411:B411"/>
    <mergeCell ref="C411:D411"/>
    <mergeCell ref="E411:G411"/>
    <mergeCell ref="H411:I411"/>
    <mergeCell ref="J411:K411"/>
    <mergeCell ref="L411:M411"/>
    <mergeCell ref="A410:B410"/>
    <mergeCell ref="C410:D410"/>
    <mergeCell ref="E410:G410"/>
    <mergeCell ref="H410:I410"/>
    <mergeCell ref="J410:K410"/>
    <mergeCell ref="L410:M410"/>
    <mergeCell ref="A408:D408"/>
    <mergeCell ref="F408:G408"/>
    <mergeCell ref="H408:I408"/>
    <mergeCell ref="J408:K408"/>
    <mergeCell ref="L408:M408"/>
    <mergeCell ref="A409:M409"/>
    <mergeCell ref="A419:M419"/>
    <mergeCell ref="A420:M420"/>
    <mergeCell ref="A421:M421"/>
    <mergeCell ref="A422:M422"/>
    <mergeCell ref="A423:M423"/>
    <mergeCell ref="A424:M424"/>
    <mergeCell ref="A413:M413"/>
    <mergeCell ref="A414:M414"/>
    <mergeCell ref="A415:M415"/>
    <mergeCell ref="A416:M416"/>
    <mergeCell ref="A417:M417"/>
    <mergeCell ref="A418:M418"/>
    <mergeCell ref="A412:B412"/>
    <mergeCell ref="C412:D412"/>
    <mergeCell ref="E412:G412"/>
    <mergeCell ref="H412:I412"/>
    <mergeCell ref="J412:K412"/>
    <mergeCell ref="L412:M412"/>
    <mergeCell ref="A438:C438"/>
    <mergeCell ref="D438:G438"/>
    <mergeCell ref="H438:J438"/>
    <mergeCell ref="K438:M438"/>
    <mergeCell ref="D439:E439"/>
    <mergeCell ref="K439:L439"/>
    <mergeCell ref="A431:M431"/>
    <mergeCell ref="A432:M432"/>
    <mergeCell ref="A433:M433"/>
    <mergeCell ref="A434:M434"/>
    <mergeCell ref="A435:M435"/>
    <mergeCell ref="H437:J437"/>
    <mergeCell ref="K437:M437"/>
    <mergeCell ref="A425:M425"/>
    <mergeCell ref="A426:M426"/>
    <mergeCell ref="A427:M427"/>
    <mergeCell ref="A428:M428"/>
    <mergeCell ref="A429:M429"/>
    <mergeCell ref="A430:M430"/>
    <mergeCell ref="A444:D444"/>
    <mergeCell ref="F444:G444"/>
    <mergeCell ref="H444:I444"/>
    <mergeCell ref="J444:K444"/>
    <mergeCell ref="L444:M444"/>
    <mergeCell ref="A445:D445"/>
    <mergeCell ref="F445:G445"/>
    <mergeCell ref="H445:I445"/>
    <mergeCell ref="J445:K445"/>
    <mergeCell ref="L445:M445"/>
    <mergeCell ref="A442:M442"/>
    <mergeCell ref="A443:D443"/>
    <mergeCell ref="F443:G443"/>
    <mergeCell ref="H443:I443"/>
    <mergeCell ref="J443:K443"/>
    <mergeCell ref="L443:M443"/>
    <mergeCell ref="A440:C440"/>
    <mergeCell ref="D440:G440"/>
    <mergeCell ref="H440:J440"/>
    <mergeCell ref="K440:M440"/>
    <mergeCell ref="A441:C441"/>
    <mergeCell ref="D441:G441"/>
    <mergeCell ref="H441:J441"/>
    <mergeCell ref="K441:M441"/>
    <mergeCell ref="A450:D450"/>
    <mergeCell ref="F450:G450"/>
    <mergeCell ref="H450:I450"/>
    <mergeCell ref="J450:K450"/>
    <mergeCell ref="L450:M450"/>
    <mergeCell ref="A451:D451"/>
    <mergeCell ref="F451:G451"/>
    <mergeCell ref="H451:I451"/>
    <mergeCell ref="J451:K451"/>
    <mergeCell ref="L451:M451"/>
    <mergeCell ref="A448:D448"/>
    <mergeCell ref="F448:G448"/>
    <mergeCell ref="H448:I448"/>
    <mergeCell ref="J448:K448"/>
    <mergeCell ref="L448:M448"/>
    <mergeCell ref="A449:M449"/>
    <mergeCell ref="A446:D446"/>
    <mergeCell ref="F446:G446"/>
    <mergeCell ref="H446:I446"/>
    <mergeCell ref="J446:K446"/>
    <mergeCell ref="L446:M446"/>
    <mergeCell ref="A447:D447"/>
    <mergeCell ref="F447:G447"/>
    <mergeCell ref="H447:I447"/>
    <mergeCell ref="J447:K447"/>
    <mergeCell ref="L447:M447"/>
    <mergeCell ref="A455:B455"/>
    <mergeCell ref="C455:D455"/>
    <mergeCell ref="E455:G455"/>
    <mergeCell ref="H455:I455"/>
    <mergeCell ref="J455:K455"/>
    <mergeCell ref="L455:M455"/>
    <mergeCell ref="A454:B454"/>
    <mergeCell ref="C454:D454"/>
    <mergeCell ref="E454:G454"/>
    <mergeCell ref="H454:I454"/>
    <mergeCell ref="J454:K454"/>
    <mergeCell ref="L454:M454"/>
    <mergeCell ref="A452:D452"/>
    <mergeCell ref="F452:G452"/>
    <mergeCell ref="H452:I452"/>
    <mergeCell ref="J452:K452"/>
    <mergeCell ref="L452:M452"/>
    <mergeCell ref="A453:M453"/>
    <mergeCell ref="A463:M463"/>
    <mergeCell ref="A464:M464"/>
    <mergeCell ref="A465:M465"/>
    <mergeCell ref="A466:M466"/>
    <mergeCell ref="A467:M467"/>
    <mergeCell ref="A468:M468"/>
    <mergeCell ref="A457:M457"/>
    <mergeCell ref="A458:M458"/>
    <mergeCell ref="A459:M459"/>
    <mergeCell ref="A460:M460"/>
    <mergeCell ref="A461:M461"/>
    <mergeCell ref="A462:M462"/>
    <mergeCell ref="A456:B456"/>
    <mergeCell ref="C456:D456"/>
    <mergeCell ref="E456:G456"/>
    <mergeCell ref="H456:I456"/>
    <mergeCell ref="J456:K456"/>
    <mergeCell ref="L456:M456"/>
    <mergeCell ref="A482:C482"/>
    <mergeCell ref="D482:G482"/>
    <mergeCell ref="H482:J482"/>
    <mergeCell ref="K482:M482"/>
    <mergeCell ref="D483:E483"/>
    <mergeCell ref="K483:L483"/>
    <mergeCell ref="A475:M475"/>
    <mergeCell ref="A476:M476"/>
    <mergeCell ref="A477:M477"/>
    <mergeCell ref="A478:M478"/>
    <mergeCell ref="A479:M479"/>
    <mergeCell ref="H481:J481"/>
    <mergeCell ref="K481:M481"/>
    <mergeCell ref="A469:M469"/>
    <mergeCell ref="A470:M470"/>
    <mergeCell ref="A471:M471"/>
    <mergeCell ref="A472:M472"/>
    <mergeCell ref="A473:M473"/>
    <mergeCell ref="A474:M474"/>
    <mergeCell ref="A488:D488"/>
    <mergeCell ref="F488:G488"/>
    <mergeCell ref="H488:I488"/>
    <mergeCell ref="J488:K488"/>
    <mergeCell ref="L488:M488"/>
    <mergeCell ref="A489:D489"/>
    <mergeCell ref="F489:G489"/>
    <mergeCell ref="H489:I489"/>
    <mergeCell ref="J489:K489"/>
    <mergeCell ref="L489:M489"/>
    <mergeCell ref="A486:M486"/>
    <mergeCell ref="A487:D487"/>
    <mergeCell ref="F487:G487"/>
    <mergeCell ref="H487:I487"/>
    <mergeCell ref="J487:K487"/>
    <mergeCell ref="L487:M487"/>
    <mergeCell ref="A484:C484"/>
    <mergeCell ref="D484:G484"/>
    <mergeCell ref="H484:J484"/>
    <mergeCell ref="K484:M484"/>
    <mergeCell ref="A485:C485"/>
    <mergeCell ref="D485:G485"/>
    <mergeCell ref="H485:J485"/>
    <mergeCell ref="K485:M485"/>
    <mergeCell ref="A494:D494"/>
    <mergeCell ref="F494:G494"/>
    <mergeCell ref="H494:I494"/>
    <mergeCell ref="J494:K494"/>
    <mergeCell ref="L494:M494"/>
    <mergeCell ref="A495:D495"/>
    <mergeCell ref="F495:G495"/>
    <mergeCell ref="H495:I495"/>
    <mergeCell ref="J495:K495"/>
    <mergeCell ref="L495:M495"/>
    <mergeCell ref="A492:D492"/>
    <mergeCell ref="F492:G492"/>
    <mergeCell ref="H492:I492"/>
    <mergeCell ref="J492:K492"/>
    <mergeCell ref="L492:M492"/>
    <mergeCell ref="A493:M493"/>
    <mergeCell ref="A490:D490"/>
    <mergeCell ref="F490:G490"/>
    <mergeCell ref="H490:I490"/>
    <mergeCell ref="J490:K490"/>
    <mergeCell ref="L490:M490"/>
    <mergeCell ref="A491:D491"/>
    <mergeCell ref="F491:G491"/>
    <mergeCell ref="H491:I491"/>
    <mergeCell ref="J491:K491"/>
    <mergeCell ref="L491:M491"/>
    <mergeCell ref="A499:B499"/>
    <mergeCell ref="C499:D499"/>
    <mergeCell ref="E499:G499"/>
    <mergeCell ref="H499:I499"/>
    <mergeCell ref="J499:K499"/>
    <mergeCell ref="L499:M499"/>
    <mergeCell ref="A498:B498"/>
    <mergeCell ref="C498:D498"/>
    <mergeCell ref="E498:G498"/>
    <mergeCell ref="H498:I498"/>
    <mergeCell ref="J498:K498"/>
    <mergeCell ref="L498:M498"/>
    <mergeCell ref="A496:D496"/>
    <mergeCell ref="F496:G496"/>
    <mergeCell ref="H496:I496"/>
    <mergeCell ref="J496:K496"/>
    <mergeCell ref="L496:M496"/>
    <mergeCell ref="A497:M497"/>
    <mergeCell ref="A507:M507"/>
    <mergeCell ref="A508:M508"/>
    <mergeCell ref="A509:M509"/>
    <mergeCell ref="A510:M510"/>
    <mergeCell ref="A511:M511"/>
    <mergeCell ref="A512:M512"/>
    <mergeCell ref="A501:M501"/>
    <mergeCell ref="A502:M502"/>
    <mergeCell ref="A503:M503"/>
    <mergeCell ref="A504:M504"/>
    <mergeCell ref="A505:M505"/>
    <mergeCell ref="A506:M506"/>
    <mergeCell ref="A500:B500"/>
    <mergeCell ref="C500:D500"/>
    <mergeCell ref="E500:G500"/>
    <mergeCell ref="H500:I500"/>
    <mergeCell ref="J500:K500"/>
    <mergeCell ref="L500:M500"/>
    <mergeCell ref="A526:C526"/>
    <mergeCell ref="D526:G526"/>
    <mergeCell ref="H526:J526"/>
    <mergeCell ref="K526:M526"/>
    <mergeCell ref="D527:E527"/>
    <mergeCell ref="K527:L527"/>
    <mergeCell ref="A519:M519"/>
    <mergeCell ref="A520:M520"/>
    <mergeCell ref="A521:M521"/>
    <mergeCell ref="A522:M522"/>
    <mergeCell ref="A523:M523"/>
    <mergeCell ref="H525:J525"/>
    <mergeCell ref="K525:M525"/>
    <mergeCell ref="A513:M513"/>
    <mergeCell ref="A514:M514"/>
    <mergeCell ref="A515:M515"/>
    <mergeCell ref="A516:M516"/>
    <mergeCell ref="A517:M517"/>
    <mergeCell ref="A518:M518"/>
    <mergeCell ref="A532:D532"/>
    <mergeCell ref="F532:G532"/>
    <mergeCell ref="H532:I532"/>
    <mergeCell ref="J532:K532"/>
    <mergeCell ref="L532:M532"/>
    <mergeCell ref="A533:D533"/>
    <mergeCell ref="F533:G533"/>
    <mergeCell ref="H533:I533"/>
    <mergeCell ref="J533:K533"/>
    <mergeCell ref="L533:M533"/>
    <mergeCell ref="A530:M530"/>
    <mergeCell ref="A531:D531"/>
    <mergeCell ref="F531:G531"/>
    <mergeCell ref="H531:I531"/>
    <mergeCell ref="J531:K531"/>
    <mergeCell ref="L531:M531"/>
    <mergeCell ref="A528:C528"/>
    <mergeCell ref="D528:G528"/>
    <mergeCell ref="H528:J528"/>
    <mergeCell ref="K528:M528"/>
    <mergeCell ref="A529:C529"/>
    <mergeCell ref="D529:G529"/>
    <mergeCell ref="H529:J529"/>
    <mergeCell ref="K529:M529"/>
    <mergeCell ref="A538:D538"/>
    <mergeCell ref="F538:G538"/>
    <mergeCell ref="H538:I538"/>
    <mergeCell ref="J538:K538"/>
    <mergeCell ref="L538:M538"/>
    <mergeCell ref="A539:D539"/>
    <mergeCell ref="F539:G539"/>
    <mergeCell ref="H539:I539"/>
    <mergeCell ref="J539:K539"/>
    <mergeCell ref="L539:M539"/>
    <mergeCell ref="A536:D536"/>
    <mergeCell ref="F536:G536"/>
    <mergeCell ref="H536:I536"/>
    <mergeCell ref="J536:K536"/>
    <mergeCell ref="L536:M536"/>
    <mergeCell ref="A537:M537"/>
    <mergeCell ref="A534:D534"/>
    <mergeCell ref="F534:G534"/>
    <mergeCell ref="H534:I534"/>
    <mergeCell ref="J534:K534"/>
    <mergeCell ref="L534:M534"/>
    <mergeCell ref="A535:D535"/>
    <mergeCell ref="F535:G535"/>
    <mergeCell ref="H535:I535"/>
    <mergeCell ref="J535:K535"/>
    <mergeCell ref="L535:M535"/>
    <mergeCell ref="A543:B543"/>
    <mergeCell ref="C543:D543"/>
    <mergeCell ref="E543:G543"/>
    <mergeCell ref="H543:I543"/>
    <mergeCell ref="J543:K543"/>
    <mergeCell ref="L543:M543"/>
    <mergeCell ref="A542:B542"/>
    <mergeCell ref="C542:D542"/>
    <mergeCell ref="E542:G542"/>
    <mergeCell ref="H542:I542"/>
    <mergeCell ref="J542:K542"/>
    <mergeCell ref="L542:M542"/>
    <mergeCell ref="A540:D540"/>
    <mergeCell ref="F540:G540"/>
    <mergeCell ref="H540:I540"/>
    <mergeCell ref="J540:K540"/>
    <mergeCell ref="L540:M540"/>
    <mergeCell ref="A541:M541"/>
    <mergeCell ref="A551:M551"/>
    <mergeCell ref="A552:M552"/>
    <mergeCell ref="A553:M553"/>
    <mergeCell ref="A554:M554"/>
    <mergeCell ref="A555:M555"/>
    <mergeCell ref="A556:M556"/>
    <mergeCell ref="A545:M545"/>
    <mergeCell ref="A546:M546"/>
    <mergeCell ref="A547:M547"/>
    <mergeCell ref="A548:M548"/>
    <mergeCell ref="A549:M549"/>
    <mergeCell ref="A550:M550"/>
    <mergeCell ref="A544:B544"/>
    <mergeCell ref="C544:D544"/>
    <mergeCell ref="E544:G544"/>
    <mergeCell ref="H544:I544"/>
    <mergeCell ref="J544:K544"/>
    <mergeCell ref="L544:M544"/>
    <mergeCell ref="A570:C570"/>
    <mergeCell ref="D570:G570"/>
    <mergeCell ref="H570:J570"/>
    <mergeCell ref="K570:M570"/>
    <mergeCell ref="D571:E571"/>
    <mergeCell ref="K571:L571"/>
    <mergeCell ref="A563:M563"/>
    <mergeCell ref="A564:M564"/>
    <mergeCell ref="A565:M565"/>
    <mergeCell ref="A566:M566"/>
    <mergeCell ref="A567:M567"/>
    <mergeCell ref="H569:J569"/>
    <mergeCell ref="K569:M569"/>
    <mergeCell ref="A557:M557"/>
    <mergeCell ref="A558:M558"/>
    <mergeCell ref="A559:M559"/>
    <mergeCell ref="A560:M560"/>
    <mergeCell ref="A561:M561"/>
    <mergeCell ref="A562:M562"/>
    <mergeCell ref="A576:D576"/>
    <mergeCell ref="F576:G576"/>
    <mergeCell ref="H576:I576"/>
    <mergeCell ref="J576:K576"/>
    <mergeCell ref="L576:M576"/>
    <mergeCell ref="A577:D577"/>
    <mergeCell ref="F577:G577"/>
    <mergeCell ref="H577:I577"/>
    <mergeCell ref="J577:K577"/>
    <mergeCell ref="L577:M577"/>
    <mergeCell ref="A574:M574"/>
    <mergeCell ref="A575:D575"/>
    <mergeCell ref="F575:G575"/>
    <mergeCell ref="H575:I575"/>
    <mergeCell ref="J575:K575"/>
    <mergeCell ref="L575:M575"/>
    <mergeCell ref="A572:C572"/>
    <mergeCell ref="D572:G572"/>
    <mergeCell ref="H572:J572"/>
    <mergeCell ref="K572:M572"/>
    <mergeCell ref="A573:C573"/>
    <mergeCell ref="D573:G573"/>
    <mergeCell ref="H573:J573"/>
    <mergeCell ref="K573:M573"/>
    <mergeCell ref="A582:D582"/>
    <mergeCell ref="F582:G582"/>
    <mergeCell ref="H582:I582"/>
    <mergeCell ref="J582:K582"/>
    <mergeCell ref="L582:M582"/>
    <mergeCell ref="A583:D583"/>
    <mergeCell ref="F583:G583"/>
    <mergeCell ref="H583:I583"/>
    <mergeCell ref="J583:K583"/>
    <mergeCell ref="L583:M583"/>
    <mergeCell ref="A580:D580"/>
    <mergeCell ref="F580:G580"/>
    <mergeCell ref="H580:I580"/>
    <mergeCell ref="J580:K580"/>
    <mergeCell ref="L580:M580"/>
    <mergeCell ref="A581:M581"/>
    <mergeCell ref="A578:D578"/>
    <mergeCell ref="F578:G578"/>
    <mergeCell ref="H578:I578"/>
    <mergeCell ref="J578:K578"/>
    <mergeCell ref="L578:M578"/>
    <mergeCell ref="A579:D579"/>
    <mergeCell ref="F579:G579"/>
    <mergeCell ref="H579:I579"/>
    <mergeCell ref="J579:K579"/>
    <mergeCell ref="L579:M579"/>
    <mergeCell ref="A587:B587"/>
    <mergeCell ref="C587:D587"/>
    <mergeCell ref="E587:G587"/>
    <mergeCell ref="H587:I587"/>
    <mergeCell ref="J587:K587"/>
    <mergeCell ref="L587:M587"/>
    <mergeCell ref="A586:B586"/>
    <mergeCell ref="C586:D586"/>
    <mergeCell ref="E586:G586"/>
    <mergeCell ref="H586:I586"/>
    <mergeCell ref="J586:K586"/>
    <mergeCell ref="L586:M586"/>
    <mergeCell ref="A584:D584"/>
    <mergeCell ref="F584:G584"/>
    <mergeCell ref="H584:I584"/>
    <mergeCell ref="J584:K584"/>
    <mergeCell ref="L584:M584"/>
    <mergeCell ref="A585:M585"/>
    <mergeCell ref="A595:M595"/>
    <mergeCell ref="A596:M596"/>
    <mergeCell ref="A597:M597"/>
    <mergeCell ref="A598:M598"/>
    <mergeCell ref="A599:M599"/>
    <mergeCell ref="A600:M600"/>
    <mergeCell ref="A589:M589"/>
    <mergeCell ref="A590:M590"/>
    <mergeCell ref="A591:M591"/>
    <mergeCell ref="A592:M592"/>
    <mergeCell ref="A593:M593"/>
    <mergeCell ref="A594:M594"/>
    <mergeCell ref="A588:B588"/>
    <mergeCell ref="C588:D588"/>
    <mergeCell ref="E588:G588"/>
    <mergeCell ref="H588:I588"/>
    <mergeCell ref="J588:K588"/>
    <mergeCell ref="L588:M588"/>
    <mergeCell ref="A614:C614"/>
    <mergeCell ref="D614:G614"/>
    <mergeCell ref="H614:J614"/>
    <mergeCell ref="K614:M614"/>
    <mergeCell ref="D615:E615"/>
    <mergeCell ref="K615:L615"/>
    <mergeCell ref="A607:M607"/>
    <mergeCell ref="A608:M608"/>
    <mergeCell ref="A609:M609"/>
    <mergeCell ref="A610:M610"/>
    <mergeCell ref="A611:M611"/>
    <mergeCell ref="H613:J613"/>
    <mergeCell ref="K613:M613"/>
    <mergeCell ref="A601:M601"/>
    <mergeCell ref="A602:M602"/>
    <mergeCell ref="A603:M603"/>
    <mergeCell ref="A604:M604"/>
    <mergeCell ref="A605:M605"/>
    <mergeCell ref="A606:M606"/>
    <mergeCell ref="A620:D620"/>
    <mergeCell ref="F620:G620"/>
    <mergeCell ref="H620:I620"/>
    <mergeCell ref="J620:K620"/>
    <mergeCell ref="L620:M620"/>
    <mergeCell ref="A621:D621"/>
    <mergeCell ref="F621:G621"/>
    <mergeCell ref="H621:I621"/>
    <mergeCell ref="J621:K621"/>
    <mergeCell ref="L621:M621"/>
    <mergeCell ref="A618:M618"/>
    <mergeCell ref="A619:D619"/>
    <mergeCell ref="F619:G619"/>
    <mergeCell ref="H619:I619"/>
    <mergeCell ref="J619:K619"/>
    <mergeCell ref="L619:M619"/>
    <mergeCell ref="A616:C616"/>
    <mergeCell ref="D616:G616"/>
    <mergeCell ref="H616:J616"/>
    <mergeCell ref="K616:M616"/>
    <mergeCell ref="A617:C617"/>
    <mergeCell ref="D617:G617"/>
    <mergeCell ref="H617:J617"/>
    <mergeCell ref="K617:M617"/>
    <mergeCell ref="A626:D626"/>
    <mergeCell ref="F626:G626"/>
    <mergeCell ref="H626:I626"/>
    <mergeCell ref="J626:K626"/>
    <mergeCell ref="L626:M626"/>
    <mergeCell ref="A627:D627"/>
    <mergeCell ref="F627:G627"/>
    <mergeCell ref="H627:I627"/>
    <mergeCell ref="J627:K627"/>
    <mergeCell ref="L627:M627"/>
    <mergeCell ref="A624:D624"/>
    <mergeCell ref="F624:G624"/>
    <mergeCell ref="H624:I624"/>
    <mergeCell ref="J624:K624"/>
    <mergeCell ref="L624:M624"/>
    <mergeCell ref="A625:M625"/>
    <mergeCell ref="A622:D622"/>
    <mergeCell ref="F622:G622"/>
    <mergeCell ref="H622:I622"/>
    <mergeCell ref="J622:K622"/>
    <mergeCell ref="L622:M622"/>
    <mergeCell ref="A623:D623"/>
    <mergeCell ref="F623:G623"/>
    <mergeCell ref="H623:I623"/>
    <mergeCell ref="J623:K623"/>
    <mergeCell ref="L623:M623"/>
    <mergeCell ref="A631:B631"/>
    <mergeCell ref="C631:D631"/>
    <mergeCell ref="E631:G631"/>
    <mergeCell ref="H631:I631"/>
    <mergeCell ref="J631:K631"/>
    <mergeCell ref="L631:M631"/>
    <mergeCell ref="A630:B630"/>
    <mergeCell ref="C630:D630"/>
    <mergeCell ref="E630:G630"/>
    <mergeCell ref="H630:I630"/>
    <mergeCell ref="J630:K630"/>
    <mergeCell ref="L630:M630"/>
    <mergeCell ref="A628:D628"/>
    <mergeCell ref="F628:G628"/>
    <mergeCell ref="H628:I628"/>
    <mergeCell ref="J628:K628"/>
    <mergeCell ref="L628:M628"/>
    <mergeCell ref="A629:M629"/>
    <mergeCell ref="A639:M639"/>
    <mergeCell ref="A640:M640"/>
    <mergeCell ref="A641:M641"/>
    <mergeCell ref="A642:M642"/>
    <mergeCell ref="A643:M643"/>
    <mergeCell ref="A644:M644"/>
    <mergeCell ref="A633:M633"/>
    <mergeCell ref="A634:M634"/>
    <mergeCell ref="A635:M635"/>
    <mergeCell ref="A636:M636"/>
    <mergeCell ref="A637:M637"/>
    <mergeCell ref="A638:M638"/>
    <mergeCell ref="A632:B632"/>
    <mergeCell ref="C632:D632"/>
    <mergeCell ref="E632:G632"/>
    <mergeCell ref="H632:I632"/>
    <mergeCell ref="J632:K632"/>
    <mergeCell ref="L632:M632"/>
    <mergeCell ref="A658:C658"/>
    <mergeCell ref="D658:G658"/>
    <mergeCell ref="H658:J658"/>
    <mergeCell ref="K658:M658"/>
    <mergeCell ref="D659:E659"/>
    <mergeCell ref="K659:L659"/>
    <mergeCell ref="A651:M651"/>
    <mergeCell ref="A652:M652"/>
    <mergeCell ref="A653:M653"/>
    <mergeCell ref="A654:M654"/>
    <mergeCell ref="A655:M655"/>
    <mergeCell ref="H657:J657"/>
    <mergeCell ref="K657:M657"/>
    <mergeCell ref="A645:M645"/>
    <mergeCell ref="A646:M646"/>
    <mergeCell ref="A647:M647"/>
    <mergeCell ref="A648:M648"/>
    <mergeCell ref="A649:M649"/>
    <mergeCell ref="A650:M650"/>
    <mergeCell ref="A664:D664"/>
    <mergeCell ref="F664:G664"/>
    <mergeCell ref="H664:I664"/>
    <mergeCell ref="J664:K664"/>
    <mergeCell ref="L664:M664"/>
    <mergeCell ref="A665:D665"/>
    <mergeCell ref="F665:G665"/>
    <mergeCell ref="H665:I665"/>
    <mergeCell ref="J665:K665"/>
    <mergeCell ref="L665:M665"/>
    <mergeCell ref="A662:M662"/>
    <mergeCell ref="A663:D663"/>
    <mergeCell ref="F663:G663"/>
    <mergeCell ref="H663:I663"/>
    <mergeCell ref="J663:K663"/>
    <mergeCell ref="L663:M663"/>
    <mergeCell ref="A660:C660"/>
    <mergeCell ref="D660:G660"/>
    <mergeCell ref="H660:J660"/>
    <mergeCell ref="K660:M660"/>
    <mergeCell ref="A661:C661"/>
    <mergeCell ref="D661:G661"/>
    <mergeCell ref="H661:J661"/>
    <mergeCell ref="K661:M661"/>
    <mergeCell ref="A670:D670"/>
    <mergeCell ref="F670:G670"/>
    <mergeCell ref="H670:I670"/>
    <mergeCell ref="J670:K670"/>
    <mergeCell ref="L670:M670"/>
    <mergeCell ref="A671:D671"/>
    <mergeCell ref="F671:G671"/>
    <mergeCell ref="H671:I671"/>
    <mergeCell ref="J671:K671"/>
    <mergeCell ref="L671:M671"/>
    <mergeCell ref="A668:D668"/>
    <mergeCell ref="F668:G668"/>
    <mergeCell ref="H668:I668"/>
    <mergeCell ref="J668:K668"/>
    <mergeCell ref="L668:M668"/>
    <mergeCell ref="A669:M669"/>
    <mergeCell ref="A666:D666"/>
    <mergeCell ref="F666:G666"/>
    <mergeCell ref="H666:I666"/>
    <mergeCell ref="J666:K666"/>
    <mergeCell ref="L666:M666"/>
    <mergeCell ref="A667:D667"/>
    <mergeCell ref="F667:G667"/>
    <mergeCell ref="H667:I667"/>
    <mergeCell ref="J667:K667"/>
    <mergeCell ref="L667:M667"/>
    <mergeCell ref="A675:B675"/>
    <mergeCell ref="C675:D675"/>
    <mergeCell ref="E675:G675"/>
    <mergeCell ref="H675:I675"/>
    <mergeCell ref="J675:K675"/>
    <mergeCell ref="L675:M675"/>
    <mergeCell ref="A674:B674"/>
    <mergeCell ref="C674:D674"/>
    <mergeCell ref="E674:G674"/>
    <mergeCell ref="H674:I674"/>
    <mergeCell ref="J674:K674"/>
    <mergeCell ref="L674:M674"/>
    <mergeCell ref="A672:D672"/>
    <mergeCell ref="F672:G672"/>
    <mergeCell ref="H672:I672"/>
    <mergeCell ref="J672:K672"/>
    <mergeCell ref="L672:M672"/>
    <mergeCell ref="A673:M673"/>
    <mergeCell ref="A683:M683"/>
    <mergeCell ref="A684:M684"/>
    <mergeCell ref="A685:M685"/>
    <mergeCell ref="A686:M686"/>
    <mergeCell ref="A687:M687"/>
    <mergeCell ref="A688:M688"/>
    <mergeCell ref="A677:M677"/>
    <mergeCell ref="A678:M678"/>
    <mergeCell ref="A679:M679"/>
    <mergeCell ref="A680:M680"/>
    <mergeCell ref="A681:M681"/>
    <mergeCell ref="A682:M682"/>
    <mergeCell ref="A676:B676"/>
    <mergeCell ref="C676:D676"/>
    <mergeCell ref="E676:G676"/>
    <mergeCell ref="H676:I676"/>
    <mergeCell ref="J676:K676"/>
    <mergeCell ref="L676:M676"/>
    <mergeCell ref="A702:C702"/>
    <mergeCell ref="D702:G702"/>
    <mergeCell ref="H702:J702"/>
    <mergeCell ref="K702:M702"/>
    <mergeCell ref="D703:E703"/>
    <mergeCell ref="K703:L703"/>
    <mergeCell ref="A695:M695"/>
    <mergeCell ref="A696:M696"/>
    <mergeCell ref="A697:M697"/>
    <mergeCell ref="A698:M698"/>
    <mergeCell ref="A699:M699"/>
    <mergeCell ref="H701:J701"/>
    <mergeCell ref="K701:M701"/>
    <mergeCell ref="A689:M689"/>
    <mergeCell ref="A690:M690"/>
    <mergeCell ref="A691:M691"/>
    <mergeCell ref="A692:M692"/>
    <mergeCell ref="A693:M693"/>
    <mergeCell ref="A694:M694"/>
    <mergeCell ref="A708:D708"/>
    <mergeCell ref="F708:G708"/>
    <mergeCell ref="H708:I708"/>
    <mergeCell ref="J708:K708"/>
    <mergeCell ref="L708:M708"/>
    <mergeCell ref="A709:D709"/>
    <mergeCell ref="F709:G709"/>
    <mergeCell ref="H709:I709"/>
    <mergeCell ref="J709:K709"/>
    <mergeCell ref="L709:M709"/>
    <mergeCell ref="A706:M706"/>
    <mergeCell ref="A707:D707"/>
    <mergeCell ref="F707:G707"/>
    <mergeCell ref="H707:I707"/>
    <mergeCell ref="J707:K707"/>
    <mergeCell ref="L707:M707"/>
    <mergeCell ref="A704:C704"/>
    <mergeCell ref="D704:G704"/>
    <mergeCell ref="H704:J704"/>
    <mergeCell ref="K704:M704"/>
    <mergeCell ref="A705:C705"/>
    <mergeCell ref="D705:G705"/>
    <mergeCell ref="H705:J705"/>
    <mergeCell ref="K705:M705"/>
    <mergeCell ref="A714:D714"/>
    <mergeCell ref="F714:G714"/>
    <mergeCell ref="H714:I714"/>
    <mergeCell ref="J714:K714"/>
    <mergeCell ref="L714:M714"/>
    <mergeCell ref="A715:D715"/>
    <mergeCell ref="F715:G715"/>
    <mergeCell ref="H715:I715"/>
    <mergeCell ref="J715:K715"/>
    <mergeCell ref="L715:M715"/>
    <mergeCell ref="A712:D712"/>
    <mergeCell ref="F712:G712"/>
    <mergeCell ref="H712:I712"/>
    <mergeCell ref="J712:K712"/>
    <mergeCell ref="L712:M712"/>
    <mergeCell ref="A713:M713"/>
    <mergeCell ref="A710:D710"/>
    <mergeCell ref="F710:G710"/>
    <mergeCell ref="H710:I710"/>
    <mergeCell ref="J710:K710"/>
    <mergeCell ref="L710:M710"/>
    <mergeCell ref="A711:D711"/>
    <mergeCell ref="F711:G711"/>
    <mergeCell ref="H711:I711"/>
    <mergeCell ref="J711:K711"/>
    <mergeCell ref="L711:M711"/>
    <mergeCell ref="A719:B719"/>
    <mergeCell ref="C719:D719"/>
    <mergeCell ref="E719:G719"/>
    <mergeCell ref="H719:I719"/>
    <mergeCell ref="J719:K719"/>
    <mergeCell ref="L719:M719"/>
    <mergeCell ref="A718:B718"/>
    <mergeCell ref="C718:D718"/>
    <mergeCell ref="E718:G718"/>
    <mergeCell ref="H718:I718"/>
    <mergeCell ref="J718:K718"/>
    <mergeCell ref="L718:M718"/>
    <mergeCell ref="A716:D716"/>
    <mergeCell ref="F716:G716"/>
    <mergeCell ref="H716:I716"/>
    <mergeCell ref="J716:K716"/>
    <mergeCell ref="L716:M716"/>
    <mergeCell ref="A717:M717"/>
    <mergeCell ref="A727:M727"/>
    <mergeCell ref="A728:M728"/>
    <mergeCell ref="A729:M729"/>
    <mergeCell ref="A730:M730"/>
    <mergeCell ref="A731:M731"/>
    <mergeCell ref="A732:M732"/>
    <mergeCell ref="A721:M721"/>
    <mergeCell ref="A722:M722"/>
    <mergeCell ref="A723:M723"/>
    <mergeCell ref="A724:M724"/>
    <mergeCell ref="A725:M725"/>
    <mergeCell ref="A726:M726"/>
    <mergeCell ref="A720:B720"/>
    <mergeCell ref="C720:D720"/>
    <mergeCell ref="E720:G720"/>
    <mergeCell ref="H720:I720"/>
    <mergeCell ref="J720:K720"/>
    <mergeCell ref="L720:M720"/>
    <mergeCell ref="A746:C746"/>
    <mergeCell ref="D746:G746"/>
    <mergeCell ref="H746:J746"/>
    <mergeCell ref="K746:M746"/>
    <mergeCell ref="D747:E747"/>
    <mergeCell ref="K747:L747"/>
    <mergeCell ref="A739:M739"/>
    <mergeCell ref="A740:M740"/>
    <mergeCell ref="A741:M741"/>
    <mergeCell ref="A742:M742"/>
    <mergeCell ref="A743:M743"/>
    <mergeCell ref="H745:J745"/>
    <mergeCell ref="K745:M745"/>
    <mergeCell ref="A733:M733"/>
    <mergeCell ref="A734:M734"/>
    <mergeCell ref="A735:M735"/>
    <mergeCell ref="A736:M736"/>
    <mergeCell ref="A737:M737"/>
    <mergeCell ref="A738:M738"/>
    <mergeCell ref="A752:D752"/>
    <mergeCell ref="F752:G752"/>
    <mergeCell ref="H752:I752"/>
    <mergeCell ref="J752:K752"/>
    <mergeCell ref="L752:M752"/>
    <mergeCell ref="A753:D753"/>
    <mergeCell ref="F753:G753"/>
    <mergeCell ref="H753:I753"/>
    <mergeCell ref="J753:K753"/>
    <mergeCell ref="L753:M753"/>
    <mergeCell ref="A750:M750"/>
    <mergeCell ref="A751:D751"/>
    <mergeCell ref="F751:G751"/>
    <mergeCell ref="H751:I751"/>
    <mergeCell ref="J751:K751"/>
    <mergeCell ref="L751:M751"/>
    <mergeCell ref="A748:C748"/>
    <mergeCell ref="D748:G748"/>
    <mergeCell ref="H748:J748"/>
    <mergeCell ref="K748:M748"/>
    <mergeCell ref="A749:C749"/>
    <mergeCell ref="D749:G749"/>
    <mergeCell ref="H749:J749"/>
    <mergeCell ref="K749:M749"/>
    <mergeCell ref="A758:D758"/>
    <mergeCell ref="F758:G758"/>
    <mergeCell ref="H758:I758"/>
    <mergeCell ref="J758:K758"/>
    <mergeCell ref="L758:M758"/>
    <mergeCell ref="A759:D759"/>
    <mergeCell ref="F759:G759"/>
    <mergeCell ref="H759:I759"/>
    <mergeCell ref="J759:K759"/>
    <mergeCell ref="L759:M759"/>
    <mergeCell ref="A756:D756"/>
    <mergeCell ref="F756:G756"/>
    <mergeCell ref="H756:I756"/>
    <mergeCell ref="J756:K756"/>
    <mergeCell ref="L756:M756"/>
    <mergeCell ref="A757:M757"/>
    <mergeCell ref="A754:D754"/>
    <mergeCell ref="F754:G754"/>
    <mergeCell ref="H754:I754"/>
    <mergeCell ref="J754:K754"/>
    <mergeCell ref="L754:M754"/>
    <mergeCell ref="A755:D755"/>
    <mergeCell ref="F755:G755"/>
    <mergeCell ref="H755:I755"/>
    <mergeCell ref="J755:K755"/>
    <mergeCell ref="L755:M755"/>
    <mergeCell ref="A763:B763"/>
    <mergeCell ref="C763:D763"/>
    <mergeCell ref="E763:G763"/>
    <mergeCell ref="H763:I763"/>
    <mergeCell ref="J763:K763"/>
    <mergeCell ref="L763:M763"/>
    <mergeCell ref="A762:B762"/>
    <mergeCell ref="C762:D762"/>
    <mergeCell ref="E762:G762"/>
    <mergeCell ref="H762:I762"/>
    <mergeCell ref="J762:K762"/>
    <mergeCell ref="L762:M762"/>
    <mergeCell ref="A760:D760"/>
    <mergeCell ref="F760:G760"/>
    <mergeCell ref="H760:I760"/>
    <mergeCell ref="J760:K760"/>
    <mergeCell ref="L760:M760"/>
    <mergeCell ref="A761:M761"/>
    <mergeCell ref="A771:M771"/>
    <mergeCell ref="A772:M772"/>
    <mergeCell ref="A773:M773"/>
    <mergeCell ref="A774:M774"/>
    <mergeCell ref="A775:M775"/>
    <mergeCell ref="A776:M776"/>
    <mergeCell ref="A765:M765"/>
    <mergeCell ref="A766:M766"/>
    <mergeCell ref="A767:M767"/>
    <mergeCell ref="A768:M768"/>
    <mergeCell ref="A769:M769"/>
    <mergeCell ref="A770:M770"/>
    <mergeCell ref="A764:B764"/>
    <mergeCell ref="C764:D764"/>
    <mergeCell ref="E764:G764"/>
    <mergeCell ref="H764:I764"/>
    <mergeCell ref="J764:K764"/>
    <mergeCell ref="L764:M764"/>
    <mergeCell ref="A790:C790"/>
    <mergeCell ref="D790:G790"/>
    <mergeCell ref="H790:J790"/>
    <mergeCell ref="K790:M790"/>
    <mergeCell ref="D791:E791"/>
    <mergeCell ref="K791:L791"/>
    <mergeCell ref="A783:M783"/>
    <mergeCell ref="A784:M784"/>
    <mergeCell ref="A785:M785"/>
    <mergeCell ref="A786:M786"/>
    <mergeCell ref="A787:M787"/>
    <mergeCell ref="H789:J789"/>
    <mergeCell ref="K789:M789"/>
    <mergeCell ref="A777:M777"/>
    <mergeCell ref="A778:M778"/>
    <mergeCell ref="A779:M779"/>
    <mergeCell ref="A780:M780"/>
    <mergeCell ref="A781:M781"/>
    <mergeCell ref="A782:M782"/>
    <mergeCell ref="A796:D796"/>
    <mergeCell ref="F796:G796"/>
    <mergeCell ref="H796:I796"/>
    <mergeCell ref="J796:K796"/>
    <mergeCell ref="L796:M796"/>
    <mergeCell ref="A797:D797"/>
    <mergeCell ref="F797:G797"/>
    <mergeCell ref="H797:I797"/>
    <mergeCell ref="J797:K797"/>
    <mergeCell ref="L797:M797"/>
    <mergeCell ref="A794:M794"/>
    <mergeCell ref="A795:D795"/>
    <mergeCell ref="F795:G795"/>
    <mergeCell ref="H795:I795"/>
    <mergeCell ref="J795:K795"/>
    <mergeCell ref="L795:M795"/>
    <mergeCell ref="A792:C792"/>
    <mergeCell ref="D792:G792"/>
    <mergeCell ref="H792:J792"/>
    <mergeCell ref="K792:M792"/>
    <mergeCell ref="A793:C793"/>
    <mergeCell ref="D793:G793"/>
    <mergeCell ref="H793:J793"/>
    <mergeCell ref="K793:M793"/>
    <mergeCell ref="A802:D802"/>
    <mergeCell ref="F802:G802"/>
    <mergeCell ref="H802:I802"/>
    <mergeCell ref="J802:K802"/>
    <mergeCell ref="L802:M802"/>
    <mergeCell ref="A803:D803"/>
    <mergeCell ref="F803:G803"/>
    <mergeCell ref="H803:I803"/>
    <mergeCell ref="J803:K803"/>
    <mergeCell ref="L803:M803"/>
    <mergeCell ref="A800:D800"/>
    <mergeCell ref="F800:G800"/>
    <mergeCell ref="H800:I800"/>
    <mergeCell ref="J800:K800"/>
    <mergeCell ref="L800:M800"/>
    <mergeCell ref="A801:M801"/>
    <mergeCell ref="A798:D798"/>
    <mergeCell ref="F798:G798"/>
    <mergeCell ref="H798:I798"/>
    <mergeCell ref="J798:K798"/>
    <mergeCell ref="L798:M798"/>
    <mergeCell ref="A799:D799"/>
    <mergeCell ref="F799:G799"/>
    <mergeCell ref="H799:I799"/>
    <mergeCell ref="J799:K799"/>
    <mergeCell ref="L799:M799"/>
    <mergeCell ref="A807:B807"/>
    <mergeCell ref="C807:D807"/>
    <mergeCell ref="E807:G807"/>
    <mergeCell ref="H807:I807"/>
    <mergeCell ref="J807:K807"/>
    <mergeCell ref="L807:M807"/>
    <mergeCell ref="A806:B806"/>
    <mergeCell ref="C806:D806"/>
    <mergeCell ref="E806:G806"/>
    <mergeCell ref="H806:I806"/>
    <mergeCell ref="J806:K806"/>
    <mergeCell ref="L806:M806"/>
    <mergeCell ref="A804:D804"/>
    <mergeCell ref="F804:G804"/>
    <mergeCell ref="H804:I804"/>
    <mergeCell ref="J804:K804"/>
    <mergeCell ref="L804:M804"/>
    <mergeCell ref="A805:M805"/>
    <mergeCell ref="A815:M815"/>
    <mergeCell ref="A816:M816"/>
    <mergeCell ref="A817:M817"/>
    <mergeCell ref="A818:M818"/>
    <mergeCell ref="A819:M819"/>
    <mergeCell ref="A820:M820"/>
    <mergeCell ref="A809:M809"/>
    <mergeCell ref="A810:M810"/>
    <mergeCell ref="A811:M811"/>
    <mergeCell ref="A812:M812"/>
    <mergeCell ref="A813:M813"/>
    <mergeCell ref="A814:M814"/>
    <mergeCell ref="A808:B808"/>
    <mergeCell ref="C808:D808"/>
    <mergeCell ref="E808:G808"/>
    <mergeCell ref="H808:I808"/>
    <mergeCell ref="J808:K808"/>
    <mergeCell ref="L808:M808"/>
    <mergeCell ref="A834:C834"/>
    <mergeCell ref="D834:G834"/>
    <mergeCell ref="H834:J834"/>
    <mergeCell ref="K834:M834"/>
    <mergeCell ref="D835:E835"/>
    <mergeCell ref="K835:L835"/>
    <mergeCell ref="A827:M827"/>
    <mergeCell ref="A828:M828"/>
    <mergeCell ref="A829:M829"/>
    <mergeCell ref="A830:M830"/>
    <mergeCell ref="A831:M831"/>
    <mergeCell ref="H833:J833"/>
    <mergeCell ref="K833:M833"/>
    <mergeCell ref="A821:M821"/>
    <mergeCell ref="A822:M822"/>
    <mergeCell ref="A823:M823"/>
    <mergeCell ref="A824:M824"/>
    <mergeCell ref="A825:M825"/>
    <mergeCell ref="A826:M826"/>
    <mergeCell ref="A840:D840"/>
    <mergeCell ref="F840:G840"/>
    <mergeCell ref="H840:I840"/>
    <mergeCell ref="J840:K840"/>
    <mergeCell ref="L840:M840"/>
    <mergeCell ref="A841:D841"/>
    <mergeCell ref="F841:G841"/>
    <mergeCell ref="H841:I841"/>
    <mergeCell ref="J841:K841"/>
    <mergeCell ref="L841:M841"/>
    <mergeCell ref="A838:M838"/>
    <mergeCell ref="A839:D839"/>
    <mergeCell ref="F839:G839"/>
    <mergeCell ref="H839:I839"/>
    <mergeCell ref="J839:K839"/>
    <mergeCell ref="L839:M839"/>
    <mergeCell ref="A836:C836"/>
    <mergeCell ref="D836:G836"/>
    <mergeCell ref="H836:J836"/>
    <mergeCell ref="K836:M836"/>
    <mergeCell ref="A837:C837"/>
    <mergeCell ref="D837:G837"/>
    <mergeCell ref="H837:J837"/>
    <mergeCell ref="K837:M837"/>
    <mergeCell ref="A846:D846"/>
    <mergeCell ref="F846:G846"/>
    <mergeCell ref="H846:I846"/>
    <mergeCell ref="J846:K846"/>
    <mergeCell ref="L846:M846"/>
    <mergeCell ref="A847:D847"/>
    <mergeCell ref="F847:G847"/>
    <mergeCell ref="H847:I847"/>
    <mergeCell ref="J847:K847"/>
    <mergeCell ref="L847:M847"/>
    <mergeCell ref="A844:D844"/>
    <mergeCell ref="F844:G844"/>
    <mergeCell ref="H844:I844"/>
    <mergeCell ref="J844:K844"/>
    <mergeCell ref="L844:M844"/>
    <mergeCell ref="A845:M845"/>
    <mergeCell ref="A842:D842"/>
    <mergeCell ref="F842:G842"/>
    <mergeCell ref="H842:I842"/>
    <mergeCell ref="J842:K842"/>
    <mergeCell ref="L842:M842"/>
    <mergeCell ref="A843:D843"/>
    <mergeCell ref="F843:G843"/>
    <mergeCell ref="H843:I843"/>
    <mergeCell ref="J843:K843"/>
    <mergeCell ref="L843:M843"/>
    <mergeCell ref="A851:B851"/>
    <mergeCell ref="C851:D851"/>
    <mergeCell ref="E851:G851"/>
    <mergeCell ref="H851:I851"/>
    <mergeCell ref="J851:K851"/>
    <mergeCell ref="L851:M851"/>
    <mergeCell ref="A850:B850"/>
    <mergeCell ref="C850:D850"/>
    <mergeCell ref="E850:G850"/>
    <mergeCell ref="H850:I850"/>
    <mergeCell ref="J850:K850"/>
    <mergeCell ref="L850:M850"/>
    <mergeCell ref="A848:D848"/>
    <mergeCell ref="F848:G848"/>
    <mergeCell ref="H848:I848"/>
    <mergeCell ref="J848:K848"/>
    <mergeCell ref="L848:M848"/>
    <mergeCell ref="A849:M849"/>
    <mergeCell ref="A859:M859"/>
    <mergeCell ref="A860:M860"/>
    <mergeCell ref="A861:M861"/>
    <mergeCell ref="A862:M862"/>
    <mergeCell ref="A863:M863"/>
    <mergeCell ref="A864:M864"/>
    <mergeCell ref="A853:M853"/>
    <mergeCell ref="A854:M854"/>
    <mergeCell ref="A855:M855"/>
    <mergeCell ref="A856:M856"/>
    <mergeCell ref="A857:M857"/>
    <mergeCell ref="A858:M858"/>
    <mergeCell ref="A852:B852"/>
    <mergeCell ref="C852:D852"/>
    <mergeCell ref="E852:G852"/>
    <mergeCell ref="H852:I852"/>
    <mergeCell ref="J852:K852"/>
    <mergeCell ref="L852:M852"/>
    <mergeCell ref="A878:C878"/>
    <mergeCell ref="D878:G878"/>
    <mergeCell ref="H878:J878"/>
    <mergeCell ref="K878:M878"/>
    <mergeCell ref="D879:E879"/>
    <mergeCell ref="K879:L879"/>
    <mergeCell ref="A871:M871"/>
    <mergeCell ref="A872:M872"/>
    <mergeCell ref="A873:M873"/>
    <mergeCell ref="A874:M874"/>
    <mergeCell ref="A875:M875"/>
    <mergeCell ref="H877:J877"/>
    <mergeCell ref="K877:M877"/>
    <mergeCell ref="A865:M865"/>
    <mergeCell ref="A866:M866"/>
    <mergeCell ref="A867:M867"/>
    <mergeCell ref="A868:M868"/>
    <mergeCell ref="A869:M869"/>
    <mergeCell ref="A870:M870"/>
    <mergeCell ref="A884:D884"/>
    <mergeCell ref="F884:G884"/>
    <mergeCell ref="H884:I884"/>
    <mergeCell ref="J884:K884"/>
    <mergeCell ref="L884:M884"/>
    <mergeCell ref="A885:D885"/>
    <mergeCell ref="F885:G885"/>
    <mergeCell ref="H885:I885"/>
    <mergeCell ref="J885:K885"/>
    <mergeCell ref="L885:M885"/>
    <mergeCell ref="A882:M882"/>
    <mergeCell ref="A883:D883"/>
    <mergeCell ref="F883:G883"/>
    <mergeCell ref="H883:I883"/>
    <mergeCell ref="J883:K883"/>
    <mergeCell ref="L883:M883"/>
    <mergeCell ref="A880:C880"/>
    <mergeCell ref="D880:G880"/>
    <mergeCell ref="H880:J880"/>
    <mergeCell ref="K880:M880"/>
    <mergeCell ref="A881:C881"/>
    <mergeCell ref="D881:G881"/>
    <mergeCell ref="H881:J881"/>
    <mergeCell ref="K881:M881"/>
    <mergeCell ref="A890:D890"/>
    <mergeCell ref="F890:G890"/>
    <mergeCell ref="H890:I890"/>
    <mergeCell ref="J890:K890"/>
    <mergeCell ref="L890:M890"/>
    <mergeCell ref="A891:D891"/>
    <mergeCell ref="F891:G891"/>
    <mergeCell ref="H891:I891"/>
    <mergeCell ref="J891:K891"/>
    <mergeCell ref="L891:M891"/>
    <mergeCell ref="A888:D888"/>
    <mergeCell ref="F888:G888"/>
    <mergeCell ref="H888:I888"/>
    <mergeCell ref="J888:K888"/>
    <mergeCell ref="L888:M888"/>
    <mergeCell ref="A889:M889"/>
    <mergeCell ref="A886:D886"/>
    <mergeCell ref="F886:G886"/>
    <mergeCell ref="H886:I886"/>
    <mergeCell ref="J886:K886"/>
    <mergeCell ref="L886:M886"/>
    <mergeCell ref="A887:D887"/>
    <mergeCell ref="F887:G887"/>
    <mergeCell ref="H887:I887"/>
    <mergeCell ref="J887:K887"/>
    <mergeCell ref="L887:M887"/>
    <mergeCell ref="A895:B895"/>
    <mergeCell ref="C895:D895"/>
    <mergeCell ref="E895:G895"/>
    <mergeCell ref="H895:I895"/>
    <mergeCell ref="J895:K895"/>
    <mergeCell ref="L895:M895"/>
    <mergeCell ref="A894:B894"/>
    <mergeCell ref="C894:D894"/>
    <mergeCell ref="E894:G894"/>
    <mergeCell ref="H894:I894"/>
    <mergeCell ref="J894:K894"/>
    <mergeCell ref="L894:M894"/>
    <mergeCell ref="A892:D892"/>
    <mergeCell ref="F892:G892"/>
    <mergeCell ref="H892:I892"/>
    <mergeCell ref="J892:K892"/>
    <mergeCell ref="L892:M892"/>
    <mergeCell ref="A893:M893"/>
    <mergeCell ref="A903:M903"/>
    <mergeCell ref="A904:M904"/>
    <mergeCell ref="A905:M905"/>
    <mergeCell ref="A906:M906"/>
    <mergeCell ref="A907:M907"/>
    <mergeCell ref="A908:M908"/>
    <mergeCell ref="A897:M897"/>
    <mergeCell ref="A898:M898"/>
    <mergeCell ref="A899:M899"/>
    <mergeCell ref="A900:M900"/>
    <mergeCell ref="A901:M901"/>
    <mergeCell ref="A902:M902"/>
    <mergeCell ref="A896:B896"/>
    <mergeCell ref="C896:D896"/>
    <mergeCell ref="E896:G896"/>
    <mergeCell ref="H896:I896"/>
    <mergeCell ref="J896:K896"/>
    <mergeCell ref="L896:M896"/>
    <mergeCell ref="A922:C922"/>
    <mergeCell ref="D922:G922"/>
    <mergeCell ref="H922:J922"/>
    <mergeCell ref="K922:M922"/>
    <mergeCell ref="D923:E923"/>
    <mergeCell ref="K923:L923"/>
    <mergeCell ref="A915:M915"/>
    <mergeCell ref="A916:M916"/>
    <mergeCell ref="A917:M917"/>
    <mergeCell ref="A918:M918"/>
    <mergeCell ref="A919:M919"/>
    <mergeCell ref="H921:J921"/>
    <mergeCell ref="K921:M921"/>
    <mergeCell ref="A909:M909"/>
    <mergeCell ref="A910:M910"/>
    <mergeCell ref="A911:M911"/>
    <mergeCell ref="A912:M912"/>
    <mergeCell ref="A913:M913"/>
    <mergeCell ref="A914:M914"/>
    <mergeCell ref="A928:D928"/>
    <mergeCell ref="F928:G928"/>
    <mergeCell ref="H928:I928"/>
    <mergeCell ref="J928:K928"/>
    <mergeCell ref="L928:M928"/>
    <mergeCell ref="A929:D929"/>
    <mergeCell ref="F929:G929"/>
    <mergeCell ref="H929:I929"/>
    <mergeCell ref="J929:K929"/>
    <mergeCell ref="L929:M929"/>
    <mergeCell ref="A926:M926"/>
    <mergeCell ref="A927:D927"/>
    <mergeCell ref="F927:G927"/>
    <mergeCell ref="H927:I927"/>
    <mergeCell ref="J927:K927"/>
    <mergeCell ref="L927:M927"/>
    <mergeCell ref="A924:C924"/>
    <mergeCell ref="D924:G924"/>
    <mergeCell ref="H924:J924"/>
    <mergeCell ref="K924:M924"/>
    <mergeCell ref="A925:C925"/>
    <mergeCell ref="D925:G925"/>
    <mergeCell ref="H925:J925"/>
    <mergeCell ref="K925:M925"/>
    <mergeCell ref="A934:D934"/>
    <mergeCell ref="F934:G934"/>
    <mergeCell ref="H934:I934"/>
    <mergeCell ref="J934:K934"/>
    <mergeCell ref="L934:M934"/>
    <mergeCell ref="A935:D935"/>
    <mergeCell ref="F935:G935"/>
    <mergeCell ref="H935:I935"/>
    <mergeCell ref="J935:K935"/>
    <mergeCell ref="L935:M935"/>
    <mergeCell ref="A932:D932"/>
    <mergeCell ref="F932:G932"/>
    <mergeCell ref="H932:I932"/>
    <mergeCell ref="J932:K932"/>
    <mergeCell ref="L932:M932"/>
    <mergeCell ref="A933:M933"/>
    <mergeCell ref="A930:D930"/>
    <mergeCell ref="F930:G930"/>
    <mergeCell ref="H930:I930"/>
    <mergeCell ref="J930:K930"/>
    <mergeCell ref="L930:M930"/>
    <mergeCell ref="A931:D931"/>
    <mergeCell ref="F931:G931"/>
    <mergeCell ref="H931:I931"/>
    <mergeCell ref="J931:K931"/>
    <mergeCell ref="L931:M931"/>
    <mergeCell ref="A939:B939"/>
    <mergeCell ref="C939:D939"/>
    <mergeCell ref="E939:G939"/>
    <mergeCell ref="H939:I939"/>
    <mergeCell ref="J939:K939"/>
    <mergeCell ref="L939:M939"/>
    <mergeCell ref="A938:B938"/>
    <mergeCell ref="C938:D938"/>
    <mergeCell ref="E938:G938"/>
    <mergeCell ref="H938:I938"/>
    <mergeCell ref="J938:K938"/>
    <mergeCell ref="L938:M938"/>
    <mergeCell ref="A936:D936"/>
    <mergeCell ref="F936:G936"/>
    <mergeCell ref="H936:I936"/>
    <mergeCell ref="J936:K936"/>
    <mergeCell ref="L936:M936"/>
    <mergeCell ref="A937:M937"/>
    <mergeCell ref="A947:M947"/>
    <mergeCell ref="A948:M948"/>
    <mergeCell ref="A949:M949"/>
    <mergeCell ref="A950:M950"/>
    <mergeCell ref="A951:M951"/>
    <mergeCell ref="A952:M952"/>
    <mergeCell ref="A941:M941"/>
    <mergeCell ref="A942:M942"/>
    <mergeCell ref="A943:M943"/>
    <mergeCell ref="A944:M944"/>
    <mergeCell ref="A945:M945"/>
    <mergeCell ref="A946:M946"/>
    <mergeCell ref="A940:B940"/>
    <mergeCell ref="C940:D940"/>
    <mergeCell ref="E940:G940"/>
    <mergeCell ref="H940:I940"/>
    <mergeCell ref="J940:K940"/>
    <mergeCell ref="L940:M940"/>
    <mergeCell ref="A966:C966"/>
    <mergeCell ref="D966:G966"/>
    <mergeCell ref="H966:J966"/>
    <mergeCell ref="K966:M966"/>
    <mergeCell ref="D967:E967"/>
    <mergeCell ref="K967:L967"/>
    <mergeCell ref="A959:M959"/>
    <mergeCell ref="A960:M960"/>
    <mergeCell ref="A961:M961"/>
    <mergeCell ref="A962:M962"/>
    <mergeCell ref="A963:M963"/>
    <mergeCell ref="H965:J965"/>
    <mergeCell ref="K965:M965"/>
    <mergeCell ref="A953:M953"/>
    <mergeCell ref="A954:M954"/>
    <mergeCell ref="A955:M955"/>
    <mergeCell ref="A956:M956"/>
    <mergeCell ref="A957:M957"/>
    <mergeCell ref="A958:M958"/>
    <mergeCell ref="A972:D972"/>
    <mergeCell ref="F972:G972"/>
    <mergeCell ref="H972:I972"/>
    <mergeCell ref="J972:K972"/>
    <mergeCell ref="L972:M972"/>
    <mergeCell ref="A973:D973"/>
    <mergeCell ref="F973:G973"/>
    <mergeCell ref="H973:I973"/>
    <mergeCell ref="J973:K973"/>
    <mergeCell ref="L973:M973"/>
    <mergeCell ref="A970:M970"/>
    <mergeCell ref="A971:D971"/>
    <mergeCell ref="F971:G971"/>
    <mergeCell ref="H971:I971"/>
    <mergeCell ref="J971:K971"/>
    <mergeCell ref="L971:M971"/>
    <mergeCell ref="A968:C968"/>
    <mergeCell ref="D968:G968"/>
    <mergeCell ref="H968:J968"/>
    <mergeCell ref="K968:M968"/>
    <mergeCell ref="A969:C969"/>
    <mergeCell ref="D969:G969"/>
    <mergeCell ref="H969:J969"/>
    <mergeCell ref="K969:M969"/>
    <mergeCell ref="A978:D978"/>
    <mergeCell ref="F978:G978"/>
    <mergeCell ref="H978:I978"/>
    <mergeCell ref="J978:K978"/>
    <mergeCell ref="L978:M978"/>
    <mergeCell ref="A979:D979"/>
    <mergeCell ref="F979:G979"/>
    <mergeCell ref="H979:I979"/>
    <mergeCell ref="J979:K979"/>
    <mergeCell ref="L979:M979"/>
    <mergeCell ref="A976:D976"/>
    <mergeCell ref="F976:G976"/>
    <mergeCell ref="H976:I976"/>
    <mergeCell ref="J976:K976"/>
    <mergeCell ref="L976:M976"/>
    <mergeCell ref="A977:M977"/>
    <mergeCell ref="A974:D974"/>
    <mergeCell ref="F974:G974"/>
    <mergeCell ref="H974:I974"/>
    <mergeCell ref="J974:K974"/>
    <mergeCell ref="L974:M974"/>
    <mergeCell ref="A975:D975"/>
    <mergeCell ref="F975:G975"/>
    <mergeCell ref="H975:I975"/>
    <mergeCell ref="J975:K975"/>
    <mergeCell ref="L975:M975"/>
    <mergeCell ref="A983:B983"/>
    <mergeCell ref="C983:D983"/>
    <mergeCell ref="E983:G983"/>
    <mergeCell ref="H983:I983"/>
    <mergeCell ref="J983:K983"/>
    <mergeCell ref="L983:M983"/>
    <mergeCell ref="A982:B982"/>
    <mergeCell ref="C982:D982"/>
    <mergeCell ref="E982:G982"/>
    <mergeCell ref="H982:I982"/>
    <mergeCell ref="J982:K982"/>
    <mergeCell ref="L982:M982"/>
    <mergeCell ref="A980:D980"/>
    <mergeCell ref="F980:G980"/>
    <mergeCell ref="H980:I980"/>
    <mergeCell ref="J980:K980"/>
    <mergeCell ref="L980:M980"/>
    <mergeCell ref="A981:M981"/>
    <mergeCell ref="A991:M991"/>
    <mergeCell ref="A992:M992"/>
    <mergeCell ref="A993:M993"/>
    <mergeCell ref="A994:M994"/>
    <mergeCell ref="A995:M995"/>
    <mergeCell ref="A996:M996"/>
    <mergeCell ref="A985:M985"/>
    <mergeCell ref="A986:M986"/>
    <mergeCell ref="A987:M987"/>
    <mergeCell ref="A988:M988"/>
    <mergeCell ref="A989:M989"/>
    <mergeCell ref="A990:M990"/>
    <mergeCell ref="A984:B984"/>
    <mergeCell ref="C984:D984"/>
    <mergeCell ref="E984:G984"/>
    <mergeCell ref="H984:I984"/>
    <mergeCell ref="J984:K984"/>
    <mergeCell ref="L984:M984"/>
    <mergeCell ref="A1010:C1010"/>
    <mergeCell ref="D1010:G1010"/>
    <mergeCell ref="H1010:J1010"/>
    <mergeCell ref="K1010:M1010"/>
    <mergeCell ref="D1011:E1011"/>
    <mergeCell ref="K1011:L1011"/>
    <mergeCell ref="A1003:M1003"/>
    <mergeCell ref="A1004:M1004"/>
    <mergeCell ref="A1005:M1005"/>
    <mergeCell ref="A1006:M1006"/>
    <mergeCell ref="A1007:M1007"/>
    <mergeCell ref="H1009:J1009"/>
    <mergeCell ref="K1009:M1009"/>
    <mergeCell ref="A997:M997"/>
    <mergeCell ref="A998:M998"/>
    <mergeCell ref="A999:M999"/>
    <mergeCell ref="A1000:M1000"/>
    <mergeCell ref="A1001:M1001"/>
    <mergeCell ref="A1002:M1002"/>
    <mergeCell ref="A1016:D1016"/>
    <mergeCell ref="F1016:G1016"/>
    <mergeCell ref="H1016:I1016"/>
    <mergeCell ref="J1016:K1016"/>
    <mergeCell ref="L1016:M1016"/>
    <mergeCell ref="A1017:D1017"/>
    <mergeCell ref="F1017:G1017"/>
    <mergeCell ref="H1017:I1017"/>
    <mergeCell ref="J1017:K1017"/>
    <mergeCell ref="L1017:M1017"/>
    <mergeCell ref="A1014:M1014"/>
    <mergeCell ref="A1015:D1015"/>
    <mergeCell ref="F1015:G1015"/>
    <mergeCell ref="H1015:I1015"/>
    <mergeCell ref="J1015:K1015"/>
    <mergeCell ref="L1015:M1015"/>
    <mergeCell ref="A1012:C1012"/>
    <mergeCell ref="D1012:G1012"/>
    <mergeCell ref="H1012:J1012"/>
    <mergeCell ref="K1012:M1012"/>
    <mergeCell ref="A1013:C1013"/>
    <mergeCell ref="D1013:G1013"/>
    <mergeCell ref="H1013:J1013"/>
    <mergeCell ref="K1013:M1013"/>
    <mergeCell ref="A1022:D1022"/>
    <mergeCell ref="F1022:G1022"/>
    <mergeCell ref="H1022:I1022"/>
    <mergeCell ref="J1022:K1022"/>
    <mergeCell ref="L1022:M1022"/>
    <mergeCell ref="A1023:D1023"/>
    <mergeCell ref="F1023:G1023"/>
    <mergeCell ref="H1023:I1023"/>
    <mergeCell ref="J1023:K1023"/>
    <mergeCell ref="L1023:M1023"/>
    <mergeCell ref="A1020:D1020"/>
    <mergeCell ref="F1020:G1020"/>
    <mergeCell ref="H1020:I1020"/>
    <mergeCell ref="J1020:K1020"/>
    <mergeCell ref="L1020:M1020"/>
    <mergeCell ref="A1021:M1021"/>
    <mergeCell ref="A1018:D1018"/>
    <mergeCell ref="F1018:G1018"/>
    <mergeCell ref="H1018:I1018"/>
    <mergeCell ref="J1018:K1018"/>
    <mergeCell ref="L1018:M1018"/>
    <mergeCell ref="A1019:D1019"/>
    <mergeCell ref="F1019:G1019"/>
    <mergeCell ref="H1019:I1019"/>
    <mergeCell ref="J1019:K1019"/>
    <mergeCell ref="L1019:M1019"/>
    <mergeCell ref="A1027:B1027"/>
    <mergeCell ref="C1027:D1027"/>
    <mergeCell ref="E1027:G1027"/>
    <mergeCell ref="H1027:I1027"/>
    <mergeCell ref="J1027:K1027"/>
    <mergeCell ref="L1027:M1027"/>
    <mergeCell ref="A1026:B1026"/>
    <mergeCell ref="C1026:D1026"/>
    <mergeCell ref="E1026:G1026"/>
    <mergeCell ref="H1026:I1026"/>
    <mergeCell ref="J1026:K1026"/>
    <mergeCell ref="L1026:M1026"/>
    <mergeCell ref="A1024:D1024"/>
    <mergeCell ref="F1024:G1024"/>
    <mergeCell ref="H1024:I1024"/>
    <mergeCell ref="J1024:K1024"/>
    <mergeCell ref="L1024:M1024"/>
    <mergeCell ref="A1025:M1025"/>
    <mergeCell ref="A1035:M1035"/>
    <mergeCell ref="A1036:M1036"/>
    <mergeCell ref="A1037:M1037"/>
    <mergeCell ref="A1038:M1038"/>
    <mergeCell ref="A1039:M1039"/>
    <mergeCell ref="A1040:M1040"/>
    <mergeCell ref="A1029:M1029"/>
    <mergeCell ref="A1030:M1030"/>
    <mergeCell ref="A1031:M1031"/>
    <mergeCell ref="A1032:M1032"/>
    <mergeCell ref="A1033:M1033"/>
    <mergeCell ref="A1034:M1034"/>
    <mergeCell ref="A1028:B1028"/>
    <mergeCell ref="C1028:D1028"/>
    <mergeCell ref="E1028:G1028"/>
    <mergeCell ref="H1028:I1028"/>
    <mergeCell ref="J1028:K1028"/>
    <mergeCell ref="L1028:M1028"/>
    <mergeCell ref="A1054:C1054"/>
    <mergeCell ref="D1054:G1054"/>
    <mergeCell ref="H1054:J1054"/>
    <mergeCell ref="K1054:M1054"/>
    <mergeCell ref="D1055:E1055"/>
    <mergeCell ref="K1055:L1055"/>
    <mergeCell ref="A1047:M1047"/>
    <mergeCell ref="A1048:M1048"/>
    <mergeCell ref="A1049:M1049"/>
    <mergeCell ref="A1050:M1050"/>
    <mergeCell ref="A1051:M1051"/>
    <mergeCell ref="H1053:J1053"/>
    <mergeCell ref="K1053:M1053"/>
    <mergeCell ref="A1041:M1041"/>
    <mergeCell ref="A1042:M1042"/>
    <mergeCell ref="A1043:M1043"/>
    <mergeCell ref="A1044:M1044"/>
    <mergeCell ref="A1045:M1045"/>
    <mergeCell ref="A1046:M1046"/>
    <mergeCell ref="A1060:D1060"/>
    <mergeCell ref="F1060:G1060"/>
    <mergeCell ref="H1060:I1060"/>
    <mergeCell ref="J1060:K1060"/>
    <mergeCell ref="L1060:M1060"/>
    <mergeCell ref="A1061:D1061"/>
    <mergeCell ref="F1061:G1061"/>
    <mergeCell ref="H1061:I1061"/>
    <mergeCell ref="J1061:K1061"/>
    <mergeCell ref="L1061:M1061"/>
    <mergeCell ref="A1058:M1058"/>
    <mergeCell ref="A1059:D1059"/>
    <mergeCell ref="F1059:G1059"/>
    <mergeCell ref="H1059:I1059"/>
    <mergeCell ref="J1059:K1059"/>
    <mergeCell ref="L1059:M1059"/>
    <mergeCell ref="A1056:C1056"/>
    <mergeCell ref="D1056:G1056"/>
    <mergeCell ref="H1056:J1056"/>
    <mergeCell ref="K1056:M1056"/>
    <mergeCell ref="A1057:C1057"/>
    <mergeCell ref="D1057:G1057"/>
    <mergeCell ref="H1057:J1057"/>
    <mergeCell ref="K1057:M1057"/>
    <mergeCell ref="A1066:D1066"/>
    <mergeCell ref="F1066:G1066"/>
    <mergeCell ref="H1066:I1066"/>
    <mergeCell ref="J1066:K1066"/>
    <mergeCell ref="L1066:M1066"/>
    <mergeCell ref="A1067:D1067"/>
    <mergeCell ref="F1067:G1067"/>
    <mergeCell ref="H1067:I1067"/>
    <mergeCell ref="J1067:K1067"/>
    <mergeCell ref="L1067:M1067"/>
    <mergeCell ref="A1064:D1064"/>
    <mergeCell ref="F1064:G1064"/>
    <mergeCell ref="H1064:I1064"/>
    <mergeCell ref="J1064:K1064"/>
    <mergeCell ref="L1064:M1064"/>
    <mergeCell ref="A1065:M1065"/>
    <mergeCell ref="A1062:D1062"/>
    <mergeCell ref="F1062:G1062"/>
    <mergeCell ref="H1062:I1062"/>
    <mergeCell ref="J1062:K1062"/>
    <mergeCell ref="L1062:M1062"/>
    <mergeCell ref="A1063:D1063"/>
    <mergeCell ref="F1063:G1063"/>
    <mergeCell ref="H1063:I1063"/>
    <mergeCell ref="J1063:K1063"/>
    <mergeCell ref="L1063:M1063"/>
    <mergeCell ref="A1071:B1071"/>
    <mergeCell ref="C1071:D1071"/>
    <mergeCell ref="E1071:G1071"/>
    <mergeCell ref="H1071:I1071"/>
    <mergeCell ref="J1071:K1071"/>
    <mergeCell ref="L1071:M1071"/>
    <mergeCell ref="A1070:B1070"/>
    <mergeCell ref="C1070:D1070"/>
    <mergeCell ref="E1070:G1070"/>
    <mergeCell ref="H1070:I1070"/>
    <mergeCell ref="J1070:K1070"/>
    <mergeCell ref="L1070:M1070"/>
    <mergeCell ref="A1068:D1068"/>
    <mergeCell ref="F1068:G1068"/>
    <mergeCell ref="H1068:I1068"/>
    <mergeCell ref="J1068:K1068"/>
    <mergeCell ref="L1068:M1068"/>
    <mergeCell ref="A1069:M1069"/>
    <mergeCell ref="A1079:M1079"/>
    <mergeCell ref="A1080:M1080"/>
    <mergeCell ref="A1081:M1081"/>
    <mergeCell ref="A1082:M1082"/>
    <mergeCell ref="A1083:M1083"/>
    <mergeCell ref="A1084:M1084"/>
    <mergeCell ref="A1073:M1073"/>
    <mergeCell ref="A1074:M1074"/>
    <mergeCell ref="A1075:M1075"/>
    <mergeCell ref="A1076:M1076"/>
    <mergeCell ref="A1077:M1077"/>
    <mergeCell ref="A1078:M1078"/>
    <mergeCell ref="A1072:B1072"/>
    <mergeCell ref="C1072:D1072"/>
    <mergeCell ref="E1072:G1072"/>
    <mergeCell ref="H1072:I1072"/>
    <mergeCell ref="J1072:K1072"/>
    <mergeCell ref="L1072:M1072"/>
    <mergeCell ref="A1098:C1098"/>
    <mergeCell ref="D1098:G1098"/>
    <mergeCell ref="H1098:J1098"/>
    <mergeCell ref="K1098:M1098"/>
    <mergeCell ref="D1099:E1099"/>
    <mergeCell ref="K1099:L1099"/>
    <mergeCell ref="A1091:M1091"/>
    <mergeCell ref="A1092:M1092"/>
    <mergeCell ref="A1093:M1093"/>
    <mergeCell ref="A1094:M1094"/>
    <mergeCell ref="A1095:M1095"/>
    <mergeCell ref="H1097:J1097"/>
    <mergeCell ref="K1097:M1097"/>
    <mergeCell ref="A1085:M1085"/>
    <mergeCell ref="A1086:M1086"/>
    <mergeCell ref="A1087:M1087"/>
    <mergeCell ref="A1088:M1088"/>
    <mergeCell ref="A1089:M1089"/>
    <mergeCell ref="A1090:M1090"/>
    <mergeCell ref="A1104:D1104"/>
    <mergeCell ref="F1104:G1104"/>
    <mergeCell ref="H1104:I1104"/>
    <mergeCell ref="J1104:K1104"/>
    <mergeCell ref="L1104:M1104"/>
    <mergeCell ref="A1105:D1105"/>
    <mergeCell ref="F1105:G1105"/>
    <mergeCell ref="H1105:I1105"/>
    <mergeCell ref="J1105:K1105"/>
    <mergeCell ref="L1105:M1105"/>
    <mergeCell ref="A1102:M1102"/>
    <mergeCell ref="A1103:D1103"/>
    <mergeCell ref="F1103:G1103"/>
    <mergeCell ref="H1103:I1103"/>
    <mergeCell ref="J1103:K1103"/>
    <mergeCell ref="L1103:M1103"/>
    <mergeCell ref="A1100:C1100"/>
    <mergeCell ref="D1100:G1100"/>
    <mergeCell ref="H1100:J1100"/>
    <mergeCell ref="K1100:M1100"/>
    <mergeCell ref="A1101:C1101"/>
    <mergeCell ref="D1101:G1101"/>
    <mergeCell ref="H1101:J1101"/>
    <mergeCell ref="K1101:M1101"/>
    <mergeCell ref="A1110:D1110"/>
    <mergeCell ref="F1110:G1110"/>
    <mergeCell ref="H1110:I1110"/>
    <mergeCell ref="J1110:K1110"/>
    <mergeCell ref="L1110:M1110"/>
    <mergeCell ref="A1111:D1111"/>
    <mergeCell ref="F1111:G1111"/>
    <mergeCell ref="H1111:I1111"/>
    <mergeCell ref="J1111:K1111"/>
    <mergeCell ref="L1111:M1111"/>
    <mergeCell ref="A1108:D1108"/>
    <mergeCell ref="F1108:G1108"/>
    <mergeCell ref="H1108:I1108"/>
    <mergeCell ref="J1108:K1108"/>
    <mergeCell ref="L1108:M1108"/>
    <mergeCell ref="A1109:M1109"/>
    <mergeCell ref="A1106:D1106"/>
    <mergeCell ref="F1106:G1106"/>
    <mergeCell ref="H1106:I1106"/>
    <mergeCell ref="J1106:K1106"/>
    <mergeCell ref="L1106:M1106"/>
    <mergeCell ref="A1107:D1107"/>
    <mergeCell ref="F1107:G1107"/>
    <mergeCell ref="H1107:I1107"/>
    <mergeCell ref="J1107:K1107"/>
    <mergeCell ref="L1107:M1107"/>
    <mergeCell ref="A1115:B1115"/>
    <mergeCell ref="C1115:D1115"/>
    <mergeCell ref="E1115:G1115"/>
    <mergeCell ref="H1115:I1115"/>
    <mergeCell ref="J1115:K1115"/>
    <mergeCell ref="L1115:M1115"/>
    <mergeCell ref="A1114:B1114"/>
    <mergeCell ref="C1114:D1114"/>
    <mergeCell ref="E1114:G1114"/>
    <mergeCell ref="H1114:I1114"/>
    <mergeCell ref="J1114:K1114"/>
    <mergeCell ref="L1114:M1114"/>
    <mergeCell ref="A1112:D1112"/>
    <mergeCell ref="F1112:G1112"/>
    <mergeCell ref="H1112:I1112"/>
    <mergeCell ref="J1112:K1112"/>
    <mergeCell ref="L1112:M1112"/>
    <mergeCell ref="A1113:M1113"/>
    <mergeCell ref="A1123:M1123"/>
    <mergeCell ref="A1124:M1124"/>
    <mergeCell ref="A1125:M1125"/>
    <mergeCell ref="A1126:M1126"/>
    <mergeCell ref="A1127:M1127"/>
    <mergeCell ref="A1128:M1128"/>
    <mergeCell ref="A1117:M1117"/>
    <mergeCell ref="A1118:M1118"/>
    <mergeCell ref="A1119:M1119"/>
    <mergeCell ref="A1120:M1120"/>
    <mergeCell ref="A1121:M1121"/>
    <mergeCell ref="A1122:M1122"/>
    <mergeCell ref="A1116:B1116"/>
    <mergeCell ref="C1116:D1116"/>
    <mergeCell ref="E1116:G1116"/>
    <mergeCell ref="H1116:I1116"/>
    <mergeCell ref="J1116:K1116"/>
    <mergeCell ref="L1116:M1116"/>
    <mergeCell ref="A1142:C1142"/>
    <mergeCell ref="D1142:G1142"/>
    <mergeCell ref="H1142:J1142"/>
    <mergeCell ref="K1142:M1142"/>
    <mergeCell ref="D1143:E1143"/>
    <mergeCell ref="K1143:L1143"/>
    <mergeCell ref="A1135:M1135"/>
    <mergeCell ref="A1136:M1136"/>
    <mergeCell ref="A1137:M1137"/>
    <mergeCell ref="A1138:M1138"/>
    <mergeCell ref="A1139:M1139"/>
    <mergeCell ref="H1141:J1141"/>
    <mergeCell ref="K1141:M1141"/>
    <mergeCell ref="A1129:M1129"/>
    <mergeCell ref="A1130:M1130"/>
    <mergeCell ref="A1131:M1131"/>
    <mergeCell ref="A1132:M1132"/>
    <mergeCell ref="A1133:M1133"/>
    <mergeCell ref="A1134:M1134"/>
    <mergeCell ref="A1148:D1148"/>
    <mergeCell ref="F1148:G1148"/>
    <mergeCell ref="H1148:I1148"/>
    <mergeCell ref="J1148:K1148"/>
    <mergeCell ref="L1148:M1148"/>
    <mergeCell ref="A1149:D1149"/>
    <mergeCell ref="F1149:G1149"/>
    <mergeCell ref="H1149:I1149"/>
    <mergeCell ref="J1149:K1149"/>
    <mergeCell ref="L1149:M1149"/>
    <mergeCell ref="A1146:M1146"/>
    <mergeCell ref="A1147:D1147"/>
    <mergeCell ref="F1147:G1147"/>
    <mergeCell ref="H1147:I1147"/>
    <mergeCell ref="J1147:K1147"/>
    <mergeCell ref="L1147:M1147"/>
    <mergeCell ref="A1144:C1144"/>
    <mergeCell ref="D1144:G1144"/>
    <mergeCell ref="H1144:J1144"/>
    <mergeCell ref="K1144:M1144"/>
    <mergeCell ref="A1145:C1145"/>
    <mergeCell ref="D1145:G1145"/>
    <mergeCell ref="H1145:J1145"/>
    <mergeCell ref="K1145:M1145"/>
    <mergeCell ref="A1154:D1154"/>
    <mergeCell ref="F1154:G1154"/>
    <mergeCell ref="H1154:I1154"/>
    <mergeCell ref="J1154:K1154"/>
    <mergeCell ref="L1154:M1154"/>
    <mergeCell ref="A1155:D1155"/>
    <mergeCell ref="F1155:G1155"/>
    <mergeCell ref="H1155:I1155"/>
    <mergeCell ref="J1155:K1155"/>
    <mergeCell ref="L1155:M1155"/>
    <mergeCell ref="A1152:D1152"/>
    <mergeCell ref="F1152:G1152"/>
    <mergeCell ref="H1152:I1152"/>
    <mergeCell ref="J1152:K1152"/>
    <mergeCell ref="L1152:M1152"/>
    <mergeCell ref="A1153:M1153"/>
    <mergeCell ref="A1150:D1150"/>
    <mergeCell ref="F1150:G1150"/>
    <mergeCell ref="H1150:I1150"/>
    <mergeCell ref="J1150:K1150"/>
    <mergeCell ref="L1150:M1150"/>
    <mergeCell ref="A1151:D1151"/>
    <mergeCell ref="F1151:G1151"/>
    <mergeCell ref="H1151:I1151"/>
    <mergeCell ref="J1151:K1151"/>
    <mergeCell ref="L1151:M1151"/>
    <mergeCell ref="A1159:B1159"/>
    <mergeCell ref="C1159:D1159"/>
    <mergeCell ref="E1159:G1159"/>
    <mergeCell ref="H1159:I1159"/>
    <mergeCell ref="J1159:K1159"/>
    <mergeCell ref="L1159:M1159"/>
    <mergeCell ref="A1158:B1158"/>
    <mergeCell ref="C1158:D1158"/>
    <mergeCell ref="E1158:G1158"/>
    <mergeCell ref="H1158:I1158"/>
    <mergeCell ref="J1158:K1158"/>
    <mergeCell ref="L1158:M1158"/>
    <mergeCell ref="A1156:D1156"/>
    <mergeCell ref="F1156:G1156"/>
    <mergeCell ref="H1156:I1156"/>
    <mergeCell ref="J1156:K1156"/>
    <mergeCell ref="L1156:M1156"/>
    <mergeCell ref="A1157:M1157"/>
    <mergeCell ref="A1167:M1167"/>
    <mergeCell ref="A1168:M1168"/>
    <mergeCell ref="A1169:M1169"/>
    <mergeCell ref="A1170:M1170"/>
    <mergeCell ref="A1171:M1171"/>
    <mergeCell ref="A1172:M1172"/>
    <mergeCell ref="A1161:M1161"/>
    <mergeCell ref="A1162:M1162"/>
    <mergeCell ref="A1163:M1163"/>
    <mergeCell ref="A1164:M1164"/>
    <mergeCell ref="A1165:M1165"/>
    <mergeCell ref="A1166:M1166"/>
    <mergeCell ref="A1160:B1160"/>
    <mergeCell ref="C1160:D1160"/>
    <mergeCell ref="E1160:G1160"/>
    <mergeCell ref="H1160:I1160"/>
    <mergeCell ref="J1160:K1160"/>
    <mergeCell ref="L1160:M1160"/>
    <mergeCell ref="A1186:C1186"/>
    <mergeCell ref="D1186:G1186"/>
    <mergeCell ref="H1186:J1186"/>
    <mergeCell ref="K1186:M1186"/>
    <mergeCell ref="D1187:E1187"/>
    <mergeCell ref="K1187:L1187"/>
    <mergeCell ref="A1179:M1179"/>
    <mergeCell ref="A1180:M1180"/>
    <mergeCell ref="A1181:M1181"/>
    <mergeCell ref="A1182:M1182"/>
    <mergeCell ref="A1183:M1183"/>
    <mergeCell ref="H1185:J1185"/>
    <mergeCell ref="K1185:M1185"/>
    <mergeCell ref="A1173:M1173"/>
    <mergeCell ref="A1174:M1174"/>
    <mergeCell ref="A1175:M1175"/>
    <mergeCell ref="A1176:M1176"/>
    <mergeCell ref="A1177:M1177"/>
    <mergeCell ref="A1178:M1178"/>
    <mergeCell ref="A1192:D1192"/>
    <mergeCell ref="F1192:G1192"/>
    <mergeCell ref="H1192:I1192"/>
    <mergeCell ref="J1192:K1192"/>
    <mergeCell ref="L1192:M1192"/>
    <mergeCell ref="A1193:D1193"/>
    <mergeCell ref="F1193:G1193"/>
    <mergeCell ref="H1193:I1193"/>
    <mergeCell ref="J1193:K1193"/>
    <mergeCell ref="L1193:M1193"/>
    <mergeCell ref="A1190:M1190"/>
    <mergeCell ref="A1191:D1191"/>
    <mergeCell ref="F1191:G1191"/>
    <mergeCell ref="H1191:I1191"/>
    <mergeCell ref="J1191:K1191"/>
    <mergeCell ref="L1191:M1191"/>
    <mergeCell ref="A1188:C1188"/>
    <mergeCell ref="D1188:G1188"/>
    <mergeCell ref="H1188:J1188"/>
    <mergeCell ref="K1188:M1188"/>
    <mergeCell ref="A1189:C1189"/>
    <mergeCell ref="D1189:G1189"/>
    <mergeCell ref="H1189:J1189"/>
    <mergeCell ref="K1189:M1189"/>
    <mergeCell ref="A1198:D1198"/>
    <mergeCell ref="F1198:G1198"/>
    <mergeCell ref="H1198:I1198"/>
    <mergeCell ref="J1198:K1198"/>
    <mergeCell ref="L1198:M1198"/>
    <mergeCell ref="A1199:D1199"/>
    <mergeCell ref="F1199:G1199"/>
    <mergeCell ref="H1199:I1199"/>
    <mergeCell ref="J1199:K1199"/>
    <mergeCell ref="L1199:M1199"/>
    <mergeCell ref="A1196:D1196"/>
    <mergeCell ref="F1196:G1196"/>
    <mergeCell ref="H1196:I1196"/>
    <mergeCell ref="J1196:K1196"/>
    <mergeCell ref="L1196:M1196"/>
    <mergeCell ref="A1197:M1197"/>
    <mergeCell ref="A1194:D1194"/>
    <mergeCell ref="F1194:G1194"/>
    <mergeCell ref="H1194:I1194"/>
    <mergeCell ref="J1194:K1194"/>
    <mergeCell ref="L1194:M1194"/>
    <mergeCell ref="A1195:D1195"/>
    <mergeCell ref="F1195:G1195"/>
    <mergeCell ref="H1195:I1195"/>
    <mergeCell ref="J1195:K1195"/>
    <mergeCell ref="L1195:M1195"/>
    <mergeCell ref="A1203:B1203"/>
    <mergeCell ref="C1203:D1203"/>
    <mergeCell ref="E1203:G1203"/>
    <mergeCell ref="H1203:I1203"/>
    <mergeCell ref="J1203:K1203"/>
    <mergeCell ref="L1203:M1203"/>
    <mergeCell ref="A1202:B1202"/>
    <mergeCell ref="C1202:D1202"/>
    <mergeCell ref="E1202:G1202"/>
    <mergeCell ref="H1202:I1202"/>
    <mergeCell ref="J1202:K1202"/>
    <mergeCell ref="L1202:M1202"/>
    <mergeCell ref="A1200:D1200"/>
    <mergeCell ref="F1200:G1200"/>
    <mergeCell ref="H1200:I1200"/>
    <mergeCell ref="J1200:K1200"/>
    <mergeCell ref="L1200:M1200"/>
    <mergeCell ref="A1201:M1201"/>
    <mergeCell ref="A1211:M1211"/>
    <mergeCell ref="A1212:M1212"/>
    <mergeCell ref="A1213:M1213"/>
    <mergeCell ref="A1214:M1214"/>
    <mergeCell ref="A1215:M1215"/>
    <mergeCell ref="A1216:M1216"/>
    <mergeCell ref="A1205:M1205"/>
    <mergeCell ref="A1206:M1206"/>
    <mergeCell ref="A1207:M1207"/>
    <mergeCell ref="A1208:M1208"/>
    <mergeCell ref="A1209:M1209"/>
    <mergeCell ref="A1210:M1210"/>
    <mergeCell ref="A1204:B1204"/>
    <mergeCell ref="C1204:D1204"/>
    <mergeCell ref="E1204:G1204"/>
    <mergeCell ref="H1204:I1204"/>
    <mergeCell ref="J1204:K1204"/>
    <mergeCell ref="L1204:M1204"/>
    <mergeCell ref="A1230:C1230"/>
    <mergeCell ref="D1230:G1230"/>
    <mergeCell ref="H1230:J1230"/>
    <mergeCell ref="K1230:M1230"/>
    <mergeCell ref="D1231:E1231"/>
    <mergeCell ref="K1231:L1231"/>
    <mergeCell ref="A1223:M1223"/>
    <mergeCell ref="A1224:M1224"/>
    <mergeCell ref="A1225:M1225"/>
    <mergeCell ref="A1226:M1226"/>
    <mergeCell ref="A1227:M1227"/>
    <mergeCell ref="H1229:J1229"/>
    <mergeCell ref="K1229:M1229"/>
    <mergeCell ref="A1217:M1217"/>
    <mergeCell ref="A1218:M1218"/>
    <mergeCell ref="A1219:M1219"/>
    <mergeCell ref="A1220:M1220"/>
    <mergeCell ref="A1221:M1221"/>
    <mergeCell ref="A1222:M1222"/>
    <mergeCell ref="A1236:D1236"/>
    <mergeCell ref="F1236:G1236"/>
    <mergeCell ref="H1236:I1236"/>
    <mergeCell ref="J1236:K1236"/>
    <mergeCell ref="L1236:M1236"/>
    <mergeCell ref="A1237:D1237"/>
    <mergeCell ref="F1237:G1237"/>
    <mergeCell ref="H1237:I1237"/>
    <mergeCell ref="J1237:K1237"/>
    <mergeCell ref="L1237:M1237"/>
    <mergeCell ref="A1234:M1234"/>
    <mergeCell ref="A1235:D1235"/>
    <mergeCell ref="F1235:G1235"/>
    <mergeCell ref="H1235:I1235"/>
    <mergeCell ref="J1235:K1235"/>
    <mergeCell ref="L1235:M1235"/>
    <mergeCell ref="A1232:C1232"/>
    <mergeCell ref="D1232:G1232"/>
    <mergeCell ref="H1232:J1232"/>
    <mergeCell ref="K1232:M1232"/>
    <mergeCell ref="A1233:C1233"/>
    <mergeCell ref="D1233:G1233"/>
    <mergeCell ref="H1233:J1233"/>
    <mergeCell ref="K1233:M1233"/>
    <mergeCell ref="A1242:D1242"/>
    <mergeCell ref="F1242:G1242"/>
    <mergeCell ref="H1242:I1242"/>
    <mergeCell ref="J1242:K1242"/>
    <mergeCell ref="L1242:M1242"/>
    <mergeCell ref="A1243:D1243"/>
    <mergeCell ref="F1243:G1243"/>
    <mergeCell ref="H1243:I1243"/>
    <mergeCell ref="J1243:K1243"/>
    <mergeCell ref="L1243:M1243"/>
    <mergeCell ref="A1240:D1240"/>
    <mergeCell ref="F1240:G1240"/>
    <mergeCell ref="H1240:I1240"/>
    <mergeCell ref="J1240:K1240"/>
    <mergeCell ref="L1240:M1240"/>
    <mergeCell ref="A1241:M1241"/>
    <mergeCell ref="A1238:D1238"/>
    <mergeCell ref="F1238:G1238"/>
    <mergeCell ref="H1238:I1238"/>
    <mergeCell ref="J1238:K1238"/>
    <mergeCell ref="L1238:M1238"/>
    <mergeCell ref="A1239:D1239"/>
    <mergeCell ref="F1239:G1239"/>
    <mergeCell ref="H1239:I1239"/>
    <mergeCell ref="J1239:K1239"/>
    <mergeCell ref="L1239:M1239"/>
    <mergeCell ref="A1247:B1247"/>
    <mergeCell ref="C1247:D1247"/>
    <mergeCell ref="E1247:G1247"/>
    <mergeCell ref="H1247:I1247"/>
    <mergeCell ref="J1247:K1247"/>
    <mergeCell ref="L1247:M1247"/>
    <mergeCell ref="A1246:B1246"/>
    <mergeCell ref="C1246:D1246"/>
    <mergeCell ref="E1246:G1246"/>
    <mergeCell ref="H1246:I1246"/>
    <mergeCell ref="J1246:K1246"/>
    <mergeCell ref="L1246:M1246"/>
    <mergeCell ref="A1244:D1244"/>
    <mergeCell ref="F1244:G1244"/>
    <mergeCell ref="H1244:I1244"/>
    <mergeCell ref="J1244:K1244"/>
    <mergeCell ref="L1244:M1244"/>
    <mergeCell ref="A1245:M1245"/>
    <mergeCell ref="A1255:M1255"/>
    <mergeCell ref="A1256:M1256"/>
    <mergeCell ref="A1257:M1257"/>
    <mergeCell ref="A1258:M1258"/>
    <mergeCell ref="A1259:M1259"/>
    <mergeCell ref="A1260:M1260"/>
    <mergeCell ref="A1249:M1249"/>
    <mergeCell ref="A1250:M1250"/>
    <mergeCell ref="A1251:M1251"/>
    <mergeCell ref="A1252:M1252"/>
    <mergeCell ref="A1253:M1253"/>
    <mergeCell ref="A1254:M1254"/>
    <mergeCell ref="A1248:B1248"/>
    <mergeCell ref="C1248:D1248"/>
    <mergeCell ref="E1248:G1248"/>
    <mergeCell ref="H1248:I1248"/>
    <mergeCell ref="J1248:K1248"/>
    <mergeCell ref="L1248:M1248"/>
    <mergeCell ref="A1274:C1274"/>
    <mergeCell ref="D1274:G1274"/>
    <mergeCell ref="H1274:J1274"/>
    <mergeCell ref="K1274:M1274"/>
    <mergeCell ref="D1275:E1275"/>
    <mergeCell ref="K1275:L1275"/>
    <mergeCell ref="A1267:M1267"/>
    <mergeCell ref="A1268:M1268"/>
    <mergeCell ref="A1269:M1269"/>
    <mergeCell ref="A1270:M1270"/>
    <mergeCell ref="A1271:M1271"/>
    <mergeCell ref="H1273:J1273"/>
    <mergeCell ref="K1273:M1273"/>
    <mergeCell ref="A1261:M1261"/>
    <mergeCell ref="A1262:M1262"/>
    <mergeCell ref="A1263:M1263"/>
    <mergeCell ref="A1264:M1264"/>
    <mergeCell ref="A1265:M1265"/>
    <mergeCell ref="A1266:M1266"/>
    <mergeCell ref="A1280:D1280"/>
    <mergeCell ref="F1280:G1280"/>
    <mergeCell ref="H1280:I1280"/>
    <mergeCell ref="J1280:K1280"/>
    <mergeCell ref="L1280:M1280"/>
    <mergeCell ref="A1281:D1281"/>
    <mergeCell ref="F1281:G1281"/>
    <mergeCell ref="H1281:I1281"/>
    <mergeCell ref="J1281:K1281"/>
    <mergeCell ref="L1281:M1281"/>
    <mergeCell ref="A1278:M1278"/>
    <mergeCell ref="A1279:D1279"/>
    <mergeCell ref="F1279:G1279"/>
    <mergeCell ref="H1279:I1279"/>
    <mergeCell ref="J1279:K1279"/>
    <mergeCell ref="L1279:M1279"/>
    <mergeCell ref="A1276:C1276"/>
    <mergeCell ref="D1276:G1276"/>
    <mergeCell ref="H1276:J1276"/>
    <mergeCell ref="K1276:M1276"/>
    <mergeCell ref="A1277:C1277"/>
    <mergeCell ref="D1277:G1277"/>
    <mergeCell ref="H1277:J1277"/>
    <mergeCell ref="K1277:M1277"/>
    <mergeCell ref="A1284:D1284"/>
    <mergeCell ref="F1284:G1284"/>
    <mergeCell ref="H1284:I1284"/>
    <mergeCell ref="J1284:K1284"/>
    <mergeCell ref="L1284:M1284"/>
    <mergeCell ref="A1285:M1285"/>
    <mergeCell ref="A1282:D1282"/>
    <mergeCell ref="F1282:G1282"/>
    <mergeCell ref="H1282:I1282"/>
    <mergeCell ref="J1282:K1282"/>
    <mergeCell ref="L1282:M1282"/>
    <mergeCell ref="A1283:D1283"/>
    <mergeCell ref="F1283:G1283"/>
    <mergeCell ref="H1283:I1283"/>
    <mergeCell ref="J1283:K1283"/>
    <mergeCell ref="L1283:M1283"/>
    <mergeCell ref="A1288:D1288"/>
    <mergeCell ref="F1288:G1288"/>
    <mergeCell ref="H1288:I1288"/>
    <mergeCell ref="J1288:K1288"/>
    <mergeCell ref="L1288:M1288"/>
    <mergeCell ref="A1286:D1286"/>
    <mergeCell ref="F1286:G1286"/>
    <mergeCell ref="H1286:I1286"/>
    <mergeCell ref="J1286:K1286"/>
    <mergeCell ref="L1286:M1286"/>
    <mergeCell ref="A1287:D1287"/>
    <mergeCell ref="F1287:G1287"/>
    <mergeCell ref="H1287:I1287"/>
    <mergeCell ref="J1287:K1287"/>
    <mergeCell ref="L1287:M1287"/>
    <mergeCell ref="L1293:M1293"/>
    <mergeCell ref="A1313:M1313"/>
    <mergeCell ref="A1314:M1314"/>
    <mergeCell ref="A1290:B1290"/>
    <mergeCell ref="C1290:D1290"/>
    <mergeCell ref="E1290:G1290"/>
    <mergeCell ref="H1290:I1290"/>
    <mergeCell ref="J1290:K1290"/>
    <mergeCell ref="L1290:M1290"/>
    <mergeCell ref="E1292:G1292"/>
    <mergeCell ref="H1292:I1292"/>
    <mergeCell ref="J1292:K1292"/>
    <mergeCell ref="L1292:M1292"/>
    <mergeCell ref="A1291:B1291"/>
    <mergeCell ref="C1291:D1291"/>
    <mergeCell ref="E1291:G1291"/>
    <mergeCell ref="H1291:I1291"/>
    <mergeCell ref="J1291:K1291"/>
    <mergeCell ref="L1291:M1291"/>
    <mergeCell ref="A1292:B1292"/>
    <mergeCell ref="C1292:D1292"/>
    <mergeCell ref="A1315:M1315"/>
    <mergeCell ref="A1294:B1294"/>
    <mergeCell ref="C1294:D1294"/>
    <mergeCell ref="A1289:M1289"/>
    <mergeCell ref="A1316:M1316"/>
    <mergeCell ref="A1307:M1307"/>
    <mergeCell ref="A1308:M1308"/>
    <mergeCell ref="A1309:M1309"/>
    <mergeCell ref="A1310:M1310"/>
    <mergeCell ref="A1311:M1311"/>
    <mergeCell ref="A1312:M1312"/>
    <mergeCell ref="A1301:M1301"/>
    <mergeCell ref="A1302:M1302"/>
    <mergeCell ref="A1303:M1303"/>
    <mergeCell ref="A1304:M1304"/>
    <mergeCell ref="A1305:M1305"/>
    <mergeCell ref="A1306:M1306"/>
    <mergeCell ref="A1295:M1295"/>
    <mergeCell ref="A1296:M1296"/>
    <mergeCell ref="A1297:M1297"/>
    <mergeCell ref="A1298:M1298"/>
    <mergeCell ref="A1299:M1299"/>
    <mergeCell ref="A1300:M1300"/>
    <mergeCell ref="E1294:G1294"/>
    <mergeCell ref="H1294:I1294"/>
    <mergeCell ref="J1294:K1294"/>
    <mergeCell ref="L1294:M1294"/>
    <mergeCell ref="A1293:B1293"/>
    <mergeCell ref="C1293:D1293"/>
    <mergeCell ref="E1293:G1293"/>
    <mergeCell ref="H1293:I1293"/>
    <mergeCell ref="J1293:K1293"/>
  </mergeCells>
  <phoneticPr fontId="5" type="noConversion"/>
  <printOptions horizontalCentered="1"/>
  <pageMargins left="0.55118110236220474" right="0.31496062992125984" top="0.47244094488188981" bottom="0.11811023622047245" header="0.31496062992125984" footer="0.31496062992125984"/>
  <pageSetup paperSize="9" scale="90" orientation="portrait" horizontalDpi="300" r:id="rId1"/>
</worksheet>
</file>

<file path=xl/worksheets/sheet4.xml><?xml version="1.0" encoding="utf-8"?>
<worksheet xmlns="http://schemas.openxmlformats.org/spreadsheetml/2006/main" xmlns:r="http://schemas.openxmlformats.org/officeDocument/2006/relationships">
  <dimension ref="A1:O1367"/>
  <sheetViews>
    <sheetView tabSelected="1" zoomScale="110" zoomScaleNormal="110" workbookViewId="0">
      <selection activeCell="A1341" sqref="A1341:B1341"/>
    </sheetView>
  </sheetViews>
  <sheetFormatPr defaultColWidth="9" defaultRowHeight="16.5"/>
  <cols>
    <col min="1" max="1" width="10.375" style="3" customWidth="1"/>
    <col min="2" max="2" width="9" style="3"/>
    <col min="3" max="3" width="3.875" style="3" customWidth="1"/>
    <col min="4" max="4" width="10.5" style="3" customWidth="1"/>
    <col min="5" max="5" width="6.75" style="3" customWidth="1"/>
    <col min="6" max="6" width="7.5" style="3" customWidth="1"/>
    <col min="7" max="7" width="8" style="3" customWidth="1"/>
    <col min="8" max="8" width="10.125" style="3" customWidth="1"/>
    <col min="9" max="9" width="6" style="3" customWidth="1"/>
    <col min="10" max="10" width="3.25" style="3" customWidth="1"/>
    <col min="11" max="11" width="10.375" style="3" customWidth="1"/>
    <col min="12" max="12" width="4.625" style="3" customWidth="1"/>
    <col min="13" max="13" width="9.375" style="3" customWidth="1"/>
    <col min="14" max="16384" width="9" style="3"/>
  </cols>
  <sheetData>
    <row r="1" spans="1:15" ht="19.5" customHeight="1">
      <c r="A1" s="69" t="s">
        <v>0</v>
      </c>
      <c r="B1" s="69"/>
      <c r="C1" s="69"/>
      <c r="D1" s="69"/>
      <c r="E1" s="69"/>
      <c r="F1" s="69"/>
      <c r="G1" s="69"/>
      <c r="H1" s="69"/>
      <c r="I1" s="69"/>
      <c r="J1" s="69"/>
      <c r="K1" s="69"/>
      <c r="L1" s="69"/>
      <c r="M1" s="69"/>
    </row>
    <row r="2" spans="1:15" ht="20.100000000000001" customHeight="1">
      <c r="A2" s="4" t="s">
        <v>32</v>
      </c>
      <c r="B2" s="5">
        <f>+'11月'!B1272+1</f>
        <v>66</v>
      </c>
      <c r="C2" s="35"/>
      <c r="D2" s="35"/>
      <c r="E2" s="35"/>
      <c r="F2" s="35"/>
      <c r="G2" s="35"/>
      <c r="H2" s="35"/>
      <c r="I2" s="35"/>
      <c r="J2" s="35"/>
      <c r="K2" s="35"/>
      <c r="L2" s="35"/>
      <c r="M2" s="35"/>
    </row>
    <row r="3" spans="1:15" ht="24" customHeight="1" thickBot="1">
      <c r="A3" s="4" t="s">
        <v>33</v>
      </c>
      <c r="H3" s="70" t="s">
        <v>34</v>
      </c>
      <c r="I3" s="70"/>
      <c r="J3" s="70"/>
      <c r="K3" s="71">
        <v>45992</v>
      </c>
      <c r="L3" s="71"/>
      <c r="M3" s="71"/>
      <c r="O3" s="7"/>
    </row>
    <row r="4" spans="1:15" ht="33.75" customHeight="1" thickBot="1">
      <c r="A4" s="80" t="s">
        <v>1</v>
      </c>
      <c r="B4" s="81"/>
      <c r="C4" s="82"/>
      <c r="D4" s="86" t="s">
        <v>63</v>
      </c>
      <c r="E4" s="87"/>
      <c r="F4" s="87"/>
      <c r="G4" s="88"/>
      <c r="H4" s="80" t="s">
        <v>2</v>
      </c>
      <c r="I4" s="81"/>
      <c r="J4" s="82"/>
      <c r="K4" s="80" t="s">
        <v>35</v>
      </c>
      <c r="L4" s="81"/>
      <c r="M4" s="82"/>
    </row>
    <row r="5" spans="1:15" ht="33.75" customHeight="1" thickBot="1">
      <c r="A5" s="8" t="s">
        <v>3</v>
      </c>
      <c r="B5" s="36">
        <f>+'11月'!B1275</f>
        <v>143</v>
      </c>
      <c r="C5" s="10" t="s">
        <v>36</v>
      </c>
      <c r="D5" s="80" t="s">
        <v>4</v>
      </c>
      <c r="E5" s="89"/>
      <c r="F5" s="37">
        <f>+'11月'!F1275+1</f>
        <v>66</v>
      </c>
      <c r="G5" s="12" t="s">
        <v>36</v>
      </c>
      <c r="H5" s="13" t="s">
        <v>5</v>
      </c>
      <c r="I5" s="36">
        <f>+B5-F5</f>
        <v>77</v>
      </c>
      <c r="J5" s="10" t="s">
        <v>36</v>
      </c>
      <c r="K5" s="80" t="s">
        <v>6</v>
      </c>
      <c r="L5" s="82"/>
      <c r="M5" s="13">
        <f>+'11月'!M1275</f>
        <v>13</v>
      </c>
    </row>
    <row r="6" spans="1:15" ht="24" customHeight="1" thickBot="1">
      <c r="A6" s="80" t="s">
        <v>7</v>
      </c>
      <c r="B6" s="81"/>
      <c r="C6" s="82"/>
      <c r="D6" s="80" t="str">
        <f>+'9月'!D138:G138</f>
        <v>114.9.27</v>
      </c>
      <c r="E6" s="81"/>
      <c r="F6" s="81"/>
      <c r="G6" s="82"/>
      <c r="H6" s="80" t="s">
        <v>8</v>
      </c>
      <c r="I6" s="81"/>
      <c r="J6" s="82"/>
      <c r="K6" s="80" t="str">
        <f>+'11月'!K1276:M1276</f>
        <v>115.2.16</v>
      </c>
      <c r="L6" s="81"/>
      <c r="M6" s="82"/>
    </row>
    <row r="7" spans="1:15" ht="24" customHeight="1" thickBot="1">
      <c r="A7" s="80" t="s">
        <v>37</v>
      </c>
      <c r="B7" s="81"/>
      <c r="C7" s="82"/>
      <c r="D7" s="83">
        <v>0.3</v>
      </c>
      <c r="E7" s="84"/>
      <c r="F7" s="84"/>
      <c r="G7" s="85"/>
      <c r="H7" s="80" t="s">
        <v>38</v>
      </c>
      <c r="I7" s="81"/>
      <c r="J7" s="82"/>
      <c r="K7" s="83">
        <f>+'11月'!K1277:M1277+2.5%+2%</f>
        <v>0.39300000000000018</v>
      </c>
      <c r="L7" s="84"/>
      <c r="M7" s="85"/>
    </row>
    <row r="8" spans="1:15" ht="24" customHeight="1" thickBot="1">
      <c r="A8" s="72" t="s">
        <v>9</v>
      </c>
      <c r="B8" s="73"/>
      <c r="C8" s="73"/>
      <c r="D8" s="73"/>
      <c r="E8" s="73"/>
      <c r="F8" s="73"/>
      <c r="G8" s="73"/>
      <c r="H8" s="73"/>
      <c r="I8" s="73"/>
      <c r="J8" s="73"/>
      <c r="K8" s="73"/>
      <c r="L8" s="73"/>
      <c r="M8" s="74"/>
    </row>
    <row r="9" spans="1:15" ht="35.25" customHeight="1" thickBot="1">
      <c r="A9" s="75" t="s">
        <v>10</v>
      </c>
      <c r="B9" s="76"/>
      <c r="C9" s="76"/>
      <c r="D9" s="77"/>
      <c r="E9" s="14" t="s">
        <v>11</v>
      </c>
      <c r="F9" s="75" t="s">
        <v>12</v>
      </c>
      <c r="G9" s="77"/>
      <c r="H9" s="75" t="s">
        <v>13</v>
      </c>
      <c r="I9" s="77"/>
      <c r="J9" s="78" t="s">
        <v>14</v>
      </c>
      <c r="K9" s="79"/>
      <c r="L9" s="75" t="s">
        <v>15</v>
      </c>
      <c r="M9" s="77"/>
    </row>
    <row r="10" spans="1:15" ht="26.1" customHeight="1" thickBot="1">
      <c r="A10" s="123" t="s">
        <v>185</v>
      </c>
      <c r="B10" s="124"/>
      <c r="C10" s="124"/>
      <c r="D10" s="125"/>
      <c r="E10" s="2" t="s">
        <v>162</v>
      </c>
      <c r="F10" s="126">
        <v>190</v>
      </c>
      <c r="G10" s="127"/>
      <c r="H10" s="126">
        <v>40</v>
      </c>
      <c r="I10" s="127"/>
      <c r="J10" s="126">
        <v>60</v>
      </c>
      <c r="K10" s="127"/>
      <c r="L10" s="128"/>
      <c r="M10" s="129"/>
    </row>
    <row r="11" spans="1:15" ht="26.1" customHeight="1" thickBot="1">
      <c r="A11" s="141" t="s">
        <v>184</v>
      </c>
      <c r="B11" s="142"/>
      <c r="C11" s="142"/>
      <c r="D11" s="143"/>
      <c r="E11" s="49" t="s">
        <v>118</v>
      </c>
      <c r="F11" s="56">
        <v>313</v>
      </c>
      <c r="G11" s="57"/>
      <c r="H11" s="56">
        <v>133</v>
      </c>
      <c r="I11" s="57"/>
      <c r="J11" s="56">
        <v>313</v>
      </c>
      <c r="K11" s="57"/>
      <c r="L11" s="58"/>
      <c r="M11" s="59"/>
    </row>
    <row r="12" spans="1:15" ht="26.1" customHeight="1" thickBot="1">
      <c r="A12" s="141" t="s">
        <v>177</v>
      </c>
      <c r="B12" s="142"/>
      <c r="C12" s="142"/>
      <c r="D12" s="143"/>
      <c r="E12" s="55" t="s">
        <v>118</v>
      </c>
      <c r="F12" s="56">
        <v>160</v>
      </c>
      <c r="G12" s="57"/>
      <c r="H12" s="56">
        <v>60</v>
      </c>
      <c r="I12" s="57"/>
      <c r="J12" s="56">
        <v>160</v>
      </c>
      <c r="K12" s="57"/>
      <c r="L12" s="58"/>
      <c r="M12" s="59"/>
    </row>
    <row r="13" spans="1:15" ht="26.1" customHeight="1" thickBot="1">
      <c r="A13" s="141"/>
      <c r="B13" s="142"/>
      <c r="C13" s="142"/>
      <c r="D13" s="143"/>
      <c r="E13" s="55"/>
      <c r="F13" s="56"/>
      <c r="G13" s="57"/>
      <c r="H13" s="56"/>
      <c r="I13" s="57"/>
      <c r="J13" s="56"/>
      <c r="K13" s="57"/>
      <c r="L13" s="58"/>
      <c r="M13" s="59"/>
    </row>
    <row r="14" spans="1:15" ht="26.1" customHeight="1" thickBot="1">
      <c r="A14" s="141"/>
      <c r="B14" s="142"/>
      <c r="C14" s="142"/>
      <c r="D14" s="143"/>
      <c r="E14" s="49"/>
      <c r="F14" s="56"/>
      <c r="G14" s="57"/>
      <c r="H14" s="56"/>
      <c r="I14" s="57"/>
      <c r="J14" s="56"/>
      <c r="K14" s="57"/>
      <c r="L14" s="58"/>
      <c r="M14" s="59"/>
    </row>
    <row r="15" spans="1:15" ht="24" customHeight="1" thickTop="1" thickBot="1">
      <c r="A15" s="66" t="s">
        <v>19</v>
      </c>
      <c r="B15" s="67"/>
      <c r="C15" s="67"/>
      <c r="D15" s="67"/>
      <c r="E15" s="67"/>
      <c r="F15" s="67"/>
      <c r="G15" s="67"/>
      <c r="H15" s="67"/>
      <c r="I15" s="67"/>
      <c r="J15" s="67"/>
      <c r="K15" s="67"/>
      <c r="L15" s="67"/>
      <c r="M15" s="68"/>
    </row>
    <row r="16" spans="1:15" ht="30" customHeight="1" thickBot="1">
      <c r="A16" s="75" t="s">
        <v>20</v>
      </c>
      <c r="B16" s="76"/>
      <c r="C16" s="76"/>
      <c r="D16" s="77"/>
      <c r="E16" s="14" t="s">
        <v>11</v>
      </c>
      <c r="F16" s="75" t="s">
        <v>39</v>
      </c>
      <c r="G16" s="77"/>
      <c r="H16" s="75" t="s">
        <v>21</v>
      </c>
      <c r="I16" s="77"/>
      <c r="J16" s="78" t="s">
        <v>22</v>
      </c>
      <c r="K16" s="79"/>
      <c r="L16" s="75" t="s">
        <v>15</v>
      </c>
      <c r="M16" s="77"/>
    </row>
    <row r="17" spans="1:13" ht="27.95" customHeight="1" thickBot="1">
      <c r="A17" s="141"/>
      <c r="B17" s="142"/>
      <c r="C17" s="142"/>
      <c r="D17" s="143"/>
      <c r="E17" s="49"/>
      <c r="F17" s="56"/>
      <c r="G17" s="57"/>
      <c r="H17" s="56"/>
      <c r="I17" s="57"/>
      <c r="J17" s="56"/>
      <c r="K17" s="57"/>
      <c r="L17" s="58"/>
      <c r="M17" s="59"/>
    </row>
    <row r="18" spans="1:13" ht="24" customHeight="1" thickBot="1">
      <c r="A18" s="96"/>
      <c r="B18" s="97"/>
      <c r="C18" s="97"/>
      <c r="D18" s="98"/>
      <c r="E18" s="38"/>
      <c r="F18" s="58"/>
      <c r="G18" s="59"/>
      <c r="H18" s="58"/>
      <c r="I18" s="59"/>
      <c r="J18" s="56"/>
      <c r="K18" s="57"/>
      <c r="L18" s="58"/>
      <c r="M18" s="59"/>
    </row>
    <row r="19" spans="1:13" ht="24" customHeight="1" thickBot="1">
      <c r="A19" s="60" t="s">
        <v>23</v>
      </c>
      <c r="B19" s="61"/>
      <c r="C19" s="61"/>
      <c r="D19" s="61"/>
      <c r="E19" s="61"/>
      <c r="F19" s="61"/>
      <c r="G19" s="61"/>
      <c r="H19" s="61"/>
      <c r="I19" s="61"/>
      <c r="J19" s="61"/>
      <c r="K19" s="61"/>
      <c r="L19" s="61"/>
      <c r="M19" s="62"/>
    </row>
    <row r="20" spans="1:13" ht="30.75" customHeight="1" thickBot="1">
      <c r="A20" s="75" t="s">
        <v>24</v>
      </c>
      <c r="B20" s="77"/>
      <c r="C20" s="75" t="s">
        <v>25</v>
      </c>
      <c r="D20" s="77"/>
      <c r="E20" s="75" t="s">
        <v>26</v>
      </c>
      <c r="F20" s="76"/>
      <c r="G20" s="77"/>
      <c r="H20" s="75" t="s">
        <v>27</v>
      </c>
      <c r="I20" s="77"/>
      <c r="J20" s="78" t="s">
        <v>21</v>
      </c>
      <c r="K20" s="79"/>
      <c r="L20" s="75" t="s">
        <v>22</v>
      </c>
      <c r="M20" s="77"/>
    </row>
    <row r="21" spans="1:13" s="18" customFormat="1" ht="24.75" customHeight="1" thickBot="1">
      <c r="A21" s="99" t="s">
        <v>183</v>
      </c>
      <c r="B21" s="137"/>
      <c r="C21" s="56">
        <v>4</v>
      </c>
      <c r="D21" s="57"/>
      <c r="E21" s="56">
        <v>42</v>
      </c>
      <c r="F21" s="100"/>
      <c r="G21" s="57"/>
      <c r="H21" s="56"/>
      <c r="I21" s="57"/>
      <c r="J21" s="56"/>
      <c r="K21" s="57"/>
      <c r="L21" s="56"/>
      <c r="M21" s="57"/>
    </row>
    <row r="22" spans="1:13" s="18" customFormat="1" ht="25.5" customHeight="1" thickBot="1">
      <c r="A22" s="99"/>
      <c r="B22" s="98"/>
      <c r="C22" s="56"/>
      <c r="D22" s="57"/>
      <c r="E22" s="56"/>
      <c r="F22" s="100"/>
      <c r="G22" s="57"/>
      <c r="H22" s="56"/>
      <c r="I22" s="57"/>
      <c r="J22" s="56"/>
      <c r="K22" s="57"/>
      <c r="L22" s="56"/>
      <c r="M22" s="57"/>
    </row>
    <row r="23" spans="1:13" ht="33" customHeight="1" thickBot="1">
      <c r="A23" s="112" t="s">
        <v>40</v>
      </c>
      <c r="B23" s="113"/>
      <c r="C23" s="113"/>
      <c r="D23" s="113"/>
      <c r="E23" s="113"/>
      <c r="F23" s="113"/>
      <c r="G23" s="113"/>
      <c r="H23" s="113"/>
      <c r="I23" s="113"/>
      <c r="J23" s="113"/>
      <c r="K23" s="113"/>
      <c r="L23" s="113"/>
      <c r="M23" s="114"/>
    </row>
    <row r="24" spans="1:13" ht="16.5" customHeight="1">
      <c r="A24" s="115" t="s">
        <v>41</v>
      </c>
      <c r="B24" s="116"/>
      <c r="C24" s="116"/>
      <c r="D24" s="116"/>
      <c r="E24" s="116"/>
      <c r="F24" s="116"/>
      <c r="G24" s="116"/>
      <c r="H24" s="116"/>
      <c r="I24" s="116"/>
      <c r="J24" s="116"/>
      <c r="K24" s="116"/>
      <c r="L24" s="116"/>
      <c r="M24" s="117"/>
    </row>
    <row r="25" spans="1:13" ht="16.5" customHeight="1">
      <c r="A25" s="90" t="s">
        <v>28</v>
      </c>
      <c r="B25" s="91"/>
      <c r="C25" s="91"/>
      <c r="D25" s="91"/>
      <c r="E25" s="91"/>
      <c r="F25" s="91"/>
      <c r="G25" s="91"/>
      <c r="H25" s="91"/>
      <c r="I25" s="91"/>
      <c r="J25" s="91"/>
      <c r="K25" s="91"/>
      <c r="L25" s="91"/>
      <c r="M25" s="92"/>
    </row>
    <row r="26" spans="1:13" s="1" customFormat="1" ht="16.5" customHeight="1">
      <c r="A26" s="93" t="s">
        <v>56</v>
      </c>
      <c r="B26" s="94"/>
      <c r="C26" s="94"/>
      <c r="D26" s="94"/>
      <c r="E26" s="94"/>
      <c r="F26" s="94"/>
      <c r="G26" s="94"/>
      <c r="H26" s="94"/>
      <c r="I26" s="94"/>
      <c r="J26" s="94"/>
      <c r="K26" s="94"/>
      <c r="L26" s="94"/>
      <c r="M26" s="95"/>
    </row>
    <row r="27" spans="1:13" s="1" customFormat="1" ht="16.5" customHeight="1">
      <c r="A27" s="93" t="s">
        <v>57</v>
      </c>
      <c r="B27" s="94"/>
      <c r="C27" s="94"/>
      <c r="D27" s="94"/>
      <c r="E27" s="94"/>
      <c r="F27" s="94"/>
      <c r="G27" s="94"/>
      <c r="H27" s="94"/>
      <c r="I27" s="94"/>
      <c r="J27" s="94"/>
      <c r="K27" s="94"/>
      <c r="L27" s="94"/>
      <c r="M27" s="95"/>
    </row>
    <row r="28" spans="1:13" s="1" customFormat="1" ht="16.5" customHeight="1">
      <c r="A28" s="93" t="s">
        <v>58</v>
      </c>
      <c r="B28" s="94"/>
      <c r="C28" s="94"/>
      <c r="D28" s="94"/>
      <c r="E28" s="94"/>
      <c r="F28" s="94"/>
      <c r="G28" s="94"/>
      <c r="H28" s="94"/>
      <c r="I28" s="94"/>
      <c r="J28" s="94"/>
      <c r="K28" s="94"/>
      <c r="L28" s="94"/>
      <c r="M28" s="95"/>
    </row>
    <row r="29" spans="1:13" s="1" customFormat="1" ht="16.5" customHeight="1">
      <c r="A29" s="93" t="s">
        <v>59</v>
      </c>
      <c r="B29" s="94"/>
      <c r="C29" s="94"/>
      <c r="D29" s="94"/>
      <c r="E29" s="94"/>
      <c r="F29" s="94"/>
      <c r="G29" s="94"/>
      <c r="H29" s="94"/>
      <c r="I29" s="94"/>
      <c r="J29" s="94"/>
      <c r="K29" s="94"/>
      <c r="L29" s="94"/>
      <c r="M29" s="95"/>
    </row>
    <row r="30" spans="1:13" ht="16.5" customHeight="1">
      <c r="A30" s="106" t="s">
        <v>29</v>
      </c>
      <c r="B30" s="107"/>
      <c r="C30" s="107"/>
      <c r="D30" s="107"/>
      <c r="E30" s="107"/>
      <c r="F30" s="107"/>
      <c r="G30" s="107"/>
      <c r="H30" s="107"/>
      <c r="I30" s="107"/>
      <c r="J30" s="107"/>
      <c r="K30" s="107"/>
      <c r="L30" s="107"/>
      <c r="M30" s="108"/>
    </row>
    <row r="31" spans="1:13" ht="9.75" customHeight="1" thickBot="1">
      <c r="A31" s="109"/>
      <c r="B31" s="110"/>
      <c r="C31" s="110"/>
      <c r="D31" s="110"/>
      <c r="E31" s="110"/>
      <c r="F31" s="110"/>
      <c r="G31" s="110"/>
      <c r="H31" s="110"/>
      <c r="I31" s="110"/>
      <c r="J31" s="110"/>
      <c r="K31" s="110"/>
      <c r="L31" s="110"/>
      <c r="M31" s="111"/>
    </row>
    <row r="32" spans="1:13" ht="18.75" customHeight="1" thickBot="1">
      <c r="A32" s="72" t="s">
        <v>30</v>
      </c>
      <c r="B32" s="73"/>
      <c r="C32" s="73"/>
      <c r="D32" s="73"/>
      <c r="E32" s="73"/>
      <c r="F32" s="73"/>
      <c r="G32" s="73"/>
      <c r="H32" s="73"/>
      <c r="I32" s="73"/>
      <c r="J32" s="73"/>
      <c r="K32" s="73"/>
      <c r="L32" s="73"/>
      <c r="M32" s="74"/>
    </row>
    <row r="33" spans="1:15" ht="24" customHeight="1" thickBot="1">
      <c r="A33" s="72" t="s">
        <v>31</v>
      </c>
      <c r="B33" s="73"/>
      <c r="C33" s="73"/>
      <c r="D33" s="73"/>
      <c r="E33" s="73"/>
      <c r="F33" s="73"/>
      <c r="G33" s="73"/>
      <c r="H33" s="73"/>
      <c r="I33" s="73"/>
      <c r="J33" s="73"/>
      <c r="K33" s="73"/>
      <c r="L33" s="73"/>
      <c r="M33" s="74"/>
    </row>
    <row r="34" spans="1:15" ht="36" customHeight="1" thickBot="1">
      <c r="A34" s="72" t="s">
        <v>193</v>
      </c>
      <c r="B34" s="73"/>
      <c r="C34" s="73"/>
      <c r="D34" s="73"/>
      <c r="E34" s="73"/>
      <c r="F34" s="73"/>
      <c r="G34" s="73"/>
      <c r="H34" s="73"/>
      <c r="I34" s="73"/>
      <c r="J34" s="73"/>
      <c r="K34" s="73"/>
      <c r="L34" s="73"/>
      <c r="M34" s="74"/>
    </row>
    <row r="35" spans="1:15" ht="24" customHeight="1" thickBot="1">
      <c r="A35" s="60" t="s">
        <v>46</v>
      </c>
      <c r="B35" s="61"/>
      <c r="C35" s="61"/>
      <c r="D35" s="61"/>
      <c r="E35" s="61"/>
      <c r="F35" s="61"/>
      <c r="G35" s="61"/>
      <c r="H35" s="61"/>
      <c r="I35" s="61"/>
      <c r="J35" s="61"/>
      <c r="K35" s="61"/>
      <c r="L35" s="61"/>
      <c r="M35" s="62"/>
    </row>
    <row r="36" spans="1:15" ht="11.1" customHeight="1">
      <c r="A36" s="103" t="s">
        <v>47</v>
      </c>
      <c r="B36" s="103"/>
      <c r="C36" s="103"/>
      <c r="D36" s="103"/>
      <c r="E36" s="103"/>
      <c r="F36" s="103"/>
      <c r="G36" s="103"/>
      <c r="H36" s="103"/>
      <c r="I36" s="103"/>
      <c r="J36" s="103"/>
      <c r="K36" s="103"/>
      <c r="L36" s="103"/>
      <c r="M36" s="103"/>
    </row>
    <row r="37" spans="1:15" ht="11.1" customHeight="1">
      <c r="A37" s="104" t="s">
        <v>48</v>
      </c>
      <c r="B37" s="104"/>
      <c r="C37" s="104"/>
      <c r="D37" s="104"/>
      <c r="E37" s="104"/>
      <c r="F37" s="104"/>
      <c r="G37" s="104"/>
      <c r="H37" s="104"/>
      <c r="I37" s="104"/>
      <c r="J37" s="104"/>
      <c r="K37" s="104"/>
      <c r="L37" s="104"/>
      <c r="M37" s="104"/>
    </row>
    <row r="38" spans="1:15" ht="11.1" customHeight="1">
      <c r="A38" s="105" t="s">
        <v>49</v>
      </c>
      <c r="B38" s="105"/>
      <c r="C38" s="105"/>
      <c r="D38" s="105"/>
      <c r="E38" s="105"/>
      <c r="F38" s="105"/>
      <c r="G38" s="105"/>
      <c r="H38" s="105"/>
      <c r="I38" s="105"/>
      <c r="J38" s="105"/>
      <c r="K38" s="105"/>
      <c r="L38" s="105"/>
      <c r="M38" s="105"/>
    </row>
    <row r="39" spans="1:15" ht="11.1" customHeight="1">
      <c r="A39" s="105" t="s">
        <v>50</v>
      </c>
      <c r="B39" s="105"/>
      <c r="C39" s="105"/>
      <c r="D39" s="105"/>
      <c r="E39" s="105"/>
      <c r="F39" s="105"/>
      <c r="G39" s="105"/>
      <c r="H39" s="105"/>
      <c r="I39" s="105"/>
      <c r="J39" s="105"/>
      <c r="K39" s="105"/>
      <c r="L39" s="105"/>
      <c r="M39" s="105"/>
    </row>
    <row r="40" spans="1:15" ht="11.1" customHeight="1">
      <c r="A40" s="104" t="s">
        <v>51</v>
      </c>
      <c r="B40" s="104"/>
      <c r="C40" s="104"/>
      <c r="D40" s="104"/>
      <c r="E40" s="104"/>
      <c r="F40" s="104"/>
      <c r="G40" s="104"/>
      <c r="H40" s="104"/>
      <c r="I40" s="104"/>
      <c r="J40" s="104"/>
      <c r="K40" s="104"/>
      <c r="L40" s="104"/>
      <c r="M40" s="104"/>
    </row>
    <row r="41" spans="1:15" ht="11.1" customHeight="1">
      <c r="A41" s="104" t="s">
        <v>52</v>
      </c>
      <c r="B41" s="104"/>
      <c r="C41" s="104"/>
      <c r="D41" s="104"/>
      <c r="E41" s="104"/>
      <c r="F41" s="104"/>
      <c r="G41" s="104"/>
      <c r="H41" s="104"/>
      <c r="I41" s="104"/>
      <c r="J41" s="104"/>
      <c r="K41" s="104"/>
      <c r="L41" s="104"/>
      <c r="M41" s="104"/>
    </row>
    <row r="42" spans="1:15" ht="11.1" customHeight="1">
      <c r="A42" s="104" t="s">
        <v>53</v>
      </c>
      <c r="B42" s="104"/>
      <c r="C42" s="104"/>
      <c r="D42" s="104"/>
      <c r="E42" s="104"/>
      <c r="F42" s="104"/>
      <c r="G42" s="104"/>
      <c r="H42" s="104"/>
      <c r="I42" s="104"/>
      <c r="J42" s="104"/>
      <c r="K42" s="104"/>
      <c r="L42" s="104"/>
      <c r="M42" s="104"/>
    </row>
    <row r="43" spans="1:15" ht="11.1" customHeight="1">
      <c r="A43" s="101" t="s">
        <v>54</v>
      </c>
      <c r="B43" s="101"/>
      <c r="C43" s="101"/>
      <c r="D43" s="101"/>
      <c r="E43" s="101"/>
      <c r="F43" s="101"/>
      <c r="G43" s="101"/>
      <c r="H43" s="101"/>
      <c r="I43" s="101"/>
      <c r="J43" s="101"/>
      <c r="K43" s="101"/>
      <c r="L43" s="101"/>
      <c r="M43" s="101"/>
    </row>
    <row r="44" spans="1:15" ht="11.1" customHeight="1">
      <c r="A44" s="101" t="s">
        <v>55</v>
      </c>
      <c r="B44" s="101"/>
      <c r="C44" s="101"/>
      <c r="D44" s="101"/>
      <c r="E44" s="101"/>
      <c r="F44" s="101"/>
      <c r="G44" s="101"/>
      <c r="H44" s="101"/>
      <c r="I44" s="101"/>
      <c r="J44" s="101"/>
      <c r="K44" s="101"/>
      <c r="L44" s="101"/>
      <c r="M44" s="101"/>
    </row>
    <row r="45" spans="1:15" ht="19.5" customHeight="1">
      <c r="A45" s="69" t="s">
        <v>0</v>
      </c>
      <c r="B45" s="69"/>
      <c r="C45" s="69"/>
      <c r="D45" s="69"/>
      <c r="E45" s="69"/>
      <c r="F45" s="69"/>
      <c r="G45" s="69"/>
      <c r="H45" s="69"/>
      <c r="I45" s="69"/>
      <c r="J45" s="69"/>
      <c r="K45" s="69"/>
      <c r="L45" s="69"/>
      <c r="M45" s="69"/>
    </row>
    <row r="46" spans="1:15" ht="20.100000000000001" customHeight="1">
      <c r="A46" s="4" t="s">
        <v>32</v>
      </c>
      <c r="B46" s="5">
        <f>+B2+1</f>
        <v>67</v>
      </c>
      <c r="C46" s="35"/>
      <c r="D46" s="35"/>
      <c r="E46" s="35"/>
      <c r="F46" s="35"/>
      <c r="G46" s="35"/>
      <c r="H46" s="35"/>
      <c r="I46" s="35"/>
      <c r="J46" s="35"/>
      <c r="K46" s="35"/>
      <c r="L46" s="35"/>
      <c r="M46" s="35"/>
    </row>
    <row r="47" spans="1:15" ht="24" customHeight="1" thickBot="1">
      <c r="A47" s="4" t="s">
        <v>33</v>
      </c>
      <c r="H47" s="70" t="s">
        <v>34</v>
      </c>
      <c r="I47" s="70"/>
      <c r="J47" s="70"/>
      <c r="K47" s="102">
        <f>+K3+1</f>
        <v>45993</v>
      </c>
      <c r="L47" s="102"/>
      <c r="M47" s="102"/>
      <c r="O47" s="7"/>
    </row>
    <row r="48" spans="1:15" ht="33.75" customHeight="1" thickBot="1">
      <c r="A48" s="80" t="s">
        <v>1</v>
      </c>
      <c r="B48" s="81"/>
      <c r="C48" s="82"/>
      <c r="D48" s="86" t="str">
        <f>+D4</f>
        <v>光明國中B與C區5樓老舊廁所整修工程</v>
      </c>
      <c r="E48" s="87"/>
      <c r="F48" s="87"/>
      <c r="G48" s="88"/>
      <c r="H48" s="80" t="s">
        <v>2</v>
      </c>
      <c r="I48" s="81"/>
      <c r="J48" s="82"/>
      <c r="K48" s="80" t="s">
        <v>35</v>
      </c>
      <c r="L48" s="81"/>
      <c r="M48" s="82"/>
    </row>
    <row r="49" spans="1:13" ht="33.75" customHeight="1" thickBot="1">
      <c r="A49" s="8" t="s">
        <v>3</v>
      </c>
      <c r="B49" s="36">
        <f>+B5+1</f>
        <v>144</v>
      </c>
      <c r="C49" s="10" t="s">
        <v>36</v>
      </c>
      <c r="D49" s="80" t="s">
        <v>4</v>
      </c>
      <c r="E49" s="89"/>
      <c r="F49" s="37">
        <f>+F5+1</f>
        <v>67</v>
      </c>
      <c r="G49" s="12" t="s">
        <v>36</v>
      </c>
      <c r="H49" s="13" t="s">
        <v>5</v>
      </c>
      <c r="I49" s="36">
        <f>+B49-F49</f>
        <v>77</v>
      </c>
      <c r="J49" s="10" t="s">
        <v>36</v>
      </c>
      <c r="K49" s="80" t="s">
        <v>6</v>
      </c>
      <c r="L49" s="82"/>
      <c r="M49" s="13">
        <f>+M5+1</f>
        <v>14</v>
      </c>
    </row>
    <row r="50" spans="1:13" ht="24" customHeight="1" thickBot="1">
      <c r="A50" s="80" t="s">
        <v>7</v>
      </c>
      <c r="B50" s="81"/>
      <c r="C50" s="82"/>
      <c r="D50" s="80" t="str">
        <f>+D6</f>
        <v>114.9.27</v>
      </c>
      <c r="E50" s="81"/>
      <c r="F50" s="81"/>
      <c r="G50" s="82"/>
      <c r="H50" s="80" t="s">
        <v>8</v>
      </c>
      <c r="I50" s="81"/>
      <c r="J50" s="82"/>
      <c r="K50" s="80" t="s">
        <v>152</v>
      </c>
      <c r="L50" s="81"/>
      <c r="M50" s="82"/>
    </row>
    <row r="51" spans="1:13" ht="24" customHeight="1" thickBot="1">
      <c r="A51" s="80" t="s">
        <v>37</v>
      </c>
      <c r="B51" s="81"/>
      <c r="C51" s="82"/>
      <c r="D51" s="83">
        <v>0.30599999999999999</v>
      </c>
      <c r="E51" s="84"/>
      <c r="F51" s="84"/>
      <c r="G51" s="85"/>
      <c r="H51" s="80" t="s">
        <v>38</v>
      </c>
      <c r="I51" s="81"/>
      <c r="J51" s="82"/>
      <c r="K51" s="83">
        <f>+K7</f>
        <v>0.39300000000000018</v>
      </c>
      <c r="L51" s="84"/>
      <c r="M51" s="85"/>
    </row>
    <row r="52" spans="1:13" ht="24" customHeight="1" thickBot="1">
      <c r="A52" s="72" t="s">
        <v>9</v>
      </c>
      <c r="B52" s="73"/>
      <c r="C52" s="73"/>
      <c r="D52" s="73"/>
      <c r="E52" s="73"/>
      <c r="F52" s="73"/>
      <c r="G52" s="73"/>
      <c r="H52" s="73"/>
      <c r="I52" s="73"/>
      <c r="J52" s="73"/>
      <c r="K52" s="73"/>
      <c r="L52" s="73"/>
      <c r="M52" s="74"/>
    </row>
    <row r="53" spans="1:13" ht="35.25" customHeight="1" thickBot="1">
      <c r="A53" s="75" t="s">
        <v>10</v>
      </c>
      <c r="B53" s="76"/>
      <c r="C53" s="76"/>
      <c r="D53" s="77"/>
      <c r="E53" s="14" t="s">
        <v>11</v>
      </c>
      <c r="F53" s="75" t="s">
        <v>12</v>
      </c>
      <c r="G53" s="77"/>
      <c r="H53" s="75" t="s">
        <v>13</v>
      </c>
      <c r="I53" s="77"/>
      <c r="J53" s="78" t="s">
        <v>14</v>
      </c>
      <c r="K53" s="79"/>
      <c r="L53" s="75" t="s">
        <v>15</v>
      </c>
      <c r="M53" s="77"/>
    </row>
    <row r="54" spans="1:13" ht="27" customHeight="1" thickBot="1">
      <c r="A54" s="63"/>
      <c r="B54" s="64"/>
      <c r="C54" s="64"/>
      <c r="D54" s="65"/>
      <c r="E54" s="2"/>
      <c r="F54" s="56"/>
      <c r="G54" s="57"/>
      <c r="H54" s="56"/>
      <c r="I54" s="57"/>
      <c r="J54" s="56"/>
      <c r="K54" s="57"/>
      <c r="L54" s="58"/>
      <c r="M54" s="59"/>
    </row>
    <row r="55" spans="1:13" ht="27" customHeight="1" thickBot="1">
      <c r="A55" s="123"/>
      <c r="B55" s="124"/>
      <c r="C55" s="124"/>
      <c r="D55" s="125"/>
      <c r="E55" s="2"/>
      <c r="F55" s="126"/>
      <c r="G55" s="127"/>
      <c r="H55" s="126"/>
      <c r="I55" s="127"/>
      <c r="J55" s="126"/>
      <c r="K55" s="127"/>
      <c r="L55" s="128"/>
      <c r="M55" s="129"/>
    </row>
    <row r="56" spans="1:13" ht="24.95" customHeight="1" thickTop="1" thickBot="1">
      <c r="A56" s="130" t="s">
        <v>16</v>
      </c>
      <c r="B56" s="67"/>
      <c r="C56" s="67"/>
      <c r="D56" s="68"/>
      <c r="E56" s="38"/>
      <c r="F56" s="131"/>
      <c r="G56" s="132"/>
      <c r="H56" s="131"/>
      <c r="I56" s="132"/>
      <c r="J56" s="131"/>
      <c r="K56" s="132"/>
      <c r="L56" s="131"/>
      <c r="M56" s="133"/>
    </row>
    <row r="57" spans="1:13" ht="24.95" customHeight="1" thickBot="1">
      <c r="A57" s="134" t="s">
        <v>17</v>
      </c>
      <c r="B57" s="135"/>
      <c r="C57" s="135"/>
      <c r="D57" s="59"/>
      <c r="E57" s="38"/>
      <c r="F57" s="58"/>
      <c r="G57" s="59"/>
      <c r="H57" s="58"/>
      <c r="I57" s="59"/>
      <c r="J57" s="58"/>
      <c r="K57" s="59"/>
      <c r="L57" s="58"/>
      <c r="M57" s="136"/>
    </row>
    <row r="58" spans="1:13" ht="24.95" customHeight="1" thickBot="1">
      <c r="A58" s="118" t="s">
        <v>18</v>
      </c>
      <c r="B58" s="119"/>
      <c r="C58" s="119"/>
      <c r="D58" s="120"/>
      <c r="E58" s="24"/>
      <c r="F58" s="121"/>
      <c r="G58" s="120"/>
      <c r="H58" s="121"/>
      <c r="I58" s="120"/>
      <c r="J58" s="121"/>
      <c r="K58" s="120"/>
      <c r="L58" s="121"/>
      <c r="M58" s="122"/>
    </row>
    <row r="59" spans="1:13" ht="24" customHeight="1" thickTop="1" thickBot="1">
      <c r="A59" s="66" t="s">
        <v>19</v>
      </c>
      <c r="B59" s="67"/>
      <c r="C59" s="67"/>
      <c r="D59" s="67"/>
      <c r="E59" s="67"/>
      <c r="F59" s="67"/>
      <c r="G59" s="67"/>
      <c r="H59" s="67"/>
      <c r="I59" s="67"/>
      <c r="J59" s="67"/>
      <c r="K59" s="67"/>
      <c r="L59" s="67"/>
      <c r="M59" s="68"/>
    </row>
    <row r="60" spans="1:13" ht="35.25" customHeight="1" thickBot="1">
      <c r="A60" s="75" t="s">
        <v>20</v>
      </c>
      <c r="B60" s="76"/>
      <c r="C60" s="76"/>
      <c r="D60" s="77"/>
      <c r="E60" s="14" t="s">
        <v>11</v>
      </c>
      <c r="F60" s="75" t="s">
        <v>39</v>
      </c>
      <c r="G60" s="77"/>
      <c r="H60" s="75" t="s">
        <v>21</v>
      </c>
      <c r="I60" s="77"/>
      <c r="J60" s="78" t="s">
        <v>22</v>
      </c>
      <c r="K60" s="79"/>
      <c r="L60" s="75" t="s">
        <v>15</v>
      </c>
      <c r="M60" s="77"/>
    </row>
    <row r="61" spans="1:13" ht="24" customHeight="1" thickBot="1">
      <c r="A61" s="96"/>
      <c r="B61" s="97"/>
      <c r="C61" s="97"/>
      <c r="D61" s="98"/>
      <c r="E61" s="38"/>
      <c r="F61" s="58"/>
      <c r="G61" s="59"/>
      <c r="H61" s="58"/>
      <c r="I61" s="59"/>
      <c r="J61" s="56"/>
      <c r="K61" s="57"/>
      <c r="L61" s="58"/>
      <c r="M61" s="59"/>
    </row>
    <row r="62" spans="1:13" ht="24" customHeight="1" thickBot="1">
      <c r="A62" s="96"/>
      <c r="B62" s="97"/>
      <c r="C62" s="97"/>
      <c r="D62" s="98"/>
      <c r="E62" s="38"/>
      <c r="F62" s="58"/>
      <c r="G62" s="59"/>
      <c r="H62" s="58"/>
      <c r="I62" s="59"/>
      <c r="J62" s="56"/>
      <c r="K62" s="57"/>
      <c r="L62" s="58"/>
      <c r="M62" s="59"/>
    </row>
    <row r="63" spans="1:13" ht="24" customHeight="1" thickBot="1">
      <c r="A63" s="60" t="s">
        <v>23</v>
      </c>
      <c r="B63" s="61"/>
      <c r="C63" s="61"/>
      <c r="D63" s="61"/>
      <c r="E63" s="61"/>
      <c r="F63" s="61"/>
      <c r="G63" s="61"/>
      <c r="H63" s="61"/>
      <c r="I63" s="61"/>
      <c r="J63" s="61"/>
      <c r="K63" s="61"/>
      <c r="L63" s="61"/>
      <c r="M63" s="62"/>
    </row>
    <row r="64" spans="1:13" ht="35.25" customHeight="1" thickBot="1">
      <c r="A64" s="75" t="s">
        <v>24</v>
      </c>
      <c r="B64" s="77"/>
      <c r="C64" s="75" t="s">
        <v>25</v>
      </c>
      <c r="D64" s="77"/>
      <c r="E64" s="75" t="s">
        <v>26</v>
      </c>
      <c r="F64" s="76"/>
      <c r="G64" s="77"/>
      <c r="H64" s="75" t="s">
        <v>27</v>
      </c>
      <c r="I64" s="77"/>
      <c r="J64" s="78" t="s">
        <v>21</v>
      </c>
      <c r="K64" s="79"/>
      <c r="L64" s="75" t="s">
        <v>22</v>
      </c>
      <c r="M64" s="77"/>
    </row>
    <row r="65" spans="1:13" s="18" customFormat="1" ht="24.75" customHeight="1" thickBot="1">
      <c r="A65" s="99"/>
      <c r="B65" s="137"/>
      <c r="C65" s="56"/>
      <c r="D65" s="57"/>
      <c r="E65" s="56"/>
      <c r="F65" s="100"/>
      <c r="G65" s="57"/>
      <c r="H65" s="56"/>
      <c r="I65" s="57"/>
      <c r="J65" s="56"/>
      <c r="K65" s="57"/>
      <c r="L65" s="56"/>
      <c r="M65" s="57"/>
    </row>
    <row r="66" spans="1:13" s="18" customFormat="1" ht="24.75" customHeight="1" thickBot="1">
      <c r="A66" s="99"/>
      <c r="B66" s="98"/>
      <c r="C66" s="56"/>
      <c r="D66" s="57"/>
      <c r="E66" s="56"/>
      <c r="F66" s="100"/>
      <c r="G66" s="57"/>
      <c r="H66" s="56"/>
      <c r="I66" s="57"/>
      <c r="J66" s="56"/>
      <c r="K66" s="57"/>
      <c r="L66" s="56"/>
      <c r="M66" s="57"/>
    </row>
    <row r="67" spans="1:13" ht="33" customHeight="1" thickBot="1">
      <c r="A67" s="112" t="s">
        <v>60</v>
      </c>
      <c r="B67" s="113"/>
      <c r="C67" s="113"/>
      <c r="D67" s="113"/>
      <c r="E67" s="113"/>
      <c r="F67" s="113"/>
      <c r="G67" s="113"/>
      <c r="H67" s="113"/>
      <c r="I67" s="113"/>
      <c r="J67" s="113"/>
      <c r="K67" s="113"/>
      <c r="L67" s="113"/>
      <c r="M67" s="114"/>
    </row>
    <row r="68" spans="1:13" ht="16.5" customHeight="1">
      <c r="A68" s="115" t="s">
        <v>41</v>
      </c>
      <c r="B68" s="116"/>
      <c r="C68" s="116"/>
      <c r="D68" s="116"/>
      <c r="E68" s="116"/>
      <c r="F68" s="116"/>
      <c r="G68" s="116"/>
      <c r="H68" s="116"/>
      <c r="I68" s="116"/>
      <c r="J68" s="116"/>
      <c r="K68" s="116"/>
      <c r="L68" s="116"/>
      <c r="M68" s="117"/>
    </row>
    <row r="69" spans="1:13" ht="16.5" customHeight="1">
      <c r="A69" s="90" t="s">
        <v>28</v>
      </c>
      <c r="B69" s="91"/>
      <c r="C69" s="91"/>
      <c r="D69" s="91"/>
      <c r="E69" s="91"/>
      <c r="F69" s="91"/>
      <c r="G69" s="91"/>
      <c r="H69" s="91"/>
      <c r="I69" s="91"/>
      <c r="J69" s="91"/>
      <c r="K69" s="91"/>
      <c r="L69" s="91"/>
      <c r="M69" s="92"/>
    </row>
    <row r="70" spans="1:13" ht="16.5" customHeight="1">
      <c r="A70" s="106" t="s">
        <v>42</v>
      </c>
      <c r="B70" s="107"/>
      <c r="C70" s="107"/>
      <c r="D70" s="107"/>
      <c r="E70" s="107"/>
      <c r="F70" s="107"/>
      <c r="G70" s="107"/>
      <c r="H70" s="107"/>
      <c r="I70" s="107"/>
      <c r="J70" s="107"/>
      <c r="K70" s="107"/>
      <c r="L70" s="107"/>
      <c r="M70" s="108"/>
    </row>
    <row r="71" spans="1:13" ht="16.5" customHeight="1">
      <c r="A71" s="106" t="s">
        <v>43</v>
      </c>
      <c r="B71" s="107"/>
      <c r="C71" s="107"/>
      <c r="D71" s="107"/>
      <c r="E71" s="107"/>
      <c r="F71" s="107"/>
      <c r="G71" s="107"/>
      <c r="H71" s="107"/>
      <c r="I71" s="107"/>
      <c r="J71" s="107"/>
      <c r="K71" s="107"/>
      <c r="L71" s="107"/>
      <c r="M71" s="108"/>
    </row>
    <row r="72" spans="1:13" ht="16.5" customHeight="1">
      <c r="A72" s="106" t="s">
        <v>44</v>
      </c>
      <c r="B72" s="107"/>
      <c r="C72" s="107"/>
      <c r="D72" s="107"/>
      <c r="E72" s="107"/>
      <c r="F72" s="107"/>
      <c r="G72" s="107"/>
      <c r="H72" s="107"/>
      <c r="I72" s="107"/>
      <c r="J72" s="107"/>
      <c r="K72" s="107"/>
      <c r="L72" s="107"/>
      <c r="M72" s="108"/>
    </row>
    <row r="73" spans="1:13" ht="16.5" customHeight="1">
      <c r="A73" s="106" t="s">
        <v>45</v>
      </c>
      <c r="B73" s="107"/>
      <c r="C73" s="107"/>
      <c r="D73" s="107"/>
      <c r="E73" s="107"/>
      <c r="F73" s="107"/>
      <c r="G73" s="107"/>
      <c r="H73" s="107"/>
      <c r="I73" s="107"/>
      <c r="J73" s="107"/>
      <c r="K73" s="107"/>
      <c r="L73" s="107"/>
      <c r="M73" s="108"/>
    </row>
    <row r="74" spans="1:13" ht="16.5" customHeight="1">
      <c r="A74" s="106" t="s">
        <v>29</v>
      </c>
      <c r="B74" s="107"/>
      <c r="C74" s="107"/>
      <c r="D74" s="107"/>
      <c r="E74" s="107"/>
      <c r="F74" s="107"/>
      <c r="G74" s="107"/>
      <c r="H74" s="107"/>
      <c r="I74" s="107"/>
      <c r="J74" s="107"/>
      <c r="K74" s="107"/>
      <c r="L74" s="107"/>
      <c r="M74" s="108"/>
    </row>
    <row r="75" spans="1:13" ht="9.75" customHeight="1" thickBot="1">
      <c r="A75" s="109"/>
      <c r="B75" s="110"/>
      <c r="C75" s="110"/>
      <c r="D75" s="110"/>
      <c r="E75" s="110"/>
      <c r="F75" s="110"/>
      <c r="G75" s="110"/>
      <c r="H75" s="110"/>
      <c r="I75" s="110"/>
      <c r="J75" s="110"/>
      <c r="K75" s="110"/>
      <c r="L75" s="110"/>
      <c r="M75" s="111"/>
    </row>
    <row r="76" spans="1:13" ht="18.75" customHeight="1" thickBot="1">
      <c r="A76" s="72" t="s">
        <v>30</v>
      </c>
      <c r="B76" s="73"/>
      <c r="C76" s="73"/>
      <c r="D76" s="73"/>
      <c r="E76" s="73"/>
      <c r="F76" s="73"/>
      <c r="G76" s="73"/>
      <c r="H76" s="73"/>
      <c r="I76" s="73"/>
      <c r="J76" s="73"/>
      <c r="K76" s="73"/>
      <c r="L76" s="73"/>
      <c r="M76" s="74"/>
    </row>
    <row r="77" spans="1:13" ht="24" customHeight="1" thickBot="1">
      <c r="A77" s="72" t="s">
        <v>31</v>
      </c>
      <c r="B77" s="73"/>
      <c r="C77" s="73"/>
      <c r="D77" s="73"/>
      <c r="E77" s="73"/>
      <c r="F77" s="73"/>
      <c r="G77" s="73"/>
      <c r="H77" s="73"/>
      <c r="I77" s="73"/>
      <c r="J77" s="73"/>
      <c r="K77" s="73"/>
      <c r="L77" s="73"/>
      <c r="M77" s="74"/>
    </row>
    <row r="78" spans="1:13" ht="24" customHeight="1" thickBot="1">
      <c r="A78" s="72" t="s">
        <v>151</v>
      </c>
      <c r="B78" s="73"/>
      <c r="C78" s="73"/>
      <c r="D78" s="73"/>
      <c r="E78" s="73"/>
      <c r="F78" s="73"/>
      <c r="G78" s="73"/>
      <c r="H78" s="73"/>
      <c r="I78" s="73"/>
      <c r="J78" s="73"/>
      <c r="K78" s="73"/>
      <c r="L78" s="73"/>
      <c r="M78" s="74"/>
    </row>
    <row r="79" spans="1:13" ht="24" customHeight="1" thickBot="1">
      <c r="A79" s="60" t="s">
        <v>46</v>
      </c>
      <c r="B79" s="61"/>
      <c r="C79" s="61"/>
      <c r="D79" s="61"/>
      <c r="E79" s="61"/>
      <c r="F79" s="61"/>
      <c r="G79" s="61"/>
      <c r="H79" s="61"/>
      <c r="I79" s="61"/>
      <c r="J79" s="61"/>
      <c r="K79" s="61"/>
      <c r="L79" s="61"/>
      <c r="M79" s="62"/>
    </row>
    <row r="80" spans="1:13" ht="11.1" customHeight="1">
      <c r="A80" s="103" t="s">
        <v>47</v>
      </c>
      <c r="B80" s="103"/>
      <c r="C80" s="103"/>
      <c r="D80" s="103"/>
      <c r="E80" s="103"/>
      <c r="F80" s="103"/>
      <c r="G80" s="103"/>
      <c r="H80" s="103"/>
      <c r="I80" s="103"/>
      <c r="J80" s="103"/>
      <c r="K80" s="103"/>
      <c r="L80" s="103"/>
      <c r="M80" s="103"/>
    </row>
    <row r="81" spans="1:15" ht="11.1" customHeight="1">
      <c r="A81" s="104" t="s">
        <v>48</v>
      </c>
      <c r="B81" s="104"/>
      <c r="C81" s="104"/>
      <c r="D81" s="104"/>
      <c r="E81" s="104"/>
      <c r="F81" s="104"/>
      <c r="G81" s="104"/>
      <c r="H81" s="104"/>
      <c r="I81" s="104"/>
      <c r="J81" s="104"/>
      <c r="K81" s="104"/>
      <c r="L81" s="104"/>
      <c r="M81" s="104"/>
    </row>
    <row r="82" spans="1:15" ht="11.1" customHeight="1">
      <c r="A82" s="105" t="s">
        <v>49</v>
      </c>
      <c r="B82" s="105"/>
      <c r="C82" s="105"/>
      <c r="D82" s="105"/>
      <c r="E82" s="105"/>
      <c r="F82" s="105"/>
      <c r="G82" s="105"/>
      <c r="H82" s="105"/>
      <c r="I82" s="105"/>
      <c r="J82" s="105"/>
      <c r="K82" s="105"/>
      <c r="L82" s="105"/>
      <c r="M82" s="105"/>
    </row>
    <row r="83" spans="1:15" ht="11.1" customHeight="1">
      <c r="A83" s="105" t="s">
        <v>50</v>
      </c>
      <c r="B83" s="105"/>
      <c r="C83" s="105"/>
      <c r="D83" s="105"/>
      <c r="E83" s="105"/>
      <c r="F83" s="105"/>
      <c r="G83" s="105"/>
      <c r="H83" s="105"/>
      <c r="I83" s="105"/>
      <c r="J83" s="105"/>
      <c r="K83" s="105"/>
      <c r="L83" s="105"/>
      <c r="M83" s="105"/>
    </row>
    <row r="84" spans="1:15" ht="11.1" customHeight="1">
      <c r="A84" s="104" t="s">
        <v>51</v>
      </c>
      <c r="B84" s="104"/>
      <c r="C84" s="104"/>
      <c r="D84" s="104"/>
      <c r="E84" s="104"/>
      <c r="F84" s="104"/>
      <c r="G84" s="104"/>
      <c r="H84" s="104"/>
      <c r="I84" s="104"/>
      <c r="J84" s="104"/>
      <c r="K84" s="104"/>
      <c r="L84" s="104"/>
      <c r="M84" s="104"/>
    </row>
    <row r="85" spans="1:15" ht="11.1" customHeight="1">
      <c r="A85" s="104" t="s">
        <v>52</v>
      </c>
      <c r="B85" s="104"/>
      <c r="C85" s="104"/>
      <c r="D85" s="104"/>
      <c r="E85" s="104"/>
      <c r="F85" s="104"/>
      <c r="G85" s="104"/>
      <c r="H85" s="104"/>
      <c r="I85" s="104"/>
      <c r="J85" s="104"/>
      <c r="K85" s="104"/>
      <c r="L85" s="104"/>
      <c r="M85" s="104"/>
    </row>
    <row r="86" spans="1:15" ht="11.1" customHeight="1">
      <c r="A86" s="104" t="s">
        <v>53</v>
      </c>
      <c r="B86" s="104"/>
      <c r="C86" s="104"/>
      <c r="D86" s="104"/>
      <c r="E86" s="104"/>
      <c r="F86" s="104"/>
      <c r="G86" s="104"/>
      <c r="H86" s="104"/>
      <c r="I86" s="104"/>
      <c r="J86" s="104"/>
      <c r="K86" s="104"/>
      <c r="L86" s="104"/>
      <c r="M86" s="104"/>
    </row>
    <row r="87" spans="1:15" ht="11.1" customHeight="1">
      <c r="A87" s="101" t="s">
        <v>54</v>
      </c>
      <c r="B87" s="101"/>
      <c r="C87" s="101"/>
      <c r="D87" s="101"/>
      <c r="E87" s="101"/>
      <c r="F87" s="101"/>
      <c r="G87" s="101"/>
      <c r="H87" s="101"/>
      <c r="I87" s="101"/>
      <c r="J87" s="101"/>
      <c r="K87" s="101"/>
      <c r="L87" s="101"/>
      <c r="M87" s="101"/>
    </row>
    <row r="88" spans="1:15" ht="11.1" customHeight="1">
      <c r="A88" s="101" t="s">
        <v>55</v>
      </c>
      <c r="B88" s="101"/>
      <c r="C88" s="101"/>
      <c r="D88" s="101"/>
      <c r="E88" s="101"/>
      <c r="F88" s="101"/>
      <c r="G88" s="101"/>
      <c r="H88" s="101"/>
      <c r="I88" s="101"/>
      <c r="J88" s="101"/>
      <c r="K88" s="101"/>
      <c r="L88" s="101"/>
      <c r="M88" s="101"/>
    </row>
    <row r="89" spans="1:15" ht="19.5" customHeight="1">
      <c r="A89" s="69" t="s">
        <v>0</v>
      </c>
      <c r="B89" s="69"/>
      <c r="C89" s="69"/>
      <c r="D89" s="69"/>
      <c r="E89" s="69"/>
      <c r="F89" s="69"/>
      <c r="G89" s="69"/>
      <c r="H89" s="69"/>
      <c r="I89" s="69"/>
      <c r="J89" s="69"/>
      <c r="K89" s="69"/>
      <c r="L89" s="69"/>
      <c r="M89" s="69"/>
    </row>
    <row r="90" spans="1:15" ht="20.100000000000001" customHeight="1">
      <c r="A90" s="4" t="s">
        <v>32</v>
      </c>
      <c r="B90" s="5">
        <f>+B46+1</f>
        <v>68</v>
      </c>
      <c r="C90" s="35"/>
      <c r="D90" s="35"/>
      <c r="E90" s="35"/>
      <c r="F90" s="35"/>
      <c r="G90" s="35"/>
      <c r="H90" s="35"/>
      <c r="I90" s="35"/>
      <c r="J90" s="35"/>
      <c r="K90" s="35"/>
      <c r="L90" s="35"/>
      <c r="M90" s="35"/>
    </row>
    <row r="91" spans="1:15" ht="24" customHeight="1" thickBot="1">
      <c r="A91" s="4" t="s">
        <v>33</v>
      </c>
      <c r="H91" s="70" t="s">
        <v>34</v>
      </c>
      <c r="I91" s="70"/>
      <c r="J91" s="70"/>
      <c r="K91" s="102">
        <f>+K47+1</f>
        <v>45994</v>
      </c>
      <c r="L91" s="102"/>
      <c r="M91" s="102"/>
      <c r="O91" s="7"/>
    </row>
    <row r="92" spans="1:15" ht="33.75" customHeight="1" thickBot="1">
      <c r="A92" s="80" t="s">
        <v>1</v>
      </c>
      <c r="B92" s="81"/>
      <c r="C92" s="82"/>
      <c r="D92" s="86" t="str">
        <f>+D48</f>
        <v>光明國中B與C區5樓老舊廁所整修工程</v>
      </c>
      <c r="E92" s="87"/>
      <c r="F92" s="87"/>
      <c r="G92" s="88"/>
      <c r="H92" s="80" t="s">
        <v>2</v>
      </c>
      <c r="I92" s="81"/>
      <c r="J92" s="82"/>
      <c r="K92" s="80" t="s">
        <v>35</v>
      </c>
      <c r="L92" s="81"/>
      <c r="M92" s="82"/>
    </row>
    <row r="93" spans="1:15" ht="33.75" customHeight="1" thickBot="1">
      <c r="A93" s="8" t="s">
        <v>3</v>
      </c>
      <c r="B93" s="36">
        <f>+B49+1</f>
        <v>145</v>
      </c>
      <c r="C93" s="10" t="s">
        <v>36</v>
      </c>
      <c r="D93" s="80" t="s">
        <v>4</v>
      </c>
      <c r="E93" s="89"/>
      <c r="F93" s="37">
        <f>+F49+1</f>
        <v>68</v>
      </c>
      <c r="G93" s="12" t="s">
        <v>36</v>
      </c>
      <c r="H93" s="13" t="s">
        <v>5</v>
      </c>
      <c r="I93" s="36">
        <f>+B93-F93</f>
        <v>77</v>
      </c>
      <c r="J93" s="10" t="s">
        <v>36</v>
      </c>
      <c r="K93" s="80" t="s">
        <v>6</v>
      </c>
      <c r="L93" s="82"/>
      <c r="M93" s="13">
        <f>+M49+1</f>
        <v>15</v>
      </c>
    </row>
    <row r="94" spans="1:15" ht="24" customHeight="1" thickBot="1">
      <c r="A94" s="80" t="s">
        <v>7</v>
      </c>
      <c r="B94" s="81"/>
      <c r="C94" s="82"/>
      <c r="D94" s="80" t="str">
        <f>+D50</f>
        <v>114.9.27</v>
      </c>
      <c r="E94" s="81"/>
      <c r="F94" s="81"/>
      <c r="G94" s="82"/>
      <c r="H94" s="80" t="s">
        <v>8</v>
      </c>
      <c r="I94" s="81"/>
      <c r="J94" s="82"/>
      <c r="K94" s="80" t="s">
        <v>153</v>
      </c>
      <c r="L94" s="81"/>
      <c r="M94" s="82"/>
    </row>
    <row r="95" spans="1:15" ht="24" customHeight="1" thickBot="1">
      <c r="A95" s="80" t="s">
        <v>37</v>
      </c>
      <c r="B95" s="81"/>
      <c r="C95" s="82"/>
      <c r="D95" s="83">
        <v>0.312</v>
      </c>
      <c r="E95" s="84"/>
      <c r="F95" s="84"/>
      <c r="G95" s="85"/>
      <c r="H95" s="80" t="s">
        <v>38</v>
      </c>
      <c r="I95" s="81"/>
      <c r="J95" s="82"/>
      <c r="K95" s="83">
        <f>+K51</f>
        <v>0.39300000000000018</v>
      </c>
      <c r="L95" s="84"/>
      <c r="M95" s="85"/>
    </row>
    <row r="96" spans="1:15" ht="24" customHeight="1" thickBot="1">
      <c r="A96" s="72" t="s">
        <v>9</v>
      </c>
      <c r="B96" s="73"/>
      <c r="C96" s="73"/>
      <c r="D96" s="73"/>
      <c r="E96" s="73"/>
      <c r="F96" s="73"/>
      <c r="G96" s="73"/>
      <c r="H96" s="73"/>
      <c r="I96" s="73"/>
      <c r="J96" s="73"/>
      <c r="K96" s="73"/>
      <c r="L96" s="73"/>
      <c r="M96" s="74"/>
    </row>
    <row r="97" spans="1:13" ht="35.25" customHeight="1" thickBot="1">
      <c r="A97" s="75" t="s">
        <v>10</v>
      </c>
      <c r="B97" s="76"/>
      <c r="C97" s="76"/>
      <c r="D97" s="77"/>
      <c r="E97" s="14" t="s">
        <v>11</v>
      </c>
      <c r="F97" s="75" t="s">
        <v>12</v>
      </c>
      <c r="G97" s="77"/>
      <c r="H97" s="75" t="s">
        <v>13</v>
      </c>
      <c r="I97" s="77"/>
      <c r="J97" s="78" t="s">
        <v>14</v>
      </c>
      <c r="K97" s="79"/>
      <c r="L97" s="75" t="s">
        <v>15</v>
      </c>
      <c r="M97" s="77"/>
    </row>
    <row r="98" spans="1:13" ht="27" customHeight="1" thickBot="1">
      <c r="A98" s="63"/>
      <c r="B98" s="64"/>
      <c r="C98" s="64"/>
      <c r="D98" s="65"/>
      <c r="E98" s="2"/>
      <c r="F98" s="56"/>
      <c r="G98" s="57"/>
      <c r="H98" s="56"/>
      <c r="I98" s="57"/>
      <c r="J98" s="56"/>
      <c r="K98" s="57"/>
      <c r="L98" s="58"/>
      <c r="M98" s="59"/>
    </row>
    <row r="99" spans="1:13" ht="27" customHeight="1" thickBot="1">
      <c r="A99" s="160"/>
      <c r="B99" s="161"/>
      <c r="C99" s="161"/>
      <c r="D99" s="162"/>
      <c r="E99" s="15"/>
      <c r="F99" s="158"/>
      <c r="G99" s="159"/>
      <c r="H99" s="158"/>
      <c r="I99" s="159"/>
      <c r="J99" s="158"/>
      <c r="K99" s="159"/>
      <c r="L99" s="121"/>
      <c r="M99" s="120"/>
    </row>
    <row r="100" spans="1:13" ht="24.95" customHeight="1" thickTop="1" thickBot="1">
      <c r="A100" s="130" t="s">
        <v>16</v>
      </c>
      <c r="B100" s="67"/>
      <c r="C100" s="67"/>
      <c r="D100" s="68"/>
      <c r="E100" s="38"/>
      <c r="F100" s="131"/>
      <c r="G100" s="132"/>
      <c r="H100" s="131"/>
      <c r="I100" s="132"/>
      <c r="J100" s="131"/>
      <c r="K100" s="132"/>
      <c r="L100" s="131"/>
      <c r="M100" s="133"/>
    </row>
    <row r="101" spans="1:13" ht="24.95" customHeight="1" thickBot="1">
      <c r="A101" s="134" t="s">
        <v>17</v>
      </c>
      <c r="B101" s="135"/>
      <c r="C101" s="135"/>
      <c r="D101" s="59"/>
      <c r="E101" s="38"/>
      <c r="F101" s="58"/>
      <c r="G101" s="59"/>
      <c r="H101" s="58"/>
      <c r="I101" s="59"/>
      <c r="J101" s="58"/>
      <c r="K101" s="59"/>
      <c r="L101" s="58"/>
      <c r="M101" s="136"/>
    </row>
    <row r="102" spans="1:13" ht="24.95" customHeight="1" thickBot="1">
      <c r="A102" s="118" t="s">
        <v>18</v>
      </c>
      <c r="B102" s="119"/>
      <c r="C102" s="119"/>
      <c r="D102" s="120"/>
      <c r="E102" s="24"/>
      <c r="F102" s="121"/>
      <c r="G102" s="120"/>
      <c r="H102" s="121"/>
      <c r="I102" s="120"/>
      <c r="J102" s="121"/>
      <c r="K102" s="120"/>
      <c r="L102" s="121"/>
      <c r="M102" s="122"/>
    </row>
    <row r="103" spans="1:13" ht="24" customHeight="1" thickTop="1" thickBot="1">
      <c r="A103" s="66" t="s">
        <v>19</v>
      </c>
      <c r="B103" s="67"/>
      <c r="C103" s="67"/>
      <c r="D103" s="67"/>
      <c r="E103" s="67"/>
      <c r="F103" s="67"/>
      <c r="G103" s="67"/>
      <c r="H103" s="67"/>
      <c r="I103" s="67"/>
      <c r="J103" s="67"/>
      <c r="K103" s="67"/>
      <c r="L103" s="67"/>
      <c r="M103" s="68"/>
    </row>
    <row r="104" spans="1:13" ht="35.25" customHeight="1" thickBot="1">
      <c r="A104" s="75" t="s">
        <v>20</v>
      </c>
      <c r="B104" s="76"/>
      <c r="C104" s="76"/>
      <c r="D104" s="77"/>
      <c r="E104" s="14" t="s">
        <v>11</v>
      </c>
      <c r="F104" s="75" t="s">
        <v>39</v>
      </c>
      <c r="G104" s="77"/>
      <c r="H104" s="75" t="s">
        <v>21</v>
      </c>
      <c r="I104" s="77"/>
      <c r="J104" s="78" t="s">
        <v>22</v>
      </c>
      <c r="K104" s="79"/>
      <c r="L104" s="75" t="s">
        <v>15</v>
      </c>
      <c r="M104" s="77"/>
    </row>
    <row r="105" spans="1:13" ht="24" customHeight="1" thickBot="1">
      <c r="A105" s="96"/>
      <c r="B105" s="97"/>
      <c r="C105" s="97"/>
      <c r="D105" s="98"/>
      <c r="E105" s="38"/>
      <c r="F105" s="58"/>
      <c r="G105" s="59"/>
      <c r="H105" s="58"/>
      <c r="I105" s="59"/>
      <c r="J105" s="56"/>
      <c r="K105" s="57"/>
      <c r="L105" s="58"/>
      <c r="M105" s="59"/>
    </row>
    <row r="106" spans="1:13" ht="24" customHeight="1" thickBot="1">
      <c r="A106" s="96"/>
      <c r="B106" s="97"/>
      <c r="C106" s="97"/>
      <c r="D106" s="98"/>
      <c r="E106" s="38"/>
      <c r="F106" s="58"/>
      <c r="G106" s="59"/>
      <c r="H106" s="58"/>
      <c r="I106" s="59"/>
      <c r="J106" s="56"/>
      <c r="K106" s="57"/>
      <c r="L106" s="58"/>
      <c r="M106" s="59"/>
    </row>
    <row r="107" spans="1:13" ht="24" customHeight="1" thickBot="1">
      <c r="A107" s="60" t="s">
        <v>23</v>
      </c>
      <c r="B107" s="61"/>
      <c r="C107" s="61"/>
      <c r="D107" s="61"/>
      <c r="E107" s="61"/>
      <c r="F107" s="61"/>
      <c r="G107" s="61"/>
      <c r="H107" s="61"/>
      <c r="I107" s="61"/>
      <c r="J107" s="61"/>
      <c r="K107" s="61"/>
      <c r="L107" s="61"/>
      <c r="M107" s="62"/>
    </row>
    <row r="108" spans="1:13" ht="35.25" customHeight="1" thickBot="1">
      <c r="A108" s="75" t="s">
        <v>24</v>
      </c>
      <c r="B108" s="77"/>
      <c r="C108" s="75" t="s">
        <v>25</v>
      </c>
      <c r="D108" s="77"/>
      <c r="E108" s="75" t="s">
        <v>26</v>
      </c>
      <c r="F108" s="76"/>
      <c r="G108" s="77"/>
      <c r="H108" s="75" t="s">
        <v>27</v>
      </c>
      <c r="I108" s="77"/>
      <c r="J108" s="78" t="s">
        <v>21</v>
      </c>
      <c r="K108" s="79"/>
      <c r="L108" s="75" t="s">
        <v>22</v>
      </c>
      <c r="M108" s="77"/>
    </row>
    <row r="109" spans="1:13" s="18" customFormat="1" ht="24.75" customHeight="1" thickBot="1">
      <c r="A109" s="99"/>
      <c r="B109" s="98"/>
      <c r="C109" s="56"/>
      <c r="D109" s="57"/>
      <c r="E109" s="56"/>
      <c r="F109" s="100"/>
      <c r="G109" s="57"/>
      <c r="H109" s="56"/>
      <c r="I109" s="57"/>
      <c r="J109" s="56"/>
      <c r="K109" s="57"/>
      <c r="L109" s="56"/>
      <c r="M109" s="57"/>
    </row>
    <row r="110" spans="1:13" s="18" customFormat="1" ht="24.75" customHeight="1" thickBot="1">
      <c r="A110" s="99"/>
      <c r="B110" s="98"/>
      <c r="C110" s="56"/>
      <c r="D110" s="57"/>
      <c r="E110" s="56"/>
      <c r="F110" s="100"/>
      <c r="G110" s="57"/>
      <c r="H110" s="56"/>
      <c r="I110" s="57"/>
      <c r="J110" s="56"/>
      <c r="K110" s="57"/>
      <c r="L110" s="56"/>
      <c r="M110" s="57"/>
    </row>
    <row r="111" spans="1:13" ht="33" customHeight="1" thickBot="1">
      <c r="A111" s="112" t="s">
        <v>60</v>
      </c>
      <c r="B111" s="113"/>
      <c r="C111" s="113"/>
      <c r="D111" s="113"/>
      <c r="E111" s="113"/>
      <c r="F111" s="113"/>
      <c r="G111" s="113"/>
      <c r="H111" s="113"/>
      <c r="I111" s="113"/>
      <c r="J111" s="113"/>
      <c r="K111" s="113"/>
      <c r="L111" s="113"/>
      <c r="M111" s="114"/>
    </row>
    <row r="112" spans="1:13" ht="16.5" customHeight="1">
      <c r="A112" s="115" t="s">
        <v>41</v>
      </c>
      <c r="B112" s="116"/>
      <c r="C112" s="116"/>
      <c r="D112" s="116"/>
      <c r="E112" s="116"/>
      <c r="F112" s="116"/>
      <c r="G112" s="116"/>
      <c r="H112" s="116"/>
      <c r="I112" s="116"/>
      <c r="J112" s="116"/>
      <c r="K112" s="116"/>
      <c r="L112" s="116"/>
      <c r="M112" s="117"/>
    </row>
    <row r="113" spans="1:13" ht="16.5" customHeight="1">
      <c r="A113" s="90" t="s">
        <v>28</v>
      </c>
      <c r="B113" s="91"/>
      <c r="C113" s="91"/>
      <c r="D113" s="91"/>
      <c r="E113" s="91"/>
      <c r="F113" s="91"/>
      <c r="G113" s="91"/>
      <c r="H113" s="91"/>
      <c r="I113" s="91"/>
      <c r="J113" s="91"/>
      <c r="K113" s="91"/>
      <c r="L113" s="91"/>
      <c r="M113" s="92"/>
    </row>
    <row r="114" spans="1:13" ht="16.5" customHeight="1">
      <c r="A114" s="106" t="s">
        <v>42</v>
      </c>
      <c r="B114" s="107"/>
      <c r="C114" s="107"/>
      <c r="D114" s="107"/>
      <c r="E114" s="107"/>
      <c r="F114" s="107"/>
      <c r="G114" s="107"/>
      <c r="H114" s="107"/>
      <c r="I114" s="107"/>
      <c r="J114" s="107"/>
      <c r="K114" s="107"/>
      <c r="L114" s="107"/>
      <c r="M114" s="108"/>
    </row>
    <row r="115" spans="1:13" ht="16.5" customHeight="1">
      <c r="A115" s="106" t="s">
        <v>43</v>
      </c>
      <c r="B115" s="107"/>
      <c r="C115" s="107"/>
      <c r="D115" s="107"/>
      <c r="E115" s="107"/>
      <c r="F115" s="107"/>
      <c r="G115" s="107"/>
      <c r="H115" s="107"/>
      <c r="I115" s="107"/>
      <c r="J115" s="107"/>
      <c r="K115" s="107"/>
      <c r="L115" s="107"/>
      <c r="M115" s="108"/>
    </row>
    <row r="116" spans="1:13" ht="16.5" customHeight="1">
      <c r="A116" s="106" t="s">
        <v>44</v>
      </c>
      <c r="B116" s="107"/>
      <c r="C116" s="107"/>
      <c r="D116" s="107"/>
      <c r="E116" s="107"/>
      <c r="F116" s="107"/>
      <c r="G116" s="107"/>
      <c r="H116" s="107"/>
      <c r="I116" s="107"/>
      <c r="J116" s="107"/>
      <c r="K116" s="107"/>
      <c r="L116" s="107"/>
      <c r="M116" s="108"/>
    </row>
    <row r="117" spans="1:13" ht="16.5" customHeight="1">
      <c r="A117" s="106" t="s">
        <v>45</v>
      </c>
      <c r="B117" s="107"/>
      <c r="C117" s="107"/>
      <c r="D117" s="107"/>
      <c r="E117" s="107"/>
      <c r="F117" s="107"/>
      <c r="G117" s="107"/>
      <c r="H117" s="107"/>
      <c r="I117" s="107"/>
      <c r="J117" s="107"/>
      <c r="K117" s="107"/>
      <c r="L117" s="107"/>
      <c r="M117" s="108"/>
    </row>
    <row r="118" spans="1:13" ht="16.5" customHeight="1">
      <c r="A118" s="106" t="s">
        <v>29</v>
      </c>
      <c r="B118" s="107"/>
      <c r="C118" s="107"/>
      <c r="D118" s="107"/>
      <c r="E118" s="107"/>
      <c r="F118" s="107"/>
      <c r="G118" s="107"/>
      <c r="H118" s="107"/>
      <c r="I118" s="107"/>
      <c r="J118" s="107"/>
      <c r="K118" s="107"/>
      <c r="L118" s="107"/>
      <c r="M118" s="108"/>
    </row>
    <row r="119" spans="1:13" ht="9.75" customHeight="1" thickBot="1">
      <c r="A119" s="109"/>
      <c r="B119" s="110"/>
      <c r="C119" s="110"/>
      <c r="D119" s="110"/>
      <c r="E119" s="110"/>
      <c r="F119" s="110"/>
      <c r="G119" s="110"/>
      <c r="H119" s="110"/>
      <c r="I119" s="110"/>
      <c r="J119" s="110"/>
      <c r="K119" s="110"/>
      <c r="L119" s="110"/>
      <c r="M119" s="111"/>
    </row>
    <row r="120" spans="1:13" ht="18.75" customHeight="1" thickBot="1">
      <c r="A120" s="72" t="s">
        <v>30</v>
      </c>
      <c r="B120" s="73"/>
      <c r="C120" s="73"/>
      <c r="D120" s="73"/>
      <c r="E120" s="73"/>
      <c r="F120" s="73"/>
      <c r="G120" s="73"/>
      <c r="H120" s="73"/>
      <c r="I120" s="73"/>
      <c r="J120" s="73"/>
      <c r="K120" s="73"/>
      <c r="L120" s="73"/>
      <c r="M120" s="74"/>
    </row>
    <row r="121" spans="1:13" ht="24" customHeight="1" thickBot="1">
      <c r="A121" s="72" t="s">
        <v>31</v>
      </c>
      <c r="B121" s="73"/>
      <c r="C121" s="73"/>
      <c r="D121" s="73"/>
      <c r="E121" s="73"/>
      <c r="F121" s="73"/>
      <c r="G121" s="73"/>
      <c r="H121" s="73"/>
      <c r="I121" s="73"/>
      <c r="J121" s="73"/>
      <c r="K121" s="73"/>
      <c r="L121" s="73"/>
      <c r="M121" s="74"/>
    </row>
    <row r="122" spans="1:13" ht="24" customHeight="1" thickBot="1">
      <c r="A122" s="72" t="s">
        <v>151</v>
      </c>
      <c r="B122" s="73"/>
      <c r="C122" s="73"/>
      <c r="D122" s="73"/>
      <c r="E122" s="73"/>
      <c r="F122" s="73"/>
      <c r="G122" s="73"/>
      <c r="H122" s="73"/>
      <c r="I122" s="73"/>
      <c r="J122" s="73"/>
      <c r="K122" s="73"/>
      <c r="L122" s="73"/>
      <c r="M122" s="74"/>
    </row>
    <row r="123" spans="1:13" ht="24" customHeight="1" thickBot="1">
      <c r="A123" s="60" t="s">
        <v>46</v>
      </c>
      <c r="B123" s="61"/>
      <c r="C123" s="61"/>
      <c r="D123" s="61"/>
      <c r="E123" s="61"/>
      <c r="F123" s="61"/>
      <c r="G123" s="61"/>
      <c r="H123" s="61"/>
      <c r="I123" s="61"/>
      <c r="J123" s="61"/>
      <c r="K123" s="61"/>
      <c r="L123" s="61"/>
      <c r="M123" s="62"/>
    </row>
    <row r="124" spans="1:13" ht="11.1" customHeight="1">
      <c r="A124" s="103" t="s">
        <v>47</v>
      </c>
      <c r="B124" s="103"/>
      <c r="C124" s="103"/>
      <c r="D124" s="103"/>
      <c r="E124" s="103"/>
      <c r="F124" s="103"/>
      <c r="G124" s="103"/>
      <c r="H124" s="103"/>
      <c r="I124" s="103"/>
      <c r="J124" s="103"/>
      <c r="K124" s="103"/>
      <c r="L124" s="103"/>
      <c r="M124" s="103"/>
    </row>
    <row r="125" spans="1:13" ht="11.1" customHeight="1">
      <c r="A125" s="104" t="s">
        <v>48</v>
      </c>
      <c r="B125" s="104"/>
      <c r="C125" s="104"/>
      <c r="D125" s="104"/>
      <c r="E125" s="104"/>
      <c r="F125" s="104"/>
      <c r="G125" s="104"/>
      <c r="H125" s="104"/>
      <c r="I125" s="104"/>
      <c r="J125" s="104"/>
      <c r="K125" s="104"/>
      <c r="L125" s="104"/>
      <c r="M125" s="104"/>
    </row>
    <row r="126" spans="1:13" ht="11.1" customHeight="1">
      <c r="A126" s="105" t="s">
        <v>49</v>
      </c>
      <c r="B126" s="105"/>
      <c r="C126" s="105"/>
      <c r="D126" s="105"/>
      <c r="E126" s="105"/>
      <c r="F126" s="105"/>
      <c r="G126" s="105"/>
      <c r="H126" s="105"/>
      <c r="I126" s="105"/>
      <c r="J126" s="105"/>
      <c r="K126" s="105"/>
      <c r="L126" s="105"/>
      <c r="M126" s="105"/>
    </row>
    <row r="127" spans="1:13" ht="11.1" customHeight="1">
      <c r="A127" s="105" t="s">
        <v>50</v>
      </c>
      <c r="B127" s="105"/>
      <c r="C127" s="105"/>
      <c r="D127" s="105"/>
      <c r="E127" s="105"/>
      <c r="F127" s="105"/>
      <c r="G127" s="105"/>
      <c r="H127" s="105"/>
      <c r="I127" s="105"/>
      <c r="J127" s="105"/>
      <c r="K127" s="105"/>
      <c r="L127" s="105"/>
      <c r="M127" s="105"/>
    </row>
    <row r="128" spans="1:13" ht="11.1" customHeight="1">
      <c r="A128" s="104" t="s">
        <v>51</v>
      </c>
      <c r="B128" s="104"/>
      <c r="C128" s="104"/>
      <c r="D128" s="104"/>
      <c r="E128" s="104"/>
      <c r="F128" s="104"/>
      <c r="G128" s="104"/>
      <c r="H128" s="104"/>
      <c r="I128" s="104"/>
      <c r="J128" s="104"/>
      <c r="K128" s="104"/>
      <c r="L128" s="104"/>
      <c r="M128" s="104"/>
    </row>
    <row r="129" spans="1:15" ht="11.1" customHeight="1">
      <c r="A129" s="104" t="s">
        <v>52</v>
      </c>
      <c r="B129" s="104"/>
      <c r="C129" s="104"/>
      <c r="D129" s="104"/>
      <c r="E129" s="104"/>
      <c r="F129" s="104"/>
      <c r="G129" s="104"/>
      <c r="H129" s="104"/>
      <c r="I129" s="104"/>
      <c r="J129" s="104"/>
      <c r="K129" s="104"/>
      <c r="L129" s="104"/>
      <c r="M129" s="104"/>
    </row>
    <row r="130" spans="1:15" ht="11.1" customHeight="1">
      <c r="A130" s="104" t="s">
        <v>53</v>
      </c>
      <c r="B130" s="104"/>
      <c r="C130" s="104"/>
      <c r="D130" s="104"/>
      <c r="E130" s="104"/>
      <c r="F130" s="104"/>
      <c r="G130" s="104"/>
      <c r="H130" s="104"/>
      <c r="I130" s="104"/>
      <c r="J130" s="104"/>
      <c r="K130" s="104"/>
      <c r="L130" s="104"/>
      <c r="M130" s="104"/>
    </row>
    <row r="131" spans="1:15" ht="11.1" customHeight="1">
      <c r="A131" s="101" t="s">
        <v>54</v>
      </c>
      <c r="B131" s="101"/>
      <c r="C131" s="101"/>
      <c r="D131" s="101"/>
      <c r="E131" s="101"/>
      <c r="F131" s="101"/>
      <c r="G131" s="101"/>
      <c r="H131" s="101"/>
      <c r="I131" s="101"/>
      <c r="J131" s="101"/>
      <c r="K131" s="101"/>
      <c r="L131" s="101"/>
      <c r="M131" s="101"/>
    </row>
    <row r="132" spans="1:15" ht="11.1" customHeight="1">
      <c r="A132" s="101" t="s">
        <v>55</v>
      </c>
      <c r="B132" s="101"/>
      <c r="C132" s="101"/>
      <c r="D132" s="101"/>
      <c r="E132" s="101"/>
      <c r="F132" s="101"/>
      <c r="G132" s="101"/>
      <c r="H132" s="101"/>
      <c r="I132" s="101"/>
      <c r="J132" s="101"/>
      <c r="K132" s="101"/>
      <c r="L132" s="101"/>
      <c r="M132" s="101"/>
    </row>
    <row r="133" spans="1:15" ht="19.5" customHeight="1">
      <c r="A133" s="69" t="s">
        <v>0</v>
      </c>
      <c r="B133" s="69"/>
      <c r="C133" s="69"/>
      <c r="D133" s="69"/>
      <c r="E133" s="69"/>
      <c r="F133" s="69"/>
      <c r="G133" s="69"/>
      <c r="H133" s="69"/>
      <c r="I133" s="69"/>
      <c r="J133" s="69"/>
      <c r="K133" s="69"/>
      <c r="L133" s="69"/>
      <c r="M133" s="69"/>
    </row>
    <row r="134" spans="1:15" ht="20.100000000000001" customHeight="1">
      <c r="A134" s="4" t="s">
        <v>32</v>
      </c>
      <c r="B134" s="5">
        <f>+B90+1</f>
        <v>69</v>
      </c>
      <c r="C134" s="35"/>
      <c r="D134" s="35"/>
      <c r="E134" s="35"/>
      <c r="F134" s="35"/>
      <c r="G134" s="35"/>
      <c r="H134" s="35"/>
      <c r="I134" s="35"/>
      <c r="J134" s="35"/>
      <c r="K134" s="35"/>
      <c r="L134" s="35"/>
      <c r="M134" s="35"/>
    </row>
    <row r="135" spans="1:15" ht="24" customHeight="1" thickBot="1">
      <c r="A135" s="4" t="s">
        <v>33</v>
      </c>
      <c r="H135" s="70" t="s">
        <v>34</v>
      </c>
      <c r="I135" s="70"/>
      <c r="J135" s="70"/>
      <c r="K135" s="102">
        <f>+K91+1</f>
        <v>45995</v>
      </c>
      <c r="L135" s="102"/>
      <c r="M135" s="102"/>
      <c r="O135" s="7"/>
    </row>
    <row r="136" spans="1:15" ht="33.75" customHeight="1" thickBot="1">
      <c r="A136" s="80" t="s">
        <v>1</v>
      </c>
      <c r="B136" s="81"/>
      <c r="C136" s="82"/>
      <c r="D136" s="86" t="str">
        <f>+D92</f>
        <v>光明國中B與C區5樓老舊廁所整修工程</v>
      </c>
      <c r="E136" s="87"/>
      <c r="F136" s="87"/>
      <c r="G136" s="88"/>
      <c r="H136" s="80" t="s">
        <v>2</v>
      </c>
      <c r="I136" s="81"/>
      <c r="J136" s="82"/>
      <c r="K136" s="80" t="s">
        <v>35</v>
      </c>
      <c r="L136" s="81"/>
      <c r="M136" s="82"/>
    </row>
    <row r="137" spans="1:15" ht="33.75" customHeight="1" thickBot="1">
      <c r="A137" s="8" t="s">
        <v>3</v>
      </c>
      <c r="B137" s="36">
        <f>+B93</f>
        <v>145</v>
      </c>
      <c r="C137" s="10" t="s">
        <v>36</v>
      </c>
      <c r="D137" s="80" t="s">
        <v>4</v>
      </c>
      <c r="E137" s="89"/>
      <c r="F137" s="37">
        <f>+F93+1</f>
        <v>69</v>
      </c>
      <c r="G137" s="12" t="s">
        <v>36</v>
      </c>
      <c r="H137" s="13" t="s">
        <v>5</v>
      </c>
      <c r="I137" s="36">
        <f>+B137-F137</f>
        <v>76</v>
      </c>
      <c r="J137" s="10" t="s">
        <v>36</v>
      </c>
      <c r="K137" s="80" t="s">
        <v>6</v>
      </c>
      <c r="L137" s="82"/>
      <c r="M137" s="13">
        <f>+M93</f>
        <v>15</v>
      </c>
    </row>
    <row r="138" spans="1:15" ht="24" customHeight="1" thickBot="1">
      <c r="A138" s="80" t="s">
        <v>7</v>
      </c>
      <c r="B138" s="81"/>
      <c r="C138" s="82"/>
      <c r="D138" s="80" t="str">
        <f>+D94</f>
        <v>114.9.27</v>
      </c>
      <c r="E138" s="81"/>
      <c r="F138" s="81"/>
      <c r="G138" s="82"/>
      <c r="H138" s="80" t="s">
        <v>8</v>
      </c>
      <c r="I138" s="81"/>
      <c r="J138" s="82"/>
      <c r="K138" s="80" t="str">
        <f>+K94</f>
        <v>115.2.18</v>
      </c>
      <c r="L138" s="81"/>
      <c r="M138" s="82"/>
    </row>
    <row r="139" spans="1:15" ht="24" customHeight="1" thickBot="1">
      <c r="A139" s="80" t="s">
        <v>37</v>
      </c>
      <c r="B139" s="81"/>
      <c r="C139" s="82"/>
      <c r="D139" s="83">
        <v>0.318</v>
      </c>
      <c r="E139" s="84"/>
      <c r="F139" s="84"/>
      <c r="G139" s="85"/>
      <c r="H139" s="80" t="s">
        <v>38</v>
      </c>
      <c r="I139" s="81"/>
      <c r="J139" s="82"/>
      <c r="K139" s="83">
        <f>+K95+2.5%+0.4%</f>
        <v>0.42200000000000021</v>
      </c>
      <c r="L139" s="84"/>
      <c r="M139" s="85"/>
    </row>
    <row r="140" spans="1:15" ht="24" customHeight="1" thickBot="1">
      <c r="A140" s="72" t="s">
        <v>9</v>
      </c>
      <c r="B140" s="73"/>
      <c r="C140" s="73"/>
      <c r="D140" s="73"/>
      <c r="E140" s="73"/>
      <c r="F140" s="73"/>
      <c r="G140" s="73"/>
      <c r="H140" s="73"/>
      <c r="I140" s="73"/>
      <c r="J140" s="73"/>
      <c r="K140" s="73"/>
      <c r="L140" s="73"/>
      <c r="M140" s="74"/>
    </row>
    <row r="141" spans="1:15" ht="30.75" customHeight="1" thickBot="1">
      <c r="A141" s="75" t="s">
        <v>10</v>
      </c>
      <c r="B141" s="76"/>
      <c r="C141" s="76"/>
      <c r="D141" s="77"/>
      <c r="E141" s="14" t="s">
        <v>11</v>
      </c>
      <c r="F141" s="75" t="s">
        <v>12</v>
      </c>
      <c r="G141" s="77"/>
      <c r="H141" s="75" t="s">
        <v>13</v>
      </c>
      <c r="I141" s="77"/>
      <c r="J141" s="78" t="s">
        <v>14</v>
      </c>
      <c r="K141" s="79"/>
      <c r="L141" s="75" t="s">
        <v>15</v>
      </c>
      <c r="M141" s="77"/>
    </row>
    <row r="142" spans="1:15" ht="26.1" customHeight="1" thickBot="1">
      <c r="A142" s="141" t="s">
        <v>161</v>
      </c>
      <c r="B142" s="142"/>
      <c r="C142" s="142"/>
      <c r="D142" s="143"/>
      <c r="E142" s="2" t="s">
        <v>126</v>
      </c>
      <c r="F142" s="56">
        <v>190</v>
      </c>
      <c r="G142" s="57"/>
      <c r="H142" s="56">
        <v>40</v>
      </c>
      <c r="I142" s="57"/>
      <c r="J142" s="56">
        <v>100</v>
      </c>
      <c r="K142" s="57"/>
      <c r="L142" s="58"/>
      <c r="M142" s="59"/>
    </row>
    <row r="143" spans="1:15" ht="26.1" customHeight="1" thickBot="1">
      <c r="A143" s="123" t="s">
        <v>178</v>
      </c>
      <c r="B143" s="124"/>
      <c r="C143" s="124"/>
      <c r="D143" s="125"/>
      <c r="E143" s="15" t="s">
        <v>126</v>
      </c>
      <c r="F143" s="126">
        <v>175</v>
      </c>
      <c r="G143" s="127"/>
      <c r="H143" s="126">
        <v>50</v>
      </c>
      <c r="I143" s="127"/>
      <c r="J143" s="126">
        <v>50</v>
      </c>
      <c r="K143" s="127"/>
      <c r="L143" s="128"/>
      <c r="M143" s="129"/>
    </row>
    <row r="144" spans="1:15" ht="24.95" customHeight="1" thickTop="1" thickBot="1">
      <c r="A144" s="130" t="s">
        <v>16</v>
      </c>
      <c r="B144" s="67"/>
      <c r="C144" s="67"/>
      <c r="D144" s="68"/>
      <c r="E144" s="54"/>
      <c r="F144" s="131"/>
      <c r="G144" s="132"/>
      <c r="H144" s="131"/>
      <c r="I144" s="132"/>
      <c r="J144" s="131"/>
      <c r="K144" s="132"/>
      <c r="L144" s="131"/>
      <c r="M144" s="133"/>
    </row>
    <row r="145" spans="1:13" ht="24.95" customHeight="1" thickBot="1">
      <c r="A145" s="134" t="s">
        <v>17</v>
      </c>
      <c r="B145" s="135"/>
      <c r="C145" s="135"/>
      <c r="D145" s="59"/>
      <c r="E145" s="54"/>
      <c r="F145" s="58"/>
      <c r="G145" s="59"/>
      <c r="H145" s="58"/>
      <c r="I145" s="59"/>
      <c r="J145" s="58"/>
      <c r="K145" s="59"/>
      <c r="L145" s="58"/>
      <c r="M145" s="136"/>
    </row>
    <row r="146" spans="1:13" ht="24.95" customHeight="1" thickBot="1">
      <c r="A146" s="118" t="s">
        <v>18</v>
      </c>
      <c r="B146" s="119"/>
      <c r="C146" s="119"/>
      <c r="D146" s="120"/>
      <c r="E146" s="24"/>
      <c r="F146" s="121"/>
      <c r="G146" s="120"/>
      <c r="H146" s="121"/>
      <c r="I146" s="120"/>
      <c r="J146" s="121"/>
      <c r="K146" s="120"/>
      <c r="L146" s="121"/>
      <c r="M146" s="122"/>
    </row>
    <row r="147" spans="1:13" ht="24" customHeight="1" thickTop="1" thickBot="1">
      <c r="A147" s="66" t="s">
        <v>19</v>
      </c>
      <c r="B147" s="67"/>
      <c r="C147" s="67"/>
      <c r="D147" s="67"/>
      <c r="E147" s="67"/>
      <c r="F147" s="67"/>
      <c r="G147" s="67"/>
      <c r="H147" s="67"/>
      <c r="I147" s="67"/>
      <c r="J147" s="67"/>
      <c r="K147" s="67"/>
      <c r="L147" s="67"/>
      <c r="M147" s="68"/>
    </row>
    <row r="148" spans="1:13" ht="35.25" customHeight="1" thickBot="1">
      <c r="A148" s="75" t="s">
        <v>20</v>
      </c>
      <c r="B148" s="76"/>
      <c r="C148" s="76"/>
      <c r="D148" s="77"/>
      <c r="E148" s="14" t="s">
        <v>11</v>
      </c>
      <c r="F148" s="75" t="s">
        <v>39</v>
      </c>
      <c r="G148" s="77"/>
      <c r="H148" s="75" t="s">
        <v>21</v>
      </c>
      <c r="I148" s="77"/>
      <c r="J148" s="78" t="s">
        <v>22</v>
      </c>
      <c r="K148" s="79"/>
      <c r="L148" s="75" t="s">
        <v>15</v>
      </c>
      <c r="M148" s="77"/>
    </row>
    <row r="149" spans="1:13" ht="24" customHeight="1" thickBot="1">
      <c r="A149" s="96"/>
      <c r="B149" s="97"/>
      <c r="C149" s="97"/>
      <c r="D149" s="98"/>
      <c r="E149" s="38"/>
      <c r="F149" s="58"/>
      <c r="G149" s="59"/>
      <c r="H149" s="58"/>
      <c r="I149" s="59"/>
      <c r="J149" s="56"/>
      <c r="K149" s="57"/>
      <c r="L149" s="58"/>
      <c r="M149" s="59"/>
    </row>
    <row r="150" spans="1:13" ht="24" customHeight="1" thickBot="1">
      <c r="A150" s="96"/>
      <c r="B150" s="97"/>
      <c r="C150" s="97"/>
      <c r="D150" s="98"/>
      <c r="E150" s="38"/>
      <c r="F150" s="58"/>
      <c r="G150" s="59"/>
      <c r="H150" s="58"/>
      <c r="I150" s="59"/>
      <c r="J150" s="56"/>
      <c r="K150" s="57"/>
      <c r="L150" s="58"/>
      <c r="M150" s="59"/>
    </row>
    <row r="151" spans="1:13" ht="24" customHeight="1" thickBot="1">
      <c r="A151" s="60" t="s">
        <v>23</v>
      </c>
      <c r="B151" s="61"/>
      <c r="C151" s="61"/>
      <c r="D151" s="61"/>
      <c r="E151" s="61"/>
      <c r="F151" s="61"/>
      <c r="G151" s="61"/>
      <c r="H151" s="61"/>
      <c r="I151" s="61"/>
      <c r="J151" s="61"/>
      <c r="K151" s="61"/>
      <c r="L151" s="61"/>
      <c r="M151" s="62"/>
    </row>
    <row r="152" spans="1:13" ht="35.25" customHeight="1" thickBot="1">
      <c r="A152" s="75" t="s">
        <v>24</v>
      </c>
      <c r="B152" s="77"/>
      <c r="C152" s="75" t="s">
        <v>25</v>
      </c>
      <c r="D152" s="77"/>
      <c r="E152" s="75" t="s">
        <v>26</v>
      </c>
      <c r="F152" s="76"/>
      <c r="G152" s="77"/>
      <c r="H152" s="75" t="s">
        <v>27</v>
      </c>
      <c r="I152" s="77"/>
      <c r="J152" s="78" t="s">
        <v>21</v>
      </c>
      <c r="K152" s="79"/>
      <c r="L152" s="75" t="s">
        <v>22</v>
      </c>
      <c r="M152" s="77"/>
    </row>
    <row r="153" spans="1:13" s="18" customFormat="1" ht="24.75" customHeight="1" thickBot="1">
      <c r="A153" s="99" t="s">
        <v>119</v>
      </c>
      <c r="B153" s="137"/>
      <c r="C153" s="56">
        <v>2</v>
      </c>
      <c r="D153" s="57"/>
      <c r="E153" s="56">
        <v>44</v>
      </c>
      <c r="F153" s="100"/>
      <c r="G153" s="57"/>
      <c r="H153" s="56"/>
      <c r="I153" s="57"/>
      <c r="J153" s="56"/>
      <c r="K153" s="57"/>
      <c r="L153" s="56"/>
      <c r="M153" s="57"/>
    </row>
    <row r="154" spans="1:13" s="18" customFormat="1" ht="25.5" customHeight="1" thickBot="1">
      <c r="A154" s="99" t="s">
        <v>186</v>
      </c>
      <c r="B154" s="98"/>
      <c r="C154" s="56">
        <v>2</v>
      </c>
      <c r="D154" s="57"/>
      <c r="E154" s="56">
        <v>2</v>
      </c>
      <c r="F154" s="100"/>
      <c r="G154" s="57"/>
      <c r="H154" s="56"/>
      <c r="I154" s="57"/>
      <c r="J154" s="56"/>
      <c r="K154" s="57"/>
      <c r="L154" s="56"/>
      <c r="M154" s="57"/>
    </row>
    <row r="155" spans="1:13" ht="33" customHeight="1" thickBot="1">
      <c r="A155" s="112" t="s">
        <v>40</v>
      </c>
      <c r="B155" s="113"/>
      <c r="C155" s="113"/>
      <c r="D155" s="113"/>
      <c r="E155" s="113"/>
      <c r="F155" s="113"/>
      <c r="G155" s="113"/>
      <c r="H155" s="113"/>
      <c r="I155" s="113"/>
      <c r="J155" s="113"/>
      <c r="K155" s="113"/>
      <c r="L155" s="113"/>
      <c r="M155" s="114"/>
    </row>
    <row r="156" spans="1:13" ht="16.5" customHeight="1">
      <c r="A156" s="115" t="s">
        <v>41</v>
      </c>
      <c r="B156" s="116"/>
      <c r="C156" s="116"/>
      <c r="D156" s="116"/>
      <c r="E156" s="116"/>
      <c r="F156" s="116"/>
      <c r="G156" s="116"/>
      <c r="H156" s="116"/>
      <c r="I156" s="116"/>
      <c r="J156" s="116"/>
      <c r="K156" s="116"/>
      <c r="L156" s="116"/>
      <c r="M156" s="117"/>
    </row>
    <row r="157" spans="1:13" ht="16.5" customHeight="1">
      <c r="A157" s="90" t="s">
        <v>28</v>
      </c>
      <c r="B157" s="91"/>
      <c r="C157" s="91"/>
      <c r="D157" s="91"/>
      <c r="E157" s="91"/>
      <c r="F157" s="91"/>
      <c r="G157" s="91"/>
      <c r="H157" s="91"/>
      <c r="I157" s="91"/>
      <c r="J157" s="91"/>
      <c r="K157" s="91"/>
      <c r="L157" s="91"/>
      <c r="M157" s="92"/>
    </row>
    <row r="158" spans="1:13" s="1" customFormat="1" ht="16.5" customHeight="1">
      <c r="A158" s="93" t="s">
        <v>56</v>
      </c>
      <c r="B158" s="94"/>
      <c r="C158" s="94"/>
      <c r="D158" s="94"/>
      <c r="E158" s="94"/>
      <c r="F158" s="94"/>
      <c r="G158" s="94"/>
      <c r="H158" s="94"/>
      <c r="I158" s="94"/>
      <c r="J158" s="94"/>
      <c r="K158" s="94"/>
      <c r="L158" s="94"/>
      <c r="M158" s="95"/>
    </row>
    <row r="159" spans="1:13" s="1" customFormat="1" ht="16.5" customHeight="1">
      <c r="A159" s="93" t="s">
        <v>57</v>
      </c>
      <c r="B159" s="94"/>
      <c r="C159" s="94"/>
      <c r="D159" s="94"/>
      <c r="E159" s="94"/>
      <c r="F159" s="94"/>
      <c r="G159" s="94"/>
      <c r="H159" s="94"/>
      <c r="I159" s="94"/>
      <c r="J159" s="94"/>
      <c r="K159" s="94"/>
      <c r="L159" s="94"/>
      <c r="M159" s="95"/>
    </row>
    <row r="160" spans="1:13" s="1" customFormat="1" ht="16.5" customHeight="1">
      <c r="A160" s="93" t="s">
        <v>58</v>
      </c>
      <c r="B160" s="94"/>
      <c r="C160" s="94"/>
      <c r="D160" s="94"/>
      <c r="E160" s="94"/>
      <c r="F160" s="94"/>
      <c r="G160" s="94"/>
      <c r="H160" s="94"/>
      <c r="I160" s="94"/>
      <c r="J160" s="94"/>
      <c r="K160" s="94"/>
      <c r="L160" s="94"/>
      <c r="M160" s="95"/>
    </row>
    <row r="161" spans="1:13" s="1" customFormat="1" ht="16.5" customHeight="1">
      <c r="A161" s="93" t="s">
        <v>59</v>
      </c>
      <c r="B161" s="94"/>
      <c r="C161" s="94"/>
      <c r="D161" s="94"/>
      <c r="E161" s="94"/>
      <c r="F161" s="94"/>
      <c r="G161" s="94"/>
      <c r="H161" s="94"/>
      <c r="I161" s="94"/>
      <c r="J161" s="94"/>
      <c r="K161" s="94"/>
      <c r="L161" s="94"/>
      <c r="M161" s="95"/>
    </row>
    <row r="162" spans="1:13" ht="16.5" customHeight="1">
      <c r="A162" s="106" t="s">
        <v>29</v>
      </c>
      <c r="B162" s="107"/>
      <c r="C162" s="107"/>
      <c r="D162" s="107"/>
      <c r="E162" s="107"/>
      <c r="F162" s="107"/>
      <c r="G162" s="107"/>
      <c r="H162" s="107"/>
      <c r="I162" s="107"/>
      <c r="J162" s="107"/>
      <c r="K162" s="107"/>
      <c r="L162" s="107"/>
      <c r="M162" s="108"/>
    </row>
    <row r="163" spans="1:13" ht="8.25" customHeight="1" thickBot="1">
      <c r="A163" s="109"/>
      <c r="B163" s="110"/>
      <c r="C163" s="110"/>
      <c r="D163" s="110"/>
      <c r="E163" s="110"/>
      <c r="F163" s="110"/>
      <c r="G163" s="110"/>
      <c r="H163" s="110"/>
      <c r="I163" s="110"/>
      <c r="J163" s="110"/>
      <c r="K163" s="110"/>
      <c r="L163" s="110"/>
      <c r="M163" s="111"/>
    </row>
    <row r="164" spans="1:13" ht="18.75" customHeight="1" thickBot="1">
      <c r="A164" s="72" t="s">
        <v>30</v>
      </c>
      <c r="B164" s="73"/>
      <c r="C164" s="73"/>
      <c r="D164" s="73"/>
      <c r="E164" s="73"/>
      <c r="F164" s="73"/>
      <c r="G164" s="73"/>
      <c r="H164" s="73"/>
      <c r="I164" s="73"/>
      <c r="J164" s="73"/>
      <c r="K164" s="73"/>
      <c r="L164" s="73"/>
      <c r="M164" s="74"/>
    </row>
    <row r="165" spans="1:13" ht="24" customHeight="1" thickBot="1">
      <c r="A165" s="72" t="s">
        <v>31</v>
      </c>
      <c r="B165" s="73"/>
      <c r="C165" s="73"/>
      <c r="D165" s="73"/>
      <c r="E165" s="73"/>
      <c r="F165" s="73"/>
      <c r="G165" s="73"/>
      <c r="H165" s="73"/>
      <c r="I165" s="73"/>
      <c r="J165" s="73"/>
      <c r="K165" s="73"/>
      <c r="L165" s="73"/>
      <c r="M165" s="74"/>
    </row>
    <row r="166" spans="1:13" ht="24.75" customHeight="1" thickBot="1">
      <c r="A166" s="72" t="s">
        <v>192</v>
      </c>
      <c r="B166" s="73"/>
      <c r="C166" s="73"/>
      <c r="D166" s="73"/>
      <c r="E166" s="73"/>
      <c r="F166" s="73"/>
      <c r="G166" s="73"/>
      <c r="H166" s="73"/>
      <c r="I166" s="73"/>
      <c r="J166" s="73"/>
      <c r="K166" s="73"/>
      <c r="L166" s="73"/>
      <c r="M166" s="74"/>
    </row>
    <row r="167" spans="1:13" ht="24" customHeight="1" thickBot="1">
      <c r="A167" s="60" t="s">
        <v>46</v>
      </c>
      <c r="B167" s="61"/>
      <c r="C167" s="61"/>
      <c r="D167" s="61"/>
      <c r="E167" s="61"/>
      <c r="F167" s="61"/>
      <c r="G167" s="61"/>
      <c r="H167" s="61"/>
      <c r="I167" s="61"/>
      <c r="J167" s="61"/>
      <c r="K167" s="61"/>
      <c r="L167" s="61"/>
      <c r="M167" s="62"/>
    </row>
    <row r="168" spans="1:13" ht="11.1" customHeight="1">
      <c r="A168" s="103" t="s">
        <v>47</v>
      </c>
      <c r="B168" s="103"/>
      <c r="C168" s="103"/>
      <c r="D168" s="103"/>
      <c r="E168" s="103"/>
      <c r="F168" s="103"/>
      <c r="G168" s="103"/>
      <c r="H168" s="103"/>
      <c r="I168" s="103"/>
      <c r="J168" s="103"/>
      <c r="K168" s="103"/>
      <c r="L168" s="103"/>
      <c r="M168" s="103"/>
    </row>
    <row r="169" spans="1:13" ht="11.1" customHeight="1">
      <c r="A169" s="104" t="s">
        <v>48</v>
      </c>
      <c r="B169" s="104"/>
      <c r="C169" s="104"/>
      <c r="D169" s="104"/>
      <c r="E169" s="104"/>
      <c r="F169" s="104"/>
      <c r="G169" s="104"/>
      <c r="H169" s="104"/>
      <c r="I169" s="104"/>
      <c r="J169" s="104"/>
      <c r="K169" s="104"/>
      <c r="L169" s="104"/>
      <c r="M169" s="104"/>
    </row>
    <row r="170" spans="1:13" ht="11.1" customHeight="1">
      <c r="A170" s="105" t="s">
        <v>49</v>
      </c>
      <c r="B170" s="105"/>
      <c r="C170" s="105"/>
      <c r="D170" s="105"/>
      <c r="E170" s="105"/>
      <c r="F170" s="105"/>
      <c r="G170" s="105"/>
      <c r="H170" s="105"/>
      <c r="I170" s="105"/>
      <c r="J170" s="105"/>
      <c r="K170" s="105"/>
      <c r="L170" s="105"/>
      <c r="M170" s="105"/>
    </row>
    <row r="171" spans="1:13" ht="11.1" customHeight="1">
      <c r="A171" s="105" t="s">
        <v>50</v>
      </c>
      <c r="B171" s="105"/>
      <c r="C171" s="105"/>
      <c r="D171" s="105"/>
      <c r="E171" s="105"/>
      <c r="F171" s="105"/>
      <c r="G171" s="105"/>
      <c r="H171" s="105"/>
      <c r="I171" s="105"/>
      <c r="J171" s="105"/>
      <c r="K171" s="105"/>
      <c r="L171" s="105"/>
      <c r="M171" s="105"/>
    </row>
    <row r="172" spans="1:13" ht="11.1" customHeight="1">
      <c r="A172" s="104" t="s">
        <v>51</v>
      </c>
      <c r="B172" s="104"/>
      <c r="C172" s="104"/>
      <c r="D172" s="104"/>
      <c r="E172" s="104"/>
      <c r="F172" s="104"/>
      <c r="G172" s="104"/>
      <c r="H172" s="104"/>
      <c r="I172" s="104"/>
      <c r="J172" s="104"/>
      <c r="K172" s="104"/>
      <c r="L172" s="104"/>
      <c r="M172" s="104"/>
    </row>
    <row r="173" spans="1:13" ht="11.1" customHeight="1">
      <c r="A173" s="104" t="s">
        <v>52</v>
      </c>
      <c r="B173" s="104"/>
      <c r="C173" s="104"/>
      <c r="D173" s="104"/>
      <c r="E173" s="104"/>
      <c r="F173" s="104"/>
      <c r="G173" s="104"/>
      <c r="H173" s="104"/>
      <c r="I173" s="104"/>
      <c r="J173" s="104"/>
      <c r="K173" s="104"/>
      <c r="L173" s="104"/>
      <c r="M173" s="104"/>
    </row>
    <row r="174" spans="1:13" ht="11.1" customHeight="1">
      <c r="A174" s="104" t="s">
        <v>53</v>
      </c>
      <c r="B174" s="104"/>
      <c r="C174" s="104"/>
      <c r="D174" s="104"/>
      <c r="E174" s="104"/>
      <c r="F174" s="104"/>
      <c r="G174" s="104"/>
      <c r="H174" s="104"/>
      <c r="I174" s="104"/>
      <c r="J174" s="104"/>
      <c r="K174" s="104"/>
      <c r="L174" s="104"/>
      <c r="M174" s="104"/>
    </row>
    <row r="175" spans="1:13" ht="11.1" customHeight="1">
      <c r="A175" s="101" t="s">
        <v>54</v>
      </c>
      <c r="B175" s="101"/>
      <c r="C175" s="101"/>
      <c r="D175" s="101"/>
      <c r="E175" s="101"/>
      <c r="F175" s="101"/>
      <c r="G175" s="101"/>
      <c r="H175" s="101"/>
      <c r="I175" s="101"/>
      <c r="J175" s="101"/>
      <c r="K175" s="101"/>
      <c r="L175" s="101"/>
      <c r="M175" s="101"/>
    </row>
    <row r="176" spans="1:13" ht="11.1" customHeight="1">
      <c r="A176" s="101" t="s">
        <v>55</v>
      </c>
      <c r="B176" s="101"/>
      <c r="C176" s="101"/>
      <c r="D176" s="101"/>
      <c r="E176" s="101"/>
      <c r="F176" s="101"/>
      <c r="G176" s="101"/>
      <c r="H176" s="101"/>
      <c r="I176" s="101"/>
      <c r="J176" s="101"/>
      <c r="K176" s="101"/>
      <c r="L176" s="101"/>
      <c r="M176" s="101"/>
    </row>
    <row r="177" spans="1:15" ht="19.5" customHeight="1">
      <c r="A177" s="69" t="s">
        <v>0</v>
      </c>
      <c r="B177" s="69"/>
      <c r="C177" s="69"/>
      <c r="D177" s="69"/>
      <c r="E177" s="69"/>
      <c r="F177" s="69"/>
      <c r="G177" s="69"/>
      <c r="H177" s="69"/>
      <c r="I177" s="69"/>
      <c r="J177" s="69"/>
      <c r="K177" s="69"/>
      <c r="L177" s="69"/>
      <c r="M177" s="69"/>
    </row>
    <row r="178" spans="1:15" ht="20.100000000000001" customHeight="1">
      <c r="A178" s="4" t="s">
        <v>32</v>
      </c>
      <c r="B178" s="5">
        <f>+B134+1</f>
        <v>70</v>
      </c>
      <c r="C178" s="35"/>
      <c r="D178" s="35"/>
      <c r="E178" s="35"/>
      <c r="F178" s="35"/>
      <c r="G178" s="35"/>
      <c r="H178" s="35"/>
      <c r="I178" s="35"/>
      <c r="J178" s="35"/>
      <c r="K178" s="35"/>
      <c r="L178" s="35"/>
      <c r="M178" s="35"/>
    </row>
    <row r="179" spans="1:15" ht="24" customHeight="1" thickBot="1">
      <c r="A179" s="4" t="s">
        <v>33</v>
      </c>
      <c r="H179" s="70" t="s">
        <v>34</v>
      </c>
      <c r="I179" s="70"/>
      <c r="J179" s="70"/>
      <c r="K179" s="102">
        <f>+K135+1</f>
        <v>45996</v>
      </c>
      <c r="L179" s="102"/>
      <c r="M179" s="102"/>
      <c r="O179" s="7"/>
    </row>
    <row r="180" spans="1:15" ht="33.75" customHeight="1" thickBot="1">
      <c r="A180" s="80" t="s">
        <v>1</v>
      </c>
      <c r="B180" s="81"/>
      <c r="C180" s="82"/>
      <c r="D180" s="86" t="str">
        <f>+D136</f>
        <v>光明國中B與C區5樓老舊廁所整修工程</v>
      </c>
      <c r="E180" s="87"/>
      <c r="F180" s="87"/>
      <c r="G180" s="88"/>
      <c r="H180" s="80" t="s">
        <v>2</v>
      </c>
      <c r="I180" s="81"/>
      <c r="J180" s="82"/>
      <c r="K180" s="80" t="s">
        <v>35</v>
      </c>
      <c r="L180" s="81"/>
      <c r="M180" s="82"/>
    </row>
    <row r="181" spans="1:15" ht="33.75" customHeight="1" thickBot="1">
      <c r="A181" s="8" t="s">
        <v>3</v>
      </c>
      <c r="B181" s="36">
        <f>+B137</f>
        <v>145</v>
      </c>
      <c r="C181" s="10" t="s">
        <v>36</v>
      </c>
      <c r="D181" s="80" t="s">
        <v>4</v>
      </c>
      <c r="E181" s="89"/>
      <c r="F181" s="37">
        <f>+F137+1</f>
        <v>70</v>
      </c>
      <c r="G181" s="12" t="s">
        <v>36</v>
      </c>
      <c r="H181" s="13" t="s">
        <v>5</v>
      </c>
      <c r="I181" s="36">
        <f>+B181-F181</f>
        <v>75</v>
      </c>
      <c r="J181" s="10" t="s">
        <v>36</v>
      </c>
      <c r="K181" s="80" t="s">
        <v>6</v>
      </c>
      <c r="L181" s="82"/>
      <c r="M181" s="13">
        <f>+M137</f>
        <v>15</v>
      </c>
    </row>
    <row r="182" spans="1:15" ht="24" customHeight="1" thickBot="1">
      <c r="A182" s="80" t="s">
        <v>7</v>
      </c>
      <c r="B182" s="81"/>
      <c r="C182" s="82"/>
      <c r="D182" s="80" t="str">
        <f>+D138</f>
        <v>114.9.27</v>
      </c>
      <c r="E182" s="81"/>
      <c r="F182" s="81"/>
      <c r="G182" s="82"/>
      <c r="H182" s="80" t="s">
        <v>8</v>
      </c>
      <c r="I182" s="81"/>
      <c r="J182" s="82"/>
      <c r="K182" s="80" t="str">
        <f>+K138</f>
        <v>115.2.18</v>
      </c>
      <c r="L182" s="81"/>
      <c r="M182" s="82"/>
    </row>
    <row r="183" spans="1:15" ht="24" customHeight="1" thickBot="1">
      <c r="A183" s="80" t="s">
        <v>37</v>
      </c>
      <c r="B183" s="81"/>
      <c r="C183" s="82"/>
      <c r="D183" s="83">
        <v>0.32400000000000001</v>
      </c>
      <c r="E183" s="84"/>
      <c r="F183" s="84"/>
      <c r="G183" s="85"/>
      <c r="H183" s="80" t="s">
        <v>38</v>
      </c>
      <c r="I183" s="81"/>
      <c r="J183" s="82"/>
      <c r="K183" s="83">
        <f>+K139+1.3%+0.4%</f>
        <v>0.43900000000000022</v>
      </c>
      <c r="L183" s="84"/>
      <c r="M183" s="85"/>
    </row>
    <row r="184" spans="1:15" ht="24" customHeight="1" thickBot="1">
      <c r="A184" s="72" t="s">
        <v>9</v>
      </c>
      <c r="B184" s="73"/>
      <c r="C184" s="73"/>
      <c r="D184" s="73"/>
      <c r="E184" s="73"/>
      <c r="F184" s="73"/>
      <c r="G184" s="73"/>
      <c r="H184" s="73"/>
      <c r="I184" s="73"/>
      <c r="J184" s="73"/>
      <c r="K184" s="73"/>
      <c r="L184" s="73"/>
      <c r="M184" s="74"/>
    </row>
    <row r="185" spans="1:15" ht="35.25" customHeight="1" thickBot="1">
      <c r="A185" s="75" t="s">
        <v>10</v>
      </c>
      <c r="B185" s="76"/>
      <c r="C185" s="76"/>
      <c r="D185" s="77"/>
      <c r="E185" s="14" t="s">
        <v>11</v>
      </c>
      <c r="F185" s="75" t="s">
        <v>12</v>
      </c>
      <c r="G185" s="77"/>
      <c r="H185" s="75" t="s">
        <v>13</v>
      </c>
      <c r="I185" s="77"/>
      <c r="J185" s="78" t="s">
        <v>14</v>
      </c>
      <c r="K185" s="79"/>
      <c r="L185" s="75" t="s">
        <v>15</v>
      </c>
      <c r="M185" s="77"/>
    </row>
    <row r="186" spans="1:15" ht="27" customHeight="1" thickBot="1">
      <c r="A186" s="141" t="s">
        <v>163</v>
      </c>
      <c r="B186" s="149"/>
      <c r="C186" s="149"/>
      <c r="D186" s="150"/>
      <c r="E186" s="2" t="s">
        <v>126</v>
      </c>
      <c r="F186" s="56">
        <v>190</v>
      </c>
      <c r="G186" s="57"/>
      <c r="H186" s="56">
        <v>20</v>
      </c>
      <c r="I186" s="57"/>
      <c r="J186" s="56">
        <v>120</v>
      </c>
      <c r="K186" s="57"/>
      <c r="L186" s="58"/>
      <c r="M186" s="59"/>
    </row>
    <row r="187" spans="1:15" ht="26.1" customHeight="1" thickBot="1">
      <c r="A187" s="123" t="s">
        <v>154</v>
      </c>
      <c r="B187" s="124"/>
      <c r="C187" s="124"/>
      <c r="D187" s="125"/>
      <c r="E187" s="15" t="s">
        <v>126</v>
      </c>
      <c r="F187" s="126">
        <v>175</v>
      </c>
      <c r="G187" s="127"/>
      <c r="H187" s="126">
        <v>50</v>
      </c>
      <c r="I187" s="127"/>
      <c r="J187" s="126">
        <v>100</v>
      </c>
      <c r="K187" s="127"/>
      <c r="L187" s="128"/>
      <c r="M187" s="129"/>
    </row>
    <row r="188" spans="1:15" ht="24.95" customHeight="1" thickTop="1" thickBot="1">
      <c r="A188" s="130" t="s">
        <v>16</v>
      </c>
      <c r="B188" s="67"/>
      <c r="C188" s="67"/>
      <c r="D188" s="68"/>
      <c r="E188" s="52"/>
      <c r="F188" s="131"/>
      <c r="G188" s="132"/>
      <c r="H188" s="131"/>
      <c r="I188" s="132"/>
      <c r="J188" s="131"/>
      <c r="K188" s="132"/>
      <c r="L188" s="131"/>
      <c r="M188" s="133"/>
    </row>
    <row r="189" spans="1:15" ht="24.95" customHeight="1" thickBot="1">
      <c r="A189" s="134" t="s">
        <v>17</v>
      </c>
      <c r="B189" s="135"/>
      <c r="C189" s="135"/>
      <c r="D189" s="59"/>
      <c r="E189" s="52"/>
      <c r="F189" s="58"/>
      <c r="G189" s="59"/>
      <c r="H189" s="58"/>
      <c r="I189" s="59"/>
      <c r="J189" s="58"/>
      <c r="K189" s="59"/>
      <c r="L189" s="58"/>
      <c r="M189" s="136"/>
    </row>
    <row r="190" spans="1:15" ht="24.95" customHeight="1" thickBot="1">
      <c r="A190" s="118" t="s">
        <v>18</v>
      </c>
      <c r="B190" s="119"/>
      <c r="C190" s="119"/>
      <c r="D190" s="120"/>
      <c r="E190" s="24"/>
      <c r="F190" s="121"/>
      <c r="G190" s="120"/>
      <c r="H190" s="121"/>
      <c r="I190" s="120"/>
      <c r="J190" s="121"/>
      <c r="K190" s="120"/>
      <c r="L190" s="121"/>
      <c r="M190" s="122"/>
    </row>
    <row r="191" spans="1:15" ht="24" customHeight="1" thickTop="1" thickBot="1">
      <c r="A191" s="66" t="s">
        <v>19</v>
      </c>
      <c r="B191" s="67"/>
      <c r="C191" s="67"/>
      <c r="D191" s="67"/>
      <c r="E191" s="67"/>
      <c r="F191" s="67"/>
      <c r="G191" s="67"/>
      <c r="H191" s="67"/>
      <c r="I191" s="67"/>
      <c r="J191" s="67"/>
      <c r="K191" s="67"/>
      <c r="L191" s="67"/>
      <c r="M191" s="68"/>
    </row>
    <row r="192" spans="1:15" ht="35.25" customHeight="1" thickBot="1">
      <c r="A192" s="75" t="s">
        <v>20</v>
      </c>
      <c r="B192" s="76"/>
      <c r="C192" s="76"/>
      <c r="D192" s="77"/>
      <c r="E192" s="14" t="s">
        <v>11</v>
      </c>
      <c r="F192" s="75" t="s">
        <v>39</v>
      </c>
      <c r="G192" s="77"/>
      <c r="H192" s="75" t="s">
        <v>21</v>
      </c>
      <c r="I192" s="77"/>
      <c r="J192" s="78" t="s">
        <v>22</v>
      </c>
      <c r="K192" s="79"/>
      <c r="L192" s="75" t="s">
        <v>15</v>
      </c>
      <c r="M192" s="77"/>
    </row>
    <row r="193" spans="1:13" ht="24" customHeight="1" thickBot="1">
      <c r="A193" s="96"/>
      <c r="B193" s="97"/>
      <c r="C193" s="97"/>
      <c r="D193" s="98"/>
      <c r="E193" s="52"/>
      <c r="F193" s="58"/>
      <c r="G193" s="59"/>
      <c r="H193" s="58"/>
      <c r="I193" s="59"/>
      <c r="J193" s="56"/>
      <c r="K193" s="57"/>
      <c r="L193" s="58"/>
      <c r="M193" s="59"/>
    </row>
    <row r="194" spans="1:13" ht="24" customHeight="1" thickBot="1">
      <c r="A194" s="96"/>
      <c r="B194" s="97"/>
      <c r="C194" s="97"/>
      <c r="D194" s="98"/>
      <c r="E194" s="52"/>
      <c r="F194" s="58"/>
      <c r="G194" s="59"/>
      <c r="H194" s="58"/>
      <c r="I194" s="59"/>
      <c r="J194" s="56"/>
      <c r="K194" s="57"/>
      <c r="L194" s="58"/>
      <c r="M194" s="59"/>
    </row>
    <row r="195" spans="1:13" ht="24" customHeight="1" thickBot="1">
      <c r="A195" s="60" t="s">
        <v>23</v>
      </c>
      <c r="B195" s="61"/>
      <c r="C195" s="61"/>
      <c r="D195" s="61"/>
      <c r="E195" s="61"/>
      <c r="F195" s="61"/>
      <c r="G195" s="61"/>
      <c r="H195" s="61"/>
      <c r="I195" s="61"/>
      <c r="J195" s="61"/>
      <c r="K195" s="61"/>
      <c r="L195" s="61"/>
      <c r="M195" s="62"/>
    </row>
    <row r="196" spans="1:13" ht="35.25" customHeight="1" thickBot="1">
      <c r="A196" s="75" t="s">
        <v>24</v>
      </c>
      <c r="B196" s="77"/>
      <c r="C196" s="75" t="s">
        <v>25</v>
      </c>
      <c r="D196" s="77"/>
      <c r="E196" s="75" t="s">
        <v>26</v>
      </c>
      <c r="F196" s="76"/>
      <c r="G196" s="77"/>
      <c r="H196" s="75" t="s">
        <v>27</v>
      </c>
      <c r="I196" s="77"/>
      <c r="J196" s="78" t="s">
        <v>21</v>
      </c>
      <c r="K196" s="79"/>
      <c r="L196" s="75" t="s">
        <v>22</v>
      </c>
      <c r="M196" s="77"/>
    </row>
    <row r="197" spans="1:13" s="18" customFormat="1" ht="24.75" customHeight="1" thickBot="1">
      <c r="A197" s="99" t="s">
        <v>119</v>
      </c>
      <c r="B197" s="137"/>
      <c r="C197" s="56">
        <v>2</v>
      </c>
      <c r="D197" s="57"/>
      <c r="E197" s="56">
        <v>46</v>
      </c>
      <c r="F197" s="100"/>
      <c r="G197" s="57"/>
      <c r="H197" s="56"/>
      <c r="I197" s="57"/>
      <c r="J197" s="56"/>
      <c r="K197" s="57"/>
      <c r="L197" s="56"/>
      <c r="M197" s="57"/>
    </row>
    <row r="198" spans="1:13" s="18" customFormat="1" ht="24.75" customHeight="1" thickBot="1">
      <c r="A198" s="99" t="s">
        <v>155</v>
      </c>
      <c r="B198" s="98"/>
      <c r="C198" s="56">
        <v>2</v>
      </c>
      <c r="D198" s="57"/>
      <c r="E198" s="56">
        <v>4</v>
      </c>
      <c r="F198" s="100"/>
      <c r="G198" s="57"/>
      <c r="H198" s="56"/>
      <c r="I198" s="57"/>
      <c r="J198" s="56"/>
      <c r="K198" s="57"/>
      <c r="L198" s="56"/>
      <c r="M198" s="57"/>
    </row>
    <row r="199" spans="1:13" ht="33" customHeight="1" thickBot="1">
      <c r="A199" s="112" t="s">
        <v>40</v>
      </c>
      <c r="B199" s="113"/>
      <c r="C199" s="113"/>
      <c r="D199" s="113"/>
      <c r="E199" s="113"/>
      <c r="F199" s="113"/>
      <c r="G199" s="113"/>
      <c r="H199" s="113"/>
      <c r="I199" s="113"/>
      <c r="J199" s="113"/>
      <c r="K199" s="113"/>
      <c r="L199" s="113"/>
      <c r="M199" s="114"/>
    </row>
    <row r="200" spans="1:13" ht="16.5" customHeight="1">
      <c r="A200" s="115" t="s">
        <v>41</v>
      </c>
      <c r="B200" s="116"/>
      <c r="C200" s="116"/>
      <c r="D200" s="116"/>
      <c r="E200" s="116"/>
      <c r="F200" s="116"/>
      <c r="G200" s="116"/>
      <c r="H200" s="116"/>
      <c r="I200" s="116"/>
      <c r="J200" s="116"/>
      <c r="K200" s="116"/>
      <c r="L200" s="116"/>
      <c r="M200" s="117"/>
    </row>
    <row r="201" spans="1:13" ht="16.5" customHeight="1">
      <c r="A201" s="90" t="s">
        <v>28</v>
      </c>
      <c r="B201" s="91"/>
      <c r="C201" s="91"/>
      <c r="D201" s="91"/>
      <c r="E201" s="91"/>
      <c r="F201" s="91"/>
      <c r="G201" s="91"/>
      <c r="H201" s="91"/>
      <c r="I201" s="91"/>
      <c r="J201" s="91"/>
      <c r="K201" s="91"/>
      <c r="L201" s="91"/>
      <c r="M201" s="92"/>
    </row>
    <row r="202" spans="1:13" s="1" customFormat="1" ht="16.5" customHeight="1">
      <c r="A202" s="93" t="s">
        <v>56</v>
      </c>
      <c r="B202" s="94"/>
      <c r="C202" s="94"/>
      <c r="D202" s="94"/>
      <c r="E202" s="94"/>
      <c r="F202" s="94"/>
      <c r="G202" s="94"/>
      <c r="H202" s="94"/>
      <c r="I202" s="94"/>
      <c r="J202" s="94"/>
      <c r="K202" s="94"/>
      <c r="L202" s="94"/>
      <c r="M202" s="95"/>
    </row>
    <row r="203" spans="1:13" s="1" customFormat="1" ht="16.5" customHeight="1">
      <c r="A203" s="93" t="s">
        <v>57</v>
      </c>
      <c r="B203" s="94"/>
      <c r="C203" s="94"/>
      <c r="D203" s="94"/>
      <c r="E203" s="94"/>
      <c r="F203" s="94"/>
      <c r="G203" s="94"/>
      <c r="H203" s="94"/>
      <c r="I203" s="94"/>
      <c r="J203" s="94"/>
      <c r="K203" s="94"/>
      <c r="L203" s="94"/>
      <c r="M203" s="95"/>
    </row>
    <row r="204" spans="1:13" s="1" customFormat="1" ht="16.5" customHeight="1">
      <c r="A204" s="93" t="s">
        <v>58</v>
      </c>
      <c r="B204" s="94"/>
      <c r="C204" s="94"/>
      <c r="D204" s="94"/>
      <c r="E204" s="94"/>
      <c r="F204" s="94"/>
      <c r="G204" s="94"/>
      <c r="H204" s="94"/>
      <c r="I204" s="94"/>
      <c r="J204" s="94"/>
      <c r="K204" s="94"/>
      <c r="L204" s="94"/>
      <c r="M204" s="95"/>
    </row>
    <row r="205" spans="1:13" s="1" customFormat="1" ht="16.5" customHeight="1">
      <c r="A205" s="93" t="s">
        <v>59</v>
      </c>
      <c r="B205" s="94"/>
      <c r="C205" s="94"/>
      <c r="D205" s="94"/>
      <c r="E205" s="94"/>
      <c r="F205" s="94"/>
      <c r="G205" s="94"/>
      <c r="H205" s="94"/>
      <c r="I205" s="94"/>
      <c r="J205" s="94"/>
      <c r="K205" s="94"/>
      <c r="L205" s="94"/>
      <c r="M205" s="95"/>
    </row>
    <row r="206" spans="1:13" ht="16.5" customHeight="1">
      <c r="A206" s="106" t="s">
        <v>29</v>
      </c>
      <c r="B206" s="107"/>
      <c r="C206" s="107"/>
      <c r="D206" s="107"/>
      <c r="E206" s="107"/>
      <c r="F206" s="107"/>
      <c r="G206" s="107"/>
      <c r="H206" s="107"/>
      <c r="I206" s="107"/>
      <c r="J206" s="107"/>
      <c r="K206" s="107"/>
      <c r="L206" s="107"/>
      <c r="M206" s="108"/>
    </row>
    <row r="207" spans="1:13" ht="9.75" customHeight="1" thickBot="1">
      <c r="A207" s="109"/>
      <c r="B207" s="110"/>
      <c r="C207" s="110"/>
      <c r="D207" s="110"/>
      <c r="E207" s="110"/>
      <c r="F207" s="110"/>
      <c r="G207" s="110"/>
      <c r="H207" s="110"/>
      <c r="I207" s="110"/>
      <c r="J207" s="110"/>
      <c r="K207" s="110"/>
      <c r="L207" s="110"/>
      <c r="M207" s="111"/>
    </row>
    <row r="208" spans="1:13" ht="18.75" customHeight="1" thickBot="1">
      <c r="A208" s="72" t="s">
        <v>30</v>
      </c>
      <c r="B208" s="73"/>
      <c r="C208" s="73"/>
      <c r="D208" s="73"/>
      <c r="E208" s="73"/>
      <c r="F208" s="73"/>
      <c r="G208" s="73"/>
      <c r="H208" s="73"/>
      <c r="I208" s="73"/>
      <c r="J208" s="73"/>
      <c r="K208" s="73"/>
      <c r="L208" s="73"/>
      <c r="M208" s="74"/>
    </row>
    <row r="209" spans="1:15" ht="24" customHeight="1" thickBot="1">
      <c r="A209" s="72" t="s">
        <v>31</v>
      </c>
      <c r="B209" s="73"/>
      <c r="C209" s="73"/>
      <c r="D209" s="73"/>
      <c r="E209" s="73"/>
      <c r="F209" s="73"/>
      <c r="G209" s="73"/>
      <c r="H209" s="73"/>
      <c r="I209" s="73"/>
      <c r="J209" s="73"/>
      <c r="K209" s="73"/>
      <c r="L209" s="73"/>
      <c r="M209" s="74"/>
    </row>
    <row r="210" spans="1:15" ht="27" customHeight="1" thickBot="1">
      <c r="A210" s="72" t="s">
        <v>156</v>
      </c>
      <c r="B210" s="73"/>
      <c r="C210" s="73"/>
      <c r="D210" s="73"/>
      <c r="E210" s="73"/>
      <c r="F210" s="73"/>
      <c r="G210" s="73"/>
      <c r="H210" s="73"/>
      <c r="I210" s="73"/>
      <c r="J210" s="73"/>
      <c r="K210" s="73"/>
      <c r="L210" s="73"/>
      <c r="M210" s="74"/>
    </row>
    <row r="211" spans="1:15" ht="24" customHeight="1" thickBot="1">
      <c r="A211" s="60" t="s">
        <v>46</v>
      </c>
      <c r="B211" s="61"/>
      <c r="C211" s="61"/>
      <c r="D211" s="61"/>
      <c r="E211" s="61"/>
      <c r="F211" s="61"/>
      <c r="G211" s="61"/>
      <c r="H211" s="61"/>
      <c r="I211" s="61"/>
      <c r="J211" s="61"/>
      <c r="K211" s="61"/>
      <c r="L211" s="61"/>
      <c r="M211" s="62"/>
    </row>
    <row r="212" spans="1:15" ht="11.1" customHeight="1">
      <c r="A212" s="103" t="s">
        <v>47</v>
      </c>
      <c r="B212" s="103"/>
      <c r="C212" s="103"/>
      <c r="D212" s="103"/>
      <c r="E212" s="103"/>
      <c r="F212" s="103"/>
      <c r="G212" s="103"/>
      <c r="H212" s="103"/>
      <c r="I212" s="103"/>
      <c r="J212" s="103"/>
      <c r="K212" s="103"/>
      <c r="L212" s="103"/>
      <c r="M212" s="103"/>
    </row>
    <row r="213" spans="1:15" ht="11.1" customHeight="1">
      <c r="A213" s="104" t="s">
        <v>48</v>
      </c>
      <c r="B213" s="104"/>
      <c r="C213" s="104"/>
      <c r="D213" s="104"/>
      <c r="E213" s="104"/>
      <c r="F213" s="104"/>
      <c r="G213" s="104"/>
      <c r="H213" s="104"/>
      <c r="I213" s="104"/>
      <c r="J213" s="104"/>
      <c r="K213" s="104"/>
      <c r="L213" s="104"/>
      <c r="M213" s="104"/>
    </row>
    <row r="214" spans="1:15" ht="11.1" customHeight="1">
      <c r="A214" s="105" t="s">
        <v>49</v>
      </c>
      <c r="B214" s="105"/>
      <c r="C214" s="105"/>
      <c r="D214" s="105"/>
      <c r="E214" s="105"/>
      <c r="F214" s="105"/>
      <c r="G214" s="105"/>
      <c r="H214" s="105"/>
      <c r="I214" s="105"/>
      <c r="J214" s="105"/>
      <c r="K214" s="105"/>
      <c r="L214" s="105"/>
      <c r="M214" s="105"/>
    </row>
    <row r="215" spans="1:15" ht="11.1" customHeight="1">
      <c r="A215" s="105" t="s">
        <v>50</v>
      </c>
      <c r="B215" s="105"/>
      <c r="C215" s="105"/>
      <c r="D215" s="105"/>
      <c r="E215" s="105"/>
      <c r="F215" s="105"/>
      <c r="G215" s="105"/>
      <c r="H215" s="105"/>
      <c r="I215" s="105"/>
      <c r="J215" s="105"/>
      <c r="K215" s="105"/>
      <c r="L215" s="105"/>
      <c r="M215" s="105"/>
    </row>
    <row r="216" spans="1:15" ht="11.1" customHeight="1">
      <c r="A216" s="104" t="s">
        <v>51</v>
      </c>
      <c r="B216" s="104"/>
      <c r="C216" s="104"/>
      <c r="D216" s="104"/>
      <c r="E216" s="104"/>
      <c r="F216" s="104"/>
      <c r="G216" s="104"/>
      <c r="H216" s="104"/>
      <c r="I216" s="104"/>
      <c r="J216" s="104"/>
      <c r="K216" s="104"/>
      <c r="L216" s="104"/>
      <c r="M216" s="104"/>
    </row>
    <row r="217" spans="1:15" ht="11.1" customHeight="1">
      <c r="A217" s="104" t="s">
        <v>52</v>
      </c>
      <c r="B217" s="104"/>
      <c r="C217" s="104"/>
      <c r="D217" s="104"/>
      <c r="E217" s="104"/>
      <c r="F217" s="104"/>
      <c r="G217" s="104"/>
      <c r="H217" s="104"/>
      <c r="I217" s="104"/>
      <c r="J217" s="104"/>
      <c r="K217" s="104"/>
      <c r="L217" s="104"/>
      <c r="M217" s="104"/>
    </row>
    <row r="218" spans="1:15" ht="11.1" customHeight="1">
      <c r="A218" s="104" t="s">
        <v>53</v>
      </c>
      <c r="B218" s="104"/>
      <c r="C218" s="104"/>
      <c r="D218" s="104"/>
      <c r="E218" s="104"/>
      <c r="F218" s="104"/>
      <c r="G218" s="104"/>
      <c r="H218" s="104"/>
      <c r="I218" s="104"/>
      <c r="J218" s="104"/>
      <c r="K218" s="104"/>
      <c r="L218" s="104"/>
      <c r="M218" s="104"/>
    </row>
    <row r="219" spans="1:15" ht="11.1" customHeight="1">
      <c r="A219" s="101" t="s">
        <v>54</v>
      </c>
      <c r="B219" s="101"/>
      <c r="C219" s="101"/>
      <c r="D219" s="101"/>
      <c r="E219" s="101"/>
      <c r="F219" s="101"/>
      <c r="G219" s="101"/>
      <c r="H219" s="101"/>
      <c r="I219" s="101"/>
      <c r="J219" s="101"/>
      <c r="K219" s="101"/>
      <c r="L219" s="101"/>
      <c r="M219" s="101"/>
    </row>
    <row r="220" spans="1:15" ht="11.1" customHeight="1">
      <c r="A220" s="101" t="s">
        <v>55</v>
      </c>
      <c r="B220" s="101"/>
      <c r="C220" s="101"/>
      <c r="D220" s="101"/>
      <c r="E220" s="101"/>
      <c r="F220" s="101"/>
      <c r="G220" s="101"/>
      <c r="H220" s="101"/>
      <c r="I220" s="101"/>
      <c r="J220" s="101"/>
      <c r="K220" s="101"/>
      <c r="L220" s="101"/>
      <c r="M220" s="101"/>
    </row>
    <row r="221" spans="1:15" ht="19.5" customHeight="1">
      <c r="A221" s="69" t="s">
        <v>0</v>
      </c>
      <c r="B221" s="69"/>
      <c r="C221" s="69"/>
      <c r="D221" s="69"/>
      <c r="E221" s="69"/>
      <c r="F221" s="69"/>
      <c r="G221" s="69"/>
      <c r="H221" s="69"/>
      <c r="I221" s="69"/>
      <c r="J221" s="69"/>
      <c r="K221" s="69"/>
      <c r="L221" s="69"/>
      <c r="M221" s="69"/>
    </row>
    <row r="222" spans="1:15" ht="20.100000000000001" customHeight="1">
      <c r="A222" s="4" t="s">
        <v>32</v>
      </c>
      <c r="B222" s="5">
        <f>+B178+1</f>
        <v>71</v>
      </c>
      <c r="C222" s="35"/>
      <c r="D222" s="35"/>
      <c r="E222" s="35"/>
      <c r="F222" s="35"/>
      <c r="G222" s="35"/>
      <c r="H222" s="35"/>
      <c r="I222" s="35"/>
      <c r="J222" s="35"/>
      <c r="K222" s="35"/>
      <c r="L222" s="35"/>
      <c r="M222" s="35"/>
    </row>
    <row r="223" spans="1:15" ht="24" customHeight="1" thickBot="1">
      <c r="A223" s="4" t="s">
        <v>33</v>
      </c>
      <c r="H223" s="70" t="s">
        <v>34</v>
      </c>
      <c r="I223" s="70"/>
      <c r="J223" s="70"/>
      <c r="K223" s="102">
        <f>+K179+1</f>
        <v>45997</v>
      </c>
      <c r="L223" s="102"/>
      <c r="M223" s="102"/>
      <c r="O223" s="7"/>
    </row>
    <row r="224" spans="1:15" ht="33.75" customHeight="1" thickBot="1">
      <c r="A224" s="80" t="s">
        <v>1</v>
      </c>
      <c r="B224" s="81"/>
      <c r="C224" s="82"/>
      <c r="D224" s="86" t="str">
        <f>+D180</f>
        <v>光明國中B與C區5樓老舊廁所整修工程</v>
      </c>
      <c r="E224" s="87"/>
      <c r="F224" s="87"/>
      <c r="G224" s="88"/>
      <c r="H224" s="80" t="s">
        <v>2</v>
      </c>
      <c r="I224" s="81"/>
      <c r="J224" s="82"/>
      <c r="K224" s="80" t="s">
        <v>35</v>
      </c>
      <c r="L224" s="81"/>
      <c r="M224" s="82"/>
    </row>
    <row r="225" spans="1:13" ht="33.75" customHeight="1" thickBot="1">
      <c r="A225" s="8" t="s">
        <v>3</v>
      </c>
      <c r="B225" s="36">
        <f>+B181</f>
        <v>145</v>
      </c>
      <c r="C225" s="10" t="s">
        <v>36</v>
      </c>
      <c r="D225" s="80" t="s">
        <v>4</v>
      </c>
      <c r="E225" s="89"/>
      <c r="F225" s="37">
        <f>+F181+1</f>
        <v>71</v>
      </c>
      <c r="G225" s="12" t="s">
        <v>36</v>
      </c>
      <c r="H225" s="13" t="s">
        <v>5</v>
      </c>
      <c r="I225" s="36">
        <f>+B225-F225</f>
        <v>74</v>
      </c>
      <c r="J225" s="10" t="s">
        <v>36</v>
      </c>
      <c r="K225" s="80" t="s">
        <v>6</v>
      </c>
      <c r="L225" s="82"/>
      <c r="M225" s="13">
        <f>+M181</f>
        <v>15</v>
      </c>
    </row>
    <row r="226" spans="1:13" ht="24" customHeight="1" thickBot="1">
      <c r="A226" s="80" t="s">
        <v>7</v>
      </c>
      <c r="B226" s="81"/>
      <c r="C226" s="82"/>
      <c r="D226" s="80" t="str">
        <f>+D182</f>
        <v>114.9.27</v>
      </c>
      <c r="E226" s="81"/>
      <c r="F226" s="81"/>
      <c r="G226" s="82"/>
      <c r="H226" s="80" t="s">
        <v>8</v>
      </c>
      <c r="I226" s="81"/>
      <c r="J226" s="82"/>
      <c r="K226" s="80" t="str">
        <f>+K182</f>
        <v>115.2.18</v>
      </c>
      <c r="L226" s="81"/>
      <c r="M226" s="82"/>
    </row>
    <row r="227" spans="1:13" ht="24" customHeight="1" thickBot="1">
      <c r="A227" s="80" t="s">
        <v>37</v>
      </c>
      <c r="B227" s="81"/>
      <c r="C227" s="82"/>
      <c r="D227" s="83">
        <v>0.33</v>
      </c>
      <c r="E227" s="84"/>
      <c r="F227" s="84"/>
      <c r="G227" s="85"/>
      <c r="H227" s="80" t="s">
        <v>38</v>
      </c>
      <c r="I227" s="81"/>
      <c r="J227" s="82"/>
      <c r="K227" s="83">
        <f>+K183+0.4%</f>
        <v>0.44300000000000023</v>
      </c>
      <c r="L227" s="84"/>
      <c r="M227" s="85"/>
    </row>
    <row r="228" spans="1:13" ht="24" customHeight="1" thickBot="1">
      <c r="A228" s="72" t="s">
        <v>9</v>
      </c>
      <c r="B228" s="73"/>
      <c r="C228" s="73"/>
      <c r="D228" s="73"/>
      <c r="E228" s="73"/>
      <c r="F228" s="73"/>
      <c r="G228" s="73"/>
      <c r="H228" s="73"/>
      <c r="I228" s="73"/>
      <c r="J228" s="73"/>
      <c r="K228" s="73"/>
      <c r="L228" s="73"/>
      <c r="M228" s="74"/>
    </row>
    <row r="229" spans="1:13" ht="35.25" customHeight="1" thickBot="1">
      <c r="A229" s="75" t="s">
        <v>10</v>
      </c>
      <c r="B229" s="76"/>
      <c r="C229" s="76"/>
      <c r="D229" s="77"/>
      <c r="E229" s="14" t="s">
        <v>11</v>
      </c>
      <c r="F229" s="75" t="s">
        <v>12</v>
      </c>
      <c r="G229" s="77"/>
      <c r="H229" s="75" t="s">
        <v>13</v>
      </c>
      <c r="I229" s="77"/>
      <c r="J229" s="78" t="s">
        <v>14</v>
      </c>
      <c r="K229" s="79"/>
      <c r="L229" s="75" t="s">
        <v>15</v>
      </c>
      <c r="M229" s="77"/>
    </row>
    <row r="230" spans="1:13" ht="27" customHeight="1" thickBot="1">
      <c r="A230" s="141" t="s">
        <v>154</v>
      </c>
      <c r="B230" s="142"/>
      <c r="C230" s="142"/>
      <c r="D230" s="143"/>
      <c r="E230" s="2" t="s">
        <v>126</v>
      </c>
      <c r="F230" s="56">
        <v>175</v>
      </c>
      <c r="G230" s="57"/>
      <c r="H230" s="56">
        <v>75</v>
      </c>
      <c r="I230" s="57"/>
      <c r="J230" s="56">
        <v>175</v>
      </c>
      <c r="K230" s="57"/>
      <c r="L230" s="58"/>
      <c r="M230" s="59"/>
    </row>
    <row r="231" spans="1:13" ht="27.95" customHeight="1" thickBot="1">
      <c r="A231" s="151"/>
      <c r="B231" s="152"/>
      <c r="C231" s="152"/>
      <c r="D231" s="153"/>
      <c r="E231" s="15"/>
      <c r="F231" s="154"/>
      <c r="G231" s="155"/>
      <c r="H231" s="154"/>
      <c r="I231" s="155"/>
      <c r="J231" s="154"/>
      <c r="K231" s="155"/>
      <c r="L231" s="156"/>
      <c r="M231" s="157"/>
    </row>
    <row r="232" spans="1:13" ht="24.95" customHeight="1" thickTop="1" thickBot="1">
      <c r="A232" s="130" t="s">
        <v>16</v>
      </c>
      <c r="B232" s="67"/>
      <c r="C232" s="67"/>
      <c r="D232" s="68"/>
      <c r="E232" s="52"/>
      <c r="F232" s="131"/>
      <c r="G232" s="132"/>
      <c r="H232" s="131"/>
      <c r="I232" s="132"/>
      <c r="J232" s="131"/>
      <c r="K232" s="132"/>
      <c r="L232" s="131"/>
      <c r="M232" s="133"/>
    </row>
    <row r="233" spans="1:13" ht="24.95" customHeight="1" thickBot="1">
      <c r="A233" s="134"/>
      <c r="B233" s="135"/>
      <c r="C233" s="135"/>
      <c r="D233" s="59"/>
      <c r="E233" s="52"/>
      <c r="F233" s="58"/>
      <c r="G233" s="59"/>
      <c r="H233" s="58"/>
      <c r="I233" s="59"/>
      <c r="J233" s="58"/>
      <c r="K233" s="59"/>
      <c r="L233" s="58"/>
      <c r="M233" s="136"/>
    </row>
    <row r="234" spans="1:13" ht="24.95" customHeight="1" thickBot="1">
      <c r="A234" s="118"/>
      <c r="B234" s="119"/>
      <c r="C234" s="119"/>
      <c r="D234" s="120"/>
      <c r="E234" s="24"/>
      <c r="F234" s="121"/>
      <c r="G234" s="120"/>
      <c r="H234" s="121"/>
      <c r="I234" s="120"/>
      <c r="J234" s="121"/>
      <c r="K234" s="120"/>
      <c r="L234" s="121"/>
      <c r="M234" s="122"/>
    </row>
    <row r="235" spans="1:13" ht="24" customHeight="1" thickTop="1" thickBot="1">
      <c r="A235" s="66" t="s">
        <v>19</v>
      </c>
      <c r="B235" s="67"/>
      <c r="C235" s="67"/>
      <c r="D235" s="67"/>
      <c r="E235" s="67"/>
      <c r="F235" s="67"/>
      <c r="G235" s="67"/>
      <c r="H235" s="67"/>
      <c r="I235" s="67"/>
      <c r="J235" s="67"/>
      <c r="K235" s="67"/>
      <c r="L235" s="67"/>
      <c r="M235" s="68"/>
    </row>
    <row r="236" spans="1:13" ht="35.25" customHeight="1" thickBot="1">
      <c r="A236" s="75" t="s">
        <v>20</v>
      </c>
      <c r="B236" s="76"/>
      <c r="C236" s="76"/>
      <c r="D236" s="77"/>
      <c r="E236" s="14" t="s">
        <v>11</v>
      </c>
      <c r="F236" s="75" t="s">
        <v>39</v>
      </c>
      <c r="G236" s="77"/>
      <c r="H236" s="75" t="s">
        <v>21</v>
      </c>
      <c r="I236" s="77"/>
      <c r="J236" s="78" t="s">
        <v>22</v>
      </c>
      <c r="K236" s="79"/>
      <c r="L236" s="75" t="s">
        <v>15</v>
      </c>
      <c r="M236" s="77"/>
    </row>
    <row r="237" spans="1:13" ht="24" customHeight="1" thickBot="1">
      <c r="A237" s="96"/>
      <c r="B237" s="97"/>
      <c r="C237" s="97"/>
      <c r="D237" s="98"/>
      <c r="E237" s="52"/>
      <c r="F237" s="58"/>
      <c r="G237" s="59"/>
      <c r="H237" s="58"/>
      <c r="I237" s="59"/>
      <c r="J237" s="56"/>
      <c r="K237" s="57"/>
      <c r="L237" s="58"/>
      <c r="M237" s="59"/>
    </row>
    <row r="238" spans="1:13" ht="24" customHeight="1" thickBot="1">
      <c r="A238" s="96"/>
      <c r="B238" s="97"/>
      <c r="C238" s="97"/>
      <c r="D238" s="98"/>
      <c r="E238" s="52"/>
      <c r="F238" s="58"/>
      <c r="G238" s="59"/>
      <c r="H238" s="58"/>
      <c r="I238" s="59"/>
      <c r="J238" s="56"/>
      <c r="K238" s="57"/>
      <c r="L238" s="58"/>
      <c r="M238" s="59"/>
    </row>
    <row r="239" spans="1:13" ht="24" customHeight="1" thickBot="1">
      <c r="A239" s="60" t="s">
        <v>23</v>
      </c>
      <c r="B239" s="61"/>
      <c r="C239" s="61"/>
      <c r="D239" s="61"/>
      <c r="E239" s="61"/>
      <c r="F239" s="61"/>
      <c r="G239" s="61"/>
      <c r="H239" s="61"/>
      <c r="I239" s="61"/>
      <c r="J239" s="61"/>
      <c r="K239" s="61"/>
      <c r="L239" s="61"/>
      <c r="M239" s="62"/>
    </row>
    <row r="240" spans="1:13" ht="35.25" customHeight="1" thickBot="1">
      <c r="A240" s="75" t="s">
        <v>24</v>
      </c>
      <c r="B240" s="77"/>
      <c r="C240" s="75" t="s">
        <v>25</v>
      </c>
      <c r="D240" s="77"/>
      <c r="E240" s="75" t="s">
        <v>26</v>
      </c>
      <c r="F240" s="76"/>
      <c r="G240" s="77"/>
      <c r="H240" s="75" t="s">
        <v>27</v>
      </c>
      <c r="I240" s="77"/>
      <c r="J240" s="78" t="s">
        <v>21</v>
      </c>
      <c r="K240" s="79"/>
      <c r="L240" s="75" t="s">
        <v>22</v>
      </c>
      <c r="M240" s="77"/>
    </row>
    <row r="241" spans="1:13" s="18" customFormat="1" ht="24.75" customHeight="1" thickBot="1">
      <c r="A241" s="99" t="s">
        <v>155</v>
      </c>
      <c r="B241" s="137"/>
      <c r="C241" s="56">
        <v>2</v>
      </c>
      <c r="D241" s="57"/>
      <c r="E241" s="56">
        <v>6</v>
      </c>
      <c r="F241" s="100"/>
      <c r="G241" s="57"/>
      <c r="H241" s="56"/>
      <c r="I241" s="57"/>
      <c r="J241" s="56"/>
      <c r="K241" s="57"/>
      <c r="L241" s="56"/>
      <c r="M241" s="57"/>
    </row>
    <row r="242" spans="1:13" s="18" customFormat="1" ht="24.75" customHeight="1" thickBot="1">
      <c r="A242" s="99"/>
      <c r="B242" s="137"/>
      <c r="C242" s="56"/>
      <c r="D242" s="57"/>
      <c r="E242" s="56"/>
      <c r="F242" s="100"/>
      <c r="G242" s="57"/>
      <c r="H242" s="56"/>
      <c r="I242" s="57"/>
      <c r="J242" s="56"/>
      <c r="K242" s="57"/>
      <c r="L242" s="56"/>
      <c r="M242" s="57"/>
    </row>
    <row r="243" spans="1:13" ht="33" customHeight="1" thickBot="1">
      <c r="A243" s="112" t="s">
        <v>40</v>
      </c>
      <c r="B243" s="113"/>
      <c r="C243" s="113"/>
      <c r="D243" s="113"/>
      <c r="E243" s="113"/>
      <c r="F243" s="113"/>
      <c r="G243" s="113"/>
      <c r="H243" s="113"/>
      <c r="I243" s="113"/>
      <c r="J243" s="113"/>
      <c r="K243" s="113"/>
      <c r="L243" s="113"/>
      <c r="M243" s="114"/>
    </row>
    <row r="244" spans="1:13" ht="16.5" customHeight="1">
      <c r="A244" s="115" t="s">
        <v>41</v>
      </c>
      <c r="B244" s="116"/>
      <c r="C244" s="116"/>
      <c r="D244" s="116"/>
      <c r="E244" s="116"/>
      <c r="F244" s="116"/>
      <c r="G244" s="116"/>
      <c r="H244" s="116"/>
      <c r="I244" s="116"/>
      <c r="J244" s="116"/>
      <c r="K244" s="116"/>
      <c r="L244" s="116"/>
      <c r="M244" s="117"/>
    </row>
    <row r="245" spans="1:13" ht="16.5" customHeight="1">
      <c r="A245" s="90" t="s">
        <v>28</v>
      </c>
      <c r="B245" s="91"/>
      <c r="C245" s="91"/>
      <c r="D245" s="91"/>
      <c r="E245" s="91"/>
      <c r="F245" s="91"/>
      <c r="G245" s="91"/>
      <c r="H245" s="91"/>
      <c r="I245" s="91"/>
      <c r="J245" s="91"/>
      <c r="K245" s="91"/>
      <c r="L245" s="91"/>
      <c r="M245" s="92"/>
    </row>
    <row r="246" spans="1:13" s="1" customFormat="1" ht="16.5" customHeight="1">
      <c r="A246" s="93" t="s">
        <v>56</v>
      </c>
      <c r="B246" s="94"/>
      <c r="C246" s="94"/>
      <c r="D246" s="94"/>
      <c r="E246" s="94"/>
      <c r="F246" s="94"/>
      <c r="G246" s="94"/>
      <c r="H246" s="94"/>
      <c r="I246" s="94"/>
      <c r="J246" s="94"/>
      <c r="K246" s="94"/>
      <c r="L246" s="94"/>
      <c r="M246" s="95"/>
    </row>
    <row r="247" spans="1:13" s="1" customFormat="1" ht="16.5" customHeight="1">
      <c r="A247" s="93" t="s">
        <v>57</v>
      </c>
      <c r="B247" s="94"/>
      <c r="C247" s="94"/>
      <c r="D247" s="94"/>
      <c r="E247" s="94"/>
      <c r="F247" s="94"/>
      <c r="G247" s="94"/>
      <c r="H247" s="94"/>
      <c r="I247" s="94"/>
      <c r="J247" s="94"/>
      <c r="K247" s="94"/>
      <c r="L247" s="94"/>
      <c r="M247" s="95"/>
    </row>
    <row r="248" spans="1:13" s="1" customFormat="1" ht="16.5" customHeight="1">
      <c r="A248" s="93" t="s">
        <v>58</v>
      </c>
      <c r="B248" s="94"/>
      <c r="C248" s="94"/>
      <c r="D248" s="94"/>
      <c r="E248" s="94"/>
      <c r="F248" s="94"/>
      <c r="G248" s="94"/>
      <c r="H248" s="94"/>
      <c r="I248" s="94"/>
      <c r="J248" s="94"/>
      <c r="K248" s="94"/>
      <c r="L248" s="94"/>
      <c r="M248" s="95"/>
    </row>
    <row r="249" spans="1:13" s="1" customFormat="1" ht="16.5" customHeight="1">
      <c r="A249" s="93" t="s">
        <v>59</v>
      </c>
      <c r="B249" s="94"/>
      <c r="C249" s="94"/>
      <c r="D249" s="94"/>
      <c r="E249" s="94"/>
      <c r="F249" s="94"/>
      <c r="G249" s="94"/>
      <c r="H249" s="94"/>
      <c r="I249" s="94"/>
      <c r="J249" s="94"/>
      <c r="K249" s="94"/>
      <c r="L249" s="94"/>
      <c r="M249" s="95"/>
    </row>
    <row r="250" spans="1:13" ht="16.5" customHeight="1">
      <c r="A250" s="106" t="s">
        <v>29</v>
      </c>
      <c r="B250" s="107"/>
      <c r="C250" s="107"/>
      <c r="D250" s="107"/>
      <c r="E250" s="107"/>
      <c r="F250" s="107"/>
      <c r="G250" s="107"/>
      <c r="H250" s="107"/>
      <c r="I250" s="107"/>
      <c r="J250" s="107"/>
      <c r="K250" s="107"/>
      <c r="L250" s="107"/>
      <c r="M250" s="108"/>
    </row>
    <row r="251" spans="1:13" ht="9.75" customHeight="1" thickBot="1">
      <c r="A251" s="109"/>
      <c r="B251" s="110"/>
      <c r="C251" s="110"/>
      <c r="D251" s="110"/>
      <c r="E251" s="110"/>
      <c r="F251" s="110"/>
      <c r="G251" s="110"/>
      <c r="H251" s="110"/>
      <c r="I251" s="110"/>
      <c r="J251" s="110"/>
      <c r="K251" s="110"/>
      <c r="L251" s="110"/>
      <c r="M251" s="111"/>
    </row>
    <row r="252" spans="1:13" ht="18.75" customHeight="1" thickBot="1">
      <c r="A252" s="72" t="s">
        <v>30</v>
      </c>
      <c r="B252" s="73"/>
      <c r="C252" s="73"/>
      <c r="D252" s="73"/>
      <c r="E252" s="73"/>
      <c r="F252" s="73"/>
      <c r="G252" s="73"/>
      <c r="H252" s="73"/>
      <c r="I252" s="73"/>
      <c r="J252" s="73"/>
      <c r="K252" s="73"/>
      <c r="L252" s="73"/>
      <c r="M252" s="74"/>
    </row>
    <row r="253" spans="1:13" ht="24" customHeight="1" thickBot="1">
      <c r="A253" s="72" t="s">
        <v>31</v>
      </c>
      <c r="B253" s="73"/>
      <c r="C253" s="73"/>
      <c r="D253" s="73"/>
      <c r="E253" s="73"/>
      <c r="F253" s="73"/>
      <c r="G253" s="73"/>
      <c r="H253" s="73"/>
      <c r="I253" s="73"/>
      <c r="J253" s="73"/>
      <c r="K253" s="73"/>
      <c r="L253" s="73"/>
      <c r="M253" s="74"/>
    </row>
    <row r="254" spans="1:13" ht="24" customHeight="1" thickBot="1">
      <c r="A254" s="72" t="s">
        <v>191</v>
      </c>
      <c r="B254" s="73"/>
      <c r="C254" s="73"/>
      <c r="D254" s="73"/>
      <c r="E254" s="73"/>
      <c r="F254" s="73"/>
      <c r="G254" s="73"/>
      <c r="H254" s="73"/>
      <c r="I254" s="73"/>
      <c r="J254" s="73"/>
      <c r="K254" s="73"/>
      <c r="L254" s="73"/>
      <c r="M254" s="74"/>
    </row>
    <row r="255" spans="1:13" ht="24" customHeight="1" thickBot="1">
      <c r="A255" s="60" t="s">
        <v>46</v>
      </c>
      <c r="B255" s="61"/>
      <c r="C255" s="61"/>
      <c r="D255" s="61"/>
      <c r="E255" s="61"/>
      <c r="F255" s="61"/>
      <c r="G255" s="61"/>
      <c r="H255" s="61"/>
      <c r="I255" s="61"/>
      <c r="J255" s="61"/>
      <c r="K255" s="61"/>
      <c r="L255" s="61"/>
      <c r="M255" s="62"/>
    </row>
    <row r="256" spans="1:13" ht="11.1" customHeight="1">
      <c r="A256" s="103" t="s">
        <v>47</v>
      </c>
      <c r="B256" s="103"/>
      <c r="C256" s="103"/>
      <c r="D256" s="103"/>
      <c r="E256" s="103"/>
      <c r="F256" s="103"/>
      <c r="G256" s="103"/>
      <c r="H256" s="103"/>
      <c r="I256" s="103"/>
      <c r="J256" s="103"/>
      <c r="K256" s="103"/>
      <c r="L256" s="103"/>
      <c r="M256" s="103"/>
    </row>
    <row r="257" spans="1:15" ht="11.1" customHeight="1">
      <c r="A257" s="104" t="s">
        <v>48</v>
      </c>
      <c r="B257" s="104"/>
      <c r="C257" s="104"/>
      <c r="D257" s="104"/>
      <c r="E257" s="104"/>
      <c r="F257" s="104"/>
      <c r="G257" s="104"/>
      <c r="H257" s="104"/>
      <c r="I257" s="104"/>
      <c r="J257" s="104"/>
      <c r="K257" s="104"/>
      <c r="L257" s="104"/>
      <c r="M257" s="104"/>
    </row>
    <row r="258" spans="1:15" ht="11.1" customHeight="1">
      <c r="A258" s="105" t="s">
        <v>49</v>
      </c>
      <c r="B258" s="105"/>
      <c r="C258" s="105"/>
      <c r="D258" s="105"/>
      <c r="E258" s="105"/>
      <c r="F258" s="105"/>
      <c r="G258" s="105"/>
      <c r="H258" s="105"/>
      <c r="I258" s="105"/>
      <c r="J258" s="105"/>
      <c r="K258" s="105"/>
      <c r="L258" s="105"/>
      <c r="M258" s="105"/>
    </row>
    <row r="259" spans="1:15" ht="11.1" customHeight="1">
      <c r="A259" s="105" t="s">
        <v>50</v>
      </c>
      <c r="B259" s="105"/>
      <c r="C259" s="105"/>
      <c r="D259" s="105"/>
      <c r="E259" s="105"/>
      <c r="F259" s="105"/>
      <c r="G259" s="105"/>
      <c r="H259" s="105"/>
      <c r="I259" s="105"/>
      <c r="J259" s="105"/>
      <c r="K259" s="105"/>
      <c r="L259" s="105"/>
      <c r="M259" s="105"/>
    </row>
    <row r="260" spans="1:15" ht="11.1" customHeight="1">
      <c r="A260" s="104" t="s">
        <v>51</v>
      </c>
      <c r="B260" s="104"/>
      <c r="C260" s="104"/>
      <c r="D260" s="104"/>
      <c r="E260" s="104"/>
      <c r="F260" s="104"/>
      <c r="G260" s="104"/>
      <c r="H260" s="104"/>
      <c r="I260" s="104"/>
      <c r="J260" s="104"/>
      <c r="K260" s="104"/>
      <c r="L260" s="104"/>
      <c r="M260" s="104"/>
    </row>
    <row r="261" spans="1:15" ht="11.1" customHeight="1">
      <c r="A261" s="104" t="s">
        <v>52</v>
      </c>
      <c r="B261" s="104"/>
      <c r="C261" s="104"/>
      <c r="D261" s="104"/>
      <c r="E261" s="104"/>
      <c r="F261" s="104"/>
      <c r="G261" s="104"/>
      <c r="H261" s="104"/>
      <c r="I261" s="104"/>
      <c r="J261" s="104"/>
      <c r="K261" s="104"/>
      <c r="L261" s="104"/>
      <c r="M261" s="104"/>
    </row>
    <row r="262" spans="1:15" ht="11.1" customHeight="1">
      <c r="A262" s="104" t="s">
        <v>53</v>
      </c>
      <c r="B262" s="104"/>
      <c r="C262" s="104"/>
      <c r="D262" s="104"/>
      <c r="E262" s="104"/>
      <c r="F262" s="104"/>
      <c r="G262" s="104"/>
      <c r="H262" s="104"/>
      <c r="I262" s="104"/>
      <c r="J262" s="104"/>
      <c r="K262" s="104"/>
      <c r="L262" s="104"/>
      <c r="M262" s="104"/>
    </row>
    <row r="263" spans="1:15" ht="11.1" customHeight="1">
      <c r="A263" s="101" t="s">
        <v>54</v>
      </c>
      <c r="B263" s="101"/>
      <c r="C263" s="101"/>
      <c r="D263" s="101"/>
      <c r="E263" s="101"/>
      <c r="F263" s="101"/>
      <c r="G263" s="101"/>
      <c r="H263" s="101"/>
      <c r="I263" s="101"/>
      <c r="J263" s="101"/>
      <c r="K263" s="101"/>
      <c r="L263" s="101"/>
      <c r="M263" s="101"/>
    </row>
    <row r="264" spans="1:15" ht="11.1" customHeight="1">
      <c r="A264" s="101" t="s">
        <v>55</v>
      </c>
      <c r="B264" s="101"/>
      <c r="C264" s="101"/>
      <c r="D264" s="101"/>
      <c r="E264" s="101"/>
      <c r="F264" s="101"/>
      <c r="G264" s="101"/>
      <c r="H264" s="101"/>
      <c r="I264" s="101"/>
      <c r="J264" s="101"/>
      <c r="K264" s="101"/>
      <c r="L264" s="101"/>
      <c r="M264" s="101"/>
    </row>
    <row r="265" spans="1:15" ht="19.5" customHeight="1">
      <c r="A265" s="69" t="s">
        <v>0</v>
      </c>
      <c r="B265" s="69"/>
      <c r="C265" s="69"/>
      <c r="D265" s="69"/>
      <c r="E265" s="69"/>
      <c r="F265" s="69"/>
      <c r="G265" s="69"/>
      <c r="H265" s="69"/>
      <c r="I265" s="69"/>
      <c r="J265" s="69"/>
      <c r="K265" s="69"/>
      <c r="L265" s="69"/>
      <c r="M265" s="69"/>
    </row>
    <row r="266" spans="1:15" ht="20.100000000000001" customHeight="1">
      <c r="A266" s="4" t="s">
        <v>32</v>
      </c>
      <c r="B266" s="5">
        <f>+B222+1</f>
        <v>72</v>
      </c>
      <c r="C266" s="35"/>
      <c r="D266" s="35"/>
      <c r="E266" s="35"/>
      <c r="F266" s="35"/>
      <c r="G266" s="35"/>
      <c r="H266" s="35"/>
      <c r="I266" s="35"/>
      <c r="J266" s="35"/>
      <c r="K266" s="35"/>
      <c r="L266" s="35"/>
      <c r="M266" s="35"/>
    </row>
    <row r="267" spans="1:15" ht="24" customHeight="1" thickBot="1">
      <c r="A267" s="4" t="s">
        <v>33</v>
      </c>
      <c r="H267" s="70" t="s">
        <v>34</v>
      </c>
      <c r="I267" s="70"/>
      <c r="J267" s="70"/>
      <c r="K267" s="102">
        <f>+K223+1</f>
        <v>45998</v>
      </c>
      <c r="L267" s="102"/>
      <c r="M267" s="102"/>
      <c r="O267" s="7"/>
    </row>
    <row r="268" spans="1:15" ht="33.75" customHeight="1" thickBot="1">
      <c r="A268" s="80" t="s">
        <v>1</v>
      </c>
      <c r="B268" s="81"/>
      <c r="C268" s="82"/>
      <c r="D268" s="86" t="str">
        <f>+D224</f>
        <v>光明國中B與C區5樓老舊廁所整修工程</v>
      </c>
      <c r="E268" s="87"/>
      <c r="F268" s="87"/>
      <c r="G268" s="88"/>
      <c r="H268" s="80" t="s">
        <v>2</v>
      </c>
      <c r="I268" s="81"/>
      <c r="J268" s="82"/>
      <c r="K268" s="80" t="s">
        <v>35</v>
      </c>
      <c r="L268" s="81"/>
      <c r="M268" s="82"/>
    </row>
    <row r="269" spans="1:15" ht="33.75" customHeight="1" thickBot="1">
      <c r="A269" s="8" t="s">
        <v>3</v>
      </c>
      <c r="B269" s="36">
        <f>+B225</f>
        <v>145</v>
      </c>
      <c r="C269" s="10" t="s">
        <v>36</v>
      </c>
      <c r="D269" s="80" t="s">
        <v>4</v>
      </c>
      <c r="E269" s="89"/>
      <c r="F269" s="37">
        <f>+F225+1</f>
        <v>72</v>
      </c>
      <c r="G269" s="12" t="s">
        <v>36</v>
      </c>
      <c r="H269" s="13" t="s">
        <v>5</v>
      </c>
      <c r="I269" s="36">
        <f>+B269-F269</f>
        <v>73</v>
      </c>
      <c r="J269" s="10" t="s">
        <v>36</v>
      </c>
      <c r="K269" s="80" t="s">
        <v>6</v>
      </c>
      <c r="L269" s="82"/>
      <c r="M269" s="13">
        <f>+M225</f>
        <v>15</v>
      </c>
    </row>
    <row r="270" spans="1:15" ht="24" customHeight="1" thickBot="1">
      <c r="A270" s="80" t="s">
        <v>7</v>
      </c>
      <c r="B270" s="81"/>
      <c r="C270" s="82"/>
      <c r="D270" s="80" t="str">
        <f>+D226</f>
        <v>114.9.27</v>
      </c>
      <c r="E270" s="81"/>
      <c r="F270" s="81"/>
      <c r="G270" s="82"/>
      <c r="H270" s="80" t="s">
        <v>8</v>
      </c>
      <c r="I270" s="81"/>
      <c r="J270" s="82"/>
      <c r="K270" s="80" t="str">
        <f>+K226</f>
        <v>115.2.18</v>
      </c>
      <c r="L270" s="81"/>
      <c r="M270" s="82"/>
    </row>
    <row r="271" spans="1:15" ht="24" customHeight="1" thickBot="1">
      <c r="A271" s="80" t="s">
        <v>37</v>
      </c>
      <c r="B271" s="81"/>
      <c r="C271" s="82"/>
      <c r="D271" s="83">
        <v>0.33600000000000002</v>
      </c>
      <c r="E271" s="84"/>
      <c r="F271" s="84"/>
      <c r="G271" s="85"/>
      <c r="H271" s="80" t="s">
        <v>38</v>
      </c>
      <c r="I271" s="81"/>
      <c r="J271" s="82"/>
      <c r="K271" s="83">
        <f>+K227</f>
        <v>0.44300000000000023</v>
      </c>
      <c r="L271" s="84"/>
      <c r="M271" s="85"/>
    </row>
    <row r="272" spans="1:15" ht="24" customHeight="1" thickBot="1">
      <c r="A272" s="72" t="s">
        <v>9</v>
      </c>
      <c r="B272" s="73"/>
      <c r="C272" s="73"/>
      <c r="D272" s="73"/>
      <c r="E272" s="73"/>
      <c r="F272" s="73"/>
      <c r="G272" s="73"/>
      <c r="H272" s="73"/>
      <c r="I272" s="73"/>
      <c r="J272" s="73"/>
      <c r="K272" s="73"/>
      <c r="L272" s="73"/>
      <c r="M272" s="74"/>
    </row>
    <row r="273" spans="1:13" ht="35.25" customHeight="1" thickBot="1">
      <c r="A273" s="75" t="s">
        <v>10</v>
      </c>
      <c r="B273" s="76"/>
      <c r="C273" s="76"/>
      <c r="D273" s="77"/>
      <c r="E273" s="14" t="s">
        <v>11</v>
      </c>
      <c r="F273" s="75" t="s">
        <v>12</v>
      </c>
      <c r="G273" s="77"/>
      <c r="H273" s="75" t="s">
        <v>13</v>
      </c>
      <c r="I273" s="77"/>
      <c r="J273" s="78" t="s">
        <v>14</v>
      </c>
      <c r="K273" s="79"/>
      <c r="L273" s="75" t="s">
        <v>15</v>
      </c>
      <c r="M273" s="77"/>
    </row>
    <row r="274" spans="1:13" ht="27.95" customHeight="1" thickBot="1">
      <c r="A274" s="141"/>
      <c r="B274" s="142"/>
      <c r="C274" s="142"/>
      <c r="D274" s="143"/>
      <c r="E274" s="2"/>
      <c r="F274" s="56"/>
      <c r="G274" s="57"/>
      <c r="H274" s="56"/>
      <c r="I274" s="57"/>
      <c r="J274" s="56"/>
      <c r="K274" s="57"/>
      <c r="L274" s="58"/>
      <c r="M274" s="59"/>
    </row>
    <row r="275" spans="1:13" ht="27.95" customHeight="1" thickBot="1">
      <c r="A275" s="141"/>
      <c r="B275" s="142"/>
      <c r="C275" s="142"/>
      <c r="D275" s="143"/>
      <c r="E275" s="15"/>
      <c r="F275" s="56"/>
      <c r="G275" s="57"/>
      <c r="H275" s="56"/>
      <c r="I275" s="57"/>
      <c r="J275" s="56"/>
      <c r="K275" s="57"/>
      <c r="L275" s="58"/>
      <c r="M275" s="59"/>
    </row>
    <row r="276" spans="1:13" ht="24.95" customHeight="1" thickTop="1" thickBot="1">
      <c r="A276" s="130" t="s">
        <v>16</v>
      </c>
      <c r="B276" s="67"/>
      <c r="C276" s="67"/>
      <c r="D276" s="68"/>
      <c r="E276" s="38"/>
      <c r="F276" s="131"/>
      <c r="G276" s="132"/>
      <c r="H276" s="131"/>
      <c r="I276" s="132"/>
      <c r="J276" s="131"/>
      <c r="K276" s="132"/>
      <c r="L276" s="131"/>
      <c r="M276" s="133"/>
    </row>
    <row r="277" spans="1:13" ht="24.95" customHeight="1" thickBot="1">
      <c r="A277" s="134"/>
      <c r="B277" s="135"/>
      <c r="C277" s="135"/>
      <c r="D277" s="59"/>
      <c r="E277" s="38"/>
      <c r="F277" s="58"/>
      <c r="G277" s="59"/>
      <c r="H277" s="58"/>
      <c r="I277" s="59"/>
      <c r="J277" s="58"/>
      <c r="K277" s="59"/>
      <c r="L277" s="58"/>
      <c r="M277" s="136"/>
    </row>
    <row r="278" spans="1:13" ht="24.95" customHeight="1" thickBot="1">
      <c r="A278" s="118"/>
      <c r="B278" s="119"/>
      <c r="C278" s="119"/>
      <c r="D278" s="120"/>
      <c r="E278" s="24"/>
      <c r="F278" s="121"/>
      <c r="G278" s="120"/>
      <c r="H278" s="121"/>
      <c r="I278" s="120"/>
      <c r="J278" s="121"/>
      <c r="K278" s="120"/>
      <c r="L278" s="121"/>
      <c r="M278" s="122"/>
    </row>
    <row r="279" spans="1:13" ht="24" customHeight="1" thickTop="1" thickBot="1">
      <c r="A279" s="66" t="s">
        <v>19</v>
      </c>
      <c r="B279" s="67"/>
      <c r="C279" s="67"/>
      <c r="D279" s="67"/>
      <c r="E279" s="67"/>
      <c r="F279" s="67"/>
      <c r="G279" s="67"/>
      <c r="H279" s="67"/>
      <c r="I279" s="67"/>
      <c r="J279" s="67"/>
      <c r="K279" s="67"/>
      <c r="L279" s="67"/>
      <c r="M279" s="68"/>
    </row>
    <row r="280" spans="1:13" ht="35.25" customHeight="1" thickBot="1">
      <c r="A280" s="75" t="s">
        <v>20</v>
      </c>
      <c r="B280" s="76"/>
      <c r="C280" s="76"/>
      <c r="D280" s="77"/>
      <c r="E280" s="14" t="s">
        <v>11</v>
      </c>
      <c r="F280" s="75" t="s">
        <v>39</v>
      </c>
      <c r="G280" s="77"/>
      <c r="H280" s="75" t="s">
        <v>21</v>
      </c>
      <c r="I280" s="77"/>
      <c r="J280" s="78" t="s">
        <v>22</v>
      </c>
      <c r="K280" s="79"/>
      <c r="L280" s="75" t="s">
        <v>15</v>
      </c>
      <c r="M280" s="77"/>
    </row>
    <row r="281" spans="1:13" ht="24" customHeight="1" thickBot="1">
      <c r="A281" s="96"/>
      <c r="B281" s="97"/>
      <c r="C281" s="97"/>
      <c r="D281" s="98"/>
      <c r="E281" s="38"/>
      <c r="F281" s="58"/>
      <c r="G281" s="59"/>
      <c r="H281" s="58"/>
      <c r="I281" s="59"/>
      <c r="J281" s="56"/>
      <c r="K281" s="57"/>
      <c r="L281" s="58"/>
      <c r="M281" s="59"/>
    </row>
    <row r="282" spans="1:13" ht="24" customHeight="1" thickBot="1">
      <c r="A282" s="96"/>
      <c r="B282" s="97"/>
      <c r="C282" s="97"/>
      <c r="D282" s="98"/>
      <c r="E282" s="38"/>
      <c r="F282" s="58"/>
      <c r="G282" s="59"/>
      <c r="H282" s="58"/>
      <c r="I282" s="59"/>
      <c r="J282" s="56"/>
      <c r="K282" s="57"/>
      <c r="L282" s="58"/>
      <c r="M282" s="59"/>
    </row>
    <row r="283" spans="1:13" ht="24" customHeight="1" thickBot="1">
      <c r="A283" s="60" t="s">
        <v>23</v>
      </c>
      <c r="B283" s="61"/>
      <c r="C283" s="61"/>
      <c r="D283" s="61"/>
      <c r="E283" s="61"/>
      <c r="F283" s="61"/>
      <c r="G283" s="61"/>
      <c r="H283" s="61"/>
      <c r="I283" s="61"/>
      <c r="J283" s="61"/>
      <c r="K283" s="61"/>
      <c r="L283" s="61"/>
      <c r="M283" s="62"/>
    </row>
    <row r="284" spans="1:13" ht="35.25" customHeight="1" thickBot="1">
      <c r="A284" s="75" t="s">
        <v>24</v>
      </c>
      <c r="B284" s="77"/>
      <c r="C284" s="75" t="s">
        <v>25</v>
      </c>
      <c r="D284" s="77"/>
      <c r="E284" s="75" t="s">
        <v>26</v>
      </c>
      <c r="F284" s="76"/>
      <c r="G284" s="77"/>
      <c r="H284" s="75" t="s">
        <v>27</v>
      </c>
      <c r="I284" s="77"/>
      <c r="J284" s="78" t="s">
        <v>21</v>
      </c>
      <c r="K284" s="79"/>
      <c r="L284" s="75" t="s">
        <v>22</v>
      </c>
      <c r="M284" s="77"/>
    </row>
    <row r="285" spans="1:13" s="18" customFormat="1" ht="24.75" customHeight="1" thickBot="1">
      <c r="A285" s="99"/>
      <c r="B285" s="98"/>
      <c r="C285" s="56"/>
      <c r="D285" s="57"/>
      <c r="E285" s="56"/>
      <c r="F285" s="100"/>
      <c r="G285" s="57"/>
      <c r="H285" s="56"/>
      <c r="I285" s="57"/>
      <c r="J285" s="56"/>
      <c r="K285" s="57"/>
      <c r="L285" s="56"/>
      <c r="M285" s="57"/>
    </row>
    <row r="286" spans="1:13" s="18" customFormat="1" ht="24.75" customHeight="1" thickBot="1">
      <c r="A286" s="99"/>
      <c r="B286" s="98"/>
      <c r="C286" s="56"/>
      <c r="D286" s="57"/>
      <c r="E286" s="56"/>
      <c r="F286" s="100"/>
      <c r="G286" s="57"/>
      <c r="H286" s="56"/>
      <c r="I286" s="57"/>
      <c r="J286" s="56"/>
      <c r="K286" s="57"/>
      <c r="L286" s="56"/>
      <c r="M286" s="57"/>
    </row>
    <row r="287" spans="1:13" ht="33" customHeight="1" thickBot="1">
      <c r="A287" s="112" t="s">
        <v>60</v>
      </c>
      <c r="B287" s="113"/>
      <c r="C287" s="113"/>
      <c r="D287" s="113"/>
      <c r="E287" s="113"/>
      <c r="F287" s="113"/>
      <c r="G287" s="113"/>
      <c r="H287" s="113"/>
      <c r="I287" s="113"/>
      <c r="J287" s="113"/>
      <c r="K287" s="113"/>
      <c r="L287" s="113"/>
      <c r="M287" s="114"/>
    </row>
    <row r="288" spans="1:13" ht="16.5" customHeight="1">
      <c r="A288" s="115" t="s">
        <v>41</v>
      </c>
      <c r="B288" s="116"/>
      <c r="C288" s="116"/>
      <c r="D288" s="116"/>
      <c r="E288" s="116"/>
      <c r="F288" s="116"/>
      <c r="G288" s="116"/>
      <c r="H288" s="116"/>
      <c r="I288" s="116"/>
      <c r="J288" s="116"/>
      <c r="K288" s="116"/>
      <c r="L288" s="116"/>
      <c r="M288" s="117"/>
    </row>
    <row r="289" spans="1:13" ht="16.5" customHeight="1">
      <c r="A289" s="90" t="s">
        <v>28</v>
      </c>
      <c r="B289" s="91"/>
      <c r="C289" s="91"/>
      <c r="D289" s="91"/>
      <c r="E289" s="91"/>
      <c r="F289" s="91"/>
      <c r="G289" s="91"/>
      <c r="H289" s="91"/>
      <c r="I289" s="91"/>
      <c r="J289" s="91"/>
      <c r="K289" s="91"/>
      <c r="L289" s="91"/>
      <c r="M289" s="92"/>
    </row>
    <row r="290" spans="1:13" ht="16.5" customHeight="1">
      <c r="A290" s="106" t="s">
        <v>42</v>
      </c>
      <c r="B290" s="107"/>
      <c r="C290" s="107"/>
      <c r="D290" s="107"/>
      <c r="E290" s="107"/>
      <c r="F290" s="107"/>
      <c r="G290" s="107"/>
      <c r="H290" s="107"/>
      <c r="I290" s="107"/>
      <c r="J290" s="107"/>
      <c r="K290" s="107"/>
      <c r="L290" s="107"/>
      <c r="M290" s="108"/>
    </row>
    <row r="291" spans="1:13" ht="16.5" customHeight="1">
      <c r="A291" s="106" t="s">
        <v>43</v>
      </c>
      <c r="B291" s="107"/>
      <c r="C291" s="107"/>
      <c r="D291" s="107"/>
      <c r="E291" s="107"/>
      <c r="F291" s="107"/>
      <c r="G291" s="107"/>
      <c r="H291" s="107"/>
      <c r="I291" s="107"/>
      <c r="J291" s="107"/>
      <c r="K291" s="107"/>
      <c r="L291" s="107"/>
      <c r="M291" s="108"/>
    </row>
    <row r="292" spans="1:13" ht="16.5" customHeight="1">
      <c r="A292" s="106" t="s">
        <v>44</v>
      </c>
      <c r="B292" s="107"/>
      <c r="C292" s="107"/>
      <c r="D292" s="107"/>
      <c r="E292" s="107"/>
      <c r="F292" s="107"/>
      <c r="G292" s="107"/>
      <c r="H292" s="107"/>
      <c r="I292" s="107"/>
      <c r="J292" s="107"/>
      <c r="K292" s="107"/>
      <c r="L292" s="107"/>
      <c r="M292" s="108"/>
    </row>
    <row r="293" spans="1:13" ht="16.5" customHeight="1">
      <c r="A293" s="106" t="s">
        <v>45</v>
      </c>
      <c r="B293" s="107"/>
      <c r="C293" s="107"/>
      <c r="D293" s="107"/>
      <c r="E293" s="107"/>
      <c r="F293" s="107"/>
      <c r="G293" s="107"/>
      <c r="H293" s="107"/>
      <c r="I293" s="107"/>
      <c r="J293" s="107"/>
      <c r="K293" s="107"/>
      <c r="L293" s="107"/>
      <c r="M293" s="108"/>
    </row>
    <row r="294" spans="1:13" ht="16.5" customHeight="1">
      <c r="A294" s="106" t="s">
        <v>29</v>
      </c>
      <c r="B294" s="107"/>
      <c r="C294" s="107"/>
      <c r="D294" s="107"/>
      <c r="E294" s="107"/>
      <c r="F294" s="107"/>
      <c r="G294" s="107"/>
      <c r="H294" s="107"/>
      <c r="I294" s="107"/>
      <c r="J294" s="107"/>
      <c r="K294" s="107"/>
      <c r="L294" s="107"/>
      <c r="M294" s="108"/>
    </row>
    <row r="295" spans="1:13" ht="9.75" customHeight="1" thickBot="1">
      <c r="A295" s="109"/>
      <c r="B295" s="110"/>
      <c r="C295" s="110"/>
      <c r="D295" s="110"/>
      <c r="E295" s="110"/>
      <c r="F295" s="110"/>
      <c r="G295" s="110"/>
      <c r="H295" s="110"/>
      <c r="I295" s="110"/>
      <c r="J295" s="110"/>
      <c r="K295" s="110"/>
      <c r="L295" s="110"/>
      <c r="M295" s="111"/>
    </row>
    <row r="296" spans="1:13" ht="18.75" customHeight="1" thickBot="1">
      <c r="A296" s="72" t="s">
        <v>30</v>
      </c>
      <c r="B296" s="73"/>
      <c r="C296" s="73"/>
      <c r="D296" s="73"/>
      <c r="E296" s="73"/>
      <c r="F296" s="73"/>
      <c r="G296" s="73"/>
      <c r="H296" s="73"/>
      <c r="I296" s="73"/>
      <c r="J296" s="73"/>
      <c r="K296" s="73"/>
      <c r="L296" s="73"/>
      <c r="M296" s="74"/>
    </row>
    <row r="297" spans="1:13" ht="24" customHeight="1" thickBot="1">
      <c r="A297" s="72" t="s">
        <v>31</v>
      </c>
      <c r="B297" s="73"/>
      <c r="C297" s="73"/>
      <c r="D297" s="73"/>
      <c r="E297" s="73"/>
      <c r="F297" s="73"/>
      <c r="G297" s="73"/>
      <c r="H297" s="73"/>
      <c r="I297" s="73"/>
      <c r="J297" s="73"/>
      <c r="K297" s="73"/>
      <c r="L297" s="73"/>
      <c r="M297" s="74"/>
    </row>
    <row r="298" spans="1:13" ht="24" customHeight="1" thickBot="1">
      <c r="A298" s="72" t="s">
        <v>176</v>
      </c>
      <c r="B298" s="73"/>
      <c r="C298" s="73"/>
      <c r="D298" s="73"/>
      <c r="E298" s="73"/>
      <c r="F298" s="73"/>
      <c r="G298" s="73"/>
      <c r="H298" s="73"/>
      <c r="I298" s="73"/>
      <c r="J298" s="73"/>
      <c r="K298" s="73"/>
      <c r="L298" s="73"/>
      <c r="M298" s="74"/>
    </row>
    <row r="299" spans="1:13" ht="24" customHeight="1" thickBot="1">
      <c r="A299" s="60" t="s">
        <v>46</v>
      </c>
      <c r="B299" s="61"/>
      <c r="C299" s="61"/>
      <c r="D299" s="61"/>
      <c r="E299" s="61"/>
      <c r="F299" s="61"/>
      <c r="G299" s="61"/>
      <c r="H299" s="61"/>
      <c r="I299" s="61"/>
      <c r="J299" s="61"/>
      <c r="K299" s="61"/>
      <c r="L299" s="61"/>
      <c r="M299" s="62"/>
    </row>
    <row r="300" spans="1:13" ht="11.1" customHeight="1">
      <c r="A300" s="103" t="s">
        <v>47</v>
      </c>
      <c r="B300" s="103"/>
      <c r="C300" s="103"/>
      <c r="D300" s="103"/>
      <c r="E300" s="103"/>
      <c r="F300" s="103"/>
      <c r="G300" s="103"/>
      <c r="H300" s="103"/>
      <c r="I300" s="103"/>
      <c r="J300" s="103"/>
      <c r="K300" s="103"/>
      <c r="L300" s="103"/>
      <c r="M300" s="103"/>
    </row>
    <row r="301" spans="1:13" ht="11.1" customHeight="1">
      <c r="A301" s="104" t="s">
        <v>48</v>
      </c>
      <c r="B301" s="104"/>
      <c r="C301" s="104"/>
      <c r="D301" s="104"/>
      <c r="E301" s="104"/>
      <c r="F301" s="104"/>
      <c r="G301" s="104"/>
      <c r="H301" s="104"/>
      <c r="I301" s="104"/>
      <c r="J301" s="104"/>
      <c r="K301" s="104"/>
      <c r="L301" s="104"/>
      <c r="M301" s="104"/>
    </row>
    <row r="302" spans="1:13" ht="11.1" customHeight="1">
      <c r="A302" s="105" t="s">
        <v>49</v>
      </c>
      <c r="B302" s="105"/>
      <c r="C302" s="105"/>
      <c r="D302" s="105"/>
      <c r="E302" s="105"/>
      <c r="F302" s="105"/>
      <c r="G302" s="105"/>
      <c r="H302" s="105"/>
      <c r="I302" s="105"/>
      <c r="J302" s="105"/>
      <c r="K302" s="105"/>
      <c r="L302" s="105"/>
      <c r="M302" s="105"/>
    </row>
    <row r="303" spans="1:13" ht="11.1" customHeight="1">
      <c r="A303" s="105" t="s">
        <v>50</v>
      </c>
      <c r="B303" s="105"/>
      <c r="C303" s="105"/>
      <c r="D303" s="105"/>
      <c r="E303" s="105"/>
      <c r="F303" s="105"/>
      <c r="G303" s="105"/>
      <c r="H303" s="105"/>
      <c r="I303" s="105"/>
      <c r="J303" s="105"/>
      <c r="K303" s="105"/>
      <c r="L303" s="105"/>
      <c r="M303" s="105"/>
    </row>
    <row r="304" spans="1:13" ht="11.1" customHeight="1">
      <c r="A304" s="104" t="s">
        <v>51</v>
      </c>
      <c r="B304" s="104"/>
      <c r="C304" s="104"/>
      <c r="D304" s="104"/>
      <c r="E304" s="104"/>
      <c r="F304" s="104"/>
      <c r="G304" s="104"/>
      <c r="H304" s="104"/>
      <c r="I304" s="104"/>
      <c r="J304" s="104"/>
      <c r="K304" s="104"/>
      <c r="L304" s="104"/>
      <c r="M304" s="104"/>
    </row>
    <row r="305" spans="1:15" ht="11.1" customHeight="1">
      <c r="A305" s="104" t="s">
        <v>52</v>
      </c>
      <c r="B305" s="104"/>
      <c r="C305" s="104"/>
      <c r="D305" s="104"/>
      <c r="E305" s="104"/>
      <c r="F305" s="104"/>
      <c r="G305" s="104"/>
      <c r="H305" s="104"/>
      <c r="I305" s="104"/>
      <c r="J305" s="104"/>
      <c r="K305" s="104"/>
      <c r="L305" s="104"/>
      <c r="M305" s="104"/>
    </row>
    <row r="306" spans="1:15" ht="11.1" customHeight="1">
      <c r="A306" s="104" t="s">
        <v>53</v>
      </c>
      <c r="B306" s="104"/>
      <c r="C306" s="104"/>
      <c r="D306" s="104"/>
      <c r="E306" s="104"/>
      <c r="F306" s="104"/>
      <c r="G306" s="104"/>
      <c r="H306" s="104"/>
      <c r="I306" s="104"/>
      <c r="J306" s="104"/>
      <c r="K306" s="104"/>
      <c r="L306" s="104"/>
      <c r="M306" s="104"/>
    </row>
    <row r="307" spans="1:15" ht="11.1" customHeight="1">
      <c r="A307" s="101" t="s">
        <v>54</v>
      </c>
      <c r="B307" s="101"/>
      <c r="C307" s="101"/>
      <c r="D307" s="101"/>
      <c r="E307" s="101"/>
      <c r="F307" s="101"/>
      <c r="G307" s="101"/>
      <c r="H307" s="101"/>
      <c r="I307" s="101"/>
      <c r="J307" s="101"/>
      <c r="K307" s="101"/>
      <c r="L307" s="101"/>
      <c r="M307" s="101"/>
    </row>
    <row r="308" spans="1:15" ht="11.1" customHeight="1">
      <c r="A308" s="101" t="s">
        <v>55</v>
      </c>
      <c r="B308" s="101"/>
      <c r="C308" s="101"/>
      <c r="D308" s="101"/>
      <c r="E308" s="101"/>
      <c r="F308" s="101"/>
      <c r="G308" s="101"/>
      <c r="H308" s="101"/>
      <c r="I308" s="101"/>
      <c r="J308" s="101"/>
      <c r="K308" s="101"/>
      <c r="L308" s="101"/>
      <c r="M308" s="101"/>
    </row>
    <row r="309" spans="1:15" ht="19.5" customHeight="1">
      <c r="A309" s="69" t="s">
        <v>0</v>
      </c>
      <c r="B309" s="69"/>
      <c r="C309" s="69"/>
      <c r="D309" s="69"/>
      <c r="E309" s="69"/>
      <c r="F309" s="69"/>
      <c r="G309" s="69"/>
      <c r="H309" s="69"/>
      <c r="I309" s="69"/>
      <c r="J309" s="69"/>
      <c r="K309" s="69"/>
      <c r="L309" s="69"/>
      <c r="M309" s="69"/>
    </row>
    <row r="310" spans="1:15" ht="20.100000000000001" customHeight="1">
      <c r="A310" s="4" t="s">
        <v>32</v>
      </c>
      <c r="B310" s="5">
        <f>+B266+1</f>
        <v>73</v>
      </c>
      <c r="C310" s="35"/>
      <c r="D310" s="35"/>
      <c r="E310" s="35"/>
      <c r="F310" s="35"/>
      <c r="G310" s="35"/>
      <c r="H310" s="35"/>
      <c r="I310" s="35"/>
      <c r="J310" s="35"/>
      <c r="K310" s="35"/>
      <c r="L310" s="35"/>
      <c r="M310" s="35"/>
    </row>
    <row r="311" spans="1:15" ht="24" customHeight="1" thickBot="1">
      <c r="A311" s="4" t="s">
        <v>33</v>
      </c>
      <c r="H311" s="70" t="s">
        <v>34</v>
      </c>
      <c r="I311" s="70"/>
      <c r="J311" s="70"/>
      <c r="K311" s="102">
        <f>+K267+1</f>
        <v>45999</v>
      </c>
      <c r="L311" s="102"/>
      <c r="M311" s="102"/>
      <c r="O311" s="7"/>
    </row>
    <row r="312" spans="1:15" ht="33.75" customHeight="1" thickBot="1">
      <c r="A312" s="80" t="s">
        <v>1</v>
      </c>
      <c r="B312" s="81"/>
      <c r="C312" s="82"/>
      <c r="D312" s="86" t="str">
        <f>+D268</f>
        <v>光明國中B與C區5樓老舊廁所整修工程</v>
      </c>
      <c r="E312" s="87"/>
      <c r="F312" s="87"/>
      <c r="G312" s="88"/>
      <c r="H312" s="80" t="s">
        <v>2</v>
      </c>
      <c r="I312" s="81"/>
      <c r="J312" s="82"/>
      <c r="K312" s="80" t="s">
        <v>35</v>
      </c>
      <c r="L312" s="81"/>
      <c r="M312" s="82"/>
    </row>
    <row r="313" spans="1:15" ht="33.75" customHeight="1" thickBot="1">
      <c r="A313" s="8" t="s">
        <v>3</v>
      </c>
      <c r="B313" s="36">
        <f>+B269</f>
        <v>145</v>
      </c>
      <c r="C313" s="10" t="s">
        <v>36</v>
      </c>
      <c r="D313" s="80" t="s">
        <v>4</v>
      </c>
      <c r="E313" s="89"/>
      <c r="F313" s="37">
        <f>+F269+1</f>
        <v>73</v>
      </c>
      <c r="G313" s="12" t="s">
        <v>36</v>
      </c>
      <c r="H313" s="13" t="s">
        <v>5</v>
      </c>
      <c r="I313" s="36">
        <f>+B313-F313</f>
        <v>72</v>
      </c>
      <c r="J313" s="10" t="s">
        <v>36</v>
      </c>
      <c r="K313" s="80" t="s">
        <v>6</v>
      </c>
      <c r="L313" s="82"/>
      <c r="M313" s="13">
        <f>+M269</f>
        <v>15</v>
      </c>
    </row>
    <row r="314" spans="1:15" ht="24" customHeight="1" thickBot="1">
      <c r="A314" s="80" t="s">
        <v>7</v>
      </c>
      <c r="B314" s="81"/>
      <c r="C314" s="82"/>
      <c r="D314" s="80" t="str">
        <f>+D270</f>
        <v>114.9.27</v>
      </c>
      <c r="E314" s="81"/>
      <c r="F314" s="81"/>
      <c r="G314" s="82"/>
      <c r="H314" s="80" t="s">
        <v>8</v>
      </c>
      <c r="I314" s="81"/>
      <c r="J314" s="82"/>
      <c r="K314" s="80" t="str">
        <f>+K270</f>
        <v>115.2.18</v>
      </c>
      <c r="L314" s="81"/>
      <c r="M314" s="82"/>
    </row>
    <row r="315" spans="1:15" ht="24" customHeight="1" thickBot="1">
      <c r="A315" s="80" t="s">
        <v>37</v>
      </c>
      <c r="B315" s="81"/>
      <c r="C315" s="82"/>
      <c r="D315" s="83">
        <v>0.34200000000000003</v>
      </c>
      <c r="E315" s="84"/>
      <c r="F315" s="84"/>
      <c r="G315" s="85"/>
      <c r="H315" s="80" t="s">
        <v>38</v>
      </c>
      <c r="I315" s="81"/>
      <c r="J315" s="82"/>
      <c r="K315" s="83">
        <f>+K271+1.3%</f>
        <v>0.45600000000000024</v>
      </c>
      <c r="L315" s="84"/>
      <c r="M315" s="85"/>
    </row>
    <row r="316" spans="1:15" ht="24" customHeight="1" thickBot="1">
      <c r="A316" s="72" t="s">
        <v>9</v>
      </c>
      <c r="B316" s="73"/>
      <c r="C316" s="73"/>
      <c r="D316" s="73"/>
      <c r="E316" s="73"/>
      <c r="F316" s="73"/>
      <c r="G316" s="73"/>
      <c r="H316" s="73"/>
      <c r="I316" s="73"/>
      <c r="J316" s="73"/>
      <c r="K316" s="73"/>
      <c r="L316" s="73"/>
      <c r="M316" s="74"/>
    </row>
    <row r="317" spans="1:15" ht="35.25" customHeight="1" thickBot="1">
      <c r="A317" s="75" t="s">
        <v>10</v>
      </c>
      <c r="B317" s="76"/>
      <c r="C317" s="76"/>
      <c r="D317" s="77"/>
      <c r="E317" s="14" t="s">
        <v>11</v>
      </c>
      <c r="F317" s="75" t="s">
        <v>12</v>
      </c>
      <c r="G317" s="77"/>
      <c r="H317" s="75" t="s">
        <v>13</v>
      </c>
      <c r="I317" s="77"/>
      <c r="J317" s="78" t="s">
        <v>14</v>
      </c>
      <c r="K317" s="79"/>
      <c r="L317" s="75" t="s">
        <v>15</v>
      </c>
      <c r="M317" s="77"/>
    </row>
    <row r="318" spans="1:15" ht="27.95" customHeight="1" thickBot="1">
      <c r="A318" s="141" t="s">
        <v>161</v>
      </c>
      <c r="B318" s="142"/>
      <c r="C318" s="142"/>
      <c r="D318" s="143"/>
      <c r="E318" s="2" t="s">
        <v>126</v>
      </c>
      <c r="F318" s="56">
        <v>190</v>
      </c>
      <c r="G318" s="57"/>
      <c r="H318" s="56">
        <v>20</v>
      </c>
      <c r="I318" s="57"/>
      <c r="J318" s="56">
        <v>140</v>
      </c>
      <c r="K318" s="57"/>
      <c r="L318" s="58"/>
      <c r="M318" s="59"/>
    </row>
    <row r="319" spans="1:15" ht="27.95" customHeight="1" thickBot="1">
      <c r="A319" s="141"/>
      <c r="B319" s="142"/>
      <c r="C319" s="142"/>
      <c r="D319" s="143"/>
      <c r="E319" s="15"/>
      <c r="F319" s="56"/>
      <c r="G319" s="57"/>
      <c r="H319" s="56"/>
      <c r="I319" s="57"/>
      <c r="J319" s="56"/>
      <c r="K319" s="57"/>
      <c r="L319" s="58"/>
      <c r="M319" s="59"/>
    </row>
    <row r="320" spans="1:15" ht="24.95" customHeight="1" thickTop="1" thickBot="1">
      <c r="A320" s="130" t="s">
        <v>16</v>
      </c>
      <c r="B320" s="67"/>
      <c r="C320" s="67"/>
      <c r="D320" s="68"/>
      <c r="E320" s="38"/>
      <c r="F320" s="131"/>
      <c r="G320" s="132"/>
      <c r="H320" s="131"/>
      <c r="I320" s="132"/>
      <c r="J320" s="131"/>
      <c r="K320" s="132"/>
      <c r="L320" s="131"/>
      <c r="M320" s="133"/>
    </row>
    <row r="321" spans="1:13" ht="24.95" customHeight="1" thickBot="1">
      <c r="A321" s="134"/>
      <c r="B321" s="135"/>
      <c r="C321" s="135"/>
      <c r="D321" s="59"/>
      <c r="E321" s="38"/>
      <c r="F321" s="58"/>
      <c r="G321" s="59"/>
      <c r="H321" s="58"/>
      <c r="I321" s="59"/>
      <c r="J321" s="58"/>
      <c r="K321" s="59"/>
      <c r="L321" s="58"/>
      <c r="M321" s="136"/>
    </row>
    <row r="322" spans="1:13" ht="24.95" customHeight="1" thickBot="1">
      <c r="A322" s="118"/>
      <c r="B322" s="119"/>
      <c r="C322" s="119"/>
      <c r="D322" s="120"/>
      <c r="E322" s="24"/>
      <c r="F322" s="121"/>
      <c r="G322" s="120"/>
      <c r="H322" s="121"/>
      <c r="I322" s="120"/>
      <c r="J322" s="121"/>
      <c r="K322" s="120"/>
      <c r="L322" s="121"/>
      <c r="M322" s="122"/>
    </row>
    <row r="323" spans="1:13" ht="24" customHeight="1" thickTop="1" thickBot="1">
      <c r="A323" s="66" t="s">
        <v>19</v>
      </c>
      <c r="B323" s="67"/>
      <c r="C323" s="67"/>
      <c r="D323" s="67"/>
      <c r="E323" s="67"/>
      <c r="F323" s="67"/>
      <c r="G323" s="67"/>
      <c r="H323" s="67"/>
      <c r="I323" s="67"/>
      <c r="J323" s="67"/>
      <c r="K323" s="67"/>
      <c r="L323" s="67"/>
      <c r="M323" s="68"/>
    </row>
    <row r="324" spans="1:13" ht="35.25" customHeight="1" thickBot="1">
      <c r="A324" s="75" t="s">
        <v>20</v>
      </c>
      <c r="B324" s="76"/>
      <c r="C324" s="76"/>
      <c r="D324" s="77"/>
      <c r="E324" s="14" t="s">
        <v>11</v>
      </c>
      <c r="F324" s="75" t="s">
        <v>39</v>
      </c>
      <c r="G324" s="77"/>
      <c r="H324" s="75" t="s">
        <v>21</v>
      </c>
      <c r="I324" s="77"/>
      <c r="J324" s="78" t="s">
        <v>22</v>
      </c>
      <c r="K324" s="79"/>
      <c r="L324" s="75" t="s">
        <v>15</v>
      </c>
      <c r="M324" s="77"/>
    </row>
    <row r="325" spans="1:13" ht="24" customHeight="1" thickBot="1">
      <c r="A325" s="96"/>
      <c r="B325" s="97"/>
      <c r="C325" s="97"/>
      <c r="D325" s="98"/>
      <c r="E325" s="38"/>
      <c r="F325" s="58"/>
      <c r="G325" s="59"/>
      <c r="H325" s="58"/>
      <c r="I325" s="59"/>
      <c r="J325" s="56"/>
      <c r="K325" s="57"/>
      <c r="L325" s="58"/>
      <c r="M325" s="59"/>
    </row>
    <row r="326" spans="1:13" ht="24" customHeight="1" thickBot="1">
      <c r="A326" s="96"/>
      <c r="B326" s="97"/>
      <c r="C326" s="97"/>
      <c r="D326" s="98"/>
      <c r="E326" s="38"/>
      <c r="F326" s="58"/>
      <c r="G326" s="59"/>
      <c r="H326" s="58"/>
      <c r="I326" s="59"/>
      <c r="J326" s="56"/>
      <c r="K326" s="57"/>
      <c r="L326" s="58"/>
      <c r="M326" s="59"/>
    </row>
    <row r="327" spans="1:13" ht="24" customHeight="1" thickBot="1">
      <c r="A327" s="60" t="s">
        <v>23</v>
      </c>
      <c r="B327" s="61"/>
      <c r="C327" s="61"/>
      <c r="D327" s="61"/>
      <c r="E327" s="61"/>
      <c r="F327" s="61"/>
      <c r="G327" s="61"/>
      <c r="H327" s="61"/>
      <c r="I327" s="61"/>
      <c r="J327" s="61"/>
      <c r="K327" s="61"/>
      <c r="L327" s="61"/>
      <c r="M327" s="62"/>
    </row>
    <row r="328" spans="1:13" ht="35.25" customHeight="1" thickBot="1">
      <c r="A328" s="75" t="s">
        <v>24</v>
      </c>
      <c r="B328" s="77"/>
      <c r="C328" s="75" t="s">
        <v>25</v>
      </c>
      <c r="D328" s="77"/>
      <c r="E328" s="75" t="s">
        <v>26</v>
      </c>
      <c r="F328" s="76"/>
      <c r="G328" s="77"/>
      <c r="H328" s="75" t="s">
        <v>27</v>
      </c>
      <c r="I328" s="77"/>
      <c r="J328" s="78" t="s">
        <v>21</v>
      </c>
      <c r="K328" s="79"/>
      <c r="L328" s="75" t="s">
        <v>22</v>
      </c>
      <c r="M328" s="77"/>
    </row>
    <row r="329" spans="1:13" s="18" customFormat="1" ht="24.75" customHeight="1" thickBot="1">
      <c r="A329" s="99" t="s">
        <v>119</v>
      </c>
      <c r="B329" s="137"/>
      <c r="C329" s="56">
        <v>2</v>
      </c>
      <c r="D329" s="57"/>
      <c r="E329" s="56">
        <v>48</v>
      </c>
      <c r="F329" s="100"/>
      <c r="G329" s="57"/>
      <c r="H329" s="56"/>
      <c r="I329" s="57"/>
      <c r="J329" s="56"/>
      <c r="K329" s="57"/>
      <c r="L329" s="56"/>
      <c r="M329" s="57"/>
    </row>
    <row r="330" spans="1:13" s="18" customFormat="1" ht="25.5" customHeight="1" thickBot="1">
      <c r="A330" s="99"/>
      <c r="B330" s="98"/>
      <c r="C330" s="56"/>
      <c r="D330" s="57"/>
      <c r="E330" s="56"/>
      <c r="F330" s="100"/>
      <c r="G330" s="57"/>
      <c r="H330" s="56"/>
      <c r="I330" s="57"/>
      <c r="J330" s="56"/>
      <c r="K330" s="57"/>
      <c r="L330" s="56"/>
      <c r="M330" s="57"/>
    </row>
    <row r="331" spans="1:13" ht="33" customHeight="1" thickBot="1">
      <c r="A331" s="112" t="s">
        <v>40</v>
      </c>
      <c r="B331" s="113"/>
      <c r="C331" s="113"/>
      <c r="D331" s="113"/>
      <c r="E331" s="113"/>
      <c r="F331" s="113"/>
      <c r="G331" s="113"/>
      <c r="H331" s="113"/>
      <c r="I331" s="113"/>
      <c r="J331" s="113"/>
      <c r="K331" s="113"/>
      <c r="L331" s="113"/>
      <c r="M331" s="114"/>
    </row>
    <row r="332" spans="1:13" ht="16.5" customHeight="1">
      <c r="A332" s="115" t="s">
        <v>41</v>
      </c>
      <c r="B332" s="116"/>
      <c r="C332" s="116"/>
      <c r="D332" s="116"/>
      <c r="E332" s="116"/>
      <c r="F332" s="116"/>
      <c r="G332" s="116"/>
      <c r="H332" s="116"/>
      <c r="I332" s="116"/>
      <c r="J332" s="116"/>
      <c r="K332" s="116"/>
      <c r="L332" s="116"/>
      <c r="M332" s="117"/>
    </row>
    <row r="333" spans="1:13" ht="16.5" customHeight="1">
      <c r="A333" s="90" t="s">
        <v>28</v>
      </c>
      <c r="B333" s="91"/>
      <c r="C333" s="91"/>
      <c r="D333" s="91"/>
      <c r="E333" s="91"/>
      <c r="F333" s="91"/>
      <c r="G333" s="91"/>
      <c r="H333" s="91"/>
      <c r="I333" s="91"/>
      <c r="J333" s="91"/>
      <c r="K333" s="91"/>
      <c r="L333" s="91"/>
      <c r="M333" s="92"/>
    </row>
    <row r="334" spans="1:13" s="1" customFormat="1" ht="16.5" customHeight="1">
      <c r="A334" s="93" t="s">
        <v>56</v>
      </c>
      <c r="B334" s="94"/>
      <c r="C334" s="94"/>
      <c r="D334" s="94"/>
      <c r="E334" s="94"/>
      <c r="F334" s="94"/>
      <c r="G334" s="94"/>
      <c r="H334" s="94"/>
      <c r="I334" s="94"/>
      <c r="J334" s="94"/>
      <c r="K334" s="94"/>
      <c r="L334" s="94"/>
      <c r="M334" s="95"/>
    </row>
    <row r="335" spans="1:13" s="1" customFormat="1" ht="16.5" customHeight="1">
      <c r="A335" s="93" t="s">
        <v>57</v>
      </c>
      <c r="B335" s="94"/>
      <c r="C335" s="94"/>
      <c r="D335" s="94"/>
      <c r="E335" s="94"/>
      <c r="F335" s="94"/>
      <c r="G335" s="94"/>
      <c r="H335" s="94"/>
      <c r="I335" s="94"/>
      <c r="J335" s="94"/>
      <c r="K335" s="94"/>
      <c r="L335" s="94"/>
      <c r="M335" s="95"/>
    </row>
    <row r="336" spans="1:13" s="1" customFormat="1" ht="16.5" customHeight="1">
      <c r="A336" s="93" t="s">
        <v>58</v>
      </c>
      <c r="B336" s="94"/>
      <c r="C336" s="94"/>
      <c r="D336" s="94"/>
      <c r="E336" s="94"/>
      <c r="F336" s="94"/>
      <c r="G336" s="94"/>
      <c r="H336" s="94"/>
      <c r="I336" s="94"/>
      <c r="J336" s="94"/>
      <c r="K336" s="94"/>
      <c r="L336" s="94"/>
      <c r="M336" s="95"/>
    </row>
    <row r="337" spans="1:13" s="1" customFormat="1" ht="16.5" customHeight="1">
      <c r="A337" s="93" t="s">
        <v>59</v>
      </c>
      <c r="B337" s="94"/>
      <c r="C337" s="94"/>
      <c r="D337" s="94"/>
      <c r="E337" s="94"/>
      <c r="F337" s="94"/>
      <c r="G337" s="94"/>
      <c r="H337" s="94"/>
      <c r="I337" s="94"/>
      <c r="J337" s="94"/>
      <c r="K337" s="94"/>
      <c r="L337" s="94"/>
      <c r="M337" s="95"/>
    </row>
    <row r="338" spans="1:13" ht="16.5" customHeight="1">
      <c r="A338" s="106" t="s">
        <v>29</v>
      </c>
      <c r="B338" s="107"/>
      <c r="C338" s="107"/>
      <c r="D338" s="107"/>
      <c r="E338" s="107"/>
      <c r="F338" s="107"/>
      <c r="G338" s="107"/>
      <c r="H338" s="107"/>
      <c r="I338" s="107"/>
      <c r="J338" s="107"/>
      <c r="K338" s="107"/>
      <c r="L338" s="107"/>
      <c r="M338" s="108"/>
    </row>
    <row r="339" spans="1:13" ht="9.75" customHeight="1" thickBot="1">
      <c r="A339" s="109"/>
      <c r="B339" s="110"/>
      <c r="C339" s="110"/>
      <c r="D339" s="110"/>
      <c r="E339" s="110"/>
      <c r="F339" s="110"/>
      <c r="G339" s="110"/>
      <c r="H339" s="110"/>
      <c r="I339" s="110"/>
      <c r="J339" s="110"/>
      <c r="K339" s="110"/>
      <c r="L339" s="110"/>
      <c r="M339" s="111"/>
    </row>
    <row r="340" spans="1:13" ht="18.75" customHeight="1" thickBot="1">
      <c r="A340" s="72" t="s">
        <v>30</v>
      </c>
      <c r="B340" s="73"/>
      <c r="C340" s="73"/>
      <c r="D340" s="73"/>
      <c r="E340" s="73"/>
      <c r="F340" s="73"/>
      <c r="G340" s="73"/>
      <c r="H340" s="73"/>
      <c r="I340" s="73"/>
      <c r="J340" s="73"/>
      <c r="K340" s="73"/>
      <c r="L340" s="73"/>
      <c r="M340" s="74"/>
    </row>
    <row r="341" spans="1:13" ht="24" customHeight="1" thickBot="1">
      <c r="A341" s="72" t="s">
        <v>31</v>
      </c>
      <c r="B341" s="73"/>
      <c r="C341" s="73"/>
      <c r="D341" s="73"/>
      <c r="E341" s="73"/>
      <c r="F341" s="73"/>
      <c r="G341" s="73"/>
      <c r="H341" s="73"/>
      <c r="I341" s="73"/>
      <c r="J341" s="73"/>
      <c r="K341" s="73"/>
      <c r="L341" s="73"/>
      <c r="M341" s="74"/>
    </row>
    <row r="342" spans="1:13" ht="24" customHeight="1" thickBot="1">
      <c r="A342" s="72" t="s">
        <v>187</v>
      </c>
      <c r="B342" s="73"/>
      <c r="C342" s="73"/>
      <c r="D342" s="73"/>
      <c r="E342" s="73"/>
      <c r="F342" s="73"/>
      <c r="G342" s="73"/>
      <c r="H342" s="73"/>
      <c r="I342" s="73"/>
      <c r="J342" s="73"/>
      <c r="K342" s="73"/>
      <c r="L342" s="73"/>
      <c r="M342" s="74"/>
    </row>
    <row r="343" spans="1:13" ht="24" customHeight="1" thickBot="1">
      <c r="A343" s="60" t="s">
        <v>46</v>
      </c>
      <c r="B343" s="61"/>
      <c r="C343" s="61"/>
      <c r="D343" s="61"/>
      <c r="E343" s="61"/>
      <c r="F343" s="61"/>
      <c r="G343" s="61"/>
      <c r="H343" s="61"/>
      <c r="I343" s="61"/>
      <c r="J343" s="61"/>
      <c r="K343" s="61"/>
      <c r="L343" s="61"/>
      <c r="M343" s="62"/>
    </row>
    <row r="344" spans="1:13" ht="11.1" customHeight="1">
      <c r="A344" s="103" t="s">
        <v>47</v>
      </c>
      <c r="B344" s="103"/>
      <c r="C344" s="103"/>
      <c r="D344" s="103"/>
      <c r="E344" s="103"/>
      <c r="F344" s="103"/>
      <c r="G344" s="103"/>
      <c r="H344" s="103"/>
      <c r="I344" s="103"/>
      <c r="J344" s="103"/>
      <c r="K344" s="103"/>
      <c r="L344" s="103"/>
      <c r="M344" s="103"/>
    </row>
    <row r="345" spans="1:13" ht="11.1" customHeight="1">
      <c r="A345" s="104" t="s">
        <v>48</v>
      </c>
      <c r="B345" s="104"/>
      <c r="C345" s="104"/>
      <c r="D345" s="104"/>
      <c r="E345" s="104"/>
      <c r="F345" s="104"/>
      <c r="G345" s="104"/>
      <c r="H345" s="104"/>
      <c r="I345" s="104"/>
      <c r="J345" s="104"/>
      <c r="K345" s="104"/>
      <c r="L345" s="104"/>
      <c r="M345" s="104"/>
    </row>
    <row r="346" spans="1:13" ht="11.1" customHeight="1">
      <c r="A346" s="105" t="s">
        <v>49</v>
      </c>
      <c r="B346" s="105"/>
      <c r="C346" s="105"/>
      <c r="D346" s="105"/>
      <c r="E346" s="105"/>
      <c r="F346" s="105"/>
      <c r="G346" s="105"/>
      <c r="H346" s="105"/>
      <c r="I346" s="105"/>
      <c r="J346" s="105"/>
      <c r="K346" s="105"/>
      <c r="L346" s="105"/>
      <c r="M346" s="105"/>
    </row>
    <row r="347" spans="1:13" ht="11.1" customHeight="1">
      <c r="A347" s="105" t="s">
        <v>50</v>
      </c>
      <c r="B347" s="105"/>
      <c r="C347" s="105"/>
      <c r="D347" s="105"/>
      <c r="E347" s="105"/>
      <c r="F347" s="105"/>
      <c r="G347" s="105"/>
      <c r="H347" s="105"/>
      <c r="I347" s="105"/>
      <c r="J347" s="105"/>
      <c r="K347" s="105"/>
      <c r="L347" s="105"/>
      <c r="M347" s="105"/>
    </row>
    <row r="348" spans="1:13" ht="11.1" customHeight="1">
      <c r="A348" s="104" t="s">
        <v>51</v>
      </c>
      <c r="B348" s="104"/>
      <c r="C348" s="104"/>
      <c r="D348" s="104"/>
      <c r="E348" s="104"/>
      <c r="F348" s="104"/>
      <c r="G348" s="104"/>
      <c r="H348" s="104"/>
      <c r="I348" s="104"/>
      <c r="J348" s="104"/>
      <c r="K348" s="104"/>
      <c r="L348" s="104"/>
      <c r="M348" s="104"/>
    </row>
    <row r="349" spans="1:13" ht="11.1" customHeight="1">
      <c r="A349" s="104" t="s">
        <v>52</v>
      </c>
      <c r="B349" s="104"/>
      <c r="C349" s="104"/>
      <c r="D349" s="104"/>
      <c r="E349" s="104"/>
      <c r="F349" s="104"/>
      <c r="G349" s="104"/>
      <c r="H349" s="104"/>
      <c r="I349" s="104"/>
      <c r="J349" s="104"/>
      <c r="K349" s="104"/>
      <c r="L349" s="104"/>
      <c r="M349" s="104"/>
    </row>
    <row r="350" spans="1:13" ht="11.1" customHeight="1">
      <c r="A350" s="104" t="s">
        <v>53</v>
      </c>
      <c r="B350" s="104"/>
      <c r="C350" s="104"/>
      <c r="D350" s="104"/>
      <c r="E350" s="104"/>
      <c r="F350" s="104"/>
      <c r="G350" s="104"/>
      <c r="H350" s="104"/>
      <c r="I350" s="104"/>
      <c r="J350" s="104"/>
      <c r="K350" s="104"/>
      <c r="L350" s="104"/>
      <c r="M350" s="104"/>
    </row>
    <row r="351" spans="1:13" ht="11.1" customHeight="1">
      <c r="A351" s="101" t="s">
        <v>54</v>
      </c>
      <c r="B351" s="101"/>
      <c r="C351" s="101"/>
      <c r="D351" s="101"/>
      <c r="E351" s="101"/>
      <c r="F351" s="101"/>
      <c r="G351" s="101"/>
      <c r="H351" s="101"/>
      <c r="I351" s="101"/>
      <c r="J351" s="101"/>
      <c r="K351" s="101"/>
      <c r="L351" s="101"/>
      <c r="M351" s="101"/>
    </row>
    <row r="352" spans="1:13" ht="11.1" customHeight="1">
      <c r="A352" s="101" t="s">
        <v>55</v>
      </c>
      <c r="B352" s="101"/>
      <c r="C352" s="101"/>
      <c r="D352" s="101"/>
      <c r="E352" s="101"/>
      <c r="F352" s="101"/>
      <c r="G352" s="101"/>
      <c r="H352" s="101"/>
      <c r="I352" s="101"/>
      <c r="J352" s="101"/>
      <c r="K352" s="101"/>
      <c r="L352" s="101"/>
      <c r="M352" s="101"/>
    </row>
    <row r="353" spans="1:15" ht="19.5" customHeight="1">
      <c r="A353" s="69" t="s">
        <v>0</v>
      </c>
      <c r="B353" s="69"/>
      <c r="C353" s="69"/>
      <c r="D353" s="69"/>
      <c r="E353" s="69"/>
      <c r="F353" s="69"/>
      <c r="G353" s="69"/>
      <c r="H353" s="69"/>
      <c r="I353" s="69"/>
      <c r="J353" s="69"/>
      <c r="K353" s="69"/>
      <c r="L353" s="69"/>
      <c r="M353" s="69"/>
    </row>
    <row r="354" spans="1:15" ht="20.100000000000001" customHeight="1">
      <c r="A354" s="4" t="s">
        <v>32</v>
      </c>
      <c r="B354" s="5">
        <f>+B310+1</f>
        <v>74</v>
      </c>
      <c r="C354" s="35"/>
      <c r="D354" s="35"/>
      <c r="E354" s="35"/>
      <c r="F354" s="35"/>
      <c r="G354" s="35"/>
      <c r="H354" s="35"/>
      <c r="I354" s="35"/>
      <c r="J354" s="35"/>
      <c r="K354" s="35"/>
      <c r="L354" s="35"/>
      <c r="M354" s="35"/>
    </row>
    <row r="355" spans="1:15" ht="24" customHeight="1" thickBot="1">
      <c r="A355" s="4" t="s">
        <v>33</v>
      </c>
      <c r="H355" s="70" t="s">
        <v>34</v>
      </c>
      <c r="I355" s="70"/>
      <c r="J355" s="70"/>
      <c r="K355" s="102">
        <f>+K311+1</f>
        <v>46000</v>
      </c>
      <c r="L355" s="102"/>
      <c r="M355" s="102"/>
      <c r="O355" s="7"/>
    </row>
    <row r="356" spans="1:15" ht="33.75" customHeight="1" thickBot="1">
      <c r="A356" s="80" t="s">
        <v>1</v>
      </c>
      <c r="B356" s="81"/>
      <c r="C356" s="82"/>
      <c r="D356" s="86" t="str">
        <f>+D312</f>
        <v>光明國中B與C區5樓老舊廁所整修工程</v>
      </c>
      <c r="E356" s="87"/>
      <c r="F356" s="87"/>
      <c r="G356" s="88"/>
      <c r="H356" s="80" t="s">
        <v>2</v>
      </c>
      <c r="I356" s="81"/>
      <c r="J356" s="82"/>
      <c r="K356" s="80" t="s">
        <v>35</v>
      </c>
      <c r="L356" s="81"/>
      <c r="M356" s="82"/>
    </row>
    <row r="357" spans="1:15" ht="33.75" customHeight="1" thickBot="1">
      <c r="A357" s="8" t="s">
        <v>3</v>
      </c>
      <c r="B357" s="36">
        <f>+B313</f>
        <v>145</v>
      </c>
      <c r="C357" s="10" t="s">
        <v>36</v>
      </c>
      <c r="D357" s="80" t="s">
        <v>4</v>
      </c>
      <c r="E357" s="89"/>
      <c r="F357" s="37">
        <f>+F313+1</f>
        <v>74</v>
      </c>
      <c r="G357" s="12" t="s">
        <v>36</v>
      </c>
      <c r="H357" s="13" t="s">
        <v>5</v>
      </c>
      <c r="I357" s="36">
        <f>+B357-F357</f>
        <v>71</v>
      </c>
      <c r="J357" s="10" t="s">
        <v>36</v>
      </c>
      <c r="K357" s="80" t="s">
        <v>6</v>
      </c>
      <c r="L357" s="82"/>
      <c r="M357" s="13">
        <f>+M313</f>
        <v>15</v>
      </c>
    </row>
    <row r="358" spans="1:15" ht="24" customHeight="1" thickBot="1">
      <c r="A358" s="80" t="s">
        <v>7</v>
      </c>
      <c r="B358" s="81"/>
      <c r="C358" s="82"/>
      <c r="D358" s="80" t="str">
        <f>+D314</f>
        <v>114.9.27</v>
      </c>
      <c r="E358" s="81"/>
      <c r="F358" s="81"/>
      <c r="G358" s="82"/>
      <c r="H358" s="80" t="s">
        <v>8</v>
      </c>
      <c r="I358" s="81"/>
      <c r="J358" s="82"/>
      <c r="K358" s="80" t="str">
        <f>+K314</f>
        <v>115.2.18</v>
      </c>
      <c r="L358" s="81"/>
      <c r="M358" s="82"/>
    </row>
    <row r="359" spans="1:15" ht="24" customHeight="1" thickBot="1">
      <c r="A359" s="80" t="s">
        <v>37</v>
      </c>
      <c r="B359" s="81"/>
      <c r="C359" s="82"/>
      <c r="D359" s="83">
        <v>0.34799999999999998</v>
      </c>
      <c r="E359" s="84"/>
      <c r="F359" s="84"/>
      <c r="G359" s="85"/>
      <c r="H359" s="80" t="s">
        <v>38</v>
      </c>
      <c r="I359" s="81"/>
      <c r="J359" s="82"/>
      <c r="K359" s="83">
        <f>+K315+1.3%</f>
        <v>0.46900000000000025</v>
      </c>
      <c r="L359" s="84"/>
      <c r="M359" s="85"/>
    </row>
    <row r="360" spans="1:15" ht="24" customHeight="1" thickBot="1">
      <c r="A360" s="72" t="s">
        <v>9</v>
      </c>
      <c r="B360" s="73"/>
      <c r="C360" s="73"/>
      <c r="D360" s="73"/>
      <c r="E360" s="73"/>
      <c r="F360" s="73"/>
      <c r="G360" s="73"/>
      <c r="H360" s="73"/>
      <c r="I360" s="73"/>
      <c r="J360" s="73"/>
      <c r="K360" s="73"/>
      <c r="L360" s="73"/>
      <c r="M360" s="74"/>
    </row>
    <row r="361" spans="1:15" ht="35.25" customHeight="1" thickBot="1">
      <c r="A361" s="75" t="s">
        <v>10</v>
      </c>
      <c r="B361" s="76"/>
      <c r="C361" s="76"/>
      <c r="D361" s="77"/>
      <c r="E361" s="14" t="s">
        <v>11</v>
      </c>
      <c r="F361" s="75" t="s">
        <v>12</v>
      </c>
      <c r="G361" s="77"/>
      <c r="H361" s="75" t="s">
        <v>13</v>
      </c>
      <c r="I361" s="77"/>
      <c r="J361" s="78" t="s">
        <v>61</v>
      </c>
      <c r="K361" s="79"/>
      <c r="L361" s="75" t="s">
        <v>15</v>
      </c>
      <c r="M361" s="77"/>
    </row>
    <row r="362" spans="1:15" ht="27.95" customHeight="1" thickBot="1">
      <c r="A362" s="141" t="s">
        <v>163</v>
      </c>
      <c r="B362" s="149"/>
      <c r="C362" s="149"/>
      <c r="D362" s="150"/>
      <c r="E362" s="2" t="s">
        <v>126</v>
      </c>
      <c r="F362" s="56">
        <v>190</v>
      </c>
      <c r="G362" s="57"/>
      <c r="H362" s="56">
        <v>20</v>
      </c>
      <c r="I362" s="57"/>
      <c r="J362" s="56">
        <v>160</v>
      </c>
      <c r="K362" s="57"/>
      <c r="L362" s="58"/>
      <c r="M362" s="59"/>
    </row>
    <row r="363" spans="1:15" ht="27.95" customHeight="1" thickBot="1">
      <c r="A363" s="141"/>
      <c r="B363" s="142"/>
      <c r="C363" s="142"/>
      <c r="D363" s="143"/>
      <c r="E363" s="15"/>
      <c r="F363" s="56"/>
      <c r="G363" s="57"/>
      <c r="H363" s="56"/>
      <c r="I363" s="57"/>
      <c r="J363" s="56"/>
      <c r="K363" s="57"/>
      <c r="L363" s="58"/>
      <c r="M363" s="59"/>
    </row>
    <row r="364" spans="1:15" ht="24.95" customHeight="1" thickTop="1" thickBot="1">
      <c r="A364" s="130" t="s">
        <v>16</v>
      </c>
      <c r="B364" s="67"/>
      <c r="C364" s="67"/>
      <c r="D364" s="68"/>
      <c r="E364" s="51"/>
      <c r="F364" s="131"/>
      <c r="G364" s="132"/>
      <c r="H364" s="131"/>
      <c r="I364" s="132"/>
      <c r="J364" s="131"/>
      <c r="K364" s="132"/>
      <c r="L364" s="131"/>
      <c r="M364" s="133"/>
    </row>
    <row r="365" spans="1:15" ht="24.95" customHeight="1" thickBot="1">
      <c r="A365" s="134"/>
      <c r="B365" s="135"/>
      <c r="C365" s="135"/>
      <c r="D365" s="59"/>
      <c r="E365" s="51"/>
      <c r="F365" s="58"/>
      <c r="G365" s="59"/>
      <c r="H365" s="58"/>
      <c r="I365" s="59"/>
      <c r="J365" s="58"/>
      <c r="K365" s="59"/>
      <c r="L365" s="58"/>
      <c r="M365" s="136"/>
    </row>
    <row r="366" spans="1:15" ht="24.95" customHeight="1" thickBot="1">
      <c r="A366" s="118"/>
      <c r="B366" s="119"/>
      <c r="C366" s="119"/>
      <c r="D366" s="120"/>
      <c r="E366" s="24"/>
      <c r="F366" s="121"/>
      <c r="G366" s="120"/>
      <c r="H366" s="121"/>
      <c r="I366" s="120"/>
      <c r="J366" s="121"/>
      <c r="K366" s="120"/>
      <c r="L366" s="121"/>
      <c r="M366" s="122"/>
    </row>
    <row r="367" spans="1:15" ht="24" customHeight="1" thickTop="1" thickBot="1">
      <c r="A367" s="66" t="s">
        <v>19</v>
      </c>
      <c r="B367" s="67"/>
      <c r="C367" s="67"/>
      <c r="D367" s="67"/>
      <c r="E367" s="67"/>
      <c r="F367" s="67"/>
      <c r="G367" s="67"/>
      <c r="H367" s="67"/>
      <c r="I367" s="67"/>
      <c r="J367" s="67"/>
      <c r="K367" s="67"/>
      <c r="L367" s="67"/>
      <c r="M367" s="68"/>
    </row>
    <row r="368" spans="1:15" ht="35.25" customHeight="1" thickBot="1">
      <c r="A368" s="75" t="s">
        <v>20</v>
      </c>
      <c r="B368" s="76"/>
      <c r="C368" s="76"/>
      <c r="D368" s="77"/>
      <c r="E368" s="14" t="s">
        <v>11</v>
      </c>
      <c r="F368" s="75" t="s">
        <v>39</v>
      </c>
      <c r="G368" s="77"/>
      <c r="H368" s="75" t="s">
        <v>21</v>
      </c>
      <c r="I368" s="77"/>
      <c r="J368" s="78" t="s">
        <v>22</v>
      </c>
      <c r="K368" s="79"/>
      <c r="L368" s="75" t="s">
        <v>15</v>
      </c>
      <c r="M368" s="77"/>
    </row>
    <row r="369" spans="1:13" ht="24" customHeight="1" thickBot="1">
      <c r="A369" s="96"/>
      <c r="B369" s="97"/>
      <c r="C369" s="97"/>
      <c r="D369" s="98"/>
      <c r="E369" s="51"/>
      <c r="F369" s="58"/>
      <c r="G369" s="59"/>
      <c r="H369" s="58"/>
      <c r="I369" s="59"/>
      <c r="J369" s="56"/>
      <c r="K369" s="57"/>
      <c r="L369" s="58"/>
      <c r="M369" s="59"/>
    </row>
    <row r="370" spans="1:13" ht="24" customHeight="1" thickBot="1">
      <c r="A370" s="96"/>
      <c r="B370" s="97"/>
      <c r="C370" s="97"/>
      <c r="D370" s="98"/>
      <c r="E370" s="51"/>
      <c r="F370" s="58"/>
      <c r="G370" s="59"/>
      <c r="H370" s="58"/>
      <c r="I370" s="59"/>
      <c r="J370" s="56"/>
      <c r="K370" s="57"/>
      <c r="L370" s="58"/>
      <c r="M370" s="59"/>
    </row>
    <row r="371" spans="1:13" ht="24" customHeight="1" thickBot="1">
      <c r="A371" s="60" t="s">
        <v>23</v>
      </c>
      <c r="B371" s="61"/>
      <c r="C371" s="61"/>
      <c r="D371" s="61"/>
      <c r="E371" s="61"/>
      <c r="F371" s="61"/>
      <c r="G371" s="61"/>
      <c r="H371" s="61"/>
      <c r="I371" s="61"/>
      <c r="J371" s="61"/>
      <c r="K371" s="61"/>
      <c r="L371" s="61"/>
      <c r="M371" s="62"/>
    </row>
    <row r="372" spans="1:13" ht="35.25" customHeight="1" thickBot="1">
      <c r="A372" s="75" t="s">
        <v>24</v>
      </c>
      <c r="B372" s="77"/>
      <c r="C372" s="75" t="s">
        <v>25</v>
      </c>
      <c r="D372" s="77"/>
      <c r="E372" s="75" t="s">
        <v>26</v>
      </c>
      <c r="F372" s="76"/>
      <c r="G372" s="77"/>
      <c r="H372" s="75" t="s">
        <v>27</v>
      </c>
      <c r="I372" s="77"/>
      <c r="J372" s="78" t="s">
        <v>21</v>
      </c>
      <c r="K372" s="79"/>
      <c r="L372" s="75" t="s">
        <v>22</v>
      </c>
      <c r="M372" s="77"/>
    </row>
    <row r="373" spans="1:13" s="18" customFormat="1" ht="24.75" customHeight="1" thickBot="1">
      <c r="A373" s="99" t="s">
        <v>119</v>
      </c>
      <c r="B373" s="137"/>
      <c r="C373" s="56">
        <v>2</v>
      </c>
      <c r="D373" s="57"/>
      <c r="E373" s="56">
        <v>50</v>
      </c>
      <c r="F373" s="100"/>
      <c r="G373" s="57"/>
      <c r="H373" s="56"/>
      <c r="I373" s="57"/>
      <c r="J373" s="56"/>
      <c r="K373" s="57"/>
      <c r="L373" s="56"/>
      <c r="M373" s="57"/>
    </row>
    <row r="374" spans="1:13" s="18" customFormat="1" ht="25.5" customHeight="1" thickBot="1">
      <c r="A374" s="99"/>
      <c r="B374" s="98"/>
      <c r="C374" s="56"/>
      <c r="D374" s="57"/>
      <c r="E374" s="56"/>
      <c r="F374" s="100"/>
      <c r="G374" s="57"/>
      <c r="H374" s="56"/>
      <c r="I374" s="57"/>
      <c r="J374" s="56"/>
      <c r="K374" s="57"/>
      <c r="L374" s="56"/>
      <c r="M374" s="57"/>
    </row>
    <row r="375" spans="1:13" ht="33" customHeight="1" thickBot="1">
      <c r="A375" s="112" t="s">
        <v>40</v>
      </c>
      <c r="B375" s="113"/>
      <c r="C375" s="113"/>
      <c r="D375" s="113"/>
      <c r="E375" s="113"/>
      <c r="F375" s="113"/>
      <c r="G375" s="113"/>
      <c r="H375" s="113"/>
      <c r="I375" s="113"/>
      <c r="J375" s="113"/>
      <c r="K375" s="113"/>
      <c r="L375" s="113"/>
      <c r="M375" s="114"/>
    </row>
    <row r="376" spans="1:13" ht="16.5" customHeight="1">
      <c r="A376" s="115" t="s">
        <v>41</v>
      </c>
      <c r="B376" s="116"/>
      <c r="C376" s="116"/>
      <c r="D376" s="116"/>
      <c r="E376" s="116"/>
      <c r="F376" s="116"/>
      <c r="G376" s="116"/>
      <c r="H376" s="116"/>
      <c r="I376" s="116"/>
      <c r="J376" s="116"/>
      <c r="K376" s="116"/>
      <c r="L376" s="116"/>
      <c r="M376" s="117"/>
    </row>
    <row r="377" spans="1:13" ht="16.5" customHeight="1">
      <c r="A377" s="90" t="s">
        <v>28</v>
      </c>
      <c r="B377" s="91"/>
      <c r="C377" s="91"/>
      <c r="D377" s="91"/>
      <c r="E377" s="91"/>
      <c r="F377" s="91"/>
      <c r="G377" s="91"/>
      <c r="H377" s="91"/>
      <c r="I377" s="91"/>
      <c r="J377" s="91"/>
      <c r="K377" s="91"/>
      <c r="L377" s="91"/>
      <c r="M377" s="92"/>
    </row>
    <row r="378" spans="1:13" ht="16.5" customHeight="1">
      <c r="A378" s="93" t="s">
        <v>56</v>
      </c>
      <c r="B378" s="94"/>
      <c r="C378" s="94"/>
      <c r="D378" s="94"/>
      <c r="E378" s="94"/>
      <c r="F378" s="94"/>
      <c r="G378" s="94"/>
      <c r="H378" s="94"/>
      <c r="I378" s="94"/>
      <c r="J378" s="94"/>
      <c r="K378" s="94"/>
      <c r="L378" s="94"/>
      <c r="M378" s="95"/>
    </row>
    <row r="379" spans="1:13" ht="16.5" customHeight="1">
      <c r="A379" s="93" t="s">
        <v>57</v>
      </c>
      <c r="B379" s="94"/>
      <c r="C379" s="94"/>
      <c r="D379" s="94"/>
      <c r="E379" s="94"/>
      <c r="F379" s="94"/>
      <c r="G379" s="94"/>
      <c r="H379" s="94"/>
      <c r="I379" s="94"/>
      <c r="J379" s="94"/>
      <c r="K379" s="94"/>
      <c r="L379" s="94"/>
      <c r="M379" s="95"/>
    </row>
    <row r="380" spans="1:13" ht="16.5" customHeight="1">
      <c r="A380" s="93" t="s">
        <v>58</v>
      </c>
      <c r="B380" s="94"/>
      <c r="C380" s="94"/>
      <c r="D380" s="94"/>
      <c r="E380" s="94"/>
      <c r="F380" s="94"/>
      <c r="G380" s="94"/>
      <c r="H380" s="94"/>
      <c r="I380" s="94"/>
      <c r="J380" s="94"/>
      <c r="K380" s="94"/>
      <c r="L380" s="94"/>
      <c r="M380" s="95"/>
    </row>
    <row r="381" spans="1:13" ht="16.5" customHeight="1">
      <c r="A381" s="93" t="s">
        <v>59</v>
      </c>
      <c r="B381" s="94"/>
      <c r="C381" s="94"/>
      <c r="D381" s="94"/>
      <c r="E381" s="94"/>
      <c r="F381" s="94"/>
      <c r="G381" s="94"/>
      <c r="H381" s="94"/>
      <c r="I381" s="94"/>
      <c r="J381" s="94"/>
      <c r="K381" s="94"/>
      <c r="L381" s="94"/>
      <c r="M381" s="95"/>
    </row>
    <row r="382" spans="1:13" ht="16.5" customHeight="1">
      <c r="A382" s="106" t="s">
        <v>29</v>
      </c>
      <c r="B382" s="107"/>
      <c r="C382" s="107"/>
      <c r="D382" s="107"/>
      <c r="E382" s="107"/>
      <c r="F382" s="107"/>
      <c r="G382" s="107"/>
      <c r="H382" s="107"/>
      <c r="I382" s="107"/>
      <c r="J382" s="107"/>
      <c r="K382" s="107"/>
      <c r="L382" s="107"/>
      <c r="M382" s="108"/>
    </row>
    <row r="383" spans="1:13" ht="9.75" customHeight="1" thickBot="1">
      <c r="A383" s="109"/>
      <c r="B383" s="110"/>
      <c r="C383" s="110"/>
      <c r="D383" s="110"/>
      <c r="E383" s="110"/>
      <c r="F383" s="110"/>
      <c r="G383" s="110"/>
      <c r="H383" s="110"/>
      <c r="I383" s="110"/>
      <c r="J383" s="110"/>
      <c r="K383" s="110"/>
      <c r="L383" s="110"/>
      <c r="M383" s="111"/>
    </row>
    <row r="384" spans="1:13" ht="18.75" customHeight="1" thickBot="1">
      <c r="A384" s="72" t="s">
        <v>30</v>
      </c>
      <c r="B384" s="73"/>
      <c r="C384" s="73"/>
      <c r="D384" s="73"/>
      <c r="E384" s="73"/>
      <c r="F384" s="73"/>
      <c r="G384" s="73"/>
      <c r="H384" s="73"/>
      <c r="I384" s="73"/>
      <c r="J384" s="73"/>
      <c r="K384" s="73"/>
      <c r="L384" s="73"/>
      <c r="M384" s="74"/>
    </row>
    <row r="385" spans="1:15" ht="24" customHeight="1" thickBot="1">
      <c r="A385" s="72" t="s">
        <v>31</v>
      </c>
      <c r="B385" s="73"/>
      <c r="C385" s="73"/>
      <c r="D385" s="73"/>
      <c r="E385" s="73"/>
      <c r="F385" s="73"/>
      <c r="G385" s="73"/>
      <c r="H385" s="73"/>
      <c r="I385" s="73"/>
      <c r="J385" s="73"/>
      <c r="K385" s="73"/>
      <c r="L385" s="73"/>
      <c r="M385" s="74"/>
    </row>
    <row r="386" spans="1:15" ht="24" customHeight="1" thickBot="1">
      <c r="A386" s="72" t="s">
        <v>187</v>
      </c>
      <c r="B386" s="73"/>
      <c r="C386" s="73"/>
      <c r="D386" s="73"/>
      <c r="E386" s="73"/>
      <c r="F386" s="73"/>
      <c r="G386" s="73"/>
      <c r="H386" s="73"/>
      <c r="I386" s="73"/>
      <c r="J386" s="73"/>
      <c r="K386" s="73"/>
      <c r="L386" s="73"/>
      <c r="M386" s="74"/>
    </row>
    <row r="387" spans="1:15" ht="24" customHeight="1" thickBot="1">
      <c r="A387" s="60" t="s">
        <v>46</v>
      </c>
      <c r="B387" s="61"/>
      <c r="C387" s="61"/>
      <c r="D387" s="61"/>
      <c r="E387" s="61"/>
      <c r="F387" s="61"/>
      <c r="G387" s="61"/>
      <c r="H387" s="61"/>
      <c r="I387" s="61"/>
      <c r="J387" s="61"/>
      <c r="K387" s="61"/>
      <c r="L387" s="61"/>
      <c r="M387" s="62"/>
    </row>
    <row r="388" spans="1:15" ht="11.1" customHeight="1">
      <c r="A388" s="103" t="s">
        <v>47</v>
      </c>
      <c r="B388" s="103"/>
      <c r="C388" s="103"/>
      <c r="D388" s="103"/>
      <c r="E388" s="103"/>
      <c r="F388" s="103"/>
      <c r="G388" s="103"/>
      <c r="H388" s="103"/>
      <c r="I388" s="103"/>
      <c r="J388" s="103"/>
      <c r="K388" s="103"/>
      <c r="L388" s="103"/>
      <c r="M388" s="103"/>
    </row>
    <row r="389" spans="1:15" ht="11.1" customHeight="1">
      <c r="A389" s="104" t="s">
        <v>48</v>
      </c>
      <c r="B389" s="104"/>
      <c r="C389" s="104"/>
      <c r="D389" s="104"/>
      <c r="E389" s="104"/>
      <c r="F389" s="104"/>
      <c r="G389" s="104"/>
      <c r="H389" s="104"/>
      <c r="I389" s="104"/>
      <c r="J389" s="104"/>
      <c r="K389" s="104"/>
      <c r="L389" s="104"/>
      <c r="M389" s="104"/>
    </row>
    <row r="390" spans="1:15" ht="11.1" customHeight="1">
      <c r="A390" s="105" t="s">
        <v>49</v>
      </c>
      <c r="B390" s="105"/>
      <c r="C390" s="105"/>
      <c r="D390" s="105"/>
      <c r="E390" s="105"/>
      <c r="F390" s="105"/>
      <c r="G390" s="105"/>
      <c r="H390" s="105"/>
      <c r="I390" s="105"/>
      <c r="J390" s="105"/>
      <c r="K390" s="105"/>
      <c r="L390" s="105"/>
      <c r="M390" s="105"/>
    </row>
    <row r="391" spans="1:15" ht="11.1" customHeight="1">
      <c r="A391" s="105" t="s">
        <v>50</v>
      </c>
      <c r="B391" s="105"/>
      <c r="C391" s="105"/>
      <c r="D391" s="105"/>
      <c r="E391" s="105"/>
      <c r="F391" s="105"/>
      <c r="G391" s="105"/>
      <c r="H391" s="105"/>
      <c r="I391" s="105"/>
      <c r="J391" s="105"/>
      <c r="K391" s="105"/>
      <c r="L391" s="105"/>
      <c r="M391" s="105"/>
    </row>
    <row r="392" spans="1:15" ht="11.1" customHeight="1">
      <c r="A392" s="104" t="s">
        <v>51</v>
      </c>
      <c r="B392" s="104"/>
      <c r="C392" s="104"/>
      <c r="D392" s="104"/>
      <c r="E392" s="104"/>
      <c r="F392" s="104"/>
      <c r="G392" s="104"/>
      <c r="H392" s="104"/>
      <c r="I392" s="104"/>
      <c r="J392" s="104"/>
      <c r="K392" s="104"/>
      <c r="L392" s="104"/>
      <c r="M392" s="104"/>
    </row>
    <row r="393" spans="1:15" ht="11.1" customHeight="1">
      <c r="A393" s="104" t="s">
        <v>52</v>
      </c>
      <c r="B393" s="104"/>
      <c r="C393" s="104"/>
      <c r="D393" s="104"/>
      <c r="E393" s="104"/>
      <c r="F393" s="104"/>
      <c r="G393" s="104"/>
      <c r="H393" s="104"/>
      <c r="I393" s="104"/>
      <c r="J393" s="104"/>
      <c r="K393" s="104"/>
      <c r="L393" s="104"/>
      <c r="M393" s="104"/>
    </row>
    <row r="394" spans="1:15" ht="11.1" customHeight="1">
      <c r="A394" s="104" t="s">
        <v>53</v>
      </c>
      <c r="B394" s="104"/>
      <c r="C394" s="104"/>
      <c r="D394" s="104"/>
      <c r="E394" s="104"/>
      <c r="F394" s="104"/>
      <c r="G394" s="104"/>
      <c r="H394" s="104"/>
      <c r="I394" s="104"/>
      <c r="J394" s="104"/>
      <c r="K394" s="104"/>
      <c r="L394" s="104"/>
      <c r="M394" s="104"/>
    </row>
    <row r="395" spans="1:15" ht="11.1" customHeight="1">
      <c r="A395" s="101" t="s">
        <v>54</v>
      </c>
      <c r="B395" s="101"/>
      <c r="C395" s="101"/>
      <c r="D395" s="101"/>
      <c r="E395" s="101"/>
      <c r="F395" s="101"/>
      <c r="G395" s="101"/>
      <c r="H395" s="101"/>
      <c r="I395" s="101"/>
      <c r="J395" s="101"/>
      <c r="K395" s="101"/>
      <c r="L395" s="101"/>
      <c r="M395" s="101"/>
    </row>
    <row r="396" spans="1:15" ht="11.1" customHeight="1">
      <c r="A396" s="101" t="s">
        <v>55</v>
      </c>
      <c r="B396" s="101"/>
      <c r="C396" s="101"/>
      <c r="D396" s="101"/>
      <c r="E396" s="101"/>
      <c r="F396" s="101"/>
      <c r="G396" s="101"/>
      <c r="H396" s="101"/>
      <c r="I396" s="101"/>
      <c r="J396" s="101"/>
      <c r="K396" s="101"/>
      <c r="L396" s="101"/>
      <c r="M396" s="101"/>
    </row>
    <row r="397" spans="1:15" ht="19.5" customHeight="1">
      <c r="A397" s="69" t="s">
        <v>0</v>
      </c>
      <c r="B397" s="69"/>
      <c r="C397" s="69"/>
      <c r="D397" s="69"/>
      <c r="E397" s="69"/>
      <c r="F397" s="69"/>
      <c r="G397" s="69"/>
      <c r="H397" s="69"/>
      <c r="I397" s="69"/>
      <c r="J397" s="69"/>
      <c r="K397" s="69"/>
      <c r="L397" s="69"/>
      <c r="M397" s="69"/>
    </row>
    <row r="398" spans="1:15" ht="20.100000000000001" customHeight="1">
      <c r="A398" s="4" t="s">
        <v>32</v>
      </c>
      <c r="B398" s="5">
        <f>+B354+1</f>
        <v>75</v>
      </c>
      <c r="C398" s="35"/>
      <c r="D398" s="35"/>
      <c r="E398" s="35"/>
      <c r="F398" s="35"/>
      <c r="G398" s="35"/>
      <c r="H398" s="35"/>
      <c r="I398" s="35"/>
      <c r="J398" s="35"/>
      <c r="K398" s="35"/>
      <c r="L398" s="35"/>
      <c r="M398" s="35"/>
    </row>
    <row r="399" spans="1:15" ht="24" customHeight="1" thickBot="1">
      <c r="A399" s="4" t="s">
        <v>33</v>
      </c>
      <c r="H399" s="70" t="s">
        <v>34</v>
      </c>
      <c r="I399" s="70"/>
      <c r="J399" s="70"/>
      <c r="K399" s="102">
        <f>+K355+1</f>
        <v>46001</v>
      </c>
      <c r="L399" s="102"/>
      <c r="M399" s="102"/>
      <c r="O399" s="7"/>
    </row>
    <row r="400" spans="1:15" ht="33.75" customHeight="1" thickBot="1">
      <c r="A400" s="80" t="s">
        <v>1</v>
      </c>
      <c r="B400" s="81"/>
      <c r="C400" s="82"/>
      <c r="D400" s="86" t="str">
        <f>+D356</f>
        <v>光明國中B與C區5樓老舊廁所整修工程</v>
      </c>
      <c r="E400" s="87"/>
      <c r="F400" s="87"/>
      <c r="G400" s="88"/>
      <c r="H400" s="80" t="s">
        <v>2</v>
      </c>
      <c r="I400" s="81"/>
      <c r="J400" s="82"/>
      <c r="K400" s="80" t="s">
        <v>35</v>
      </c>
      <c r="L400" s="81"/>
      <c r="M400" s="82"/>
    </row>
    <row r="401" spans="1:13" ht="33.75" customHeight="1" thickBot="1">
      <c r="A401" s="8" t="s">
        <v>3</v>
      </c>
      <c r="B401" s="36">
        <f>+B357</f>
        <v>145</v>
      </c>
      <c r="C401" s="10" t="s">
        <v>36</v>
      </c>
      <c r="D401" s="80" t="s">
        <v>4</v>
      </c>
      <c r="E401" s="89"/>
      <c r="F401" s="37">
        <f>+F357+1</f>
        <v>75</v>
      </c>
      <c r="G401" s="12" t="s">
        <v>36</v>
      </c>
      <c r="H401" s="13" t="s">
        <v>5</v>
      </c>
      <c r="I401" s="36">
        <f>+B401-F401</f>
        <v>70</v>
      </c>
      <c r="J401" s="10" t="s">
        <v>36</v>
      </c>
      <c r="K401" s="80" t="s">
        <v>6</v>
      </c>
      <c r="L401" s="82"/>
      <c r="M401" s="13">
        <f>+M357</f>
        <v>15</v>
      </c>
    </row>
    <row r="402" spans="1:13" ht="24" customHeight="1" thickBot="1">
      <c r="A402" s="80" t="s">
        <v>7</v>
      </c>
      <c r="B402" s="81"/>
      <c r="C402" s="82"/>
      <c r="D402" s="80" t="str">
        <f>+D358</f>
        <v>114.9.27</v>
      </c>
      <c r="E402" s="81"/>
      <c r="F402" s="81"/>
      <c r="G402" s="82"/>
      <c r="H402" s="80" t="s">
        <v>8</v>
      </c>
      <c r="I402" s="81"/>
      <c r="J402" s="82"/>
      <c r="K402" s="80" t="str">
        <f>+K358</f>
        <v>115.2.18</v>
      </c>
      <c r="L402" s="81"/>
      <c r="M402" s="82"/>
    </row>
    <row r="403" spans="1:13" ht="24" customHeight="1" thickBot="1">
      <c r="A403" s="80" t="s">
        <v>37</v>
      </c>
      <c r="B403" s="81"/>
      <c r="C403" s="82"/>
      <c r="D403" s="83">
        <v>0.35399999999999998</v>
      </c>
      <c r="E403" s="84"/>
      <c r="F403" s="84"/>
      <c r="G403" s="85"/>
      <c r="H403" s="80" t="s">
        <v>38</v>
      </c>
      <c r="I403" s="81"/>
      <c r="J403" s="82"/>
      <c r="K403" s="83">
        <f>+K359+2%+0.1%</f>
        <v>0.49000000000000027</v>
      </c>
      <c r="L403" s="84"/>
      <c r="M403" s="85"/>
    </row>
    <row r="404" spans="1:13" ht="24" customHeight="1" thickBot="1">
      <c r="A404" s="72" t="s">
        <v>9</v>
      </c>
      <c r="B404" s="73"/>
      <c r="C404" s="73"/>
      <c r="D404" s="73"/>
      <c r="E404" s="73"/>
      <c r="F404" s="73"/>
      <c r="G404" s="73"/>
      <c r="H404" s="73"/>
      <c r="I404" s="73"/>
      <c r="J404" s="73"/>
      <c r="K404" s="73"/>
      <c r="L404" s="73"/>
      <c r="M404" s="74"/>
    </row>
    <row r="405" spans="1:13" ht="33.75" customHeight="1" thickBot="1">
      <c r="A405" s="75" t="s">
        <v>10</v>
      </c>
      <c r="B405" s="76"/>
      <c r="C405" s="76"/>
      <c r="D405" s="77"/>
      <c r="E405" s="14" t="s">
        <v>11</v>
      </c>
      <c r="F405" s="75" t="s">
        <v>12</v>
      </c>
      <c r="G405" s="77"/>
      <c r="H405" s="75" t="s">
        <v>13</v>
      </c>
      <c r="I405" s="77"/>
      <c r="J405" s="78" t="s">
        <v>14</v>
      </c>
      <c r="K405" s="79"/>
      <c r="L405" s="75" t="s">
        <v>15</v>
      </c>
      <c r="M405" s="77"/>
    </row>
    <row r="406" spans="1:13" ht="27" customHeight="1" thickBot="1">
      <c r="A406" s="141" t="s">
        <v>161</v>
      </c>
      <c r="B406" s="142"/>
      <c r="C406" s="142"/>
      <c r="D406" s="143"/>
      <c r="E406" s="2" t="s">
        <v>126</v>
      </c>
      <c r="F406" s="56">
        <v>190</v>
      </c>
      <c r="G406" s="57"/>
      <c r="H406" s="56">
        <v>30</v>
      </c>
      <c r="I406" s="57"/>
      <c r="J406" s="56">
        <v>190</v>
      </c>
      <c r="K406" s="57"/>
      <c r="L406" s="58"/>
      <c r="M406" s="59"/>
    </row>
    <row r="407" spans="1:13" ht="25.5" customHeight="1" thickBot="1">
      <c r="A407" s="141" t="s">
        <v>164</v>
      </c>
      <c r="B407" s="142"/>
      <c r="C407" s="142"/>
      <c r="D407" s="143"/>
      <c r="E407" s="15" t="s">
        <v>69</v>
      </c>
      <c r="F407" s="56">
        <v>1</v>
      </c>
      <c r="G407" s="57"/>
      <c r="H407" s="56">
        <v>0.1</v>
      </c>
      <c r="I407" s="57"/>
      <c r="J407" s="56">
        <v>0.7</v>
      </c>
      <c r="K407" s="57"/>
      <c r="L407" s="58"/>
      <c r="M407" s="59"/>
    </row>
    <row r="408" spans="1:13" ht="27" customHeight="1" thickTop="1" thickBot="1">
      <c r="A408" s="130" t="s">
        <v>16</v>
      </c>
      <c r="B408" s="67"/>
      <c r="C408" s="67"/>
      <c r="D408" s="68"/>
      <c r="E408" s="53"/>
      <c r="F408" s="131"/>
      <c r="G408" s="132"/>
      <c r="H408" s="131"/>
      <c r="I408" s="132"/>
      <c r="J408" s="131"/>
      <c r="K408" s="132"/>
      <c r="L408" s="131"/>
      <c r="M408" s="133"/>
    </row>
    <row r="409" spans="1:13" ht="27" customHeight="1" thickBot="1">
      <c r="A409" s="134" t="s">
        <v>17</v>
      </c>
      <c r="B409" s="135"/>
      <c r="C409" s="135"/>
      <c r="D409" s="59"/>
      <c r="E409" s="38"/>
      <c r="F409" s="58"/>
      <c r="G409" s="59"/>
      <c r="H409" s="58"/>
      <c r="I409" s="59"/>
      <c r="J409" s="58"/>
      <c r="K409" s="59"/>
      <c r="L409" s="58"/>
      <c r="M409" s="136"/>
    </row>
    <row r="410" spans="1:13" ht="27" customHeight="1" thickBot="1">
      <c r="A410" s="118" t="s">
        <v>18</v>
      </c>
      <c r="B410" s="119"/>
      <c r="C410" s="119"/>
      <c r="D410" s="120"/>
      <c r="E410" s="24"/>
      <c r="F410" s="121"/>
      <c r="G410" s="120"/>
      <c r="H410" s="121"/>
      <c r="I410" s="120"/>
      <c r="J410" s="121"/>
      <c r="K410" s="120"/>
      <c r="L410" s="121"/>
      <c r="M410" s="122"/>
    </row>
    <row r="411" spans="1:13" ht="24" customHeight="1" thickTop="1" thickBot="1">
      <c r="A411" s="66" t="s">
        <v>19</v>
      </c>
      <c r="B411" s="67"/>
      <c r="C411" s="67"/>
      <c r="D411" s="67"/>
      <c r="E411" s="67"/>
      <c r="F411" s="67"/>
      <c r="G411" s="67"/>
      <c r="H411" s="67"/>
      <c r="I411" s="67"/>
      <c r="J411" s="67"/>
      <c r="K411" s="67"/>
      <c r="L411" s="67"/>
      <c r="M411" s="68"/>
    </row>
    <row r="412" spans="1:13" ht="31.5" customHeight="1" thickBot="1">
      <c r="A412" s="75" t="s">
        <v>20</v>
      </c>
      <c r="B412" s="76"/>
      <c r="C412" s="76"/>
      <c r="D412" s="77"/>
      <c r="E412" s="14" t="s">
        <v>11</v>
      </c>
      <c r="F412" s="75" t="s">
        <v>39</v>
      </c>
      <c r="G412" s="77"/>
      <c r="H412" s="75" t="s">
        <v>21</v>
      </c>
      <c r="I412" s="77"/>
      <c r="J412" s="78" t="s">
        <v>22</v>
      </c>
      <c r="K412" s="79"/>
      <c r="L412" s="75" t="s">
        <v>15</v>
      </c>
      <c r="M412" s="77"/>
    </row>
    <row r="413" spans="1:13" ht="24" customHeight="1" thickBot="1">
      <c r="A413" s="96"/>
      <c r="B413" s="97"/>
      <c r="C413" s="97"/>
      <c r="D413" s="98"/>
      <c r="E413" s="38"/>
      <c r="F413" s="58"/>
      <c r="G413" s="59"/>
      <c r="H413" s="58"/>
      <c r="I413" s="59"/>
      <c r="J413" s="56"/>
      <c r="K413" s="57"/>
      <c r="L413" s="58"/>
      <c r="M413" s="59"/>
    </row>
    <row r="414" spans="1:13" ht="24" customHeight="1" thickBot="1">
      <c r="A414" s="96"/>
      <c r="B414" s="97"/>
      <c r="C414" s="97"/>
      <c r="D414" s="98"/>
      <c r="E414" s="38"/>
      <c r="F414" s="58"/>
      <c r="G414" s="59"/>
      <c r="H414" s="58"/>
      <c r="I414" s="59"/>
      <c r="J414" s="56"/>
      <c r="K414" s="57"/>
      <c r="L414" s="58"/>
      <c r="M414" s="59"/>
    </row>
    <row r="415" spans="1:13" ht="24" customHeight="1" thickBot="1">
      <c r="A415" s="60" t="s">
        <v>23</v>
      </c>
      <c r="B415" s="61"/>
      <c r="C415" s="61"/>
      <c r="D415" s="61"/>
      <c r="E415" s="61"/>
      <c r="F415" s="61"/>
      <c r="G415" s="61"/>
      <c r="H415" s="61"/>
      <c r="I415" s="61"/>
      <c r="J415" s="61"/>
      <c r="K415" s="61"/>
      <c r="L415" s="61"/>
      <c r="M415" s="62"/>
    </row>
    <row r="416" spans="1:13" ht="35.25" customHeight="1" thickBot="1">
      <c r="A416" s="75" t="s">
        <v>24</v>
      </c>
      <c r="B416" s="77"/>
      <c r="C416" s="75" t="s">
        <v>25</v>
      </c>
      <c r="D416" s="77"/>
      <c r="E416" s="75" t="s">
        <v>26</v>
      </c>
      <c r="F416" s="76"/>
      <c r="G416" s="77"/>
      <c r="H416" s="75" t="s">
        <v>27</v>
      </c>
      <c r="I416" s="77"/>
      <c r="J416" s="78" t="s">
        <v>21</v>
      </c>
      <c r="K416" s="79"/>
      <c r="L416" s="75" t="s">
        <v>22</v>
      </c>
      <c r="M416" s="77"/>
    </row>
    <row r="417" spans="1:13" s="18" customFormat="1" ht="24.75" customHeight="1" thickBot="1">
      <c r="A417" s="99" t="s">
        <v>119</v>
      </c>
      <c r="B417" s="137"/>
      <c r="C417" s="56">
        <v>2</v>
      </c>
      <c r="D417" s="57"/>
      <c r="E417" s="56">
        <v>52</v>
      </c>
      <c r="F417" s="100"/>
      <c r="G417" s="57"/>
      <c r="H417" s="56"/>
      <c r="I417" s="57"/>
      <c r="J417" s="56"/>
      <c r="K417" s="57"/>
      <c r="L417" s="56"/>
      <c r="M417" s="57"/>
    </row>
    <row r="418" spans="1:13" s="18" customFormat="1" ht="25.5" customHeight="1" thickBot="1">
      <c r="A418" s="99"/>
      <c r="B418" s="98"/>
      <c r="C418" s="56"/>
      <c r="D418" s="57"/>
      <c r="E418" s="56"/>
      <c r="F418" s="100"/>
      <c r="G418" s="57"/>
      <c r="H418" s="56"/>
      <c r="I418" s="57"/>
      <c r="J418" s="56"/>
      <c r="K418" s="57"/>
      <c r="L418" s="56"/>
      <c r="M418" s="57"/>
    </row>
    <row r="419" spans="1:13" ht="33" customHeight="1" thickBot="1">
      <c r="A419" s="112" t="s">
        <v>40</v>
      </c>
      <c r="B419" s="113"/>
      <c r="C419" s="113"/>
      <c r="D419" s="113"/>
      <c r="E419" s="113"/>
      <c r="F419" s="113"/>
      <c r="G419" s="113"/>
      <c r="H419" s="113"/>
      <c r="I419" s="113"/>
      <c r="J419" s="113"/>
      <c r="K419" s="113"/>
      <c r="L419" s="113"/>
      <c r="M419" s="114"/>
    </row>
    <row r="420" spans="1:13" ht="16.5" customHeight="1">
      <c r="A420" s="115" t="s">
        <v>41</v>
      </c>
      <c r="B420" s="116"/>
      <c r="C420" s="116"/>
      <c r="D420" s="116"/>
      <c r="E420" s="116"/>
      <c r="F420" s="116"/>
      <c r="G420" s="116"/>
      <c r="H420" s="116"/>
      <c r="I420" s="116"/>
      <c r="J420" s="116"/>
      <c r="K420" s="116"/>
      <c r="L420" s="116"/>
      <c r="M420" s="117"/>
    </row>
    <row r="421" spans="1:13" ht="16.5" customHeight="1">
      <c r="A421" s="90" t="s">
        <v>28</v>
      </c>
      <c r="B421" s="91"/>
      <c r="C421" s="91"/>
      <c r="D421" s="91"/>
      <c r="E421" s="91"/>
      <c r="F421" s="91"/>
      <c r="G421" s="91"/>
      <c r="H421" s="91"/>
      <c r="I421" s="91"/>
      <c r="J421" s="91"/>
      <c r="K421" s="91"/>
      <c r="L421" s="91"/>
      <c r="M421" s="92"/>
    </row>
    <row r="422" spans="1:13" s="1" customFormat="1" ht="16.5" customHeight="1">
      <c r="A422" s="93" t="s">
        <v>56</v>
      </c>
      <c r="B422" s="94"/>
      <c r="C422" s="94"/>
      <c r="D422" s="94"/>
      <c r="E422" s="94"/>
      <c r="F422" s="94"/>
      <c r="G422" s="94"/>
      <c r="H422" s="94"/>
      <c r="I422" s="94"/>
      <c r="J422" s="94"/>
      <c r="K422" s="94"/>
      <c r="L422" s="94"/>
      <c r="M422" s="95"/>
    </row>
    <row r="423" spans="1:13" s="1" customFormat="1" ht="16.5" customHeight="1">
      <c r="A423" s="93" t="s">
        <v>57</v>
      </c>
      <c r="B423" s="94"/>
      <c r="C423" s="94"/>
      <c r="D423" s="94"/>
      <c r="E423" s="94"/>
      <c r="F423" s="94"/>
      <c r="G423" s="94"/>
      <c r="H423" s="94"/>
      <c r="I423" s="94"/>
      <c r="J423" s="94"/>
      <c r="K423" s="94"/>
      <c r="L423" s="94"/>
      <c r="M423" s="95"/>
    </row>
    <row r="424" spans="1:13" s="1" customFormat="1" ht="16.5" customHeight="1">
      <c r="A424" s="93" t="s">
        <v>58</v>
      </c>
      <c r="B424" s="94"/>
      <c r="C424" s="94"/>
      <c r="D424" s="94"/>
      <c r="E424" s="94"/>
      <c r="F424" s="94"/>
      <c r="G424" s="94"/>
      <c r="H424" s="94"/>
      <c r="I424" s="94"/>
      <c r="J424" s="94"/>
      <c r="K424" s="94"/>
      <c r="L424" s="94"/>
      <c r="M424" s="95"/>
    </row>
    <row r="425" spans="1:13" s="1" customFormat="1" ht="16.5" customHeight="1">
      <c r="A425" s="93" t="s">
        <v>59</v>
      </c>
      <c r="B425" s="94"/>
      <c r="C425" s="94"/>
      <c r="D425" s="94"/>
      <c r="E425" s="94"/>
      <c r="F425" s="94"/>
      <c r="G425" s="94"/>
      <c r="H425" s="94"/>
      <c r="I425" s="94"/>
      <c r="J425" s="94"/>
      <c r="K425" s="94"/>
      <c r="L425" s="94"/>
      <c r="M425" s="95"/>
    </row>
    <row r="426" spans="1:13" ht="16.5" customHeight="1">
      <c r="A426" s="106" t="s">
        <v>29</v>
      </c>
      <c r="B426" s="107"/>
      <c r="C426" s="107"/>
      <c r="D426" s="107"/>
      <c r="E426" s="107"/>
      <c r="F426" s="107"/>
      <c r="G426" s="107"/>
      <c r="H426" s="107"/>
      <c r="I426" s="107"/>
      <c r="J426" s="107"/>
      <c r="K426" s="107"/>
      <c r="L426" s="107"/>
      <c r="M426" s="108"/>
    </row>
    <row r="427" spans="1:13" ht="8.25" customHeight="1" thickBot="1">
      <c r="A427" s="109"/>
      <c r="B427" s="110"/>
      <c r="C427" s="110"/>
      <c r="D427" s="110"/>
      <c r="E427" s="110"/>
      <c r="F427" s="110"/>
      <c r="G427" s="110"/>
      <c r="H427" s="110"/>
      <c r="I427" s="110"/>
      <c r="J427" s="110"/>
      <c r="K427" s="110"/>
      <c r="L427" s="110"/>
      <c r="M427" s="111"/>
    </row>
    <row r="428" spans="1:13" ht="18.75" customHeight="1" thickBot="1">
      <c r="A428" s="72" t="s">
        <v>30</v>
      </c>
      <c r="B428" s="73"/>
      <c r="C428" s="73"/>
      <c r="D428" s="73"/>
      <c r="E428" s="73"/>
      <c r="F428" s="73"/>
      <c r="G428" s="73"/>
      <c r="H428" s="73"/>
      <c r="I428" s="73"/>
      <c r="J428" s="73"/>
      <c r="K428" s="73"/>
      <c r="L428" s="73"/>
      <c r="M428" s="74"/>
    </row>
    <row r="429" spans="1:13" ht="24" customHeight="1" thickBot="1">
      <c r="A429" s="72" t="s">
        <v>31</v>
      </c>
      <c r="B429" s="73"/>
      <c r="C429" s="73"/>
      <c r="D429" s="73"/>
      <c r="E429" s="73"/>
      <c r="F429" s="73"/>
      <c r="G429" s="73"/>
      <c r="H429" s="73"/>
      <c r="I429" s="73"/>
      <c r="J429" s="73"/>
      <c r="K429" s="73"/>
      <c r="L429" s="73"/>
      <c r="M429" s="74"/>
    </row>
    <row r="430" spans="1:13" ht="33.75" customHeight="1" thickBot="1">
      <c r="A430" s="72" t="s">
        <v>194</v>
      </c>
      <c r="B430" s="73"/>
      <c r="C430" s="73"/>
      <c r="D430" s="73"/>
      <c r="E430" s="73"/>
      <c r="F430" s="73"/>
      <c r="G430" s="73"/>
      <c r="H430" s="73"/>
      <c r="I430" s="73"/>
      <c r="J430" s="73"/>
      <c r="K430" s="73"/>
      <c r="L430" s="73"/>
      <c r="M430" s="74"/>
    </row>
    <row r="431" spans="1:13" ht="24" customHeight="1" thickBot="1">
      <c r="A431" s="60" t="s">
        <v>46</v>
      </c>
      <c r="B431" s="61"/>
      <c r="C431" s="61"/>
      <c r="D431" s="61"/>
      <c r="E431" s="61"/>
      <c r="F431" s="61"/>
      <c r="G431" s="61"/>
      <c r="H431" s="61"/>
      <c r="I431" s="61"/>
      <c r="J431" s="61"/>
      <c r="K431" s="61"/>
      <c r="L431" s="61"/>
      <c r="M431" s="62"/>
    </row>
    <row r="432" spans="1:13" ht="11.1" customHeight="1">
      <c r="A432" s="103" t="s">
        <v>47</v>
      </c>
      <c r="B432" s="103"/>
      <c r="C432" s="103"/>
      <c r="D432" s="103"/>
      <c r="E432" s="103"/>
      <c r="F432" s="103"/>
      <c r="G432" s="103"/>
      <c r="H432" s="103"/>
      <c r="I432" s="103"/>
      <c r="J432" s="103"/>
      <c r="K432" s="103"/>
      <c r="L432" s="103"/>
      <c r="M432" s="103"/>
    </row>
    <row r="433" spans="1:15" ht="11.1" customHeight="1">
      <c r="A433" s="104" t="s">
        <v>48</v>
      </c>
      <c r="B433" s="104"/>
      <c r="C433" s="104"/>
      <c r="D433" s="104"/>
      <c r="E433" s="104"/>
      <c r="F433" s="104"/>
      <c r="G433" s="104"/>
      <c r="H433" s="104"/>
      <c r="I433" s="104"/>
      <c r="J433" s="104"/>
      <c r="K433" s="104"/>
      <c r="L433" s="104"/>
      <c r="M433" s="104"/>
    </row>
    <row r="434" spans="1:15" ht="11.1" customHeight="1">
      <c r="A434" s="105" t="s">
        <v>49</v>
      </c>
      <c r="B434" s="105"/>
      <c r="C434" s="105"/>
      <c r="D434" s="105"/>
      <c r="E434" s="105"/>
      <c r="F434" s="105"/>
      <c r="G434" s="105"/>
      <c r="H434" s="105"/>
      <c r="I434" s="105"/>
      <c r="J434" s="105"/>
      <c r="K434" s="105"/>
      <c r="L434" s="105"/>
      <c r="M434" s="105"/>
    </row>
    <row r="435" spans="1:15" ht="11.1" customHeight="1">
      <c r="A435" s="105" t="s">
        <v>50</v>
      </c>
      <c r="B435" s="105"/>
      <c r="C435" s="105"/>
      <c r="D435" s="105"/>
      <c r="E435" s="105"/>
      <c r="F435" s="105"/>
      <c r="G435" s="105"/>
      <c r="H435" s="105"/>
      <c r="I435" s="105"/>
      <c r="J435" s="105"/>
      <c r="K435" s="105"/>
      <c r="L435" s="105"/>
      <c r="M435" s="105"/>
    </row>
    <row r="436" spans="1:15" ht="11.1" customHeight="1">
      <c r="A436" s="104" t="s">
        <v>51</v>
      </c>
      <c r="B436" s="104"/>
      <c r="C436" s="104"/>
      <c r="D436" s="104"/>
      <c r="E436" s="104"/>
      <c r="F436" s="104"/>
      <c r="G436" s="104"/>
      <c r="H436" s="104"/>
      <c r="I436" s="104"/>
      <c r="J436" s="104"/>
      <c r="K436" s="104"/>
      <c r="L436" s="104"/>
      <c r="M436" s="104"/>
    </row>
    <row r="437" spans="1:15" ht="11.1" customHeight="1">
      <c r="A437" s="104" t="s">
        <v>52</v>
      </c>
      <c r="B437" s="104"/>
      <c r="C437" s="104"/>
      <c r="D437" s="104"/>
      <c r="E437" s="104"/>
      <c r="F437" s="104"/>
      <c r="G437" s="104"/>
      <c r="H437" s="104"/>
      <c r="I437" s="104"/>
      <c r="J437" s="104"/>
      <c r="K437" s="104"/>
      <c r="L437" s="104"/>
      <c r="M437" s="104"/>
    </row>
    <row r="438" spans="1:15" ht="11.1" customHeight="1">
      <c r="A438" s="104" t="s">
        <v>53</v>
      </c>
      <c r="B438" s="104"/>
      <c r="C438" s="104"/>
      <c r="D438" s="104"/>
      <c r="E438" s="104"/>
      <c r="F438" s="104"/>
      <c r="G438" s="104"/>
      <c r="H438" s="104"/>
      <c r="I438" s="104"/>
      <c r="J438" s="104"/>
      <c r="K438" s="104"/>
      <c r="L438" s="104"/>
      <c r="M438" s="104"/>
    </row>
    <row r="439" spans="1:15" ht="11.1" customHeight="1">
      <c r="A439" s="101" t="s">
        <v>54</v>
      </c>
      <c r="B439" s="101"/>
      <c r="C439" s="101"/>
      <c r="D439" s="101"/>
      <c r="E439" s="101"/>
      <c r="F439" s="101"/>
      <c r="G439" s="101"/>
      <c r="H439" s="101"/>
      <c r="I439" s="101"/>
      <c r="J439" s="101"/>
      <c r="K439" s="101"/>
      <c r="L439" s="101"/>
      <c r="M439" s="101"/>
    </row>
    <row r="440" spans="1:15" ht="11.1" customHeight="1">
      <c r="A440" s="101" t="s">
        <v>55</v>
      </c>
      <c r="B440" s="101"/>
      <c r="C440" s="101"/>
      <c r="D440" s="101"/>
      <c r="E440" s="101"/>
      <c r="F440" s="101"/>
      <c r="G440" s="101"/>
      <c r="H440" s="101"/>
      <c r="I440" s="101"/>
      <c r="J440" s="101"/>
      <c r="K440" s="101"/>
      <c r="L440" s="101"/>
      <c r="M440" s="101"/>
    </row>
    <row r="441" spans="1:15" ht="19.5" customHeight="1">
      <c r="A441" s="69" t="s">
        <v>0</v>
      </c>
      <c r="B441" s="69"/>
      <c r="C441" s="69"/>
      <c r="D441" s="69"/>
      <c r="E441" s="69"/>
      <c r="F441" s="69"/>
      <c r="G441" s="69"/>
      <c r="H441" s="69"/>
      <c r="I441" s="69"/>
      <c r="J441" s="69"/>
      <c r="K441" s="69"/>
      <c r="L441" s="69"/>
      <c r="M441" s="69"/>
    </row>
    <row r="442" spans="1:15" ht="20.100000000000001" customHeight="1">
      <c r="A442" s="4" t="s">
        <v>32</v>
      </c>
      <c r="B442" s="5">
        <f>+B398+1</f>
        <v>76</v>
      </c>
      <c r="C442" s="35"/>
      <c r="D442" s="35"/>
      <c r="E442" s="35"/>
      <c r="F442" s="35"/>
      <c r="G442" s="35"/>
      <c r="H442" s="35"/>
      <c r="I442" s="35"/>
      <c r="J442" s="35"/>
      <c r="K442" s="35"/>
      <c r="L442" s="35"/>
      <c r="M442" s="35"/>
    </row>
    <row r="443" spans="1:15" ht="24" customHeight="1" thickBot="1">
      <c r="A443" s="4" t="s">
        <v>33</v>
      </c>
      <c r="H443" s="70" t="s">
        <v>34</v>
      </c>
      <c r="I443" s="70"/>
      <c r="J443" s="70"/>
      <c r="K443" s="102">
        <f>+K399+1</f>
        <v>46002</v>
      </c>
      <c r="L443" s="102"/>
      <c r="M443" s="102"/>
      <c r="O443" s="7"/>
    </row>
    <row r="444" spans="1:15" ht="33.75" customHeight="1" thickBot="1">
      <c r="A444" s="80" t="s">
        <v>1</v>
      </c>
      <c r="B444" s="81"/>
      <c r="C444" s="82"/>
      <c r="D444" s="86" t="str">
        <f>+D400</f>
        <v>光明國中B與C區5樓老舊廁所整修工程</v>
      </c>
      <c r="E444" s="87"/>
      <c r="F444" s="87"/>
      <c r="G444" s="88"/>
      <c r="H444" s="80" t="s">
        <v>2</v>
      </c>
      <c r="I444" s="81"/>
      <c r="J444" s="82"/>
      <c r="K444" s="80" t="s">
        <v>35</v>
      </c>
      <c r="L444" s="81"/>
      <c r="M444" s="82"/>
    </row>
    <row r="445" spans="1:15" ht="33.75" customHeight="1" thickBot="1">
      <c r="A445" s="8" t="s">
        <v>3</v>
      </c>
      <c r="B445" s="36">
        <f>+B401</f>
        <v>145</v>
      </c>
      <c r="C445" s="10" t="s">
        <v>36</v>
      </c>
      <c r="D445" s="80" t="s">
        <v>4</v>
      </c>
      <c r="E445" s="89"/>
      <c r="F445" s="37">
        <f>+F401+1</f>
        <v>76</v>
      </c>
      <c r="G445" s="12" t="s">
        <v>36</v>
      </c>
      <c r="H445" s="13" t="s">
        <v>5</v>
      </c>
      <c r="I445" s="36">
        <f>+B445-F445</f>
        <v>69</v>
      </c>
      <c r="J445" s="10" t="s">
        <v>36</v>
      </c>
      <c r="K445" s="80" t="s">
        <v>6</v>
      </c>
      <c r="L445" s="82"/>
      <c r="M445" s="13">
        <f>+M401</f>
        <v>15</v>
      </c>
    </row>
    <row r="446" spans="1:15" ht="24" customHeight="1" thickBot="1">
      <c r="A446" s="80" t="s">
        <v>7</v>
      </c>
      <c r="B446" s="81"/>
      <c r="C446" s="82"/>
      <c r="D446" s="80" t="str">
        <f>+D402</f>
        <v>114.9.27</v>
      </c>
      <c r="E446" s="81"/>
      <c r="F446" s="81"/>
      <c r="G446" s="82"/>
      <c r="H446" s="80" t="s">
        <v>8</v>
      </c>
      <c r="I446" s="81"/>
      <c r="J446" s="82"/>
      <c r="K446" s="80" t="str">
        <f>+K402</f>
        <v>115.2.18</v>
      </c>
      <c r="L446" s="81"/>
      <c r="M446" s="82"/>
    </row>
    <row r="447" spans="1:15" ht="24" customHeight="1" thickBot="1">
      <c r="A447" s="80" t="s">
        <v>37</v>
      </c>
      <c r="B447" s="81"/>
      <c r="C447" s="82"/>
      <c r="D447" s="83">
        <v>0.36</v>
      </c>
      <c r="E447" s="84"/>
      <c r="F447" s="84"/>
      <c r="G447" s="85"/>
      <c r="H447" s="80" t="s">
        <v>38</v>
      </c>
      <c r="I447" s="81"/>
      <c r="J447" s="82"/>
      <c r="K447" s="83">
        <f>+K403+4.2%+1.5%</f>
        <v>0.54700000000000026</v>
      </c>
      <c r="L447" s="84"/>
      <c r="M447" s="85"/>
    </row>
    <row r="448" spans="1:15" ht="24" customHeight="1" thickBot="1">
      <c r="A448" s="72" t="s">
        <v>9</v>
      </c>
      <c r="B448" s="73"/>
      <c r="C448" s="73"/>
      <c r="D448" s="73"/>
      <c r="E448" s="73"/>
      <c r="F448" s="73"/>
      <c r="G448" s="73"/>
      <c r="H448" s="73"/>
      <c r="I448" s="73"/>
      <c r="J448" s="73"/>
      <c r="K448" s="73"/>
      <c r="L448" s="73"/>
      <c r="M448" s="74"/>
    </row>
    <row r="449" spans="1:13" ht="33.75" customHeight="1" thickBot="1">
      <c r="A449" s="75" t="s">
        <v>10</v>
      </c>
      <c r="B449" s="76"/>
      <c r="C449" s="76"/>
      <c r="D449" s="77"/>
      <c r="E449" s="14" t="s">
        <v>11</v>
      </c>
      <c r="F449" s="75" t="s">
        <v>12</v>
      </c>
      <c r="G449" s="77"/>
      <c r="H449" s="75" t="s">
        <v>13</v>
      </c>
      <c r="I449" s="77"/>
      <c r="J449" s="78" t="s">
        <v>14</v>
      </c>
      <c r="K449" s="79"/>
      <c r="L449" s="75" t="s">
        <v>15</v>
      </c>
      <c r="M449" s="77"/>
    </row>
    <row r="450" spans="1:13" ht="27.95" customHeight="1" thickBot="1">
      <c r="A450" s="141" t="s">
        <v>167</v>
      </c>
      <c r="B450" s="142"/>
      <c r="C450" s="142"/>
      <c r="D450" s="143"/>
      <c r="E450" s="50" t="s">
        <v>69</v>
      </c>
      <c r="F450" s="56">
        <v>1</v>
      </c>
      <c r="G450" s="57"/>
      <c r="H450" s="56">
        <v>0.4</v>
      </c>
      <c r="I450" s="57"/>
      <c r="J450" s="56">
        <v>0.7</v>
      </c>
      <c r="K450" s="57"/>
      <c r="L450" s="58"/>
      <c r="M450" s="59"/>
    </row>
    <row r="451" spans="1:13" ht="27.95" customHeight="1" thickBot="1">
      <c r="A451" s="141" t="s">
        <v>159</v>
      </c>
      <c r="B451" s="142"/>
      <c r="C451" s="142"/>
      <c r="D451" s="143"/>
      <c r="E451" s="15" t="s">
        <v>160</v>
      </c>
      <c r="F451" s="56">
        <v>83</v>
      </c>
      <c r="G451" s="57"/>
      <c r="H451" s="56">
        <v>30</v>
      </c>
      <c r="I451" s="57"/>
      <c r="J451" s="56">
        <v>30</v>
      </c>
      <c r="K451" s="57"/>
      <c r="L451" s="58"/>
      <c r="M451" s="59"/>
    </row>
    <row r="452" spans="1:13" ht="24.95" customHeight="1" thickTop="1" thickBot="1">
      <c r="A452" s="130" t="s">
        <v>16</v>
      </c>
      <c r="B452" s="67"/>
      <c r="C452" s="67"/>
      <c r="D452" s="68"/>
      <c r="E452" s="38"/>
      <c r="F452" s="131"/>
      <c r="G452" s="132"/>
      <c r="H452" s="131"/>
      <c r="I452" s="132"/>
      <c r="J452" s="131"/>
      <c r="K452" s="132"/>
      <c r="L452" s="131"/>
      <c r="M452" s="133"/>
    </row>
    <row r="453" spans="1:13" ht="24.95" customHeight="1" thickBot="1">
      <c r="A453" s="134" t="s">
        <v>17</v>
      </c>
      <c r="B453" s="135"/>
      <c r="C453" s="135"/>
      <c r="D453" s="59"/>
      <c r="E453" s="38"/>
      <c r="F453" s="58"/>
      <c r="G453" s="59"/>
      <c r="H453" s="58"/>
      <c r="I453" s="59"/>
      <c r="J453" s="58"/>
      <c r="K453" s="59"/>
      <c r="L453" s="58"/>
      <c r="M453" s="136"/>
    </row>
    <row r="454" spans="1:13" ht="24.95" customHeight="1" thickBot="1">
      <c r="A454" s="118" t="s">
        <v>18</v>
      </c>
      <c r="B454" s="119"/>
      <c r="C454" s="119"/>
      <c r="D454" s="120"/>
      <c r="E454" s="24"/>
      <c r="F454" s="121"/>
      <c r="G454" s="120"/>
      <c r="H454" s="121"/>
      <c r="I454" s="120"/>
      <c r="J454" s="121"/>
      <c r="K454" s="120"/>
      <c r="L454" s="121"/>
      <c r="M454" s="122"/>
    </row>
    <row r="455" spans="1:13" ht="24" customHeight="1" thickTop="1" thickBot="1">
      <c r="A455" s="66" t="s">
        <v>19</v>
      </c>
      <c r="B455" s="67"/>
      <c r="C455" s="67"/>
      <c r="D455" s="67"/>
      <c r="E455" s="67"/>
      <c r="F455" s="67"/>
      <c r="G455" s="67"/>
      <c r="H455" s="67"/>
      <c r="I455" s="67"/>
      <c r="J455" s="67"/>
      <c r="K455" s="67"/>
      <c r="L455" s="67"/>
      <c r="M455" s="68"/>
    </row>
    <row r="456" spans="1:13" ht="35.25" customHeight="1" thickBot="1">
      <c r="A456" s="75" t="s">
        <v>20</v>
      </c>
      <c r="B456" s="76"/>
      <c r="C456" s="76"/>
      <c r="D456" s="77"/>
      <c r="E456" s="14" t="s">
        <v>11</v>
      </c>
      <c r="F456" s="75" t="s">
        <v>39</v>
      </c>
      <c r="G456" s="77"/>
      <c r="H456" s="75" t="s">
        <v>21</v>
      </c>
      <c r="I456" s="77"/>
      <c r="J456" s="78" t="s">
        <v>22</v>
      </c>
      <c r="K456" s="79"/>
      <c r="L456" s="75" t="s">
        <v>15</v>
      </c>
      <c r="M456" s="77"/>
    </row>
    <row r="457" spans="1:13" ht="24" customHeight="1" thickBot="1">
      <c r="A457" s="96"/>
      <c r="B457" s="97"/>
      <c r="C457" s="97"/>
      <c r="D457" s="98"/>
      <c r="E457" s="38"/>
      <c r="F457" s="58"/>
      <c r="G457" s="59"/>
      <c r="H457" s="58"/>
      <c r="I457" s="59"/>
      <c r="J457" s="56"/>
      <c r="K457" s="57"/>
      <c r="L457" s="58"/>
      <c r="M457" s="59"/>
    </row>
    <row r="458" spans="1:13" ht="24" customHeight="1" thickBot="1">
      <c r="A458" s="96"/>
      <c r="B458" s="97"/>
      <c r="C458" s="97"/>
      <c r="D458" s="98"/>
      <c r="E458" s="38"/>
      <c r="F458" s="58"/>
      <c r="G458" s="59"/>
      <c r="H458" s="58"/>
      <c r="I458" s="59"/>
      <c r="J458" s="56"/>
      <c r="K458" s="57"/>
      <c r="L458" s="58"/>
      <c r="M458" s="59"/>
    </row>
    <row r="459" spans="1:13" ht="24" customHeight="1" thickBot="1">
      <c r="A459" s="60" t="s">
        <v>23</v>
      </c>
      <c r="B459" s="61"/>
      <c r="C459" s="61"/>
      <c r="D459" s="61"/>
      <c r="E459" s="61"/>
      <c r="F459" s="61"/>
      <c r="G459" s="61"/>
      <c r="H459" s="61"/>
      <c r="I459" s="61"/>
      <c r="J459" s="61"/>
      <c r="K459" s="61"/>
      <c r="L459" s="61"/>
      <c r="M459" s="62"/>
    </row>
    <row r="460" spans="1:13" ht="32.25" customHeight="1" thickBot="1">
      <c r="A460" s="75" t="s">
        <v>24</v>
      </c>
      <c r="B460" s="77"/>
      <c r="C460" s="75" t="s">
        <v>25</v>
      </c>
      <c r="D460" s="77"/>
      <c r="E460" s="75" t="s">
        <v>26</v>
      </c>
      <c r="F460" s="76"/>
      <c r="G460" s="77"/>
      <c r="H460" s="75" t="s">
        <v>27</v>
      </c>
      <c r="I460" s="77"/>
      <c r="J460" s="78" t="s">
        <v>21</v>
      </c>
      <c r="K460" s="79"/>
      <c r="L460" s="75" t="s">
        <v>22</v>
      </c>
      <c r="M460" s="77"/>
    </row>
    <row r="461" spans="1:13" s="18" customFormat="1" ht="24.75" customHeight="1" thickBot="1">
      <c r="A461" s="99" t="s">
        <v>70</v>
      </c>
      <c r="B461" s="98"/>
      <c r="C461" s="56">
        <v>2</v>
      </c>
      <c r="D461" s="57"/>
      <c r="E461" s="56">
        <v>4</v>
      </c>
      <c r="F461" s="100"/>
      <c r="G461" s="57"/>
      <c r="H461" s="56"/>
      <c r="I461" s="57"/>
      <c r="J461" s="56"/>
      <c r="K461" s="57"/>
      <c r="L461" s="56"/>
      <c r="M461" s="57"/>
    </row>
    <row r="462" spans="1:13" s="18" customFormat="1" ht="25.5" customHeight="1" thickBot="1">
      <c r="A462" s="99"/>
      <c r="B462" s="98"/>
      <c r="C462" s="56"/>
      <c r="D462" s="57"/>
      <c r="E462" s="56"/>
      <c r="F462" s="100"/>
      <c r="G462" s="57"/>
      <c r="H462" s="56"/>
      <c r="I462" s="57"/>
      <c r="J462" s="56"/>
      <c r="K462" s="57"/>
      <c r="L462" s="56"/>
      <c r="M462" s="57"/>
    </row>
    <row r="463" spans="1:13" ht="33" customHeight="1" thickBot="1">
      <c r="A463" s="112" t="s">
        <v>40</v>
      </c>
      <c r="B463" s="113"/>
      <c r="C463" s="113"/>
      <c r="D463" s="113"/>
      <c r="E463" s="113"/>
      <c r="F463" s="113"/>
      <c r="G463" s="113"/>
      <c r="H463" s="113"/>
      <c r="I463" s="113"/>
      <c r="J463" s="113"/>
      <c r="K463" s="113"/>
      <c r="L463" s="113"/>
      <c r="M463" s="114"/>
    </row>
    <row r="464" spans="1:13" ht="16.5" customHeight="1">
      <c r="A464" s="115" t="s">
        <v>41</v>
      </c>
      <c r="B464" s="116"/>
      <c r="C464" s="116"/>
      <c r="D464" s="116"/>
      <c r="E464" s="116"/>
      <c r="F464" s="116"/>
      <c r="G464" s="116"/>
      <c r="H464" s="116"/>
      <c r="I464" s="116"/>
      <c r="J464" s="116"/>
      <c r="K464" s="116"/>
      <c r="L464" s="116"/>
      <c r="M464" s="117"/>
    </row>
    <row r="465" spans="1:13" ht="16.5" customHeight="1">
      <c r="A465" s="90" t="s">
        <v>28</v>
      </c>
      <c r="B465" s="91"/>
      <c r="C465" s="91"/>
      <c r="D465" s="91"/>
      <c r="E465" s="91"/>
      <c r="F465" s="91"/>
      <c r="G465" s="91"/>
      <c r="H465" s="91"/>
      <c r="I465" s="91"/>
      <c r="J465" s="91"/>
      <c r="K465" s="91"/>
      <c r="L465" s="91"/>
      <c r="M465" s="92"/>
    </row>
    <row r="466" spans="1:13" s="1" customFormat="1" ht="16.5" customHeight="1">
      <c r="A466" s="93" t="s">
        <v>56</v>
      </c>
      <c r="B466" s="94"/>
      <c r="C466" s="94"/>
      <c r="D466" s="94"/>
      <c r="E466" s="94"/>
      <c r="F466" s="94"/>
      <c r="G466" s="94"/>
      <c r="H466" s="94"/>
      <c r="I466" s="94"/>
      <c r="J466" s="94"/>
      <c r="K466" s="94"/>
      <c r="L466" s="94"/>
      <c r="M466" s="95"/>
    </row>
    <row r="467" spans="1:13" s="1" customFormat="1" ht="16.5" customHeight="1">
      <c r="A467" s="93" t="s">
        <v>57</v>
      </c>
      <c r="B467" s="94"/>
      <c r="C467" s="94"/>
      <c r="D467" s="94"/>
      <c r="E467" s="94"/>
      <c r="F467" s="94"/>
      <c r="G467" s="94"/>
      <c r="H467" s="94"/>
      <c r="I467" s="94"/>
      <c r="J467" s="94"/>
      <c r="K467" s="94"/>
      <c r="L467" s="94"/>
      <c r="M467" s="95"/>
    </row>
    <row r="468" spans="1:13" s="1" customFormat="1" ht="16.5" customHeight="1">
      <c r="A468" s="93" t="s">
        <v>58</v>
      </c>
      <c r="B468" s="94"/>
      <c r="C468" s="94"/>
      <c r="D468" s="94"/>
      <c r="E468" s="94"/>
      <c r="F468" s="94"/>
      <c r="G468" s="94"/>
      <c r="H468" s="94"/>
      <c r="I468" s="94"/>
      <c r="J468" s="94"/>
      <c r="K468" s="94"/>
      <c r="L468" s="94"/>
      <c r="M468" s="95"/>
    </row>
    <row r="469" spans="1:13" s="1" customFormat="1" ht="16.5" customHeight="1">
      <c r="A469" s="93" t="s">
        <v>59</v>
      </c>
      <c r="B469" s="94"/>
      <c r="C469" s="94"/>
      <c r="D469" s="94"/>
      <c r="E469" s="94"/>
      <c r="F469" s="94"/>
      <c r="G469" s="94"/>
      <c r="H469" s="94"/>
      <c r="I469" s="94"/>
      <c r="J469" s="94"/>
      <c r="K469" s="94"/>
      <c r="L469" s="94"/>
      <c r="M469" s="95"/>
    </row>
    <row r="470" spans="1:13" ht="16.5" customHeight="1">
      <c r="A470" s="106" t="s">
        <v>29</v>
      </c>
      <c r="B470" s="107"/>
      <c r="C470" s="107"/>
      <c r="D470" s="107"/>
      <c r="E470" s="107"/>
      <c r="F470" s="107"/>
      <c r="G470" s="107"/>
      <c r="H470" s="107"/>
      <c r="I470" s="107"/>
      <c r="J470" s="107"/>
      <c r="K470" s="107"/>
      <c r="L470" s="107"/>
      <c r="M470" s="108"/>
    </row>
    <row r="471" spans="1:13" ht="5.25" customHeight="1" thickBot="1">
      <c r="A471" s="109"/>
      <c r="B471" s="110"/>
      <c r="C471" s="110"/>
      <c r="D471" s="110"/>
      <c r="E471" s="110"/>
      <c r="F471" s="110"/>
      <c r="G471" s="110"/>
      <c r="H471" s="110"/>
      <c r="I471" s="110"/>
      <c r="J471" s="110"/>
      <c r="K471" s="110"/>
      <c r="L471" s="110"/>
      <c r="M471" s="111"/>
    </row>
    <row r="472" spans="1:13" ht="18.75" customHeight="1" thickBot="1">
      <c r="A472" s="72" t="s">
        <v>30</v>
      </c>
      <c r="B472" s="73"/>
      <c r="C472" s="73"/>
      <c r="D472" s="73"/>
      <c r="E472" s="73"/>
      <c r="F472" s="73"/>
      <c r="G472" s="73"/>
      <c r="H472" s="73"/>
      <c r="I472" s="73"/>
      <c r="J472" s="73"/>
      <c r="K472" s="73"/>
      <c r="L472" s="73"/>
      <c r="M472" s="74"/>
    </row>
    <row r="473" spans="1:13" ht="24" customHeight="1" thickBot="1">
      <c r="A473" s="72" t="s">
        <v>31</v>
      </c>
      <c r="B473" s="73"/>
      <c r="C473" s="73"/>
      <c r="D473" s="73"/>
      <c r="E473" s="73"/>
      <c r="F473" s="73"/>
      <c r="G473" s="73"/>
      <c r="H473" s="73"/>
      <c r="I473" s="73"/>
      <c r="J473" s="73"/>
      <c r="K473" s="73"/>
      <c r="L473" s="73"/>
      <c r="M473" s="74"/>
    </row>
    <row r="474" spans="1:13" ht="24" customHeight="1" thickBot="1">
      <c r="A474" s="72" t="s">
        <v>188</v>
      </c>
      <c r="B474" s="73"/>
      <c r="C474" s="73"/>
      <c r="D474" s="73"/>
      <c r="E474" s="73"/>
      <c r="F474" s="73"/>
      <c r="G474" s="73"/>
      <c r="H474" s="73"/>
      <c r="I474" s="73"/>
      <c r="J474" s="73"/>
      <c r="K474" s="73"/>
      <c r="L474" s="73"/>
      <c r="M474" s="74"/>
    </row>
    <row r="475" spans="1:13" ht="24" customHeight="1" thickBot="1">
      <c r="A475" s="60" t="s">
        <v>46</v>
      </c>
      <c r="B475" s="61"/>
      <c r="C475" s="61"/>
      <c r="D475" s="61"/>
      <c r="E475" s="61"/>
      <c r="F475" s="61"/>
      <c r="G475" s="61"/>
      <c r="H475" s="61"/>
      <c r="I475" s="61"/>
      <c r="J475" s="61"/>
      <c r="K475" s="61"/>
      <c r="L475" s="61"/>
      <c r="M475" s="62"/>
    </row>
    <row r="476" spans="1:13" ht="11.1" customHeight="1">
      <c r="A476" s="103" t="s">
        <v>47</v>
      </c>
      <c r="B476" s="103"/>
      <c r="C476" s="103"/>
      <c r="D476" s="103"/>
      <c r="E476" s="103"/>
      <c r="F476" s="103"/>
      <c r="G476" s="103"/>
      <c r="H476" s="103"/>
      <c r="I476" s="103"/>
      <c r="J476" s="103"/>
      <c r="K476" s="103"/>
      <c r="L476" s="103"/>
      <c r="M476" s="103"/>
    </row>
    <row r="477" spans="1:13" ht="11.1" customHeight="1">
      <c r="A477" s="104" t="s">
        <v>48</v>
      </c>
      <c r="B477" s="104"/>
      <c r="C477" s="104"/>
      <c r="D477" s="104"/>
      <c r="E477" s="104"/>
      <c r="F477" s="104"/>
      <c r="G477" s="104"/>
      <c r="H477" s="104"/>
      <c r="I477" s="104"/>
      <c r="J477" s="104"/>
      <c r="K477" s="104"/>
      <c r="L477" s="104"/>
      <c r="M477" s="104"/>
    </row>
    <row r="478" spans="1:13" ht="11.1" customHeight="1">
      <c r="A478" s="105" t="s">
        <v>49</v>
      </c>
      <c r="B478" s="105"/>
      <c r="C478" s="105"/>
      <c r="D478" s="105"/>
      <c r="E478" s="105"/>
      <c r="F478" s="105"/>
      <c r="G478" s="105"/>
      <c r="H478" s="105"/>
      <c r="I478" s="105"/>
      <c r="J478" s="105"/>
      <c r="K478" s="105"/>
      <c r="L478" s="105"/>
      <c r="M478" s="105"/>
    </row>
    <row r="479" spans="1:13" ht="11.1" customHeight="1">
      <c r="A479" s="105" t="s">
        <v>50</v>
      </c>
      <c r="B479" s="105"/>
      <c r="C479" s="105"/>
      <c r="D479" s="105"/>
      <c r="E479" s="105"/>
      <c r="F479" s="105"/>
      <c r="G479" s="105"/>
      <c r="H479" s="105"/>
      <c r="I479" s="105"/>
      <c r="J479" s="105"/>
      <c r="K479" s="105"/>
      <c r="L479" s="105"/>
      <c r="M479" s="105"/>
    </row>
    <row r="480" spans="1:13" ht="11.1" customHeight="1">
      <c r="A480" s="104" t="s">
        <v>51</v>
      </c>
      <c r="B480" s="104"/>
      <c r="C480" s="104"/>
      <c r="D480" s="104"/>
      <c r="E480" s="104"/>
      <c r="F480" s="104"/>
      <c r="G480" s="104"/>
      <c r="H480" s="104"/>
      <c r="I480" s="104"/>
      <c r="J480" s="104"/>
      <c r="K480" s="104"/>
      <c r="L480" s="104"/>
      <c r="M480" s="104"/>
    </row>
    <row r="481" spans="1:15" ht="11.1" customHeight="1">
      <c r="A481" s="104" t="s">
        <v>52</v>
      </c>
      <c r="B481" s="104"/>
      <c r="C481" s="104"/>
      <c r="D481" s="104"/>
      <c r="E481" s="104"/>
      <c r="F481" s="104"/>
      <c r="G481" s="104"/>
      <c r="H481" s="104"/>
      <c r="I481" s="104"/>
      <c r="J481" s="104"/>
      <c r="K481" s="104"/>
      <c r="L481" s="104"/>
      <c r="M481" s="104"/>
    </row>
    <row r="482" spans="1:15" ht="11.1" customHeight="1">
      <c r="A482" s="104" t="s">
        <v>53</v>
      </c>
      <c r="B482" s="104"/>
      <c r="C482" s="104"/>
      <c r="D482" s="104"/>
      <c r="E482" s="104"/>
      <c r="F482" s="104"/>
      <c r="G482" s="104"/>
      <c r="H482" s="104"/>
      <c r="I482" s="104"/>
      <c r="J482" s="104"/>
      <c r="K482" s="104"/>
      <c r="L482" s="104"/>
      <c r="M482" s="104"/>
    </row>
    <row r="483" spans="1:15" ht="11.1" customHeight="1">
      <c r="A483" s="101" t="s">
        <v>54</v>
      </c>
      <c r="B483" s="101"/>
      <c r="C483" s="101"/>
      <c r="D483" s="101"/>
      <c r="E483" s="101"/>
      <c r="F483" s="101"/>
      <c r="G483" s="101"/>
      <c r="H483" s="101"/>
      <c r="I483" s="101"/>
      <c r="J483" s="101"/>
      <c r="K483" s="101"/>
      <c r="L483" s="101"/>
      <c r="M483" s="101"/>
    </row>
    <row r="484" spans="1:15" ht="11.1" customHeight="1">
      <c r="A484" s="101" t="s">
        <v>55</v>
      </c>
      <c r="B484" s="101"/>
      <c r="C484" s="101"/>
      <c r="D484" s="101"/>
      <c r="E484" s="101"/>
      <c r="F484" s="101"/>
      <c r="G484" s="101"/>
      <c r="H484" s="101"/>
      <c r="I484" s="101"/>
      <c r="J484" s="101"/>
      <c r="K484" s="101"/>
      <c r="L484" s="101"/>
      <c r="M484" s="101"/>
    </row>
    <row r="485" spans="1:15" ht="19.5" customHeight="1">
      <c r="A485" s="69" t="s">
        <v>0</v>
      </c>
      <c r="B485" s="69"/>
      <c r="C485" s="69"/>
      <c r="D485" s="69"/>
      <c r="E485" s="69"/>
      <c r="F485" s="69"/>
      <c r="G485" s="69"/>
      <c r="H485" s="69"/>
      <c r="I485" s="69"/>
      <c r="J485" s="69"/>
      <c r="K485" s="69"/>
      <c r="L485" s="69"/>
      <c r="M485" s="69"/>
    </row>
    <row r="486" spans="1:15" ht="20.100000000000001" customHeight="1">
      <c r="A486" s="4" t="s">
        <v>32</v>
      </c>
      <c r="B486" s="5">
        <f>+B442+1</f>
        <v>77</v>
      </c>
      <c r="C486" s="35"/>
      <c r="D486" s="35"/>
      <c r="E486" s="35"/>
      <c r="F486" s="35"/>
      <c r="G486" s="35"/>
      <c r="H486" s="35"/>
      <c r="I486" s="35"/>
      <c r="J486" s="35"/>
      <c r="K486" s="35"/>
      <c r="L486" s="35"/>
      <c r="M486" s="35"/>
    </row>
    <row r="487" spans="1:15" ht="24" customHeight="1" thickBot="1">
      <c r="A487" s="4" t="s">
        <v>33</v>
      </c>
      <c r="H487" s="70" t="s">
        <v>34</v>
      </c>
      <c r="I487" s="70"/>
      <c r="J487" s="70"/>
      <c r="K487" s="102">
        <f>+K443+1</f>
        <v>46003</v>
      </c>
      <c r="L487" s="102"/>
      <c r="M487" s="102"/>
      <c r="O487" s="7"/>
    </row>
    <row r="488" spans="1:15" ht="33.75" customHeight="1" thickBot="1">
      <c r="A488" s="80" t="s">
        <v>1</v>
      </c>
      <c r="B488" s="81"/>
      <c r="C488" s="82"/>
      <c r="D488" s="86" t="str">
        <f>+D444</f>
        <v>光明國中B與C區5樓老舊廁所整修工程</v>
      </c>
      <c r="E488" s="87"/>
      <c r="F488" s="87"/>
      <c r="G488" s="88"/>
      <c r="H488" s="80" t="s">
        <v>2</v>
      </c>
      <c r="I488" s="81"/>
      <c r="J488" s="82"/>
      <c r="K488" s="80" t="s">
        <v>35</v>
      </c>
      <c r="L488" s="81"/>
      <c r="M488" s="82"/>
    </row>
    <row r="489" spans="1:15" ht="33.75" customHeight="1" thickBot="1">
      <c r="A489" s="8" t="s">
        <v>3</v>
      </c>
      <c r="B489" s="36">
        <f>+B445</f>
        <v>145</v>
      </c>
      <c r="C489" s="10" t="s">
        <v>36</v>
      </c>
      <c r="D489" s="80" t="s">
        <v>4</v>
      </c>
      <c r="E489" s="89"/>
      <c r="F489" s="37">
        <f>+F445+1</f>
        <v>77</v>
      </c>
      <c r="G489" s="12" t="s">
        <v>36</v>
      </c>
      <c r="H489" s="13" t="s">
        <v>5</v>
      </c>
      <c r="I489" s="36">
        <f>+B489-F489</f>
        <v>68</v>
      </c>
      <c r="J489" s="10" t="s">
        <v>36</v>
      </c>
      <c r="K489" s="80" t="s">
        <v>6</v>
      </c>
      <c r="L489" s="82"/>
      <c r="M489" s="13">
        <f>+M445</f>
        <v>15</v>
      </c>
    </row>
    <row r="490" spans="1:15" ht="24" customHeight="1" thickBot="1">
      <c r="A490" s="80" t="s">
        <v>7</v>
      </c>
      <c r="B490" s="81"/>
      <c r="C490" s="82"/>
      <c r="D490" s="80" t="str">
        <f>+D446</f>
        <v>114.9.27</v>
      </c>
      <c r="E490" s="81"/>
      <c r="F490" s="81"/>
      <c r="G490" s="82"/>
      <c r="H490" s="80" t="s">
        <v>8</v>
      </c>
      <c r="I490" s="81"/>
      <c r="J490" s="82"/>
      <c r="K490" s="80" t="str">
        <f>+K446</f>
        <v>115.2.18</v>
      </c>
      <c r="L490" s="81"/>
      <c r="M490" s="82"/>
    </row>
    <row r="491" spans="1:15" ht="24" customHeight="1" thickBot="1">
      <c r="A491" s="80" t="s">
        <v>37</v>
      </c>
      <c r="B491" s="81"/>
      <c r="C491" s="82"/>
      <c r="D491" s="83">
        <v>0.36599999999999999</v>
      </c>
      <c r="E491" s="84"/>
      <c r="F491" s="84"/>
      <c r="G491" s="85"/>
      <c r="H491" s="80" t="s">
        <v>38</v>
      </c>
      <c r="I491" s="81"/>
      <c r="J491" s="82"/>
      <c r="K491" s="83">
        <f>+K447+0.1%</f>
        <v>0.54800000000000026</v>
      </c>
      <c r="L491" s="84"/>
      <c r="M491" s="85"/>
    </row>
    <row r="492" spans="1:15" ht="24" customHeight="1" thickBot="1">
      <c r="A492" s="72" t="s">
        <v>9</v>
      </c>
      <c r="B492" s="73"/>
      <c r="C492" s="73"/>
      <c r="D492" s="73"/>
      <c r="E492" s="73"/>
      <c r="F492" s="73"/>
      <c r="G492" s="73"/>
      <c r="H492" s="73"/>
      <c r="I492" s="73"/>
      <c r="J492" s="73"/>
      <c r="K492" s="73"/>
      <c r="L492" s="73"/>
      <c r="M492" s="74"/>
    </row>
    <row r="493" spans="1:15" ht="35.25" customHeight="1" thickBot="1">
      <c r="A493" s="75" t="s">
        <v>10</v>
      </c>
      <c r="B493" s="76"/>
      <c r="C493" s="76"/>
      <c r="D493" s="77"/>
      <c r="E493" s="14" t="s">
        <v>11</v>
      </c>
      <c r="F493" s="75" t="s">
        <v>12</v>
      </c>
      <c r="G493" s="77"/>
      <c r="H493" s="75" t="s">
        <v>13</v>
      </c>
      <c r="I493" s="77"/>
      <c r="J493" s="78" t="s">
        <v>14</v>
      </c>
      <c r="K493" s="79"/>
      <c r="L493" s="75" t="s">
        <v>15</v>
      </c>
      <c r="M493" s="77"/>
    </row>
    <row r="494" spans="1:15" ht="27.95" customHeight="1" thickBot="1">
      <c r="A494" s="141" t="s">
        <v>125</v>
      </c>
      <c r="B494" s="142"/>
      <c r="C494" s="142"/>
      <c r="D494" s="143"/>
      <c r="E494" s="2" t="s">
        <v>69</v>
      </c>
      <c r="F494" s="56">
        <v>1</v>
      </c>
      <c r="G494" s="57"/>
      <c r="H494" s="56">
        <v>0.1</v>
      </c>
      <c r="I494" s="57"/>
      <c r="J494" s="56">
        <v>0.8</v>
      </c>
      <c r="K494" s="57"/>
      <c r="L494" s="58"/>
      <c r="M494" s="59"/>
    </row>
    <row r="495" spans="1:15" ht="27.95" customHeight="1" thickBot="1">
      <c r="A495" s="141"/>
      <c r="B495" s="142"/>
      <c r="C495" s="142"/>
      <c r="D495" s="143"/>
      <c r="E495" s="15"/>
      <c r="F495" s="56"/>
      <c r="G495" s="57"/>
      <c r="H495" s="56"/>
      <c r="I495" s="57"/>
      <c r="J495" s="56"/>
      <c r="K495" s="57"/>
      <c r="L495" s="58"/>
      <c r="M495" s="59"/>
    </row>
    <row r="496" spans="1:15" ht="24.95" customHeight="1" thickTop="1" thickBot="1">
      <c r="A496" s="130" t="s">
        <v>16</v>
      </c>
      <c r="B496" s="67"/>
      <c r="C496" s="67"/>
      <c r="D496" s="68"/>
      <c r="E496" s="51"/>
      <c r="F496" s="131"/>
      <c r="G496" s="132"/>
      <c r="H496" s="131"/>
      <c r="I496" s="132"/>
      <c r="J496" s="131"/>
      <c r="K496" s="132"/>
      <c r="L496" s="131"/>
      <c r="M496" s="133"/>
    </row>
    <row r="497" spans="1:13" ht="24.95" customHeight="1" thickBot="1">
      <c r="A497" s="134" t="s">
        <v>17</v>
      </c>
      <c r="B497" s="135"/>
      <c r="C497" s="135"/>
      <c r="D497" s="59"/>
      <c r="E497" s="51"/>
      <c r="F497" s="58"/>
      <c r="G497" s="59"/>
      <c r="H497" s="58"/>
      <c r="I497" s="59"/>
      <c r="J497" s="58"/>
      <c r="K497" s="59"/>
      <c r="L497" s="58"/>
      <c r="M497" s="136"/>
    </row>
    <row r="498" spans="1:13" ht="24.95" customHeight="1" thickBot="1">
      <c r="A498" s="118" t="s">
        <v>18</v>
      </c>
      <c r="B498" s="119"/>
      <c r="C498" s="119"/>
      <c r="D498" s="120"/>
      <c r="E498" s="24"/>
      <c r="F498" s="121"/>
      <c r="G498" s="120"/>
      <c r="H498" s="121"/>
      <c r="I498" s="120"/>
      <c r="J498" s="121"/>
      <c r="K498" s="120"/>
      <c r="L498" s="121"/>
      <c r="M498" s="122"/>
    </row>
    <row r="499" spans="1:13" ht="24" customHeight="1" thickTop="1" thickBot="1">
      <c r="A499" s="66" t="s">
        <v>19</v>
      </c>
      <c r="B499" s="67"/>
      <c r="C499" s="67"/>
      <c r="D499" s="67"/>
      <c r="E499" s="67"/>
      <c r="F499" s="67"/>
      <c r="G499" s="67"/>
      <c r="H499" s="67"/>
      <c r="I499" s="67"/>
      <c r="J499" s="67"/>
      <c r="K499" s="67"/>
      <c r="L499" s="67"/>
      <c r="M499" s="68"/>
    </row>
    <row r="500" spans="1:13" ht="35.25" customHeight="1" thickBot="1">
      <c r="A500" s="75" t="s">
        <v>20</v>
      </c>
      <c r="B500" s="76"/>
      <c r="C500" s="76"/>
      <c r="D500" s="77"/>
      <c r="E500" s="14" t="s">
        <v>11</v>
      </c>
      <c r="F500" s="75" t="s">
        <v>39</v>
      </c>
      <c r="G500" s="77"/>
      <c r="H500" s="75" t="s">
        <v>21</v>
      </c>
      <c r="I500" s="77"/>
      <c r="J500" s="78" t="s">
        <v>22</v>
      </c>
      <c r="K500" s="79"/>
      <c r="L500" s="75" t="s">
        <v>15</v>
      </c>
      <c r="M500" s="77"/>
    </row>
    <row r="501" spans="1:13" ht="24" customHeight="1" thickBot="1">
      <c r="A501" s="96"/>
      <c r="B501" s="97"/>
      <c r="C501" s="97"/>
      <c r="D501" s="98"/>
      <c r="E501" s="51"/>
      <c r="F501" s="58"/>
      <c r="G501" s="59"/>
      <c r="H501" s="58"/>
      <c r="I501" s="59"/>
      <c r="J501" s="56"/>
      <c r="K501" s="57"/>
      <c r="L501" s="58"/>
      <c r="M501" s="59"/>
    </row>
    <row r="502" spans="1:13" ht="24" customHeight="1" thickBot="1">
      <c r="A502" s="96"/>
      <c r="B502" s="97"/>
      <c r="C502" s="97"/>
      <c r="D502" s="98"/>
      <c r="E502" s="51"/>
      <c r="F502" s="58"/>
      <c r="G502" s="59"/>
      <c r="H502" s="58"/>
      <c r="I502" s="59"/>
      <c r="J502" s="56"/>
      <c r="K502" s="57"/>
      <c r="L502" s="58"/>
      <c r="M502" s="59"/>
    </row>
    <row r="503" spans="1:13" ht="24" customHeight="1" thickBot="1">
      <c r="A503" s="60" t="s">
        <v>23</v>
      </c>
      <c r="B503" s="61"/>
      <c r="C503" s="61"/>
      <c r="D503" s="61"/>
      <c r="E503" s="61"/>
      <c r="F503" s="61"/>
      <c r="G503" s="61"/>
      <c r="H503" s="61"/>
      <c r="I503" s="61"/>
      <c r="J503" s="61"/>
      <c r="K503" s="61"/>
      <c r="L503" s="61"/>
      <c r="M503" s="62"/>
    </row>
    <row r="504" spans="1:13" ht="35.25" customHeight="1" thickBot="1">
      <c r="A504" s="75" t="s">
        <v>24</v>
      </c>
      <c r="B504" s="77"/>
      <c r="C504" s="75" t="s">
        <v>25</v>
      </c>
      <c r="D504" s="77"/>
      <c r="E504" s="75" t="s">
        <v>26</v>
      </c>
      <c r="F504" s="76"/>
      <c r="G504" s="77"/>
      <c r="H504" s="75" t="s">
        <v>27</v>
      </c>
      <c r="I504" s="77"/>
      <c r="J504" s="78" t="s">
        <v>21</v>
      </c>
      <c r="K504" s="79"/>
      <c r="L504" s="75" t="s">
        <v>22</v>
      </c>
      <c r="M504" s="77"/>
    </row>
    <row r="505" spans="1:13" s="18" customFormat="1" ht="24.75" customHeight="1" thickBot="1">
      <c r="A505" s="99" t="s">
        <v>119</v>
      </c>
      <c r="B505" s="137"/>
      <c r="C505" s="56">
        <v>2</v>
      </c>
      <c r="D505" s="57"/>
      <c r="E505" s="56">
        <v>54</v>
      </c>
      <c r="F505" s="100"/>
      <c r="G505" s="57"/>
      <c r="H505" s="56"/>
      <c r="I505" s="57"/>
      <c r="J505" s="56"/>
      <c r="K505" s="57"/>
      <c r="L505" s="56"/>
      <c r="M505" s="57"/>
    </row>
    <row r="506" spans="1:13" s="18" customFormat="1" ht="24.75" customHeight="1" thickBot="1">
      <c r="A506" s="99"/>
      <c r="B506" s="98"/>
      <c r="C506" s="56"/>
      <c r="D506" s="57"/>
      <c r="E506" s="56"/>
      <c r="F506" s="100"/>
      <c r="G506" s="57"/>
      <c r="H506" s="56"/>
      <c r="I506" s="57"/>
      <c r="J506" s="56"/>
      <c r="K506" s="57"/>
      <c r="L506" s="56"/>
      <c r="M506" s="57"/>
    </row>
    <row r="507" spans="1:13" ht="33" customHeight="1" thickBot="1">
      <c r="A507" s="112" t="s">
        <v>40</v>
      </c>
      <c r="B507" s="113"/>
      <c r="C507" s="113"/>
      <c r="D507" s="113"/>
      <c r="E507" s="113"/>
      <c r="F507" s="113"/>
      <c r="G507" s="113"/>
      <c r="H507" s="113"/>
      <c r="I507" s="113"/>
      <c r="J507" s="113"/>
      <c r="K507" s="113"/>
      <c r="L507" s="113"/>
      <c r="M507" s="114"/>
    </row>
    <row r="508" spans="1:13" ht="16.5" customHeight="1">
      <c r="A508" s="115" t="s">
        <v>41</v>
      </c>
      <c r="B508" s="116"/>
      <c r="C508" s="116"/>
      <c r="D508" s="116"/>
      <c r="E508" s="116"/>
      <c r="F508" s="116"/>
      <c r="G508" s="116"/>
      <c r="H508" s="116"/>
      <c r="I508" s="116"/>
      <c r="J508" s="116"/>
      <c r="K508" s="116"/>
      <c r="L508" s="116"/>
      <c r="M508" s="117"/>
    </row>
    <row r="509" spans="1:13" ht="16.5" customHeight="1">
      <c r="A509" s="90" t="s">
        <v>28</v>
      </c>
      <c r="B509" s="91"/>
      <c r="C509" s="91"/>
      <c r="D509" s="91"/>
      <c r="E509" s="91"/>
      <c r="F509" s="91"/>
      <c r="G509" s="91"/>
      <c r="H509" s="91"/>
      <c r="I509" s="91"/>
      <c r="J509" s="91"/>
      <c r="K509" s="91"/>
      <c r="L509" s="91"/>
      <c r="M509" s="92"/>
    </row>
    <row r="510" spans="1:13" s="1" customFormat="1" ht="16.5" customHeight="1">
      <c r="A510" s="93" t="s">
        <v>56</v>
      </c>
      <c r="B510" s="94"/>
      <c r="C510" s="94"/>
      <c r="D510" s="94"/>
      <c r="E510" s="94"/>
      <c r="F510" s="94"/>
      <c r="G510" s="94"/>
      <c r="H510" s="94"/>
      <c r="I510" s="94"/>
      <c r="J510" s="94"/>
      <c r="K510" s="94"/>
      <c r="L510" s="94"/>
      <c r="M510" s="95"/>
    </row>
    <row r="511" spans="1:13" s="1" customFormat="1" ht="16.5" customHeight="1">
      <c r="A511" s="93" t="s">
        <v>57</v>
      </c>
      <c r="B511" s="94"/>
      <c r="C511" s="94"/>
      <c r="D511" s="94"/>
      <c r="E511" s="94"/>
      <c r="F511" s="94"/>
      <c r="G511" s="94"/>
      <c r="H511" s="94"/>
      <c r="I511" s="94"/>
      <c r="J511" s="94"/>
      <c r="K511" s="94"/>
      <c r="L511" s="94"/>
      <c r="M511" s="95"/>
    </row>
    <row r="512" spans="1:13" s="1" customFormat="1" ht="16.5" customHeight="1">
      <c r="A512" s="93" t="s">
        <v>58</v>
      </c>
      <c r="B512" s="94"/>
      <c r="C512" s="94"/>
      <c r="D512" s="94"/>
      <c r="E512" s="94"/>
      <c r="F512" s="94"/>
      <c r="G512" s="94"/>
      <c r="H512" s="94"/>
      <c r="I512" s="94"/>
      <c r="J512" s="94"/>
      <c r="K512" s="94"/>
      <c r="L512" s="94"/>
      <c r="M512" s="95"/>
    </row>
    <row r="513" spans="1:13" s="1" customFormat="1" ht="16.5" customHeight="1">
      <c r="A513" s="93" t="s">
        <v>59</v>
      </c>
      <c r="B513" s="94"/>
      <c r="C513" s="94"/>
      <c r="D513" s="94"/>
      <c r="E513" s="94"/>
      <c r="F513" s="94"/>
      <c r="G513" s="94"/>
      <c r="H513" s="94"/>
      <c r="I513" s="94"/>
      <c r="J513" s="94"/>
      <c r="K513" s="94"/>
      <c r="L513" s="94"/>
      <c r="M513" s="95"/>
    </row>
    <row r="514" spans="1:13" ht="16.5" customHeight="1">
      <c r="A514" s="106" t="s">
        <v>29</v>
      </c>
      <c r="B514" s="107"/>
      <c r="C514" s="107"/>
      <c r="D514" s="107"/>
      <c r="E514" s="107"/>
      <c r="F514" s="107"/>
      <c r="G514" s="107"/>
      <c r="H514" s="107"/>
      <c r="I514" s="107"/>
      <c r="J514" s="107"/>
      <c r="K514" s="107"/>
      <c r="L514" s="107"/>
      <c r="M514" s="108"/>
    </row>
    <row r="515" spans="1:13" ht="9.75" customHeight="1" thickBot="1">
      <c r="A515" s="109"/>
      <c r="B515" s="110"/>
      <c r="C515" s="110"/>
      <c r="D515" s="110"/>
      <c r="E515" s="110"/>
      <c r="F515" s="110"/>
      <c r="G515" s="110"/>
      <c r="H515" s="110"/>
      <c r="I515" s="110"/>
      <c r="J515" s="110"/>
      <c r="K515" s="110"/>
      <c r="L515" s="110"/>
      <c r="M515" s="111"/>
    </row>
    <row r="516" spans="1:13" ht="18.75" customHeight="1" thickBot="1">
      <c r="A516" s="72" t="s">
        <v>30</v>
      </c>
      <c r="B516" s="73"/>
      <c r="C516" s="73"/>
      <c r="D516" s="73"/>
      <c r="E516" s="73"/>
      <c r="F516" s="73"/>
      <c r="G516" s="73"/>
      <c r="H516" s="73"/>
      <c r="I516" s="73"/>
      <c r="J516" s="73"/>
      <c r="K516" s="73"/>
      <c r="L516" s="73"/>
      <c r="M516" s="74"/>
    </row>
    <row r="517" spans="1:13" ht="24" customHeight="1" thickBot="1">
      <c r="A517" s="72" t="s">
        <v>31</v>
      </c>
      <c r="B517" s="73"/>
      <c r="C517" s="73"/>
      <c r="D517" s="73"/>
      <c r="E517" s="73"/>
      <c r="F517" s="73"/>
      <c r="G517" s="73"/>
      <c r="H517" s="73"/>
      <c r="I517" s="73"/>
      <c r="J517" s="73"/>
      <c r="K517" s="73"/>
      <c r="L517" s="73"/>
      <c r="M517" s="74"/>
    </row>
    <row r="518" spans="1:13" ht="24" customHeight="1" thickBot="1">
      <c r="A518" s="72" t="s">
        <v>166</v>
      </c>
      <c r="B518" s="73"/>
      <c r="C518" s="73"/>
      <c r="D518" s="73"/>
      <c r="E518" s="73"/>
      <c r="F518" s="73"/>
      <c r="G518" s="73"/>
      <c r="H518" s="73"/>
      <c r="I518" s="73"/>
      <c r="J518" s="73"/>
      <c r="K518" s="73"/>
      <c r="L518" s="73"/>
      <c r="M518" s="74"/>
    </row>
    <row r="519" spans="1:13" ht="24" customHeight="1" thickBot="1">
      <c r="A519" s="60" t="s">
        <v>46</v>
      </c>
      <c r="B519" s="61"/>
      <c r="C519" s="61"/>
      <c r="D519" s="61"/>
      <c r="E519" s="61"/>
      <c r="F519" s="61"/>
      <c r="G519" s="61"/>
      <c r="H519" s="61"/>
      <c r="I519" s="61"/>
      <c r="J519" s="61"/>
      <c r="K519" s="61"/>
      <c r="L519" s="61"/>
      <c r="M519" s="62"/>
    </row>
    <row r="520" spans="1:13" ht="11.1" customHeight="1">
      <c r="A520" s="103" t="s">
        <v>47</v>
      </c>
      <c r="B520" s="103"/>
      <c r="C520" s="103"/>
      <c r="D520" s="103"/>
      <c r="E520" s="103"/>
      <c r="F520" s="103"/>
      <c r="G520" s="103"/>
      <c r="H520" s="103"/>
      <c r="I520" s="103"/>
      <c r="J520" s="103"/>
      <c r="K520" s="103"/>
      <c r="L520" s="103"/>
      <c r="M520" s="103"/>
    </row>
    <row r="521" spans="1:13" ht="11.1" customHeight="1">
      <c r="A521" s="104" t="s">
        <v>48</v>
      </c>
      <c r="B521" s="104"/>
      <c r="C521" s="104"/>
      <c r="D521" s="104"/>
      <c r="E521" s="104"/>
      <c r="F521" s="104"/>
      <c r="G521" s="104"/>
      <c r="H521" s="104"/>
      <c r="I521" s="104"/>
      <c r="J521" s="104"/>
      <c r="K521" s="104"/>
      <c r="L521" s="104"/>
      <c r="M521" s="104"/>
    </row>
    <row r="522" spans="1:13" ht="11.1" customHeight="1">
      <c r="A522" s="105" t="s">
        <v>49</v>
      </c>
      <c r="B522" s="105"/>
      <c r="C522" s="105"/>
      <c r="D522" s="105"/>
      <c r="E522" s="105"/>
      <c r="F522" s="105"/>
      <c r="G522" s="105"/>
      <c r="H522" s="105"/>
      <c r="I522" s="105"/>
      <c r="J522" s="105"/>
      <c r="K522" s="105"/>
      <c r="L522" s="105"/>
      <c r="M522" s="105"/>
    </row>
    <row r="523" spans="1:13" ht="11.1" customHeight="1">
      <c r="A523" s="105" t="s">
        <v>50</v>
      </c>
      <c r="B523" s="105"/>
      <c r="C523" s="105"/>
      <c r="D523" s="105"/>
      <c r="E523" s="105"/>
      <c r="F523" s="105"/>
      <c r="G523" s="105"/>
      <c r="H523" s="105"/>
      <c r="I523" s="105"/>
      <c r="J523" s="105"/>
      <c r="K523" s="105"/>
      <c r="L523" s="105"/>
      <c r="M523" s="105"/>
    </row>
    <row r="524" spans="1:13" ht="11.1" customHeight="1">
      <c r="A524" s="104" t="s">
        <v>51</v>
      </c>
      <c r="B524" s="104"/>
      <c r="C524" s="104"/>
      <c r="D524" s="104"/>
      <c r="E524" s="104"/>
      <c r="F524" s="104"/>
      <c r="G524" s="104"/>
      <c r="H524" s="104"/>
      <c r="I524" s="104"/>
      <c r="J524" s="104"/>
      <c r="K524" s="104"/>
      <c r="L524" s="104"/>
      <c r="M524" s="104"/>
    </row>
    <row r="525" spans="1:13" ht="11.1" customHeight="1">
      <c r="A525" s="104" t="s">
        <v>52</v>
      </c>
      <c r="B525" s="104"/>
      <c r="C525" s="104"/>
      <c r="D525" s="104"/>
      <c r="E525" s="104"/>
      <c r="F525" s="104"/>
      <c r="G525" s="104"/>
      <c r="H525" s="104"/>
      <c r="I525" s="104"/>
      <c r="J525" s="104"/>
      <c r="K525" s="104"/>
      <c r="L525" s="104"/>
      <c r="M525" s="104"/>
    </row>
    <row r="526" spans="1:13" ht="11.1" customHeight="1">
      <c r="A526" s="104" t="s">
        <v>53</v>
      </c>
      <c r="B526" s="104"/>
      <c r="C526" s="104"/>
      <c r="D526" s="104"/>
      <c r="E526" s="104"/>
      <c r="F526" s="104"/>
      <c r="G526" s="104"/>
      <c r="H526" s="104"/>
      <c r="I526" s="104"/>
      <c r="J526" s="104"/>
      <c r="K526" s="104"/>
      <c r="L526" s="104"/>
      <c r="M526" s="104"/>
    </row>
    <row r="527" spans="1:13" ht="11.1" customHeight="1">
      <c r="A527" s="101" t="s">
        <v>54</v>
      </c>
      <c r="B527" s="101"/>
      <c r="C527" s="101"/>
      <c r="D527" s="101"/>
      <c r="E527" s="101"/>
      <c r="F527" s="101"/>
      <c r="G527" s="101"/>
      <c r="H527" s="101"/>
      <c r="I527" s="101"/>
      <c r="J527" s="101"/>
      <c r="K527" s="101"/>
      <c r="L527" s="101"/>
      <c r="M527" s="101"/>
    </row>
    <row r="528" spans="1:13" ht="11.1" customHeight="1">
      <c r="A528" s="101" t="s">
        <v>55</v>
      </c>
      <c r="B528" s="101"/>
      <c r="C528" s="101"/>
      <c r="D528" s="101"/>
      <c r="E528" s="101"/>
      <c r="F528" s="101"/>
      <c r="G528" s="101"/>
      <c r="H528" s="101"/>
      <c r="I528" s="101"/>
      <c r="J528" s="101"/>
      <c r="K528" s="101"/>
      <c r="L528" s="101"/>
      <c r="M528" s="101"/>
    </row>
    <row r="529" spans="1:15" ht="19.5" customHeight="1">
      <c r="A529" s="69" t="s">
        <v>0</v>
      </c>
      <c r="B529" s="69"/>
      <c r="C529" s="69"/>
      <c r="D529" s="69"/>
      <c r="E529" s="69"/>
      <c r="F529" s="69"/>
      <c r="G529" s="69"/>
      <c r="H529" s="69"/>
      <c r="I529" s="69"/>
      <c r="J529" s="69"/>
      <c r="K529" s="69"/>
      <c r="L529" s="69"/>
      <c r="M529" s="69"/>
    </row>
    <row r="530" spans="1:15" ht="20.100000000000001" customHeight="1">
      <c r="A530" s="4" t="s">
        <v>32</v>
      </c>
      <c r="B530" s="5">
        <f>+B486+1</f>
        <v>78</v>
      </c>
      <c r="C530" s="35"/>
      <c r="D530" s="35"/>
      <c r="E530" s="35"/>
      <c r="F530" s="35"/>
      <c r="G530" s="35"/>
      <c r="H530" s="35"/>
      <c r="I530" s="35"/>
      <c r="J530" s="35"/>
      <c r="K530" s="35"/>
      <c r="L530" s="35"/>
      <c r="M530" s="35"/>
    </row>
    <row r="531" spans="1:15" ht="24" customHeight="1" thickBot="1">
      <c r="A531" s="4" t="s">
        <v>33</v>
      </c>
      <c r="H531" s="70" t="s">
        <v>34</v>
      </c>
      <c r="I531" s="70"/>
      <c r="J531" s="70"/>
      <c r="K531" s="102">
        <f>+K487+1</f>
        <v>46004</v>
      </c>
      <c r="L531" s="102"/>
      <c r="M531" s="102"/>
      <c r="O531" s="7"/>
    </row>
    <row r="532" spans="1:15" ht="33.75" customHeight="1" thickBot="1">
      <c r="A532" s="80" t="s">
        <v>1</v>
      </c>
      <c r="B532" s="81"/>
      <c r="C532" s="82"/>
      <c r="D532" s="86" t="str">
        <f>+D488</f>
        <v>光明國中B與C區5樓老舊廁所整修工程</v>
      </c>
      <c r="E532" s="87"/>
      <c r="F532" s="87"/>
      <c r="G532" s="88"/>
      <c r="H532" s="80" t="s">
        <v>2</v>
      </c>
      <c r="I532" s="81"/>
      <c r="J532" s="82"/>
      <c r="K532" s="80" t="s">
        <v>35</v>
      </c>
      <c r="L532" s="81"/>
      <c r="M532" s="82"/>
    </row>
    <row r="533" spans="1:15" ht="33.75" customHeight="1" thickBot="1">
      <c r="A533" s="8" t="s">
        <v>3</v>
      </c>
      <c r="B533" s="36">
        <f>+B489</f>
        <v>145</v>
      </c>
      <c r="C533" s="10" t="s">
        <v>36</v>
      </c>
      <c r="D533" s="80" t="s">
        <v>4</v>
      </c>
      <c r="E533" s="89"/>
      <c r="F533" s="37">
        <f>+F489+1</f>
        <v>78</v>
      </c>
      <c r="G533" s="12" t="s">
        <v>36</v>
      </c>
      <c r="H533" s="13" t="s">
        <v>5</v>
      </c>
      <c r="I533" s="36">
        <f>+B533-F533</f>
        <v>67</v>
      </c>
      <c r="J533" s="10" t="s">
        <v>36</v>
      </c>
      <c r="K533" s="80" t="s">
        <v>6</v>
      </c>
      <c r="L533" s="82"/>
      <c r="M533" s="13">
        <f>+M489</f>
        <v>15</v>
      </c>
    </row>
    <row r="534" spans="1:15" ht="24" customHeight="1" thickBot="1">
      <c r="A534" s="80" t="s">
        <v>7</v>
      </c>
      <c r="B534" s="81"/>
      <c r="C534" s="82"/>
      <c r="D534" s="80" t="str">
        <f>+D490</f>
        <v>114.9.27</v>
      </c>
      <c r="E534" s="81"/>
      <c r="F534" s="81"/>
      <c r="G534" s="82"/>
      <c r="H534" s="80" t="s">
        <v>8</v>
      </c>
      <c r="I534" s="81"/>
      <c r="J534" s="82"/>
      <c r="K534" s="80" t="str">
        <f>+K490</f>
        <v>115.2.18</v>
      </c>
      <c r="L534" s="81"/>
      <c r="M534" s="82"/>
    </row>
    <row r="535" spans="1:15" ht="24" customHeight="1" thickBot="1">
      <c r="A535" s="80" t="s">
        <v>37</v>
      </c>
      <c r="B535" s="81"/>
      <c r="C535" s="82"/>
      <c r="D535" s="83">
        <v>0.372</v>
      </c>
      <c r="E535" s="84"/>
      <c r="F535" s="84"/>
      <c r="G535" s="85"/>
      <c r="H535" s="80" t="s">
        <v>38</v>
      </c>
      <c r="I535" s="81"/>
      <c r="J535" s="82"/>
      <c r="K535" s="83">
        <f>+K491+0.1%</f>
        <v>0.54900000000000027</v>
      </c>
      <c r="L535" s="84"/>
      <c r="M535" s="85"/>
    </row>
    <row r="536" spans="1:15" ht="24" customHeight="1" thickBot="1">
      <c r="A536" s="72" t="s">
        <v>9</v>
      </c>
      <c r="B536" s="73"/>
      <c r="C536" s="73"/>
      <c r="D536" s="73"/>
      <c r="E536" s="73"/>
      <c r="F536" s="73"/>
      <c r="G536" s="73"/>
      <c r="H536" s="73"/>
      <c r="I536" s="73"/>
      <c r="J536" s="73"/>
      <c r="K536" s="73"/>
      <c r="L536" s="73"/>
      <c r="M536" s="74"/>
    </row>
    <row r="537" spans="1:15" ht="35.25" customHeight="1" thickBot="1">
      <c r="A537" s="75" t="s">
        <v>10</v>
      </c>
      <c r="B537" s="76"/>
      <c r="C537" s="76"/>
      <c r="D537" s="77"/>
      <c r="E537" s="14" t="s">
        <v>11</v>
      </c>
      <c r="F537" s="75" t="s">
        <v>12</v>
      </c>
      <c r="G537" s="77"/>
      <c r="H537" s="75" t="s">
        <v>13</v>
      </c>
      <c r="I537" s="77"/>
      <c r="J537" s="78" t="s">
        <v>14</v>
      </c>
      <c r="K537" s="79"/>
      <c r="L537" s="75" t="s">
        <v>15</v>
      </c>
      <c r="M537" s="77"/>
    </row>
    <row r="538" spans="1:15" ht="27.95" customHeight="1" thickBot="1">
      <c r="A538" s="166" t="s">
        <v>196</v>
      </c>
      <c r="B538" s="167"/>
      <c r="C538" s="167"/>
      <c r="D538" s="168"/>
      <c r="E538" s="15" t="s">
        <v>69</v>
      </c>
      <c r="F538" s="56">
        <v>1</v>
      </c>
      <c r="G538" s="57"/>
      <c r="H538" s="56">
        <v>0.1</v>
      </c>
      <c r="I538" s="57"/>
      <c r="J538" s="56">
        <v>1</v>
      </c>
      <c r="K538" s="57"/>
      <c r="L538" s="58"/>
      <c r="M538" s="59"/>
    </row>
    <row r="539" spans="1:15" ht="27.95" customHeight="1" thickTop="1" thickBot="1">
      <c r="A539" s="141"/>
      <c r="B539" s="142"/>
      <c r="C539" s="142"/>
      <c r="D539" s="143"/>
      <c r="E539" s="15"/>
      <c r="F539" s="56"/>
      <c r="G539" s="57"/>
      <c r="H539" s="56"/>
      <c r="I539" s="57"/>
      <c r="J539" s="56"/>
      <c r="K539" s="57"/>
      <c r="L539" s="58"/>
      <c r="M539" s="59"/>
    </row>
    <row r="540" spans="1:15" ht="24.95" customHeight="1" thickTop="1" thickBot="1">
      <c r="A540" s="130" t="s">
        <v>16</v>
      </c>
      <c r="B540" s="67"/>
      <c r="C540" s="67"/>
      <c r="D540" s="68"/>
      <c r="E540" s="38"/>
      <c r="F540" s="131"/>
      <c r="G540" s="132"/>
      <c r="H540" s="131"/>
      <c r="I540" s="132"/>
      <c r="J540" s="131"/>
      <c r="K540" s="132"/>
      <c r="L540" s="131"/>
      <c r="M540" s="133"/>
    </row>
    <row r="541" spans="1:15" ht="24.95" customHeight="1" thickBot="1">
      <c r="A541" s="134" t="s">
        <v>17</v>
      </c>
      <c r="B541" s="135"/>
      <c r="C541" s="135"/>
      <c r="D541" s="59"/>
      <c r="E541" s="38"/>
      <c r="F541" s="58"/>
      <c r="G541" s="59"/>
      <c r="H541" s="58"/>
      <c r="I541" s="59"/>
      <c r="J541" s="58"/>
      <c r="K541" s="59"/>
      <c r="L541" s="58"/>
      <c r="M541" s="136"/>
    </row>
    <row r="542" spans="1:15" ht="24.95" customHeight="1" thickBot="1">
      <c r="A542" s="118" t="s">
        <v>18</v>
      </c>
      <c r="B542" s="119"/>
      <c r="C542" s="119"/>
      <c r="D542" s="120"/>
      <c r="E542" s="24"/>
      <c r="F542" s="121"/>
      <c r="G542" s="120"/>
      <c r="H542" s="121"/>
      <c r="I542" s="120"/>
      <c r="J542" s="121"/>
      <c r="K542" s="120"/>
      <c r="L542" s="121"/>
      <c r="M542" s="122"/>
    </row>
    <row r="543" spans="1:15" ht="24" customHeight="1" thickTop="1" thickBot="1">
      <c r="A543" s="66" t="s">
        <v>19</v>
      </c>
      <c r="B543" s="67"/>
      <c r="C543" s="67"/>
      <c r="D543" s="67"/>
      <c r="E543" s="67"/>
      <c r="F543" s="67"/>
      <c r="G543" s="67"/>
      <c r="H543" s="67"/>
      <c r="I543" s="67"/>
      <c r="J543" s="67"/>
      <c r="K543" s="67"/>
      <c r="L543" s="67"/>
      <c r="M543" s="68"/>
    </row>
    <row r="544" spans="1:15" ht="35.25" customHeight="1" thickBot="1">
      <c r="A544" s="75" t="s">
        <v>20</v>
      </c>
      <c r="B544" s="76"/>
      <c r="C544" s="76"/>
      <c r="D544" s="77"/>
      <c r="E544" s="14" t="s">
        <v>11</v>
      </c>
      <c r="F544" s="75" t="s">
        <v>39</v>
      </c>
      <c r="G544" s="77"/>
      <c r="H544" s="75" t="s">
        <v>21</v>
      </c>
      <c r="I544" s="77"/>
      <c r="J544" s="78" t="s">
        <v>22</v>
      </c>
      <c r="K544" s="79"/>
      <c r="L544" s="75" t="s">
        <v>15</v>
      </c>
      <c r="M544" s="77"/>
    </row>
    <row r="545" spans="1:13" ht="24" customHeight="1" thickBot="1">
      <c r="A545" s="96"/>
      <c r="B545" s="97"/>
      <c r="C545" s="97"/>
      <c r="D545" s="98"/>
      <c r="E545" s="38"/>
      <c r="F545" s="58"/>
      <c r="G545" s="59"/>
      <c r="H545" s="58"/>
      <c r="I545" s="59"/>
      <c r="J545" s="56"/>
      <c r="K545" s="57"/>
      <c r="L545" s="58"/>
      <c r="M545" s="59"/>
    </row>
    <row r="546" spans="1:13" ht="24" customHeight="1" thickBot="1">
      <c r="A546" s="96"/>
      <c r="B546" s="97"/>
      <c r="C546" s="97"/>
      <c r="D546" s="98"/>
      <c r="E546" s="38"/>
      <c r="F546" s="58"/>
      <c r="G546" s="59"/>
      <c r="H546" s="58"/>
      <c r="I546" s="59"/>
      <c r="J546" s="56"/>
      <c r="K546" s="57"/>
      <c r="L546" s="58"/>
      <c r="M546" s="59"/>
    </row>
    <row r="547" spans="1:13" ht="24" customHeight="1" thickBot="1">
      <c r="A547" s="60" t="s">
        <v>23</v>
      </c>
      <c r="B547" s="61"/>
      <c r="C547" s="61"/>
      <c r="D547" s="61"/>
      <c r="E547" s="61"/>
      <c r="F547" s="61"/>
      <c r="G547" s="61"/>
      <c r="H547" s="61"/>
      <c r="I547" s="61"/>
      <c r="J547" s="61"/>
      <c r="K547" s="61"/>
      <c r="L547" s="61"/>
      <c r="M547" s="62"/>
    </row>
    <row r="548" spans="1:13" ht="35.25" customHeight="1" thickBot="1">
      <c r="A548" s="75" t="s">
        <v>24</v>
      </c>
      <c r="B548" s="77"/>
      <c r="C548" s="75" t="s">
        <v>25</v>
      </c>
      <c r="D548" s="77"/>
      <c r="E548" s="75" t="s">
        <v>26</v>
      </c>
      <c r="F548" s="76"/>
      <c r="G548" s="77"/>
      <c r="H548" s="75" t="s">
        <v>27</v>
      </c>
      <c r="I548" s="77"/>
      <c r="J548" s="78" t="s">
        <v>21</v>
      </c>
      <c r="K548" s="79"/>
      <c r="L548" s="75" t="s">
        <v>22</v>
      </c>
      <c r="M548" s="77"/>
    </row>
    <row r="549" spans="1:13" s="18" customFormat="1" ht="24.75" customHeight="1" thickBot="1">
      <c r="A549" s="99" t="s">
        <v>70</v>
      </c>
      <c r="B549" s="98"/>
      <c r="C549" s="56">
        <v>1</v>
      </c>
      <c r="D549" s="57"/>
      <c r="E549" s="56">
        <v>5</v>
      </c>
      <c r="F549" s="100"/>
      <c r="G549" s="57"/>
      <c r="H549" s="56"/>
      <c r="I549" s="57"/>
      <c r="J549" s="56"/>
      <c r="K549" s="57"/>
      <c r="L549" s="56"/>
      <c r="M549" s="57"/>
    </row>
    <row r="550" spans="1:13" s="18" customFormat="1" ht="24.75" customHeight="1" thickBot="1">
      <c r="A550" s="99"/>
      <c r="B550" s="98"/>
      <c r="C550" s="56"/>
      <c r="D550" s="57"/>
      <c r="E550" s="56"/>
      <c r="F550" s="100"/>
      <c r="G550" s="57"/>
      <c r="H550" s="56"/>
      <c r="I550" s="57"/>
      <c r="J550" s="56"/>
      <c r="K550" s="57"/>
      <c r="L550" s="56"/>
      <c r="M550" s="57"/>
    </row>
    <row r="551" spans="1:13" ht="33" customHeight="1" thickBot="1">
      <c r="A551" s="112" t="s">
        <v>40</v>
      </c>
      <c r="B551" s="113"/>
      <c r="C551" s="113"/>
      <c r="D551" s="113"/>
      <c r="E551" s="113"/>
      <c r="F551" s="113"/>
      <c r="G551" s="113"/>
      <c r="H551" s="113"/>
      <c r="I551" s="113"/>
      <c r="J551" s="113"/>
      <c r="K551" s="113"/>
      <c r="L551" s="113"/>
      <c r="M551" s="114"/>
    </row>
    <row r="552" spans="1:13" ht="16.5" customHeight="1">
      <c r="A552" s="115" t="s">
        <v>41</v>
      </c>
      <c r="B552" s="116"/>
      <c r="C552" s="116"/>
      <c r="D552" s="116"/>
      <c r="E552" s="116"/>
      <c r="F552" s="116"/>
      <c r="G552" s="116"/>
      <c r="H552" s="116"/>
      <c r="I552" s="116"/>
      <c r="J552" s="116"/>
      <c r="K552" s="116"/>
      <c r="L552" s="116"/>
      <c r="M552" s="117"/>
    </row>
    <row r="553" spans="1:13" ht="16.5" customHeight="1">
      <c r="A553" s="90" t="s">
        <v>28</v>
      </c>
      <c r="B553" s="91"/>
      <c r="C553" s="91"/>
      <c r="D553" s="91"/>
      <c r="E553" s="91"/>
      <c r="F553" s="91"/>
      <c r="G553" s="91"/>
      <c r="H553" s="91"/>
      <c r="I553" s="91"/>
      <c r="J553" s="91"/>
      <c r="K553" s="91"/>
      <c r="L553" s="91"/>
      <c r="M553" s="92"/>
    </row>
    <row r="554" spans="1:13" s="1" customFormat="1" ht="16.5" customHeight="1">
      <c r="A554" s="93" t="s">
        <v>56</v>
      </c>
      <c r="B554" s="94"/>
      <c r="C554" s="94"/>
      <c r="D554" s="94"/>
      <c r="E554" s="94"/>
      <c r="F554" s="94"/>
      <c r="G554" s="94"/>
      <c r="H554" s="94"/>
      <c r="I554" s="94"/>
      <c r="J554" s="94"/>
      <c r="K554" s="94"/>
      <c r="L554" s="94"/>
      <c r="M554" s="95"/>
    </row>
    <row r="555" spans="1:13" s="1" customFormat="1" ht="16.5" customHeight="1">
      <c r="A555" s="93" t="s">
        <v>57</v>
      </c>
      <c r="B555" s="94"/>
      <c r="C555" s="94"/>
      <c r="D555" s="94"/>
      <c r="E555" s="94"/>
      <c r="F555" s="94"/>
      <c r="G555" s="94"/>
      <c r="H555" s="94"/>
      <c r="I555" s="94"/>
      <c r="J555" s="94"/>
      <c r="K555" s="94"/>
      <c r="L555" s="94"/>
      <c r="M555" s="95"/>
    </row>
    <row r="556" spans="1:13" s="1" customFormat="1" ht="16.5" customHeight="1">
      <c r="A556" s="93" t="s">
        <v>58</v>
      </c>
      <c r="B556" s="94"/>
      <c r="C556" s="94"/>
      <c r="D556" s="94"/>
      <c r="E556" s="94"/>
      <c r="F556" s="94"/>
      <c r="G556" s="94"/>
      <c r="H556" s="94"/>
      <c r="I556" s="94"/>
      <c r="J556" s="94"/>
      <c r="K556" s="94"/>
      <c r="L556" s="94"/>
      <c r="M556" s="95"/>
    </row>
    <row r="557" spans="1:13" s="1" customFormat="1" ht="16.5" customHeight="1">
      <c r="A557" s="93" t="s">
        <v>59</v>
      </c>
      <c r="B557" s="94"/>
      <c r="C557" s="94"/>
      <c r="D557" s="94"/>
      <c r="E557" s="94"/>
      <c r="F557" s="94"/>
      <c r="G557" s="94"/>
      <c r="H557" s="94"/>
      <c r="I557" s="94"/>
      <c r="J557" s="94"/>
      <c r="K557" s="94"/>
      <c r="L557" s="94"/>
      <c r="M557" s="95"/>
    </row>
    <row r="558" spans="1:13" ht="16.5" customHeight="1">
      <c r="A558" s="106" t="s">
        <v>29</v>
      </c>
      <c r="B558" s="107"/>
      <c r="C558" s="107"/>
      <c r="D558" s="107"/>
      <c r="E558" s="107"/>
      <c r="F558" s="107"/>
      <c r="G558" s="107"/>
      <c r="H558" s="107"/>
      <c r="I558" s="107"/>
      <c r="J558" s="107"/>
      <c r="K558" s="107"/>
      <c r="L558" s="107"/>
      <c r="M558" s="108"/>
    </row>
    <row r="559" spans="1:13" ht="9.75" customHeight="1" thickBot="1">
      <c r="A559" s="109"/>
      <c r="B559" s="110"/>
      <c r="C559" s="110"/>
      <c r="D559" s="110"/>
      <c r="E559" s="110"/>
      <c r="F559" s="110"/>
      <c r="G559" s="110"/>
      <c r="H559" s="110"/>
      <c r="I559" s="110"/>
      <c r="J559" s="110"/>
      <c r="K559" s="110"/>
      <c r="L559" s="110"/>
      <c r="M559" s="111"/>
    </row>
    <row r="560" spans="1:13" ht="18.75" customHeight="1" thickBot="1">
      <c r="A560" s="72" t="s">
        <v>30</v>
      </c>
      <c r="B560" s="73"/>
      <c r="C560" s="73"/>
      <c r="D560" s="73"/>
      <c r="E560" s="73"/>
      <c r="F560" s="73"/>
      <c r="G560" s="73"/>
      <c r="H560" s="73"/>
      <c r="I560" s="73"/>
      <c r="J560" s="73"/>
      <c r="K560" s="73"/>
      <c r="L560" s="73"/>
      <c r="M560" s="74"/>
    </row>
    <row r="561" spans="1:15" ht="24" customHeight="1" thickBot="1">
      <c r="A561" s="72" t="s">
        <v>31</v>
      </c>
      <c r="B561" s="73"/>
      <c r="C561" s="73"/>
      <c r="D561" s="73"/>
      <c r="E561" s="73"/>
      <c r="F561" s="73"/>
      <c r="G561" s="73"/>
      <c r="H561" s="73"/>
      <c r="I561" s="73"/>
      <c r="J561" s="73"/>
      <c r="K561" s="73"/>
      <c r="L561" s="73"/>
      <c r="M561" s="74"/>
    </row>
    <row r="562" spans="1:15" ht="24" customHeight="1" thickBot="1">
      <c r="A562" s="72" t="s">
        <v>197</v>
      </c>
      <c r="B562" s="73"/>
      <c r="C562" s="73"/>
      <c r="D562" s="73"/>
      <c r="E562" s="73"/>
      <c r="F562" s="73"/>
      <c r="G562" s="73"/>
      <c r="H562" s="73"/>
      <c r="I562" s="73"/>
      <c r="J562" s="73"/>
      <c r="K562" s="73"/>
      <c r="L562" s="73"/>
      <c r="M562" s="74"/>
    </row>
    <row r="563" spans="1:15" ht="24" customHeight="1" thickBot="1">
      <c r="A563" s="60" t="s">
        <v>46</v>
      </c>
      <c r="B563" s="61"/>
      <c r="C563" s="61"/>
      <c r="D563" s="61"/>
      <c r="E563" s="61"/>
      <c r="F563" s="61"/>
      <c r="G563" s="61"/>
      <c r="H563" s="61"/>
      <c r="I563" s="61"/>
      <c r="J563" s="61"/>
      <c r="K563" s="61"/>
      <c r="L563" s="61"/>
      <c r="M563" s="62"/>
    </row>
    <row r="564" spans="1:15" ht="11.1" customHeight="1">
      <c r="A564" s="103" t="s">
        <v>47</v>
      </c>
      <c r="B564" s="103"/>
      <c r="C564" s="103"/>
      <c r="D564" s="103"/>
      <c r="E564" s="103"/>
      <c r="F564" s="103"/>
      <c r="G564" s="103"/>
      <c r="H564" s="103"/>
      <c r="I564" s="103"/>
      <c r="J564" s="103"/>
      <c r="K564" s="103"/>
      <c r="L564" s="103"/>
      <c r="M564" s="103"/>
    </row>
    <row r="565" spans="1:15" ht="11.1" customHeight="1">
      <c r="A565" s="104" t="s">
        <v>48</v>
      </c>
      <c r="B565" s="104"/>
      <c r="C565" s="104"/>
      <c r="D565" s="104"/>
      <c r="E565" s="104"/>
      <c r="F565" s="104"/>
      <c r="G565" s="104"/>
      <c r="H565" s="104"/>
      <c r="I565" s="104"/>
      <c r="J565" s="104"/>
      <c r="K565" s="104"/>
      <c r="L565" s="104"/>
      <c r="M565" s="104"/>
    </row>
    <row r="566" spans="1:15" ht="11.1" customHeight="1">
      <c r="A566" s="105" t="s">
        <v>49</v>
      </c>
      <c r="B566" s="105"/>
      <c r="C566" s="105"/>
      <c r="D566" s="105"/>
      <c r="E566" s="105"/>
      <c r="F566" s="105"/>
      <c r="G566" s="105"/>
      <c r="H566" s="105"/>
      <c r="I566" s="105"/>
      <c r="J566" s="105"/>
      <c r="K566" s="105"/>
      <c r="L566" s="105"/>
      <c r="M566" s="105"/>
    </row>
    <row r="567" spans="1:15" ht="11.1" customHeight="1">
      <c r="A567" s="105" t="s">
        <v>50</v>
      </c>
      <c r="B567" s="105"/>
      <c r="C567" s="105"/>
      <c r="D567" s="105"/>
      <c r="E567" s="105"/>
      <c r="F567" s="105"/>
      <c r="G567" s="105"/>
      <c r="H567" s="105"/>
      <c r="I567" s="105"/>
      <c r="J567" s="105"/>
      <c r="K567" s="105"/>
      <c r="L567" s="105"/>
      <c r="M567" s="105"/>
    </row>
    <row r="568" spans="1:15" ht="11.1" customHeight="1">
      <c r="A568" s="104" t="s">
        <v>51</v>
      </c>
      <c r="B568" s="104"/>
      <c r="C568" s="104"/>
      <c r="D568" s="104"/>
      <c r="E568" s="104"/>
      <c r="F568" s="104"/>
      <c r="G568" s="104"/>
      <c r="H568" s="104"/>
      <c r="I568" s="104"/>
      <c r="J568" s="104"/>
      <c r="K568" s="104"/>
      <c r="L568" s="104"/>
      <c r="M568" s="104"/>
    </row>
    <row r="569" spans="1:15" ht="11.1" customHeight="1">
      <c r="A569" s="104" t="s">
        <v>52</v>
      </c>
      <c r="B569" s="104"/>
      <c r="C569" s="104"/>
      <c r="D569" s="104"/>
      <c r="E569" s="104"/>
      <c r="F569" s="104"/>
      <c r="G569" s="104"/>
      <c r="H569" s="104"/>
      <c r="I569" s="104"/>
      <c r="J569" s="104"/>
      <c r="K569" s="104"/>
      <c r="L569" s="104"/>
      <c r="M569" s="104"/>
    </row>
    <row r="570" spans="1:15" ht="11.1" customHeight="1">
      <c r="A570" s="104" t="s">
        <v>53</v>
      </c>
      <c r="B570" s="104"/>
      <c r="C570" s="104"/>
      <c r="D570" s="104"/>
      <c r="E570" s="104"/>
      <c r="F570" s="104"/>
      <c r="G570" s="104"/>
      <c r="H570" s="104"/>
      <c r="I570" s="104"/>
      <c r="J570" s="104"/>
      <c r="K570" s="104"/>
      <c r="L570" s="104"/>
      <c r="M570" s="104"/>
    </row>
    <row r="571" spans="1:15" ht="11.1" customHeight="1">
      <c r="A571" s="101" t="s">
        <v>54</v>
      </c>
      <c r="B571" s="101"/>
      <c r="C571" s="101"/>
      <c r="D571" s="101"/>
      <c r="E571" s="101"/>
      <c r="F571" s="101"/>
      <c r="G571" s="101"/>
      <c r="H571" s="101"/>
      <c r="I571" s="101"/>
      <c r="J571" s="101"/>
      <c r="K571" s="101"/>
      <c r="L571" s="101"/>
      <c r="M571" s="101"/>
    </row>
    <row r="572" spans="1:15" ht="11.1" customHeight="1">
      <c r="A572" s="101" t="s">
        <v>55</v>
      </c>
      <c r="B572" s="101"/>
      <c r="C572" s="101"/>
      <c r="D572" s="101"/>
      <c r="E572" s="101"/>
      <c r="F572" s="101"/>
      <c r="G572" s="101"/>
      <c r="H572" s="101"/>
      <c r="I572" s="101"/>
      <c r="J572" s="101"/>
      <c r="K572" s="101"/>
      <c r="L572" s="101"/>
      <c r="M572" s="101"/>
    </row>
    <row r="573" spans="1:15" ht="19.5" customHeight="1">
      <c r="A573" s="69" t="s">
        <v>0</v>
      </c>
      <c r="B573" s="69"/>
      <c r="C573" s="69"/>
      <c r="D573" s="69"/>
      <c r="E573" s="69"/>
      <c r="F573" s="69"/>
      <c r="G573" s="69"/>
      <c r="H573" s="69"/>
      <c r="I573" s="69"/>
      <c r="J573" s="69"/>
      <c r="K573" s="69"/>
      <c r="L573" s="69"/>
      <c r="M573" s="69"/>
    </row>
    <row r="574" spans="1:15" ht="20.100000000000001" customHeight="1">
      <c r="A574" s="4" t="s">
        <v>32</v>
      </c>
      <c r="B574" s="5">
        <f>+B530+1</f>
        <v>79</v>
      </c>
      <c r="C574" s="35"/>
      <c r="D574" s="35"/>
      <c r="E574" s="35"/>
      <c r="F574" s="35"/>
      <c r="G574" s="35"/>
      <c r="H574" s="35"/>
      <c r="I574" s="35"/>
      <c r="J574" s="35"/>
      <c r="K574" s="35"/>
      <c r="L574" s="35"/>
      <c r="M574" s="35"/>
    </row>
    <row r="575" spans="1:15" ht="24" customHeight="1" thickBot="1">
      <c r="A575" s="4" t="s">
        <v>33</v>
      </c>
      <c r="H575" s="70" t="s">
        <v>34</v>
      </c>
      <c r="I575" s="70"/>
      <c r="J575" s="70"/>
      <c r="K575" s="102">
        <f>+K531+1</f>
        <v>46005</v>
      </c>
      <c r="L575" s="102"/>
      <c r="M575" s="102"/>
      <c r="O575" s="7"/>
    </row>
    <row r="576" spans="1:15" ht="33.75" customHeight="1" thickBot="1">
      <c r="A576" s="80" t="s">
        <v>1</v>
      </c>
      <c r="B576" s="81"/>
      <c r="C576" s="82"/>
      <c r="D576" s="86" t="str">
        <f>+D532</f>
        <v>光明國中B與C區5樓老舊廁所整修工程</v>
      </c>
      <c r="E576" s="87"/>
      <c r="F576" s="87"/>
      <c r="G576" s="88"/>
      <c r="H576" s="80" t="s">
        <v>2</v>
      </c>
      <c r="I576" s="81"/>
      <c r="J576" s="82"/>
      <c r="K576" s="80" t="s">
        <v>35</v>
      </c>
      <c r="L576" s="81"/>
      <c r="M576" s="82"/>
    </row>
    <row r="577" spans="1:13" ht="33.75" customHeight="1" thickBot="1">
      <c r="A577" s="8" t="s">
        <v>3</v>
      </c>
      <c r="B577" s="36">
        <f>+B533</f>
        <v>145</v>
      </c>
      <c r="C577" s="10" t="s">
        <v>36</v>
      </c>
      <c r="D577" s="80" t="s">
        <v>4</v>
      </c>
      <c r="E577" s="89"/>
      <c r="F577" s="37">
        <f>+F533+1</f>
        <v>79</v>
      </c>
      <c r="G577" s="12" t="s">
        <v>36</v>
      </c>
      <c r="H577" s="13" t="s">
        <v>5</v>
      </c>
      <c r="I577" s="36">
        <f>+B577-F577</f>
        <v>66</v>
      </c>
      <c r="J577" s="10" t="s">
        <v>36</v>
      </c>
      <c r="K577" s="80" t="s">
        <v>6</v>
      </c>
      <c r="L577" s="82"/>
      <c r="M577" s="13">
        <f>+M533</f>
        <v>15</v>
      </c>
    </row>
    <row r="578" spans="1:13" ht="24" customHeight="1" thickBot="1">
      <c r="A578" s="80" t="s">
        <v>7</v>
      </c>
      <c r="B578" s="81"/>
      <c r="C578" s="82"/>
      <c r="D578" s="80" t="str">
        <f>+D534</f>
        <v>114.9.27</v>
      </c>
      <c r="E578" s="81"/>
      <c r="F578" s="81"/>
      <c r="G578" s="82"/>
      <c r="H578" s="80" t="s">
        <v>8</v>
      </c>
      <c r="I578" s="81"/>
      <c r="J578" s="82"/>
      <c r="K578" s="80" t="str">
        <f>+K534</f>
        <v>115.2.18</v>
      </c>
      <c r="L578" s="81"/>
      <c r="M578" s="82"/>
    </row>
    <row r="579" spans="1:13" ht="24" customHeight="1" thickBot="1">
      <c r="A579" s="80" t="s">
        <v>37</v>
      </c>
      <c r="B579" s="81"/>
      <c r="C579" s="82"/>
      <c r="D579" s="83">
        <v>0.378</v>
      </c>
      <c r="E579" s="84"/>
      <c r="F579" s="84"/>
      <c r="G579" s="85"/>
      <c r="H579" s="80" t="s">
        <v>38</v>
      </c>
      <c r="I579" s="81"/>
      <c r="J579" s="82"/>
      <c r="K579" s="83">
        <f>+K535</f>
        <v>0.54900000000000027</v>
      </c>
      <c r="L579" s="84"/>
      <c r="M579" s="85"/>
    </row>
    <row r="580" spans="1:13" ht="24" customHeight="1" thickBot="1">
      <c r="A580" s="72" t="s">
        <v>9</v>
      </c>
      <c r="B580" s="73"/>
      <c r="C580" s="73"/>
      <c r="D580" s="73"/>
      <c r="E580" s="73"/>
      <c r="F580" s="73"/>
      <c r="G580" s="73"/>
      <c r="H580" s="73"/>
      <c r="I580" s="73"/>
      <c r="J580" s="73"/>
      <c r="K580" s="73"/>
      <c r="L580" s="73"/>
      <c r="M580" s="74"/>
    </row>
    <row r="581" spans="1:13" ht="35.25" customHeight="1" thickBot="1">
      <c r="A581" s="75" t="s">
        <v>10</v>
      </c>
      <c r="B581" s="76"/>
      <c r="C581" s="76"/>
      <c r="D581" s="77"/>
      <c r="E581" s="14" t="s">
        <v>11</v>
      </c>
      <c r="F581" s="75" t="s">
        <v>12</v>
      </c>
      <c r="G581" s="77"/>
      <c r="H581" s="75" t="s">
        <v>13</v>
      </c>
      <c r="I581" s="77"/>
      <c r="J581" s="78" t="s">
        <v>14</v>
      </c>
      <c r="K581" s="79"/>
      <c r="L581" s="75" t="s">
        <v>15</v>
      </c>
      <c r="M581" s="77"/>
    </row>
    <row r="582" spans="1:13" ht="27.95" customHeight="1" thickBot="1">
      <c r="A582" s="141"/>
      <c r="B582" s="142"/>
      <c r="C582" s="142"/>
      <c r="D582" s="143"/>
      <c r="E582" s="2"/>
      <c r="F582" s="56"/>
      <c r="G582" s="57"/>
      <c r="H582" s="56"/>
      <c r="I582" s="57"/>
      <c r="J582" s="56"/>
      <c r="K582" s="57"/>
      <c r="L582" s="58"/>
      <c r="M582" s="59"/>
    </row>
    <row r="583" spans="1:13" ht="27.95" customHeight="1" thickBot="1">
      <c r="A583" s="141"/>
      <c r="B583" s="142"/>
      <c r="C583" s="142"/>
      <c r="D583" s="143"/>
      <c r="E583" s="15"/>
      <c r="F583" s="56"/>
      <c r="G583" s="57"/>
      <c r="H583" s="56"/>
      <c r="I583" s="57"/>
      <c r="J583" s="56"/>
      <c r="K583" s="57"/>
      <c r="L583" s="58"/>
      <c r="M583" s="59"/>
    </row>
    <row r="584" spans="1:13" ht="24.95" customHeight="1" thickTop="1" thickBot="1">
      <c r="A584" s="130" t="s">
        <v>16</v>
      </c>
      <c r="B584" s="67"/>
      <c r="C584" s="67"/>
      <c r="D584" s="68"/>
      <c r="E584" s="38"/>
      <c r="F584" s="131"/>
      <c r="G584" s="132"/>
      <c r="H584" s="131"/>
      <c r="I584" s="132"/>
      <c r="J584" s="131"/>
      <c r="K584" s="132"/>
      <c r="L584" s="131"/>
      <c r="M584" s="133"/>
    </row>
    <row r="585" spans="1:13" ht="24.95" customHeight="1" thickBot="1">
      <c r="A585" s="134" t="s">
        <v>17</v>
      </c>
      <c r="B585" s="135"/>
      <c r="C585" s="135"/>
      <c r="D585" s="59"/>
      <c r="E585" s="38"/>
      <c r="F585" s="58"/>
      <c r="G585" s="59"/>
      <c r="H585" s="58"/>
      <c r="I585" s="59"/>
      <c r="J585" s="58"/>
      <c r="K585" s="59"/>
      <c r="L585" s="58"/>
      <c r="M585" s="136"/>
    </row>
    <row r="586" spans="1:13" ht="24.95" customHeight="1" thickBot="1">
      <c r="A586" s="118" t="s">
        <v>18</v>
      </c>
      <c r="B586" s="119"/>
      <c r="C586" s="119"/>
      <c r="D586" s="120"/>
      <c r="E586" s="24"/>
      <c r="F586" s="121"/>
      <c r="G586" s="120"/>
      <c r="H586" s="121"/>
      <c r="I586" s="120"/>
      <c r="J586" s="121"/>
      <c r="K586" s="120"/>
      <c r="L586" s="121"/>
      <c r="M586" s="122"/>
    </row>
    <row r="587" spans="1:13" ht="24" customHeight="1" thickTop="1" thickBot="1">
      <c r="A587" s="66" t="s">
        <v>19</v>
      </c>
      <c r="B587" s="67"/>
      <c r="C587" s="67"/>
      <c r="D587" s="67"/>
      <c r="E587" s="67"/>
      <c r="F587" s="67"/>
      <c r="G587" s="67"/>
      <c r="H587" s="67"/>
      <c r="I587" s="67"/>
      <c r="J587" s="67"/>
      <c r="K587" s="67"/>
      <c r="L587" s="67"/>
      <c r="M587" s="68"/>
    </row>
    <row r="588" spans="1:13" ht="35.25" customHeight="1" thickBot="1">
      <c r="A588" s="75" t="s">
        <v>20</v>
      </c>
      <c r="B588" s="76"/>
      <c r="C588" s="76"/>
      <c r="D588" s="77"/>
      <c r="E588" s="14" t="s">
        <v>11</v>
      </c>
      <c r="F588" s="75" t="s">
        <v>39</v>
      </c>
      <c r="G588" s="77"/>
      <c r="H588" s="75" t="s">
        <v>21</v>
      </c>
      <c r="I588" s="77"/>
      <c r="J588" s="78" t="s">
        <v>22</v>
      </c>
      <c r="K588" s="79"/>
      <c r="L588" s="75" t="s">
        <v>15</v>
      </c>
      <c r="M588" s="77"/>
    </row>
    <row r="589" spans="1:13" ht="24" customHeight="1" thickBot="1">
      <c r="A589" s="96"/>
      <c r="B589" s="97"/>
      <c r="C589" s="97"/>
      <c r="D589" s="98"/>
      <c r="E589" s="38"/>
      <c r="F589" s="58"/>
      <c r="G589" s="59"/>
      <c r="H589" s="58"/>
      <c r="I589" s="59"/>
      <c r="J589" s="56"/>
      <c r="K589" s="57"/>
      <c r="L589" s="58"/>
      <c r="M589" s="59"/>
    </row>
    <row r="590" spans="1:13" ht="24" customHeight="1" thickBot="1">
      <c r="A590" s="96"/>
      <c r="B590" s="97"/>
      <c r="C590" s="97"/>
      <c r="D590" s="98"/>
      <c r="E590" s="38"/>
      <c r="F590" s="58"/>
      <c r="G590" s="59"/>
      <c r="H590" s="58"/>
      <c r="I590" s="59"/>
      <c r="J590" s="56"/>
      <c r="K590" s="57"/>
      <c r="L590" s="58"/>
      <c r="M590" s="59"/>
    </row>
    <row r="591" spans="1:13" ht="24" customHeight="1" thickBot="1">
      <c r="A591" s="60" t="s">
        <v>23</v>
      </c>
      <c r="B591" s="61"/>
      <c r="C591" s="61"/>
      <c r="D591" s="61"/>
      <c r="E591" s="61"/>
      <c r="F591" s="61"/>
      <c r="G591" s="61"/>
      <c r="H591" s="61"/>
      <c r="I591" s="61"/>
      <c r="J591" s="61"/>
      <c r="K591" s="61"/>
      <c r="L591" s="61"/>
      <c r="M591" s="62"/>
    </row>
    <row r="592" spans="1:13" ht="35.25" customHeight="1" thickBot="1">
      <c r="A592" s="75" t="s">
        <v>24</v>
      </c>
      <c r="B592" s="77"/>
      <c r="C592" s="75" t="s">
        <v>25</v>
      </c>
      <c r="D592" s="77"/>
      <c r="E592" s="75" t="s">
        <v>26</v>
      </c>
      <c r="F592" s="76"/>
      <c r="G592" s="77"/>
      <c r="H592" s="75" t="s">
        <v>27</v>
      </c>
      <c r="I592" s="77"/>
      <c r="J592" s="78" t="s">
        <v>21</v>
      </c>
      <c r="K592" s="79"/>
      <c r="L592" s="75" t="s">
        <v>22</v>
      </c>
      <c r="M592" s="77"/>
    </row>
    <row r="593" spans="1:13" s="18" customFormat="1" ht="24.75" customHeight="1" thickBot="1">
      <c r="A593" s="99"/>
      <c r="B593" s="98"/>
      <c r="C593" s="56"/>
      <c r="D593" s="57"/>
      <c r="E593" s="56"/>
      <c r="F593" s="100"/>
      <c r="G593" s="57"/>
      <c r="H593" s="56"/>
      <c r="I593" s="57"/>
      <c r="J593" s="56"/>
      <c r="K593" s="57"/>
      <c r="L593" s="56"/>
      <c r="M593" s="57"/>
    </row>
    <row r="594" spans="1:13" s="18" customFormat="1" ht="24.75" customHeight="1" thickBot="1">
      <c r="A594" s="99"/>
      <c r="B594" s="98"/>
      <c r="C594" s="56"/>
      <c r="D594" s="57"/>
      <c r="E594" s="56"/>
      <c r="F594" s="100"/>
      <c r="G594" s="57"/>
      <c r="H594" s="56"/>
      <c r="I594" s="57"/>
      <c r="J594" s="56"/>
      <c r="K594" s="57"/>
      <c r="L594" s="56"/>
      <c r="M594" s="57"/>
    </row>
    <row r="595" spans="1:13" ht="33" customHeight="1" thickBot="1">
      <c r="A595" s="112" t="s">
        <v>60</v>
      </c>
      <c r="B595" s="113"/>
      <c r="C595" s="113"/>
      <c r="D595" s="113"/>
      <c r="E595" s="113"/>
      <c r="F595" s="113"/>
      <c r="G595" s="113"/>
      <c r="H595" s="113"/>
      <c r="I595" s="113"/>
      <c r="J595" s="113"/>
      <c r="K595" s="113"/>
      <c r="L595" s="113"/>
      <c r="M595" s="114"/>
    </row>
    <row r="596" spans="1:13" ht="16.5" customHeight="1">
      <c r="A596" s="115" t="s">
        <v>41</v>
      </c>
      <c r="B596" s="116"/>
      <c r="C596" s="116"/>
      <c r="D596" s="116"/>
      <c r="E596" s="116"/>
      <c r="F596" s="116"/>
      <c r="G596" s="116"/>
      <c r="H596" s="116"/>
      <c r="I596" s="116"/>
      <c r="J596" s="116"/>
      <c r="K596" s="116"/>
      <c r="L596" s="116"/>
      <c r="M596" s="117"/>
    </row>
    <row r="597" spans="1:13" ht="16.5" customHeight="1">
      <c r="A597" s="90" t="s">
        <v>28</v>
      </c>
      <c r="B597" s="91"/>
      <c r="C597" s="91"/>
      <c r="D597" s="91"/>
      <c r="E597" s="91"/>
      <c r="F597" s="91"/>
      <c r="G597" s="91"/>
      <c r="H597" s="91"/>
      <c r="I597" s="91"/>
      <c r="J597" s="91"/>
      <c r="K597" s="91"/>
      <c r="L597" s="91"/>
      <c r="M597" s="92"/>
    </row>
    <row r="598" spans="1:13" ht="16.5" customHeight="1">
      <c r="A598" s="106" t="s">
        <v>42</v>
      </c>
      <c r="B598" s="107"/>
      <c r="C598" s="107"/>
      <c r="D598" s="107"/>
      <c r="E598" s="107"/>
      <c r="F598" s="107"/>
      <c r="G598" s="107"/>
      <c r="H598" s="107"/>
      <c r="I598" s="107"/>
      <c r="J598" s="107"/>
      <c r="K598" s="107"/>
      <c r="L598" s="107"/>
      <c r="M598" s="108"/>
    </row>
    <row r="599" spans="1:13" ht="16.5" customHeight="1">
      <c r="A599" s="106" t="s">
        <v>43</v>
      </c>
      <c r="B599" s="107"/>
      <c r="C599" s="107"/>
      <c r="D599" s="107"/>
      <c r="E599" s="107"/>
      <c r="F599" s="107"/>
      <c r="G599" s="107"/>
      <c r="H599" s="107"/>
      <c r="I599" s="107"/>
      <c r="J599" s="107"/>
      <c r="K599" s="107"/>
      <c r="L599" s="107"/>
      <c r="M599" s="108"/>
    </row>
    <row r="600" spans="1:13" ht="16.5" customHeight="1">
      <c r="A600" s="106" t="s">
        <v>44</v>
      </c>
      <c r="B600" s="107"/>
      <c r="C600" s="107"/>
      <c r="D600" s="107"/>
      <c r="E600" s="107"/>
      <c r="F600" s="107"/>
      <c r="G600" s="107"/>
      <c r="H600" s="107"/>
      <c r="I600" s="107"/>
      <c r="J600" s="107"/>
      <c r="K600" s="107"/>
      <c r="L600" s="107"/>
      <c r="M600" s="108"/>
    </row>
    <row r="601" spans="1:13" ht="16.5" customHeight="1">
      <c r="A601" s="106" t="s">
        <v>45</v>
      </c>
      <c r="B601" s="107"/>
      <c r="C601" s="107"/>
      <c r="D601" s="107"/>
      <c r="E601" s="107"/>
      <c r="F601" s="107"/>
      <c r="G601" s="107"/>
      <c r="H601" s="107"/>
      <c r="I601" s="107"/>
      <c r="J601" s="107"/>
      <c r="K601" s="107"/>
      <c r="L601" s="107"/>
      <c r="M601" s="108"/>
    </row>
    <row r="602" spans="1:13" ht="16.5" customHeight="1">
      <c r="A602" s="106" t="s">
        <v>29</v>
      </c>
      <c r="B602" s="107"/>
      <c r="C602" s="107"/>
      <c r="D602" s="107"/>
      <c r="E602" s="107"/>
      <c r="F602" s="107"/>
      <c r="G602" s="107"/>
      <c r="H602" s="107"/>
      <c r="I602" s="107"/>
      <c r="J602" s="107"/>
      <c r="K602" s="107"/>
      <c r="L602" s="107"/>
      <c r="M602" s="108"/>
    </row>
    <row r="603" spans="1:13" ht="9.75" customHeight="1" thickBot="1">
      <c r="A603" s="109"/>
      <c r="B603" s="110"/>
      <c r="C603" s="110"/>
      <c r="D603" s="110"/>
      <c r="E603" s="110"/>
      <c r="F603" s="110"/>
      <c r="G603" s="110"/>
      <c r="H603" s="110"/>
      <c r="I603" s="110"/>
      <c r="J603" s="110"/>
      <c r="K603" s="110"/>
      <c r="L603" s="110"/>
      <c r="M603" s="111"/>
    </row>
    <row r="604" spans="1:13" ht="18.75" customHeight="1" thickBot="1">
      <c r="A604" s="72" t="s">
        <v>30</v>
      </c>
      <c r="B604" s="73"/>
      <c r="C604" s="73"/>
      <c r="D604" s="73"/>
      <c r="E604" s="73"/>
      <c r="F604" s="73"/>
      <c r="G604" s="73"/>
      <c r="H604" s="73"/>
      <c r="I604" s="73"/>
      <c r="J604" s="73"/>
      <c r="K604" s="73"/>
      <c r="L604" s="73"/>
      <c r="M604" s="74"/>
    </row>
    <row r="605" spans="1:13" ht="24" customHeight="1" thickBot="1">
      <c r="A605" s="72" t="s">
        <v>31</v>
      </c>
      <c r="B605" s="73"/>
      <c r="C605" s="73"/>
      <c r="D605" s="73"/>
      <c r="E605" s="73"/>
      <c r="F605" s="73"/>
      <c r="G605" s="73"/>
      <c r="H605" s="73"/>
      <c r="I605" s="73"/>
      <c r="J605" s="73"/>
      <c r="K605" s="73"/>
      <c r="L605" s="73"/>
      <c r="M605" s="74"/>
    </row>
    <row r="606" spans="1:13" ht="24" customHeight="1" thickBot="1">
      <c r="A606" s="72" t="s">
        <v>176</v>
      </c>
      <c r="B606" s="73"/>
      <c r="C606" s="73"/>
      <c r="D606" s="73"/>
      <c r="E606" s="73"/>
      <c r="F606" s="73"/>
      <c r="G606" s="73"/>
      <c r="H606" s="73"/>
      <c r="I606" s="73"/>
      <c r="J606" s="73"/>
      <c r="K606" s="73"/>
      <c r="L606" s="73"/>
      <c r="M606" s="74"/>
    </row>
    <row r="607" spans="1:13" ht="24" customHeight="1" thickBot="1">
      <c r="A607" s="60" t="s">
        <v>46</v>
      </c>
      <c r="B607" s="61"/>
      <c r="C607" s="61"/>
      <c r="D607" s="61"/>
      <c r="E607" s="61"/>
      <c r="F607" s="61"/>
      <c r="G607" s="61"/>
      <c r="H607" s="61"/>
      <c r="I607" s="61"/>
      <c r="J607" s="61"/>
      <c r="K607" s="61"/>
      <c r="L607" s="61"/>
      <c r="M607" s="62"/>
    </row>
    <row r="608" spans="1:13" ht="11.1" customHeight="1">
      <c r="A608" s="103" t="s">
        <v>47</v>
      </c>
      <c r="B608" s="103"/>
      <c r="C608" s="103"/>
      <c r="D608" s="103"/>
      <c r="E608" s="103"/>
      <c r="F608" s="103"/>
      <c r="G608" s="103"/>
      <c r="H608" s="103"/>
      <c r="I608" s="103"/>
      <c r="J608" s="103"/>
      <c r="K608" s="103"/>
      <c r="L608" s="103"/>
      <c r="M608" s="103"/>
    </row>
    <row r="609" spans="1:15" ht="11.1" customHeight="1">
      <c r="A609" s="104" t="s">
        <v>48</v>
      </c>
      <c r="B609" s="104"/>
      <c r="C609" s="104"/>
      <c r="D609" s="104"/>
      <c r="E609" s="104"/>
      <c r="F609" s="104"/>
      <c r="G609" s="104"/>
      <c r="H609" s="104"/>
      <c r="I609" s="104"/>
      <c r="J609" s="104"/>
      <c r="K609" s="104"/>
      <c r="L609" s="104"/>
      <c r="M609" s="104"/>
    </row>
    <row r="610" spans="1:15" ht="11.1" customHeight="1">
      <c r="A610" s="105" t="s">
        <v>49</v>
      </c>
      <c r="B610" s="105"/>
      <c r="C610" s="105"/>
      <c r="D610" s="105"/>
      <c r="E610" s="105"/>
      <c r="F610" s="105"/>
      <c r="G610" s="105"/>
      <c r="H610" s="105"/>
      <c r="I610" s="105"/>
      <c r="J610" s="105"/>
      <c r="K610" s="105"/>
      <c r="L610" s="105"/>
      <c r="M610" s="105"/>
    </row>
    <row r="611" spans="1:15" ht="11.1" customHeight="1">
      <c r="A611" s="105" t="s">
        <v>50</v>
      </c>
      <c r="B611" s="105"/>
      <c r="C611" s="105"/>
      <c r="D611" s="105"/>
      <c r="E611" s="105"/>
      <c r="F611" s="105"/>
      <c r="G611" s="105"/>
      <c r="H611" s="105"/>
      <c r="I611" s="105"/>
      <c r="J611" s="105"/>
      <c r="K611" s="105"/>
      <c r="L611" s="105"/>
      <c r="M611" s="105"/>
    </row>
    <row r="612" spans="1:15" ht="11.1" customHeight="1">
      <c r="A612" s="104" t="s">
        <v>51</v>
      </c>
      <c r="B612" s="104"/>
      <c r="C612" s="104"/>
      <c r="D612" s="104"/>
      <c r="E612" s="104"/>
      <c r="F612" s="104"/>
      <c r="G612" s="104"/>
      <c r="H612" s="104"/>
      <c r="I612" s="104"/>
      <c r="J612" s="104"/>
      <c r="K612" s="104"/>
      <c r="L612" s="104"/>
      <c r="M612" s="104"/>
    </row>
    <row r="613" spans="1:15" ht="11.1" customHeight="1">
      <c r="A613" s="104" t="s">
        <v>52</v>
      </c>
      <c r="B613" s="104"/>
      <c r="C613" s="104"/>
      <c r="D613" s="104"/>
      <c r="E613" s="104"/>
      <c r="F613" s="104"/>
      <c r="G613" s="104"/>
      <c r="H613" s="104"/>
      <c r="I613" s="104"/>
      <c r="J613" s="104"/>
      <c r="K613" s="104"/>
      <c r="L613" s="104"/>
      <c r="M613" s="104"/>
    </row>
    <row r="614" spans="1:15" ht="11.1" customHeight="1">
      <c r="A614" s="104" t="s">
        <v>53</v>
      </c>
      <c r="B614" s="104"/>
      <c r="C614" s="104"/>
      <c r="D614" s="104"/>
      <c r="E614" s="104"/>
      <c r="F614" s="104"/>
      <c r="G614" s="104"/>
      <c r="H614" s="104"/>
      <c r="I614" s="104"/>
      <c r="J614" s="104"/>
      <c r="K614" s="104"/>
      <c r="L614" s="104"/>
      <c r="M614" s="104"/>
    </row>
    <row r="615" spans="1:15" ht="11.1" customHeight="1">
      <c r="A615" s="101" t="s">
        <v>54</v>
      </c>
      <c r="B615" s="101"/>
      <c r="C615" s="101"/>
      <c r="D615" s="101"/>
      <c r="E615" s="101"/>
      <c r="F615" s="101"/>
      <c r="G615" s="101"/>
      <c r="H615" s="101"/>
      <c r="I615" s="101"/>
      <c r="J615" s="101"/>
      <c r="K615" s="101"/>
      <c r="L615" s="101"/>
      <c r="M615" s="101"/>
    </row>
    <row r="616" spans="1:15" ht="11.1" customHeight="1">
      <c r="A616" s="101" t="s">
        <v>55</v>
      </c>
      <c r="B616" s="101"/>
      <c r="C616" s="101"/>
      <c r="D616" s="101"/>
      <c r="E616" s="101"/>
      <c r="F616" s="101"/>
      <c r="G616" s="101"/>
      <c r="H616" s="101"/>
      <c r="I616" s="101"/>
      <c r="J616" s="101"/>
      <c r="K616" s="101"/>
      <c r="L616" s="101"/>
      <c r="M616" s="101"/>
    </row>
    <row r="617" spans="1:15" ht="19.5" customHeight="1">
      <c r="A617" s="69" t="s">
        <v>0</v>
      </c>
      <c r="B617" s="69"/>
      <c r="C617" s="69"/>
      <c r="D617" s="69"/>
      <c r="E617" s="69"/>
      <c r="F617" s="69"/>
      <c r="G617" s="69"/>
      <c r="H617" s="69"/>
      <c r="I617" s="69"/>
      <c r="J617" s="69"/>
      <c r="K617" s="69"/>
      <c r="L617" s="69"/>
      <c r="M617" s="69"/>
    </row>
    <row r="618" spans="1:15" ht="20.100000000000001" customHeight="1">
      <c r="A618" s="4" t="s">
        <v>32</v>
      </c>
      <c r="B618" s="5">
        <f>+B574+1</f>
        <v>80</v>
      </c>
      <c r="C618" s="35"/>
      <c r="D618" s="35"/>
      <c r="E618" s="35"/>
      <c r="F618" s="35"/>
      <c r="G618" s="35"/>
      <c r="H618" s="35"/>
      <c r="I618" s="35"/>
      <c r="J618" s="35"/>
      <c r="K618" s="35"/>
      <c r="L618" s="35"/>
      <c r="M618" s="35"/>
    </row>
    <row r="619" spans="1:15" ht="24" customHeight="1" thickBot="1">
      <c r="A619" s="4" t="s">
        <v>33</v>
      </c>
      <c r="H619" s="70" t="s">
        <v>34</v>
      </c>
      <c r="I619" s="70"/>
      <c r="J619" s="70"/>
      <c r="K619" s="102">
        <f>+K575+1</f>
        <v>46006</v>
      </c>
      <c r="L619" s="102"/>
      <c r="M619" s="102"/>
      <c r="O619" s="7"/>
    </row>
    <row r="620" spans="1:15" ht="33.75" customHeight="1" thickBot="1">
      <c r="A620" s="80" t="s">
        <v>1</v>
      </c>
      <c r="B620" s="81"/>
      <c r="C620" s="82"/>
      <c r="D620" s="86" t="str">
        <f>+D576</f>
        <v>光明國中B與C區5樓老舊廁所整修工程</v>
      </c>
      <c r="E620" s="87"/>
      <c r="F620" s="87"/>
      <c r="G620" s="88"/>
      <c r="H620" s="80" t="s">
        <v>2</v>
      </c>
      <c r="I620" s="81"/>
      <c r="J620" s="82"/>
      <c r="K620" s="80" t="s">
        <v>35</v>
      </c>
      <c r="L620" s="81"/>
      <c r="M620" s="82"/>
    </row>
    <row r="621" spans="1:15" ht="33.75" customHeight="1" thickBot="1">
      <c r="A621" s="8" t="s">
        <v>3</v>
      </c>
      <c r="B621" s="36">
        <f>+B577</f>
        <v>145</v>
      </c>
      <c r="C621" s="10" t="s">
        <v>36</v>
      </c>
      <c r="D621" s="80" t="s">
        <v>4</v>
      </c>
      <c r="E621" s="89"/>
      <c r="F621" s="37">
        <f>+F577+1</f>
        <v>80</v>
      </c>
      <c r="G621" s="12" t="s">
        <v>36</v>
      </c>
      <c r="H621" s="13" t="s">
        <v>5</v>
      </c>
      <c r="I621" s="36">
        <f>+B621-F621</f>
        <v>65</v>
      </c>
      <c r="J621" s="10" t="s">
        <v>36</v>
      </c>
      <c r="K621" s="80" t="s">
        <v>6</v>
      </c>
      <c r="L621" s="82"/>
      <c r="M621" s="13">
        <f>+M577</f>
        <v>15</v>
      </c>
    </row>
    <row r="622" spans="1:15" ht="24" customHeight="1" thickBot="1">
      <c r="A622" s="80" t="s">
        <v>7</v>
      </c>
      <c r="B622" s="81"/>
      <c r="C622" s="82"/>
      <c r="D622" s="80" t="str">
        <f>+D578</f>
        <v>114.9.27</v>
      </c>
      <c r="E622" s="81"/>
      <c r="F622" s="81"/>
      <c r="G622" s="82"/>
      <c r="H622" s="80" t="s">
        <v>8</v>
      </c>
      <c r="I622" s="81"/>
      <c r="J622" s="82"/>
      <c r="K622" s="80" t="str">
        <f>+K578</f>
        <v>115.2.18</v>
      </c>
      <c r="L622" s="81"/>
      <c r="M622" s="82"/>
    </row>
    <row r="623" spans="1:15" ht="24" customHeight="1" thickBot="1">
      <c r="A623" s="80" t="s">
        <v>37</v>
      </c>
      <c r="B623" s="81"/>
      <c r="C623" s="82"/>
      <c r="D623" s="83">
        <v>0.38400000000000001</v>
      </c>
      <c r="E623" s="84"/>
      <c r="F623" s="84"/>
      <c r="G623" s="85"/>
      <c r="H623" s="80" t="s">
        <v>38</v>
      </c>
      <c r="I623" s="81"/>
      <c r="J623" s="82"/>
      <c r="K623" s="83">
        <f>+K579+0.1%+0.2%</f>
        <v>0.55200000000000027</v>
      </c>
      <c r="L623" s="84"/>
      <c r="M623" s="85"/>
    </row>
    <row r="624" spans="1:15" ht="24" customHeight="1" thickBot="1">
      <c r="A624" s="72" t="s">
        <v>9</v>
      </c>
      <c r="B624" s="73"/>
      <c r="C624" s="73"/>
      <c r="D624" s="73"/>
      <c r="E624" s="73"/>
      <c r="F624" s="73"/>
      <c r="G624" s="73"/>
      <c r="H624" s="73"/>
      <c r="I624" s="73"/>
      <c r="J624" s="73"/>
      <c r="K624" s="73"/>
      <c r="L624" s="73"/>
      <c r="M624" s="74"/>
    </row>
    <row r="625" spans="1:13" ht="35.25" customHeight="1" thickBot="1">
      <c r="A625" s="75" t="s">
        <v>10</v>
      </c>
      <c r="B625" s="76"/>
      <c r="C625" s="76"/>
      <c r="D625" s="77"/>
      <c r="E625" s="14" t="s">
        <v>11</v>
      </c>
      <c r="F625" s="75" t="s">
        <v>12</v>
      </c>
      <c r="G625" s="77"/>
      <c r="H625" s="75" t="s">
        <v>13</v>
      </c>
      <c r="I625" s="77"/>
      <c r="J625" s="78" t="s">
        <v>14</v>
      </c>
      <c r="K625" s="79"/>
      <c r="L625" s="75" t="s">
        <v>15</v>
      </c>
      <c r="M625" s="77"/>
    </row>
    <row r="626" spans="1:13" ht="27.95" customHeight="1" thickBot="1">
      <c r="A626" s="141" t="s">
        <v>125</v>
      </c>
      <c r="B626" s="142"/>
      <c r="C626" s="142"/>
      <c r="D626" s="143"/>
      <c r="E626" s="2" t="s">
        <v>69</v>
      </c>
      <c r="F626" s="56">
        <v>1</v>
      </c>
      <c r="G626" s="57"/>
      <c r="H626" s="56">
        <v>0.1</v>
      </c>
      <c r="I626" s="57"/>
      <c r="J626" s="56">
        <v>0.9</v>
      </c>
      <c r="K626" s="57"/>
      <c r="L626" s="58"/>
      <c r="M626" s="59"/>
    </row>
    <row r="627" spans="1:13" ht="27.95" customHeight="1" thickBot="1">
      <c r="A627" s="141" t="s">
        <v>157</v>
      </c>
      <c r="B627" s="142"/>
      <c r="C627" s="142"/>
      <c r="D627" s="143"/>
      <c r="E627" s="15" t="s">
        <v>69</v>
      </c>
      <c r="F627" s="56">
        <v>1</v>
      </c>
      <c r="G627" s="57"/>
      <c r="H627" s="56">
        <v>0.2</v>
      </c>
      <c r="I627" s="57"/>
      <c r="J627" s="56">
        <v>0.2</v>
      </c>
      <c r="K627" s="57"/>
      <c r="L627" s="58"/>
      <c r="M627" s="59"/>
    </row>
    <row r="628" spans="1:13" ht="24.95" customHeight="1" thickTop="1" thickBot="1">
      <c r="A628" s="130" t="s">
        <v>16</v>
      </c>
      <c r="B628" s="67"/>
      <c r="C628" s="67"/>
      <c r="D628" s="68"/>
      <c r="E628" s="38"/>
      <c r="F628" s="131"/>
      <c r="G628" s="132"/>
      <c r="H628" s="131"/>
      <c r="I628" s="132"/>
      <c r="J628" s="131"/>
      <c r="K628" s="132"/>
      <c r="L628" s="131"/>
      <c r="M628" s="133"/>
    </row>
    <row r="629" spans="1:13" ht="24.95" customHeight="1" thickBot="1">
      <c r="A629" s="134" t="s">
        <v>17</v>
      </c>
      <c r="B629" s="135"/>
      <c r="C629" s="135"/>
      <c r="D629" s="59"/>
      <c r="E629" s="38"/>
      <c r="F629" s="58"/>
      <c r="G629" s="59"/>
      <c r="H629" s="58"/>
      <c r="I629" s="59"/>
      <c r="J629" s="58"/>
      <c r="K629" s="59"/>
      <c r="L629" s="58"/>
      <c r="M629" s="136"/>
    </row>
    <row r="630" spans="1:13" ht="24.95" customHeight="1" thickBot="1">
      <c r="A630" s="118" t="s">
        <v>18</v>
      </c>
      <c r="B630" s="119"/>
      <c r="C630" s="119"/>
      <c r="D630" s="120"/>
      <c r="E630" s="24"/>
      <c r="F630" s="121"/>
      <c r="G630" s="120"/>
      <c r="H630" s="121"/>
      <c r="I630" s="120"/>
      <c r="J630" s="121"/>
      <c r="K630" s="120"/>
      <c r="L630" s="121"/>
      <c r="M630" s="122"/>
    </row>
    <row r="631" spans="1:13" ht="24" customHeight="1" thickTop="1" thickBot="1">
      <c r="A631" s="66" t="s">
        <v>19</v>
      </c>
      <c r="B631" s="67"/>
      <c r="C631" s="67"/>
      <c r="D631" s="67"/>
      <c r="E631" s="67"/>
      <c r="F631" s="67"/>
      <c r="G631" s="67"/>
      <c r="H631" s="67"/>
      <c r="I631" s="67"/>
      <c r="J631" s="67"/>
      <c r="K631" s="67"/>
      <c r="L631" s="67"/>
      <c r="M631" s="68"/>
    </row>
    <row r="632" spans="1:13" ht="35.25" customHeight="1" thickBot="1">
      <c r="A632" s="75" t="s">
        <v>20</v>
      </c>
      <c r="B632" s="76"/>
      <c r="C632" s="76"/>
      <c r="D632" s="77"/>
      <c r="E632" s="14" t="s">
        <v>11</v>
      </c>
      <c r="F632" s="75" t="s">
        <v>39</v>
      </c>
      <c r="G632" s="77"/>
      <c r="H632" s="75" t="s">
        <v>21</v>
      </c>
      <c r="I632" s="77"/>
      <c r="J632" s="78" t="s">
        <v>22</v>
      </c>
      <c r="K632" s="79"/>
      <c r="L632" s="75" t="s">
        <v>15</v>
      </c>
      <c r="M632" s="77"/>
    </row>
    <row r="633" spans="1:13" ht="24" customHeight="1" thickBot="1">
      <c r="A633" s="96"/>
      <c r="B633" s="97"/>
      <c r="C633" s="97"/>
      <c r="D633" s="98"/>
      <c r="E633" s="38"/>
      <c r="F633" s="58"/>
      <c r="G633" s="59"/>
      <c r="H633" s="58"/>
      <c r="I633" s="59"/>
      <c r="J633" s="56"/>
      <c r="K633" s="57"/>
      <c r="L633" s="58"/>
      <c r="M633" s="59"/>
    </row>
    <row r="634" spans="1:13" ht="24" customHeight="1" thickBot="1">
      <c r="A634" s="96"/>
      <c r="B634" s="97"/>
      <c r="C634" s="97"/>
      <c r="D634" s="98"/>
      <c r="E634" s="38"/>
      <c r="F634" s="58"/>
      <c r="G634" s="59"/>
      <c r="H634" s="58"/>
      <c r="I634" s="59"/>
      <c r="J634" s="56"/>
      <c r="K634" s="57"/>
      <c r="L634" s="58"/>
      <c r="M634" s="59"/>
    </row>
    <row r="635" spans="1:13" ht="24" customHeight="1" thickBot="1">
      <c r="A635" s="60" t="s">
        <v>23</v>
      </c>
      <c r="B635" s="61"/>
      <c r="C635" s="61"/>
      <c r="D635" s="61"/>
      <c r="E635" s="61"/>
      <c r="F635" s="61"/>
      <c r="G635" s="61"/>
      <c r="H635" s="61"/>
      <c r="I635" s="61"/>
      <c r="J635" s="61"/>
      <c r="K635" s="61"/>
      <c r="L635" s="61"/>
      <c r="M635" s="62"/>
    </row>
    <row r="636" spans="1:13" ht="35.25" customHeight="1" thickBot="1">
      <c r="A636" s="75" t="s">
        <v>24</v>
      </c>
      <c r="B636" s="77"/>
      <c r="C636" s="75" t="s">
        <v>25</v>
      </c>
      <c r="D636" s="77"/>
      <c r="E636" s="75" t="s">
        <v>26</v>
      </c>
      <c r="F636" s="76"/>
      <c r="G636" s="77"/>
      <c r="H636" s="75" t="s">
        <v>27</v>
      </c>
      <c r="I636" s="77"/>
      <c r="J636" s="78" t="s">
        <v>21</v>
      </c>
      <c r="K636" s="79"/>
      <c r="L636" s="75" t="s">
        <v>22</v>
      </c>
      <c r="M636" s="77"/>
    </row>
    <row r="637" spans="1:13" s="18" customFormat="1" ht="24.75" customHeight="1" thickBot="1">
      <c r="A637" s="99" t="s">
        <v>119</v>
      </c>
      <c r="B637" s="137"/>
      <c r="C637" s="56">
        <v>2</v>
      </c>
      <c r="D637" s="57"/>
      <c r="E637" s="56">
        <v>56</v>
      </c>
      <c r="F637" s="100"/>
      <c r="G637" s="57"/>
      <c r="H637" s="56"/>
      <c r="I637" s="57"/>
      <c r="J637" s="56"/>
      <c r="K637" s="57"/>
      <c r="L637" s="56"/>
      <c r="M637" s="57"/>
    </row>
    <row r="638" spans="1:13" s="18" customFormat="1" ht="24.75" customHeight="1" thickBot="1">
      <c r="A638" s="99" t="s">
        <v>70</v>
      </c>
      <c r="B638" s="98"/>
      <c r="C638" s="56">
        <v>1</v>
      </c>
      <c r="D638" s="57"/>
      <c r="E638" s="56">
        <v>6</v>
      </c>
      <c r="F638" s="100"/>
      <c r="G638" s="57"/>
      <c r="H638" s="56"/>
      <c r="I638" s="57"/>
      <c r="J638" s="56"/>
      <c r="K638" s="57"/>
      <c r="L638" s="56"/>
      <c r="M638" s="57"/>
    </row>
    <row r="639" spans="1:13" ht="33" customHeight="1" thickBot="1">
      <c r="A639" s="112" t="s">
        <v>40</v>
      </c>
      <c r="B639" s="113"/>
      <c r="C639" s="113"/>
      <c r="D639" s="113"/>
      <c r="E639" s="113"/>
      <c r="F639" s="113"/>
      <c r="G639" s="113"/>
      <c r="H639" s="113"/>
      <c r="I639" s="113"/>
      <c r="J639" s="113"/>
      <c r="K639" s="113"/>
      <c r="L639" s="113"/>
      <c r="M639" s="114"/>
    </row>
    <row r="640" spans="1:13" ht="16.5" customHeight="1">
      <c r="A640" s="115" t="s">
        <v>41</v>
      </c>
      <c r="B640" s="116"/>
      <c r="C640" s="116"/>
      <c r="D640" s="116"/>
      <c r="E640" s="116"/>
      <c r="F640" s="116"/>
      <c r="G640" s="116"/>
      <c r="H640" s="116"/>
      <c r="I640" s="116"/>
      <c r="J640" s="116"/>
      <c r="K640" s="116"/>
      <c r="L640" s="116"/>
      <c r="M640" s="117"/>
    </row>
    <row r="641" spans="1:13" ht="16.5" customHeight="1">
      <c r="A641" s="90" t="s">
        <v>28</v>
      </c>
      <c r="B641" s="91"/>
      <c r="C641" s="91"/>
      <c r="D641" s="91"/>
      <c r="E641" s="91"/>
      <c r="F641" s="91"/>
      <c r="G641" s="91"/>
      <c r="H641" s="91"/>
      <c r="I641" s="91"/>
      <c r="J641" s="91"/>
      <c r="K641" s="91"/>
      <c r="L641" s="91"/>
      <c r="M641" s="92"/>
    </row>
    <row r="642" spans="1:13" s="1" customFormat="1" ht="16.5" customHeight="1">
      <c r="A642" s="93" t="s">
        <v>56</v>
      </c>
      <c r="B642" s="94"/>
      <c r="C642" s="94"/>
      <c r="D642" s="94"/>
      <c r="E642" s="94"/>
      <c r="F642" s="94"/>
      <c r="G642" s="94"/>
      <c r="H642" s="94"/>
      <c r="I642" s="94"/>
      <c r="J642" s="94"/>
      <c r="K642" s="94"/>
      <c r="L642" s="94"/>
      <c r="M642" s="95"/>
    </row>
    <row r="643" spans="1:13" s="1" customFormat="1" ht="16.5" customHeight="1">
      <c r="A643" s="93" t="s">
        <v>57</v>
      </c>
      <c r="B643" s="94"/>
      <c r="C643" s="94"/>
      <c r="D643" s="94"/>
      <c r="E643" s="94"/>
      <c r="F643" s="94"/>
      <c r="G643" s="94"/>
      <c r="H643" s="94"/>
      <c r="I643" s="94"/>
      <c r="J643" s="94"/>
      <c r="K643" s="94"/>
      <c r="L643" s="94"/>
      <c r="M643" s="95"/>
    </row>
    <row r="644" spans="1:13" s="1" customFormat="1" ht="16.5" customHeight="1">
      <c r="A644" s="93" t="s">
        <v>58</v>
      </c>
      <c r="B644" s="94"/>
      <c r="C644" s="94"/>
      <c r="D644" s="94"/>
      <c r="E644" s="94"/>
      <c r="F644" s="94"/>
      <c r="G644" s="94"/>
      <c r="H644" s="94"/>
      <c r="I644" s="94"/>
      <c r="J644" s="94"/>
      <c r="K644" s="94"/>
      <c r="L644" s="94"/>
      <c r="M644" s="95"/>
    </row>
    <row r="645" spans="1:13" s="1" customFormat="1" ht="16.5" customHeight="1">
      <c r="A645" s="93" t="s">
        <v>59</v>
      </c>
      <c r="B645" s="94"/>
      <c r="C645" s="94"/>
      <c r="D645" s="94"/>
      <c r="E645" s="94"/>
      <c r="F645" s="94"/>
      <c r="G645" s="94"/>
      <c r="H645" s="94"/>
      <c r="I645" s="94"/>
      <c r="J645" s="94"/>
      <c r="K645" s="94"/>
      <c r="L645" s="94"/>
      <c r="M645" s="95"/>
    </row>
    <row r="646" spans="1:13" ht="16.5" customHeight="1">
      <c r="A646" s="106" t="s">
        <v>29</v>
      </c>
      <c r="B646" s="107"/>
      <c r="C646" s="107"/>
      <c r="D646" s="107"/>
      <c r="E646" s="107"/>
      <c r="F646" s="107"/>
      <c r="G646" s="107"/>
      <c r="H646" s="107"/>
      <c r="I646" s="107"/>
      <c r="J646" s="107"/>
      <c r="K646" s="107"/>
      <c r="L646" s="107"/>
      <c r="M646" s="108"/>
    </row>
    <row r="647" spans="1:13" ht="9.75" customHeight="1" thickBot="1">
      <c r="A647" s="109"/>
      <c r="B647" s="110"/>
      <c r="C647" s="110"/>
      <c r="D647" s="110"/>
      <c r="E647" s="110"/>
      <c r="F647" s="110"/>
      <c r="G647" s="110"/>
      <c r="H647" s="110"/>
      <c r="I647" s="110"/>
      <c r="J647" s="110"/>
      <c r="K647" s="110"/>
      <c r="L647" s="110"/>
      <c r="M647" s="111"/>
    </row>
    <row r="648" spans="1:13" ht="18.75" customHeight="1" thickBot="1">
      <c r="A648" s="72" t="s">
        <v>30</v>
      </c>
      <c r="B648" s="73"/>
      <c r="C648" s="73"/>
      <c r="D648" s="73"/>
      <c r="E648" s="73"/>
      <c r="F648" s="73"/>
      <c r="G648" s="73"/>
      <c r="H648" s="73"/>
      <c r="I648" s="73"/>
      <c r="J648" s="73"/>
      <c r="K648" s="73"/>
      <c r="L648" s="73"/>
      <c r="M648" s="74"/>
    </row>
    <row r="649" spans="1:13" ht="24" customHeight="1" thickBot="1">
      <c r="A649" s="72" t="s">
        <v>31</v>
      </c>
      <c r="B649" s="73"/>
      <c r="C649" s="73"/>
      <c r="D649" s="73"/>
      <c r="E649" s="73"/>
      <c r="F649" s="73"/>
      <c r="G649" s="73"/>
      <c r="H649" s="73"/>
      <c r="I649" s="73"/>
      <c r="J649" s="73"/>
      <c r="K649" s="73"/>
      <c r="L649" s="73"/>
      <c r="M649" s="74"/>
    </row>
    <row r="650" spans="1:13" ht="24" customHeight="1" thickBot="1">
      <c r="A650" s="72" t="s">
        <v>195</v>
      </c>
      <c r="B650" s="73"/>
      <c r="C650" s="73"/>
      <c r="D650" s="73"/>
      <c r="E650" s="73"/>
      <c r="F650" s="73"/>
      <c r="G650" s="73"/>
      <c r="H650" s="73"/>
      <c r="I650" s="73"/>
      <c r="J650" s="73"/>
      <c r="K650" s="73"/>
      <c r="L650" s="73"/>
      <c r="M650" s="74"/>
    </row>
    <row r="651" spans="1:13" ht="24" customHeight="1" thickBot="1">
      <c r="A651" s="60" t="s">
        <v>46</v>
      </c>
      <c r="B651" s="61"/>
      <c r="C651" s="61"/>
      <c r="D651" s="61"/>
      <c r="E651" s="61"/>
      <c r="F651" s="61"/>
      <c r="G651" s="61"/>
      <c r="H651" s="61"/>
      <c r="I651" s="61"/>
      <c r="J651" s="61"/>
      <c r="K651" s="61"/>
      <c r="L651" s="61"/>
      <c r="M651" s="62"/>
    </row>
    <row r="652" spans="1:13" ht="11.1" customHeight="1">
      <c r="A652" s="103" t="s">
        <v>47</v>
      </c>
      <c r="B652" s="103"/>
      <c r="C652" s="103"/>
      <c r="D652" s="103"/>
      <c r="E652" s="103"/>
      <c r="F652" s="103"/>
      <c r="G652" s="103"/>
      <c r="H652" s="103"/>
      <c r="I652" s="103"/>
      <c r="J652" s="103"/>
      <c r="K652" s="103"/>
      <c r="L652" s="103"/>
      <c r="M652" s="103"/>
    </row>
    <row r="653" spans="1:13" ht="11.1" customHeight="1">
      <c r="A653" s="104" t="s">
        <v>48</v>
      </c>
      <c r="B653" s="104"/>
      <c r="C653" s="104"/>
      <c r="D653" s="104"/>
      <c r="E653" s="104"/>
      <c r="F653" s="104"/>
      <c r="G653" s="104"/>
      <c r="H653" s="104"/>
      <c r="I653" s="104"/>
      <c r="J653" s="104"/>
      <c r="K653" s="104"/>
      <c r="L653" s="104"/>
      <c r="M653" s="104"/>
    </row>
    <row r="654" spans="1:13" ht="11.1" customHeight="1">
      <c r="A654" s="105" t="s">
        <v>49</v>
      </c>
      <c r="B654" s="105"/>
      <c r="C654" s="105"/>
      <c r="D654" s="105"/>
      <c r="E654" s="105"/>
      <c r="F654" s="105"/>
      <c r="G654" s="105"/>
      <c r="H654" s="105"/>
      <c r="I654" s="105"/>
      <c r="J654" s="105"/>
      <c r="K654" s="105"/>
      <c r="L654" s="105"/>
      <c r="M654" s="105"/>
    </row>
    <row r="655" spans="1:13" ht="11.1" customHeight="1">
      <c r="A655" s="105" t="s">
        <v>50</v>
      </c>
      <c r="B655" s="105"/>
      <c r="C655" s="105"/>
      <c r="D655" s="105"/>
      <c r="E655" s="105"/>
      <c r="F655" s="105"/>
      <c r="G655" s="105"/>
      <c r="H655" s="105"/>
      <c r="I655" s="105"/>
      <c r="J655" s="105"/>
      <c r="K655" s="105"/>
      <c r="L655" s="105"/>
      <c r="M655" s="105"/>
    </row>
    <row r="656" spans="1:13" ht="11.1" customHeight="1">
      <c r="A656" s="104" t="s">
        <v>51</v>
      </c>
      <c r="B656" s="104"/>
      <c r="C656" s="104"/>
      <c r="D656" s="104"/>
      <c r="E656" s="104"/>
      <c r="F656" s="104"/>
      <c r="G656" s="104"/>
      <c r="H656" s="104"/>
      <c r="I656" s="104"/>
      <c r="J656" s="104"/>
      <c r="K656" s="104"/>
      <c r="L656" s="104"/>
      <c r="M656" s="104"/>
    </row>
    <row r="657" spans="1:15" ht="11.1" customHeight="1">
      <c r="A657" s="104" t="s">
        <v>52</v>
      </c>
      <c r="B657" s="104"/>
      <c r="C657" s="104"/>
      <c r="D657" s="104"/>
      <c r="E657" s="104"/>
      <c r="F657" s="104"/>
      <c r="G657" s="104"/>
      <c r="H657" s="104"/>
      <c r="I657" s="104"/>
      <c r="J657" s="104"/>
      <c r="K657" s="104"/>
      <c r="L657" s="104"/>
      <c r="M657" s="104"/>
    </row>
    <row r="658" spans="1:15" ht="11.1" customHeight="1">
      <c r="A658" s="104" t="s">
        <v>53</v>
      </c>
      <c r="B658" s="104"/>
      <c r="C658" s="104"/>
      <c r="D658" s="104"/>
      <c r="E658" s="104"/>
      <c r="F658" s="104"/>
      <c r="G658" s="104"/>
      <c r="H658" s="104"/>
      <c r="I658" s="104"/>
      <c r="J658" s="104"/>
      <c r="K658" s="104"/>
      <c r="L658" s="104"/>
      <c r="M658" s="104"/>
    </row>
    <row r="659" spans="1:15" ht="11.1" customHeight="1">
      <c r="A659" s="101" t="s">
        <v>54</v>
      </c>
      <c r="B659" s="101"/>
      <c r="C659" s="101"/>
      <c r="D659" s="101"/>
      <c r="E659" s="101"/>
      <c r="F659" s="101"/>
      <c r="G659" s="101"/>
      <c r="H659" s="101"/>
      <c r="I659" s="101"/>
      <c r="J659" s="101"/>
      <c r="K659" s="101"/>
      <c r="L659" s="101"/>
      <c r="M659" s="101"/>
    </row>
    <row r="660" spans="1:15" ht="11.1" customHeight="1">
      <c r="A660" s="101" t="s">
        <v>55</v>
      </c>
      <c r="B660" s="101"/>
      <c r="C660" s="101"/>
      <c r="D660" s="101"/>
      <c r="E660" s="101"/>
      <c r="F660" s="101"/>
      <c r="G660" s="101"/>
      <c r="H660" s="101"/>
      <c r="I660" s="101"/>
      <c r="J660" s="101"/>
      <c r="K660" s="101"/>
      <c r="L660" s="101"/>
      <c r="M660" s="101"/>
    </row>
    <row r="661" spans="1:15" ht="19.5" customHeight="1">
      <c r="A661" s="69" t="s">
        <v>0</v>
      </c>
      <c r="B661" s="69"/>
      <c r="C661" s="69"/>
      <c r="D661" s="69"/>
      <c r="E661" s="69"/>
      <c r="F661" s="69"/>
      <c r="G661" s="69"/>
      <c r="H661" s="69"/>
      <c r="I661" s="69"/>
      <c r="J661" s="69"/>
      <c r="K661" s="69"/>
      <c r="L661" s="69"/>
      <c r="M661" s="69"/>
    </row>
    <row r="662" spans="1:15" ht="20.100000000000001" customHeight="1">
      <c r="A662" s="4" t="s">
        <v>32</v>
      </c>
      <c r="B662" s="5">
        <f>+B618+1</f>
        <v>81</v>
      </c>
      <c r="C662" s="35"/>
      <c r="D662" s="35"/>
      <c r="E662" s="35"/>
      <c r="F662" s="35"/>
      <c r="G662" s="35"/>
      <c r="H662" s="35"/>
      <c r="I662" s="35"/>
      <c r="J662" s="35"/>
      <c r="K662" s="35"/>
      <c r="L662" s="35"/>
      <c r="M662" s="35"/>
    </row>
    <row r="663" spans="1:15" ht="24" customHeight="1" thickBot="1">
      <c r="A663" s="4" t="s">
        <v>33</v>
      </c>
      <c r="H663" s="70" t="s">
        <v>34</v>
      </c>
      <c r="I663" s="70"/>
      <c r="J663" s="70"/>
      <c r="K663" s="102">
        <f>+K619+1</f>
        <v>46007</v>
      </c>
      <c r="L663" s="102"/>
      <c r="M663" s="102"/>
      <c r="O663" s="7"/>
    </row>
    <row r="664" spans="1:15" ht="33.75" customHeight="1" thickBot="1">
      <c r="A664" s="80" t="s">
        <v>1</v>
      </c>
      <c r="B664" s="81"/>
      <c r="C664" s="82"/>
      <c r="D664" s="86" t="str">
        <f>+D620</f>
        <v>光明國中B與C區5樓老舊廁所整修工程</v>
      </c>
      <c r="E664" s="87"/>
      <c r="F664" s="87"/>
      <c r="G664" s="88"/>
      <c r="H664" s="80" t="s">
        <v>2</v>
      </c>
      <c r="I664" s="81"/>
      <c r="J664" s="82"/>
      <c r="K664" s="80" t="s">
        <v>35</v>
      </c>
      <c r="L664" s="81"/>
      <c r="M664" s="82"/>
    </row>
    <row r="665" spans="1:15" ht="33.75" customHeight="1" thickBot="1">
      <c r="A665" s="8" t="s">
        <v>3</v>
      </c>
      <c r="B665" s="36">
        <f>+B621</f>
        <v>145</v>
      </c>
      <c r="C665" s="10" t="s">
        <v>36</v>
      </c>
      <c r="D665" s="80" t="s">
        <v>4</v>
      </c>
      <c r="E665" s="89"/>
      <c r="F665" s="37">
        <f>+F621+1</f>
        <v>81</v>
      </c>
      <c r="G665" s="12" t="s">
        <v>36</v>
      </c>
      <c r="H665" s="13" t="s">
        <v>5</v>
      </c>
      <c r="I665" s="36">
        <f>+B665-F665</f>
        <v>64</v>
      </c>
      <c r="J665" s="10" t="s">
        <v>36</v>
      </c>
      <c r="K665" s="80" t="s">
        <v>6</v>
      </c>
      <c r="L665" s="82"/>
      <c r="M665" s="13">
        <f>+M621</f>
        <v>15</v>
      </c>
    </row>
    <row r="666" spans="1:15" ht="24" customHeight="1" thickBot="1">
      <c r="A666" s="80" t="s">
        <v>7</v>
      </c>
      <c r="B666" s="81"/>
      <c r="C666" s="82"/>
      <c r="D666" s="80" t="str">
        <f>+D622</f>
        <v>114.9.27</v>
      </c>
      <c r="E666" s="81"/>
      <c r="F666" s="81"/>
      <c r="G666" s="82"/>
      <c r="H666" s="80" t="s">
        <v>8</v>
      </c>
      <c r="I666" s="81"/>
      <c r="J666" s="82"/>
      <c r="K666" s="80" t="str">
        <f>+K622</f>
        <v>115.2.18</v>
      </c>
      <c r="L666" s="81"/>
      <c r="M666" s="82"/>
    </row>
    <row r="667" spans="1:15" ht="24" customHeight="1" thickBot="1">
      <c r="A667" s="80" t="s">
        <v>37</v>
      </c>
      <c r="B667" s="81"/>
      <c r="C667" s="82"/>
      <c r="D667" s="83">
        <v>0.39</v>
      </c>
      <c r="E667" s="84"/>
      <c r="F667" s="84"/>
      <c r="G667" s="85"/>
      <c r="H667" s="80" t="s">
        <v>38</v>
      </c>
      <c r="I667" s="81"/>
      <c r="J667" s="82"/>
      <c r="K667" s="83">
        <f>+K623+0.1%+0.3%</f>
        <v>0.55600000000000027</v>
      </c>
      <c r="L667" s="84"/>
      <c r="M667" s="85"/>
    </row>
    <row r="668" spans="1:15" ht="24" customHeight="1" thickBot="1">
      <c r="A668" s="72" t="s">
        <v>9</v>
      </c>
      <c r="B668" s="73"/>
      <c r="C668" s="73"/>
      <c r="D668" s="73"/>
      <c r="E668" s="73"/>
      <c r="F668" s="73"/>
      <c r="G668" s="73"/>
      <c r="H668" s="73"/>
      <c r="I668" s="73"/>
      <c r="J668" s="73"/>
      <c r="K668" s="73"/>
      <c r="L668" s="73"/>
      <c r="M668" s="74"/>
    </row>
    <row r="669" spans="1:15" ht="35.25" customHeight="1" thickBot="1">
      <c r="A669" s="75" t="s">
        <v>10</v>
      </c>
      <c r="B669" s="76"/>
      <c r="C669" s="76"/>
      <c r="D669" s="77"/>
      <c r="E669" s="14" t="s">
        <v>11</v>
      </c>
      <c r="F669" s="75" t="s">
        <v>12</v>
      </c>
      <c r="G669" s="77"/>
      <c r="H669" s="75" t="s">
        <v>13</v>
      </c>
      <c r="I669" s="77"/>
      <c r="J669" s="78" t="s">
        <v>14</v>
      </c>
      <c r="K669" s="79"/>
      <c r="L669" s="75" t="s">
        <v>15</v>
      </c>
      <c r="M669" s="77"/>
    </row>
    <row r="670" spans="1:15" ht="27.95" customHeight="1" thickBot="1">
      <c r="A670" s="141" t="s">
        <v>125</v>
      </c>
      <c r="B670" s="142"/>
      <c r="C670" s="142"/>
      <c r="D670" s="143"/>
      <c r="E670" s="2" t="s">
        <v>69</v>
      </c>
      <c r="F670" s="56">
        <v>1</v>
      </c>
      <c r="G670" s="57"/>
      <c r="H670" s="56">
        <v>0.1</v>
      </c>
      <c r="I670" s="57"/>
      <c r="J670" s="56">
        <v>1</v>
      </c>
      <c r="K670" s="57"/>
      <c r="L670" s="58"/>
      <c r="M670" s="59"/>
    </row>
    <row r="671" spans="1:15" ht="27.95" customHeight="1" thickBot="1">
      <c r="A671" s="141" t="s">
        <v>157</v>
      </c>
      <c r="B671" s="142"/>
      <c r="C671" s="142"/>
      <c r="D671" s="143"/>
      <c r="E671" s="15" t="s">
        <v>69</v>
      </c>
      <c r="F671" s="56">
        <v>1</v>
      </c>
      <c r="G671" s="57"/>
      <c r="H671" s="56">
        <v>0.2</v>
      </c>
      <c r="I671" s="57"/>
      <c r="J671" s="56">
        <v>0.4</v>
      </c>
      <c r="K671" s="57"/>
      <c r="L671" s="58"/>
      <c r="M671" s="59"/>
    </row>
    <row r="672" spans="1:15" ht="24.95" customHeight="1" thickTop="1" thickBot="1">
      <c r="A672" s="130" t="s">
        <v>16</v>
      </c>
      <c r="B672" s="67"/>
      <c r="C672" s="67"/>
      <c r="D672" s="68"/>
      <c r="E672" s="51"/>
      <c r="F672" s="131"/>
      <c r="G672" s="132"/>
      <c r="H672" s="131"/>
      <c r="I672" s="132"/>
      <c r="J672" s="131"/>
      <c r="K672" s="132"/>
      <c r="L672" s="131"/>
      <c r="M672" s="133"/>
    </row>
    <row r="673" spans="1:13" ht="24.95" customHeight="1" thickBot="1">
      <c r="A673" s="134" t="s">
        <v>17</v>
      </c>
      <c r="B673" s="135"/>
      <c r="C673" s="135"/>
      <c r="D673" s="59"/>
      <c r="E673" s="51"/>
      <c r="F673" s="58"/>
      <c r="G673" s="59"/>
      <c r="H673" s="58"/>
      <c r="I673" s="59"/>
      <c r="J673" s="58"/>
      <c r="K673" s="59"/>
      <c r="L673" s="58"/>
      <c r="M673" s="136"/>
    </row>
    <row r="674" spans="1:13" ht="24.95" customHeight="1" thickBot="1">
      <c r="A674" s="118" t="s">
        <v>18</v>
      </c>
      <c r="B674" s="119"/>
      <c r="C674" s="119"/>
      <c r="D674" s="120"/>
      <c r="E674" s="24"/>
      <c r="F674" s="121"/>
      <c r="G674" s="120"/>
      <c r="H674" s="121"/>
      <c r="I674" s="120"/>
      <c r="J674" s="121"/>
      <c r="K674" s="120"/>
      <c r="L674" s="121"/>
      <c r="M674" s="122"/>
    </row>
    <row r="675" spans="1:13" ht="24" customHeight="1" thickTop="1" thickBot="1">
      <c r="A675" s="66" t="s">
        <v>19</v>
      </c>
      <c r="B675" s="67"/>
      <c r="C675" s="67"/>
      <c r="D675" s="67"/>
      <c r="E675" s="67"/>
      <c r="F675" s="67"/>
      <c r="G675" s="67"/>
      <c r="H675" s="67"/>
      <c r="I675" s="67"/>
      <c r="J675" s="67"/>
      <c r="K675" s="67"/>
      <c r="L675" s="67"/>
      <c r="M675" s="68"/>
    </row>
    <row r="676" spans="1:13" ht="35.25" customHeight="1" thickBot="1">
      <c r="A676" s="75" t="s">
        <v>20</v>
      </c>
      <c r="B676" s="76"/>
      <c r="C676" s="76"/>
      <c r="D676" s="77"/>
      <c r="E676" s="14" t="s">
        <v>11</v>
      </c>
      <c r="F676" s="75" t="s">
        <v>39</v>
      </c>
      <c r="G676" s="77"/>
      <c r="H676" s="75" t="s">
        <v>21</v>
      </c>
      <c r="I676" s="77"/>
      <c r="J676" s="78" t="s">
        <v>22</v>
      </c>
      <c r="K676" s="79"/>
      <c r="L676" s="75" t="s">
        <v>15</v>
      </c>
      <c r="M676" s="77"/>
    </row>
    <row r="677" spans="1:13" ht="24" customHeight="1" thickBot="1">
      <c r="A677" s="96"/>
      <c r="B677" s="97"/>
      <c r="C677" s="97"/>
      <c r="D677" s="98"/>
      <c r="E677" s="51"/>
      <c r="F677" s="58"/>
      <c r="G677" s="59"/>
      <c r="H677" s="58"/>
      <c r="I677" s="59"/>
      <c r="J677" s="56"/>
      <c r="K677" s="57"/>
      <c r="L677" s="58"/>
      <c r="M677" s="59"/>
    </row>
    <row r="678" spans="1:13" ht="24" customHeight="1" thickBot="1">
      <c r="A678" s="96"/>
      <c r="B678" s="97"/>
      <c r="C678" s="97"/>
      <c r="D678" s="98"/>
      <c r="E678" s="51"/>
      <c r="F678" s="58"/>
      <c r="G678" s="59"/>
      <c r="H678" s="58"/>
      <c r="I678" s="59"/>
      <c r="J678" s="56"/>
      <c r="K678" s="57"/>
      <c r="L678" s="58"/>
      <c r="M678" s="59"/>
    </row>
    <row r="679" spans="1:13" ht="24" customHeight="1" thickBot="1">
      <c r="A679" s="60" t="s">
        <v>23</v>
      </c>
      <c r="B679" s="61"/>
      <c r="C679" s="61"/>
      <c r="D679" s="61"/>
      <c r="E679" s="61"/>
      <c r="F679" s="61"/>
      <c r="G679" s="61"/>
      <c r="H679" s="61"/>
      <c r="I679" s="61"/>
      <c r="J679" s="61"/>
      <c r="K679" s="61"/>
      <c r="L679" s="61"/>
      <c r="M679" s="62"/>
    </row>
    <row r="680" spans="1:13" ht="35.25" customHeight="1" thickBot="1">
      <c r="A680" s="75" t="s">
        <v>24</v>
      </c>
      <c r="B680" s="77"/>
      <c r="C680" s="75" t="s">
        <v>25</v>
      </c>
      <c r="D680" s="77"/>
      <c r="E680" s="75" t="s">
        <v>26</v>
      </c>
      <c r="F680" s="76"/>
      <c r="G680" s="77"/>
      <c r="H680" s="75" t="s">
        <v>27</v>
      </c>
      <c r="I680" s="77"/>
      <c r="J680" s="78" t="s">
        <v>21</v>
      </c>
      <c r="K680" s="79"/>
      <c r="L680" s="75" t="s">
        <v>22</v>
      </c>
      <c r="M680" s="77"/>
    </row>
    <row r="681" spans="1:13" s="18" customFormat="1" ht="24.75" customHeight="1" thickBot="1">
      <c r="A681" s="99" t="s">
        <v>119</v>
      </c>
      <c r="B681" s="137"/>
      <c r="C681" s="56">
        <v>2</v>
      </c>
      <c r="D681" s="57"/>
      <c r="E681" s="56">
        <v>58</v>
      </c>
      <c r="F681" s="100"/>
      <c r="G681" s="57"/>
      <c r="H681" s="56"/>
      <c r="I681" s="57"/>
      <c r="J681" s="56"/>
      <c r="K681" s="57"/>
      <c r="L681" s="56"/>
      <c r="M681" s="57"/>
    </row>
    <row r="682" spans="1:13" s="18" customFormat="1" ht="24.75" customHeight="1" thickBot="1">
      <c r="A682" s="99" t="s">
        <v>158</v>
      </c>
      <c r="B682" s="98"/>
      <c r="C682" s="56">
        <v>2</v>
      </c>
      <c r="D682" s="57"/>
      <c r="E682" s="56">
        <v>8</v>
      </c>
      <c r="F682" s="100"/>
      <c r="G682" s="57"/>
      <c r="H682" s="56"/>
      <c r="I682" s="57"/>
      <c r="J682" s="56"/>
      <c r="K682" s="57"/>
      <c r="L682" s="56"/>
      <c r="M682" s="57"/>
    </row>
    <row r="683" spans="1:13" ht="33" customHeight="1" thickBot="1">
      <c r="A683" s="112" t="s">
        <v>40</v>
      </c>
      <c r="B683" s="113"/>
      <c r="C683" s="113"/>
      <c r="D683" s="113"/>
      <c r="E683" s="113"/>
      <c r="F683" s="113"/>
      <c r="G683" s="113"/>
      <c r="H683" s="113"/>
      <c r="I683" s="113"/>
      <c r="J683" s="113"/>
      <c r="K683" s="113"/>
      <c r="L683" s="113"/>
      <c r="M683" s="114"/>
    </row>
    <row r="684" spans="1:13" ht="16.5" customHeight="1">
      <c r="A684" s="115" t="s">
        <v>41</v>
      </c>
      <c r="B684" s="116"/>
      <c r="C684" s="116"/>
      <c r="D684" s="116"/>
      <c r="E684" s="116"/>
      <c r="F684" s="116"/>
      <c r="G684" s="116"/>
      <c r="H684" s="116"/>
      <c r="I684" s="116"/>
      <c r="J684" s="116"/>
      <c r="K684" s="116"/>
      <c r="L684" s="116"/>
      <c r="M684" s="117"/>
    </row>
    <row r="685" spans="1:13" ht="16.5" customHeight="1">
      <c r="A685" s="90" t="s">
        <v>28</v>
      </c>
      <c r="B685" s="91"/>
      <c r="C685" s="91"/>
      <c r="D685" s="91"/>
      <c r="E685" s="91"/>
      <c r="F685" s="91"/>
      <c r="G685" s="91"/>
      <c r="H685" s="91"/>
      <c r="I685" s="91"/>
      <c r="J685" s="91"/>
      <c r="K685" s="91"/>
      <c r="L685" s="91"/>
      <c r="M685" s="92"/>
    </row>
    <row r="686" spans="1:13" s="1" customFormat="1" ht="16.5" customHeight="1">
      <c r="A686" s="93" t="s">
        <v>56</v>
      </c>
      <c r="B686" s="94"/>
      <c r="C686" s="94"/>
      <c r="D686" s="94"/>
      <c r="E686" s="94"/>
      <c r="F686" s="94"/>
      <c r="G686" s="94"/>
      <c r="H686" s="94"/>
      <c r="I686" s="94"/>
      <c r="J686" s="94"/>
      <c r="K686" s="94"/>
      <c r="L686" s="94"/>
      <c r="M686" s="95"/>
    </row>
    <row r="687" spans="1:13" s="1" customFormat="1" ht="16.5" customHeight="1">
      <c r="A687" s="93" t="s">
        <v>57</v>
      </c>
      <c r="B687" s="94"/>
      <c r="C687" s="94"/>
      <c r="D687" s="94"/>
      <c r="E687" s="94"/>
      <c r="F687" s="94"/>
      <c r="G687" s="94"/>
      <c r="H687" s="94"/>
      <c r="I687" s="94"/>
      <c r="J687" s="94"/>
      <c r="K687" s="94"/>
      <c r="L687" s="94"/>
      <c r="M687" s="95"/>
    </row>
    <row r="688" spans="1:13" s="1" customFormat="1" ht="16.5" customHeight="1">
      <c r="A688" s="93" t="s">
        <v>58</v>
      </c>
      <c r="B688" s="94"/>
      <c r="C688" s="94"/>
      <c r="D688" s="94"/>
      <c r="E688" s="94"/>
      <c r="F688" s="94"/>
      <c r="G688" s="94"/>
      <c r="H688" s="94"/>
      <c r="I688" s="94"/>
      <c r="J688" s="94"/>
      <c r="K688" s="94"/>
      <c r="L688" s="94"/>
      <c r="M688" s="95"/>
    </row>
    <row r="689" spans="1:13" s="1" customFormat="1" ht="16.5" customHeight="1">
      <c r="A689" s="93" t="s">
        <v>59</v>
      </c>
      <c r="B689" s="94"/>
      <c r="C689" s="94"/>
      <c r="D689" s="94"/>
      <c r="E689" s="94"/>
      <c r="F689" s="94"/>
      <c r="G689" s="94"/>
      <c r="H689" s="94"/>
      <c r="I689" s="94"/>
      <c r="J689" s="94"/>
      <c r="K689" s="94"/>
      <c r="L689" s="94"/>
      <c r="M689" s="95"/>
    </row>
    <row r="690" spans="1:13" ht="16.5" customHeight="1">
      <c r="A690" s="106" t="s">
        <v>29</v>
      </c>
      <c r="B690" s="107"/>
      <c r="C690" s="107"/>
      <c r="D690" s="107"/>
      <c r="E690" s="107"/>
      <c r="F690" s="107"/>
      <c r="G690" s="107"/>
      <c r="H690" s="107"/>
      <c r="I690" s="107"/>
      <c r="J690" s="107"/>
      <c r="K690" s="107"/>
      <c r="L690" s="107"/>
      <c r="M690" s="108"/>
    </row>
    <row r="691" spans="1:13" ht="9.75" customHeight="1" thickBot="1">
      <c r="A691" s="109"/>
      <c r="B691" s="110"/>
      <c r="C691" s="110"/>
      <c r="D691" s="110"/>
      <c r="E691" s="110"/>
      <c r="F691" s="110"/>
      <c r="G691" s="110"/>
      <c r="H691" s="110"/>
      <c r="I691" s="110"/>
      <c r="J691" s="110"/>
      <c r="K691" s="110"/>
      <c r="L691" s="110"/>
      <c r="M691" s="111"/>
    </row>
    <row r="692" spans="1:13" ht="18.75" customHeight="1" thickBot="1">
      <c r="A692" s="72" t="s">
        <v>30</v>
      </c>
      <c r="B692" s="73"/>
      <c r="C692" s="73"/>
      <c r="D692" s="73"/>
      <c r="E692" s="73"/>
      <c r="F692" s="73"/>
      <c r="G692" s="73"/>
      <c r="H692" s="73"/>
      <c r="I692" s="73"/>
      <c r="J692" s="73"/>
      <c r="K692" s="73"/>
      <c r="L692" s="73"/>
      <c r="M692" s="74"/>
    </row>
    <row r="693" spans="1:13" ht="24" customHeight="1" thickBot="1">
      <c r="A693" s="72" t="s">
        <v>31</v>
      </c>
      <c r="B693" s="73"/>
      <c r="C693" s="73"/>
      <c r="D693" s="73"/>
      <c r="E693" s="73"/>
      <c r="F693" s="73"/>
      <c r="G693" s="73"/>
      <c r="H693" s="73"/>
      <c r="I693" s="73"/>
      <c r="J693" s="73"/>
      <c r="K693" s="73"/>
      <c r="L693" s="73"/>
      <c r="M693" s="74"/>
    </row>
    <row r="694" spans="1:13" ht="24" customHeight="1" thickBot="1">
      <c r="A694" s="72" t="s">
        <v>165</v>
      </c>
      <c r="B694" s="73"/>
      <c r="C694" s="73"/>
      <c r="D694" s="73"/>
      <c r="E694" s="73"/>
      <c r="F694" s="73"/>
      <c r="G694" s="73"/>
      <c r="H694" s="73"/>
      <c r="I694" s="73"/>
      <c r="J694" s="73"/>
      <c r="K694" s="73"/>
      <c r="L694" s="73"/>
      <c r="M694" s="74"/>
    </row>
    <row r="695" spans="1:13" ht="24" customHeight="1" thickBot="1">
      <c r="A695" s="60" t="s">
        <v>46</v>
      </c>
      <c r="B695" s="61"/>
      <c r="C695" s="61"/>
      <c r="D695" s="61"/>
      <c r="E695" s="61"/>
      <c r="F695" s="61"/>
      <c r="G695" s="61"/>
      <c r="H695" s="61"/>
      <c r="I695" s="61"/>
      <c r="J695" s="61"/>
      <c r="K695" s="61"/>
      <c r="L695" s="61"/>
      <c r="M695" s="62"/>
    </row>
    <row r="696" spans="1:13" ht="11.1" customHeight="1">
      <c r="A696" s="103" t="s">
        <v>47</v>
      </c>
      <c r="B696" s="103"/>
      <c r="C696" s="103"/>
      <c r="D696" s="103"/>
      <c r="E696" s="103"/>
      <c r="F696" s="103"/>
      <c r="G696" s="103"/>
      <c r="H696" s="103"/>
      <c r="I696" s="103"/>
      <c r="J696" s="103"/>
      <c r="K696" s="103"/>
      <c r="L696" s="103"/>
      <c r="M696" s="103"/>
    </row>
    <row r="697" spans="1:13" ht="11.1" customHeight="1">
      <c r="A697" s="104" t="s">
        <v>48</v>
      </c>
      <c r="B697" s="104"/>
      <c r="C697" s="104"/>
      <c r="D697" s="104"/>
      <c r="E697" s="104"/>
      <c r="F697" s="104"/>
      <c r="G697" s="104"/>
      <c r="H697" s="104"/>
      <c r="I697" s="104"/>
      <c r="J697" s="104"/>
      <c r="K697" s="104"/>
      <c r="L697" s="104"/>
      <c r="M697" s="104"/>
    </row>
    <row r="698" spans="1:13" ht="11.1" customHeight="1">
      <c r="A698" s="105" t="s">
        <v>49</v>
      </c>
      <c r="B698" s="105"/>
      <c r="C698" s="105"/>
      <c r="D698" s="105"/>
      <c r="E698" s="105"/>
      <c r="F698" s="105"/>
      <c r="G698" s="105"/>
      <c r="H698" s="105"/>
      <c r="I698" s="105"/>
      <c r="J698" s="105"/>
      <c r="K698" s="105"/>
      <c r="L698" s="105"/>
      <c r="M698" s="105"/>
    </row>
    <row r="699" spans="1:13" ht="11.1" customHeight="1">
      <c r="A699" s="105" t="s">
        <v>50</v>
      </c>
      <c r="B699" s="105"/>
      <c r="C699" s="105"/>
      <c r="D699" s="105"/>
      <c r="E699" s="105"/>
      <c r="F699" s="105"/>
      <c r="G699" s="105"/>
      <c r="H699" s="105"/>
      <c r="I699" s="105"/>
      <c r="J699" s="105"/>
      <c r="K699" s="105"/>
      <c r="L699" s="105"/>
      <c r="M699" s="105"/>
    </row>
    <row r="700" spans="1:13" ht="11.1" customHeight="1">
      <c r="A700" s="104" t="s">
        <v>51</v>
      </c>
      <c r="B700" s="104"/>
      <c r="C700" s="104"/>
      <c r="D700" s="104"/>
      <c r="E700" s="104"/>
      <c r="F700" s="104"/>
      <c r="G700" s="104"/>
      <c r="H700" s="104"/>
      <c r="I700" s="104"/>
      <c r="J700" s="104"/>
      <c r="K700" s="104"/>
      <c r="L700" s="104"/>
      <c r="M700" s="104"/>
    </row>
    <row r="701" spans="1:13" ht="11.1" customHeight="1">
      <c r="A701" s="104" t="s">
        <v>52</v>
      </c>
      <c r="B701" s="104"/>
      <c r="C701" s="104"/>
      <c r="D701" s="104"/>
      <c r="E701" s="104"/>
      <c r="F701" s="104"/>
      <c r="G701" s="104"/>
      <c r="H701" s="104"/>
      <c r="I701" s="104"/>
      <c r="J701" s="104"/>
      <c r="K701" s="104"/>
      <c r="L701" s="104"/>
      <c r="M701" s="104"/>
    </row>
    <row r="702" spans="1:13" ht="11.1" customHeight="1">
      <c r="A702" s="104" t="s">
        <v>53</v>
      </c>
      <c r="B702" s="104"/>
      <c r="C702" s="104"/>
      <c r="D702" s="104"/>
      <c r="E702" s="104"/>
      <c r="F702" s="104"/>
      <c r="G702" s="104"/>
      <c r="H702" s="104"/>
      <c r="I702" s="104"/>
      <c r="J702" s="104"/>
      <c r="K702" s="104"/>
      <c r="L702" s="104"/>
      <c r="M702" s="104"/>
    </row>
    <row r="703" spans="1:13" ht="11.1" customHeight="1">
      <c r="A703" s="101" t="s">
        <v>54</v>
      </c>
      <c r="B703" s="101"/>
      <c r="C703" s="101"/>
      <c r="D703" s="101"/>
      <c r="E703" s="101"/>
      <c r="F703" s="101"/>
      <c r="G703" s="101"/>
      <c r="H703" s="101"/>
      <c r="I703" s="101"/>
      <c r="J703" s="101"/>
      <c r="K703" s="101"/>
      <c r="L703" s="101"/>
      <c r="M703" s="101"/>
    </row>
    <row r="704" spans="1:13" ht="11.1" customHeight="1">
      <c r="A704" s="101" t="s">
        <v>55</v>
      </c>
      <c r="B704" s="101"/>
      <c r="C704" s="101"/>
      <c r="D704" s="101"/>
      <c r="E704" s="101"/>
      <c r="F704" s="101"/>
      <c r="G704" s="101"/>
      <c r="H704" s="101"/>
      <c r="I704" s="101"/>
      <c r="J704" s="101"/>
      <c r="K704" s="101"/>
      <c r="L704" s="101"/>
      <c r="M704" s="101"/>
    </row>
    <row r="705" spans="1:15" ht="19.5" customHeight="1">
      <c r="A705" s="69" t="s">
        <v>0</v>
      </c>
      <c r="B705" s="69"/>
      <c r="C705" s="69"/>
      <c r="D705" s="69"/>
      <c r="E705" s="69"/>
      <c r="F705" s="69"/>
      <c r="G705" s="69"/>
      <c r="H705" s="69"/>
      <c r="I705" s="69"/>
      <c r="J705" s="69"/>
      <c r="K705" s="69"/>
      <c r="L705" s="69"/>
      <c r="M705" s="69"/>
    </row>
    <row r="706" spans="1:15" ht="20.100000000000001" customHeight="1">
      <c r="A706" s="4" t="s">
        <v>32</v>
      </c>
      <c r="B706" s="5">
        <f>+B662+1</f>
        <v>82</v>
      </c>
      <c r="C706" s="35"/>
      <c r="D706" s="35"/>
      <c r="E706" s="35"/>
      <c r="F706" s="35"/>
      <c r="G706" s="35"/>
      <c r="H706" s="35"/>
      <c r="I706" s="35"/>
      <c r="J706" s="35"/>
      <c r="K706" s="35"/>
      <c r="L706" s="35"/>
      <c r="M706" s="35"/>
    </row>
    <row r="707" spans="1:15" ht="24" customHeight="1" thickBot="1">
      <c r="A707" s="4" t="s">
        <v>33</v>
      </c>
      <c r="H707" s="70" t="s">
        <v>34</v>
      </c>
      <c r="I707" s="70"/>
      <c r="J707" s="70"/>
      <c r="K707" s="102">
        <f>+K663+1</f>
        <v>46008</v>
      </c>
      <c r="L707" s="102"/>
      <c r="M707" s="102"/>
      <c r="O707" s="7"/>
    </row>
    <row r="708" spans="1:15" ht="33.75" customHeight="1" thickBot="1">
      <c r="A708" s="80" t="s">
        <v>1</v>
      </c>
      <c r="B708" s="81"/>
      <c r="C708" s="82"/>
      <c r="D708" s="86" t="str">
        <f>+D664</f>
        <v>光明國中B與C區5樓老舊廁所整修工程</v>
      </c>
      <c r="E708" s="87"/>
      <c r="F708" s="87"/>
      <c r="G708" s="88"/>
      <c r="H708" s="80" t="s">
        <v>2</v>
      </c>
      <c r="I708" s="81"/>
      <c r="J708" s="82"/>
      <c r="K708" s="80" t="s">
        <v>35</v>
      </c>
      <c r="L708" s="81"/>
      <c r="M708" s="82"/>
    </row>
    <row r="709" spans="1:15" ht="33.75" customHeight="1" thickBot="1">
      <c r="A709" s="8" t="s">
        <v>3</v>
      </c>
      <c r="B709" s="36">
        <f>+B665</f>
        <v>145</v>
      </c>
      <c r="C709" s="10" t="s">
        <v>36</v>
      </c>
      <c r="D709" s="80" t="s">
        <v>4</v>
      </c>
      <c r="E709" s="89"/>
      <c r="F709" s="37">
        <f>+F665+1</f>
        <v>82</v>
      </c>
      <c r="G709" s="12" t="s">
        <v>36</v>
      </c>
      <c r="H709" s="13" t="s">
        <v>5</v>
      </c>
      <c r="I709" s="36">
        <f>+B709-F709</f>
        <v>63</v>
      </c>
      <c r="J709" s="10" t="s">
        <v>36</v>
      </c>
      <c r="K709" s="80" t="s">
        <v>6</v>
      </c>
      <c r="L709" s="82"/>
      <c r="M709" s="13">
        <f>+M665</f>
        <v>15</v>
      </c>
    </row>
    <row r="710" spans="1:15" ht="24" customHeight="1" thickBot="1">
      <c r="A710" s="80" t="s">
        <v>7</v>
      </c>
      <c r="B710" s="81"/>
      <c r="C710" s="82"/>
      <c r="D710" s="80" t="str">
        <f>+D666</f>
        <v>114.9.27</v>
      </c>
      <c r="E710" s="81"/>
      <c r="F710" s="81"/>
      <c r="G710" s="82"/>
      <c r="H710" s="80" t="s">
        <v>8</v>
      </c>
      <c r="I710" s="81"/>
      <c r="J710" s="82"/>
      <c r="K710" s="80" t="str">
        <f>+K666</f>
        <v>115.2.18</v>
      </c>
      <c r="L710" s="81"/>
      <c r="M710" s="82"/>
    </row>
    <row r="711" spans="1:15" ht="24" customHeight="1" thickBot="1">
      <c r="A711" s="80" t="s">
        <v>37</v>
      </c>
      <c r="B711" s="81"/>
      <c r="C711" s="82"/>
      <c r="D711" s="83">
        <v>0.39600000000000002</v>
      </c>
      <c r="E711" s="84"/>
      <c r="F711" s="84"/>
      <c r="G711" s="85"/>
      <c r="H711" s="80" t="s">
        <v>38</v>
      </c>
      <c r="I711" s="81"/>
      <c r="J711" s="82"/>
      <c r="K711" s="83">
        <f>+K667</f>
        <v>0.55600000000000027</v>
      </c>
      <c r="L711" s="84"/>
      <c r="M711" s="85"/>
    </row>
    <row r="712" spans="1:15" ht="24" customHeight="1" thickBot="1">
      <c r="A712" s="72" t="s">
        <v>9</v>
      </c>
      <c r="B712" s="73"/>
      <c r="C712" s="73"/>
      <c r="D712" s="73"/>
      <c r="E712" s="73"/>
      <c r="F712" s="73"/>
      <c r="G712" s="73"/>
      <c r="H712" s="73"/>
      <c r="I712" s="73"/>
      <c r="J712" s="73"/>
      <c r="K712" s="73"/>
      <c r="L712" s="73"/>
      <c r="M712" s="74"/>
    </row>
    <row r="713" spans="1:15" ht="35.25" customHeight="1" thickBot="1">
      <c r="A713" s="75" t="s">
        <v>10</v>
      </c>
      <c r="B713" s="76"/>
      <c r="C713" s="76"/>
      <c r="D713" s="77"/>
      <c r="E713" s="14" t="s">
        <v>11</v>
      </c>
      <c r="F713" s="75" t="s">
        <v>12</v>
      </c>
      <c r="G713" s="77"/>
      <c r="H713" s="75" t="s">
        <v>13</v>
      </c>
      <c r="I713" s="77"/>
      <c r="J713" s="78" t="s">
        <v>14</v>
      </c>
      <c r="K713" s="79"/>
      <c r="L713" s="75" t="s">
        <v>15</v>
      </c>
      <c r="M713" s="77"/>
    </row>
    <row r="714" spans="1:15" ht="27.95" customHeight="1" thickBot="1">
      <c r="A714" s="141"/>
      <c r="B714" s="142"/>
      <c r="C714" s="142"/>
      <c r="D714" s="143"/>
      <c r="E714" s="2"/>
      <c r="F714" s="56"/>
      <c r="G714" s="57"/>
      <c r="H714" s="56"/>
      <c r="I714" s="57"/>
      <c r="J714" s="56"/>
      <c r="K714" s="57"/>
      <c r="L714" s="58"/>
      <c r="M714" s="59"/>
    </row>
    <row r="715" spans="1:15" ht="27.95" customHeight="1" thickBot="1">
      <c r="A715" s="141"/>
      <c r="B715" s="142"/>
      <c r="C715" s="142"/>
      <c r="D715" s="143"/>
      <c r="E715" s="15"/>
      <c r="F715" s="56"/>
      <c r="G715" s="57"/>
      <c r="H715" s="56"/>
      <c r="I715" s="57"/>
      <c r="J715" s="56"/>
      <c r="K715" s="57"/>
      <c r="L715" s="58"/>
      <c r="M715" s="59"/>
    </row>
    <row r="716" spans="1:15" ht="24.95" customHeight="1" thickTop="1" thickBot="1">
      <c r="A716" s="130" t="s">
        <v>16</v>
      </c>
      <c r="B716" s="67"/>
      <c r="C716" s="67"/>
      <c r="D716" s="68"/>
      <c r="E716" s="38"/>
      <c r="F716" s="131"/>
      <c r="G716" s="132"/>
      <c r="H716" s="131"/>
      <c r="I716" s="132"/>
      <c r="J716" s="131"/>
      <c r="K716" s="132"/>
      <c r="L716" s="131"/>
      <c r="M716" s="133"/>
    </row>
    <row r="717" spans="1:15" ht="24.95" customHeight="1" thickBot="1">
      <c r="A717" s="134" t="s">
        <v>17</v>
      </c>
      <c r="B717" s="135"/>
      <c r="C717" s="135"/>
      <c r="D717" s="59"/>
      <c r="E717" s="38"/>
      <c r="F717" s="58"/>
      <c r="G717" s="59"/>
      <c r="H717" s="58"/>
      <c r="I717" s="59"/>
      <c r="J717" s="58"/>
      <c r="K717" s="59"/>
      <c r="L717" s="58"/>
      <c r="M717" s="136"/>
    </row>
    <row r="718" spans="1:15" ht="24.95" customHeight="1" thickBot="1">
      <c r="A718" s="118" t="s">
        <v>18</v>
      </c>
      <c r="B718" s="119"/>
      <c r="C718" s="119"/>
      <c r="D718" s="120"/>
      <c r="E718" s="24"/>
      <c r="F718" s="121"/>
      <c r="G718" s="120"/>
      <c r="H718" s="121"/>
      <c r="I718" s="120"/>
      <c r="J718" s="121"/>
      <c r="K718" s="120"/>
      <c r="L718" s="121"/>
      <c r="M718" s="122"/>
    </row>
    <row r="719" spans="1:15" ht="24" customHeight="1" thickTop="1" thickBot="1">
      <c r="A719" s="66" t="s">
        <v>19</v>
      </c>
      <c r="B719" s="67"/>
      <c r="C719" s="67"/>
      <c r="D719" s="67"/>
      <c r="E719" s="67"/>
      <c r="F719" s="67"/>
      <c r="G719" s="67"/>
      <c r="H719" s="67"/>
      <c r="I719" s="67"/>
      <c r="J719" s="67"/>
      <c r="K719" s="67"/>
      <c r="L719" s="67"/>
      <c r="M719" s="68"/>
    </row>
    <row r="720" spans="1:15" ht="35.25" customHeight="1" thickBot="1">
      <c r="A720" s="75" t="s">
        <v>20</v>
      </c>
      <c r="B720" s="76"/>
      <c r="C720" s="76"/>
      <c r="D720" s="77"/>
      <c r="E720" s="14" t="s">
        <v>11</v>
      </c>
      <c r="F720" s="75" t="s">
        <v>39</v>
      </c>
      <c r="G720" s="77"/>
      <c r="H720" s="75" t="s">
        <v>21</v>
      </c>
      <c r="I720" s="77"/>
      <c r="J720" s="78" t="s">
        <v>22</v>
      </c>
      <c r="K720" s="79"/>
      <c r="L720" s="75" t="s">
        <v>15</v>
      </c>
      <c r="M720" s="77"/>
    </row>
    <row r="721" spans="1:13" ht="24" customHeight="1" thickBot="1">
      <c r="A721" s="96"/>
      <c r="B721" s="97"/>
      <c r="C721" s="97"/>
      <c r="D721" s="98"/>
      <c r="E721" s="38"/>
      <c r="F721" s="58"/>
      <c r="G721" s="59"/>
      <c r="H721" s="58"/>
      <c r="I721" s="59"/>
      <c r="J721" s="56"/>
      <c r="K721" s="57"/>
      <c r="L721" s="58"/>
      <c r="M721" s="59"/>
    </row>
    <row r="722" spans="1:13" ht="24" customHeight="1" thickBot="1">
      <c r="A722" s="96"/>
      <c r="B722" s="97"/>
      <c r="C722" s="97"/>
      <c r="D722" s="98"/>
      <c r="E722" s="38"/>
      <c r="F722" s="58"/>
      <c r="G722" s="59"/>
      <c r="H722" s="58"/>
      <c r="I722" s="59"/>
      <c r="J722" s="56"/>
      <c r="K722" s="57"/>
      <c r="L722" s="58"/>
      <c r="M722" s="59"/>
    </row>
    <row r="723" spans="1:13" ht="24" customHeight="1" thickBot="1">
      <c r="A723" s="60" t="s">
        <v>23</v>
      </c>
      <c r="B723" s="61"/>
      <c r="C723" s="61"/>
      <c r="D723" s="61"/>
      <c r="E723" s="61"/>
      <c r="F723" s="61"/>
      <c r="G723" s="61"/>
      <c r="H723" s="61"/>
      <c r="I723" s="61"/>
      <c r="J723" s="61"/>
      <c r="K723" s="61"/>
      <c r="L723" s="61"/>
      <c r="M723" s="62"/>
    </row>
    <row r="724" spans="1:13" ht="35.25" customHeight="1" thickBot="1">
      <c r="A724" s="75" t="s">
        <v>24</v>
      </c>
      <c r="B724" s="77"/>
      <c r="C724" s="75" t="s">
        <v>25</v>
      </c>
      <c r="D724" s="77"/>
      <c r="E724" s="75" t="s">
        <v>26</v>
      </c>
      <c r="F724" s="76"/>
      <c r="G724" s="77"/>
      <c r="H724" s="75" t="s">
        <v>27</v>
      </c>
      <c r="I724" s="77"/>
      <c r="J724" s="78" t="s">
        <v>21</v>
      </c>
      <c r="K724" s="79"/>
      <c r="L724" s="75" t="s">
        <v>22</v>
      </c>
      <c r="M724" s="77"/>
    </row>
    <row r="725" spans="1:13" s="18" customFormat="1" ht="24.75" customHeight="1" thickBot="1">
      <c r="A725" s="99"/>
      <c r="B725" s="98"/>
      <c r="C725" s="56"/>
      <c r="D725" s="57"/>
      <c r="E725" s="56"/>
      <c r="F725" s="100"/>
      <c r="G725" s="57"/>
      <c r="H725" s="56"/>
      <c r="I725" s="57"/>
      <c r="J725" s="56"/>
      <c r="K725" s="57"/>
      <c r="L725" s="56"/>
      <c r="M725" s="57"/>
    </row>
    <row r="726" spans="1:13" s="18" customFormat="1" ht="24.75" customHeight="1" thickBot="1">
      <c r="A726" s="99"/>
      <c r="B726" s="98"/>
      <c r="C726" s="56"/>
      <c r="D726" s="57"/>
      <c r="E726" s="56"/>
      <c r="F726" s="100"/>
      <c r="G726" s="57"/>
      <c r="H726" s="56"/>
      <c r="I726" s="57"/>
      <c r="J726" s="56"/>
      <c r="K726" s="57"/>
      <c r="L726" s="56"/>
      <c r="M726" s="57"/>
    </row>
    <row r="727" spans="1:13" ht="33" customHeight="1" thickBot="1">
      <c r="A727" s="112" t="s">
        <v>60</v>
      </c>
      <c r="B727" s="113"/>
      <c r="C727" s="113"/>
      <c r="D727" s="113"/>
      <c r="E727" s="113"/>
      <c r="F727" s="113"/>
      <c r="G727" s="113"/>
      <c r="H727" s="113"/>
      <c r="I727" s="113"/>
      <c r="J727" s="113"/>
      <c r="K727" s="113"/>
      <c r="L727" s="113"/>
      <c r="M727" s="114"/>
    </row>
    <row r="728" spans="1:13" ht="16.5" customHeight="1">
      <c r="A728" s="115" t="s">
        <v>41</v>
      </c>
      <c r="B728" s="116"/>
      <c r="C728" s="116"/>
      <c r="D728" s="116"/>
      <c r="E728" s="116"/>
      <c r="F728" s="116"/>
      <c r="G728" s="116"/>
      <c r="H728" s="116"/>
      <c r="I728" s="116"/>
      <c r="J728" s="116"/>
      <c r="K728" s="116"/>
      <c r="L728" s="116"/>
      <c r="M728" s="117"/>
    </row>
    <row r="729" spans="1:13" ht="16.5" customHeight="1">
      <c r="A729" s="90" t="s">
        <v>28</v>
      </c>
      <c r="B729" s="91"/>
      <c r="C729" s="91"/>
      <c r="D729" s="91"/>
      <c r="E729" s="91"/>
      <c r="F729" s="91"/>
      <c r="G729" s="91"/>
      <c r="H729" s="91"/>
      <c r="I729" s="91"/>
      <c r="J729" s="91"/>
      <c r="K729" s="91"/>
      <c r="L729" s="91"/>
      <c r="M729" s="92"/>
    </row>
    <row r="730" spans="1:13" ht="16.5" customHeight="1">
      <c r="A730" s="106" t="s">
        <v>42</v>
      </c>
      <c r="B730" s="107"/>
      <c r="C730" s="107"/>
      <c r="D730" s="107"/>
      <c r="E730" s="107"/>
      <c r="F730" s="107"/>
      <c r="G730" s="107"/>
      <c r="H730" s="107"/>
      <c r="I730" s="107"/>
      <c r="J730" s="107"/>
      <c r="K730" s="107"/>
      <c r="L730" s="107"/>
      <c r="M730" s="108"/>
    </row>
    <row r="731" spans="1:13" ht="16.5" customHeight="1">
      <c r="A731" s="106" t="s">
        <v>43</v>
      </c>
      <c r="B731" s="107"/>
      <c r="C731" s="107"/>
      <c r="D731" s="107"/>
      <c r="E731" s="107"/>
      <c r="F731" s="107"/>
      <c r="G731" s="107"/>
      <c r="H731" s="107"/>
      <c r="I731" s="107"/>
      <c r="J731" s="107"/>
      <c r="K731" s="107"/>
      <c r="L731" s="107"/>
      <c r="M731" s="108"/>
    </row>
    <row r="732" spans="1:13" ht="16.5" customHeight="1">
      <c r="A732" s="106" t="s">
        <v>44</v>
      </c>
      <c r="B732" s="107"/>
      <c r="C732" s="107"/>
      <c r="D732" s="107"/>
      <c r="E732" s="107"/>
      <c r="F732" s="107"/>
      <c r="G732" s="107"/>
      <c r="H732" s="107"/>
      <c r="I732" s="107"/>
      <c r="J732" s="107"/>
      <c r="K732" s="107"/>
      <c r="L732" s="107"/>
      <c r="M732" s="108"/>
    </row>
    <row r="733" spans="1:13" ht="16.5" customHeight="1">
      <c r="A733" s="106" t="s">
        <v>45</v>
      </c>
      <c r="B733" s="107"/>
      <c r="C733" s="107"/>
      <c r="D733" s="107"/>
      <c r="E733" s="107"/>
      <c r="F733" s="107"/>
      <c r="G733" s="107"/>
      <c r="H733" s="107"/>
      <c r="I733" s="107"/>
      <c r="J733" s="107"/>
      <c r="K733" s="107"/>
      <c r="L733" s="107"/>
      <c r="M733" s="108"/>
    </row>
    <row r="734" spans="1:13" ht="16.5" customHeight="1">
      <c r="A734" s="106" t="s">
        <v>29</v>
      </c>
      <c r="B734" s="107"/>
      <c r="C734" s="107"/>
      <c r="D734" s="107"/>
      <c r="E734" s="107"/>
      <c r="F734" s="107"/>
      <c r="G734" s="107"/>
      <c r="H734" s="107"/>
      <c r="I734" s="107"/>
      <c r="J734" s="107"/>
      <c r="K734" s="107"/>
      <c r="L734" s="107"/>
      <c r="M734" s="108"/>
    </row>
    <row r="735" spans="1:13" ht="9.75" customHeight="1" thickBot="1">
      <c r="A735" s="109"/>
      <c r="B735" s="110"/>
      <c r="C735" s="110"/>
      <c r="D735" s="110"/>
      <c r="E735" s="110"/>
      <c r="F735" s="110"/>
      <c r="G735" s="110"/>
      <c r="H735" s="110"/>
      <c r="I735" s="110"/>
      <c r="J735" s="110"/>
      <c r="K735" s="110"/>
      <c r="L735" s="110"/>
      <c r="M735" s="111"/>
    </row>
    <row r="736" spans="1:13" ht="18.75" customHeight="1" thickBot="1">
      <c r="A736" s="72" t="s">
        <v>30</v>
      </c>
      <c r="B736" s="73"/>
      <c r="C736" s="73"/>
      <c r="D736" s="73"/>
      <c r="E736" s="73"/>
      <c r="F736" s="73"/>
      <c r="G736" s="73"/>
      <c r="H736" s="73"/>
      <c r="I736" s="73"/>
      <c r="J736" s="73"/>
      <c r="K736" s="73"/>
      <c r="L736" s="73"/>
      <c r="M736" s="74"/>
    </row>
    <row r="737" spans="1:15" ht="24" customHeight="1" thickBot="1">
      <c r="A737" s="72" t="s">
        <v>31</v>
      </c>
      <c r="B737" s="73"/>
      <c r="C737" s="73"/>
      <c r="D737" s="73"/>
      <c r="E737" s="73"/>
      <c r="F737" s="73"/>
      <c r="G737" s="73"/>
      <c r="H737" s="73"/>
      <c r="I737" s="73"/>
      <c r="J737" s="73"/>
      <c r="K737" s="73"/>
      <c r="L737" s="73"/>
      <c r="M737" s="74"/>
    </row>
    <row r="738" spans="1:15" ht="24" customHeight="1" thickBot="1">
      <c r="A738" s="72" t="s">
        <v>176</v>
      </c>
      <c r="B738" s="73"/>
      <c r="C738" s="73"/>
      <c r="D738" s="73"/>
      <c r="E738" s="73"/>
      <c r="F738" s="73"/>
      <c r="G738" s="73"/>
      <c r="H738" s="73"/>
      <c r="I738" s="73"/>
      <c r="J738" s="73"/>
      <c r="K738" s="73"/>
      <c r="L738" s="73"/>
      <c r="M738" s="74"/>
    </row>
    <row r="739" spans="1:15" ht="24" customHeight="1" thickBot="1">
      <c r="A739" s="60" t="s">
        <v>46</v>
      </c>
      <c r="B739" s="61"/>
      <c r="C739" s="61"/>
      <c r="D739" s="61"/>
      <c r="E739" s="61"/>
      <c r="F739" s="61"/>
      <c r="G739" s="61"/>
      <c r="H739" s="61"/>
      <c r="I739" s="61"/>
      <c r="J739" s="61"/>
      <c r="K739" s="61"/>
      <c r="L739" s="61"/>
      <c r="M739" s="62"/>
    </row>
    <row r="740" spans="1:15" ht="11.1" customHeight="1">
      <c r="A740" s="103" t="s">
        <v>47</v>
      </c>
      <c r="B740" s="103"/>
      <c r="C740" s="103"/>
      <c r="D740" s="103"/>
      <c r="E740" s="103"/>
      <c r="F740" s="103"/>
      <c r="G740" s="103"/>
      <c r="H740" s="103"/>
      <c r="I740" s="103"/>
      <c r="J740" s="103"/>
      <c r="K740" s="103"/>
      <c r="L740" s="103"/>
      <c r="M740" s="103"/>
    </row>
    <row r="741" spans="1:15" ht="11.1" customHeight="1">
      <c r="A741" s="104" t="s">
        <v>48</v>
      </c>
      <c r="B741" s="104"/>
      <c r="C741" s="104"/>
      <c r="D741" s="104"/>
      <c r="E741" s="104"/>
      <c r="F741" s="104"/>
      <c r="G741" s="104"/>
      <c r="H741" s="104"/>
      <c r="I741" s="104"/>
      <c r="J741" s="104"/>
      <c r="K741" s="104"/>
      <c r="L741" s="104"/>
      <c r="M741" s="104"/>
    </row>
    <row r="742" spans="1:15" ht="11.1" customHeight="1">
      <c r="A742" s="105" t="s">
        <v>49</v>
      </c>
      <c r="B742" s="105"/>
      <c r="C742" s="105"/>
      <c r="D742" s="105"/>
      <c r="E742" s="105"/>
      <c r="F742" s="105"/>
      <c r="G742" s="105"/>
      <c r="H742" s="105"/>
      <c r="I742" s="105"/>
      <c r="J742" s="105"/>
      <c r="K742" s="105"/>
      <c r="L742" s="105"/>
      <c r="M742" s="105"/>
    </row>
    <row r="743" spans="1:15" ht="11.1" customHeight="1">
      <c r="A743" s="105" t="s">
        <v>50</v>
      </c>
      <c r="B743" s="105"/>
      <c r="C743" s="105"/>
      <c r="D743" s="105"/>
      <c r="E743" s="105"/>
      <c r="F743" s="105"/>
      <c r="G743" s="105"/>
      <c r="H743" s="105"/>
      <c r="I743" s="105"/>
      <c r="J743" s="105"/>
      <c r="K743" s="105"/>
      <c r="L743" s="105"/>
      <c r="M743" s="105"/>
    </row>
    <row r="744" spans="1:15" ht="11.1" customHeight="1">
      <c r="A744" s="104" t="s">
        <v>51</v>
      </c>
      <c r="B744" s="104"/>
      <c r="C744" s="104"/>
      <c r="D744" s="104"/>
      <c r="E744" s="104"/>
      <c r="F744" s="104"/>
      <c r="G744" s="104"/>
      <c r="H744" s="104"/>
      <c r="I744" s="104"/>
      <c r="J744" s="104"/>
      <c r="K744" s="104"/>
      <c r="L744" s="104"/>
      <c r="M744" s="104"/>
    </row>
    <row r="745" spans="1:15" ht="11.1" customHeight="1">
      <c r="A745" s="104" t="s">
        <v>52</v>
      </c>
      <c r="B745" s="104"/>
      <c r="C745" s="104"/>
      <c r="D745" s="104"/>
      <c r="E745" s="104"/>
      <c r="F745" s="104"/>
      <c r="G745" s="104"/>
      <c r="H745" s="104"/>
      <c r="I745" s="104"/>
      <c r="J745" s="104"/>
      <c r="K745" s="104"/>
      <c r="L745" s="104"/>
      <c r="M745" s="104"/>
    </row>
    <row r="746" spans="1:15" ht="11.1" customHeight="1">
      <c r="A746" s="104" t="s">
        <v>53</v>
      </c>
      <c r="B746" s="104"/>
      <c r="C746" s="104"/>
      <c r="D746" s="104"/>
      <c r="E746" s="104"/>
      <c r="F746" s="104"/>
      <c r="G746" s="104"/>
      <c r="H746" s="104"/>
      <c r="I746" s="104"/>
      <c r="J746" s="104"/>
      <c r="K746" s="104"/>
      <c r="L746" s="104"/>
      <c r="M746" s="104"/>
    </row>
    <row r="747" spans="1:15" ht="11.1" customHeight="1">
      <c r="A747" s="101" t="s">
        <v>54</v>
      </c>
      <c r="B747" s="101"/>
      <c r="C747" s="101"/>
      <c r="D747" s="101"/>
      <c r="E747" s="101"/>
      <c r="F747" s="101"/>
      <c r="G747" s="101"/>
      <c r="H747" s="101"/>
      <c r="I747" s="101"/>
      <c r="J747" s="101"/>
      <c r="K747" s="101"/>
      <c r="L747" s="101"/>
      <c r="M747" s="101"/>
    </row>
    <row r="748" spans="1:15" ht="11.1" customHeight="1">
      <c r="A748" s="101" t="s">
        <v>55</v>
      </c>
      <c r="B748" s="101"/>
      <c r="C748" s="101"/>
      <c r="D748" s="101"/>
      <c r="E748" s="101"/>
      <c r="F748" s="101"/>
      <c r="G748" s="101"/>
      <c r="H748" s="101"/>
      <c r="I748" s="101"/>
      <c r="J748" s="101"/>
      <c r="K748" s="101"/>
      <c r="L748" s="101"/>
      <c r="M748" s="101"/>
    </row>
    <row r="749" spans="1:15" ht="19.5" customHeight="1">
      <c r="A749" s="69" t="s">
        <v>0</v>
      </c>
      <c r="B749" s="69"/>
      <c r="C749" s="69"/>
      <c r="D749" s="69"/>
      <c r="E749" s="69"/>
      <c r="F749" s="69"/>
      <c r="G749" s="69"/>
      <c r="H749" s="69"/>
      <c r="I749" s="69"/>
      <c r="J749" s="69"/>
      <c r="K749" s="69"/>
      <c r="L749" s="69"/>
      <c r="M749" s="69"/>
    </row>
    <row r="750" spans="1:15" ht="20.100000000000001" customHeight="1">
      <c r="A750" s="4" t="s">
        <v>32</v>
      </c>
      <c r="B750" s="5">
        <f>+B706+1</f>
        <v>83</v>
      </c>
      <c r="C750" s="35"/>
      <c r="D750" s="35"/>
      <c r="E750" s="35"/>
      <c r="F750" s="35"/>
      <c r="G750" s="35"/>
      <c r="H750" s="35"/>
      <c r="I750" s="35"/>
      <c r="J750" s="35"/>
      <c r="K750" s="35"/>
      <c r="L750" s="35"/>
      <c r="M750" s="35"/>
    </row>
    <row r="751" spans="1:15" ht="24" customHeight="1" thickBot="1">
      <c r="A751" s="4" t="s">
        <v>33</v>
      </c>
      <c r="H751" s="70" t="s">
        <v>34</v>
      </c>
      <c r="I751" s="70"/>
      <c r="J751" s="70"/>
      <c r="K751" s="102">
        <f>+K707+1</f>
        <v>46009</v>
      </c>
      <c r="L751" s="102"/>
      <c r="M751" s="102"/>
      <c r="O751" s="7"/>
    </row>
    <row r="752" spans="1:15" ht="33.75" customHeight="1" thickBot="1">
      <c r="A752" s="80" t="s">
        <v>1</v>
      </c>
      <c r="B752" s="81"/>
      <c r="C752" s="82"/>
      <c r="D752" s="86" t="str">
        <f>+D708</f>
        <v>光明國中B與C區5樓老舊廁所整修工程</v>
      </c>
      <c r="E752" s="87"/>
      <c r="F752" s="87"/>
      <c r="G752" s="88"/>
      <c r="H752" s="80" t="s">
        <v>2</v>
      </c>
      <c r="I752" s="81"/>
      <c r="J752" s="82"/>
      <c r="K752" s="80" t="s">
        <v>35</v>
      </c>
      <c r="L752" s="81"/>
      <c r="M752" s="82"/>
    </row>
    <row r="753" spans="1:13" ht="33.75" customHeight="1" thickBot="1">
      <c r="A753" s="8" t="s">
        <v>3</v>
      </c>
      <c r="B753" s="36">
        <f>+B709</f>
        <v>145</v>
      </c>
      <c r="C753" s="10" t="s">
        <v>36</v>
      </c>
      <c r="D753" s="80" t="s">
        <v>4</v>
      </c>
      <c r="E753" s="89"/>
      <c r="F753" s="37">
        <f>+F709+1</f>
        <v>83</v>
      </c>
      <c r="G753" s="12" t="s">
        <v>36</v>
      </c>
      <c r="H753" s="13" t="s">
        <v>5</v>
      </c>
      <c r="I753" s="36">
        <f>+B753-F753</f>
        <v>62</v>
      </c>
      <c r="J753" s="10" t="s">
        <v>36</v>
      </c>
      <c r="K753" s="80" t="s">
        <v>6</v>
      </c>
      <c r="L753" s="82"/>
      <c r="M753" s="13">
        <f>+M709</f>
        <v>15</v>
      </c>
    </row>
    <row r="754" spans="1:13" ht="24" customHeight="1" thickBot="1">
      <c r="A754" s="80" t="s">
        <v>7</v>
      </c>
      <c r="B754" s="81"/>
      <c r="C754" s="82"/>
      <c r="D754" s="80" t="str">
        <f>+D710</f>
        <v>114.9.27</v>
      </c>
      <c r="E754" s="81"/>
      <c r="F754" s="81"/>
      <c r="G754" s="82"/>
      <c r="H754" s="80" t="s">
        <v>8</v>
      </c>
      <c r="I754" s="81"/>
      <c r="J754" s="82"/>
      <c r="K754" s="80" t="str">
        <f>+K710</f>
        <v>115.2.18</v>
      </c>
      <c r="L754" s="81"/>
      <c r="M754" s="82"/>
    </row>
    <row r="755" spans="1:13" ht="24" customHeight="1" thickBot="1">
      <c r="A755" s="80" t="s">
        <v>37</v>
      </c>
      <c r="B755" s="81"/>
      <c r="C755" s="82"/>
      <c r="D755" s="83">
        <v>0.40200000000000002</v>
      </c>
      <c r="E755" s="84"/>
      <c r="F755" s="84"/>
      <c r="G755" s="85"/>
      <c r="H755" s="80" t="s">
        <v>38</v>
      </c>
      <c r="I755" s="81"/>
      <c r="J755" s="82"/>
      <c r="K755" s="83">
        <f>+K711</f>
        <v>0.55600000000000027</v>
      </c>
      <c r="L755" s="84"/>
      <c r="M755" s="85"/>
    </row>
    <row r="756" spans="1:13" ht="24" customHeight="1" thickBot="1">
      <c r="A756" s="72" t="s">
        <v>9</v>
      </c>
      <c r="B756" s="73"/>
      <c r="C756" s="73"/>
      <c r="D756" s="73"/>
      <c r="E756" s="73"/>
      <c r="F756" s="73"/>
      <c r="G756" s="73"/>
      <c r="H756" s="73"/>
      <c r="I756" s="73"/>
      <c r="J756" s="73"/>
      <c r="K756" s="73"/>
      <c r="L756" s="73"/>
      <c r="M756" s="74"/>
    </row>
    <row r="757" spans="1:13" ht="35.25" customHeight="1" thickBot="1">
      <c r="A757" s="75" t="s">
        <v>10</v>
      </c>
      <c r="B757" s="76"/>
      <c r="C757" s="76"/>
      <c r="D757" s="77"/>
      <c r="E757" s="14" t="s">
        <v>11</v>
      </c>
      <c r="F757" s="75" t="s">
        <v>12</v>
      </c>
      <c r="G757" s="77"/>
      <c r="H757" s="75" t="s">
        <v>13</v>
      </c>
      <c r="I757" s="77"/>
      <c r="J757" s="78" t="s">
        <v>14</v>
      </c>
      <c r="K757" s="79"/>
      <c r="L757" s="75" t="s">
        <v>15</v>
      </c>
      <c r="M757" s="77"/>
    </row>
    <row r="758" spans="1:13" ht="27.95" customHeight="1" thickBot="1">
      <c r="A758" s="141"/>
      <c r="B758" s="142"/>
      <c r="C758" s="142"/>
      <c r="D758" s="143"/>
      <c r="E758" s="2"/>
      <c r="F758" s="56"/>
      <c r="G758" s="57"/>
      <c r="H758" s="56"/>
      <c r="I758" s="57"/>
      <c r="J758" s="56"/>
      <c r="K758" s="57"/>
      <c r="L758" s="58"/>
      <c r="M758" s="59"/>
    </row>
    <row r="759" spans="1:13" ht="27.95" customHeight="1" thickBot="1">
      <c r="A759" s="141"/>
      <c r="B759" s="142"/>
      <c r="C759" s="142"/>
      <c r="D759" s="143"/>
      <c r="E759" s="15"/>
      <c r="F759" s="56"/>
      <c r="G759" s="57"/>
      <c r="H759" s="56"/>
      <c r="I759" s="57"/>
      <c r="J759" s="56"/>
      <c r="K759" s="57"/>
      <c r="L759" s="58"/>
      <c r="M759" s="59"/>
    </row>
    <row r="760" spans="1:13" ht="24.95" customHeight="1" thickTop="1" thickBot="1">
      <c r="A760" s="130" t="s">
        <v>16</v>
      </c>
      <c r="B760" s="67"/>
      <c r="C760" s="67"/>
      <c r="D760" s="68"/>
      <c r="E760" s="38"/>
      <c r="F760" s="131"/>
      <c r="G760" s="132"/>
      <c r="H760" s="131"/>
      <c r="I760" s="132"/>
      <c r="J760" s="131"/>
      <c r="K760" s="132"/>
      <c r="L760" s="131"/>
      <c r="M760" s="133"/>
    </row>
    <row r="761" spans="1:13" ht="24.95" customHeight="1" thickBot="1">
      <c r="A761" s="134" t="s">
        <v>17</v>
      </c>
      <c r="B761" s="135"/>
      <c r="C761" s="135"/>
      <c r="D761" s="59"/>
      <c r="E761" s="38"/>
      <c r="F761" s="58"/>
      <c r="G761" s="59"/>
      <c r="H761" s="58"/>
      <c r="I761" s="59"/>
      <c r="J761" s="58"/>
      <c r="K761" s="59"/>
      <c r="L761" s="58"/>
      <c r="M761" s="136"/>
    </row>
    <row r="762" spans="1:13" ht="24.95" customHeight="1" thickBot="1">
      <c r="A762" s="118" t="s">
        <v>18</v>
      </c>
      <c r="B762" s="119"/>
      <c r="C762" s="119"/>
      <c r="D762" s="120"/>
      <c r="E762" s="24"/>
      <c r="F762" s="121"/>
      <c r="G762" s="120"/>
      <c r="H762" s="121"/>
      <c r="I762" s="120"/>
      <c r="J762" s="121"/>
      <c r="K762" s="120"/>
      <c r="L762" s="121"/>
      <c r="M762" s="122"/>
    </row>
    <row r="763" spans="1:13" ht="24" customHeight="1" thickTop="1" thickBot="1">
      <c r="A763" s="66" t="s">
        <v>19</v>
      </c>
      <c r="B763" s="67"/>
      <c r="C763" s="67"/>
      <c r="D763" s="67"/>
      <c r="E763" s="67"/>
      <c r="F763" s="67"/>
      <c r="G763" s="67"/>
      <c r="H763" s="67"/>
      <c r="I763" s="67"/>
      <c r="J763" s="67"/>
      <c r="K763" s="67"/>
      <c r="L763" s="67"/>
      <c r="M763" s="68"/>
    </row>
    <row r="764" spans="1:13" ht="35.25" customHeight="1" thickBot="1">
      <c r="A764" s="75" t="s">
        <v>20</v>
      </c>
      <c r="B764" s="76"/>
      <c r="C764" s="76"/>
      <c r="D764" s="77"/>
      <c r="E764" s="14" t="s">
        <v>11</v>
      </c>
      <c r="F764" s="75" t="s">
        <v>39</v>
      </c>
      <c r="G764" s="77"/>
      <c r="H764" s="75" t="s">
        <v>21</v>
      </c>
      <c r="I764" s="77"/>
      <c r="J764" s="78" t="s">
        <v>22</v>
      </c>
      <c r="K764" s="79"/>
      <c r="L764" s="75" t="s">
        <v>15</v>
      </c>
      <c r="M764" s="77"/>
    </row>
    <row r="765" spans="1:13" ht="24" customHeight="1" thickBot="1">
      <c r="A765" s="96"/>
      <c r="B765" s="97"/>
      <c r="C765" s="97"/>
      <c r="D765" s="98"/>
      <c r="E765" s="38"/>
      <c r="F765" s="58"/>
      <c r="G765" s="59"/>
      <c r="H765" s="58"/>
      <c r="I765" s="59"/>
      <c r="J765" s="56"/>
      <c r="K765" s="57"/>
      <c r="L765" s="58"/>
      <c r="M765" s="59"/>
    </row>
    <row r="766" spans="1:13" ht="24" customHeight="1" thickBot="1">
      <c r="A766" s="96"/>
      <c r="B766" s="97"/>
      <c r="C766" s="97"/>
      <c r="D766" s="98"/>
      <c r="E766" s="38"/>
      <c r="F766" s="58"/>
      <c r="G766" s="59"/>
      <c r="H766" s="58"/>
      <c r="I766" s="59"/>
      <c r="J766" s="56"/>
      <c r="K766" s="57"/>
      <c r="L766" s="58"/>
      <c r="M766" s="59"/>
    </row>
    <row r="767" spans="1:13" ht="24" customHeight="1" thickBot="1">
      <c r="A767" s="60" t="s">
        <v>23</v>
      </c>
      <c r="B767" s="61"/>
      <c r="C767" s="61"/>
      <c r="D767" s="61"/>
      <c r="E767" s="61"/>
      <c r="F767" s="61"/>
      <c r="G767" s="61"/>
      <c r="H767" s="61"/>
      <c r="I767" s="61"/>
      <c r="J767" s="61"/>
      <c r="K767" s="61"/>
      <c r="L767" s="61"/>
      <c r="M767" s="62"/>
    </row>
    <row r="768" spans="1:13" ht="35.25" customHeight="1" thickBot="1">
      <c r="A768" s="75" t="s">
        <v>24</v>
      </c>
      <c r="B768" s="77"/>
      <c r="C768" s="75" t="s">
        <v>25</v>
      </c>
      <c r="D768" s="77"/>
      <c r="E768" s="75" t="s">
        <v>26</v>
      </c>
      <c r="F768" s="76"/>
      <c r="G768" s="77"/>
      <c r="H768" s="75" t="s">
        <v>27</v>
      </c>
      <c r="I768" s="77"/>
      <c r="J768" s="78" t="s">
        <v>21</v>
      </c>
      <c r="K768" s="79"/>
      <c r="L768" s="75" t="s">
        <v>22</v>
      </c>
      <c r="M768" s="77"/>
    </row>
    <row r="769" spans="1:13" s="18" customFormat="1" ht="24.75" customHeight="1" thickBot="1">
      <c r="A769" s="99"/>
      <c r="B769" s="98"/>
      <c r="C769" s="56"/>
      <c r="D769" s="57"/>
      <c r="E769" s="56"/>
      <c r="F769" s="100"/>
      <c r="G769" s="57"/>
      <c r="H769" s="56"/>
      <c r="I769" s="57"/>
      <c r="J769" s="56"/>
      <c r="K769" s="57"/>
      <c r="L769" s="56"/>
      <c r="M769" s="57"/>
    </row>
    <row r="770" spans="1:13" s="18" customFormat="1" ht="24.75" customHeight="1" thickBot="1">
      <c r="A770" s="99"/>
      <c r="B770" s="98"/>
      <c r="C770" s="56"/>
      <c r="D770" s="57"/>
      <c r="E770" s="56"/>
      <c r="F770" s="100"/>
      <c r="G770" s="57"/>
      <c r="H770" s="56"/>
      <c r="I770" s="57"/>
      <c r="J770" s="56"/>
      <c r="K770" s="57"/>
      <c r="L770" s="56"/>
      <c r="M770" s="57"/>
    </row>
    <row r="771" spans="1:13" ht="33" customHeight="1" thickBot="1">
      <c r="A771" s="112" t="s">
        <v>60</v>
      </c>
      <c r="B771" s="113"/>
      <c r="C771" s="113"/>
      <c r="D771" s="113"/>
      <c r="E771" s="113"/>
      <c r="F771" s="113"/>
      <c r="G771" s="113"/>
      <c r="H771" s="113"/>
      <c r="I771" s="113"/>
      <c r="J771" s="113"/>
      <c r="K771" s="113"/>
      <c r="L771" s="113"/>
      <c r="M771" s="114"/>
    </row>
    <row r="772" spans="1:13" ht="16.5" customHeight="1">
      <c r="A772" s="115" t="s">
        <v>41</v>
      </c>
      <c r="B772" s="116"/>
      <c r="C772" s="116"/>
      <c r="D772" s="116"/>
      <c r="E772" s="116"/>
      <c r="F772" s="116"/>
      <c r="G772" s="116"/>
      <c r="H772" s="116"/>
      <c r="I772" s="116"/>
      <c r="J772" s="116"/>
      <c r="K772" s="116"/>
      <c r="L772" s="116"/>
      <c r="M772" s="117"/>
    </row>
    <row r="773" spans="1:13" ht="16.5" customHeight="1">
      <c r="A773" s="90" t="s">
        <v>28</v>
      </c>
      <c r="B773" s="91"/>
      <c r="C773" s="91"/>
      <c r="D773" s="91"/>
      <c r="E773" s="91"/>
      <c r="F773" s="91"/>
      <c r="G773" s="91"/>
      <c r="H773" s="91"/>
      <c r="I773" s="91"/>
      <c r="J773" s="91"/>
      <c r="K773" s="91"/>
      <c r="L773" s="91"/>
      <c r="M773" s="92"/>
    </row>
    <row r="774" spans="1:13" ht="16.5" customHeight="1">
      <c r="A774" s="106" t="s">
        <v>42</v>
      </c>
      <c r="B774" s="107"/>
      <c r="C774" s="107"/>
      <c r="D774" s="107"/>
      <c r="E774" s="107"/>
      <c r="F774" s="107"/>
      <c r="G774" s="107"/>
      <c r="H774" s="107"/>
      <c r="I774" s="107"/>
      <c r="J774" s="107"/>
      <c r="K774" s="107"/>
      <c r="L774" s="107"/>
      <c r="M774" s="108"/>
    </row>
    <row r="775" spans="1:13" ht="16.5" customHeight="1">
      <c r="A775" s="106" t="s">
        <v>43</v>
      </c>
      <c r="B775" s="107"/>
      <c r="C775" s="107"/>
      <c r="D775" s="107"/>
      <c r="E775" s="107"/>
      <c r="F775" s="107"/>
      <c r="G775" s="107"/>
      <c r="H775" s="107"/>
      <c r="I775" s="107"/>
      <c r="J775" s="107"/>
      <c r="K775" s="107"/>
      <c r="L775" s="107"/>
      <c r="M775" s="108"/>
    </row>
    <row r="776" spans="1:13" ht="16.5" customHeight="1">
      <c r="A776" s="106" t="s">
        <v>44</v>
      </c>
      <c r="B776" s="107"/>
      <c r="C776" s="107"/>
      <c r="D776" s="107"/>
      <c r="E776" s="107"/>
      <c r="F776" s="107"/>
      <c r="G776" s="107"/>
      <c r="H776" s="107"/>
      <c r="I776" s="107"/>
      <c r="J776" s="107"/>
      <c r="K776" s="107"/>
      <c r="L776" s="107"/>
      <c r="M776" s="108"/>
    </row>
    <row r="777" spans="1:13" ht="16.5" customHeight="1">
      <c r="A777" s="106" t="s">
        <v>45</v>
      </c>
      <c r="B777" s="107"/>
      <c r="C777" s="107"/>
      <c r="D777" s="107"/>
      <c r="E777" s="107"/>
      <c r="F777" s="107"/>
      <c r="G777" s="107"/>
      <c r="H777" s="107"/>
      <c r="I777" s="107"/>
      <c r="J777" s="107"/>
      <c r="K777" s="107"/>
      <c r="L777" s="107"/>
      <c r="M777" s="108"/>
    </row>
    <row r="778" spans="1:13" ht="16.5" customHeight="1">
      <c r="A778" s="106" t="s">
        <v>29</v>
      </c>
      <c r="B778" s="107"/>
      <c r="C778" s="107"/>
      <c r="D778" s="107"/>
      <c r="E778" s="107"/>
      <c r="F778" s="107"/>
      <c r="G778" s="107"/>
      <c r="H778" s="107"/>
      <c r="I778" s="107"/>
      <c r="J778" s="107"/>
      <c r="K778" s="107"/>
      <c r="L778" s="107"/>
      <c r="M778" s="108"/>
    </row>
    <row r="779" spans="1:13" ht="9.75" customHeight="1" thickBot="1">
      <c r="A779" s="109"/>
      <c r="B779" s="110"/>
      <c r="C779" s="110"/>
      <c r="D779" s="110"/>
      <c r="E779" s="110"/>
      <c r="F779" s="110"/>
      <c r="G779" s="110"/>
      <c r="H779" s="110"/>
      <c r="I779" s="110"/>
      <c r="J779" s="110"/>
      <c r="K779" s="110"/>
      <c r="L779" s="110"/>
      <c r="M779" s="111"/>
    </row>
    <row r="780" spans="1:13" ht="18.75" customHeight="1" thickBot="1">
      <c r="A780" s="72" t="s">
        <v>30</v>
      </c>
      <c r="B780" s="73"/>
      <c r="C780" s="73"/>
      <c r="D780" s="73"/>
      <c r="E780" s="73"/>
      <c r="F780" s="73"/>
      <c r="G780" s="73"/>
      <c r="H780" s="73"/>
      <c r="I780" s="73"/>
      <c r="J780" s="73"/>
      <c r="K780" s="73"/>
      <c r="L780" s="73"/>
      <c r="M780" s="74"/>
    </row>
    <row r="781" spans="1:13" ht="24" customHeight="1" thickBot="1">
      <c r="A781" s="72" t="s">
        <v>31</v>
      </c>
      <c r="B781" s="73"/>
      <c r="C781" s="73"/>
      <c r="D781" s="73"/>
      <c r="E781" s="73"/>
      <c r="F781" s="73"/>
      <c r="G781" s="73"/>
      <c r="H781" s="73"/>
      <c r="I781" s="73"/>
      <c r="J781" s="73"/>
      <c r="K781" s="73"/>
      <c r="L781" s="73"/>
      <c r="M781" s="74"/>
    </row>
    <row r="782" spans="1:13" ht="24" customHeight="1" thickBot="1">
      <c r="A782" s="72" t="s">
        <v>176</v>
      </c>
      <c r="B782" s="73"/>
      <c r="C782" s="73"/>
      <c r="D782" s="73"/>
      <c r="E782" s="73"/>
      <c r="F782" s="73"/>
      <c r="G782" s="73"/>
      <c r="H782" s="73"/>
      <c r="I782" s="73"/>
      <c r="J782" s="73"/>
      <c r="K782" s="73"/>
      <c r="L782" s="73"/>
      <c r="M782" s="74"/>
    </row>
    <row r="783" spans="1:13" ht="24" customHeight="1" thickBot="1">
      <c r="A783" s="60" t="s">
        <v>46</v>
      </c>
      <c r="B783" s="61"/>
      <c r="C783" s="61"/>
      <c r="D783" s="61"/>
      <c r="E783" s="61"/>
      <c r="F783" s="61"/>
      <c r="G783" s="61"/>
      <c r="H783" s="61"/>
      <c r="I783" s="61"/>
      <c r="J783" s="61"/>
      <c r="K783" s="61"/>
      <c r="L783" s="61"/>
      <c r="M783" s="62"/>
    </row>
    <row r="784" spans="1:13" ht="11.1" customHeight="1">
      <c r="A784" s="103" t="s">
        <v>47</v>
      </c>
      <c r="B784" s="103"/>
      <c r="C784" s="103"/>
      <c r="D784" s="103"/>
      <c r="E784" s="103"/>
      <c r="F784" s="103"/>
      <c r="G784" s="103"/>
      <c r="H784" s="103"/>
      <c r="I784" s="103"/>
      <c r="J784" s="103"/>
      <c r="K784" s="103"/>
      <c r="L784" s="103"/>
      <c r="M784" s="103"/>
    </row>
    <row r="785" spans="1:15" ht="11.1" customHeight="1">
      <c r="A785" s="104" t="s">
        <v>48</v>
      </c>
      <c r="B785" s="104"/>
      <c r="C785" s="104"/>
      <c r="D785" s="104"/>
      <c r="E785" s="104"/>
      <c r="F785" s="104"/>
      <c r="G785" s="104"/>
      <c r="H785" s="104"/>
      <c r="I785" s="104"/>
      <c r="J785" s="104"/>
      <c r="K785" s="104"/>
      <c r="L785" s="104"/>
      <c r="M785" s="104"/>
    </row>
    <row r="786" spans="1:15" ht="11.1" customHeight="1">
      <c r="A786" s="105" t="s">
        <v>49</v>
      </c>
      <c r="B786" s="105"/>
      <c r="C786" s="105"/>
      <c r="D786" s="105"/>
      <c r="E786" s="105"/>
      <c r="F786" s="105"/>
      <c r="G786" s="105"/>
      <c r="H786" s="105"/>
      <c r="I786" s="105"/>
      <c r="J786" s="105"/>
      <c r="K786" s="105"/>
      <c r="L786" s="105"/>
      <c r="M786" s="105"/>
    </row>
    <row r="787" spans="1:15" ht="11.1" customHeight="1">
      <c r="A787" s="105" t="s">
        <v>50</v>
      </c>
      <c r="B787" s="105"/>
      <c r="C787" s="105"/>
      <c r="D787" s="105"/>
      <c r="E787" s="105"/>
      <c r="F787" s="105"/>
      <c r="G787" s="105"/>
      <c r="H787" s="105"/>
      <c r="I787" s="105"/>
      <c r="J787" s="105"/>
      <c r="K787" s="105"/>
      <c r="L787" s="105"/>
      <c r="M787" s="105"/>
    </row>
    <row r="788" spans="1:15" ht="11.1" customHeight="1">
      <c r="A788" s="104" t="s">
        <v>51</v>
      </c>
      <c r="B788" s="104"/>
      <c r="C788" s="104"/>
      <c r="D788" s="104"/>
      <c r="E788" s="104"/>
      <c r="F788" s="104"/>
      <c r="G788" s="104"/>
      <c r="H788" s="104"/>
      <c r="I788" s="104"/>
      <c r="J788" s="104"/>
      <c r="K788" s="104"/>
      <c r="L788" s="104"/>
      <c r="M788" s="104"/>
    </row>
    <row r="789" spans="1:15" ht="11.1" customHeight="1">
      <c r="A789" s="104" t="s">
        <v>52</v>
      </c>
      <c r="B789" s="104"/>
      <c r="C789" s="104"/>
      <c r="D789" s="104"/>
      <c r="E789" s="104"/>
      <c r="F789" s="104"/>
      <c r="G789" s="104"/>
      <c r="H789" s="104"/>
      <c r="I789" s="104"/>
      <c r="J789" s="104"/>
      <c r="K789" s="104"/>
      <c r="L789" s="104"/>
      <c r="M789" s="104"/>
    </row>
    <row r="790" spans="1:15" ht="11.1" customHeight="1">
      <c r="A790" s="104" t="s">
        <v>53</v>
      </c>
      <c r="B790" s="104"/>
      <c r="C790" s="104"/>
      <c r="D790" s="104"/>
      <c r="E790" s="104"/>
      <c r="F790" s="104"/>
      <c r="G790" s="104"/>
      <c r="H790" s="104"/>
      <c r="I790" s="104"/>
      <c r="J790" s="104"/>
      <c r="K790" s="104"/>
      <c r="L790" s="104"/>
      <c r="M790" s="104"/>
    </row>
    <row r="791" spans="1:15" ht="11.1" customHeight="1">
      <c r="A791" s="101" t="s">
        <v>54</v>
      </c>
      <c r="B791" s="101"/>
      <c r="C791" s="101"/>
      <c r="D791" s="101"/>
      <c r="E791" s="101"/>
      <c r="F791" s="101"/>
      <c r="G791" s="101"/>
      <c r="H791" s="101"/>
      <c r="I791" s="101"/>
      <c r="J791" s="101"/>
      <c r="K791" s="101"/>
      <c r="L791" s="101"/>
      <c r="M791" s="101"/>
    </row>
    <row r="792" spans="1:15" ht="11.1" customHeight="1">
      <c r="A792" s="101" t="s">
        <v>55</v>
      </c>
      <c r="B792" s="101"/>
      <c r="C792" s="101"/>
      <c r="D792" s="101"/>
      <c r="E792" s="101"/>
      <c r="F792" s="101"/>
      <c r="G792" s="101"/>
      <c r="H792" s="101"/>
      <c r="I792" s="101"/>
      <c r="J792" s="101"/>
      <c r="K792" s="101"/>
      <c r="L792" s="101"/>
      <c r="M792" s="101"/>
    </row>
    <row r="793" spans="1:15" ht="19.5" customHeight="1">
      <c r="A793" s="69" t="s">
        <v>0</v>
      </c>
      <c r="B793" s="69"/>
      <c r="C793" s="69"/>
      <c r="D793" s="69"/>
      <c r="E793" s="69"/>
      <c r="F793" s="69"/>
      <c r="G793" s="69"/>
      <c r="H793" s="69"/>
      <c r="I793" s="69"/>
      <c r="J793" s="69"/>
      <c r="K793" s="69"/>
      <c r="L793" s="69"/>
      <c r="M793" s="69"/>
    </row>
    <row r="794" spans="1:15" ht="20.100000000000001" customHeight="1">
      <c r="A794" s="4" t="s">
        <v>32</v>
      </c>
      <c r="B794" s="5">
        <f>+B750+1</f>
        <v>84</v>
      </c>
      <c r="C794" s="35"/>
      <c r="D794" s="35"/>
      <c r="E794" s="35"/>
      <c r="F794" s="35"/>
      <c r="G794" s="35"/>
      <c r="H794" s="35"/>
      <c r="I794" s="35"/>
      <c r="J794" s="35"/>
      <c r="K794" s="35"/>
      <c r="L794" s="35"/>
      <c r="M794" s="35"/>
    </row>
    <row r="795" spans="1:15" ht="24" customHeight="1" thickBot="1">
      <c r="A795" s="4" t="s">
        <v>33</v>
      </c>
      <c r="H795" s="70" t="s">
        <v>34</v>
      </c>
      <c r="I795" s="70"/>
      <c r="J795" s="70"/>
      <c r="K795" s="102">
        <f>+K751+1</f>
        <v>46010</v>
      </c>
      <c r="L795" s="102"/>
      <c r="M795" s="102"/>
      <c r="O795" s="7"/>
    </row>
    <row r="796" spans="1:15" ht="33.75" customHeight="1" thickBot="1">
      <c r="A796" s="80" t="s">
        <v>1</v>
      </c>
      <c r="B796" s="81"/>
      <c r="C796" s="82"/>
      <c r="D796" s="86" t="str">
        <f>+D752</f>
        <v>光明國中B與C區5樓老舊廁所整修工程</v>
      </c>
      <c r="E796" s="87"/>
      <c r="F796" s="87"/>
      <c r="G796" s="88"/>
      <c r="H796" s="80" t="s">
        <v>2</v>
      </c>
      <c r="I796" s="81"/>
      <c r="J796" s="82"/>
      <c r="K796" s="80" t="s">
        <v>35</v>
      </c>
      <c r="L796" s="81"/>
      <c r="M796" s="82"/>
    </row>
    <row r="797" spans="1:15" ht="33.75" customHeight="1" thickBot="1">
      <c r="A797" s="8" t="s">
        <v>3</v>
      </c>
      <c r="B797" s="36">
        <f>+B753</f>
        <v>145</v>
      </c>
      <c r="C797" s="10" t="s">
        <v>36</v>
      </c>
      <c r="D797" s="80" t="s">
        <v>4</v>
      </c>
      <c r="E797" s="89"/>
      <c r="F797" s="37">
        <f>+F753+1</f>
        <v>84</v>
      </c>
      <c r="G797" s="12" t="s">
        <v>36</v>
      </c>
      <c r="H797" s="13" t="s">
        <v>5</v>
      </c>
      <c r="I797" s="36">
        <f>+B797-F797</f>
        <v>61</v>
      </c>
      <c r="J797" s="10" t="s">
        <v>36</v>
      </c>
      <c r="K797" s="80" t="s">
        <v>6</v>
      </c>
      <c r="L797" s="82"/>
      <c r="M797" s="13">
        <f>+M753</f>
        <v>15</v>
      </c>
    </row>
    <row r="798" spans="1:15" ht="24" customHeight="1" thickBot="1">
      <c r="A798" s="80" t="s">
        <v>7</v>
      </c>
      <c r="B798" s="81"/>
      <c r="C798" s="82"/>
      <c r="D798" s="80" t="str">
        <f>+D754</f>
        <v>114.9.27</v>
      </c>
      <c r="E798" s="81"/>
      <c r="F798" s="81"/>
      <c r="G798" s="82"/>
      <c r="H798" s="80" t="s">
        <v>8</v>
      </c>
      <c r="I798" s="81"/>
      <c r="J798" s="82"/>
      <c r="K798" s="80" t="str">
        <f>+K754</f>
        <v>115.2.18</v>
      </c>
      <c r="L798" s="81"/>
      <c r="M798" s="82"/>
    </row>
    <row r="799" spans="1:15" ht="24" customHeight="1" thickBot="1">
      <c r="A799" s="80" t="s">
        <v>37</v>
      </c>
      <c r="B799" s="81"/>
      <c r="C799" s="82"/>
      <c r="D799" s="83">
        <v>0.40799999999999997</v>
      </c>
      <c r="E799" s="84"/>
      <c r="F799" s="84"/>
      <c r="G799" s="85"/>
      <c r="H799" s="80" t="s">
        <v>38</v>
      </c>
      <c r="I799" s="81"/>
      <c r="J799" s="82"/>
      <c r="K799" s="83">
        <f>+K755</f>
        <v>0.55600000000000027</v>
      </c>
      <c r="L799" s="84"/>
      <c r="M799" s="85"/>
    </row>
    <row r="800" spans="1:15" ht="24" customHeight="1" thickBot="1">
      <c r="A800" s="72" t="s">
        <v>9</v>
      </c>
      <c r="B800" s="73"/>
      <c r="C800" s="73"/>
      <c r="D800" s="73"/>
      <c r="E800" s="73"/>
      <c r="F800" s="73"/>
      <c r="G800" s="73"/>
      <c r="H800" s="73"/>
      <c r="I800" s="73"/>
      <c r="J800" s="73"/>
      <c r="K800" s="73"/>
      <c r="L800" s="73"/>
      <c r="M800" s="74"/>
    </row>
    <row r="801" spans="1:13" ht="35.25" customHeight="1" thickBot="1">
      <c r="A801" s="75" t="s">
        <v>10</v>
      </c>
      <c r="B801" s="76"/>
      <c r="C801" s="76"/>
      <c r="D801" s="77"/>
      <c r="E801" s="14" t="s">
        <v>11</v>
      </c>
      <c r="F801" s="75" t="s">
        <v>12</v>
      </c>
      <c r="G801" s="77"/>
      <c r="H801" s="75" t="s">
        <v>13</v>
      </c>
      <c r="I801" s="77"/>
      <c r="J801" s="78" t="s">
        <v>14</v>
      </c>
      <c r="K801" s="79"/>
      <c r="L801" s="75" t="s">
        <v>15</v>
      </c>
      <c r="M801" s="77"/>
    </row>
    <row r="802" spans="1:13" ht="27.95" customHeight="1" thickBot="1">
      <c r="A802" s="141"/>
      <c r="B802" s="142"/>
      <c r="C802" s="142"/>
      <c r="D802" s="143"/>
      <c r="E802" s="2"/>
      <c r="F802" s="56"/>
      <c r="G802" s="57"/>
      <c r="H802" s="56"/>
      <c r="I802" s="57"/>
      <c r="J802" s="56"/>
      <c r="K802" s="57"/>
      <c r="L802" s="58"/>
      <c r="M802" s="59"/>
    </row>
    <row r="803" spans="1:13" ht="27.95" customHeight="1" thickBot="1">
      <c r="A803" s="141"/>
      <c r="B803" s="142"/>
      <c r="C803" s="142"/>
      <c r="D803" s="143"/>
      <c r="E803" s="15"/>
      <c r="F803" s="56"/>
      <c r="G803" s="57"/>
      <c r="H803" s="56"/>
      <c r="I803" s="57"/>
      <c r="J803" s="56"/>
      <c r="K803" s="57"/>
      <c r="L803" s="58"/>
      <c r="M803" s="59"/>
    </row>
    <row r="804" spans="1:13" ht="24.95" customHeight="1" thickTop="1" thickBot="1">
      <c r="A804" s="130" t="s">
        <v>16</v>
      </c>
      <c r="B804" s="67"/>
      <c r="C804" s="67"/>
      <c r="D804" s="68"/>
      <c r="E804" s="38"/>
      <c r="F804" s="131"/>
      <c r="G804" s="132"/>
      <c r="H804" s="131"/>
      <c r="I804" s="132"/>
      <c r="J804" s="131"/>
      <c r="K804" s="132"/>
      <c r="L804" s="131"/>
      <c r="M804" s="133"/>
    </row>
    <row r="805" spans="1:13" ht="24.95" customHeight="1" thickBot="1">
      <c r="A805" s="134" t="s">
        <v>17</v>
      </c>
      <c r="B805" s="135"/>
      <c r="C805" s="135"/>
      <c r="D805" s="59"/>
      <c r="E805" s="38"/>
      <c r="F805" s="58"/>
      <c r="G805" s="59"/>
      <c r="H805" s="58"/>
      <c r="I805" s="59"/>
      <c r="J805" s="58"/>
      <c r="K805" s="59"/>
      <c r="L805" s="58"/>
      <c r="M805" s="136"/>
    </row>
    <row r="806" spans="1:13" ht="24.95" customHeight="1" thickBot="1">
      <c r="A806" s="118" t="s">
        <v>18</v>
      </c>
      <c r="B806" s="119"/>
      <c r="C806" s="119"/>
      <c r="D806" s="120"/>
      <c r="E806" s="24"/>
      <c r="F806" s="121"/>
      <c r="G806" s="120"/>
      <c r="H806" s="121"/>
      <c r="I806" s="120"/>
      <c r="J806" s="121"/>
      <c r="K806" s="120"/>
      <c r="L806" s="121"/>
      <c r="M806" s="122"/>
    </row>
    <row r="807" spans="1:13" ht="24" customHeight="1" thickTop="1" thickBot="1">
      <c r="A807" s="66" t="s">
        <v>19</v>
      </c>
      <c r="B807" s="67"/>
      <c r="C807" s="67"/>
      <c r="D807" s="67"/>
      <c r="E807" s="67"/>
      <c r="F807" s="67"/>
      <c r="G807" s="67"/>
      <c r="H807" s="67"/>
      <c r="I807" s="67"/>
      <c r="J807" s="67"/>
      <c r="K807" s="67"/>
      <c r="L807" s="67"/>
      <c r="M807" s="68"/>
    </row>
    <row r="808" spans="1:13" ht="35.25" customHeight="1" thickBot="1">
      <c r="A808" s="75" t="s">
        <v>20</v>
      </c>
      <c r="B808" s="76"/>
      <c r="C808" s="76"/>
      <c r="D808" s="77"/>
      <c r="E808" s="14" t="s">
        <v>11</v>
      </c>
      <c r="F808" s="75" t="s">
        <v>39</v>
      </c>
      <c r="G808" s="77"/>
      <c r="H808" s="75" t="s">
        <v>21</v>
      </c>
      <c r="I808" s="77"/>
      <c r="J808" s="78" t="s">
        <v>22</v>
      </c>
      <c r="K808" s="79"/>
      <c r="L808" s="75" t="s">
        <v>15</v>
      </c>
      <c r="M808" s="77"/>
    </row>
    <row r="809" spans="1:13" ht="24" customHeight="1" thickBot="1">
      <c r="A809" s="96"/>
      <c r="B809" s="97"/>
      <c r="C809" s="97"/>
      <c r="D809" s="98"/>
      <c r="E809" s="38"/>
      <c r="F809" s="58"/>
      <c r="G809" s="59"/>
      <c r="H809" s="58"/>
      <c r="I809" s="59"/>
      <c r="J809" s="56"/>
      <c r="K809" s="57"/>
      <c r="L809" s="58"/>
      <c r="M809" s="59"/>
    </row>
    <row r="810" spans="1:13" ht="24" customHeight="1" thickBot="1">
      <c r="A810" s="96"/>
      <c r="B810" s="97"/>
      <c r="C810" s="97"/>
      <c r="D810" s="98"/>
      <c r="E810" s="38"/>
      <c r="F810" s="58"/>
      <c r="G810" s="59"/>
      <c r="H810" s="58"/>
      <c r="I810" s="59"/>
      <c r="J810" s="56"/>
      <c r="K810" s="57"/>
      <c r="L810" s="58"/>
      <c r="M810" s="59"/>
    </row>
    <row r="811" spans="1:13" ht="24" customHeight="1" thickBot="1">
      <c r="A811" s="60" t="s">
        <v>23</v>
      </c>
      <c r="B811" s="61"/>
      <c r="C811" s="61"/>
      <c r="D811" s="61"/>
      <c r="E811" s="61"/>
      <c r="F811" s="61"/>
      <c r="G811" s="61"/>
      <c r="H811" s="61"/>
      <c r="I811" s="61"/>
      <c r="J811" s="61"/>
      <c r="K811" s="61"/>
      <c r="L811" s="61"/>
      <c r="M811" s="62"/>
    </row>
    <row r="812" spans="1:13" ht="35.25" customHeight="1" thickBot="1">
      <c r="A812" s="75" t="s">
        <v>24</v>
      </c>
      <c r="B812" s="77"/>
      <c r="C812" s="75" t="s">
        <v>25</v>
      </c>
      <c r="D812" s="77"/>
      <c r="E812" s="75" t="s">
        <v>26</v>
      </c>
      <c r="F812" s="76"/>
      <c r="G812" s="77"/>
      <c r="H812" s="75" t="s">
        <v>27</v>
      </c>
      <c r="I812" s="77"/>
      <c r="J812" s="78" t="s">
        <v>21</v>
      </c>
      <c r="K812" s="79"/>
      <c r="L812" s="75" t="s">
        <v>22</v>
      </c>
      <c r="M812" s="77"/>
    </row>
    <row r="813" spans="1:13" s="18" customFormat="1" ht="24.75" customHeight="1" thickBot="1">
      <c r="A813" s="99"/>
      <c r="B813" s="98"/>
      <c r="C813" s="56"/>
      <c r="D813" s="57"/>
      <c r="E813" s="56"/>
      <c r="F813" s="100"/>
      <c r="G813" s="57"/>
      <c r="H813" s="56"/>
      <c r="I813" s="57"/>
      <c r="J813" s="56"/>
      <c r="K813" s="57"/>
      <c r="L813" s="56"/>
      <c r="M813" s="57"/>
    </row>
    <row r="814" spans="1:13" s="18" customFormat="1" ht="24.75" customHeight="1" thickBot="1">
      <c r="A814" s="99"/>
      <c r="B814" s="98"/>
      <c r="C814" s="56"/>
      <c r="D814" s="57"/>
      <c r="E814" s="56"/>
      <c r="F814" s="100"/>
      <c r="G814" s="57"/>
      <c r="H814" s="56"/>
      <c r="I814" s="57"/>
      <c r="J814" s="56"/>
      <c r="K814" s="57"/>
      <c r="L814" s="56"/>
      <c r="M814" s="57"/>
    </row>
    <row r="815" spans="1:13" ht="33" customHeight="1" thickBot="1">
      <c r="A815" s="112" t="s">
        <v>60</v>
      </c>
      <c r="B815" s="113"/>
      <c r="C815" s="113"/>
      <c r="D815" s="113"/>
      <c r="E815" s="113"/>
      <c r="F815" s="113"/>
      <c r="G815" s="113"/>
      <c r="H815" s="113"/>
      <c r="I815" s="113"/>
      <c r="J815" s="113"/>
      <c r="K815" s="113"/>
      <c r="L815" s="113"/>
      <c r="M815" s="114"/>
    </row>
    <row r="816" spans="1:13" ht="16.5" customHeight="1">
      <c r="A816" s="115" t="s">
        <v>41</v>
      </c>
      <c r="B816" s="116"/>
      <c r="C816" s="116"/>
      <c r="D816" s="116"/>
      <c r="E816" s="116"/>
      <c r="F816" s="116"/>
      <c r="G816" s="116"/>
      <c r="H816" s="116"/>
      <c r="I816" s="116"/>
      <c r="J816" s="116"/>
      <c r="K816" s="116"/>
      <c r="L816" s="116"/>
      <c r="M816" s="117"/>
    </row>
    <row r="817" spans="1:13" ht="16.5" customHeight="1">
      <c r="A817" s="90" t="s">
        <v>28</v>
      </c>
      <c r="B817" s="91"/>
      <c r="C817" s="91"/>
      <c r="D817" s="91"/>
      <c r="E817" s="91"/>
      <c r="F817" s="91"/>
      <c r="G817" s="91"/>
      <c r="H817" s="91"/>
      <c r="I817" s="91"/>
      <c r="J817" s="91"/>
      <c r="K817" s="91"/>
      <c r="L817" s="91"/>
      <c r="M817" s="92"/>
    </row>
    <row r="818" spans="1:13" ht="16.5" customHeight="1">
      <c r="A818" s="106" t="s">
        <v>42</v>
      </c>
      <c r="B818" s="107"/>
      <c r="C818" s="107"/>
      <c r="D818" s="107"/>
      <c r="E818" s="107"/>
      <c r="F818" s="107"/>
      <c r="G818" s="107"/>
      <c r="H818" s="107"/>
      <c r="I818" s="107"/>
      <c r="J818" s="107"/>
      <c r="K818" s="107"/>
      <c r="L818" s="107"/>
      <c r="M818" s="108"/>
    </row>
    <row r="819" spans="1:13" ht="16.5" customHeight="1">
      <c r="A819" s="106" t="s">
        <v>43</v>
      </c>
      <c r="B819" s="107"/>
      <c r="C819" s="107"/>
      <c r="D819" s="107"/>
      <c r="E819" s="107"/>
      <c r="F819" s="107"/>
      <c r="G819" s="107"/>
      <c r="H819" s="107"/>
      <c r="I819" s="107"/>
      <c r="J819" s="107"/>
      <c r="K819" s="107"/>
      <c r="L819" s="107"/>
      <c r="M819" s="108"/>
    </row>
    <row r="820" spans="1:13" ht="16.5" customHeight="1">
      <c r="A820" s="106" t="s">
        <v>44</v>
      </c>
      <c r="B820" s="107"/>
      <c r="C820" s="107"/>
      <c r="D820" s="107"/>
      <c r="E820" s="107"/>
      <c r="F820" s="107"/>
      <c r="G820" s="107"/>
      <c r="H820" s="107"/>
      <c r="I820" s="107"/>
      <c r="J820" s="107"/>
      <c r="K820" s="107"/>
      <c r="L820" s="107"/>
      <c r="M820" s="108"/>
    </row>
    <row r="821" spans="1:13" ht="16.5" customHeight="1">
      <c r="A821" s="106" t="s">
        <v>45</v>
      </c>
      <c r="B821" s="107"/>
      <c r="C821" s="107"/>
      <c r="D821" s="107"/>
      <c r="E821" s="107"/>
      <c r="F821" s="107"/>
      <c r="G821" s="107"/>
      <c r="H821" s="107"/>
      <c r="I821" s="107"/>
      <c r="J821" s="107"/>
      <c r="K821" s="107"/>
      <c r="L821" s="107"/>
      <c r="M821" s="108"/>
    </row>
    <row r="822" spans="1:13" ht="16.5" customHeight="1">
      <c r="A822" s="106" t="s">
        <v>29</v>
      </c>
      <c r="B822" s="107"/>
      <c r="C822" s="107"/>
      <c r="D822" s="107"/>
      <c r="E822" s="107"/>
      <c r="F822" s="107"/>
      <c r="G822" s="107"/>
      <c r="H822" s="107"/>
      <c r="I822" s="107"/>
      <c r="J822" s="107"/>
      <c r="K822" s="107"/>
      <c r="L822" s="107"/>
      <c r="M822" s="108"/>
    </row>
    <row r="823" spans="1:13" ht="9.75" customHeight="1" thickBot="1">
      <c r="A823" s="109"/>
      <c r="B823" s="110"/>
      <c r="C823" s="110"/>
      <c r="D823" s="110"/>
      <c r="E823" s="110"/>
      <c r="F823" s="110"/>
      <c r="G823" s="110"/>
      <c r="H823" s="110"/>
      <c r="I823" s="110"/>
      <c r="J823" s="110"/>
      <c r="K823" s="110"/>
      <c r="L823" s="110"/>
      <c r="M823" s="111"/>
    </row>
    <row r="824" spans="1:13" ht="18.75" customHeight="1" thickBot="1">
      <c r="A824" s="72" t="s">
        <v>30</v>
      </c>
      <c r="B824" s="73"/>
      <c r="C824" s="73"/>
      <c r="D824" s="73"/>
      <c r="E824" s="73"/>
      <c r="F824" s="73"/>
      <c r="G824" s="73"/>
      <c r="H824" s="73"/>
      <c r="I824" s="73"/>
      <c r="J824" s="73"/>
      <c r="K824" s="73"/>
      <c r="L824" s="73"/>
      <c r="M824" s="74"/>
    </row>
    <row r="825" spans="1:13" ht="24" customHeight="1" thickBot="1">
      <c r="A825" s="72" t="s">
        <v>31</v>
      </c>
      <c r="B825" s="73"/>
      <c r="C825" s="73"/>
      <c r="D825" s="73"/>
      <c r="E825" s="73"/>
      <c r="F825" s="73"/>
      <c r="G825" s="73"/>
      <c r="H825" s="73"/>
      <c r="I825" s="73"/>
      <c r="J825" s="73"/>
      <c r="K825" s="73"/>
      <c r="L825" s="73"/>
      <c r="M825" s="74"/>
    </row>
    <row r="826" spans="1:13" ht="24" customHeight="1" thickBot="1">
      <c r="A826" s="72" t="s">
        <v>176</v>
      </c>
      <c r="B826" s="73"/>
      <c r="C826" s="73"/>
      <c r="D826" s="73"/>
      <c r="E826" s="73"/>
      <c r="F826" s="73"/>
      <c r="G826" s="73"/>
      <c r="H826" s="73"/>
      <c r="I826" s="73"/>
      <c r="J826" s="73"/>
      <c r="K826" s="73"/>
      <c r="L826" s="73"/>
      <c r="M826" s="74"/>
    </row>
    <row r="827" spans="1:13" ht="24" customHeight="1" thickBot="1">
      <c r="A827" s="60" t="s">
        <v>46</v>
      </c>
      <c r="B827" s="61"/>
      <c r="C827" s="61"/>
      <c r="D827" s="61"/>
      <c r="E827" s="61"/>
      <c r="F827" s="61"/>
      <c r="G827" s="61"/>
      <c r="H827" s="61"/>
      <c r="I827" s="61"/>
      <c r="J827" s="61"/>
      <c r="K827" s="61"/>
      <c r="L827" s="61"/>
      <c r="M827" s="62"/>
    </row>
    <row r="828" spans="1:13" ht="11.1" customHeight="1">
      <c r="A828" s="103" t="s">
        <v>47</v>
      </c>
      <c r="B828" s="103"/>
      <c r="C828" s="103"/>
      <c r="D828" s="103"/>
      <c r="E828" s="103"/>
      <c r="F828" s="103"/>
      <c r="G828" s="103"/>
      <c r="H828" s="103"/>
      <c r="I828" s="103"/>
      <c r="J828" s="103"/>
      <c r="K828" s="103"/>
      <c r="L828" s="103"/>
      <c r="M828" s="103"/>
    </row>
    <row r="829" spans="1:13" ht="11.1" customHeight="1">
      <c r="A829" s="104" t="s">
        <v>48</v>
      </c>
      <c r="B829" s="104"/>
      <c r="C829" s="104"/>
      <c r="D829" s="104"/>
      <c r="E829" s="104"/>
      <c r="F829" s="104"/>
      <c r="G829" s="104"/>
      <c r="H829" s="104"/>
      <c r="I829" s="104"/>
      <c r="J829" s="104"/>
      <c r="K829" s="104"/>
      <c r="L829" s="104"/>
      <c r="M829" s="104"/>
    </row>
    <row r="830" spans="1:13" ht="11.1" customHeight="1">
      <c r="A830" s="105" t="s">
        <v>49</v>
      </c>
      <c r="B830" s="105"/>
      <c r="C830" s="105"/>
      <c r="D830" s="105"/>
      <c r="E830" s="105"/>
      <c r="F830" s="105"/>
      <c r="G830" s="105"/>
      <c r="H830" s="105"/>
      <c r="I830" s="105"/>
      <c r="J830" s="105"/>
      <c r="K830" s="105"/>
      <c r="L830" s="105"/>
      <c r="M830" s="105"/>
    </row>
    <row r="831" spans="1:13" ht="11.1" customHeight="1">
      <c r="A831" s="105" t="s">
        <v>50</v>
      </c>
      <c r="B831" s="105"/>
      <c r="C831" s="105"/>
      <c r="D831" s="105"/>
      <c r="E831" s="105"/>
      <c r="F831" s="105"/>
      <c r="G831" s="105"/>
      <c r="H831" s="105"/>
      <c r="I831" s="105"/>
      <c r="J831" s="105"/>
      <c r="K831" s="105"/>
      <c r="L831" s="105"/>
      <c r="M831" s="105"/>
    </row>
    <row r="832" spans="1:13" ht="11.1" customHeight="1">
      <c r="A832" s="104" t="s">
        <v>51</v>
      </c>
      <c r="B832" s="104"/>
      <c r="C832" s="104"/>
      <c r="D832" s="104"/>
      <c r="E832" s="104"/>
      <c r="F832" s="104"/>
      <c r="G832" s="104"/>
      <c r="H832" s="104"/>
      <c r="I832" s="104"/>
      <c r="J832" s="104"/>
      <c r="K832" s="104"/>
      <c r="L832" s="104"/>
      <c r="M832" s="104"/>
    </row>
    <row r="833" spans="1:15" ht="11.1" customHeight="1">
      <c r="A833" s="104" t="s">
        <v>52</v>
      </c>
      <c r="B833" s="104"/>
      <c r="C833" s="104"/>
      <c r="D833" s="104"/>
      <c r="E833" s="104"/>
      <c r="F833" s="104"/>
      <c r="G833" s="104"/>
      <c r="H833" s="104"/>
      <c r="I833" s="104"/>
      <c r="J833" s="104"/>
      <c r="K833" s="104"/>
      <c r="L833" s="104"/>
      <c r="M833" s="104"/>
    </row>
    <row r="834" spans="1:15" ht="11.1" customHeight="1">
      <c r="A834" s="104" t="s">
        <v>53</v>
      </c>
      <c r="B834" s="104"/>
      <c r="C834" s="104"/>
      <c r="D834" s="104"/>
      <c r="E834" s="104"/>
      <c r="F834" s="104"/>
      <c r="G834" s="104"/>
      <c r="H834" s="104"/>
      <c r="I834" s="104"/>
      <c r="J834" s="104"/>
      <c r="K834" s="104"/>
      <c r="L834" s="104"/>
      <c r="M834" s="104"/>
    </row>
    <row r="835" spans="1:15" ht="11.1" customHeight="1">
      <c r="A835" s="101" t="s">
        <v>54</v>
      </c>
      <c r="B835" s="101"/>
      <c r="C835" s="101"/>
      <c r="D835" s="101"/>
      <c r="E835" s="101"/>
      <c r="F835" s="101"/>
      <c r="G835" s="101"/>
      <c r="H835" s="101"/>
      <c r="I835" s="101"/>
      <c r="J835" s="101"/>
      <c r="K835" s="101"/>
      <c r="L835" s="101"/>
      <c r="M835" s="101"/>
    </row>
    <row r="836" spans="1:15" ht="11.1" customHeight="1">
      <c r="A836" s="101" t="s">
        <v>55</v>
      </c>
      <c r="B836" s="101"/>
      <c r="C836" s="101"/>
      <c r="D836" s="101"/>
      <c r="E836" s="101"/>
      <c r="F836" s="101"/>
      <c r="G836" s="101"/>
      <c r="H836" s="101"/>
      <c r="I836" s="101"/>
      <c r="J836" s="101"/>
      <c r="K836" s="101"/>
      <c r="L836" s="101"/>
      <c r="M836" s="101"/>
    </row>
    <row r="837" spans="1:15" ht="19.5" customHeight="1">
      <c r="A837" s="69" t="s">
        <v>0</v>
      </c>
      <c r="B837" s="69"/>
      <c r="C837" s="69"/>
      <c r="D837" s="69"/>
      <c r="E837" s="69"/>
      <c r="F837" s="69"/>
      <c r="G837" s="69"/>
      <c r="H837" s="69"/>
      <c r="I837" s="69"/>
      <c r="J837" s="69"/>
      <c r="K837" s="69"/>
      <c r="L837" s="69"/>
      <c r="M837" s="69"/>
    </row>
    <row r="838" spans="1:15" ht="20.100000000000001" customHeight="1">
      <c r="A838" s="4" t="s">
        <v>32</v>
      </c>
      <c r="B838" s="5">
        <f>+B794+1</f>
        <v>85</v>
      </c>
      <c r="C838" s="35"/>
      <c r="D838" s="35"/>
      <c r="E838" s="35"/>
      <c r="F838" s="35"/>
      <c r="G838" s="35"/>
      <c r="H838" s="35"/>
      <c r="I838" s="35"/>
      <c r="J838" s="35"/>
      <c r="K838" s="35"/>
      <c r="L838" s="35"/>
      <c r="M838" s="35"/>
    </row>
    <row r="839" spans="1:15" ht="24" customHeight="1" thickBot="1">
      <c r="A839" s="4" t="s">
        <v>33</v>
      </c>
      <c r="H839" s="70" t="s">
        <v>34</v>
      </c>
      <c r="I839" s="70"/>
      <c r="J839" s="70"/>
      <c r="K839" s="102">
        <f>+K795+1</f>
        <v>46011</v>
      </c>
      <c r="L839" s="102"/>
      <c r="M839" s="102"/>
      <c r="O839" s="7"/>
    </row>
    <row r="840" spans="1:15" ht="33.75" customHeight="1" thickBot="1">
      <c r="A840" s="80" t="s">
        <v>1</v>
      </c>
      <c r="B840" s="81"/>
      <c r="C840" s="82"/>
      <c r="D840" s="86" t="str">
        <f>+D796</f>
        <v>光明國中B與C區5樓老舊廁所整修工程</v>
      </c>
      <c r="E840" s="87"/>
      <c r="F840" s="87"/>
      <c r="G840" s="88"/>
      <c r="H840" s="80" t="s">
        <v>2</v>
      </c>
      <c r="I840" s="81"/>
      <c r="J840" s="82"/>
      <c r="K840" s="80" t="s">
        <v>35</v>
      </c>
      <c r="L840" s="81"/>
      <c r="M840" s="82"/>
    </row>
    <row r="841" spans="1:15" ht="33.75" customHeight="1" thickBot="1">
      <c r="A841" s="8" t="s">
        <v>3</v>
      </c>
      <c r="B841" s="36">
        <f>+B797</f>
        <v>145</v>
      </c>
      <c r="C841" s="10" t="s">
        <v>36</v>
      </c>
      <c r="D841" s="80" t="s">
        <v>4</v>
      </c>
      <c r="E841" s="89"/>
      <c r="F841" s="37">
        <f>+F797+1</f>
        <v>85</v>
      </c>
      <c r="G841" s="12" t="s">
        <v>36</v>
      </c>
      <c r="H841" s="13" t="s">
        <v>5</v>
      </c>
      <c r="I841" s="36">
        <f>+B841-F841</f>
        <v>60</v>
      </c>
      <c r="J841" s="10" t="s">
        <v>36</v>
      </c>
      <c r="K841" s="80" t="s">
        <v>6</v>
      </c>
      <c r="L841" s="82"/>
      <c r="M841" s="13">
        <f>+M797</f>
        <v>15</v>
      </c>
    </row>
    <row r="842" spans="1:15" ht="24" customHeight="1" thickBot="1">
      <c r="A842" s="80" t="s">
        <v>7</v>
      </c>
      <c r="B842" s="81"/>
      <c r="C842" s="82"/>
      <c r="D842" s="80" t="str">
        <f>+D798</f>
        <v>114.9.27</v>
      </c>
      <c r="E842" s="81"/>
      <c r="F842" s="81"/>
      <c r="G842" s="82"/>
      <c r="H842" s="80" t="s">
        <v>8</v>
      </c>
      <c r="I842" s="81"/>
      <c r="J842" s="82"/>
      <c r="K842" s="80" t="str">
        <f>+K798</f>
        <v>115.2.18</v>
      </c>
      <c r="L842" s="81"/>
      <c r="M842" s="82"/>
    </row>
    <row r="843" spans="1:15" ht="24" customHeight="1" thickBot="1">
      <c r="A843" s="80" t="s">
        <v>37</v>
      </c>
      <c r="B843" s="81"/>
      <c r="C843" s="82"/>
      <c r="D843" s="83">
        <v>0.41399999999999998</v>
      </c>
      <c r="E843" s="84"/>
      <c r="F843" s="84"/>
      <c r="G843" s="85"/>
      <c r="H843" s="80" t="s">
        <v>38</v>
      </c>
      <c r="I843" s="81"/>
      <c r="J843" s="82"/>
      <c r="K843" s="83">
        <f>+K799</f>
        <v>0.55600000000000027</v>
      </c>
      <c r="L843" s="84"/>
      <c r="M843" s="85"/>
    </row>
    <row r="844" spans="1:15" ht="24" customHeight="1" thickBot="1">
      <c r="A844" s="72" t="s">
        <v>9</v>
      </c>
      <c r="B844" s="73"/>
      <c r="C844" s="73"/>
      <c r="D844" s="73"/>
      <c r="E844" s="73"/>
      <c r="F844" s="73"/>
      <c r="G844" s="73"/>
      <c r="H844" s="73"/>
      <c r="I844" s="73"/>
      <c r="J844" s="73"/>
      <c r="K844" s="73"/>
      <c r="L844" s="73"/>
      <c r="M844" s="74"/>
    </row>
    <row r="845" spans="1:15" ht="35.25" customHeight="1" thickBot="1">
      <c r="A845" s="75" t="s">
        <v>10</v>
      </c>
      <c r="B845" s="76"/>
      <c r="C845" s="76"/>
      <c r="D845" s="77"/>
      <c r="E845" s="14" t="s">
        <v>11</v>
      </c>
      <c r="F845" s="75" t="s">
        <v>12</v>
      </c>
      <c r="G845" s="77"/>
      <c r="H845" s="75" t="s">
        <v>13</v>
      </c>
      <c r="I845" s="77"/>
      <c r="J845" s="78" t="s">
        <v>14</v>
      </c>
      <c r="K845" s="79"/>
      <c r="L845" s="75" t="s">
        <v>15</v>
      </c>
      <c r="M845" s="77"/>
    </row>
    <row r="846" spans="1:15" ht="27.95" customHeight="1" thickBot="1">
      <c r="A846" s="141"/>
      <c r="B846" s="142"/>
      <c r="C846" s="142"/>
      <c r="D846" s="143"/>
      <c r="E846" s="2"/>
      <c r="F846" s="56"/>
      <c r="G846" s="57"/>
      <c r="H846" s="56"/>
      <c r="I846" s="57"/>
      <c r="J846" s="56"/>
      <c r="K846" s="57"/>
      <c r="L846" s="58"/>
      <c r="M846" s="59"/>
    </row>
    <row r="847" spans="1:15" ht="27.95" customHeight="1" thickBot="1">
      <c r="A847" s="141"/>
      <c r="B847" s="142"/>
      <c r="C847" s="142"/>
      <c r="D847" s="143"/>
      <c r="E847" s="15"/>
      <c r="F847" s="56"/>
      <c r="G847" s="57"/>
      <c r="H847" s="56"/>
      <c r="I847" s="57"/>
      <c r="J847" s="56"/>
      <c r="K847" s="57"/>
      <c r="L847" s="58"/>
      <c r="M847" s="59"/>
    </row>
    <row r="848" spans="1:15" ht="24.95" customHeight="1" thickTop="1" thickBot="1">
      <c r="A848" s="130" t="s">
        <v>16</v>
      </c>
      <c r="B848" s="67"/>
      <c r="C848" s="67"/>
      <c r="D848" s="68"/>
      <c r="E848" s="38"/>
      <c r="F848" s="131"/>
      <c r="G848" s="132"/>
      <c r="H848" s="131"/>
      <c r="I848" s="132"/>
      <c r="J848" s="131"/>
      <c r="K848" s="132"/>
      <c r="L848" s="131"/>
      <c r="M848" s="133"/>
    </row>
    <row r="849" spans="1:13" ht="24.95" customHeight="1" thickBot="1">
      <c r="A849" s="134" t="s">
        <v>17</v>
      </c>
      <c r="B849" s="135"/>
      <c r="C849" s="135"/>
      <c r="D849" s="59"/>
      <c r="E849" s="38"/>
      <c r="F849" s="58"/>
      <c r="G849" s="59"/>
      <c r="H849" s="58"/>
      <c r="I849" s="59"/>
      <c r="J849" s="58"/>
      <c r="K849" s="59"/>
      <c r="L849" s="58"/>
      <c r="M849" s="136"/>
    </row>
    <row r="850" spans="1:13" ht="24.95" customHeight="1" thickBot="1">
      <c r="A850" s="118" t="s">
        <v>18</v>
      </c>
      <c r="B850" s="119"/>
      <c r="C850" s="119"/>
      <c r="D850" s="120"/>
      <c r="E850" s="24"/>
      <c r="F850" s="121"/>
      <c r="G850" s="120"/>
      <c r="H850" s="121"/>
      <c r="I850" s="120"/>
      <c r="J850" s="121"/>
      <c r="K850" s="120"/>
      <c r="L850" s="121"/>
      <c r="M850" s="122"/>
    </row>
    <row r="851" spans="1:13" ht="24" customHeight="1" thickTop="1" thickBot="1">
      <c r="A851" s="66" t="s">
        <v>19</v>
      </c>
      <c r="B851" s="67"/>
      <c r="C851" s="67"/>
      <c r="D851" s="67"/>
      <c r="E851" s="67"/>
      <c r="F851" s="67"/>
      <c r="G851" s="67"/>
      <c r="H851" s="67"/>
      <c r="I851" s="67"/>
      <c r="J851" s="67"/>
      <c r="K851" s="67"/>
      <c r="L851" s="67"/>
      <c r="M851" s="68"/>
    </row>
    <row r="852" spans="1:13" ht="35.25" customHeight="1" thickBot="1">
      <c r="A852" s="75" t="s">
        <v>20</v>
      </c>
      <c r="B852" s="76"/>
      <c r="C852" s="76"/>
      <c r="D852" s="77"/>
      <c r="E852" s="14" t="s">
        <v>11</v>
      </c>
      <c r="F852" s="75" t="s">
        <v>39</v>
      </c>
      <c r="G852" s="77"/>
      <c r="H852" s="75" t="s">
        <v>21</v>
      </c>
      <c r="I852" s="77"/>
      <c r="J852" s="78" t="s">
        <v>22</v>
      </c>
      <c r="K852" s="79"/>
      <c r="L852" s="75" t="s">
        <v>15</v>
      </c>
      <c r="M852" s="77"/>
    </row>
    <row r="853" spans="1:13" ht="24" customHeight="1" thickBot="1">
      <c r="A853" s="96"/>
      <c r="B853" s="97"/>
      <c r="C853" s="97"/>
      <c r="D853" s="98"/>
      <c r="E853" s="38"/>
      <c r="F853" s="58"/>
      <c r="G853" s="59"/>
      <c r="H853" s="58"/>
      <c r="I853" s="59"/>
      <c r="J853" s="56"/>
      <c r="K853" s="57"/>
      <c r="L853" s="58"/>
      <c r="M853" s="59"/>
    </row>
    <row r="854" spans="1:13" ht="24" customHeight="1" thickBot="1">
      <c r="A854" s="96"/>
      <c r="B854" s="97"/>
      <c r="C854" s="97"/>
      <c r="D854" s="98"/>
      <c r="E854" s="38"/>
      <c r="F854" s="58"/>
      <c r="G854" s="59"/>
      <c r="H854" s="58"/>
      <c r="I854" s="59"/>
      <c r="J854" s="56"/>
      <c r="K854" s="57"/>
      <c r="L854" s="58"/>
      <c r="M854" s="59"/>
    </row>
    <row r="855" spans="1:13" ht="24" customHeight="1" thickBot="1">
      <c r="A855" s="60" t="s">
        <v>23</v>
      </c>
      <c r="B855" s="61"/>
      <c r="C855" s="61"/>
      <c r="D855" s="61"/>
      <c r="E855" s="61"/>
      <c r="F855" s="61"/>
      <c r="G855" s="61"/>
      <c r="H855" s="61"/>
      <c r="I855" s="61"/>
      <c r="J855" s="61"/>
      <c r="K855" s="61"/>
      <c r="L855" s="61"/>
      <c r="M855" s="62"/>
    </row>
    <row r="856" spans="1:13" ht="35.25" customHeight="1" thickBot="1">
      <c r="A856" s="75" t="s">
        <v>24</v>
      </c>
      <c r="B856" s="77"/>
      <c r="C856" s="75" t="s">
        <v>25</v>
      </c>
      <c r="D856" s="77"/>
      <c r="E856" s="75" t="s">
        <v>26</v>
      </c>
      <c r="F856" s="76"/>
      <c r="G856" s="77"/>
      <c r="H856" s="75" t="s">
        <v>27</v>
      </c>
      <c r="I856" s="77"/>
      <c r="J856" s="78" t="s">
        <v>21</v>
      </c>
      <c r="K856" s="79"/>
      <c r="L856" s="75" t="s">
        <v>22</v>
      </c>
      <c r="M856" s="77"/>
    </row>
    <row r="857" spans="1:13" s="18" customFormat="1" ht="24.75" customHeight="1" thickBot="1">
      <c r="A857" s="99"/>
      <c r="B857" s="98"/>
      <c r="C857" s="56"/>
      <c r="D857" s="57"/>
      <c r="E857" s="56"/>
      <c r="F857" s="100"/>
      <c r="G857" s="57"/>
      <c r="H857" s="56"/>
      <c r="I857" s="57"/>
      <c r="J857" s="56"/>
      <c r="K857" s="57"/>
      <c r="L857" s="56"/>
      <c r="M857" s="57"/>
    </row>
    <row r="858" spans="1:13" s="18" customFormat="1" ht="24.75" customHeight="1" thickBot="1">
      <c r="A858" s="99"/>
      <c r="B858" s="98"/>
      <c r="C858" s="56"/>
      <c r="D858" s="57"/>
      <c r="E858" s="56"/>
      <c r="F858" s="100"/>
      <c r="G858" s="57"/>
      <c r="H858" s="56"/>
      <c r="I858" s="57"/>
      <c r="J858" s="56"/>
      <c r="K858" s="57"/>
      <c r="L858" s="56"/>
      <c r="M858" s="57"/>
    </row>
    <row r="859" spans="1:13" ht="33" customHeight="1" thickBot="1">
      <c r="A859" s="112" t="s">
        <v>60</v>
      </c>
      <c r="B859" s="113"/>
      <c r="C859" s="113"/>
      <c r="D859" s="113"/>
      <c r="E859" s="113"/>
      <c r="F859" s="113"/>
      <c r="G859" s="113"/>
      <c r="H859" s="113"/>
      <c r="I859" s="113"/>
      <c r="J859" s="113"/>
      <c r="K859" s="113"/>
      <c r="L859" s="113"/>
      <c r="M859" s="114"/>
    </row>
    <row r="860" spans="1:13" ht="16.5" customHeight="1">
      <c r="A860" s="115" t="s">
        <v>41</v>
      </c>
      <c r="B860" s="116"/>
      <c r="C860" s="116"/>
      <c r="D860" s="116"/>
      <c r="E860" s="116"/>
      <c r="F860" s="116"/>
      <c r="G860" s="116"/>
      <c r="H860" s="116"/>
      <c r="I860" s="116"/>
      <c r="J860" s="116"/>
      <c r="K860" s="116"/>
      <c r="L860" s="116"/>
      <c r="M860" s="117"/>
    </row>
    <row r="861" spans="1:13" ht="16.5" customHeight="1">
      <c r="A861" s="90" t="s">
        <v>28</v>
      </c>
      <c r="B861" s="91"/>
      <c r="C861" s="91"/>
      <c r="D861" s="91"/>
      <c r="E861" s="91"/>
      <c r="F861" s="91"/>
      <c r="G861" s="91"/>
      <c r="H861" s="91"/>
      <c r="I861" s="91"/>
      <c r="J861" s="91"/>
      <c r="K861" s="91"/>
      <c r="L861" s="91"/>
      <c r="M861" s="92"/>
    </row>
    <row r="862" spans="1:13" ht="16.5" customHeight="1">
      <c r="A862" s="106" t="s">
        <v>42</v>
      </c>
      <c r="B862" s="107"/>
      <c r="C862" s="107"/>
      <c r="D862" s="107"/>
      <c r="E862" s="107"/>
      <c r="F862" s="107"/>
      <c r="G862" s="107"/>
      <c r="H862" s="107"/>
      <c r="I862" s="107"/>
      <c r="J862" s="107"/>
      <c r="K862" s="107"/>
      <c r="L862" s="107"/>
      <c r="M862" s="108"/>
    </row>
    <row r="863" spans="1:13" ht="16.5" customHeight="1">
      <c r="A863" s="106" t="s">
        <v>43</v>
      </c>
      <c r="B863" s="107"/>
      <c r="C863" s="107"/>
      <c r="D863" s="107"/>
      <c r="E863" s="107"/>
      <c r="F863" s="107"/>
      <c r="G863" s="107"/>
      <c r="H863" s="107"/>
      <c r="I863" s="107"/>
      <c r="J863" s="107"/>
      <c r="K863" s="107"/>
      <c r="L863" s="107"/>
      <c r="M863" s="108"/>
    </row>
    <row r="864" spans="1:13" ht="16.5" customHeight="1">
      <c r="A864" s="106" t="s">
        <v>44</v>
      </c>
      <c r="B864" s="107"/>
      <c r="C864" s="107"/>
      <c r="D864" s="107"/>
      <c r="E864" s="107"/>
      <c r="F864" s="107"/>
      <c r="G864" s="107"/>
      <c r="H864" s="107"/>
      <c r="I864" s="107"/>
      <c r="J864" s="107"/>
      <c r="K864" s="107"/>
      <c r="L864" s="107"/>
      <c r="M864" s="108"/>
    </row>
    <row r="865" spans="1:13" ht="16.5" customHeight="1">
      <c r="A865" s="106" t="s">
        <v>45</v>
      </c>
      <c r="B865" s="107"/>
      <c r="C865" s="107"/>
      <c r="D865" s="107"/>
      <c r="E865" s="107"/>
      <c r="F865" s="107"/>
      <c r="G865" s="107"/>
      <c r="H865" s="107"/>
      <c r="I865" s="107"/>
      <c r="J865" s="107"/>
      <c r="K865" s="107"/>
      <c r="L865" s="107"/>
      <c r="M865" s="108"/>
    </row>
    <row r="866" spans="1:13" ht="16.5" customHeight="1">
      <c r="A866" s="106" t="s">
        <v>29</v>
      </c>
      <c r="B866" s="107"/>
      <c r="C866" s="107"/>
      <c r="D866" s="107"/>
      <c r="E866" s="107"/>
      <c r="F866" s="107"/>
      <c r="G866" s="107"/>
      <c r="H866" s="107"/>
      <c r="I866" s="107"/>
      <c r="J866" s="107"/>
      <c r="K866" s="107"/>
      <c r="L866" s="107"/>
      <c r="M866" s="108"/>
    </row>
    <row r="867" spans="1:13" ht="9.75" customHeight="1" thickBot="1">
      <c r="A867" s="109"/>
      <c r="B867" s="110"/>
      <c r="C867" s="110"/>
      <c r="D867" s="110"/>
      <c r="E867" s="110"/>
      <c r="F867" s="110"/>
      <c r="G867" s="110"/>
      <c r="H867" s="110"/>
      <c r="I867" s="110"/>
      <c r="J867" s="110"/>
      <c r="K867" s="110"/>
      <c r="L867" s="110"/>
      <c r="M867" s="111"/>
    </row>
    <row r="868" spans="1:13" ht="18.75" customHeight="1" thickBot="1">
      <c r="A868" s="72" t="s">
        <v>30</v>
      </c>
      <c r="B868" s="73"/>
      <c r="C868" s="73"/>
      <c r="D868" s="73"/>
      <c r="E868" s="73"/>
      <c r="F868" s="73"/>
      <c r="G868" s="73"/>
      <c r="H868" s="73"/>
      <c r="I868" s="73"/>
      <c r="J868" s="73"/>
      <c r="K868" s="73"/>
      <c r="L868" s="73"/>
      <c r="M868" s="74"/>
    </row>
    <row r="869" spans="1:13" ht="24" customHeight="1" thickBot="1">
      <c r="A869" s="72" t="s">
        <v>31</v>
      </c>
      <c r="B869" s="73"/>
      <c r="C869" s="73"/>
      <c r="D869" s="73"/>
      <c r="E869" s="73"/>
      <c r="F869" s="73"/>
      <c r="G869" s="73"/>
      <c r="H869" s="73"/>
      <c r="I869" s="73"/>
      <c r="J869" s="73"/>
      <c r="K869" s="73"/>
      <c r="L869" s="73"/>
      <c r="M869" s="74"/>
    </row>
    <row r="870" spans="1:13" ht="24" customHeight="1" thickBot="1">
      <c r="A870" s="72" t="s">
        <v>176</v>
      </c>
      <c r="B870" s="73"/>
      <c r="C870" s="73"/>
      <c r="D870" s="73"/>
      <c r="E870" s="73"/>
      <c r="F870" s="73"/>
      <c r="G870" s="73"/>
      <c r="H870" s="73"/>
      <c r="I870" s="73"/>
      <c r="J870" s="73"/>
      <c r="K870" s="73"/>
      <c r="L870" s="73"/>
      <c r="M870" s="74"/>
    </row>
    <row r="871" spans="1:13" ht="24" customHeight="1" thickBot="1">
      <c r="A871" s="60" t="s">
        <v>46</v>
      </c>
      <c r="B871" s="61"/>
      <c r="C871" s="61"/>
      <c r="D871" s="61"/>
      <c r="E871" s="61"/>
      <c r="F871" s="61"/>
      <c r="G871" s="61"/>
      <c r="H871" s="61"/>
      <c r="I871" s="61"/>
      <c r="J871" s="61"/>
      <c r="K871" s="61"/>
      <c r="L871" s="61"/>
      <c r="M871" s="62"/>
    </row>
    <row r="872" spans="1:13" ht="11.1" customHeight="1">
      <c r="A872" s="103" t="s">
        <v>47</v>
      </c>
      <c r="B872" s="103"/>
      <c r="C872" s="103"/>
      <c r="D872" s="103"/>
      <c r="E872" s="103"/>
      <c r="F872" s="103"/>
      <c r="G872" s="103"/>
      <c r="H872" s="103"/>
      <c r="I872" s="103"/>
      <c r="J872" s="103"/>
      <c r="K872" s="103"/>
      <c r="L872" s="103"/>
      <c r="M872" s="103"/>
    </row>
    <row r="873" spans="1:13" ht="11.1" customHeight="1">
      <c r="A873" s="104" t="s">
        <v>48</v>
      </c>
      <c r="B873" s="104"/>
      <c r="C873" s="104"/>
      <c r="D873" s="104"/>
      <c r="E873" s="104"/>
      <c r="F873" s="104"/>
      <c r="G873" s="104"/>
      <c r="H873" s="104"/>
      <c r="I873" s="104"/>
      <c r="J873" s="104"/>
      <c r="K873" s="104"/>
      <c r="L873" s="104"/>
      <c r="M873" s="104"/>
    </row>
    <row r="874" spans="1:13" ht="11.1" customHeight="1">
      <c r="A874" s="105" t="s">
        <v>49</v>
      </c>
      <c r="B874" s="105"/>
      <c r="C874" s="105"/>
      <c r="D874" s="105"/>
      <c r="E874" s="105"/>
      <c r="F874" s="105"/>
      <c r="G874" s="105"/>
      <c r="H874" s="105"/>
      <c r="I874" s="105"/>
      <c r="J874" s="105"/>
      <c r="K874" s="105"/>
      <c r="L874" s="105"/>
      <c r="M874" s="105"/>
    </row>
    <row r="875" spans="1:13" ht="11.1" customHeight="1">
      <c r="A875" s="105" t="s">
        <v>50</v>
      </c>
      <c r="B875" s="105"/>
      <c r="C875" s="105"/>
      <c r="D875" s="105"/>
      <c r="E875" s="105"/>
      <c r="F875" s="105"/>
      <c r="G875" s="105"/>
      <c r="H875" s="105"/>
      <c r="I875" s="105"/>
      <c r="J875" s="105"/>
      <c r="K875" s="105"/>
      <c r="L875" s="105"/>
      <c r="M875" s="105"/>
    </row>
    <row r="876" spans="1:13" ht="11.1" customHeight="1">
      <c r="A876" s="104" t="s">
        <v>51</v>
      </c>
      <c r="B876" s="104"/>
      <c r="C876" s="104"/>
      <c r="D876" s="104"/>
      <c r="E876" s="104"/>
      <c r="F876" s="104"/>
      <c r="G876" s="104"/>
      <c r="H876" s="104"/>
      <c r="I876" s="104"/>
      <c r="J876" s="104"/>
      <c r="K876" s="104"/>
      <c r="L876" s="104"/>
      <c r="M876" s="104"/>
    </row>
    <row r="877" spans="1:13" ht="11.1" customHeight="1">
      <c r="A877" s="104" t="s">
        <v>52</v>
      </c>
      <c r="B877" s="104"/>
      <c r="C877" s="104"/>
      <c r="D877" s="104"/>
      <c r="E877" s="104"/>
      <c r="F877" s="104"/>
      <c r="G877" s="104"/>
      <c r="H877" s="104"/>
      <c r="I877" s="104"/>
      <c r="J877" s="104"/>
      <c r="K877" s="104"/>
      <c r="L877" s="104"/>
      <c r="M877" s="104"/>
    </row>
    <row r="878" spans="1:13" ht="11.1" customHeight="1">
      <c r="A878" s="104" t="s">
        <v>53</v>
      </c>
      <c r="B878" s="104"/>
      <c r="C878" s="104"/>
      <c r="D878" s="104"/>
      <c r="E878" s="104"/>
      <c r="F878" s="104"/>
      <c r="G878" s="104"/>
      <c r="H878" s="104"/>
      <c r="I878" s="104"/>
      <c r="J878" s="104"/>
      <c r="K878" s="104"/>
      <c r="L878" s="104"/>
      <c r="M878" s="104"/>
    </row>
    <row r="879" spans="1:13" ht="11.1" customHeight="1">
      <c r="A879" s="101" t="s">
        <v>54</v>
      </c>
      <c r="B879" s="101"/>
      <c r="C879" s="101"/>
      <c r="D879" s="101"/>
      <c r="E879" s="101"/>
      <c r="F879" s="101"/>
      <c r="G879" s="101"/>
      <c r="H879" s="101"/>
      <c r="I879" s="101"/>
      <c r="J879" s="101"/>
      <c r="K879" s="101"/>
      <c r="L879" s="101"/>
      <c r="M879" s="101"/>
    </row>
    <row r="880" spans="1:13" ht="11.1" customHeight="1">
      <c r="A880" s="101" t="s">
        <v>55</v>
      </c>
      <c r="B880" s="101"/>
      <c r="C880" s="101"/>
      <c r="D880" s="101"/>
      <c r="E880" s="101"/>
      <c r="F880" s="101"/>
      <c r="G880" s="101"/>
      <c r="H880" s="101"/>
      <c r="I880" s="101"/>
      <c r="J880" s="101"/>
      <c r="K880" s="101"/>
      <c r="L880" s="101"/>
      <c r="M880" s="101"/>
    </row>
    <row r="881" spans="1:15" ht="19.5" customHeight="1">
      <c r="A881" s="69" t="s">
        <v>0</v>
      </c>
      <c r="B881" s="69"/>
      <c r="C881" s="69"/>
      <c r="D881" s="69"/>
      <c r="E881" s="69"/>
      <c r="F881" s="69"/>
      <c r="G881" s="69"/>
      <c r="H881" s="69"/>
      <c r="I881" s="69"/>
      <c r="J881" s="69"/>
      <c r="K881" s="69"/>
      <c r="L881" s="69"/>
      <c r="M881" s="69"/>
    </row>
    <row r="882" spans="1:15" ht="20.100000000000001" customHeight="1">
      <c r="A882" s="4" t="s">
        <v>32</v>
      </c>
      <c r="B882" s="5">
        <f>+B838+1</f>
        <v>86</v>
      </c>
      <c r="C882" s="35"/>
      <c r="D882" s="35"/>
      <c r="E882" s="35"/>
      <c r="F882" s="35"/>
      <c r="G882" s="35"/>
      <c r="H882" s="35"/>
      <c r="I882" s="35"/>
      <c r="J882" s="35"/>
      <c r="K882" s="35"/>
      <c r="L882" s="35"/>
      <c r="M882" s="35"/>
    </row>
    <row r="883" spans="1:15" ht="24" customHeight="1" thickBot="1">
      <c r="A883" s="4" t="s">
        <v>33</v>
      </c>
      <c r="H883" s="70" t="s">
        <v>34</v>
      </c>
      <c r="I883" s="70"/>
      <c r="J883" s="70"/>
      <c r="K883" s="102">
        <f>+K839+1</f>
        <v>46012</v>
      </c>
      <c r="L883" s="102"/>
      <c r="M883" s="102"/>
      <c r="O883" s="7"/>
    </row>
    <row r="884" spans="1:15" ht="33.75" customHeight="1" thickBot="1">
      <c r="A884" s="80" t="s">
        <v>1</v>
      </c>
      <c r="B884" s="81"/>
      <c r="C884" s="82"/>
      <c r="D884" s="86" t="str">
        <f>+D840</f>
        <v>光明國中B與C區5樓老舊廁所整修工程</v>
      </c>
      <c r="E884" s="87"/>
      <c r="F884" s="87"/>
      <c r="G884" s="88"/>
      <c r="H884" s="80" t="s">
        <v>2</v>
      </c>
      <c r="I884" s="81"/>
      <c r="J884" s="82"/>
      <c r="K884" s="80" t="s">
        <v>35</v>
      </c>
      <c r="L884" s="81"/>
      <c r="M884" s="82"/>
    </row>
    <row r="885" spans="1:15" ht="33.75" customHeight="1" thickBot="1">
      <c r="A885" s="8" t="s">
        <v>3</v>
      </c>
      <c r="B885" s="36">
        <f>+B841</f>
        <v>145</v>
      </c>
      <c r="C885" s="10" t="s">
        <v>36</v>
      </c>
      <c r="D885" s="80" t="s">
        <v>4</v>
      </c>
      <c r="E885" s="89"/>
      <c r="F885" s="37">
        <f>+F841+1</f>
        <v>86</v>
      </c>
      <c r="G885" s="12" t="s">
        <v>36</v>
      </c>
      <c r="H885" s="13" t="s">
        <v>5</v>
      </c>
      <c r="I885" s="36">
        <f>+B885-F885</f>
        <v>59</v>
      </c>
      <c r="J885" s="10" t="s">
        <v>36</v>
      </c>
      <c r="K885" s="80" t="s">
        <v>6</v>
      </c>
      <c r="L885" s="82"/>
      <c r="M885" s="13">
        <f>+M841</f>
        <v>15</v>
      </c>
    </row>
    <row r="886" spans="1:15" ht="24" customHeight="1" thickBot="1">
      <c r="A886" s="80" t="s">
        <v>7</v>
      </c>
      <c r="B886" s="81"/>
      <c r="C886" s="82"/>
      <c r="D886" s="80" t="str">
        <f>+D842</f>
        <v>114.9.27</v>
      </c>
      <c r="E886" s="81"/>
      <c r="F886" s="81"/>
      <c r="G886" s="82"/>
      <c r="H886" s="80" t="s">
        <v>8</v>
      </c>
      <c r="I886" s="81"/>
      <c r="J886" s="82"/>
      <c r="K886" s="80" t="str">
        <f>+K842</f>
        <v>115.2.18</v>
      </c>
      <c r="L886" s="81"/>
      <c r="M886" s="82"/>
    </row>
    <row r="887" spans="1:15" ht="24" customHeight="1" thickBot="1">
      <c r="A887" s="80" t="s">
        <v>37</v>
      </c>
      <c r="B887" s="81"/>
      <c r="C887" s="82"/>
      <c r="D887" s="83">
        <v>0.42</v>
      </c>
      <c r="E887" s="84"/>
      <c r="F887" s="84"/>
      <c r="G887" s="85"/>
      <c r="H887" s="80" t="s">
        <v>38</v>
      </c>
      <c r="I887" s="81"/>
      <c r="J887" s="82"/>
      <c r="K887" s="83">
        <f>+K843</f>
        <v>0.55600000000000027</v>
      </c>
      <c r="L887" s="84"/>
      <c r="M887" s="85"/>
    </row>
    <row r="888" spans="1:15" ht="24" customHeight="1" thickBot="1">
      <c r="A888" s="72" t="s">
        <v>9</v>
      </c>
      <c r="B888" s="73"/>
      <c r="C888" s="73"/>
      <c r="D888" s="73"/>
      <c r="E888" s="73"/>
      <c r="F888" s="73"/>
      <c r="G888" s="73"/>
      <c r="H888" s="73"/>
      <c r="I888" s="73"/>
      <c r="J888" s="73"/>
      <c r="K888" s="73"/>
      <c r="L888" s="73"/>
      <c r="M888" s="74"/>
    </row>
    <row r="889" spans="1:15" ht="35.25" customHeight="1" thickBot="1">
      <c r="A889" s="75" t="s">
        <v>10</v>
      </c>
      <c r="B889" s="76"/>
      <c r="C889" s="76"/>
      <c r="D889" s="77"/>
      <c r="E889" s="14" t="s">
        <v>11</v>
      </c>
      <c r="F889" s="75" t="s">
        <v>12</v>
      </c>
      <c r="G889" s="77"/>
      <c r="H889" s="75" t="s">
        <v>13</v>
      </c>
      <c r="I889" s="77"/>
      <c r="J889" s="78" t="s">
        <v>14</v>
      </c>
      <c r="K889" s="79"/>
      <c r="L889" s="75" t="s">
        <v>15</v>
      </c>
      <c r="M889" s="77"/>
    </row>
    <row r="890" spans="1:15" ht="27.95" customHeight="1" thickBot="1">
      <c r="A890" s="141"/>
      <c r="B890" s="142"/>
      <c r="C890" s="142"/>
      <c r="D890" s="143"/>
      <c r="E890" s="2"/>
      <c r="F890" s="56"/>
      <c r="G890" s="57"/>
      <c r="H890" s="56"/>
      <c r="I890" s="57"/>
      <c r="J890" s="56"/>
      <c r="K890" s="57"/>
      <c r="L890" s="58"/>
      <c r="M890" s="59"/>
    </row>
    <row r="891" spans="1:15" ht="27.95" customHeight="1" thickBot="1">
      <c r="A891" s="141"/>
      <c r="B891" s="142"/>
      <c r="C891" s="142"/>
      <c r="D891" s="143"/>
      <c r="E891" s="15"/>
      <c r="F891" s="56"/>
      <c r="G891" s="57"/>
      <c r="H891" s="56"/>
      <c r="I891" s="57"/>
      <c r="J891" s="56"/>
      <c r="K891" s="57"/>
      <c r="L891" s="58"/>
      <c r="M891" s="59"/>
    </row>
    <row r="892" spans="1:15" ht="24.95" customHeight="1" thickTop="1" thickBot="1">
      <c r="A892" s="130" t="s">
        <v>16</v>
      </c>
      <c r="B892" s="67"/>
      <c r="C892" s="67"/>
      <c r="D892" s="68"/>
      <c r="E892" s="38"/>
      <c r="F892" s="131"/>
      <c r="G892" s="132"/>
      <c r="H892" s="131"/>
      <c r="I892" s="132"/>
      <c r="J892" s="131"/>
      <c r="K892" s="132"/>
      <c r="L892" s="131"/>
      <c r="M892" s="133"/>
    </row>
    <row r="893" spans="1:15" ht="24.95" customHeight="1" thickBot="1">
      <c r="A893" s="134" t="s">
        <v>17</v>
      </c>
      <c r="B893" s="135"/>
      <c r="C893" s="135"/>
      <c r="D893" s="59"/>
      <c r="E893" s="38"/>
      <c r="F893" s="58"/>
      <c r="G893" s="59"/>
      <c r="H893" s="58"/>
      <c r="I893" s="59"/>
      <c r="J893" s="58"/>
      <c r="K893" s="59"/>
      <c r="L893" s="58"/>
      <c r="M893" s="136"/>
    </row>
    <row r="894" spans="1:15" ht="24.95" customHeight="1" thickBot="1">
      <c r="A894" s="118" t="s">
        <v>18</v>
      </c>
      <c r="B894" s="119"/>
      <c r="C894" s="119"/>
      <c r="D894" s="120"/>
      <c r="E894" s="24"/>
      <c r="F894" s="121"/>
      <c r="G894" s="120"/>
      <c r="H894" s="121"/>
      <c r="I894" s="120"/>
      <c r="J894" s="121"/>
      <c r="K894" s="120"/>
      <c r="L894" s="121"/>
      <c r="M894" s="122"/>
    </row>
    <row r="895" spans="1:15" ht="24" customHeight="1" thickTop="1" thickBot="1">
      <c r="A895" s="66" t="s">
        <v>19</v>
      </c>
      <c r="B895" s="67"/>
      <c r="C895" s="67"/>
      <c r="D895" s="67"/>
      <c r="E895" s="67"/>
      <c r="F895" s="67"/>
      <c r="G895" s="67"/>
      <c r="H895" s="67"/>
      <c r="I895" s="67"/>
      <c r="J895" s="67"/>
      <c r="K895" s="67"/>
      <c r="L895" s="67"/>
      <c r="M895" s="68"/>
    </row>
    <row r="896" spans="1:15" ht="35.25" customHeight="1" thickBot="1">
      <c r="A896" s="75" t="s">
        <v>20</v>
      </c>
      <c r="B896" s="76"/>
      <c r="C896" s="76"/>
      <c r="D896" s="77"/>
      <c r="E896" s="14" t="s">
        <v>11</v>
      </c>
      <c r="F896" s="75" t="s">
        <v>39</v>
      </c>
      <c r="G896" s="77"/>
      <c r="H896" s="75" t="s">
        <v>21</v>
      </c>
      <c r="I896" s="77"/>
      <c r="J896" s="78" t="s">
        <v>22</v>
      </c>
      <c r="K896" s="79"/>
      <c r="L896" s="75" t="s">
        <v>15</v>
      </c>
      <c r="M896" s="77"/>
    </row>
    <row r="897" spans="1:13" ht="24" customHeight="1" thickBot="1">
      <c r="A897" s="96"/>
      <c r="B897" s="97"/>
      <c r="C897" s="97"/>
      <c r="D897" s="98"/>
      <c r="E897" s="38"/>
      <c r="F897" s="58"/>
      <c r="G897" s="59"/>
      <c r="H897" s="58"/>
      <c r="I897" s="59"/>
      <c r="J897" s="56"/>
      <c r="K897" s="57"/>
      <c r="L897" s="58"/>
      <c r="M897" s="59"/>
    </row>
    <row r="898" spans="1:13" ht="24" customHeight="1" thickBot="1">
      <c r="A898" s="96"/>
      <c r="B898" s="97"/>
      <c r="C898" s="97"/>
      <c r="D898" s="98"/>
      <c r="E898" s="38"/>
      <c r="F898" s="58"/>
      <c r="G898" s="59"/>
      <c r="H898" s="58"/>
      <c r="I898" s="59"/>
      <c r="J898" s="56"/>
      <c r="K898" s="57"/>
      <c r="L898" s="58"/>
      <c r="M898" s="59"/>
    </row>
    <row r="899" spans="1:13" ht="24" customHeight="1" thickBot="1">
      <c r="A899" s="60" t="s">
        <v>23</v>
      </c>
      <c r="B899" s="61"/>
      <c r="C899" s="61"/>
      <c r="D899" s="61"/>
      <c r="E899" s="61"/>
      <c r="F899" s="61"/>
      <c r="G899" s="61"/>
      <c r="H899" s="61"/>
      <c r="I899" s="61"/>
      <c r="J899" s="61"/>
      <c r="K899" s="61"/>
      <c r="L899" s="61"/>
      <c r="M899" s="62"/>
    </row>
    <row r="900" spans="1:13" ht="35.25" customHeight="1" thickBot="1">
      <c r="A900" s="75" t="s">
        <v>24</v>
      </c>
      <c r="B900" s="77"/>
      <c r="C900" s="75" t="s">
        <v>25</v>
      </c>
      <c r="D900" s="77"/>
      <c r="E900" s="75" t="s">
        <v>26</v>
      </c>
      <c r="F900" s="76"/>
      <c r="G900" s="77"/>
      <c r="H900" s="75" t="s">
        <v>27</v>
      </c>
      <c r="I900" s="77"/>
      <c r="J900" s="78" t="s">
        <v>21</v>
      </c>
      <c r="K900" s="79"/>
      <c r="L900" s="75" t="s">
        <v>22</v>
      </c>
      <c r="M900" s="77"/>
    </row>
    <row r="901" spans="1:13" s="18" customFormat="1" ht="24.75" customHeight="1" thickBot="1">
      <c r="A901" s="99"/>
      <c r="B901" s="98"/>
      <c r="C901" s="56"/>
      <c r="D901" s="57"/>
      <c r="E901" s="56"/>
      <c r="F901" s="100"/>
      <c r="G901" s="57"/>
      <c r="H901" s="56"/>
      <c r="I901" s="57"/>
      <c r="J901" s="56"/>
      <c r="K901" s="57"/>
      <c r="L901" s="56"/>
      <c r="M901" s="57"/>
    </row>
    <row r="902" spans="1:13" s="18" customFormat="1" ht="24.75" customHeight="1" thickBot="1">
      <c r="A902" s="99"/>
      <c r="B902" s="98"/>
      <c r="C902" s="56"/>
      <c r="D902" s="57"/>
      <c r="E902" s="56"/>
      <c r="F902" s="100"/>
      <c r="G902" s="57"/>
      <c r="H902" s="56"/>
      <c r="I902" s="57"/>
      <c r="J902" s="56"/>
      <c r="K902" s="57"/>
      <c r="L902" s="56"/>
      <c r="M902" s="57"/>
    </row>
    <row r="903" spans="1:13" ht="33" customHeight="1" thickBot="1">
      <c r="A903" s="112" t="s">
        <v>60</v>
      </c>
      <c r="B903" s="113"/>
      <c r="C903" s="113"/>
      <c r="D903" s="113"/>
      <c r="E903" s="113"/>
      <c r="F903" s="113"/>
      <c r="G903" s="113"/>
      <c r="H903" s="113"/>
      <c r="I903" s="113"/>
      <c r="J903" s="113"/>
      <c r="K903" s="113"/>
      <c r="L903" s="113"/>
      <c r="M903" s="114"/>
    </row>
    <row r="904" spans="1:13" ht="16.5" customHeight="1">
      <c r="A904" s="115" t="s">
        <v>41</v>
      </c>
      <c r="B904" s="116"/>
      <c r="C904" s="116"/>
      <c r="D904" s="116"/>
      <c r="E904" s="116"/>
      <c r="F904" s="116"/>
      <c r="G904" s="116"/>
      <c r="H904" s="116"/>
      <c r="I904" s="116"/>
      <c r="J904" s="116"/>
      <c r="K904" s="116"/>
      <c r="L904" s="116"/>
      <c r="M904" s="117"/>
    </row>
    <row r="905" spans="1:13" ht="16.5" customHeight="1">
      <c r="A905" s="90" t="s">
        <v>28</v>
      </c>
      <c r="B905" s="91"/>
      <c r="C905" s="91"/>
      <c r="D905" s="91"/>
      <c r="E905" s="91"/>
      <c r="F905" s="91"/>
      <c r="G905" s="91"/>
      <c r="H905" s="91"/>
      <c r="I905" s="91"/>
      <c r="J905" s="91"/>
      <c r="K905" s="91"/>
      <c r="L905" s="91"/>
      <c r="M905" s="92"/>
    </row>
    <row r="906" spans="1:13" ht="16.5" customHeight="1">
      <c r="A906" s="106" t="s">
        <v>42</v>
      </c>
      <c r="B906" s="107"/>
      <c r="C906" s="107"/>
      <c r="D906" s="107"/>
      <c r="E906" s="107"/>
      <c r="F906" s="107"/>
      <c r="G906" s="107"/>
      <c r="H906" s="107"/>
      <c r="I906" s="107"/>
      <c r="J906" s="107"/>
      <c r="K906" s="107"/>
      <c r="L906" s="107"/>
      <c r="M906" s="108"/>
    </row>
    <row r="907" spans="1:13" ht="16.5" customHeight="1">
      <c r="A907" s="106" t="s">
        <v>43</v>
      </c>
      <c r="B907" s="107"/>
      <c r="C907" s="107"/>
      <c r="D907" s="107"/>
      <c r="E907" s="107"/>
      <c r="F907" s="107"/>
      <c r="G907" s="107"/>
      <c r="H907" s="107"/>
      <c r="I907" s="107"/>
      <c r="J907" s="107"/>
      <c r="K907" s="107"/>
      <c r="L907" s="107"/>
      <c r="M907" s="108"/>
    </row>
    <row r="908" spans="1:13" ht="16.5" customHeight="1">
      <c r="A908" s="106" t="s">
        <v>44</v>
      </c>
      <c r="B908" s="107"/>
      <c r="C908" s="107"/>
      <c r="D908" s="107"/>
      <c r="E908" s="107"/>
      <c r="F908" s="107"/>
      <c r="G908" s="107"/>
      <c r="H908" s="107"/>
      <c r="I908" s="107"/>
      <c r="J908" s="107"/>
      <c r="K908" s="107"/>
      <c r="L908" s="107"/>
      <c r="M908" s="108"/>
    </row>
    <row r="909" spans="1:13" ht="16.5" customHeight="1">
      <c r="A909" s="106" t="s">
        <v>45</v>
      </c>
      <c r="B909" s="107"/>
      <c r="C909" s="107"/>
      <c r="D909" s="107"/>
      <c r="E909" s="107"/>
      <c r="F909" s="107"/>
      <c r="G909" s="107"/>
      <c r="H909" s="107"/>
      <c r="I909" s="107"/>
      <c r="J909" s="107"/>
      <c r="K909" s="107"/>
      <c r="L909" s="107"/>
      <c r="M909" s="108"/>
    </row>
    <row r="910" spans="1:13" ht="16.5" customHeight="1">
      <c r="A910" s="106" t="s">
        <v>29</v>
      </c>
      <c r="B910" s="107"/>
      <c r="C910" s="107"/>
      <c r="D910" s="107"/>
      <c r="E910" s="107"/>
      <c r="F910" s="107"/>
      <c r="G910" s="107"/>
      <c r="H910" s="107"/>
      <c r="I910" s="107"/>
      <c r="J910" s="107"/>
      <c r="K910" s="107"/>
      <c r="L910" s="107"/>
      <c r="M910" s="108"/>
    </row>
    <row r="911" spans="1:13" ht="9.75" customHeight="1" thickBot="1">
      <c r="A911" s="109"/>
      <c r="B911" s="110"/>
      <c r="C911" s="110"/>
      <c r="D911" s="110"/>
      <c r="E911" s="110"/>
      <c r="F911" s="110"/>
      <c r="G911" s="110"/>
      <c r="H911" s="110"/>
      <c r="I911" s="110"/>
      <c r="J911" s="110"/>
      <c r="K911" s="110"/>
      <c r="L911" s="110"/>
      <c r="M911" s="111"/>
    </row>
    <row r="912" spans="1:13" ht="18.75" customHeight="1" thickBot="1">
      <c r="A912" s="72" t="s">
        <v>30</v>
      </c>
      <c r="B912" s="73"/>
      <c r="C912" s="73"/>
      <c r="D912" s="73"/>
      <c r="E912" s="73"/>
      <c r="F912" s="73"/>
      <c r="G912" s="73"/>
      <c r="H912" s="73"/>
      <c r="I912" s="73"/>
      <c r="J912" s="73"/>
      <c r="K912" s="73"/>
      <c r="L912" s="73"/>
      <c r="M912" s="74"/>
    </row>
    <row r="913" spans="1:15" ht="24" customHeight="1" thickBot="1">
      <c r="A913" s="72" t="s">
        <v>31</v>
      </c>
      <c r="B913" s="73"/>
      <c r="C913" s="73"/>
      <c r="D913" s="73"/>
      <c r="E913" s="73"/>
      <c r="F913" s="73"/>
      <c r="G913" s="73"/>
      <c r="H913" s="73"/>
      <c r="I913" s="73"/>
      <c r="J913" s="73"/>
      <c r="K913" s="73"/>
      <c r="L913" s="73"/>
      <c r="M913" s="74"/>
    </row>
    <row r="914" spans="1:15" ht="24" customHeight="1" thickBot="1">
      <c r="A914" s="72" t="s">
        <v>176</v>
      </c>
      <c r="B914" s="73"/>
      <c r="C914" s="73"/>
      <c r="D914" s="73"/>
      <c r="E914" s="73"/>
      <c r="F914" s="73"/>
      <c r="G914" s="73"/>
      <c r="H914" s="73"/>
      <c r="I914" s="73"/>
      <c r="J914" s="73"/>
      <c r="K914" s="73"/>
      <c r="L914" s="73"/>
      <c r="M914" s="74"/>
    </row>
    <row r="915" spans="1:15" ht="24" customHeight="1" thickBot="1">
      <c r="A915" s="60" t="s">
        <v>46</v>
      </c>
      <c r="B915" s="61"/>
      <c r="C915" s="61"/>
      <c r="D915" s="61"/>
      <c r="E915" s="61"/>
      <c r="F915" s="61"/>
      <c r="G915" s="61"/>
      <c r="H915" s="61"/>
      <c r="I915" s="61"/>
      <c r="J915" s="61"/>
      <c r="K915" s="61"/>
      <c r="L915" s="61"/>
      <c r="M915" s="62"/>
    </row>
    <row r="916" spans="1:15" ht="11.1" customHeight="1">
      <c r="A916" s="103" t="s">
        <v>47</v>
      </c>
      <c r="B916" s="103"/>
      <c r="C916" s="103"/>
      <c r="D916" s="103"/>
      <c r="E916" s="103"/>
      <c r="F916" s="103"/>
      <c r="G916" s="103"/>
      <c r="H916" s="103"/>
      <c r="I916" s="103"/>
      <c r="J916" s="103"/>
      <c r="K916" s="103"/>
      <c r="L916" s="103"/>
      <c r="M916" s="103"/>
    </row>
    <row r="917" spans="1:15" ht="11.1" customHeight="1">
      <c r="A917" s="104" t="s">
        <v>48</v>
      </c>
      <c r="B917" s="104"/>
      <c r="C917" s="104"/>
      <c r="D917" s="104"/>
      <c r="E917" s="104"/>
      <c r="F917" s="104"/>
      <c r="G917" s="104"/>
      <c r="H917" s="104"/>
      <c r="I917" s="104"/>
      <c r="J917" s="104"/>
      <c r="K917" s="104"/>
      <c r="L917" s="104"/>
      <c r="M917" s="104"/>
    </row>
    <row r="918" spans="1:15" ht="11.1" customHeight="1">
      <c r="A918" s="105" t="s">
        <v>49</v>
      </c>
      <c r="B918" s="105"/>
      <c r="C918" s="105"/>
      <c r="D918" s="105"/>
      <c r="E918" s="105"/>
      <c r="F918" s="105"/>
      <c r="G918" s="105"/>
      <c r="H918" s="105"/>
      <c r="I918" s="105"/>
      <c r="J918" s="105"/>
      <c r="K918" s="105"/>
      <c r="L918" s="105"/>
      <c r="M918" s="105"/>
    </row>
    <row r="919" spans="1:15" ht="11.1" customHeight="1">
      <c r="A919" s="105" t="s">
        <v>50</v>
      </c>
      <c r="B919" s="105"/>
      <c r="C919" s="105"/>
      <c r="D919" s="105"/>
      <c r="E919" s="105"/>
      <c r="F919" s="105"/>
      <c r="G919" s="105"/>
      <c r="H919" s="105"/>
      <c r="I919" s="105"/>
      <c r="J919" s="105"/>
      <c r="K919" s="105"/>
      <c r="L919" s="105"/>
      <c r="M919" s="105"/>
    </row>
    <row r="920" spans="1:15" ht="11.1" customHeight="1">
      <c r="A920" s="104" t="s">
        <v>51</v>
      </c>
      <c r="B920" s="104"/>
      <c r="C920" s="104"/>
      <c r="D920" s="104"/>
      <c r="E920" s="104"/>
      <c r="F920" s="104"/>
      <c r="G920" s="104"/>
      <c r="H920" s="104"/>
      <c r="I920" s="104"/>
      <c r="J920" s="104"/>
      <c r="K920" s="104"/>
      <c r="L920" s="104"/>
      <c r="M920" s="104"/>
    </row>
    <row r="921" spans="1:15" ht="11.1" customHeight="1">
      <c r="A921" s="104" t="s">
        <v>52</v>
      </c>
      <c r="B921" s="104"/>
      <c r="C921" s="104"/>
      <c r="D921" s="104"/>
      <c r="E921" s="104"/>
      <c r="F921" s="104"/>
      <c r="G921" s="104"/>
      <c r="H921" s="104"/>
      <c r="I921" s="104"/>
      <c r="J921" s="104"/>
      <c r="K921" s="104"/>
      <c r="L921" s="104"/>
      <c r="M921" s="104"/>
    </row>
    <row r="922" spans="1:15" ht="11.1" customHeight="1">
      <c r="A922" s="104" t="s">
        <v>53</v>
      </c>
      <c r="B922" s="104"/>
      <c r="C922" s="104"/>
      <c r="D922" s="104"/>
      <c r="E922" s="104"/>
      <c r="F922" s="104"/>
      <c r="G922" s="104"/>
      <c r="H922" s="104"/>
      <c r="I922" s="104"/>
      <c r="J922" s="104"/>
      <c r="K922" s="104"/>
      <c r="L922" s="104"/>
      <c r="M922" s="104"/>
    </row>
    <row r="923" spans="1:15" ht="11.1" customHeight="1">
      <c r="A923" s="101" t="s">
        <v>54</v>
      </c>
      <c r="B923" s="101"/>
      <c r="C923" s="101"/>
      <c r="D923" s="101"/>
      <c r="E923" s="101"/>
      <c r="F923" s="101"/>
      <c r="G923" s="101"/>
      <c r="H923" s="101"/>
      <c r="I923" s="101"/>
      <c r="J923" s="101"/>
      <c r="K923" s="101"/>
      <c r="L923" s="101"/>
      <c r="M923" s="101"/>
    </row>
    <row r="924" spans="1:15" ht="11.1" customHeight="1">
      <c r="A924" s="101" t="s">
        <v>55</v>
      </c>
      <c r="B924" s="101"/>
      <c r="C924" s="101"/>
      <c r="D924" s="101"/>
      <c r="E924" s="101"/>
      <c r="F924" s="101"/>
      <c r="G924" s="101"/>
      <c r="H924" s="101"/>
      <c r="I924" s="101"/>
      <c r="J924" s="101"/>
      <c r="K924" s="101"/>
      <c r="L924" s="101"/>
      <c r="M924" s="101"/>
    </row>
    <row r="925" spans="1:15" ht="19.5" customHeight="1">
      <c r="A925" s="69" t="s">
        <v>0</v>
      </c>
      <c r="B925" s="69"/>
      <c r="C925" s="69"/>
      <c r="D925" s="69"/>
      <c r="E925" s="69"/>
      <c r="F925" s="69"/>
      <c r="G925" s="69"/>
      <c r="H925" s="69"/>
      <c r="I925" s="69"/>
      <c r="J925" s="69"/>
      <c r="K925" s="69"/>
      <c r="L925" s="69"/>
      <c r="M925" s="69"/>
    </row>
    <row r="926" spans="1:15" ht="20.100000000000001" customHeight="1">
      <c r="A926" s="4" t="s">
        <v>32</v>
      </c>
      <c r="B926" s="5">
        <f>+B882+1</f>
        <v>87</v>
      </c>
      <c r="C926" s="35"/>
      <c r="D926" s="35"/>
      <c r="E926" s="35"/>
      <c r="F926" s="35"/>
      <c r="G926" s="35"/>
      <c r="H926" s="35"/>
      <c r="I926" s="35"/>
      <c r="J926" s="35"/>
      <c r="K926" s="35"/>
      <c r="L926" s="35"/>
      <c r="M926" s="35"/>
    </row>
    <row r="927" spans="1:15" ht="24" customHeight="1" thickBot="1">
      <c r="A927" s="4" t="s">
        <v>33</v>
      </c>
      <c r="H927" s="70" t="s">
        <v>34</v>
      </c>
      <c r="I927" s="70"/>
      <c r="J927" s="70"/>
      <c r="K927" s="102">
        <f>+K883+1</f>
        <v>46013</v>
      </c>
      <c r="L927" s="102"/>
      <c r="M927" s="102"/>
      <c r="O927" s="7"/>
    </row>
    <row r="928" spans="1:15" ht="33.75" customHeight="1" thickBot="1">
      <c r="A928" s="80" t="s">
        <v>1</v>
      </c>
      <c r="B928" s="81"/>
      <c r="C928" s="82"/>
      <c r="D928" s="86" t="str">
        <f>+D884</f>
        <v>光明國中B與C區5樓老舊廁所整修工程</v>
      </c>
      <c r="E928" s="87"/>
      <c r="F928" s="87"/>
      <c r="G928" s="88"/>
      <c r="H928" s="80" t="s">
        <v>2</v>
      </c>
      <c r="I928" s="81"/>
      <c r="J928" s="82"/>
      <c r="K928" s="80" t="s">
        <v>35</v>
      </c>
      <c r="L928" s="81"/>
      <c r="M928" s="82"/>
    </row>
    <row r="929" spans="1:13" ht="33.75" customHeight="1" thickBot="1">
      <c r="A929" s="8" t="s">
        <v>3</v>
      </c>
      <c r="B929" s="36">
        <f>+B885</f>
        <v>145</v>
      </c>
      <c r="C929" s="10" t="s">
        <v>36</v>
      </c>
      <c r="D929" s="80" t="s">
        <v>4</v>
      </c>
      <c r="E929" s="89"/>
      <c r="F929" s="37">
        <f>+F885+1</f>
        <v>87</v>
      </c>
      <c r="G929" s="12" t="s">
        <v>36</v>
      </c>
      <c r="H929" s="13" t="s">
        <v>5</v>
      </c>
      <c r="I929" s="36">
        <f>+B929-F929</f>
        <v>58</v>
      </c>
      <c r="J929" s="10" t="s">
        <v>36</v>
      </c>
      <c r="K929" s="80" t="s">
        <v>6</v>
      </c>
      <c r="L929" s="82"/>
      <c r="M929" s="13">
        <f>+M885</f>
        <v>15</v>
      </c>
    </row>
    <row r="930" spans="1:13" ht="24" customHeight="1" thickBot="1">
      <c r="A930" s="80" t="s">
        <v>7</v>
      </c>
      <c r="B930" s="81"/>
      <c r="C930" s="82"/>
      <c r="D930" s="80" t="str">
        <f>+D886</f>
        <v>114.9.27</v>
      </c>
      <c r="E930" s="81"/>
      <c r="F930" s="81"/>
      <c r="G930" s="82"/>
      <c r="H930" s="80" t="s">
        <v>8</v>
      </c>
      <c r="I930" s="81"/>
      <c r="J930" s="82"/>
      <c r="K930" s="80" t="str">
        <f>+K886</f>
        <v>115.2.18</v>
      </c>
      <c r="L930" s="81"/>
      <c r="M930" s="82"/>
    </row>
    <row r="931" spans="1:13" ht="24" customHeight="1" thickBot="1">
      <c r="A931" s="80" t="s">
        <v>37</v>
      </c>
      <c r="B931" s="81"/>
      <c r="C931" s="82"/>
      <c r="D931" s="83">
        <v>0.43</v>
      </c>
      <c r="E931" s="84"/>
      <c r="F931" s="84"/>
      <c r="G931" s="85"/>
      <c r="H931" s="80" t="s">
        <v>38</v>
      </c>
      <c r="I931" s="81"/>
      <c r="J931" s="82"/>
      <c r="K931" s="83">
        <f>+K887</f>
        <v>0.55600000000000027</v>
      </c>
      <c r="L931" s="84"/>
      <c r="M931" s="85"/>
    </row>
    <row r="932" spans="1:13" ht="24" customHeight="1" thickBot="1">
      <c r="A932" s="72" t="s">
        <v>9</v>
      </c>
      <c r="B932" s="73"/>
      <c r="C932" s="73"/>
      <c r="D932" s="73"/>
      <c r="E932" s="73"/>
      <c r="F932" s="73"/>
      <c r="G932" s="73"/>
      <c r="H932" s="73"/>
      <c r="I932" s="73"/>
      <c r="J932" s="73"/>
      <c r="K932" s="73"/>
      <c r="L932" s="73"/>
      <c r="M932" s="74"/>
    </row>
    <row r="933" spans="1:13" ht="35.25" customHeight="1" thickBot="1">
      <c r="A933" s="75" t="s">
        <v>10</v>
      </c>
      <c r="B933" s="76"/>
      <c r="C933" s="76"/>
      <c r="D933" s="77"/>
      <c r="E933" s="14" t="s">
        <v>11</v>
      </c>
      <c r="F933" s="75" t="s">
        <v>12</v>
      </c>
      <c r="G933" s="77"/>
      <c r="H933" s="75" t="s">
        <v>13</v>
      </c>
      <c r="I933" s="77"/>
      <c r="J933" s="78" t="s">
        <v>14</v>
      </c>
      <c r="K933" s="79"/>
      <c r="L933" s="75" t="s">
        <v>15</v>
      </c>
      <c r="M933" s="77"/>
    </row>
    <row r="934" spans="1:13" ht="27.95" customHeight="1" thickBot="1">
      <c r="A934" s="141"/>
      <c r="B934" s="142"/>
      <c r="C934" s="142"/>
      <c r="D934" s="143"/>
      <c r="E934" s="2"/>
      <c r="F934" s="56"/>
      <c r="G934" s="57"/>
      <c r="H934" s="56"/>
      <c r="I934" s="57"/>
      <c r="J934" s="56"/>
      <c r="K934" s="57"/>
      <c r="L934" s="58"/>
      <c r="M934" s="59"/>
    </row>
    <row r="935" spans="1:13" ht="27.95" customHeight="1" thickBot="1">
      <c r="A935" s="141"/>
      <c r="B935" s="142"/>
      <c r="C935" s="142"/>
      <c r="D935" s="143"/>
      <c r="E935" s="15"/>
      <c r="F935" s="56"/>
      <c r="G935" s="57"/>
      <c r="H935" s="56"/>
      <c r="I935" s="57"/>
      <c r="J935" s="56"/>
      <c r="K935" s="57"/>
      <c r="L935" s="58"/>
      <c r="M935" s="59"/>
    </row>
    <row r="936" spans="1:13" ht="24.95" customHeight="1" thickTop="1" thickBot="1">
      <c r="A936" s="130" t="s">
        <v>16</v>
      </c>
      <c r="B936" s="67"/>
      <c r="C936" s="67"/>
      <c r="D936" s="68"/>
      <c r="E936" s="38"/>
      <c r="F936" s="131"/>
      <c r="G936" s="132"/>
      <c r="H936" s="131"/>
      <c r="I936" s="132"/>
      <c r="J936" s="131"/>
      <c r="K936" s="132"/>
      <c r="L936" s="131"/>
      <c r="M936" s="133"/>
    </row>
    <row r="937" spans="1:13" ht="24.95" customHeight="1" thickBot="1">
      <c r="A937" s="134" t="s">
        <v>17</v>
      </c>
      <c r="B937" s="135"/>
      <c r="C937" s="135"/>
      <c r="D937" s="59"/>
      <c r="E937" s="38"/>
      <c r="F937" s="58"/>
      <c r="G937" s="59"/>
      <c r="H937" s="58"/>
      <c r="I937" s="59"/>
      <c r="J937" s="58"/>
      <c r="K937" s="59"/>
      <c r="L937" s="58"/>
      <c r="M937" s="136"/>
    </row>
    <row r="938" spans="1:13" ht="24.95" customHeight="1" thickBot="1">
      <c r="A938" s="118" t="s">
        <v>18</v>
      </c>
      <c r="B938" s="119"/>
      <c r="C938" s="119"/>
      <c r="D938" s="120"/>
      <c r="E938" s="24"/>
      <c r="F938" s="121"/>
      <c r="G938" s="120"/>
      <c r="H938" s="121"/>
      <c r="I938" s="120"/>
      <c r="J938" s="121"/>
      <c r="K938" s="120"/>
      <c r="L938" s="121"/>
      <c r="M938" s="122"/>
    </row>
    <row r="939" spans="1:13" ht="24" customHeight="1" thickTop="1" thickBot="1">
      <c r="A939" s="66" t="s">
        <v>19</v>
      </c>
      <c r="B939" s="67"/>
      <c r="C939" s="67"/>
      <c r="D939" s="67"/>
      <c r="E939" s="67"/>
      <c r="F939" s="67"/>
      <c r="G939" s="67"/>
      <c r="H939" s="67"/>
      <c r="I939" s="67"/>
      <c r="J939" s="67"/>
      <c r="K939" s="67"/>
      <c r="L939" s="67"/>
      <c r="M939" s="68"/>
    </row>
    <row r="940" spans="1:13" ht="35.25" customHeight="1" thickBot="1">
      <c r="A940" s="75" t="s">
        <v>20</v>
      </c>
      <c r="B940" s="76"/>
      <c r="C940" s="76"/>
      <c r="D940" s="77"/>
      <c r="E940" s="14" t="s">
        <v>11</v>
      </c>
      <c r="F940" s="75" t="s">
        <v>39</v>
      </c>
      <c r="G940" s="77"/>
      <c r="H940" s="75" t="s">
        <v>21</v>
      </c>
      <c r="I940" s="77"/>
      <c r="J940" s="78" t="s">
        <v>22</v>
      </c>
      <c r="K940" s="79"/>
      <c r="L940" s="75" t="s">
        <v>15</v>
      </c>
      <c r="M940" s="77"/>
    </row>
    <row r="941" spans="1:13" ht="24" customHeight="1" thickBot="1">
      <c r="A941" s="96"/>
      <c r="B941" s="97"/>
      <c r="C941" s="97"/>
      <c r="D941" s="98"/>
      <c r="E941" s="38"/>
      <c r="F941" s="58"/>
      <c r="G941" s="59"/>
      <c r="H941" s="58"/>
      <c r="I941" s="59"/>
      <c r="J941" s="56"/>
      <c r="K941" s="57"/>
      <c r="L941" s="58"/>
      <c r="M941" s="59"/>
    </row>
    <row r="942" spans="1:13" ht="24" customHeight="1" thickBot="1">
      <c r="A942" s="96"/>
      <c r="B942" s="97"/>
      <c r="C942" s="97"/>
      <c r="D942" s="98"/>
      <c r="E942" s="38"/>
      <c r="F942" s="58"/>
      <c r="G942" s="59"/>
      <c r="H942" s="58"/>
      <c r="I942" s="59"/>
      <c r="J942" s="56"/>
      <c r="K942" s="57"/>
      <c r="L942" s="58"/>
      <c r="M942" s="59"/>
    </row>
    <row r="943" spans="1:13" ht="24" customHeight="1" thickBot="1">
      <c r="A943" s="60" t="s">
        <v>23</v>
      </c>
      <c r="B943" s="61"/>
      <c r="C943" s="61"/>
      <c r="D943" s="61"/>
      <c r="E943" s="61"/>
      <c r="F943" s="61"/>
      <c r="G943" s="61"/>
      <c r="H943" s="61"/>
      <c r="I943" s="61"/>
      <c r="J943" s="61"/>
      <c r="K943" s="61"/>
      <c r="L943" s="61"/>
      <c r="M943" s="62"/>
    </row>
    <row r="944" spans="1:13" ht="35.25" customHeight="1" thickBot="1">
      <c r="A944" s="75" t="s">
        <v>24</v>
      </c>
      <c r="B944" s="77"/>
      <c r="C944" s="75" t="s">
        <v>25</v>
      </c>
      <c r="D944" s="77"/>
      <c r="E944" s="75" t="s">
        <v>26</v>
      </c>
      <c r="F944" s="76"/>
      <c r="G944" s="77"/>
      <c r="H944" s="75" t="s">
        <v>27</v>
      </c>
      <c r="I944" s="77"/>
      <c r="J944" s="78" t="s">
        <v>21</v>
      </c>
      <c r="K944" s="79"/>
      <c r="L944" s="75" t="s">
        <v>22</v>
      </c>
      <c r="M944" s="77"/>
    </row>
    <row r="945" spans="1:13" s="18" customFormat="1" ht="24.75" customHeight="1" thickBot="1">
      <c r="A945" s="99"/>
      <c r="B945" s="98"/>
      <c r="C945" s="56"/>
      <c r="D945" s="57"/>
      <c r="E945" s="56"/>
      <c r="F945" s="100"/>
      <c r="G945" s="57"/>
      <c r="H945" s="56"/>
      <c r="I945" s="57"/>
      <c r="J945" s="56"/>
      <c r="K945" s="57"/>
      <c r="L945" s="56"/>
      <c r="M945" s="57"/>
    </row>
    <row r="946" spans="1:13" s="18" customFormat="1" ht="24.75" customHeight="1" thickBot="1">
      <c r="A946" s="99"/>
      <c r="B946" s="98"/>
      <c r="C946" s="56"/>
      <c r="D946" s="57"/>
      <c r="E946" s="56"/>
      <c r="F946" s="100"/>
      <c r="G946" s="57"/>
      <c r="H946" s="56"/>
      <c r="I946" s="57"/>
      <c r="J946" s="56"/>
      <c r="K946" s="57"/>
      <c r="L946" s="56"/>
      <c r="M946" s="57"/>
    </row>
    <row r="947" spans="1:13" ht="33" customHeight="1" thickBot="1">
      <c r="A947" s="112" t="s">
        <v>60</v>
      </c>
      <c r="B947" s="113"/>
      <c r="C947" s="113"/>
      <c r="D947" s="113"/>
      <c r="E947" s="113"/>
      <c r="F947" s="113"/>
      <c r="G947" s="113"/>
      <c r="H947" s="113"/>
      <c r="I947" s="113"/>
      <c r="J947" s="113"/>
      <c r="K947" s="113"/>
      <c r="L947" s="113"/>
      <c r="M947" s="114"/>
    </row>
    <row r="948" spans="1:13" ht="16.5" customHeight="1">
      <c r="A948" s="115" t="s">
        <v>41</v>
      </c>
      <c r="B948" s="116"/>
      <c r="C948" s="116"/>
      <c r="D948" s="116"/>
      <c r="E948" s="116"/>
      <c r="F948" s="116"/>
      <c r="G948" s="116"/>
      <c r="H948" s="116"/>
      <c r="I948" s="116"/>
      <c r="J948" s="116"/>
      <c r="K948" s="116"/>
      <c r="L948" s="116"/>
      <c r="M948" s="117"/>
    </row>
    <row r="949" spans="1:13" ht="16.5" customHeight="1">
      <c r="A949" s="90" t="s">
        <v>28</v>
      </c>
      <c r="B949" s="91"/>
      <c r="C949" s="91"/>
      <c r="D949" s="91"/>
      <c r="E949" s="91"/>
      <c r="F949" s="91"/>
      <c r="G949" s="91"/>
      <c r="H949" s="91"/>
      <c r="I949" s="91"/>
      <c r="J949" s="91"/>
      <c r="K949" s="91"/>
      <c r="L949" s="91"/>
      <c r="M949" s="92"/>
    </row>
    <row r="950" spans="1:13" ht="16.5" customHeight="1">
      <c r="A950" s="106" t="s">
        <v>42</v>
      </c>
      <c r="B950" s="107"/>
      <c r="C950" s="107"/>
      <c r="D950" s="107"/>
      <c r="E950" s="107"/>
      <c r="F950" s="107"/>
      <c r="G950" s="107"/>
      <c r="H950" s="107"/>
      <c r="I950" s="107"/>
      <c r="J950" s="107"/>
      <c r="K950" s="107"/>
      <c r="L950" s="107"/>
      <c r="M950" s="108"/>
    </row>
    <row r="951" spans="1:13" ht="16.5" customHeight="1">
      <c r="A951" s="106" t="s">
        <v>43</v>
      </c>
      <c r="B951" s="107"/>
      <c r="C951" s="107"/>
      <c r="D951" s="107"/>
      <c r="E951" s="107"/>
      <c r="F951" s="107"/>
      <c r="G951" s="107"/>
      <c r="H951" s="107"/>
      <c r="I951" s="107"/>
      <c r="J951" s="107"/>
      <c r="K951" s="107"/>
      <c r="L951" s="107"/>
      <c r="M951" s="108"/>
    </row>
    <row r="952" spans="1:13" ht="16.5" customHeight="1">
      <c r="A952" s="106" t="s">
        <v>44</v>
      </c>
      <c r="B952" s="107"/>
      <c r="C952" s="107"/>
      <c r="D952" s="107"/>
      <c r="E952" s="107"/>
      <c r="F952" s="107"/>
      <c r="G952" s="107"/>
      <c r="H952" s="107"/>
      <c r="I952" s="107"/>
      <c r="J952" s="107"/>
      <c r="K952" s="107"/>
      <c r="L952" s="107"/>
      <c r="M952" s="108"/>
    </row>
    <row r="953" spans="1:13" ht="16.5" customHeight="1">
      <c r="A953" s="106" t="s">
        <v>45</v>
      </c>
      <c r="B953" s="107"/>
      <c r="C953" s="107"/>
      <c r="D953" s="107"/>
      <c r="E953" s="107"/>
      <c r="F953" s="107"/>
      <c r="G953" s="107"/>
      <c r="H953" s="107"/>
      <c r="I953" s="107"/>
      <c r="J953" s="107"/>
      <c r="K953" s="107"/>
      <c r="L953" s="107"/>
      <c r="M953" s="108"/>
    </row>
    <row r="954" spans="1:13" ht="16.5" customHeight="1">
      <c r="A954" s="106" t="s">
        <v>29</v>
      </c>
      <c r="B954" s="107"/>
      <c r="C954" s="107"/>
      <c r="D954" s="107"/>
      <c r="E954" s="107"/>
      <c r="F954" s="107"/>
      <c r="G954" s="107"/>
      <c r="H954" s="107"/>
      <c r="I954" s="107"/>
      <c r="J954" s="107"/>
      <c r="K954" s="107"/>
      <c r="L954" s="107"/>
      <c r="M954" s="108"/>
    </row>
    <row r="955" spans="1:13" ht="9.75" customHeight="1" thickBot="1">
      <c r="A955" s="109"/>
      <c r="B955" s="110"/>
      <c r="C955" s="110"/>
      <c r="D955" s="110"/>
      <c r="E955" s="110"/>
      <c r="F955" s="110"/>
      <c r="G955" s="110"/>
      <c r="H955" s="110"/>
      <c r="I955" s="110"/>
      <c r="J955" s="110"/>
      <c r="K955" s="110"/>
      <c r="L955" s="110"/>
      <c r="M955" s="111"/>
    </row>
    <row r="956" spans="1:13" ht="18.75" customHeight="1" thickBot="1">
      <c r="A956" s="72" t="s">
        <v>30</v>
      </c>
      <c r="B956" s="73"/>
      <c r="C956" s="73"/>
      <c r="D956" s="73"/>
      <c r="E956" s="73"/>
      <c r="F956" s="73"/>
      <c r="G956" s="73"/>
      <c r="H956" s="73"/>
      <c r="I956" s="73"/>
      <c r="J956" s="73"/>
      <c r="K956" s="73"/>
      <c r="L956" s="73"/>
      <c r="M956" s="74"/>
    </row>
    <row r="957" spans="1:13" ht="24" customHeight="1" thickBot="1">
      <c r="A957" s="72" t="s">
        <v>31</v>
      </c>
      <c r="B957" s="73"/>
      <c r="C957" s="73"/>
      <c r="D957" s="73"/>
      <c r="E957" s="73"/>
      <c r="F957" s="73"/>
      <c r="G957" s="73"/>
      <c r="H957" s="73"/>
      <c r="I957" s="73"/>
      <c r="J957" s="73"/>
      <c r="K957" s="73"/>
      <c r="L957" s="73"/>
      <c r="M957" s="74"/>
    </row>
    <row r="958" spans="1:13" ht="24" customHeight="1" thickBot="1">
      <c r="A958" s="72" t="s">
        <v>176</v>
      </c>
      <c r="B958" s="73"/>
      <c r="C958" s="73"/>
      <c r="D958" s="73"/>
      <c r="E958" s="73"/>
      <c r="F958" s="73"/>
      <c r="G958" s="73"/>
      <c r="H958" s="73"/>
      <c r="I958" s="73"/>
      <c r="J958" s="73"/>
      <c r="K958" s="73"/>
      <c r="L958" s="73"/>
      <c r="M958" s="74"/>
    </row>
    <row r="959" spans="1:13" ht="24" customHeight="1" thickBot="1">
      <c r="A959" s="60" t="s">
        <v>46</v>
      </c>
      <c r="B959" s="61"/>
      <c r="C959" s="61"/>
      <c r="D959" s="61"/>
      <c r="E959" s="61"/>
      <c r="F959" s="61"/>
      <c r="G959" s="61"/>
      <c r="H959" s="61"/>
      <c r="I959" s="61"/>
      <c r="J959" s="61"/>
      <c r="K959" s="61"/>
      <c r="L959" s="61"/>
      <c r="M959" s="62"/>
    </row>
    <row r="960" spans="1:13" ht="11.1" customHeight="1">
      <c r="A960" s="103" t="s">
        <v>47</v>
      </c>
      <c r="B960" s="103"/>
      <c r="C960" s="103"/>
      <c r="D960" s="103"/>
      <c r="E960" s="103"/>
      <c r="F960" s="103"/>
      <c r="G960" s="103"/>
      <c r="H960" s="103"/>
      <c r="I960" s="103"/>
      <c r="J960" s="103"/>
      <c r="K960" s="103"/>
      <c r="L960" s="103"/>
      <c r="M960" s="103"/>
    </row>
    <row r="961" spans="1:15" ht="11.1" customHeight="1">
      <c r="A961" s="104" t="s">
        <v>48</v>
      </c>
      <c r="B961" s="104"/>
      <c r="C961" s="104"/>
      <c r="D961" s="104"/>
      <c r="E961" s="104"/>
      <c r="F961" s="104"/>
      <c r="G961" s="104"/>
      <c r="H961" s="104"/>
      <c r="I961" s="104"/>
      <c r="J961" s="104"/>
      <c r="K961" s="104"/>
      <c r="L961" s="104"/>
      <c r="M961" s="104"/>
    </row>
    <row r="962" spans="1:15" ht="11.1" customHeight="1">
      <c r="A962" s="105" t="s">
        <v>49</v>
      </c>
      <c r="B962" s="105"/>
      <c r="C962" s="105"/>
      <c r="D962" s="105"/>
      <c r="E962" s="105"/>
      <c r="F962" s="105"/>
      <c r="G962" s="105"/>
      <c r="H962" s="105"/>
      <c r="I962" s="105"/>
      <c r="J962" s="105"/>
      <c r="K962" s="105"/>
      <c r="L962" s="105"/>
      <c r="M962" s="105"/>
    </row>
    <row r="963" spans="1:15" ht="11.1" customHeight="1">
      <c r="A963" s="105" t="s">
        <v>50</v>
      </c>
      <c r="B963" s="105"/>
      <c r="C963" s="105"/>
      <c r="D963" s="105"/>
      <c r="E963" s="105"/>
      <c r="F963" s="105"/>
      <c r="G963" s="105"/>
      <c r="H963" s="105"/>
      <c r="I963" s="105"/>
      <c r="J963" s="105"/>
      <c r="K963" s="105"/>
      <c r="L963" s="105"/>
      <c r="M963" s="105"/>
    </row>
    <row r="964" spans="1:15" ht="11.1" customHeight="1">
      <c r="A964" s="104" t="s">
        <v>51</v>
      </c>
      <c r="B964" s="104"/>
      <c r="C964" s="104"/>
      <c r="D964" s="104"/>
      <c r="E964" s="104"/>
      <c r="F964" s="104"/>
      <c r="G964" s="104"/>
      <c r="H964" s="104"/>
      <c r="I964" s="104"/>
      <c r="J964" s="104"/>
      <c r="K964" s="104"/>
      <c r="L964" s="104"/>
      <c r="M964" s="104"/>
    </row>
    <row r="965" spans="1:15" ht="11.1" customHeight="1">
      <c r="A965" s="104" t="s">
        <v>52</v>
      </c>
      <c r="B965" s="104"/>
      <c r="C965" s="104"/>
      <c r="D965" s="104"/>
      <c r="E965" s="104"/>
      <c r="F965" s="104"/>
      <c r="G965" s="104"/>
      <c r="H965" s="104"/>
      <c r="I965" s="104"/>
      <c r="J965" s="104"/>
      <c r="K965" s="104"/>
      <c r="L965" s="104"/>
      <c r="M965" s="104"/>
    </row>
    <row r="966" spans="1:15" ht="11.1" customHeight="1">
      <c r="A966" s="104" t="s">
        <v>53</v>
      </c>
      <c r="B966" s="104"/>
      <c r="C966" s="104"/>
      <c r="D966" s="104"/>
      <c r="E966" s="104"/>
      <c r="F966" s="104"/>
      <c r="G966" s="104"/>
      <c r="H966" s="104"/>
      <c r="I966" s="104"/>
      <c r="J966" s="104"/>
      <c r="K966" s="104"/>
      <c r="L966" s="104"/>
      <c r="M966" s="104"/>
    </row>
    <row r="967" spans="1:15" ht="11.1" customHeight="1">
      <c r="A967" s="101" t="s">
        <v>54</v>
      </c>
      <c r="B967" s="101"/>
      <c r="C967" s="101"/>
      <c r="D967" s="101"/>
      <c r="E967" s="101"/>
      <c r="F967" s="101"/>
      <c r="G967" s="101"/>
      <c r="H967" s="101"/>
      <c r="I967" s="101"/>
      <c r="J967" s="101"/>
      <c r="K967" s="101"/>
      <c r="L967" s="101"/>
      <c r="M967" s="101"/>
    </row>
    <row r="968" spans="1:15" ht="11.1" customHeight="1">
      <c r="A968" s="101" t="s">
        <v>55</v>
      </c>
      <c r="B968" s="101"/>
      <c r="C968" s="101"/>
      <c r="D968" s="101"/>
      <c r="E968" s="101"/>
      <c r="F968" s="101"/>
      <c r="G968" s="101"/>
      <c r="H968" s="101"/>
      <c r="I968" s="101"/>
      <c r="J968" s="101"/>
      <c r="K968" s="101"/>
      <c r="L968" s="101"/>
      <c r="M968" s="101"/>
    </row>
    <row r="969" spans="1:15" ht="19.5" customHeight="1">
      <c r="A969" s="69" t="s">
        <v>0</v>
      </c>
      <c r="B969" s="69"/>
      <c r="C969" s="69"/>
      <c r="D969" s="69"/>
      <c r="E969" s="69"/>
      <c r="F969" s="69"/>
      <c r="G969" s="69"/>
      <c r="H969" s="69"/>
      <c r="I969" s="69"/>
      <c r="J969" s="69"/>
      <c r="K969" s="69"/>
      <c r="L969" s="69"/>
      <c r="M969" s="69"/>
    </row>
    <row r="970" spans="1:15" ht="20.100000000000001" customHeight="1">
      <c r="A970" s="4" t="s">
        <v>32</v>
      </c>
      <c r="B970" s="5">
        <f>+B926+1</f>
        <v>88</v>
      </c>
      <c r="C970" s="35"/>
      <c r="D970" s="35"/>
      <c r="E970" s="35"/>
      <c r="F970" s="35"/>
      <c r="G970" s="35"/>
      <c r="H970" s="35"/>
      <c r="I970" s="35"/>
      <c r="J970" s="35"/>
      <c r="K970" s="35"/>
      <c r="L970" s="35"/>
      <c r="M970" s="35"/>
    </row>
    <row r="971" spans="1:15" ht="24" customHeight="1" thickBot="1">
      <c r="A971" s="4" t="s">
        <v>33</v>
      </c>
      <c r="H971" s="70" t="s">
        <v>34</v>
      </c>
      <c r="I971" s="70"/>
      <c r="J971" s="70"/>
      <c r="K971" s="102">
        <f>+K927+1</f>
        <v>46014</v>
      </c>
      <c r="L971" s="102"/>
      <c r="M971" s="102"/>
      <c r="O971" s="7"/>
    </row>
    <row r="972" spans="1:15" ht="33.75" customHeight="1" thickBot="1">
      <c r="A972" s="80" t="s">
        <v>1</v>
      </c>
      <c r="B972" s="81"/>
      <c r="C972" s="82"/>
      <c r="D972" s="86" t="str">
        <f>+D928</f>
        <v>光明國中B與C區5樓老舊廁所整修工程</v>
      </c>
      <c r="E972" s="87"/>
      <c r="F972" s="87"/>
      <c r="G972" s="88"/>
      <c r="H972" s="80" t="s">
        <v>2</v>
      </c>
      <c r="I972" s="81"/>
      <c r="J972" s="82"/>
      <c r="K972" s="80" t="s">
        <v>35</v>
      </c>
      <c r="L972" s="81"/>
      <c r="M972" s="82"/>
    </row>
    <row r="973" spans="1:15" ht="33.75" customHeight="1" thickBot="1">
      <c r="A973" s="8" t="s">
        <v>3</v>
      </c>
      <c r="B973" s="36">
        <f>+B929</f>
        <v>145</v>
      </c>
      <c r="C973" s="10" t="s">
        <v>36</v>
      </c>
      <c r="D973" s="80" t="s">
        <v>4</v>
      </c>
      <c r="E973" s="89"/>
      <c r="F973" s="37">
        <f>+F929+1</f>
        <v>88</v>
      </c>
      <c r="G973" s="12" t="s">
        <v>36</v>
      </c>
      <c r="H973" s="13" t="s">
        <v>5</v>
      </c>
      <c r="I973" s="36">
        <f>+B973-F973</f>
        <v>57</v>
      </c>
      <c r="J973" s="10" t="s">
        <v>36</v>
      </c>
      <c r="K973" s="80" t="s">
        <v>6</v>
      </c>
      <c r="L973" s="82"/>
      <c r="M973" s="13">
        <f>+M929</f>
        <v>15</v>
      </c>
    </row>
    <row r="974" spans="1:15" ht="24" customHeight="1" thickBot="1">
      <c r="A974" s="80" t="s">
        <v>7</v>
      </c>
      <c r="B974" s="81"/>
      <c r="C974" s="82"/>
      <c r="D974" s="80" t="str">
        <f>+D930</f>
        <v>114.9.27</v>
      </c>
      <c r="E974" s="81"/>
      <c r="F974" s="81"/>
      <c r="G974" s="82"/>
      <c r="H974" s="80" t="s">
        <v>8</v>
      </c>
      <c r="I974" s="81"/>
      <c r="J974" s="82"/>
      <c r="K974" s="80" t="str">
        <f>+K930</f>
        <v>115.2.18</v>
      </c>
      <c r="L974" s="81"/>
      <c r="M974" s="82"/>
    </row>
    <row r="975" spans="1:15" ht="24" customHeight="1" thickBot="1">
      <c r="A975" s="80" t="s">
        <v>37</v>
      </c>
      <c r="B975" s="81"/>
      <c r="C975" s="82"/>
      <c r="D975" s="83">
        <v>0.44</v>
      </c>
      <c r="E975" s="84"/>
      <c r="F975" s="84"/>
      <c r="G975" s="85"/>
      <c r="H975" s="80" t="s">
        <v>38</v>
      </c>
      <c r="I975" s="81"/>
      <c r="J975" s="82"/>
      <c r="K975" s="83">
        <f>+K931</f>
        <v>0.55600000000000027</v>
      </c>
      <c r="L975" s="84"/>
      <c r="M975" s="85"/>
    </row>
    <row r="976" spans="1:15" ht="24" customHeight="1" thickBot="1">
      <c r="A976" s="72" t="s">
        <v>9</v>
      </c>
      <c r="B976" s="73"/>
      <c r="C976" s="73"/>
      <c r="D976" s="73"/>
      <c r="E976" s="73"/>
      <c r="F976" s="73"/>
      <c r="G976" s="73"/>
      <c r="H976" s="73"/>
      <c r="I976" s="73"/>
      <c r="J976" s="73"/>
      <c r="K976" s="73"/>
      <c r="L976" s="73"/>
      <c r="M976" s="74"/>
    </row>
    <row r="977" spans="1:13" ht="35.25" customHeight="1" thickBot="1">
      <c r="A977" s="75" t="s">
        <v>10</v>
      </c>
      <c r="B977" s="76"/>
      <c r="C977" s="76"/>
      <c r="D977" s="77"/>
      <c r="E977" s="14" t="s">
        <v>11</v>
      </c>
      <c r="F977" s="75" t="s">
        <v>12</v>
      </c>
      <c r="G977" s="77"/>
      <c r="H977" s="75" t="s">
        <v>13</v>
      </c>
      <c r="I977" s="77"/>
      <c r="J977" s="78" t="s">
        <v>14</v>
      </c>
      <c r="K977" s="79"/>
      <c r="L977" s="75" t="s">
        <v>15</v>
      </c>
      <c r="M977" s="77"/>
    </row>
    <row r="978" spans="1:13" ht="27.95" customHeight="1" thickBot="1">
      <c r="A978" s="141"/>
      <c r="B978" s="142"/>
      <c r="C978" s="142"/>
      <c r="D978" s="143"/>
      <c r="E978" s="2"/>
      <c r="F978" s="56"/>
      <c r="G978" s="57"/>
      <c r="H978" s="56"/>
      <c r="I978" s="57"/>
      <c r="J978" s="56"/>
      <c r="K978" s="57"/>
      <c r="L978" s="58"/>
      <c r="M978" s="59"/>
    </row>
    <row r="979" spans="1:13" ht="27.95" customHeight="1" thickBot="1">
      <c r="A979" s="141"/>
      <c r="B979" s="142"/>
      <c r="C979" s="142"/>
      <c r="D979" s="143"/>
      <c r="E979" s="15"/>
      <c r="F979" s="56"/>
      <c r="G979" s="57"/>
      <c r="H979" s="56"/>
      <c r="I979" s="57"/>
      <c r="J979" s="56"/>
      <c r="K979" s="57"/>
      <c r="L979" s="58"/>
      <c r="M979" s="59"/>
    </row>
    <row r="980" spans="1:13" ht="24.95" customHeight="1" thickTop="1" thickBot="1">
      <c r="A980" s="130" t="s">
        <v>16</v>
      </c>
      <c r="B980" s="67"/>
      <c r="C980" s="67"/>
      <c r="D980" s="68"/>
      <c r="E980" s="38"/>
      <c r="F980" s="131"/>
      <c r="G980" s="132"/>
      <c r="H980" s="131"/>
      <c r="I980" s="132"/>
      <c r="J980" s="131"/>
      <c r="K980" s="132"/>
      <c r="L980" s="131"/>
      <c r="M980" s="133"/>
    </row>
    <row r="981" spans="1:13" ht="24.95" customHeight="1" thickBot="1">
      <c r="A981" s="134" t="s">
        <v>17</v>
      </c>
      <c r="B981" s="135"/>
      <c r="C981" s="135"/>
      <c r="D981" s="59"/>
      <c r="E981" s="38"/>
      <c r="F981" s="58"/>
      <c r="G981" s="59"/>
      <c r="H981" s="58"/>
      <c r="I981" s="59"/>
      <c r="J981" s="58"/>
      <c r="K981" s="59"/>
      <c r="L981" s="58"/>
      <c r="M981" s="136"/>
    </row>
    <row r="982" spans="1:13" ht="24.95" customHeight="1" thickBot="1">
      <c r="A982" s="118" t="s">
        <v>18</v>
      </c>
      <c r="B982" s="119"/>
      <c r="C982" s="119"/>
      <c r="D982" s="120"/>
      <c r="E982" s="24"/>
      <c r="F982" s="121"/>
      <c r="G982" s="120"/>
      <c r="H982" s="121"/>
      <c r="I982" s="120"/>
      <c r="J982" s="121"/>
      <c r="K982" s="120"/>
      <c r="L982" s="121"/>
      <c r="M982" s="122"/>
    </row>
    <row r="983" spans="1:13" ht="24" customHeight="1" thickTop="1" thickBot="1">
      <c r="A983" s="66" t="s">
        <v>19</v>
      </c>
      <c r="B983" s="67"/>
      <c r="C983" s="67"/>
      <c r="D983" s="67"/>
      <c r="E983" s="67"/>
      <c r="F983" s="67"/>
      <c r="G983" s="67"/>
      <c r="H983" s="67"/>
      <c r="I983" s="67"/>
      <c r="J983" s="67"/>
      <c r="K983" s="67"/>
      <c r="L983" s="67"/>
      <c r="M983" s="68"/>
    </row>
    <row r="984" spans="1:13" ht="35.25" customHeight="1" thickBot="1">
      <c r="A984" s="75" t="s">
        <v>20</v>
      </c>
      <c r="B984" s="76"/>
      <c r="C984" s="76"/>
      <c r="D984" s="77"/>
      <c r="E984" s="14" t="s">
        <v>11</v>
      </c>
      <c r="F984" s="75" t="s">
        <v>39</v>
      </c>
      <c r="G984" s="77"/>
      <c r="H984" s="75" t="s">
        <v>21</v>
      </c>
      <c r="I984" s="77"/>
      <c r="J984" s="78" t="s">
        <v>22</v>
      </c>
      <c r="K984" s="79"/>
      <c r="L984" s="75" t="s">
        <v>15</v>
      </c>
      <c r="M984" s="77"/>
    </row>
    <row r="985" spans="1:13" ht="24" customHeight="1" thickBot="1">
      <c r="A985" s="96"/>
      <c r="B985" s="97"/>
      <c r="C985" s="97"/>
      <c r="D985" s="98"/>
      <c r="E985" s="38"/>
      <c r="F985" s="58"/>
      <c r="G985" s="59"/>
      <c r="H985" s="58"/>
      <c r="I985" s="59"/>
      <c r="J985" s="56"/>
      <c r="K985" s="57"/>
      <c r="L985" s="58"/>
      <c r="M985" s="59"/>
    </row>
    <row r="986" spans="1:13" ht="24" customHeight="1" thickBot="1">
      <c r="A986" s="96"/>
      <c r="B986" s="97"/>
      <c r="C986" s="97"/>
      <c r="D986" s="98"/>
      <c r="E986" s="38"/>
      <c r="F986" s="58"/>
      <c r="G986" s="59"/>
      <c r="H986" s="58"/>
      <c r="I986" s="59"/>
      <c r="J986" s="56"/>
      <c r="K986" s="57"/>
      <c r="L986" s="58"/>
      <c r="M986" s="59"/>
    </row>
    <row r="987" spans="1:13" ht="24" customHeight="1" thickBot="1">
      <c r="A987" s="60" t="s">
        <v>23</v>
      </c>
      <c r="B987" s="61"/>
      <c r="C987" s="61"/>
      <c r="D987" s="61"/>
      <c r="E987" s="61"/>
      <c r="F987" s="61"/>
      <c r="G987" s="61"/>
      <c r="H987" s="61"/>
      <c r="I987" s="61"/>
      <c r="J987" s="61"/>
      <c r="K987" s="61"/>
      <c r="L987" s="61"/>
      <c r="M987" s="62"/>
    </row>
    <row r="988" spans="1:13" ht="35.25" customHeight="1" thickBot="1">
      <c r="A988" s="75" t="s">
        <v>24</v>
      </c>
      <c r="B988" s="77"/>
      <c r="C988" s="75" t="s">
        <v>25</v>
      </c>
      <c r="D988" s="77"/>
      <c r="E988" s="75" t="s">
        <v>26</v>
      </c>
      <c r="F988" s="76"/>
      <c r="G988" s="77"/>
      <c r="H988" s="75" t="s">
        <v>27</v>
      </c>
      <c r="I988" s="77"/>
      <c r="J988" s="78" t="s">
        <v>21</v>
      </c>
      <c r="K988" s="79"/>
      <c r="L988" s="75" t="s">
        <v>22</v>
      </c>
      <c r="M988" s="77"/>
    </row>
    <row r="989" spans="1:13" s="18" customFormat="1" ht="24.75" customHeight="1" thickBot="1">
      <c r="A989" s="99"/>
      <c r="B989" s="98"/>
      <c r="C989" s="56"/>
      <c r="D989" s="57"/>
      <c r="E989" s="56"/>
      <c r="F989" s="100"/>
      <c r="G989" s="57"/>
      <c r="H989" s="56"/>
      <c r="I989" s="57"/>
      <c r="J989" s="56"/>
      <c r="K989" s="57"/>
      <c r="L989" s="56"/>
      <c r="M989" s="57"/>
    </row>
    <row r="990" spans="1:13" s="18" customFormat="1" ht="24.75" customHeight="1" thickBot="1">
      <c r="A990" s="99"/>
      <c r="B990" s="98"/>
      <c r="C990" s="56"/>
      <c r="D990" s="57"/>
      <c r="E990" s="56"/>
      <c r="F990" s="100"/>
      <c r="G990" s="57"/>
      <c r="H990" s="56"/>
      <c r="I990" s="57"/>
      <c r="J990" s="56"/>
      <c r="K990" s="57"/>
      <c r="L990" s="56"/>
      <c r="M990" s="57"/>
    </row>
    <row r="991" spans="1:13" ht="33" customHeight="1" thickBot="1">
      <c r="A991" s="112" t="s">
        <v>60</v>
      </c>
      <c r="B991" s="113"/>
      <c r="C991" s="113"/>
      <c r="D991" s="113"/>
      <c r="E991" s="113"/>
      <c r="F991" s="113"/>
      <c r="G991" s="113"/>
      <c r="H991" s="113"/>
      <c r="I991" s="113"/>
      <c r="J991" s="113"/>
      <c r="K991" s="113"/>
      <c r="L991" s="113"/>
      <c r="M991" s="114"/>
    </row>
    <row r="992" spans="1:13" ht="16.5" customHeight="1">
      <c r="A992" s="115" t="s">
        <v>41</v>
      </c>
      <c r="B992" s="116"/>
      <c r="C992" s="116"/>
      <c r="D992" s="116"/>
      <c r="E992" s="116"/>
      <c r="F992" s="116"/>
      <c r="G992" s="116"/>
      <c r="H992" s="116"/>
      <c r="I992" s="116"/>
      <c r="J992" s="116"/>
      <c r="K992" s="116"/>
      <c r="L992" s="116"/>
      <c r="M992" s="117"/>
    </row>
    <row r="993" spans="1:13" ht="16.5" customHeight="1">
      <c r="A993" s="90" t="s">
        <v>28</v>
      </c>
      <c r="B993" s="91"/>
      <c r="C993" s="91"/>
      <c r="D993" s="91"/>
      <c r="E993" s="91"/>
      <c r="F993" s="91"/>
      <c r="G993" s="91"/>
      <c r="H993" s="91"/>
      <c r="I993" s="91"/>
      <c r="J993" s="91"/>
      <c r="K993" s="91"/>
      <c r="L993" s="91"/>
      <c r="M993" s="92"/>
    </row>
    <row r="994" spans="1:13" ht="16.5" customHeight="1">
      <c r="A994" s="106" t="s">
        <v>42</v>
      </c>
      <c r="B994" s="107"/>
      <c r="C994" s="107"/>
      <c r="D994" s="107"/>
      <c r="E994" s="107"/>
      <c r="F994" s="107"/>
      <c r="G994" s="107"/>
      <c r="H994" s="107"/>
      <c r="I994" s="107"/>
      <c r="J994" s="107"/>
      <c r="K994" s="107"/>
      <c r="L994" s="107"/>
      <c r="M994" s="108"/>
    </row>
    <row r="995" spans="1:13" ht="16.5" customHeight="1">
      <c r="A995" s="106" t="s">
        <v>43</v>
      </c>
      <c r="B995" s="107"/>
      <c r="C995" s="107"/>
      <c r="D995" s="107"/>
      <c r="E995" s="107"/>
      <c r="F995" s="107"/>
      <c r="G995" s="107"/>
      <c r="H995" s="107"/>
      <c r="I995" s="107"/>
      <c r="J995" s="107"/>
      <c r="K995" s="107"/>
      <c r="L995" s="107"/>
      <c r="M995" s="108"/>
    </row>
    <row r="996" spans="1:13" ht="16.5" customHeight="1">
      <c r="A996" s="106" t="s">
        <v>44</v>
      </c>
      <c r="B996" s="107"/>
      <c r="C996" s="107"/>
      <c r="D996" s="107"/>
      <c r="E996" s="107"/>
      <c r="F996" s="107"/>
      <c r="G996" s="107"/>
      <c r="H996" s="107"/>
      <c r="I996" s="107"/>
      <c r="J996" s="107"/>
      <c r="K996" s="107"/>
      <c r="L996" s="107"/>
      <c r="M996" s="108"/>
    </row>
    <row r="997" spans="1:13" ht="16.5" customHeight="1">
      <c r="A997" s="106" t="s">
        <v>45</v>
      </c>
      <c r="B997" s="107"/>
      <c r="C997" s="107"/>
      <c r="D997" s="107"/>
      <c r="E997" s="107"/>
      <c r="F997" s="107"/>
      <c r="G997" s="107"/>
      <c r="H997" s="107"/>
      <c r="I997" s="107"/>
      <c r="J997" s="107"/>
      <c r="K997" s="107"/>
      <c r="L997" s="107"/>
      <c r="M997" s="108"/>
    </row>
    <row r="998" spans="1:13" ht="16.5" customHeight="1">
      <c r="A998" s="106" t="s">
        <v>29</v>
      </c>
      <c r="B998" s="107"/>
      <c r="C998" s="107"/>
      <c r="D998" s="107"/>
      <c r="E998" s="107"/>
      <c r="F998" s="107"/>
      <c r="G998" s="107"/>
      <c r="H998" s="107"/>
      <c r="I998" s="107"/>
      <c r="J998" s="107"/>
      <c r="K998" s="107"/>
      <c r="L998" s="107"/>
      <c r="M998" s="108"/>
    </row>
    <row r="999" spans="1:13" ht="9.75" customHeight="1" thickBot="1">
      <c r="A999" s="109"/>
      <c r="B999" s="110"/>
      <c r="C999" s="110"/>
      <c r="D999" s="110"/>
      <c r="E999" s="110"/>
      <c r="F999" s="110"/>
      <c r="G999" s="110"/>
      <c r="H999" s="110"/>
      <c r="I999" s="110"/>
      <c r="J999" s="110"/>
      <c r="K999" s="110"/>
      <c r="L999" s="110"/>
      <c r="M999" s="111"/>
    </row>
    <row r="1000" spans="1:13" ht="18.75" customHeight="1" thickBot="1">
      <c r="A1000" s="72" t="s">
        <v>30</v>
      </c>
      <c r="B1000" s="73"/>
      <c r="C1000" s="73"/>
      <c r="D1000" s="73"/>
      <c r="E1000" s="73"/>
      <c r="F1000" s="73"/>
      <c r="G1000" s="73"/>
      <c r="H1000" s="73"/>
      <c r="I1000" s="73"/>
      <c r="J1000" s="73"/>
      <c r="K1000" s="73"/>
      <c r="L1000" s="73"/>
      <c r="M1000" s="74"/>
    </row>
    <row r="1001" spans="1:13" ht="24" customHeight="1" thickBot="1">
      <c r="A1001" s="72" t="s">
        <v>31</v>
      </c>
      <c r="B1001" s="73"/>
      <c r="C1001" s="73"/>
      <c r="D1001" s="73"/>
      <c r="E1001" s="73"/>
      <c r="F1001" s="73"/>
      <c r="G1001" s="73"/>
      <c r="H1001" s="73"/>
      <c r="I1001" s="73"/>
      <c r="J1001" s="73"/>
      <c r="K1001" s="73"/>
      <c r="L1001" s="73"/>
      <c r="M1001" s="74"/>
    </row>
    <row r="1002" spans="1:13" ht="24" customHeight="1" thickBot="1">
      <c r="A1002" s="72" t="s">
        <v>176</v>
      </c>
      <c r="B1002" s="73"/>
      <c r="C1002" s="73"/>
      <c r="D1002" s="73"/>
      <c r="E1002" s="73"/>
      <c r="F1002" s="73"/>
      <c r="G1002" s="73"/>
      <c r="H1002" s="73"/>
      <c r="I1002" s="73"/>
      <c r="J1002" s="73"/>
      <c r="K1002" s="73"/>
      <c r="L1002" s="73"/>
      <c r="M1002" s="74"/>
    </row>
    <row r="1003" spans="1:13" ht="24" customHeight="1" thickBot="1">
      <c r="A1003" s="60" t="s">
        <v>46</v>
      </c>
      <c r="B1003" s="61"/>
      <c r="C1003" s="61"/>
      <c r="D1003" s="61"/>
      <c r="E1003" s="61"/>
      <c r="F1003" s="61"/>
      <c r="G1003" s="61"/>
      <c r="H1003" s="61"/>
      <c r="I1003" s="61"/>
      <c r="J1003" s="61"/>
      <c r="K1003" s="61"/>
      <c r="L1003" s="61"/>
      <c r="M1003" s="62"/>
    </row>
    <row r="1004" spans="1:13" ht="11.1" customHeight="1">
      <c r="A1004" s="103" t="s">
        <v>47</v>
      </c>
      <c r="B1004" s="103"/>
      <c r="C1004" s="103"/>
      <c r="D1004" s="103"/>
      <c r="E1004" s="103"/>
      <c r="F1004" s="103"/>
      <c r="G1004" s="103"/>
      <c r="H1004" s="103"/>
      <c r="I1004" s="103"/>
      <c r="J1004" s="103"/>
      <c r="K1004" s="103"/>
      <c r="L1004" s="103"/>
      <c r="M1004" s="103"/>
    </row>
    <row r="1005" spans="1:13" ht="11.1" customHeight="1">
      <c r="A1005" s="104" t="s">
        <v>48</v>
      </c>
      <c r="B1005" s="104"/>
      <c r="C1005" s="104"/>
      <c r="D1005" s="104"/>
      <c r="E1005" s="104"/>
      <c r="F1005" s="104"/>
      <c r="G1005" s="104"/>
      <c r="H1005" s="104"/>
      <c r="I1005" s="104"/>
      <c r="J1005" s="104"/>
      <c r="K1005" s="104"/>
      <c r="L1005" s="104"/>
      <c r="M1005" s="104"/>
    </row>
    <row r="1006" spans="1:13" ht="11.1" customHeight="1">
      <c r="A1006" s="105" t="s">
        <v>49</v>
      </c>
      <c r="B1006" s="105"/>
      <c r="C1006" s="105"/>
      <c r="D1006" s="105"/>
      <c r="E1006" s="105"/>
      <c r="F1006" s="105"/>
      <c r="G1006" s="105"/>
      <c r="H1006" s="105"/>
      <c r="I1006" s="105"/>
      <c r="J1006" s="105"/>
      <c r="K1006" s="105"/>
      <c r="L1006" s="105"/>
      <c r="M1006" s="105"/>
    </row>
    <row r="1007" spans="1:13" ht="11.1" customHeight="1">
      <c r="A1007" s="105" t="s">
        <v>50</v>
      </c>
      <c r="B1007" s="105"/>
      <c r="C1007" s="105"/>
      <c r="D1007" s="105"/>
      <c r="E1007" s="105"/>
      <c r="F1007" s="105"/>
      <c r="G1007" s="105"/>
      <c r="H1007" s="105"/>
      <c r="I1007" s="105"/>
      <c r="J1007" s="105"/>
      <c r="K1007" s="105"/>
      <c r="L1007" s="105"/>
      <c r="M1007" s="105"/>
    </row>
    <row r="1008" spans="1:13" ht="11.1" customHeight="1">
      <c r="A1008" s="104" t="s">
        <v>51</v>
      </c>
      <c r="B1008" s="104"/>
      <c r="C1008" s="104"/>
      <c r="D1008" s="104"/>
      <c r="E1008" s="104"/>
      <c r="F1008" s="104"/>
      <c r="G1008" s="104"/>
      <c r="H1008" s="104"/>
      <c r="I1008" s="104"/>
      <c r="J1008" s="104"/>
      <c r="K1008" s="104"/>
      <c r="L1008" s="104"/>
      <c r="M1008" s="104"/>
    </row>
    <row r="1009" spans="1:15" ht="11.1" customHeight="1">
      <c r="A1009" s="104" t="s">
        <v>52</v>
      </c>
      <c r="B1009" s="104"/>
      <c r="C1009" s="104"/>
      <c r="D1009" s="104"/>
      <c r="E1009" s="104"/>
      <c r="F1009" s="104"/>
      <c r="G1009" s="104"/>
      <c r="H1009" s="104"/>
      <c r="I1009" s="104"/>
      <c r="J1009" s="104"/>
      <c r="K1009" s="104"/>
      <c r="L1009" s="104"/>
      <c r="M1009" s="104"/>
    </row>
    <row r="1010" spans="1:15" ht="11.1" customHeight="1">
      <c r="A1010" s="104" t="s">
        <v>53</v>
      </c>
      <c r="B1010" s="104"/>
      <c r="C1010" s="104"/>
      <c r="D1010" s="104"/>
      <c r="E1010" s="104"/>
      <c r="F1010" s="104"/>
      <c r="G1010" s="104"/>
      <c r="H1010" s="104"/>
      <c r="I1010" s="104"/>
      <c r="J1010" s="104"/>
      <c r="K1010" s="104"/>
      <c r="L1010" s="104"/>
      <c r="M1010" s="104"/>
    </row>
    <row r="1011" spans="1:15" ht="11.1" customHeight="1">
      <c r="A1011" s="101" t="s">
        <v>54</v>
      </c>
      <c r="B1011" s="101"/>
      <c r="C1011" s="101"/>
      <c r="D1011" s="101"/>
      <c r="E1011" s="101"/>
      <c r="F1011" s="101"/>
      <c r="G1011" s="101"/>
      <c r="H1011" s="101"/>
      <c r="I1011" s="101"/>
      <c r="J1011" s="101"/>
      <c r="K1011" s="101"/>
      <c r="L1011" s="101"/>
      <c r="M1011" s="101"/>
    </row>
    <row r="1012" spans="1:15" ht="11.1" customHeight="1">
      <c r="A1012" s="101" t="s">
        <v>55</v>
      </c>
      <c r="B1012" s="101"/>
      <c r="C1012" s="101"/>
      <c r="D1012" s="101"/>
      <c r="E1012" s="101"/>
      <c r="F1012" s="101"/>
      <c r="G1012" s="101"/>
      <c r="H1012" s="101"/>
      <c r="I1012" s="101"/>
      <c r="J1012" s="101"/>
      <c r="K1012" s="101"/>
      <c r="L1012" s="101"/>
      <c r="M1012" s="101"/>
    </row>
    <row r="1013" spans="1:15" ht="19.5" customHeight="1">
      <c r="A1013" s="69" t="s">
        <v>0</v>
      </c>
      <c r="B1013" s="69"/>
      <c r="C1013" s="69"/>
      <c r="D1013" s="69"/>
      <c r="E1013" s="69"/>
      <c r="F1013" s="69"/>
      <c r="G1013" s="69"/>
      <c r="H1013" s="69"/>
      <c r="I1013" s="69"/>
      <c r="J1013" s="69"/>
      <c r="K1013" s="69"/>
      <c r="L1013" s="69"/>
      <c r="M1013" s="69"/>
    </row>
    <row r="1014" spans="1:15" ht="20.100000000000001" customHeight="1">
      <c r="A1014" s="4" t="s">
        <v>32</v>
      </c>
      <c r="B1014" s="5">
        <f>+B970+1</f>
        <v>89</v>
      </c>
      <c r="C1014" s="35"/>
      <c r="D1014" s="35"/>
      <c r="E1014" s="35"/>
      <c r="F1014" s="35"/>
      <c r="G1014" s="35"/>
      <c r="H1014" s="35"/>
      <c r="I1014" s="35"/>
      <c r="J1014" s="35"/>
      <c r="K1014" s="35"/>
      <c r="L1014" s="35"/>
      <c r="M1014" s="35"/>
    </row>
    <row r="1015" spans="1:15" ht="24" customHeight="1" thickBot="1">
      <c r="A1015" s="4" t="s">
        <v>33</v>
      </c>
      <c r="H1015" s="70" t="s">
        <v>34</v>
      </c>
      <c r="I1015" s="70"/>
      <c r="J1015" s="70"/>
      <c r="K1015" s="102">
        <f>+K971+1</f>
        <v>46015</v>
      </c>
      <c r="L1015" s="102"/>
      <c r="M1015" s="102"/>
      <c r="O1015" s="7"/>
    </row>
    <row r="1016" spans="1:15" ht="33.75" customHeight="1" thickBot="1">
      <c r="A1016" s="80" t="s">
        <v>1</v>
      </c>
      <c r="B1016" s="81"/>
      <c r="C1016" s="82"/>
      <c r="D1016" s="86" t="str">
        <f>+D972</f>
        <v>光明國中B與C區5樓老舊廁所整修工程</v>
      </c>
      <c r="E1016" s="87"/>
      <c r="F1016" s="87"/>
      <c r="G1016" s="88"/>
      <c r="H1016" s="80" t="s">
        <v>2</v>
      </c>
      <c r="I1016" s="81"/>
      <c r="J1016" s="82"/>
      <c r="K1016" s="80" t="s">
        <v>35</v>
      </c>
      <c r="L1016" s="81"/>
      <c r="M1016" s="82"/>
    </row>
    <row r="1017" spans="1:15" ht="33.75" customHeight="1" thickBot="1">
      <c r="A1017" s="8" t="s">
        <v>3</v>
      </c>
      <c r="B1017" s="36">
        <f>+B973</f>
        <v>145</v>
      </c>
      <c r="C1017" s="10" t="s">
        <v>36</v>
      </c>
      <c r="D1017" s="80" t="s">
        <v>4</v>
      </c>
      <c r="E1017" s="89"/>
      <c r="F1017" s="37">
        <f>+F973+1</f>
        <v>89</v>
      </c>
      <c r="G1017" s="12" t="s">
        <v>36</v>
      </c>
      <c r="H1017" s="13" t="s">
        <v>5</v>
      </c>
      <c r="I1017" s="36">
        <f>+B1017-F1017</f>
        <v>56</v>
      </c>
      <c r="J1017" s="10" t="s">
        <v>36</v>
      </c>
      <c r="K1017" s="80" t="s">
        <v>6</v>
      </c>
      <c r="L1017" s="82"/>
      <c r="M1017" s="13">
        <f>+M973</f>
        <v>15</v>
      </c>
    </row>
    <row r="1018" spans="1:15" ht="24" customHeight="1" thickBot="1">
      <c r="A1018" s="80" t="s">
        <v>7</v>
      </c>
      <c r="B1018" s="81"/>
      <c r="C1018" s="82"/>
      <c r="D1018" s="80" t="str">
        <f>+D974</f>
        <v>114.9.27</v>
      </c>
      <c r="E1018" s="81"/>
      <c r="F1018" s="81"/>
      <c r="G1018" s="82"/>
      <c r="H1018" s="80" t="s">
        <v>8</v>
      </c>
      <c r="I1018" s="81"/>
      <c r="J1018" s="82"/>
      <c r="K1018" s="80" t="str">
        <f>+K974</f>
        <v>115.2.18</v>
      </c>
      <c r="L1018" s="81"/>
      <c r="M1018" s="82"/>
    </row>
    <row r="1019" spans="1:15" ht="24" customHeight="1" thickBot="1">
      <c r="A1019" s="80" t="s">
        <v>37</v>
      </c>
      <c r="B1019" s="81"/>
      <c r="C1019" s="82"/>
      <c r="D1019" s="83">
        <v>0.45</v>
      </c>
      <c r="E1019" s="84"/>
      <c r="F1019" s="84"/>
      <c r="G1019" s="85"/>
      <c r="H1019" s="80" t="s">
        <v>38</v>
      </c>
      <c r="I1019" s="81"/>
      <c r="J1019" s="82"/>
      <c r="K1019" s="83">
        <f>+K975</f>
        <v>0.55600000000000027</v>
      </c>
      <c r="L1019" s="84"/>
      <c r="M1019" s="85"/>
    </row>
    <row r="1020" spans="1:15" ht="24" customHeight="1" thickBot="1">
      <c r="A1020" s="72" t="s">
        <v>9</v>
      </c>
      <c r="B1020" s="73"/>
      <c r="C1020" s="73"/>
      <c r="D1020" s="73"/>
      <c r="E1020" s="73"/>
      <c r="F1020" s="73"/>
      <c r="G1020" s="73"/>
      <c r="H1020" s="73"/>
      <c r="I1020" s="73"/>
      <c r="J1020" s="73"/>
      <c r="K1020" s="73"/>
      <c r="L1020" s="73"/>
      <c r="M1020" s="74"/>
    </row>
    <row r="1021" spans="1:15" ht="35.25" customHeight="1" thickBot="1">
      <c r="A1021" s="75" t="s">
        <v>10</v>
      </c>
      <c r="B1021" s="76"/>
      <c r="C1021" s="76"/>
      <c r="D1021" s="77"/>
      <c r="E1021" s="14" t="s">
        <v>11</v>
      </c>
      <c r="F1021" s="75" t="s">
        <v>12</v>
      </c>
      <c r="G1021" s="77"/>
      <c r="H1021" s="75" t="s">
        <v>13</v>
      </c>
      <c r="I1021" s="77"/>
      <c r="J1021" s="78" t="s">
        <v>14</v>
      </c>
      <c r="K1021" s="79"/>
      <c r="L1021" s="75" t="s">
        <v>15</v>
      </c>
      <c r="M1021" s="77"/>
    </row>
    <row r="1022" spans="1:15" ht="27.95" customHeight="1" thickBot="1">
      <c r="A1022" s="141"/>
      <c r="B1022" s="142"/>
      <c r="C1022" s="142"/>
      <c r="D1022" s="143"/>
      <c r="E1022" s="2"/>
      <c r="F1022" s="56"/>
      <c r="G1022" s="57"/>
      <c r="H1022" s="56"/>
      <c r="I1022" s="57"/>
      <c r="J1022" s="56"/>
      <c r="K1022" s="57"/>
      <c r="L1022" s="58"/>
      <c r="M1022" s="59"/>
    </row>
    <row r="1023" spans="1:15" ht="27.95" customHeight="1" thickBot="1">
      <c r="A1023" s="141"/>
      <c r="B1023" s="142"/>
      <c r="C1023" s="142"/>
      <c r="D1023" s="143"/>
      <c r="E1023" s="15"/>
      <c r="F1023" s="56"/>
      <c r="G1023" s="57"/>
      <c r="H1023" s="56"/>
      <c r="I1023" s="57"/>
      <c r="J1023" s="56"/>
      <c r="K1023" s="57"/>
      <c r="L1023" s="58"/>
      <c r="M1023" s="59"/>
    </row>
    <row r="1024" spans="1:15" ht="24.95" customHeight="1" thickTop="1" thickBot="1">
      <c r="A1024" s="130" t="s">
        <v>16</v>
      </c>
      <c r="B1024" s="67"/>
      <c r="C1024" s="67"/>
      <c r="D1024" s="68"/>
      <c r="E1024" s="38"/>
      <c r="F1024" s="131"/>
      <c r="G1024" s="132"/>
      <c r="H1024" s="131"/>
      <c r="I1024" s="132"/>
      <c r="J1024" s="131"/>
      <c r="K1024" s="132"/>
      <c r="L1024" s="131"/>
      <c r="M1024" s="133"/>
    </row>
    <row r="1025" spans="1:13" ht="24.95" customHeight="1" thickBot="1">
      <c r="A1025" s="134" t="s">
        <v>17</v>
      </c>
      <c r="B1025" s="135"/>
      <c r="C1025" s="135"/>
      <c r="D1025" s="59"/>
      <c r="E1025" s="38"/>
      <c r="F1025" s="58"/>
      <c r="G1025" s="59"/>
      <c r="H1025" s="58"/>
      <c r="I1025" s="59"/>
      <c r="J1025" s="58"/>
      <c r="K1025" s="59"/>
      <c r="L1025" s="58"/>
      <c r="M1025" s="136"/>
    </row>
    <row r="1026" spans="1:13" ht="24.95" customHeight="1" thickBot="1">
      <c r="A1026" s="118" t="s">
        <v>18</v>
      </c>
      <c r="B1026" s="119"/>
      <c r="C1026" s="119"/>
      <c r="D1026" s="120"/>
      <c r="E1026" s="24"/>
      <c r="F1026" s="121"/>
      <c r="G1026" s="120"/>
      <c r="H1026" s="121"/>
      <c r="I1026" s="120"/>
      <c r="J1026" s="121"/>
      <c r="K1026" s="120"/>
      <c r="L1026" s="121"/>
      <c r="M1026" s="122"/>
    </row>
    <row r="1027" spans="1:13" ht="24" customHeight="1" thickTop="1" thickBot="1">
      <c r="A1027" s="66" t="s">
        <v>19</v>
      </c>
      <c r="B1027" s="67"/>
      <c r="C1027" s="67"/>
      <c r="D1027" s="67"/>
      <c r="E1027" s="67"/>
      <c r="F1027" s="67"/>
      <c r="G1027" s="67"/>
      <c r="H1027" s="67"/>
      <c r="I1027" s="67"/>
      <c r="J1027" s="67"/>
      <c r="K1027" s="67"/>
      <c r="L1027" s="67"/>
      <c r="M1027" s="68"/>
    </row>
    <row r="1028" spans="1:13" ht="35.25" customHeight="1" thickBot="1">
      <c r="A1028" s="75" t="s">
        <v>20</v>
      </c>
      <c r="B1028" s="76"/>
      <c r="C1028" s="76"/>
      <c r="D1028" s="77"/>
      <c r="E1028" s="14" t="s">
        <v>11</v>
      </c>
      <c r="F1028" s="75" t="s">
        <v>39</v>
      </c>
      <c r="G1028" s="77"/>
      <c r="H1028" s="75" t="s">
        <v>21</v>
      </c>
      <c r="I1028" s="77"/>
      <c r="J1028" s="78" t="s">
        <v>22</v>
      </c>
      <c r="K1028" s="79"/>
      <c r="L1028" s="75" t="s">
        <v>15</v>
      </c>
      <c r="M1028" s="77"/>
    </row>
    <row r="1029" spans="1:13" ht="24" customHeight="1" thickBot="1">
      <c r="A1029" s="96"/>
      <c r="B1029" s="97"/>
      <c r="C1029" s="97"/>
      <c r="D1029" s="98"/>
      <c r="E1029" s="38"/>
      <c r="F1029" s="58"/>
      <c r="G1029" s="59"/>
      <c r="H1029" s="58"/>
      <c r="I1029" s="59"/>
      <c r="J1029" s="56"/>
      <c r="K1029" s="57"/>
      <c r="L1029" s="58"/>
      <c r="M1029" s="59"/>
    </row>
    <row r="1030" spans="1:13" ht="24" customHeight="1" thickBot="1">
      <c r="A1030" s="96"/>
      <c r="B1030" s="97"/>
      <c r="C1030" s="97"/>
      <c r="D1030" s="98"/>
      <c r="E1030" s="38"/>
      <c r="F1030" s="58"/>
      <c r="G1030" s="59"/>
      <c r="H1030" s="58"/>
      <c r="I1030" s="59"/>
      <c r="J1030" s="56"/>
      <c r="K1030" s="57"/>
      <c r="L1030" s="58"/>
      <c r="M1030" s="59"/>
    </row>
    <row r="1031" spans="1:13" ht="24" customHeight="1" thickBot="1">
      <c r="A1031" s="60" t="s">
        <v>23</v>
      </c>
      <c r="B1031" s="61"/>
      <c r="C1031" s="61"/>
      <c r="D1031" s="61"/>
      <c r="E1031" s="61"/>
      <c r="F1031" s="61"/>
      <c r="G1031" s="61"/>
      <c r="H1031" s="61"/>
      <c r="I1031" s="61"/>
      <c r="J1031" s="61"/>
      <c r="K1031" s="61"/>
      <c r="L1031" s="61"/>
      <c r="M1031" s="62"/>
    </row>
    <row r="1032" spans="1:13" ht="35.25" customHeight="1" thickBot="1">
      <c r="A1032" s="75" t="s">
        <v>24</v>
      </c>
      <c r="B1032" s="77"/>
      <c r="C1032" s="75" t="s">
        <v>25</v>
      </c>
      <c r="D1032" s="77"/>
      <c r="E1032" s="75" t="s">
        <v>26</v>
      </c>
      <c r="F1032" s="76"/>
      <c r="G1032" s="77"/>
      <c r="H1032" s="75" t="s">
        <v>27</v>
      </c>
      <c r="I1032" s="77"/>
      <c r="J1032" s="78" t="s">
        <v>21</v>
      </c>
      <c r="K1032" s="79"/>
      <c r="L1032" s="75" t="s">
        <v>22</v>
      </c>
      <c r="M1032" s="77"/>
    </row>
    <row r="1033" spans="1:13" s="18" customFormat="1" ht="24.75" customHeight="1" thickBot="1">
      <c r="A1033" s="99"/>
      <c r="B1033" s="98"/>
      <c r="C1033" s="56"/>
      <c r="D1033" s="57"/>
      <c r="E1033" s="56"/>
      <c r="F1033" s="100"/>
      <c r="G1033" s="57"/>
      <c r="H1033" s="56"/>
      <c r="I1033" s="57"/>
      <c r="J1033" s="56"/>
      <c r="K1033" s="57"/>
      <c r="L1033" s="56"/>
      <c r="M1033" s="57"/>
    </row>
    <row r="1034" spans="1:13" s="18" customFormat="1" ht="24.75" customHeight="1" thickBot="1">
      <c r="A1034" s="99"/>
      <c r="B1034" s="98"/>
      <c r="C1034" s="56"/>
      <c r="D1034" s="57"/>
      <c r="E1034" s="56"/>
      <c r="F1034" s="100"/>
      <c r="G1034" s="57"/>
      <c r="H1034" s="56"/>
      <c r="I1034" s="57"/>
      <c r="J1034" s="56"/>
      <c r="K1034" s="57"/>
      <c r="L1034" s="56"/>
      <c r="M1034" s="57"/>
    </row>
    <row r="1035" spans="1:13" ht="33" customHeight="1" thickBot="1">
      <c r="A1035" s="112" t="s">
        <v>60</v>
      </c>
      <c r="B1035" s="113"/>
      <c r="C1035" s="113"/>
      <c r="D1035" s="113"/>
      <c r="E1035" s="113"/>
      <c r="F1035" s="113"/>
      <c r="G1035" s="113"/>
      <c r="H1035" s="113"/>
      <c r="I1035" s="113"/>
      <c r="J1035" s="113"/>
      <c r="K1035" s="113"/>
      <c r="L1035" s="113"/>
      <c r="M1035" s="114"/>
    </row>
    <row r="1036" spans="1:13" ht="16.5" customHeight="1">
      <c r="A1036" s="115" t="s">
        <v>41</v>
      </c>
      <c r="B1036" s="116"/>
      <c r="C1036" s="116"/>
      <c r="D1036" s="116"/>
      <c r="E1036" s="116"/>
      <c r="F1036" s="116"/>
      <c r="G1036" s="116"/>
      <c r="H1036" s="116"/>
      <c r="I1036" s="116"/>
      <c r="J1036" s="116"/>
      <c r="K1036" s="116"/>
      <c r="L1036" s="116"/>
      <c r="M1036" s="117"/>
    </row>
    <row r="1037" spans="1:13" ht="16.5" customHeight="1">
      <c r="A1037" s="90" t="s">
        <v>28</v>
      </c>
      <c r="B1037" s="91"/>
      <c r="C1037" s="91"/>
      <c r="D1037" s="91"/>
      <c r="E1037" s="91"/>
      <c r="F1037" s="91"/>
      <c r="G1037" s="91"/>
      <c r="H1037" s="91"/>
      <c r="I1037" s="91"/>
      <c r="J1037" s="91"/>
      <c r="K1037" s="91"/>
      <c r="L1037" s="91"/>
      <c r="M1037" s="92"/>
    </row>
    <row r="1038" spans="1:13" ht="16.5" customHeight="1">
      <c r="A1038" s="106" t="s">
        <v>42</v>
      </c>
      <c r="B1038" s="107"/>
      <c r="C1038" s="107"/>
      <c r="D1038" s="107"/>
      <c r="E1038" s="107"/>
      <c r="F1038" s="107"/>
      <c r="G1038" s="107"/>
      <c r="H1038" s="107"/>
      <c r="I1038" s="107"/>
      <c r="J1038" s="107"/>
      <c r="K1038" s="107"/>
      <c r="L1038" s="107"/>
      <c r="M1038" s="108"/>
    </row>
    <row r="1039" spans="1:13" ht="16.5" customHeight="1">
      <c r="A1039" s="106" t="s">
        <v>43</v>
      </c>
      <c r="B1039" s="107"/>
      <c r="C1039" s="107"/>
      <c r="D1039" s="107"/>
      <c r="E1039" s="107"/>
      <c r="F1039" s="107"/>
      <c r="G1039" s="107"/>
      <c r="H1039" s="107"/>
      <c r="I1039" s="107"/>
      <c r="J1039" s="107"/>
      <c r="K1039" s="107"/>
      <c r="L1039" s="107"/>
      <c r="M1039" s="108"/>
    </row>
    <row r="1040" spans="1:13" ht="16.5" customHeight="1">
      <c r="A1040" s="106" t="s">
        <v>44</v>
      </c>
      <c r="B1040" s="107"/>
      <c r="C1040" s="107"/>
      <c r="D1040" s="107"/>
      <c r="E1040" s="107"/>
      <c r="F1040" s="107"/>
      <c r="G1040" s="107"/>
      <c r="H1040" s="107"/>
      <c r="I1040" s="107"/>
      <c r="J1040" s="107"/>
      <c r="K1040" s="107"/>
      <c r="L1040" s="107"/>
      <c r="M1040" s="108"/>
    </row>
    <row r="1041" spans="1:13" ht="16.5" customHeight="1">
      <c r="A1041" s="106" t="s">
        <v>45</v>
      </c>
      <c r="B1041" s="107"/>
      <c r="C1041" s="107"/>
      <c r="D1041" s="107"/>
      <c r="E1041" s="107"/>
      <c r="F1041" s="107"/>
      <c r="G1041" s="107"/>
      <c r="H1041" s="107"/>
      <c r="I1041" s="107"/>
      <c r="J1041" s="107"/>
      <c r="K1041" s="107"/>
      <c r="L1041" s="107"/>
      <c r="M1041" s="108"/>
    </row>
    <row r="1042" spans="1:13" ht="16.5" customHeight="1">
      <c r="A1042" s="106" t="s">
        <v>29</v>
      </c>
      <c r="B1042" s="107"/>
      <c r="C1042" s="107"/>
      <c r="D1042" s="107"/>
      <c r="E1042" s="107"/>
      <c r="F1042" s="107"/>
      <c r="G1042" s="107"/>
      <c r="H1042" s="107"/>
      <c r="I1042" s="107"/>
      <c r="J1042" s="107"/>
      <c r="K1042" s="107"/>
      <c r="L1042" s="107"/>
      <c r="M1042" s="108"/>
    </row>
    <row r="1043" spans="1:13" ht="9.75" customHeight="1" thickBot="1">
      <c r="A1043" s="109"/>
      <c r="B1043" s="110"/>
      <c r="C1043" s="110"/>
      <c r="D1043" s="110"/>
      <c r="E1043" s="110"/>
      <c r="F1043" s="110"/>
      <c r="G1043" s="110"/>
      <c r="H1043" s="110"/>
      <c r="I1043" s="110"/>
      <c r="J1043" s="110"/>
      <c r="K1043" s="110"/>
      <c r="L1043" s="110"/>
      <c r="M1043" s="111"/>
    </row>
    <row r="1044" spans="1:13" ht="18.75" customHeight="1" thickBot="1">
      <c r="A1044" s="72" t="s">
        <v>30</v>
      </c>
      <c r="B1044" s="73"/>
      <c r="C1044" s="73"/>
      <c r="D1044" s="73"/>
      <c r="E1044" s="73"/>
      <c r="F1044" s="73"/>
      <c r="G1044" s="73"/>
      <c r="H1044" s="73"/>
      <c r="I1044" s="73"/>
      <c r="J1044" s="73"/>
      <c r="K1044" s="73"/>
      <c r="L1044" s="73"/>
      <c r="M1044" s="74"/>
    </row>
    <row r="1045" spans="1:13" ht="24" customHeight="1" thickBot="1">
      <c r="A1045" s="72" t="s">
        <v>31</v>
      </c>
      <c r="B1045" s="73"/>
      <c r="C1045" s="73"/>
      <c r="D1045" s="73"/>
      <c r="E1045" s="73"/>
      <c r="F1045" s="73"/>
      <c r="G1045" s="73"/>
      <c r="H1045" s="73"/>
      <c r="I1045" s="73"/>
      <c r="J1045" s="73"/>
      <c r="K1045" s="73"/>
      <c r="L1045" s="73"/>
      <c r="M1045" s="74"/>
    </row>
    <row r="1046" spans="1:13" ht="24" customHeight="1" thickBot="1">
      <c r="A1046" s="72" t="s">
        <v>176</v>
      </c>
      <c r="B1046" s="73"/>
      <c r="C1046" s="73"/>
      <c r="D1046" s="73"/>
      <c r="E1046" s="73"/>
      <c r="F1046" s="73"/>
      <c r="G1046" s="73"/>
      <c r="H1046" s="73"/>
      <c r="I1046" s="73"/>
      <c r="J1046" s="73"/>
      <c r="K1046" s="73"/>
      <c r="L1046" s="73"/>
      <c r="M1046" s="74"/>
    </row>
    <row r="1047" spans="1:13" ht="24" customHeight="1" thickBot="1">
      <c r="A1047" s="60" t="s">
        <v>46</v>
      </c>
      <c r="B1047" s="61"/>
      <c r="C1047" s="61"/>
      <c r="D1047" s="61"/>
      <c r="E1047" s="61"/>
      <c r="F1047" s="61"/>
      <c r="G1047" s="61"/>
      <c r="H1047" s="61"/>
      <c r="I1047" s="61"/>
      <c r="J1047" s="61"/>
      <c r="K1047" s="61"/>
      <c r="L1047" s="61"/>
      <c r="M1047" s="62"/>
    </row>
    <row r="1048" spans="1:13" ht="11.1" customHeight="1">
      <c r="A1048" s="103" t="s">
        <v>47</v>
      </c>
      <c r="B1048" s="103"/>
      <c r="C1048" s="103"/>
      <c r="D1048" s="103"/>
      <c r="E1048" s="103"/>
      <c r="F1048" s="103"/>
      <c r="G1048" s="103"/>
      <c r="H1048" s="103"/>
      <c r="I1048" s="103"/>
      <c r="J1048" s="103"/>
      <c r="K1048" s="103"/>
      <c r="L1048" s="103"/>
      <c r="M1048" s="103"/>
    </row>
    <row r="1049" spans="1:13" ht="11.1" customHeight="1">
      <c r="A1049" s="104" t="s">
        <v>48</v>
      </c>
      <c r="B1049" s="104"/>
      <c r="C1049" s="104"/>
      <c r="D1049" s="104"/>
      <c r="E1049" s="104"/>
      <c r="F1049" s="104"/>
      <c r="G1049" s="104"/>
      <c r="H1049" s="104"/>
      <c r="I1049" s="104"/>
      <c r="J1049" s="104"/>
      <c r="K1049" s="104"/>
      <c r="L1049" s="104"/>
      <c r="M1049" s="104"/>
    </row>
    <row r="1050" spans="1:13" ht="11.1" customHeight="1">
      <c r="A1050" s="105" t="s">
        <v>49</v>
      </c>
      <c r="B1050" s="105"/>
      <c r="C1050" s="105"/>
      <c r="D1050" s="105"/>
      <c r="E1050" s="105"/>
      <c r="F1050" s="105"/>
      <c r="G1050" s="105"/>
      <c r="H1050" s="105"/>
      <c r="I1050" s="105"/>
      <c r="J1050" s="105"/>
      <c r="K1050" s="105"/>
      <c r="L1050" s="105"/>
      <c r="M1050" s="105"/>
    </row>
    <row r="1051" spans="1:13" ht="11.1" customHeight="1">
      <c r="A1051" s="105" t="s">
        <v>50</v>
      </c>
      <c r="B1051" s="105"/>
      <c r="C1051" s="105"/>
      <c r="D1051" s="105"/>
      <c r="E1051" s="105"/>
      <c r="F1051" s="105"/>
      <c r="G1051" s="105"/>
      <c r="H1051" s="105"/>
      <c r="I1051" s="105"/>
      <c r="J1051" s="105"/>
      <c r="K1051" s="105"/>
      <c r="L1051" s="105"/>
      <c r="M1051" s="105"/>
    </row>
    <row r="1052" spans="1:13" ht="11.1" customHeight="1">
      <c r="A1052" s="104" t="s">
        <v>51</v>
      </c>
      <c r="B1052" s="104"/>
      <c r="C1052" s="104"/>
      <c r="D1052" s="104"/>
      <c r="E1052" s="104"/>
      <c r="F1052" s="104"/>
      <c r="G1052" s="104"/>
      <c r="H1052" s="104"/>
      <c r="I1052" s="104"/>
      <c r="J1052" s="104"/>
      <c r="K1052" s="104"/>
      <c r="L1052" s="104"/>
      <c r="M1052" s="104"/>
    </row>
    <row r="1053" spans="1:13" ht="11.1" customHeight="1">
      <c r="A1053" s="104" t="s">
        <v>52</v>
      </c>
      <c r="B1053" s="104"/>
      <c r="C1053" s="104"/>
      <c r="D1053" s="104"/>
      <c r="E1053" s="104"/>
      <c r="F1053" s="104"/>
      <c r="G1053" s="104"/>
      <c r="H1053" s="104"/>
      <c r="I1053" s="104"/>
      <c r="J1053" s="104"/>
      <c r="K1053" s="104"/>
      <c r="L1053" s="104"/>
      <c r="M1053" s="104"/>
    </row>
    <row r="1054" spans="1:13" ht="11.1" customHeight="1">
      <c r="A1054" s="104" t="s">
        <v>53</v>
      </c>
      <c r="B1054" s="104"/>
      <c r="C1054" s="104"/>
      <c r="D1054" s="104"/>
      <c r="E1054" s="104"/>
      <c r="F1054" s="104"/>
      <c r="G1054" s="104"/>
      <c r="H1054" s="104"/>
      <c r="I1054" s="104"/>
      <c r="J1054" s="104"/>
      <c r="K1054" s="104"/>
      <c r="L1054" s="104"/>
      <c r="M1054" s="104"/>
    </row>
    <row r="1055" spans="1:13" ht="11.1" customHeight="1">
      <c r="A1055" s="101" t="s">
        <v>54</v>
      </c>
      <c r="B1055" s="101"/>
      <c r="C1055" s="101"/>
      <c r="D1055" s="101"/>
      <c r="E1055" s="101"/>
      <c r="F1055" s="101"/>
      <c r="G1055" s="101"/>
      <c r="H1055" s="101"/>
      <c r="I1055" s="101"/>
      <c r="J1055" s="101"/>
      <c r="K1055" s="101"/>
      <c r="L1055" s="101"/>
      <c r="M1055" s="101"/>
    </row>
    <row r="1056" spans="1:13" ht="11.1" customHeight="1">
      <c r="A1056" s="101" t="s">
        <v>55</v>
      </c>
      <c r="B1056" s="101"/>
      <c r="C1056" s="101"/>
      <c r="D1056" s="101"/>
      <c r="E1056" s="101"/>
      <c r="F1056" s="101"/>
      <c r="G1056" s="101"/>
      <c r="H1056" s="101"/>
      <c r="I1056" s="101"/>
      <c r="J1056" s="101"/>
      <c r="K1056" s="101"/>
      <c r="L1056" s="101"/>
      <c r="M1056" s="101"/>
    </row>
    <row r="1057" spans="1:15" ht="19.5" customHeight="1">
      <c r="A1057" s="69" t="s">
        <v>0</v>
      </c>
      <c r="B1057" s="69"/>
      <c r="C1057" s="69"/>
      <c r="D1057" s="69"/>
      <c r="E1057" s="69"/>
      <c r="F1057" s="69"/>
      <c r="G1057" s="69"/>
      <c r="H1057" s="69"/>
      <c r="I1057" s="69"/>
      <c r="J1057" s="69"/>
      <c r="K1057" s="69"/>
      <c r="L1057" s="69"/>
      <c r="M1057" s="69"/>
    </row>
    <row r="1058" spans="1:15" ht="20.100000000000001" customHeight="1">
      <c r="A1058" s="4" t="s">
        <v>32</v>
      </c>
      <c r="B1058" s="5">
        <f>+B1014+1</f>
        <v>90</v>
      </c>
      <c r="C1058" s="35"/>
      <c r="D1058" s="35"/>
      <c r="E1058" s="35"/>
      <c r="F1058" s="35"/>
      <c r="G1058" s="35"/>
      <c r="H1058" s="35"/>
      <c r="I1058" s="35"/>
      <c r="J1058" s="35"/>
      <c r="K1058" s="35"/>
      <c r="L1058" s="35"/>
      <c r="M1058" s="35"/>
    </row>
    <row r="1059" spans="1:15" ht="24" customHeight="1" thickBot="1">
      <c r="A1059" s="4" t="s">
        <v>33</v>
      </c>
      <c r="H1059" s="70" t="s">
        <v>34</v>
      </c>
      <c r="I1059" s="70"/>
      <c r="J1059" s="70"/>
      <c r="K1059" s="102">
        <f>+K1015+1</f>
        <v>46016</v>
      </c>
      <c r="L1059" s="102"/>
      <c r="M1059" s="102"/>
      <c r="O1059" s="7"/>
    </row>
    <row r="1060" spans="1:15" ht="33.75" customHeight="1" thickBot="1">
      <c r="A1060" s="80" t="s">
        <v>1</v>
      </c>
      <c r="B1060" s="81"/>
      <c r="C1060" s="82"/>
      <c r="D1060" s="86" t="str">
        <f>+D1016</f>
        <v>光明國中B與C區5樓老舊廁所整修工程</v>
      </c>
      <c r="E1060" s="87"/>
      <c r="F1060" s="87"/>
      <c r="G1060" s="88"/>
      <c r="H1060" s="80" t="s">
        <v>2</v>
      </c>
      <c r="I1060" s="81"/>
      <c r="J1060" s="82"/>
      <c r="K1060" s="80" t="s">
        <v>35</v>
      </c>
      <c r="L1060" s="81"/>
      <c r="M1060" s="82"/>
    </row>
    <row r="1061" spans="1:15" ht="33.75" customHeight="1" thickBot="1">
      <c r="A1061" s="8" t="s">
        <v>3</v>
      </c>
      <c r="B1061" s="36">
        <f>+B1017</f>
        <v>145</v>
      </c>
      <c r="C1061" s="10" t="s">
        <v>36</v>
      </c>
      <c r="D1061" s="80" t="s">
        <v>4</v>
      </c>
      <c r="E1061" s="89"/>
      <c r="F1061" s="37">
        <f>+F1017+1</f>
        <v>90</v>
      </c>
      <c r="G1061" s="12" t="s">
        <v>36</v>
      </c>
      <c r="H1061" s="13" t="s">
        <v>5</v>
      </c>
      <c r="I1061" s="36">
        <f>+B1061-F1061</f>
        <v>55</v>
      </c>
      <c r="J1061" s="10" t="s">
        <v>36</v>
      </c>
      <c r="K1061" s="80" t="s">
        <v>6</v>
      </c>
      <c r="L1061" s="82"/>
      <c r="M1061" s="13">
        <f>+M1017</f>
        <v>15</v>
      </c>
    </row>
    <row r="1062" spans="1:15" ht="24" customHeight="1" thickBot="1">
      <c r="A1062" s="80" t="s">
        <v>7</v>
      </c>
      <c r="B1062" s="81"/>
      <c r="C1062" s="82"/>
      <c r="D1062" s="80" t="str">
        <f>+D1018</f>
        <v>114.9.27</v>
      </c>
      <c r="E1062" s="81"/>
      <c r="F1062" s="81"/>
      <c r="G1062" s="82"/>
      <c r="H1062" s="80" t="s">
        <v>8</v>
      </c>
      <c r="I1062" s="81"/>
      <c r="J1062" s="82"/>
      <c r="K1062" s="80" t="str">
        <f>+K1018</f>
        <v>115.2.18</v>
      </c>
      <c r="L1062" s="81"/>
      <c r="M1062" s="82"/>
    </row>
    <row r="1063" spans="1:15" ht="24" customHeight="1" thickBot="1">
      <c r="A1063" s="80" t="s">
        <v>37</v>
      </c>
      <c r="B1063" s="81"/>
      <c r="C1063" s="82"/>
      <c r="D1063" s="83">
        <v>0.46</v>
      </c>
      <c r="E1063" s="84"/>
      <c r="F1063" s="84"/>
      <c r="G1063" s="85"/>
      <c r="H1063" s="80" t="s">
        <v>38</v>
      </c>
      <c r="I1063" s="81"/>
      <c r="J1063" s="82"/>
      <c r="K1063" s="83">
        <f>+K1019+2%+1%</f>
        <v>0.5860000000000003</v>
      </c>
      <c r="L1063" s="84"/>
      <c r="M1063" s="85"/>
    </row>
    <row r="1064" spans="1:15" ht="24" customHeight="1" thickBot="1">
      <c r="A1064" s="72" t="s">
        <v>9</v>
      </c>
      <c r="B1064" s="73"/>
      <c r="C1064" s="73"/>
      <c r="D1064" s="73"/>
      <c r="E1064" s="73"/>
      <c r="F1064" s="73"/>
      <c r="G1064" s="73"/>
      <c r="H1064" s="73"/>
      <c r="I1064" s="73"/>
      <c r="J1064" s="73"/>
      <c r="K1064" s="73"/>
      <c r="L1064" s="73"/>
      <c r="M1064" s="74"/>
    </row>
    <row r="1065" spans="1:15" ht="35.25" customHeight="1" thickBot="1">
      <c r="A1065" s="75" t="s">
        <v>10</v>
      </c>
      <c r="B1065" s="76"/>
      <c r="C1065" s="76"/>
      <c r="D1065" s="77"/>
      <c r="E1065" s="14" t="s">
        <v>11</v>
      </c>
      <c r="F1065" s="75" t="s">
        <v>12</v>
      </c>
      <c r="G1065" s="77"/>
      <c r="H1065" s="75" t="s">
        <v>13</v>
      </c>
      <c r="I1065" s="77"/>
      <c r="J1065" s="78" t="s">
        <v>14</v>
      </c>
      <c r="K1065" s="79"/>
      <c r="L1065" s="75" t="s">
        <v>15</v>
      </c>
      <c r="M1065" s="77"/>
    </row>
    <row r="1066" spans="1:15" ht="27.95" customHeight="1" thickBot="1">
      <c r="A1066" s="141" t="s">
        <v>171</v>
      </c>
      <c r="B1066" s="142"/>
      <c r="C1066" s="142"/>
      <c r="D1066" s="143"/>
      <c r="E1066" s="50" t="s">
        <v>172</v>
      </c>
      <c r="F1066" s="56">
        <v>44</v>
      </c>
      <c r="G1066" s="57"/>
      <c r="H1066" s="56">
        <v>44</v>
      </c>
      <c r="I1066" s="57"/>
      <c r="J1066" s="56">
        <v>44</v>
      </c>
      <c r="K1066" s="57"/>
      <c r="L1066" s="58"/>
      <c r="M1066" s="59"/>
    </row>
    <row r="1067" spans="1:15" ht="27.95" customHeight="1" thickBot="1">
      <c r="A1067" s="163"/>
      <c r="B1067" s="164"/>
      <c r="C1067" s="164"/>
      <c r="D1067" s="165"/>
      <c r="E1067" s="15"/>
      <c r="F1067" s="56"/>
      <c r="G1067" s="57"/>
      <c r="H1067" s="56"/>
      <c r="I1067" s="57"/>
      <c r="J1067" s="56"/>
      <c r="K1067" s="57"/>
      <c r="L1067" s="58"/>
      <c r="M1067" s="59"/>
    </row>
    <row r="1068" spans="1:15" ht="24.95" customHeight="1" thickTop="1" thickBot="1">
      <c r="A1068" s="130" t="s">
        <v>16</v>
      </c>
      <c r="B1068" s="67"/>
      <c r="C1068" s="67"/>
      <c r="D1068" s="68"/>
      <c r="E1068" s="38"/>
      <c r="F1068" s="131"/>
      <c r="G1068" s="132"/>
      <c r="H1068" s="131"/>
      <c r="I1068" s="132"/>
      <c r="J1068" s="131"/>
      <c r="K1068" s="132"/>
      <c r="L1068" s="131"/>
      <c r="M1068" s="133"/>
    </row>
    <row r="1069" spans="1:15" ht="24.95" customHeight="1" thickBot="1">
      <c r="A1069" s="134" t="s">
        <v>17</v>
      </c>
      <c r="B1069" s="135"/>
      <c r="C1069" s="135"/>
      <c r="D1069" s="59"/>
      <c r="E1069" s="38"/>
      <c r="F1069" s="58"/>
      <c r="G1069" s="59"/>
      <c r="H1069" s="58"/>
      <c r="I1069" s="59"/>
      <c r="J1069" s="58"/>
      <c r="K1069" s="59"/>
      <c r="L1069" s="58"/>
      <c r="M1069" s="136"/>
    </row>
    <row r="1070" spans="1:15" ht="24.95" customHeight="1" thickBot="1">
      <c r="A1070" s="118" t="s">
        <v>18</v>
      </c>
      <c r="B1070" s="119"/>
      <c r="C1070" s="119"/>
      <c r="D1070" s="120"/>
      <c r="E1070" s="24"/>
      <c r="F1070" s="121"/>
      <c r="G1070" s="120"/>
      <c r="H1070" s="121"/>
      <c r="I1070" s="120"/>
      <c r="J1070" s="121"/>
      <c r="K1070" s="120"/>
      <c r="L1070" s="121"/>
      <c r="M1070" s="122"/>
    </row>
    <row r="1071" spans="1:15" ht="24" customHeight="1" thickTop="1" thickBot="1">
      <c r="A1071" s="66" t="s">
        <v>19</v>
      </c>
      <c r="B1071" s="67"/>
      <c r="C1071" s="67"/>
      <c r="D1071" s="67"/>
      <c r="E1071" s="67"/>
      <c r="F1071" s="67"/>
      <c r="G1071" s="67"/>
      <c r="H1071" s="67"/>
      <c r="I1071" s="67"/>
      <c r="J1071" s="67"/>
      <c r="K1071" s="67"/>
      <c r="L1071" s="67"/>
      <c r="M1071" s="68"/>
    </row>
    <row r="1072" spans="1:15" ht="35.25" customHeight="1" thickBot="1">
      <c r="A1072" s="75" t="s">
        <v>20</v>
      </c>
      <c r="B1072" s="76"/>
      <c r="C1072" s="76"/>
      <c r="D1072" s="77"/>
      <c r="E1072" s="14" t="s">
        <v>11</v>
      </c>
      <c r="F1072" s="75" t="s">
        <v>39</v>
      </c>
      <c r="G1072" s="77"/>
      <c r="H1072" s="75" t="s">
        <v>21</v>
      </c>
      <c r="I1072" s="77"/>
      <c r="J1072" s="78" t="s">
        <v>22</v>
      </c>
      <c r="K1072" s="79"/>
      <c r="L1072" s="75" t="s">
        <v>15</v>
      </c>
      <c r="M1072" s="77"/>
    </row>
    <row r="1073" spans="1:13" ht="24" customHeight="1" thickBot="1">
      <c r="A1073" s="96"/>
      <c r="B1073" s="97"/>
      <c r="C1073" s="97"/>
      <c r="D1073" s="98"/>
      <c r="E1073" s="38"/>
      <c r="F1073" s="58"/>
      <c r="G1073" s="59"/>
      <c r="H1073" s="58"/>
      <c r="I1073" s="59"/>
      <c r="J1073" s="56"/>
      <c r="K1073" s="57"/>
      <c r="L1073" s="58"/>
      <c r="M1073" s="59"/>
    </row>
    <row r="1074" spans="1:13" ht="24" customHeight="1" thickBot="1">
      <c r="A1074" s="96"/>
      <c r="B1074" s="97"/>
      <c r="C1074" s="97"/>
      <c r="D1074" s="98"/>
      <c r="E1074" s="38"/>
      <c r="F1074" s="58"/>
      <c r="G1074" s="59"/>
      <c r="H1074" s="58"/>
      <c r="I1074" s="59"/>
      <c r="J1074" s="56"/>
      <c r="K1074" s="57"/>
      <c r="L1074" s="58"/>
      <c r="M1074" s="59"/>
    </row>
    <row r="1075" spans="1:13" ht="24" customHeight="1" thickBot="1">
      <c r="A1075" s="60" t="s">
        <v>23</v>
      </c>
      <c r="B1075" s="61"/>
      <c r="C1075" s="61"/>
      <c r="D1075" s="61"/>
      <c r="E1075" s="61"/>
      <c r="F1075" s="61"/>
      <c r="G1075" s="61"/>
      <c r="H1075" s="61"/>
      <c r="I1075" s="61"/>
      <c r="J1075" s="61"/>
      <c r="K1075" s="61"/>
      <c r="L1075" s="61"/>
      <c r="M1075" s="62"/>
    </row>
    <row r="1076" spans="1:13" ht="35.25" customHeight="1" thickBot="1">
      <c r="A1076" s="75" t="s">
        <v>24</v>
      </c>
      <c r="B1076" s="77"/>
      <c r="C1076" s="75" t="s">
        <v>25</v>
      </c>
      <c r="D1076" s="77"/>
      <c r="E1076" s="75" t="s">
        <v>26</v>
      </c>
      <c r="F1076" s="76"/>
      <c r="G1076" s="77"/>
      <c r="H1076" s="75" t="s">
        <v>27</v>
      </c>
      <c r="I1076" s="77"/>
      <c r="J1076" s="78" t="s">
        <v>21</v>
      </c>
      <c r="K1076" s="79"/>
      <c r="L1076" s="75" t="s">
        <v>22</v>
      </c>
      <c r="M1076" s="77"/>
    </row>
    <row r="1077" spans="1:13" s="18" customFormat="1" ht="24.75" customHeight="1" thickBot="1">
      <c r="A1077" s="99" t="s">
        <v>119</v>
      </c>
      <c r="B1077" s="137"/>
      <c r="C1077" s="56">
        <v>2</v>
      </c>
      <c r="D1077" s="57"/>
      <c r="E1077" s="56">
        <v>60</v>
      </c>
      <c r="F1077" s="100"/>
      <c r="G1077" s="57"/>
      <c r="H1077" s="56"/>
      <c r="I1077" s="57"/>
      <c r="J1077" s="56"/>
      <c r="K1077" s="57"/>
      <c r="L1077" s="56"/>
      <c r="M1077" s="57"/>
    </row>
    <row r="1078" spans="1:13" s="18" customFormat="1" ht="24.75" customHeight="1" thickBot="1">
      <c r="A1078" s="99"/>
      <c r="B1078" s="98"/>
      <c r="C1078" s="56"/>
      <c r="D1078" s="57"/>
      <c r="E1078" s="56"/>
      <c r="F1078" s="100"/>
      <c r="G1078" s="57"/>
      <c r="H1078" s="56"/>
      <c r="I1078" s="57"/>
      <c r="J1078" s="56"/>
      <c r="K1078" s="57"/>
      <c r="L1078" s="56"/>
      <c r="M1078" s="57"/>
    </row>
    <row r="1079" spans="1:13" ht="33" customHeight="1" thickBot="1">
      <c r="A1079" s="112" t="s">
        <v>40</v>
      </c>
      <c r="B1079" s="113"/>
      <c r="C1079" s="113"/>
      <c r="D1079" s="113"/>
      <c r="E1079" s="113"/>
      <c r="F1079" s="113"/>
      <c r="G1079" s="113"/>
      <c r="H1079" s="113"/>
      <c r="I1079" s="113"/>
      <c r="J1079" s="113"/>
      <c r="K1079" s="113"/>
      <c r="L1079" s="113"/>
      <c r="M1079" s="114"/>
    </row>
    <row r="1080" spans="1:13" ht="16.5" customHeight="1">
      <c r="A1080" s="115" t="s">
        <v>41</v>
      </c>
      <c r="B1080" s="116"/>
      <c r="C1080" s="116"/>
      <c r="D1080" s="116"/>
      <c r="E1080" s="116"/>
      <c r="F1080" s="116"/>
      <c r="G1080" s="116"/>
      <c r="H1080" s="116"/>
      <c r="I1080" s="116"/>
      <c r="J1080" s="116"/>
      <c r="K1080" s="116"/>
      <c r="L1080" s="116"/>
      <c r="M1080" s="117"/>
    </row>
    <row r="1081" spans="1:13" ht="16.5" customHeight="1">
      <c r="A1081" s="90" t="s">
        <v>28</v>
      </c>
      <c r="B1081" s="91"/>
      <c r="C1081" s="91"/>
      <c r="D1081" s="91"/>
      <c r="E1081" s="91"/>
      <c r="F1081" s="91"/>
      <c r="G1081" s="91"/>
      <c r="H1081" s="91"/>
      <c r="I1081" s="91"/>
      <c r="J1081" s="91"/>
      <c r="K1081" s="91"/>
      <c r="L1081" s="91"/>
      <c r="M1081" s="92"/>
    </row>
    <row r="1082" spans="1:13" s="1" customFormat="1" ht="16.5" customHeight="1">
      <c r="A1082" s="93" t="s">
        <v>56</v>
      </c>
      <c r="B1082" s="94"/>
      <c r="C1082" s="94"/>
      <c r="D1082" s="94"/>
      <c r="E1082" s="94"/>
      <c r="F1082" s="94"/>
      <c r="G1082" s="94"/>
      <c r="H1082" s="94"/>
      <c r="I1082" s="94"/>
      <c r="J1082" s="94"/>
      <c r="K1082" s="94"/>
      <c r="L1082" s="94"/>
      <c r="M1082" s="95"/>
    </row>
    <row r="1083" spans="1:13" s="1" customFormat="1" ht="16.5" customHeight="1">
      <c r="A1083" s="93" t="s">
        <v>57</v>
      </c>
      <c r="B1083" s="94"/>
      <c r="C1083" s="94"/>
      <c r="D1083" s="94"/>
      <c r="E1083" s="94"/>
      <c r="F1083" s="94"/>
      <c r="G1083" s="94"/>
      <c r="H1083" s="94"/>
      <c r="I1083" s="94"/>
      <c r="J1083" s="94"/>
      <c r="K1083" s="94"/>
      <c r="L1083" s="94"/>
      <c r="M1083" s="95"/>
    </row>
    <row r="1084" spans="1:13" s="1" customFormat="1" ht="16.5" customHeight="1">
      <c r="A1084" s="93" t="s">
        <v>58</v>
      </c>
      <c r="B1084" s="94"/>
      <c r="C1084" s="94"/>
      <c r="D1084" s="94"/>
      <c r="E1084" s="94"/>
      <c r="F1084" s="94"/>
      <c r="G1084" s="94"/>
      <c r="H1084" s="94"/>
      <c r="I1084" s="94"/>
      <c r="J1084" s="94"/>
      <c r="K1084" s="94"/>
      <c r="L1084" s="94"/>
      <c r="M1084" s="95"/>
    </row>
    <row r="1085" spans="1:13" s="1" customFormat="1" ht="16.5" customHeight="1">
      <c r="A1085" s="93" t="s">
        <v>59</v>
      </c>
      <c r="B1085" s="94"/>
      <c r="C1085" s="94"/>
      <c r="D1085" s="94"/>
      <c r="E1085" s="94"/>
      <c r="F1085" s="94"/>
      <c r="G1085" s="94"/>
      <c r="H1085" s="94"/>
      <c r="I1085" s="94"/>
      <c r="J1085" s="94"/>
      <c r="K1085" s="94"/>
      <c r="L1085" s="94"/>
      <c r="M1085" s="95"/>
    </row>
    <row r="1086" spans="1:13" ht="16.5" customHeight="1">
      <c r="A1086" s="106" t="s">
        <v>29</v>
      </c>
      <c r="B1086" s="107"/>
      <c r="C1086" s="107"/>
      <c r="D1086" s="107"/>
      <c r="E1086" s="107"/>
      <c r="F1086" s="107"/>
      <c r="G1086" s="107"/>
      <c r="H1086" s="107"/>
      <c r="I1086" s="107"/>
      <c r="J1086" s="107"/>
      <c r="K1086" s="107"/>
      <c r="L1086" s="107"/>
      <c r="M1086" s="108"/>
    </row>
    <row r="1087" spans="1:13" ht="9.75" customHeight="1" thickBot="1">
      <c r="A1087" s="109"/>
      <c r="B1087" s="110"/>
      <c r="C1087" s="110"/>
      <c r="D1087" s="110"/>
      <c r="E1087" s="110"/>
      <c r="F1087" s="110"/>
      <c r="G1087" s="110"/>
      <c r="H1087" s="110"/>
      <c r="I1087" s="110"/>
      <c r="J1087" s="110"/>
      <c r="K1087" s="110"/>
      <c r="L1087" s="110"/>
      <c r="M1087" s="111"/>
    </row>
    <row r="1088" spans="1:13" ht="18.75" customHeight="1" thickBot="1">
      <c r="A1088" s="72" t="s">
        <v>30</v>
      </c>
      <c r="B1088" s="73"/>
      <c r="C1088" s="73"/>
      <c r="D1088" s="73"/>
      <c r="E1088" s="73"/>
      <c r="F1088" s="73"/>
      <c r="G1088" s="73"/>
      <c r="H1088" s="73"/>
      <c r="I1088" s="73"/>
      <c r="J1088" s="73"/>
      <c r="K1088" s="73"/>
      <c r="L1088" s="73"/>
      <c r="M1088" s="74"/>
    </row>
    <row r="1089" spans="1:15" ht="24" customHeight="1" thickBot="1">
      <c r="A1089" s="72" t="s">
        <v>31</v>
      </c>
      <c r="B1089" s="73"/>
      <c r="C1089" s="73"/>
      <c r="D1089" s="73"/>
      <c r="E1089" s="73"/>
      <c r="F1089" s="73"/>
      <c r="G1089" s="73"/>
      <c r="H1089" s="73"/>
      <c r="I1089" s="73"/>
      <c r="J1089" s="73"/>
      <c r="K1089" s="73"/>
      <c r="L1089" s="73"/>
      <c r="M1089" s="74"/>
    </row>
    <row r="1090" spans="1:15" ht="24" customHeight="1" thickBot="1">
      <c r="A1090" s="72" t="s">
        <v>189</v>
      </c>
      <c r="B1090" s="73"/>
      <c r="C1090" s="73"/>
      <c r="D1090" s="73"/>
      <c r="E1090" s="73"/>
      <c r="F1090" s="73"/>
      <c r="G1090" s="73"/>
      <c r="H1090" s="73"/>
      <c r="I1090" s="73"/>
      <c r="J1090" s="73"/>
      <c r="K1090" s="73"/>
      <c r="L1090" s="73"/>
      <c r="M1090" s="74"/>
    </row>
    <row r="1091" spans="1:15" ht="24" customHeight="1" thickBot="1">
      <c r="A1091" s="60" t="s">
        <v>46</v>
      </c>
      <c r="B1091" s="61"/>
      <c r="C1091" s="61"/>
      <c r="D1091" s="61"/>
      <c r="E1091" s="61"/>
      <c r="F1091" s="61"/>
      <c r="G1091" s="61"/>
      <c r="H1091" s="61"/>
      <c r="I1091" s="61"/>
      <c r="J1091" s="61"/>
      <c r="K1091" s="61"/>
      <c r="L1091" s="61"/>
      <c r="M1091" s="62"/>
    </row>
    <row r="1092" spans="1:15" ht="11.1" customHeight="1">
      <c r="A1092" s="103" t="s">
        <v>47</v>
      </c>
      <c r="B1092" s="103"/>
      <c r="C1092" s="103"/>
      <c r="D1092" s="103"/>
      <c r="E1092" s="103"/>
      <c r="F1092" s="103"/>
      <c r="G1092" s="103"/>
      <c r="H1092" s="103"/>
      <c r="I1092" s="103"/>
      <c r="J1092" s="103"/>
      <c r="K1092" s="103"/>
      <c r="L1092" s="103"/>
      <c r="M1092" s="103"/>
    </row>
    <row r="1093" spans="1:15" ht="11.1" customHeight="1">
      <c r="A1093" s="104" t="s">
        <v>48</v>
      </c>
      <c r="B1093" s="104"/>
      <c r="C1093" s="104"/>
      <c r="D1093" s="104"/>
      <c r="E1093" s="104"/>
      <c r="F1093" s="104"/>
      <c r="G1093" s="104"/>
      <c r="H1093" s="104"/>
      <c r="I1093" s="104"/>
      <c r="J1093" s="104"/>
      <c r="K1093" s="104"/>
      <c r="L1093" s="104"/>
      <c r="M1093" s="104"/>
    </row>
    <row r="1094" spans="1:15" ht="11.1" customHeight="1">
      <c r="A1094" s="105" t="s">
        <v>49</v>
      </c>
      <c r="B1094" s="105"/>
      <c r="C1094" s="105"/>
      <c r="D1094" s="105"/>
      <c r="E1094" s="105"/>
      <c r="F1094" s="105"/>
      <c r="G1094" s="105"/>
      <c r="H1094" s="105"/>
      <c r="I1094" s="105"/>
      <c r="J1094" s="105"/>
      <c r="K1094" s="105"/>
      <c r="L1094" s="105"/>
      <c r="M1094" s="105"/>
    </row>
    <row r="1095" spans="1:15" ht="11.1" customHeight="1">
      <c r="A1095" s="105" t="s">
        <v>50</v>
      </c>
      <c r="B1095" s="105"/>
      <c r="C1095" s="105"/>
      <c r="D1095" s="105"/>
      <c r="E1095" s="105"/>
      <c r="F1095" s="105"/>
      <c r="G1095" s="105"/>
      <c r="H1095" s="105"/>
      <c r="I1095" s="105"/>
      <c r="J1095" s="105"/>
      <c r="K1095" s="105"/>
      <c r="L1095" s="105"/>
      <c r="M1095" s="105"/>
    </row>
    <row r="1096" spans="1:15" ht="11.1" customHeight="1">
      <c r="A1096" s="104" t="s">
        <v>51</v>
      </c>
      <c r="B1096" s="104"/>
      <c r="C1096" s="104"/>
      <c r="D1096" s="104"/>
      <c r="E1096" s="104"/>
      <c r="F1096" s="104"/>
      <c r="G1096" s="104"/>
      <c r="H1096" s="104"/>
      <c r="I1096" s="104"/>
      <c r="J1096" s="104"/>
      <c r="K1096" s="104"/>
      <c r="L1096" s="104"/>
      <c r="M1096" s="104"/>
    </row>
    <row r="1097" spans="1:15" ht="11.1" customHeight="1">
      <c r="A1097" s="104" t="s">
        <v>52</v>
      </c>
      <c r="B1097" s="104"/>
      <c r="C1097" s="104"/>
      <c r="D1097" s="104"/>
      <c r="E1097" s="104"/>
      <c r="F1097" s="104"/>
      <c r="G1097" s="104"/>
      <c r="H1097" s="104"/>
      <c r="I1097" s="104"/>
      <c r="J1097" s="104"/>
      <c r="K1097" s="104"/>
      <c r="L1097" s="104"/>
      <c r="M1097" s="104"/>
    </row>
    <row r="1098" spans="1:15" ht="11.1" customHeight="1">
      <c r="A1098" s="104" t="s">
        <v>53</v>
      </c>
      <c r="B1098" s="104"/>
      <c r="C1098" s="104"/>
      <c r="D1098" s="104"/>
      <c r="E1098" s="104"/>
      <c r="F1098" s="104"/>
      <c r="G1098" s="104"/>
      <c r="H1098" s="104"/>
      <c r="I1098" s="104"/>
      <c r="J1098" s="104"/>
      <c r="K1098" s="104"/>
      <c r="L1098" s="104"/>
      <c r="M1098" s="104"/>
    </row>
    <row r="1099" spans="1:15" ht="11.1" customHeight="1">
      <c r="A1099" s="101" t="s">
        <v>54</v>
      </c>
      <c r="B1099" s="101"/>
      <c r="C1099" s="101"/>
      <c r="D1099" s="101"/>
      <c r="E1099" s="101"/>
      <c r="F1099" s="101"/>
      <c r="G1099" s="101"/>
      <c r="H1099" s="101"/>
      <c r="I1099" s="101"/>
      <c r="J1099" s="101"/>
      <c r="K1099" s="101"/>
      <c r="L1099" s="101"/>
      <c r="M1099" s="101"/>
    </row>
    <row r="1100" spans="1:15" ht="11.1" customHeight="1">
      <c r="A1100" s="101" t="s">
        <v>55</v>
      </c>
      <c r="B1100" s="101"/>
      <c r="C1100" s="101"/>
      <c r="D1100" s="101"/>
      <c r="E1100" s="101"/>
      <c r="F1100" s="101"/>
      <c r="G1100" s="101"/>
      <c r="H1100" s="101"/>
      <c r="I1100" s="101"/>
      <c r="J1100" s="101"/>
      <c r="K1100" s="101"/>
      <c r="L1100" s="101"/>
      <c r="M1100" s="101"/>
    </row>
    <row r="1101" spans="1:15" ht="19.5" customHeight="1">
      <c r="A1101" s="69" t="s">
        <v>0</v>
      </c>
      <c r="B1101" s="69"/>
      <c r="C1101" s="69"/>
      <c r="D1101" s="69"/>
      <c r="E1101" s="69"/>
      <c r="F1101" s="69"/>
      <c r="G1101" s="69"/>
      <c r="H1101" s="69"/>
      <c r="I1101" s="69"/>
      <c r="J1101" s="69"/>
      <c r="K1101" s="69"/>
      <c r="L1101" s="69"/>
      <c r="M1101" s="69"/>
    </row>
    <row r="1102" spans="1:15" ht="20.100000000000001" customHeight="1">
      <c r="A1102" s="4" t="s">
        <v>32</v>
      </c>
      <c r="B1102" s="5">
        <f>+B1058+1</f>
        <v>91</v>
      </c>
      <c r="C1102" s="35"/>
      <c r="D1102" s="35"/>
      <c r="E1102" s="35"/>
      <c r="F1102" s="35"/>
      <c r="G1102" s="35"/>
      <c r="H1102" s="35"/>
      <c r="I1102" s="35"/>
      <c r="J1102" s="35"/>
      <c r="K1102" s="35"/>
      <c r="L1102" s="35"/>
      <c r="M1102" s="35"/>
    </row>
    <row r="1103" spans="1:15" ht="24" customHeight="1" thickBot="1">
      <c r="A1103" s="4" t="s">
        <v>33</v>
      </c>
      <c r="H1103" s="70" t="s">
        <v>34</v>
      </c>
      <c r="I1103" s="70"/>
      <c r="J1103" s="70"/>
      <c r="K1103" s="102">
        <f>+K1059+1</f>
        <v>46017</v>
      </c>
      <c r="L1103" s="102"/>
      <c r="M1103" s="102"/>
      <c r="O1103" s="7"/>
    </row>
    <row r="1104" spans="1:15" ht="33.75" customHeight="1" thickBot="1">
      <c r="A1104" s="80" t="s">
        <v>1</v>
      </c>
      <c r="B1104" s="81"/>
      <c r="C1104" s="82"/>
      <c r="D1104" s="86" t="str">
        <f>+D1060</f>
        <v>光明國中B與C區5樓老舊廁所整修工程</v>
      </c>
      <c r="E1104" s="87"/>
      <c r="F1104" s="87"/>
      <c r="G1104" s="88"/>
      <c r="H1104" s="80" t="s">
        <v>2</v>
      </c>
      <c r="I1104" s="81"/>
      <c r="J1104" s="82"/>
      <c r="K1104" s="80" t="s">
        <v>35</v>
      </c>
      <c r="L1104" s="81"/>
      <c r="M1104" s="82"/>
    </row>
    <row r="1105" spans="1:13" ht="33.75" customHeight="1" thickBot="1">
      <c r="A1105" s="8" t="s">
        <v>3</v>
      </c>
      <c r="B1105" s="36">
        <f>+B1061</f>
        <v>145</v>
      </c>
      <c r="C1105" s="10" t="s">
        <v>36</v>
      </c>
      <c r="D1105" s="80" t="s">
        <v>4</v>
      </c>
      <c r="E1105" s="89"/>
      <c r="F1105" s="37">
        <f>+F1061+1</f>
        <v>91</v>
      </c>
      <c r="G1105" s="12" t="s">
        <v>36</v>
      </c>
      <c r="H1105" s="13" t="s">
        <v>5</v>
      </c>
      <c r="I1105" s="36">
        <f>+B1105-F1105</f>
        <v>54</v>
      </c>
      <c r="J1105" s="10" t="s">
        <v>36</v>
      </c>
      <c r="K1105" s="80" t="s">
        <v>6</v>
      </c>
      <c r="L1105" s="82"/>
      <c r="M1105" s="13">
        <f>+M1061</f>
        <v>15</v>
      </c>
    </row>
    <row r="1106" spans="1:13" ht="24" customHeight="1" thickBot="1">
      <c r="A1106" s="80" t="s">
        <v>7</v>
      </c>
      <c r="B1106" s="81"/>
      <c r="C1106" s="82"/>
      <c r="D1106" s="80" t="str">
        <f>+D1062</f>
        <v>114.9.27</v>
      </c>
      <c r="E1106" s="81"/>
      <c r="F1106" s="81"/>
      <c r="G1106" s="82"/>
      <c r="H1106" s="80" t="s">
        <v>8</v>
      </c>
      <c r="I1106" s="81"/>
      <c r="J1106" s="82"/>
      <c r="K1106" s="80" t="str">
        <f>+K1062</f>
        <v>115.2.18</v>
      </c>
      <c r="L1106" s="81"/>
      <c r="M1106" s="82"/>
    </row>
    <row r="1107" spans="1:13" ht="24" customHeight="1" thickBot="1">
      <c r="A1107" s="80" t="s">
        <v>37</v>
      </c>
      <c r="B1107" s="81"/>
      <c r="C1107" s="82"/>
      <c r="D1107" s="83">
        <v>0.47</v>
      </c>
      <c r="E1107" s="84"/>
      <c r="F1107" s="84"/>
      <c r="G1107" s="85"/>
      <c r="H1107" s="80" t="s">
        <v>38</v>
      </c>
      <c r="I1107" s="81"/>
      <c r="J1107" s="82"/>
      <c r="K1107" s="83">
        <f>+K1063+2%+1%</f>
        <v>0.61600000000000033</v>
      </c>
      <c r="L1107" s="84"/>
      <c r="M1107" s="85"/>
    </row>
    <row r="1108" spans="1:13" ht="24" customHeight="1" thickBot="1">
      <c r="A1108" s="72" t="s">
        <v>9</v>
      </c>
      <c r="B1108" s="73"/>
      <c r="C1108" s="73"/>
      <c r="D1108" s="73"/>
      <c r="E1108" s="73"/>
      <c r="F1108" s="73"/>
      <c r="G1108" s="73"/>
      <c r="H1108" s="73"/>
      <c r="I1108" s="73"/>
      <c r="J1108" s="73"/>
      <c r="K1108" s="73"/>
      <c r="L1108" s="73"/>
      <c r="M1108" s="74"/>
    </row>
    <row r="1109" spans="1:13" ht="35.25" customHeight="1" thickBot="1">
      <c r="A1109" s="75" t="s">
        <v>10</v>
      </c>
      <c r="B1109" s="76"/>
      <c r="C1109" s="76"/>
      <c r="D1109" s="77"/>
      <c r="E1109" s="14" t="s">
        <v>11</v>
      </c>
      <c r="F1109" s="75" t="s">
        <v>12</v>
      </c>
      <c r="G1109" s="77"/>
      <c r="H1109" s="75" t="s">
        <v>13</v>
      </c>
      <c r="I1109" s="77"/>
      <c r="J1109" s="78" t="s">
        <v>14</v>
      </c>
      <c r="K1109" s="79"/>
      <c r="L1109" s="75" t="s">
        <v>15</v>
      </c>
      <c r="M1109" s="77"/>
    </row>
    <row r="1110" spans="1:13" ht="27.95" customHeight="1" thickBot="1">
      <c r="A1110" s="141" t="s">
        <v>173</v>
      </c>
      <c r="B1110" s="142"/>
      <c r="C1110" s="142"/>
      <c r="D1110" s="143"/>
      <c r="E1110" s="50" t="s">
        <v>126</v>
      </c>
      <c r="F1110" s="56">
        <v>83</v>
      </c>
      <c r="G1110" s="57"/>
      <c r="H1110" s="56">
        <v>20</v>
      </c>
      <c r="I1110" s="57"/>
      <c r="J1110" s="56">
        <v>50</v>
      </c>
      <c r="K1110" s="57"/>
      <c r="L1110" s="58"/>
      <c r="M1110" s="59"/>
    </row>
    <row r="1111" spans="1:13" ht="27.95" customHeight="1" thickBot="1">
      <c r="A1111" s="141" t="s">
        <v>181</v>
      </c>
      <c r="B1111" s="142"/>
      <c r="C1111" s="142"/>
      <c r="D1111" s="143"/>
      <c r="E1111" s="15" t="s">
        <v>168</v>
      </c>
      <c r="F1111" s="56">
        <v>3</v>
      </c>
      <c r="G1111" s="57"/>
      <c r="H1111" s="56">
        <v>3</v>
      </c>
      <c r="I1111" s="57"/>
      <c r="J1111" s="56">
        <v>3</v>
      </c>
      <c r="K1111" s="57"/>
      <c r="L1111" s="58"/>
      <c r="M1111" s="59"/>
    </row>
    <row r="1112" spans="1:13" ht="24.95" customHeight="1" thickTop="1" thickBot="1">
      <c r="A1112" s="130" t="s">
        <v>16</v>
      </c>
      <c r="B1112" s="67"/>
      <c r="C1112" s="67"/>
      <c r="D1112" s="68"/>
      <c r="E1112" s="38"/>
      <c r="F1112" s="131"/>
      <c r="G1112" s="132"/>
      <c r="H1112" s="131"/>
      <c r="I1112" s="132"/>
      <c r="J1112" s="131"/>
      <c r="K1112" s="132"/>
      <c r="L1112" s="131"/>
      <c r="M1112" s="133"/>
    </row>
    <row r="1113" spans="1:13" ht="24.95" customHeight="1" thickBot="1">
      <c r="A1113" s="134" t="s">
        <v>17</v>
      </c>
      <c r="B1113" s="135"/>
      <c r="C1113" s="135"/>
      <c r="D1113" s="59"/>
      <c r="E1113" s="38"/>
      <c r="F1113" s="58"/>
      <c r="G1113" s="59"/>
      <c r="H1113" s="58"/>
      <c r="I1113" s="59"/>
      <c r="J1113" s="58"/>
      <c r="K1113" s="59"/>
      <c r="L1113" s="58"/>
      <c r="M1113" s="136"/>
    </row>
    <row r="1114" spans="1:13" ht="24.95" customHeight="1" thickBot="1">
      <c r="A1114" s="118" t="s">
        <v>18</v>
      </c>
      <c r="B1114" s="119"/>
      <c r="C1114" s="119"/>
      <c r="D1114" s="120"/>
      <c r="E1114" s="24"/>
      <c r="F1114" s="121"/>
      <c r="G1114" s="120"/>
      <c r="H1114" s="121"/>
      <c r="I1114" s="120"/>
      <c r="J1114" s="121"/>
      <c r="K1114" s="120"/>
      <c r="L1114" s="121"/>
      <c r="M1114" s="122"/>
    </row>
    <row r="1115" spans="1:13" ht="24" customHeight="1" thickTop="1" thickBot="1">
      <c r="A1115" s="66" t="s">
        <v>19</v>
      </c>
      <c r="B1115" s="67"/>
      <c r="C1115" s="67"/>
      <c r="D1115" s="67"/>
      <c r="E1115" s="67"/>
      <c r="F1115" s="67"/>
      <c r="G1115" s="67"/>
      <c r="H1115" s="67"/>
      <c r="I1115" s="67"/>
      <c r="J1115" s="67"/>
      <c r="K1115" s="67"/>
      <c r="L1115" s="67"/>
      <c r="M1115" s="68"/>
    </row>
    <row r="1116" spans="1:13" ht="35.25" customHeight="1" thickBot="1">
      <c r="A1116" s="75" t="s">
        <v>20</v>
      </c>
      <c r="B1116" s="76"/>
      <c r="C1116" s="76"/>
      <c r="D1116" s="77"/>
      <c r="E1116" s="14" t="s">
        <v>11</v>
      </c>
      <c r="F1116" s="75" t="s">
        <v>39</v>
      </c>
      <c r="G1116" s="77"/>
      <c r="H1116" s="75" t="s">
        <v>21</v>
      </c>
      <c r="I1116" s="77"/>
      <c r="J1116" s="78" t="s">
        <v>22</v>
      </c>
      <c r="K1116" s="79"/>
      <c r="L1116" s="75" t="s">
        <v>15</v>
      </c>
      <c r="M1116" s="77"/>
    </row>
    <row r="1117" spans="1:13" ht="24" customHeight="1" thickBot="1">
      <c r="A1117" s="96"/>
      <c r="B1117" s="97"/>
      <c r="C1117" s="97"/>
      <c r="D1117" s="98"/>
      <c r="E1117" s="38"/>
      <c r="F1117" s="58"/>
      <c r="G1117" s="59"/>
      <c r="H1117" s="58"/>
      <c r="I1117" s="59"/>
      <c r="J1117" s="56"/>
      <c r="K1117" s="57"/>
      <c r="L1117" s="58"/>
      <c r="M1117" s="59"/>
    </row>
    <row r="1118" spans="1:13" ht="24" customHeight="1" thickBot="1">
      <c r="A1118" s="96"/>
      <c r="B1118" s="97"/>
      <c r="C1118" s="97"/>
      <c r="D1118" s="98"/>
      <c r="E1118" s="38"/>
      <c r="F1118" s="58"/>
      <c r="G1118" s="59"/>
      <c r="H1118" s="58"/>
      <c r="I1118" s="59"/>
      <c r="J1118" s="56"/>
      <c r="K1118" s="57"/>
      <c r="L1118" s="58"/>
      <c r="M1118" s="59"/>
    </row>
    <row r="1119" spans="1:13" ht="24" customHeight="1" thickBot="1">
      <c r="A1119" s="60" t="s">
        <v>23</v>
      </c>
      <c r="B1119" s="61"/>
      <c r="C1119" s="61"/>
      <c r="D1119" s="61"/>
      <c r="E1119" s="61"/>
      <c r="F1119" s="61"/>
      <c r="G1119" s="61"/>
      <c r="H1119" s="61"/>
      <c r="I1119" s="61"/>
      <c r="J1119" s="61"/>
      <c r="K1119" s="61"/>
      <c r="L1119" s="61"/>
      <c r="M1119" s="62"/>
    </row>
    <row r="1120" spans="1:13" ht="35.25" customHeight="1" thickBot="1">
      <c r="A1120" s="75" t="s">
        <v>24</v>
      </c>
      <c r="B1120" s="77"/>
      <c r="C1120" s="75" t="s">
        <v>25</v>
      </c>
      <c r="D1120" s="77"/>
      <c r="E1120" s="75" t="s">
        <v>26</v>
      </c>
      <c r="F1120" s="76"/>
      <c r="G1120" s="77"/>
      <c r="H1120" s="75" t="s">
        <v>27</v>
      </c>
      <c r="I1120" s="77"/>
      <c r="J1120" s="78" t="s">
        <v>21</v>
      </c>
      <c r="K1120" s="79"/>
      <c r="L1120" s="75" t="s">
        <v>22</v>
      </c>
      <c r="M1120" s="77"/>
    </row>
    <row r="1121" spans="1:13" s="18" customFormat="1" ht="24.75" customHeight="1" thickBot="1">
      <c r="A1121" s="99" t="s">
        <v>119</v>
      </c>
      <c r="B1121" s="137"/>
      <c r="C1121" s="56">
        <v>3</v>
      </c>
      <c r="D1121" s="57"/>
      <c r="E1121" s="56">
        <v>63</v>
      </c>
      <c r="F1121" s="100"/>
      <c r="G1121" s="57"/>
      <c r="H1121" s="56"/>
      <c r="I1121" s="57"/>
      <c r="J1121" s="56"/>
      <c r="K1121" s="57"/>
      <c r="L1121" s="56"/>
      <c r="M1121" s="57"/>
    </row>
    <row r="1122" spans="1:13" s="18" customFormat="1" ht="24.75" customHeight="1" thickBot="1">
      <c r="A1122" s="99"/>
      <c r="B1122" s="98"/>
      <c r="C1122" s="56"/>
      <c r="D1122" s="57"/>
      <c r="E1122" s="56"/>
      <c r="F1122" s="100"/>
      <c r="G1122" s="57"/>
      <c r="H1122" s="56"/>
      <c r="I1122" s="57"/>
      <c r="J1122" s="56"/>
      <c r="K1122" s="57"/>
      <c r="L1122" s="56"/>
      <c r="M1122" s="57"/>
    </row>
    <row r="1123" spans="1:13" ht="33" customHeight="1" thickBot="1">
      <c r="A1123" s="112" t="s">
        <v>40</v>
      </c>
      <c r="B1123" s="113"/>
      <c r="C1123" s="113"/>
      <c r="D1123" s="113"/>
      <c r="E1123" s="113"/>
      <c r="F1123" s="113"/>
      <c r="G1123" s="113"/>
      <c r="H1123" s="113"/>
      <c r="I1123" s="113"/>
      <c r="J1123" s="113"/>
      <c r="K1123" s="113"/>
      <c r="L1123" s="113"/>
      <c r="M1123" s="114"/>
    </row>
    <row r="1124" spans="1:13" ht="16.5" customHeight="1">
      <c r="A1124" s="115" t="s">
        <v>41</v>
      </c>
      <c r="B1124" s="116"/>
      <c r="C1124" s="116"/>
      <c r="D1124" s="116"/>
      <c r="E1124" s="116"/>
      <c r="F1124" s="116"/>
      <c r="G1124" s="116"/>
      <c r="H1124" s="116"/>
      <c r="I1124" s="116"/>
      <c r="J1124" s="116"/>
      <c r="K1124" s="116"/>
      <c r="L1124" s="116"/>
      <c r="M1124" s="117"/>
    </row>
    <row r="1125" spans="1:13" ht="16.5" customHeight="1">
      <c r="A1125" s="90" t="s">
        <v>28</v>
      </c>
      <c r="B1125" s="91"/>
      <c r="C1125" s="91"/>
      <c r="D1125" s="91"/>
      <c r="E1125" s="91"/>
      <c r="F1125" s="91"/>
      <c r="G1125" s="91"/>
      <c r="H1125" s="91"/>
      <c r="I1125" s="91"/>
      <c r="J1125" s="91"/>
      <c r="K1125" s="91"/>
      <c r="L1125" s="91"/>
      <c r="M1125" s="92"/>
    </row>
    <row r="1126" spans="1:13" s="1" customFormat="1" ht="16.5" customHeight="1">
      <c r="A1126" s="93" t="s">
        <v>56</v>
      </c>
      <c r="B1126" s="94"/>
      <c r="C1126" s="94"/>
      <c r="D1126" s="94"/>
      <c r="E1126" s="94"/>
      <c r="F1126" s="94"/>
      <c r="G1126" s="94"/>
      <c r="H1126" s="94"/>
      <c r="I1126" s="94"/>
      <c r="J1126" s="94"/>
      <c r="K1126" s="94"/>
      <c r="L1126" s="94"/>
      <c r="M1126" s="95"/>
    </row>
    <row r="1127" spans="1:13" s="1" customFormat="1" ht="16.5" customHeight="1">
      <c r="A1127" s="93" t="s">
        <v>57</v>
      </c>
      <c r="B1127" s="94"/>
      <c r="C1127" s="94"/>
      <c r="D1127" s="94"/>
      <c r="E1127" s="94"/>
      <c r="F1127" s="94"/>
      <c r="G1127" s="94"/>
      <c r="H1127" s="94"/>
      <c r="I1127" s="94"/>
      <c r="J1127" s="94"/>
      <c r="K1127" s="94"/>
      <c r="L1127" s="94"/>
      <c r="M1127" s="95"/>
    </row>
    <row r="1128" spans="1:13" s="1" customFormat="1" ht="16.5" customHeight="1">
      <c r="A1128" s="93" t="s">
        <v>58</v>
      </c>
      <c r="B1128" s="94"/>
      <c r="C1128" s="94"/>
      <c r="D1128" s="94"/>
      <c r="E1128" s="94"/>
      <c r="F1128" s="94"/>
      <c r="G1128" s="94"/>
      <c r="H1128" s="94"/>
      <c r="I1128" s="94"/>
      <c r="J1128" s="94"/>
      <c r="K1128" s="94"/>
      <c r="L1128" s="94"/>
      <c r="M1128" s="95"/>
    </row>
    <row r="1129" spans="1:13" s="1" customFormat="1" ht="16.5" customHeight="1">
      <c r="A1129" s="93" t="s">
        <v>59</v>
      </c>
      <c r="B1129" s="94"/>
      <c r="C1129" s="94"/>
      <c r="D1129" s="94"/>
      <c r="E1129" s="94"/>
      <c r="F1129" s="94"/>
      <c r="G1129" s="94"/>
      <c r="H1129" s="94"/>
      <c r="I1129" s="94"/>
      <c r="J1129" s="94"/>
      <c r="K1129" s="94"/>
      <c r="L1129" s="94"/>
      <c r="M1129" s="95"/>
    </row>
    <row r="1130" spans="1:13" ht="16.5" customHeight="1">
      <c r="A1130" s="106" t="s">
        <v>29</v>
      </c>
      <c r="B1130" s="107"/>
      <c r="C1130" s="107"/>
      <c r="D1130" s="107"/>
      <c r="E1130" s="107"/>
      <c r="F1130" s="107"/>
      <c r="G1130" s="107"/>
      <c r="H1130" s="107"/>
      <c r="I1130" s="107"/>
      <c r="J1130" s="107"/>
      <c r="K1130" s="107"/>
      <c r="L1130" s="107"/>
      <c r="M1130" s="108"/>
    </row>
    <row r="1131" spans="1:13" ht="9.75" customHeight="1" thickBot="1">
      <c r="A1131" s="109"/>
      <c r="B1131" s="110"/>
      <c r="C1131" s="110"/>
      <c r="D1131" s="110"/>
      <c r="E1131" s="110"/>
      <c r="F1131" s="110"/>
      <c r="G1131" s="110"/>
      <c r="H1131" s="110"/>
      <c r="I1131" s="110"/>
      <c r="J1131" s="110"/>
      <c r="K1131" s="110"/>
      <c r="L1131" s="110"/>
      <c r="M1131" s="111"/>
    </row>
    <row r="1132" spans="1:13" ht="18.75" customHeight="1" thickBot="1">
      <c r="A1132" s="72" t="s">
        <v>30</v>
      </c>
      <c r="B1132" s="73"/>
      <c r="C1132" s="73"/>
      <c r="D1132" s="73"/>
      <c r="E1132" s="73"/>
      <c r="F1132" s="73"/>
      <c r="G1132" s="73"/>
      <c r="H1132" s="73"/>
      <c r="I1132" s="73"/>
      <c r="J1132" s="73"/>
      <c r="K1132" s="73"/>
      <c r="L1132" s="73"/>
      <c r="M1132" s="74"/>
    </row>
    <row r="1133" spans="1:13" ht="24" customHeight="1" thickBot="1">
      <c r="A1133" s="72" t="s">
        <v>31</v>
      </c>
      <c r="B1133" s="73"/>
      <c r="C1133" s="73"/>
      <c r="D1133" s="73"/>
      <c r="E1133" s="73"/>
      <c r="F1133" s="73"/>
      <c r="G1133" s="73"/>
      <c r="H1133" s="73"/>
      <c r="I1133" s="73"/>
      <c r="J1133" s="73"/>
      <c r="K1133" s="73"/>
      <c r="L1133" s="73"/>
      <c r="M1133" s="74"/>
    </row>
    <row r="1134" spans="1:13" ht="24" customHeight="1" thickBot="1">
      <c r="A1134" s="72" t="s">
        <v>190</v>
      </c>
      <c r="B1134" s="73"/>
      <c r="C1134" s="73"/>
      <c r="D1134" s="73"/>
      <c r="E1134" s="73"/>
      <c r="F1134" s="73"/>
      <c r="G1134" s="73"/>
      <c r="H1134" s="73"/>
      <c r="I1134" s="73"/>
      <c r="J1134" s="73"/>
      <c r="K1134" s="73"/>
      <c r="L1134" s="73"/>
      <c r="M1134" s="74"/>
    </row>
    <row r="1135" spans="1:13" ht="24" customHeight="1" thickBot="1">
      <c r="A1135" s="60" t="s">
        <v>46</v>
      </c>
      <c r="B1135" s="61"/>
      <c r="C1135" s="61"/>
      <c r="D1135" s="61"/>
      <c r="E1135" s="61"/>
      <c r="F1135" s="61"/>
      <c r="G1135" s="61"/>
      <c r="H1135" s="61"/>
      <c r="I1135" s="61"/>
      <c r="J1135" s="61"/>
      <c r="K1135" s="61"/>
      <c r="L1135" s="61"/>
      <c r="M1135" s="62"/>
    </row>
    <row r="1136" spans="1:13" ht="11.1" customHeight="1">
      <c r="A1136" s="103" t="s">
        <v>47</v>
      </c>
      <c r="B1136" s="103"/>
      <c r="C1136" s="103"/>
      <c r="D1136" s="103"/>
      <c r="E1136" s="103"/>
      <c r="F1136" s="103"/>
      <c r="G1136" s="103"/>
      <c r="H1136" s="103"/>
      <c r="I1136" s="103"/>
      <c r="J1136" s="103"/>
      <c r="K1136" s="103"/>
      <c r="L1136" s="103"/>
      <c r="M1136" s="103"/>
    </row>
    <row r="1137" spans="1:15" ht="11.1" customHeight="1">
      <c r="A1137" s="104" t="s">
        <v>48</v>
      </c>
      <c r="B1137" s="104"/>
      <c r="C1137" s="104"/>
      <c r="D1137" s="104"/>
      <c r="E1137" s="104"/>
      <c r="F1137" s="104"/>
      <c r="G1137" s="104"/>
      <c r="H1137" s="104"/>
      <c r="I1137" s="104"/>
      <c r="J1137" s="104"/>
      <c r="K1137" s="104"/>
      <c r="L1137" s="104"/>
      <c r="M1137" s="104"/>
    </row>
    <row r="1138" spans="1:15" ht="11.1" customHeight="1">
      <c r="A1138" s="105" t="s">
        <v>49</v>
      </c>
      <c r="B1138" s="105"/>
      <c r="C1138" s="105"/>
      <c r="D1138" s="105"/>
      <c r="E1138" s="105"/>
      <c r="F1138" s="105"/>
      <c r="G1138" s="105"/>
      <c r="H1138" s="105"/>
      <c r="I1138" s="105"/>
      <c r="J1138" s="105"/>
      <c r="K1138" s="105"/>
      <c r="L1138" s="105"/>
      <c r="M1138" s="105"/>
    </row>
    <row r="1139" spans="1:15" ht="11.1" customHeight="1">
      <c r="A1139" s="105" t="s">
        <v>50</v>
      </c>
      <c r="B1139" s="105"/>
      <c r="C1139" s="105"/>
      <c r="D1139" s="105"/>
      <c r="E1139" s="105"/>
      <c r="F1139" s="105"/>
      <c r="G1139" s="105"/>
      <c r="H1139" s="105"/>
      <c r="I1139" s="105"/>
      <c r="J1139" s="105"/>
      <c r="K1139" s="105"/>
      <c r="L1139" s="105"/>
      <c r="M1139" s="105"/>
    </row>
    <row r="1140" spans="1:15" ht="11.1" customHeight="1">
      <c r="A1140" s="104" t="s">
        <v>51</v>
      </c>
      <c r="B1140" s="104"/>
      <c r="C1140" s="104"/>
      <c r="D1140" s="104"/>
      <c r="E1140" s="104"/>
      <c r="F1140" s="104"/>
      <c r="G1140" s="104"/>
      <c r="H1140" s="104"/>
      <c r="I1140" s="104"/>
      <c r="J1140" s="104"/>
      <c r="K1140" s="104"/>
      <c r="L1140" s="104"/>
      <c r="M1140" s="104"/>
    </row>
    <row r="1141" spans="1:15" ht="11.1" customHeight="1">
      <c r="A1141" s="104" t="s">
        <v>52</v>
      </c>
      <c r="B1141" s="104"/>
      <c r="C1141" s="104"/>
      <c r="D1141" s="104"/>
      <c r="E1141" s="104"/>
      <c r="F1141" s="104"/>
      <c r="G1141" s="104"/>
      <c r="H1141" s="104"/>
      <c r="I1141" s="104"/>
      <c r="J1141" s="104"/>
      <c r="K1141" s="104"/>
      <c r="L1141" s="104"/>
      <c r="M1141" s="104"/>
    </row>
    <row r="1142" spans="1:15" ht="11.1" customHeight="1">
      <c r="A1142" s="104" t="s">
        <v>53</v>
      </c>
      <c r="B1142" s="104"/>
      <c r="C1142" s="104"/>
      <c r="D1142" s="104"/>
      <c r="E1142" s="104"/>
      <c r="F1142" s="104"/>
      <c r="G1142" s="104"/>
      <c r="H1142" s="104"/>
      <c r="I1142" s="104"/>
      <c r="J1142" s="104"/>
      <c r="K1142" s="104"/>
      <c r="L1142" s="104"/>
      <c r="M1142" s="104"/>
    </row>
    <row r="1143" spans="1:15" ht="11.1" customHeight="1">
      <c r="A1143" s="101" t="s">
        <v>54</v>
      </c>
      <c r="B1143" s="101"/>
      <c r="C1143" s="101"/>
      <c r="D1143" s="101"/>
      <c r="E1143" s="101"/>
      <c r="F1143" s="101"/>
      <c r="G1143" s="101"/>
      <c r="H1143" s="101"/>
      <c r="I1143" s="101"/>
      <c r="J1143" s="101"/>
      <c r="K1143" s="101"/>
      <c r="L1143" s="101"/>
      <c r="M1143" s="101"/>
    </row>
    <row r="1144" spans="1:15" ht="11.1" customHeight="1">
      <c r="A1144" s="101" t="s">
        <v>55</v>
      </c>
      <c r="B1144" s="101"/>
      <c r="C1144" s="101"/>
      <c r="D1144" s="101"/>
      <c r="E1144" s="101"/>
      <c r="F1144" s="101"/>
      <c r="G1144" s="101"/>
      <c r="H1144" s="101"/>
      <c r="I1144" s="101"/>
      <c r="J1144" s="101"/>
      <c r="K1144" s="101"/>
      <c r="L1144" s="101"/>
      <c r="M1144" s="101"/>
    </row>
    <row r="1145" spans="1:15" ht="19.5" customHeight="1">
      <c r="A1145" s="69" t="s">
        <v>0</v>
      </c>
      <c r="B1145" s="69"/>
      <c r="C1145" s="69"/>
      <c r="D1145" s="69"/>
      <c r="E1145" s="69"/>
      <c r="F1145" s="69"/>
      <c r="G1145" s="69"/>
      <c r="H1145" s="69"/>
      <c r="I1145" s="69"/>
      <c r="J1145" s="69"/>
      <c r="K1145" s="69"/>
      <c r="L1145" s="69"/>
      <c r="M1145" s="69"/>
    </row>
    <row r="1146" spans="1:15" ht="20.100000000000001" customHeight="1">
      <c r="A1146" s="4" t="s">
        <v>32</v>
      </c>
      <c r="B1146" s="5">
        <f>+B1102+1</f>
        <v>92</v>
      </c>
      <c r="C1146" s="35"/>
      <c r="D1146" s="35"/>
      <c r="E1146" s="35"/>
      <c r="F1146" s="35"/>
      <c r="G1146" s="35"/>
      <c r="H1146" s="35"/>
      <c r="I1146" s="35"/>
      <c r="J1146" s="35"/>
      <c r="K1146" s="35"/>
      <c r="L1146" s="35"/>
      <c r="M1146" s="35"/>
    </row>
    <row r="1147" spans="1:15" ht="24" customHeight="1" thickBot="1">
      <c r="A1147" s="4" t="s">
        <v>33</v>
      </c>
      <c r="H1147" s="70" t="s">
        <v>34</v>
      </c>
      <c r="I1147" s="70"/>
      <c r="J1147" s="70"/>
      <c r="K1147" s="102">
        <f>+K1103+1</f>
        <v>46018</v>
      </c>
      <c r="L1147" s="102"/>
      <c r="M1147" s="102"/>
      <c r="O1147" s="7"/>
    </row>
    <row r="1148" spans="1:15" ht="33.75" customHeight="1" thickBot="1">
      <c r="A1148" s="80" t="s">
        <v>1</v>
      </c>
      <c r="B1148" s="81"/>
      <c r="C1148" s="82"/>
      <c r="D1148" s="86" t="str">
        <f>+D1104</f>
        <v>光明國中B與C區5樓老舊廁所整修工程</v>
      </c>
      <c r="E1148" s="87"/>
      <c r="F1148" s="87"/>
      <c r="G1148" s="88"/>
      <c r="H1148" s="80" t="s">
        <v>2</v>
      </c>
      <c r="I1148" s="81"/>
      <c r="J1148" s="82"/>
      <c r="K1148" s="80" t="s">
        <v>35</v>
      </c>
      <c r="L1148" s="81"/>
      <c r="M1148" s="82"/>
    </row>
    <row r="1149" spans="1:15" ht="33.75" customHeight="1" thickBot="1">
      <c r="A1149" s="8" t="s">
        <v>3</v>
      </c>
      <c r="B1149" s="36">
        <f>+B1105</f>
        <v>145</v>
      </c>
      <c r="C1149" s="10" t="s">
        <v>36</v>
      </c>
      <c r="D1149" s="80" t="s">
        <v>4</v>
      </c>
      <c r="E1149" s="89"/>
      <c r="F1149" s="37">
        <f>+F1105+1</f>
        <v>92</v>
      </c>
      <c r="G1149" s="12" t="s">
        <v>36</v>
      </c>
      <c r="H1149" s="13" t="s">
        <v>5</v>
      </c>
      <c r="I1149" s="36">
        <f>+B1149-F1149</f>
        <v>53</v>
      </c>
      <c r="J1149" s="10" t="s">
        <v>36</v>
      </c>
      <c r="K1149" s="80" t="s">
        <v>6</v>
      </c>
      <c r="L1149" s="82"/>
      <c r="M1149" s="13">
        <f>+M1105</f>
        <v>15</v>
      </c>
    </row>
    <row r="1150" spans="1:15" ht="24" customHeight="1" thickBot="1">
      <c r="A1150" s="80" t="s">
        <v>7</v>
      </c>
      <c r="B1150" s="81"/>
      <c r="C1150" s="82"/>
      <c r="D1150" s="80" t="str">
        <f>+D1106</f>
        <v>114.9.27</v>
      </c>
      <c r="E1150" s="81"/>
      <c r="F1150" s="81"/>
      <c r="G1150" s="82"/>
      <c r="H1150" s="80" t="s">
        <v>8</v>
      </c>
      <c r="I1150" s="81"/>
      <c r="J1150" s="82"/>
      <c r="K1150" s="80" t="str">
        <f>+K1106</f>
        <v>115.2.18</v>
      </c>
      <c r="L1150" s="81"/>
      <c r="M1150" s="82"/>
    </row>
    <row r="1151" spans="1:15" ht="24" customHeight="1" thickBot="1">
      <c r="A1151" s="80" t="s">
        <v>37</v>
      </c>
      <c r="B1151" s="81"/>
      <c r="C1151" s="82"/>
      <c r="D1151" s="83">
        <v>0.48</v>
      </c>
      <c r="E1151" s="84"/>
      <c r="F1151" s="84"/>
      <c r="G1151" s="85"/>
      <c r="H1151" s="80" t="s">
        <v>38</v>
      </c>
      <c r="I1151" s="81"/>
      <c r="J1151" s="82"/>
      <c r="K1151" s="83">
        <f>+K1107+2%+0.5%</f>
        <v>0.64100000000000035</v>
      </c>
      <c r="L1151" s="84"/>
      <c r="M1151" s="85"/>
    </row>
    <row r="1152" spans="1:15" ht="24" customHeight="1" thickBot="1">
      <c r="A1152" s="72" t="s">
        <v>9</v>
      </c>
      <c r="B1152" s="73"/>
      <c r="C1152" s="73"/>
      <c r="D1152" s="73"/>
      <c r="E1152" s="73"/>
      <c r="F1152" s="73"/>
      <c r="G1152" s="73"/>
      <c r="H1152" s="73"/>
      <c r="I1152" s="73"/>
      <c r="J1152" s="73"/>
      <c r="K1152" s="73"/>
      <c r="L1152" s="73"/>
      <c r="M1152" s="74"/>
    </row>
    <row r="1153" spans="1:13" ht="35.25" customHeight="1" thickBot="1">
      <c r="A1153" s="75" t="s">
        <v>10</v>
      </c>
      <c r="B1153" s="76"/>
      <c r="C1153" s="76"/>
      <c r="D1153" s="77"/>
      <c r="E1153" s="14" t="s">
        <v>11</v>
      </c>
      <c r="F1153" s="75" t="s">
        <v>12</v>
      </c>
      <c r="G1153" s="77"/>
      <c r="H1153" s="75" t="s">
        <v>13</v>
      </c>
      <c r="I1153" s="77"/>
      <c r="J1153" s="78" t="s">
        <v>14</v>
      </c>
      <c r="K1153" s="79"/>
      <c r="L1153" s="75" t="s">
        <v>15</v>
      </c>
      <c r="M1153" s="77"/>
    </row>
    <row r="1154" spans="1:13" ht="27.95" customHeight="1" thickBot="1">
      <c r="A1154" s="141" t="s">
        <v>159</v>
      </c>
      <c r="B1154" s="142"/>
      <c r="C1154" s="142"/>
      <c r="D1154" s="143"/>
      <c r="E1154" s="50" t="s">
        <v>168</v>
      </c>
      <c r="F1154" s="56">
        <v>83</v>
      </c>
      <c r="G1154" s="57"/>
      <c r="H1154" s="56">
        <v>20</v>
      </c>
      <c r="I1154" s="57"/>
      <c r="J1154" s="56">
        <v>70</v>
      </c>
      <c r="K1154" s="57"/>
      <c r="L1154" s="58"/>
      <c r="M1154" s="59"/>
    </row>
    <row r="1155" spans="1:13" ht="27.95" customHeight="1" thickBot="1">
      <c r="A1155" s="141" t="s">
        <v>169</v>
      </c>
      <c r="B1155" s="142"/>
      <c r="C1155" s="142"/>
      <c r="D1155" s="143"/>
      <c r="E1155" s="15" t="s">
        <v>170</v>
      </c>
      <c r="F1155" s="56">
        <v>17</v>
      </c>
      <c r="G1155" s="57"/>
      <c r="H1155" s="56">
        <v>7</v>
      </c>
      <c r="I1155" s="57"/>
      <c r="J1155" s="56">
        <v>7</v>
      </c>
      <c r="K1155" s="57"/>
      <c r="L1155" s="58"/>
      <c r="M1155" s="59"/>
    </row>
    <row r="1156" spans="1:13" ht="24.95" customHeight="1" thickTop="1" thickBot="1">
      <c r="A1156" s="130" t="s">
        <v>16</v>
      </c>
      <c r="B1156" s="67"/>
      <c r="C1156" s="67"/>
      <c r="D1156" s="68"/>
      <c r="E1156" s="38"/>
      <c r="F1156" s="131"/>
      <c r="G1156" s="132"/>
      <c r="H1156" s="131"/>
      <c r="I1156" s="132"/>
      <c r="J1156" s="131"/>
      <c r="K1156" s="132"/>
      <c r="L1156" s="131"/>
      <c r="M1156" s="133"/>
    </row>
    <row r="1157" spans="1:13" ht="24.95" customHeight="1" thickBot="1">
      <c r="A1157" s="134" t="s">
        <v>17</v>
      </c>
      <c r="B1157" s="135"/>
      <c r="C1157" s="135"/>
      <c r="D1157" s="59"/>
      <c r="E1157" s="38"/>
      <c r="F1157" s="58"/>
      <c r="G1157" s="59"/>
      <c r="H1157" s="58"/>
      <c r="I1157" s="59"/>
      <c r="J1157" s="58"/>
      <c r="K1157" s="59"/>
      <c r="L1157" s="58"/>
      <c r="M1157" s="136"/>
    </row>
    <row r="1158" spans="1:13" ht="24.95" customHeight="1" thickBot="1">
      <c r="A1158" s="118" t="s">
        <v>18</v>
      </c>
      <c r="B1158" s="119"/>
      <c r="C1158" s="119"/>
      <c r="D1158" s="120"/>
      <c r="E1158" s="24"/>
      <c r="F1158" s="121"/>
      <c r="G1158" s="120"/>
      <c r="H1158" s="121"/>
      <c r="I1158" s="120"/>
      <c r="J1158" s="121"/>
      <c r="K1158" s="120"/>
      <c r="L1158" s="121"/>
      <c r="M1158" s="122"/>
    </row>
    <row r="1159" spans="1:13" ht="24" customHeight="1" thickTop="1" thickBot="1">
      <c r="A1159" s="66" t="s">
        <v>19</v>
      </c>
      <c r="B1159" s="67"/>
      <c r="C1159" s="67"/>
      <c r="D1159" s="67"/>
      <c r="E1159" s="67"/>
      <c r="F1159" s="67"/>
      <c r="G1159" s="67"/>
      <c r="H1159" s="67"/>
      <c r="I1159" s="67"/>
      <c r="J1159" s="67"/>
      <c r="K1159" s="67"/>
      <c r="L1159" s="67"/>
      <c r="M1159" s="68"/>
    </row>
    <row r="1160" spans="1:13" ht="35.25" customHeight="1" thickBot="1">
      <c r="A1160" s="75" t="s">
        <v>20</v>
      </c>
      <c r="B1160" s="76"/>
      <c r="C1160" s="76"/>
      <c r="D1160" s="77"/>
      <c r="E1160" s="14" t="s">
        <v>11</v>
      </c>
      <c r="F1160" s="75" t="s">
        <v>39</v>
      </c>
      <c r="G1160" s="77"/>
      <c r="H1160" s="75" t="s">
        <v>21</v>
      </c>
      <c r="I1160" s="77"/>
      <c r="J1160" s="78" t="s">
        <v>22</v>
      </c>
      <c r="K1160" s="79"/>
      <c r="L1160" s="75" t="s">
        <v>15</v>
      </c>
      <c r="M1160" s="77"/>
    </row>
    <row r="1161" spans="1:13" ht="24" customHeight="1" thickBot="1">
      <c r="A1161" s="96"/>
      <c r="B1161" s="97"/>
      <c r="C1161" s="97"/>
      <c r="D1161" s="98"/>
      <c r="E1161" s="38"/>
      <c r="F1161" s="58"/>
      <c r="G1161" s="59"/>
      <c r="H1161" s="58"/>
      <c r="I1161" s="59"/>
      <c r="J1161" s="56"/>
      <c r="K1161" s="57"/>
      <c r="L1161" s="58"/>
      <c r="M1161" s="59"/>
    </row>
    <row r="1162" spans="1:13" ht="24" customHeight="1" thickBot="1">
      <c r="A1162" s="96"/>
      <c r="B1162" s="97"/>
      <c r="C1162" s="97"/>
      <c r="D1162" s="98"/>
      <c r="E1162" s="38"/>
      <c r="F1162" s="58"/>
      <c r="G1162" s="59"/>
      <c r="H1162" s="58"/>
      <c r="I1162" s="59"/>
      <c r="J1162" s="56"/>
      <c r="K1162" s="57"/>
      <c r="L1162" s="58"/>
      <c r="M1162" s="59"/>
    </row>
    <row r="1163" spans="1:13" ht="24" customHeight="1" thickBot="1">
      <c r="A1163" s="60" t="s">
        <v>23</v>
      </c>
      <c r="B1163" s="61"/>
      <c r="C1163" s="61"/>
      <c r="D1163" s="61"/>
      <c r="E1163" s="61"/>
      <c r="F1163" s="61"/>
      <c r="G1163" s="61"/>
      <c r="H1163" s="61"/>
      <c r="I1163" s="61"/>
      <c r="J1163" s="61"/>
      <c r="K1163" s="61"/>
      <c r="L1163" s="61"/>
      <c r="M1163" s="62"/>
    </row>
    <row r="1164" spans="1:13" ht="35.25" customHeight="1" thickBot="1">
      <c r="A1164" s="75" t="s">
        <v>24</v>
      </c>
      <c r="B1164" s="77"/>
      <c r="C1164" s="75" t="s">
        <v>25</v>
      </c>
      <c r="D1164" s="77"/>
      <c r="E1164" s="75" t="s">
        <v>26</v>
      </c>
      <c r="F1164" s="76"/>
      <c r="G1164" s="77"/>
      <c r="H1164" s="75" t="s">
        <v>27</v>
      </c>
      <c r="I1164" s="77"/>
      <c r="J1164" s="78" t="s">
        <v>21</v>
      </c>
      <c r="K1164" s="79"/>
      <c r="L1164" s="75" t="s">
        <v>22</v>
      </c>
      <c r="M1164" s="77"/>
    </row>
    <row r="1165" spans="1:13" s="18" customFormat="1" ht="24.75" customHeight="1" thickBot="1">
      <c r="A1165" s="99" t="s">
        <v>119</v>
      </c>
      <c r="B1165" s="137"/>
      <c r="C1165" s="56">
        <v>3</v>
      </c>
      <c r="D1165" s="57"/>
      <c r="E1165" s="56">
        <v>66</v>
      </c>
      <c r="F1165" s="100"/>
      <c r="G1165" s="57"/>
      <c r="H1165" s="56"/>
      <c r="I1165" s="57"/>
      <c r="J1165" s="56"/>
      <c r="K1165" s="57"/>
      <c r="L1165" s="56"/>
      <c r="M1165" s="57"/>
    </row>
    <row r="1166" spans="1:13" s="18" customFormat="1" ht="24.75" customHeight="1" thickBot="1">
      <c r="A1166" s="99"/>
      <c r="B1166" s="98"/>
      <c r="C1166" s="56"/>
      <c r="D1166" s="57"/>
      <c r="E1166" s="56"/>
      <c r="F1166" s="100"/>
      <c r="G1166" s="57"/>
      <c r="H1166" s="56"/>
      <c r="I1166" s="57"/>
      <c r="J1166" s="56"/>
      <c r="K1166" s="57"/>
      <c r="L1166" s="56"/>
      <c r="M1166" s="57"/>
    </row>
    <row r="1167" spans="1:13" ht="33" customHeight="1" thickBot="1">
      <c r="A1167" s="112" t="s">
        <v>40</v>
      </c>
      <c r="B1167" s="113"/>
      <c r="C1167" s="113"/>
      <c r="D1167" s="113"/>
      <c r="E1167" s="113"/>
      <c r="F1167" s="113"/>
      <c r="G1167" s="113"/>
      <c r="H1167" s="113"/>
      <c r="I1167" s="113"/>
      <c r="J1167" s="113"/>
      <c r="K1167" s="113"/>
      <c r="L1167" s="113"/>
      <c r="M1167" s="114"/>
    </row>
    <row r="1168" spans="1:13" ht="16.5" customHeight="1">
      <c r="A1168" s="115" t="s">
        <v>41</v>
      </c>
      <c r="B1168" s="116"/>
      <c r="C1168" s="116"/>
      <c r="D1168" s="116"/>
      <c r="E1168" s="116"/>
      <c r="F1168" s="116"/>
      <c r="G1168" s="116"/>
      <c r="H1168" s="116"/>
      <c r="I1168" s="116"/>
      <c r="J1168" s="116"/>
      <c r="K1168" s="116"/>
      <c r="L1168" s="116"/>
      <c r="M1168" s="117"/>
    </row>
    <row r="1169" spans="1:13" ht="16.5" customHeight="1">
      <c r="A1169" s="90" t="s">
        <v>28</v>
      </c>
      <c r="B1169" s="91"/>
      <c r="C1169" s="91"/>
      <c r="D1169" s="91"/>
      <c r="E1169" s="91"/>
      <c r="F1169" s="91"/>
      <c r="G1169" s="91"/>
      <c r="H1169" s="91"/>
      <c r="I1169" s="91"/>
      <c r="J1169" s="91"/>
      <c r="K1169" s="91"/>
      <c r="L1169" s="91"/>
      <c r="M1169" s="92"/>
    </row>
    <row r="1170" spans="1:13" s="1" customFormat="1" ht="16.5" customHeight="1">
      <c r="A1170" s="93" t="s">
        <v>56</v>
      </c>
      <c r="B1170" s="94"/>
      <c r="C1170" s="94"/>
      <c r="D1170" s="94"/>
      <c r="E1170" s="94"/>
      <c r="F1170" s="94"/>
      <c r="G1170" s="94"/>
      <c r="H1170" s="94"/>
      <c r="I1170" s="94"/>
      <c r="J1170" s="94"/>
      <c r="K1170" s="94"/>
      <c r="L1170" s="94"/>
      <c r="M1170" s="95"/>
    </row>
    <row r="1171" spans="1:13" s="1" customFormat="1" ht="16.5" customHeight="1">
      <c r="A1171" s="93" t="s">
        <v>57</v>
      </c>
      <c r="B1171" s="94"/>
      <c r="C1171" s="94"/>
      <c r="D1171" s="94"/>
      <c r="E1171" s="94"/>
      <c r="F1171" s="94"/>
      <c r="G1171" s="94"/>
      <c r="H1171" s="94"/>
      <c r="I1171" s="94"/>
      <c r="J1171" s="94"/>
      <c r="K1171" s="94"/>
      <c r="L1171" s="94"/>
      <c r="M1171" s="95"/>
    </row>
    <row r="1172" spans="1:13" s="1" customFormat="1" ht="16.5" customHeight="1">
      <c r="A1172" s="93" t="s">
        <v>58</v>
      </c>
      <c r="B1172" s="94"/>
      <c r="C1172" s="94"/>
      <c r="D1172" s="94"/>
      <c r="E1172" s="94"/>
      <c r="F1172" s="94"/>
      <c r="G1172" s="94"/>
      <c r="H1172" s="94"/>
      <c r="I1172" s="94"/>
      <c r="J1172" s="94"/>
      <c r="K1172" s="94"/>
      <c r="L1172" s="94"/>
      <c r="M1172" s="95"/>
    </row>
    <row r="1173" spans="1:13" s="1" customFormat="1" ht="16.5" customHeight="1">
      <c r="A1173" s="93" t="s">
        <v>59</v>
      </c>
      <c r="B1173" s="94"/>
      <c r="C1173" s="94"/>
      <c r="D1173" s="94"/>
      <c r="E1173" s="94"/>
      <c r="F1173" s="94"/>
      <c r="G1173" s="94"/>
      <c r="H1173" s="94"/>
      <c r="I1173" s="94"/>
      <c r="J1173" s="94"/>
      <c r="K1173" s="94"/>
      <c r="L1173" s="94"/>
      <c r="M1173" s="95"/>
    </row>
    <row r="1174" spans="1:13" ht="16.5" customHeight="1">
      <c r="A1174" s="106" t="s">
        <v>29</v>
      </c>
      <c r="B1174" s="107"/>
      <c r="C1174" s="107"/>
      <c r="D1174" s="107"/>
      <c r="E1174" s="107"/>
      <c r="F1174" s="107"/>
      <c r="G1174" s="107"/>
      <c r="H1174" s="107"/>
      <c r="I1174" s="107"/>
      <c r="J1174" s="107"/>
      <c r="K1174" s="107"/>
      <c r="L1174" s="107"/>
      <c r="M1174" s="108"/>
    </row>
    <row r="1175" spans="1:13" ht="9.75" customHeight="1" thickBot="1">
      <c r="A1175" s="109"/>
      <c r="B1175" s="110"/>
      <c r="C1175" s="110"/>
      <c r="D1175" s="110"/>
      <c r="E1175" s="110"/>
      <c r="F1175" s="110"/>
      <c r="G1175" s="110"/>
      <c r="H1175" s="110"/>
      <c r="I1175" s="110"/>
      <c r="J1175" s="110"/>
      <c r="K1175" s="110"/>
      <c r="L1175" s="110"/>
      <c r="M1175" s="111"/>
    </row>
    <row r="1176" spans="1:13" ht="18.75" customHeight="1" thickBot="1">
      <c r="A1176" s="72" t="s">
        <v>30</v>
      </c>
      <c r="B1176" s="73"/>
      <c r="C1176" s="73"/>
      <c r="D1176" s="73"/>
      <c r="E1176" s="73"/>
      <c r="F1176" s="73"/>
      <c r="G1176" s="73"/>
      <c r="H1176" s="73"/>
      <c r="I1176" s="73"/>
      <c r="J1176" s="73"/>
      <c r="K1176" s="73"/>
      <c r="L1176" s="73"/>
      <c r="M1176" s="74"/>
    </row>
    <row r="1177" spans="1:13" ht="24" customHeight="1" thickBot="1">
      <c r="A1177" s="72" t="s">
        <v>31</v>
      </c>
      <c r="B1177" s="73"/>
      <c r="C1177" s="73"/>
      <c r="D1177" s="73"/>
      <c r="E1177" s="73"/>
      <c r="F1177" s="73"/>
      <c r="G1177" s="73"/>
      <c r="H1177" s="73"/>
      <c r="I1177" s="73"/>
      <c r="J1177" s="73"/>
      <c r="K1177" s="73"/>
      <c r="L1177" s="73"/>
      <c r="M1177" s="74"/>
    </row>
    <row r="1178" spans="1:13" ht="24" customHeight="1" thickBot="1">
      <c r="A1178" s="72" t="s">
        <v>180</v>
      </c>
      <c r="B1178" s="73"/>
      <c r="C1178" s="73"/>
      <c r="D1178" s="73"/>
      <c r="E1178" s="73"/>
      <c r="F1178" s="73"/>
      <c r="G1178" s="73"/>
      <c r="H1178" s="73"/>
      <c r="I1178" s="73"/>
      <c r="J1178" s="73"/>
      <c r="K1178" s="73"/>
      <c r="L1178" s="73"/>
      <c r="M1178" s="74"/>
    </row>
    <row r="1179" spans="1:13" ht="24" customHeight="1" thickBot="1">
      <c r="A1179" s="60" t="s">
        <v>46</v>
      </c>
      <c r="B1179" s="61"/>
      <c r="C1179" s="61"/>
      <c r="D1179" s="61"/>
      <c r="E1179" s="61"/>
      <c r="F1179" s="61"/>
      <c r="G1179" s="61"/>
      <c r="H1179" s="61"/>
      <c r="I1179" s="61"/>
      <c r="J1179" s="61"/>
      <c r="K1179" s="61"/>
      <c r="L1179" s="61"/>
      <c r="M1179" s="62"/>
    </row>
    <row r="1180" spans="1:13" ht="11.1" customHeight="1">
      <c r="A1180" s="103" t="s">
        <v>47</v>
      </c>
      <c r="B1180" s="103"/>
      <c r="C1180" s="103"/>
      <c r="D1180" s="103"/>
      <c r="E1180" s="103"/>
      <c r="F1180" s="103"/>
      <c r="G1180" s="103"/>
      <c r="H1180" s="103"/>
      <c r="I1180" s="103"/>
      <c r="J1180" s="103"/>
      <c r="K1180" s="103"/>
      <c r="L1180" s="103"/>
      <c r="M1180" s="103"/>
    </row>
    <row r="1181" spans="1:13" ht="11.1" customHeight="1">
      <c r="A1181" s="104" t="s">
        <v>48</v>
      </c>
      <c r="B1181" s="104"/>
      <c r="C1181" s="104"/>
      <c r="D1181" s="104"/>
      <c r="E1181" s="104"/>
      <c r="F1181" s="104"/>
      <c r="G1181" s="104"/>
      <c r="H1181" s="104"/>
      <c r="I1181" s="104"/>
      <c r="J1181" s="104"/>
      <c r="K1181" s="104"/>
      <c r="L1181" s="104"/>
      <c r="M1181" s="104"/>
    </row>
    <row r="1182" spans="1:13" ht="11.1" customHeight="1">
      <c r="A1182" s="105" t="s">
        <v>49</v>
      </c>
      <c r="B1182" s="105"/>
      <c r="C1182" s="105"/>
      <c r="D1182" s="105"/>
      <c r="E1182" s="105"/>
      <c r="F1182" s="105"/>
      <c r="G1182" s="105"/>
      <c r="H1182" s="105"/>
      <c r="I1182" s="105"/>
      <c r="J1182" s="105"/>
      <c r="K1182" s="105"/>
      <c r="L1182" s="105"/>
      <c r="M1182" s="105"/>
    </row>
    <row r="1183" spans="1:13" ht="11.1" customHeight="1">
      <c r="A1183" s="105" t="s">
        <v>50</v>
      </c>
      <c r="B1183" s="105"/>
      <c r="C1183" s="105"/>
      <c r="D1183" s="105"/>
      <c r="E1183" s="105"/>
      <c r="F1183" s="105"/>
      <c r="G1183" s="105"/>
      <c r="H1183" s="105"/>
      <c r="I1183" s="105"/>
      <c r="J1183" s="105"/>
      <c r="K1183" s="105"/>
      <c r="L1183" s="105"/>
      <c r="M1183" s="105"/>
    </row>
    <row r="1184" spans="1:13" ht="11.1" customHeight="1">
      <c r="A1184" s="104" t="s">
        <v>51</v>
      </c>
      <c r="B1184" s="104"/>
      <c r="C1184" s="104"/>
      <c r="D1184" s="104"/>
      <c r="E1184" s="104"/>
      <c r="F1184" s="104"/>
      <c r="G1184" s="104"/>
      <c r="H1184" s="104"/>
      <c r="I1184" s="104"/>
      <c r="J1184" s="104"/>
      <c r="K1184" s="104"/>
      <c r="L1184" s="104"/>
      <c r="M1184" s="104"/>
    </row>
    <row r="1185" spans="1:15" ht="11.1" customHeight="1">
      <c r="A1185" s="104" t="s">
        <v>52</v>
      </c>
      <c r="B1185" s="104"/>
      <c r="C1185" s="104"/>
      <c r="D1185" s="104"/>
      <c r="E1185" s="104"/>
      <c r="F1185" s="104"/>
      <c r="G1185" s="104"/>
      <c r="H1185" s="104"/>
      <c r="I1185" s="104"/>
      <c r="J1185" s="104"/>
      <c r="K1185" s="104"/>
      <c r="L1185" s="104"/>
      <c r="M1185" s="104"/>
    </row>
    <row r="1186" spans="1:15" ht="11.1" customHeight="1">
      <c r="A1186" s="104" t="s">
        <v>53</v>
      </c>
      <c r="B1186" s="104"/>
      <c r="C1186" s="104"/>
      <c r="D1186" s="104"/>
      <c r="E1186" s="104"/>
      <c r="F1186" s="104"/>
      <c r="G1186" s="104"/>
      <c r="H1186" s="104"/>
      <c r="I1186" s="104"/>
      <c r="J1186" s="104"/>
      <c r="K1186" s="104"/>
      <c r="L1186" s="104"/>
      <c r="M1186" s="104"/>
    </row>
    <row r="1187" spans="1:15" ht="11.1" customHeight="1">
      <c r="A1187" s="101" t="s">
        <v>54</v>
      </c>
      <c r="B1187" s="101"/>
      <c r="C1187" s="101"/>
      <c r="D1187" s="101"/>
      <c r="E1187" s="101"/>
      <c r="F1187" s="101"/>
      <c r="G1187" s="101"/>
      <c r="H1187" s="101"/>
      <c r="I1187" s="101"/>
      <c r="J1187" s="101"/>
      <c r="K1187" s="101"/>
      <c r="L1187" s="101"/>
      <c r="M1187" s="101"/>
    </row>
    <row r="1188" spans="1:15" ht="11.1" customHeight="1">
      <c r="A1188" s="101" t="s">
        <v>55</v>
      </c>
      <c r="B1188" s="101"/>
      <c r="C1188" s="101"/>
      <c r="D1188" s="101"/>
      <c r="E1188" s="101"/>
      <c r="F1188" s="101"/>
      <c r="G1188" s="101"/>
      <c r="H1188" s="101"/>
      <c r="I1188" s="101"/>
      <c r="J1188" s="101"/>
      <c r="K1188" s="101"/>
      <c r="L1188" s="101"/>
      <c r="M1188" s="101"/>
    </row>
    <row r="1189" spans="1:15" ht="19.5" customHeight="1">
      <c r="A1189" s="69" t="s">
        <v>0</v>
      </c>
      <c r="B1189" s="69"/>
      <c r="C1189" s="69"/>
      <c r="D1189" s="69"/>
      <c r="E1189" s="69"/>
      <c r="F1189" s="69"/>
      <c r="G1189" s="69"/>
      <c r="H1189" s="69"/>
      <c r="I1189" s="69"/>
      <c r="J1189" s="69"/>
      <c r="K1189" s="69"/>
      <c r="L1189" s="69"/>
      <c r="M1189" s="69"/>
    </row>
    <row r="1190" spans="1:15" ht="20.100000000000001" customHeight="1">
      <c r="A1190" s="4" t="s">
        <v>32</v>
      </c>
      <c r="B1190" s="5">
        <f>+B1146+1</f>
        <v>93</v>
      </c>
      <c r="C1190" s="35"/>
      <c r="D1190" s="35"/>
      <c r="E1190" s="35"/>
      <c r="F1190" s="35"/>
      <c r="G1190" s="35"/>
      <c r="H1190" s="35"/>
      <c r="I1190" s="35"/>
      <c r="J1190" s="35"/>
      <c r="K1190" s="35"/>
      <c r="L1190" s="35"/>
      <c r="M1190" s="35"/>
    </row>
    <row r="1191" spans="1:15" ht="24" customHeight="1" thickBot="1">
      <c r="A1191" s="4" t="s">
        <v>33</v>
      </c>
      <c r="H1191" s="70" t="s">
        <v>34</v>
      </c>
      <c r="I1191" s="70"/>
      <c r="J1191" s="70"/>
      <c r="K1191" s="102">
        <f>+K1147+1</f>
        <v>46019</v>
      </c>
      <c r="L1191" s="102"/>
      <c r="M1191" s="102"/>
      <c r="O1191" s="7"/>
    </row>
    <row r="1192" spans="1:15" ht="33.75" customHeight="1" thickBot="1">
      <c r="A1192" s="80" t="s">
        <v>1</v>
      </c>
      <c r="B1192" s="81"/>
      <c r="C1192" s="82"/>
      <c r="D1192" s="86" t="str">
        <f>+D1148</f>
        <v>光明國中B與C區5樓老舊廁所整修工程</v>
      </c>
      <c r="E1192" s="87"/>
      <c r="F1192" s="87"/>
      <c r="G1192" s="88"/>
      <c r="H1192" s="80" t="s">
        <v>2</v>
      </c>
      <c r="I1192" s="81"/>
      <c r="J1192" s="82"/>
      <c r="K1192" s="80" t="s">
        <v>35</v>
      </c>
      <c r="L1192" s="81"/>
      <c r="M1192" s="82"/>
    </row>
    <row r="1193" spans="1:15" ht="33.75" customHeight="1" thickBot="1">
      <c r="A1193" s="8" t="s">
        <v>3</v>
      </c>
      <c r="B1193" s="36">
        <f>+B1149</f>
        <v>145</v>
      </c>
      <c r="C1193" s="10" t="s">
        <v>36</v>
      </c>
      <c r="D1193" s="80" t="s">
        <v>4</v>
      </c>
      <c r="E1193" s="89"/>
      <c r="F1193" s="37">
        <f>+F1149+1</f>
        <v>93</v>
      </c>
      <c r="G1193" s="12" t="s">
        <v>36</v>
      </c>
      <c r="H1193" s="13" t="s">
        <v>5</v>
      </c>
      <c r="I1193" s="36">
        <f>+B1193-F1193</f>
        <v>52</v>
      </c>
      <c r="J1193" s="10" t="s">
        <v>36</v>
      </c>
      <c r="K1193" s="80" t="s">
        <v>6</v>
      </c>
      <c r="L1193" s="82"/>
      <c r="M1193" s="13">
        <f>+M1149</f>
        <v>15</v>
      </c>
    </row>
    <row r="1194" spans="1:15" ht="24" customHeight="1" thickBot="1">
      <c r="A1194" s="80" t="s">
        <v>7</v>
      </c>
      <c r="B1194" s="81"/>
      <c r="C1194" s="82"/>
      <c r="D1194" s="80" t="str">
        <f>+D1150</f>
        <v>114.9.27</v>
      </c>
      <c r="E1194" s="81"/>
      <c r="F1194" s="81"/>
      <c r="G1194" s="82"/>
      <c r="H1194" s="80" t="s">
        <v>8</v>
      </c>
      <c r="I1194" s="81"/>
      <c r="J1194" s="82"/>
      <c r="K1194" s="80" t="str">
        <f>+K1150</f>
        <v>115.2.18</v>
      </c>
      <c r="L1194" s="81"/>
      <c r="M1194" s="82"/>
    </row>
    <row r="1195" spans="1:15" ht="24" customHeight="1" thickBot="1">
      <c r="A1195" s="80" t="s">
        <v>37</v>
      </c>
      <c r="B1195" s="81"/>
      <c r="C1195" s="82"/>
      <c r="D1195" s="83">
        <v>0.49</v>
      </c>
      <c r="E1195" s="84"/>
      <c r="F1195" s="84"/>
      <c r="G1195" s="85"/>
      <c r="H1195" s="80" t="s">
        <v>38</v>
      </c>
      <c r="I1195" s="81"/>
      <c r="J1195" s="82"/>
      <c r="K1195" s="83">
        <f>+K1151+2%+0.5%</f>
        <v>0.66600000000000037</v>
      </c>
      <c r="L1195" s="84"/>
      <c r="M1195" s="85"/>
    </row>
    <row r="1196" spans="1:15" ht="24" customHeight="1" thickBot="1">
      <c r="A1196" s="72" t="s">
        <v>9</v>
      </c>
      <c r="B1196" s="73"/>
      <c r="C1196" s="73"/>
      <c r="D1196" s="73"/>
      <c r="E1196" s="73"/>
      <c r="F1196" s="73"/>
      <c r="G1196" s="73"/>
      <c r="H1196" s="73"/>
      <c r="I1196" s="73"/>
      <c r="J1196" s="73"/>
      <c r="K1196" s="73"/>
      <c r="L1196" s="73"/>
      <c r="M1196" s="74"/>
    </row>
    <row r="1197" spans="1:15" ht="35.25" customHeight="1" thickBot="1">
      <c r="A1197" s="75" t="s">
        <v>10</v>
      </c>
      <c r="B1197" s="76"/>
      <c r="C1197" s="76"/>
      <c r="D1197" s="77"/>
      <c r="E1197" s="14" t="s">
        <v>11</v>
      </c>
      <c r="F1197" s="75" t="s">
        <v>12</v>
      </c>
      <c r="G1197" s="77"/>
      <c r="H1197" s="75" t="s">
        <v>13</v>
      </c>
      <c r="I1197" s="77"/>
      <c r="J1197" s="78" t="s">
        <v>14</v>
      </c>
      <c r="K1197" s="79"/>
      <c r="L1197" s="75" t="s">
        <v>15</v>
      </c>
      <c r="M1197" s="77"/>
    </row>
    <row r="1198" spans="1:15" ht="27.95" customHeight="1" thickBot="1">
      <c r="A1198" s="141" t="s">
        <v>179</v>
      </c>
      <c r="B1198" s="142"/>
      <c r="C1198" s="142"/>
      <c r="D1198" s="143"/>
      <c r="E1198" s="50" t="s">
        <v>168</v>
      </c>
      <c r="F1198" s="56">
        <v>83</v>
      </c>
      <c r="G1198" s="57"/>
      <c r="H1198" s="56">
        <v>13</v>
      </c>
      <c r="I1198" s="57"/>
      <c r="J1198" s="56">
        <v>83</v>
      </c>
      <c r="K1198" s="57"/>
      <c r="L1198" s="58"/>
      <c r="M1198" s="59"/>
    </row>
    <row r="1199" spans="1:15" ht="27.95" customHeight="1" thickBot="1">
      <c r="A1199" s="141" t="s">
        <v>169</v>
      </c>
      <c r="B1199" s="142"/>
      <c r="C1199" s="142"/>
      <c r="D1199" s="143"/>
      <c r="E1199" s="15" t="s">
        <v>170</v>
      </c>
      <c r="F1199" s="56">
        <v>17</v>
      </c>
      <c r="G1199" s="57"/>
      <c r="H1199" s="56">
        <v>10</v>
      </c>
      <c r="I1199" s="57"/>
      <c r="J1199" s="56">
        <v>17</v>
      </c>
      <c r="K1199" s="57"/>
      <c r="L1199" s="58"/>
      <c r="M1199" s="59"/>
    </row>
    <row r="1200" spans="1:15" ht="24.95" customHeight="1" thickTop="1" thickBot="1">
      <c r="A1200" s="130" t="s">
        <v>16</v>
      </c>
      <c r="B1200" s="67"/>
      <c r="C1200" s="67"/>
      <c r="D1200" s="68"/>
      <c r="E1200" s="38"/>
      <c r="F1200" s="131"/>
      <c r="G1200" s="132"/>
      <c r="H1200" s="131"/>
      <c r="I1200" s="132"/>
      <c r="J1200" s="131"/>
      <c r="K1200" s="132"/>
      <c r="L1200" s="131"/>
      <c r="M1200" s="133"/>
    </row>
    <row r="1201" spans="1:13" ht="24.95" customHeight="1" thickBot="1">
      <c r="A1201" s="134" t="s">
        <v>17</v>
      </c>
      <c r="B1201" s="135"/>
      <c r="C1201" s="135"/>
      <c r="D1201" s="59"/>
      <c r="E1201" s="38"/>
      <c r="F1201" s="58"/>
      <c r="G1201" s="59"/>
      <c r="H1201" s="58"/>
      <c r="I1201" s="59"/>
      <c r="J1201" s="58"/>
      <c r="K1201" s="59"/>
      <c r="L1201" s="58"/>
      <c r="M1201" s="136"/>
    </row>
    <row r="1202" spans="1:13" ht="24.95" customHeight="1" thickBot="1">
      <c r="A1202" s="118" t="s">
        <v>18</v>
      </c>
      <c r="B1202" s="119"/>
      <c r="C1202" s="119"/>
      <c r="D1202" s="120"/>
      <c r="E1202" s="24"/>
      <c r="F1202" s="121"/>
      <c r="G1202" s="120"/>
      <c r="H1202" s="121"/>
      <c r="I1202" s="120"/>
      <c r="J1202" s="121"/>
      <c r="K1202" s="120"/>
      <c r="L1202" s="121"/>
      <c r="M1202" s="122"/>
    </row>
    <row r="1203" spans="1:13" ht="24" customHeight="1" thickTop="1" thickBot="1">
      <c r="A1203" s="66" t="s">
        <v>19</v>
      </c>
      <c r="B1203" s="67"/>
      <c r="C1203" s="67"/>
      <c r="D1203" s="67"/>
      <c r="E1203" s="67"/>
      <c r="F1203" s="67"/>
      <c r="G1203" s="67"/>
      <c r="H1203" s="67"/>
      <c r="I1203" s="67"/>
      <c r="J1203" s="67"/>
      <c r="K1203" s="67"/>
      <c r="L1203" s="67"/>
      <c r="M1203" s="68"/>
    </row>
    <row r="1204" spans="1:13" ht="35.25" customHeight="1" thickBot="1">
      <c r="A1204" s="75" t="s">
        <v>20</v>
      </c>
      <c r="B1204" s="76"/>
      <c r="C1204" s="76"/>
      <c r="D1204" s="77"/>
      <c r="E1204" s="14" t="s">
        <v>11</v>
      </c>
      <c r="F1204" s="75" t="s">
        <v>39</v>
      </c>
      <c r="G1204" s="77"/>
      <c r="H1204" s="75" t="s">
        <v>21</v>
      </c>
      <c r="I1204" s="77"/>
      <c r="J1204" s="78" t="s">
        <v>22</v>
      </c>
      <c r="K1204" s="79"/>
      <c r="L1204" s="75" t="s">
        <v>15</v>
      </c>
      <c r="M1204" s="77"/>
    </row>
    <row r="1205" spans="1:13" ht="24" customHeight="1" thickBot="1">
      <c r="A1205" s="96"/>
      <c r="B1205" s="97"/>
      <c r="C1205" s="97"/>
      <c r="D1205" s="98"/>
      <c r="E1205" s="38"/>
      <c r="F1205" s="58"/>
      <c r="G1205" s="59"/>
      <c r="H1205" s="58"/>
      <c r="I1205" s="59"/>
      <c r="J1205" s="56"/>
      <c r="K1205" s="57"/>
      <c r="L1205" s="58"/>
      <c r="M1205" s="59"/>
    </row>
    <row r="1206" spans="1:13" ht="24" customHeight="1" thickBot="1">
      <c r="A1206" s="96"/>
      <c r="B1206" s="97"/>
      <c r="C1206" s="97"/>
      <c r="D1206" s="98"/>
      <c r="E1206" s="38"/>
      <c r="F1206" s="58"/>
      <c r="G1206" s="59"/>
      <c r="H1206" s="58"/>
      <c r="I1206" s="59"/>
      <c r="J1206" s="56"/>
      <c r="K1206" s="57"/>
      <c r="L1206" s="58"/>
      <c r="M1206" s="59"/>
    </row>
    <row r="1207" spans="1:13" ht="24" customHeight="1" thickBot="1">
      <c r="A1207" s="60" t="s">
        <v>23</v>
      </c>
      <c r="B1207" s="61"/>
      <c r="C1207" s="61"/>
      <c r="D1207" s="61"/>
      <c r="E1207" s="61"/>
      <c r="F1207" s="61"/>
      <c r="G1207" s="61"/>
      <c r="H1207" s="61"/>
      <c r="I1207" s="61"/>
      <c r="J1207" s="61"/>
      <c r="K1207" s="61"/>
      <c r="L1207" s="61"/>
      <c r="M1207" s="62"/>
    </row>
    <row r="1208" spans="1:13" ht="35.25" customHeight="1" thickBot="1">
      <c r="A1208" s="75" t="s">
        <v>24</v>
      </c>
      <c r="B1208" s="77"/>
      <c r="C1208" s="75" t="s">
        <v>25</v>
      </c>
      <c r="D1208" s="77"/>
      <c r="E1208" s="75" t="s">
        <v>26</v>
      </c>
      <c r="F1208" s="76"/>
      <c r="G1208" s="77"/>
      <c r="H1208" s="75" t="s">
        <v>27</v>
      </c>
      <c r="I1208" s="77"/>
      <c r="J1208" s="78" t="s">
        <v>21</v>
      </c>
      <c r="K1208" s="79"/>
      <c r="L1208" s="75" t="s">
        <v>22</v>
      </c>
      <c r="M1208" s="77"/>
    </row>
    <row r="1209" spans="1:13" s="18" customFormat="1" ht="24.75" customHeight="1" thickBot="1">
      <c r="A1209" s="99" t="s">
        <v>119</v>
      </c>
      <c r="B1209" s="137"/>
      <c r="C1209" s="56">
        <v>3</v>
      </c>
      <c r="D1209" s="57"/>
      <c r="E1209" s="56">
        <v>69</v>
      </c>
      <c r="F1209" s="100"/>
      <c r="G1209" s="57"/>
      <c r="H1209" s="56"/>
      <c r="I1209" s="57"/>
      <c r="J1209" s="56"/>
      <c r="K1209" s="57"/>
      <c r="L1209" s="56"/>
      <c r="M1209" s="57"/>
    </row>
    <row r="1210" spans="1:13" s="18" customFormat="1" ht="24.75" customHeight="1" thickBot="1">
      <c r="A1210" s="99"/>
      <c r="B1210" s="98"/>
      <c r="C1210" s="56"/>
      <c r="D1210" s="57"/>
      <c r="E1210" s="56"/>
      <c r="F1210" s="100"/>
      <c r="G1210" s="57"/>
      <c r="H1210" s="56"/>
      <c r="I1210" s="57"/>
      <c r="J1210" s="56"/>
      <c r="K1210" s="57"/>
      <c r="L1210" s="56"/>
      <c r="M1210" s="57"/>
    </row>
    <row r="1211" spans="1:13" ht="33" customHeight="1" thickBot="1">
      <c r="A1211" s="112" t="s">
        <v>40</v>
      </c>
      <c r="B1211" s="113"/>
      <c r="C1211" s="113"/>
      <c r="D1211" s="113"/>
      <c r="E1211" s="113"/>
      <c r="F1211" s="113"/>
      <c r="G1211" s="113"/>
      <c r="H1211" s="113"/>
      <c r="I1211" s="113"/>
      <c r="J1211" s="113"/>
      <c r="K1211" s="113"/>
      <c r="L1211" s="113"/>
      <c r="M1211" s="114"/>
    </row>
    <row r="1212" spans="1:13" ht="16.5" customHeight="1">
      <c r="A1212" s="115" t="s">
        <v>41</v>
      </c>
      <c r="B1212" s="116"/>
      <c r="C1212" s="116"/>
      <c r="D1212" s="116"/>
      <c r="E1212" s="116"/>
      <c r="F1212" s="116"/>
      <c r="G1212" s="116"/>
      <c r="H1212" s="116"/>
      <c r="I1212" s="116"/>
      <c r="J1212" s="116"/>
      <c r="K1212" s="116"/>
      <c r="L1212" s="116"/>
      <c r="M1212" s="117"/>
    </row>
    <row r="1213" spans="1:13" ht="16.5" customHeight="1">
      <c r="A1213" s="90" t="s">
        <v>28</v>
      </c>
      <c r="B1213" s="91"/>
      <c r="C1213" s="91"/>
      <c r="D1213" s="91"/>
      <c r="E1213" s="91"/>
      <c r="F1213" s="91"/>
      <c r="G1213" s="91"/>
      <c r="H1213" s="91"/>
      <c r="I1213" s="91"/>
      <c r="J1213" s="91"/>
      <c r="K1213" s="91"/>
      <c r="L1213" s="91"/>
      <c r="M1213" s="92"/>
    </row>
    <row r="1214" spans="1:13" s="1" customFormat="1" ht="16.5" customHeight="1">
      <c r="A1214" s="93" t="s">
        <v>56</v>
      </c>
      <c r="B1214" s="94"/>
      <c r="C1214" s="94"/>
      <c r="D1214" s="94"/>
      <c r="E1214" s="94"/>
      <c r="F1214" s="94"/>
      <c r="G1214" s="94"/>
      <c r="H1214" s="94"/>
      <c r="I1214" s="94"/>
      <c r="J1214" s="94"/>
      <c r="K1214" s="94"/>
      <c r="L1214" s="94"/>
      <c r="M1214" s="95"/>
    </row>
    <row r="1215" spans="1:13" s="1" customFormat="1" ht="16.5" customHeight="1">
      <c r="A1215" s="93" t="s">
        <v>57</v>
      </c>
      <c r="B1215" s="94"/>
      <c r="C1215" s="94"/>
      <c r="D1215" s="94"/>
      <c r="E1215" s="94"/>
      <c r="F1215" s="94"/>
      <c r="G1215" s="94"/>
      <c r="H1215" s="94"/>
      <c r="I1215" s="94"/>
      <c r="J1215" s="94"/>
      <c r="K1215" s="94"/>
      <c r="L1215" s="94"/>
      <c r="M1215" s="95"/>
    </row>
    <row r="1216" spans="1:13" s="1" customFormat="1" ht="16.5" customHeight="1">
      <c r="A1216" s="93" t="s">
        <v>58</v>
      </c>
      <c r="B1216" s="94"/>
      <c r="C1216" s="94"/>
      <c r="D1216" s="94"/>
      <c r="E1216" s="94"/>
      <c r="F1216" s="94"/>
      <c r="G1216" s="94"/>
      <c r="H1216" s="94"/>
      <c r="I1216" s="94"/>
      <c r="J1216" s="94"/>
      <c r="K1216" s="94"/>
      <c r="L1216" s="94"/>
      <c r="M1216" s="95"/>
    </row>
    <row r="1217" spans="1:13" s="1" customFormat="1" ht="16.5" customHeight="1">
      <c r="A1217" s="93" t="s">
        <v>59</v>
      </c>
      <c r="B1217" s="94"/>
      <c r="C1217" s="94"/>
      <c r="D1217" s="94"/>
      <c r="E1217" s="94"/>
      <c r="F1217" s="94"/>
      <c r="G1217" s="94"/>
      <c r="H1217" s="94"/>
      <c r="I1217" s="94"/>
      <c r="J1217" s="94"/>
      <c r="K1217" s="94"/>
      <c r="L1217" s="94"/>
      <c r="M1217" s="95"/>
    </row>
    <row r="1218" spans="1:13" ht="16.5" customHeight="1">
      <c r="A1218" s="106" t="s">
        <v>29</v>
      </c>
      <c r="B1218" s="107"/>
      <c r="C1218" s="107"/>
      <c r="D1218" s="107"/>
      <c r="E1218" s="107"/>
      <c r="F1218" s="107"/>
      <c r="G1218" s="107"/>
      <c r="H1218" s="107"/>
      <c r="I1218" s="107"/>
      <c r="J1218" s="107"/>
      <c r="K1218" s="107"/>
      <c r="L1218" s="107"/>
      <c r="M1218" s="108"/>
    </row>
    <row r="1219" spans="1:13" ht="9.75" customHeight="1" thickBot="1">
      <c r="A1219" s="109"/>
      <c r="B1219" s="110"/>
      <c r="C1219" s="110"/>
      <c r="D1219" s="110"/>
      <c r="E1219" s="110"/>
      <c r="F1219" s="110"/>
      <c r="G1219" s="110"/>
      <c r="H1219" s="110"/>
      <c r="I1219" s="110"/>
      <c r="J1219" s="110"/>
      <c r="K1219" s="110"/>
      <c r="L1219" s="110"/>
      <c r="M1219" s="111"/>
    </row>
    <row r="1220" spans="1:13" ht="18.75" customHeight="1" thickBot="1">
      <c r="A1220" s="72" t="s">
        <v>30</v>
      </c>
      <c r="B1220" s="73"/>
      <c r="C1220" s="73"/>
      <c r="D1220" s="73"/>
      <c r="E1220" s="73"/>
      <c r="F1220" s="73"/>
      <c r="G1220" s="73"/>
      <c r="H1220" s="73"/>
      <c r="I1220" s="73"/>
      <c r="J1220" s="73"/>
      <c r="K1220" s="73"/>
      <c r="L1220" s="73"/>
      <c r="M1220" s="74"/>
    </row>
    <row r="1221" spans="1:13" ht="24" customHeight="1" thickBot="1">
      <c r="A1221" s="72" t="s">
        <v>31</v>
      </c>
      <c r="B1221" s="73"/>
      <c r="C1221" s="73"/>
      <c r="D1221" s="73"/>
      <c r="E1221" s="73"/>
      <c r="F1221" s="73"/>
      <c r="G1221" s="73"/>
      <c r="H1221" s="73"/>
      <c r="I1221" s="73"/>
      <c r="J1221" s="73"/>
      <c r="K1221" s="73"/>
      <c r="L1221" s="73"/>
      <c r="M1221" s="74"/>
    </row>
    <row r="1222" spans="1:13" ht="24" customHeight="1" thickBot="1">
      <c r="A1222" s="72" t="s">
        <v>180</v>
      </c>
      <c r="B1222" s="73"/>
      <c r="C1222" s="73"/>
      <c r="D1222" s="73"/>
      <c r="E1222" s="73"/>
      <c r="F1222" s="73"/>
      <c r="G1222" s="73"/>
      <c r="H1222" s="73"/>
      <c r="I1222" s="73"/>
      <c r="J1222" s="73"/>
      <c r="K1222" s="73"/>
      <c r="L1222" s="73"/>
      <c r="M1222" s="74"/>
    </row>
    <row r="1223" spans="1:13" ht="24" customHeight="1" thickBot="1">
      <c r="A1223" s="60" t="s">
        <v>46</v>
      </c>
      <c r="B1223" s="61"/>
      <c r="C1223" s="61"/>
      <c r="D1223" s="61"/>
      <c r="E1223" s="61"/>
      <c r="F1223" s="61"/>
      <c r="G1223" s="61"/>
      <c r="H1223" s="61"/>
      <c r="I1223" s="61"/>
      <c r="J1223" s="61"/>
      <c r="K1223" s="61"/>
      <c r="L1223" s="61"/>
      <c r="M1223" s="62"/>
    </row>
    <row r="1224" spans="1:13" ht="11.1" customHeight="1">
      <c r="A1224" s="103" t="s">
        <v>47</v>
      </c>
      <c r="B1224" s="103"/>
      <c r="C1224" s="103"/>
      <c r="D1224" s="103"/>
      <c r="E1224" s="103"/>
      <c r="F1224" s="103"/>
      <c r="G1224" s="103"/>
      <c r="H1224" s="103"/>
      <c r="I1224" s="103"/>
      <c r="J1224" s="103"/>
      <c r="K1224" s="103"/>
      <c r="L1224" s="103"/>
      <c r="M1224" s="103"/>
    </row>
    <row r="1225" spans="1:13" ht="11.1" customHeight="1">
      <c r="A1225" s="104" t="s">
        <v>48</v>
      </c>
      <c r="B1225" s="104"/>
      <c r="C1225" s="104"/>
      <c r="D1225" s="104"/>
      <c r="E1225" s="104"/>
      <c r="F1225" s="104"/>
      <c r="G1225" s="104"/>
      <c r="H1225" s="104"/>
      <c r="I1225" s="104"/>
      <c r="J1225" s="104"/>
      <c r="K1225" s="104"/>
      <c r="L1225" s="104"/>
      <c r="M1225" s="104"/>
    </row>
    <row r="1226" spans="1:13" ht="11.1" customHeight="1">
      <c r="A1226" s="105" t="s">
        <v>49</v>
      </c>
      <c r="B1226" s="105"/>
      <c r="C1226" s="105"/>
      <c r="D1226" s="105"/>
      <c r="E1226" s="105"/>
      <c r="F1226" s="105"/>
      <c r="G1226" s="105"/>
      <c r="H1226" s="105"/>
      <c r="I1226" s="105"/>
      <c r="J1226" s="105"/>
      <c r="K1226" s="105"/>
      <c r="L1226" s="105"/>
      <c r="M1226" s="105"/>
    </row>
    <row r="1227" spans="1:13" ht="11.1" customHeight="1">
      <c r="A1227" s="105" t="s">
        <v>50</v>
      </c>
      <c r="B1227" s="105"/>
      <c r="C1227" s="105"/>
      <c r="D1227" s="105"/>
      <c r="E1227" s="105"/>
      <c r="F1227" s="105"/>
      <c r="G1227" s="105"/>
      <c r="H1227" s="105"/>
      <c r="I1227" s="105"/>
      <c r="J1227" s="105"/>
      <c r="K1227" s="105"/>
      <c r="L1227" s="105"/>
      <c r="M1227" s="105"/>
    </row>
    <row r="1228" spans="1:13" ht="11.1" customHeight="1">
      <c r="A1228" s="104" t="s">
        <v>51</v>
      </c>
      <c r="B1228" s="104"/>
      <c r="C1228" s="104"/>
      <c r="D1228" s="104"/>
      <c r="E1228" s="104"/>
      <c r="F1228" s="104"/>
      <c r="G1228" s="104"/>
      <c r="H1228" s="104"/>
      <c r="I1228" s="104"/>
      <c r="J1228" s="104"/>
      <c r="K1228" s="104"/>
      <c r="L1228" s="104"/>
      <c r="M1228" s="104"/>
    </row>
    <row r="1229" spans="1:13" ht="11.1" customHeight="1">
      <c r="A1229" s="104" t="s">
        <v>52</v>
      </c>
      <c r="B1229" s="104"/>
      <c r="C1229" s="104"/>
      <c r="D1229" s="104"/>
      <c r="E1229" s="104"/>
      <c r="F1229" s="104"/>
      <c r="G1229" s="104"/>
      <c r="H1229" s="104"/>
      <c r="I1229" s="104"/>
      <c r="J1229" s="104"/>
      <c r="K1229" s="104"/>
      <c r="L1229" s="104"/>
      <c r="M1229" s="104"/>
    </row>
    <row r="1230" spans="1:13" ht="11.1" customHeight="1">
      <c r="A1230" s="104" t="s">
        <v>53</v>
      </c>
      <c r="B1230" s="104"/>
      <c r="C1230" s="104"/>
      <c r="D1230" s="104"/>
      <c r="E1230" s="104"/>
      <c r="F1230" s="104"/>
      <c r="G1230" s="104"/>
      <c r="H1230" s="104"/>
      <c r="I1230" s="104"/>
      <c r="J1230" s="104"/>
      <c r="K1230" s="104"/>
      <c r="L1230" s="104"/>
      <c r="M1230" s="104"/>
    </row>
    <row r="1231" spans="1:13" ht="11.1" customHeight="1">
      <c r="A1231" s="101" t="s">
        <v>54</v>
      </c>
      <c r="B1231" s="101"/>
      <c r="C1231" s="101"/>
      <c r="D1231" s="101"/>
      <c r="E1231" s="101"/>
      <c r="F1231" s="101"/>
      <c r="G1231" s="101"/>
      <c r="H1231" s="101"/>
      <c r="I1231" s="101"/>
      <c r="J1231" s="101"/>
      <c r="K1231" s="101"/>
      <c r="L1231" s="101"/>
      <c r="M1231" s="101"/>
    </row>
    <row r="1232" spans="1:13" ht="11.1" customHeight="1">
      <c r="A1232" s="101" t="s">
        <v>55</v>
      </c>
      <c r="B1232" s="101"/>
      <c r="C1232" s="101"/>
      <c r="D1232" s="101"/>
      <c r="E1232" s="101"/>
      <c r="F1232" s="101"/>
      <c r="G1232" s="101"/>
      <c r="H1232" s="101"/>
      <c r="I1232" s="101"/>
      <c r="J1232" s="101"/>
      <c r="K1232" s="101"/>
      <c r="L1232" s="101"/>
      <c r="M1232" s="101"/>
    </row>
    <row r="1233" spans="1:15" ht="19.5" customHeight="1">
      <c r="A1233" s="69" t="s">
        <v>0</v>
      </c>
      <c r="B1233" s="69"/>
      <c r="C1233" s="69"/>
      <c r="D1233" s="69"/>
      <c r="E1233" s="69"/>
      <c r="F1233" s="69"/>
      <c r="G1233" s="69"/>
      <c r="H1233" s="69"/>
      <c r="I1233" s="69"/>
      <c r="J1233" s="69"/>
      <c r="K1233" s="69"/>
      <c r="L1233" s="69"/>
      <c r="M1233" s="69"/>
    </row>
    <row r="1234" spans="1:15" ht="20.100000000000001" customHeight="1">
      <c r="A1234" s="4" t="s">
        <v>32</v>
      </c>
      <c r="B1234" s="5">
        <f>+B1190+1</f>
        <v>94</v>
      </c>
      <c r="C1234" s="35"/>
      <c r="D1234" s="35"/>
      <c r="E1234" s="35"/>
      <c r="F1234" s="35"/>
      <c r="G1234" s="35"/>
      <c r="H1234" s="35"/>
      <c r="I1234" s="35"/>
      <c r="J1234" s="35"/>
      <c r="K1234" s="35"/>
      <c r="L1234" s="35"/>
      <c r="M1234" s="35"/>
    </row>
    <row r="1235" spans="1:15" ht="24" customHeight="1" thickBot="1">
      <c r="A1235" s="4" t="s">
        <v>33</v>
      </c>
      <c r="H1235" s="70" t="s">
        <v>34</v>
      </c>
      <c r="I1235" s="70"/>
      <c r="J1235" s="70"/>
      <c r="K1235" s="102">
        <f>+K1191+1</f>
        <v>46020</v>
      </c>
      <c r="L1235" s="102"/>
      <c r="M1235" s="102"/>
      <c r="O1235" s="7"/>
    </row>
    <row r="1236" spans="1:15" ht="33.75" customHeight="1" thickBot="1">
      <c r="A1236" s="80" t="s">
        <v>1</v>
      </c>
      <c r="B1236" s="81"/>
      <c r="C1236" s="82"/>
      <c r="D1236" s="86" t="str">
        <f>+D1192</f>
        <v>光明國中B與C區5樓老舊廁所整修工程</v>
      </c>
      <c r="E1236" s="87"/>
      <c r="F1236" s="87"/>
      <c r="G1236" s="88"/>
      <c r="H1236" s="80" t="s">
        <v>2</v>
      </c>
      <c r="I1236" s="81"/>
      <c r="J1236" s="82"/>
      <c r="K1236" s="80" t="s">
        <v>35</v>
      </c>
      <c r="L1236" s="81"/>
      <c r="M1236" s="82"/>
    </row>
    <row r="1237" spans="1:15" ht="33.75" customHeight="1" thickBot="1">
      <c r="A1237" s="8" t="s">
        <v>3</v>
      </c>
      <c r="B1237" s="36">
        <f>+B1193</f>
        <v>145</v>
      </c>
      <c r="C1237" s="10" t="s">
        <v>36</v>
      </c>
      <c r="D1237" s="80" t="s">
        <v>4</v>
      </c>
      <c r="E1237" s="89"/>
      <c r="F1237" s="37">
        <f>+F1193+1</f>
        <v>94</v>
      </c>
      <c r="G1237" s="12" t="s">
        <v>36</v>
      </c>
      <c r="H1237" s="13" t="s">
        <v>5</v>
      </c>
      <c r="I1237" s="36">
        <f>+B1237-F1237</f>
        <v>51</v>
      </c>
      <c r="J1237" s="10" t="s">
        <v>36</v>
      </c>
      <c r="K1237" s="80" t="s">
        <v>6</v>
      </c>
      <c r="L1237" s="82"/>
      <c r="M1237" s="13">
        <f>+M1193</f>
        <v>15</v>
      </c>
    </row>
    <row r="1238" spans="1:15" ht="24" customHeight="1" thickBot="1">
      <c r="A1238" s="80" t="s">
        <v>7</v>
      </c>
      <c r="B1238" s="81"/>
      <c r="C1238" s="82"/>
      <c r="D1238" s="80" t="str">
        <f>+D1194</f>
        <v>114.9.27</v>
      </c>
      <c r="E1238" s="81"/>
      <c r="F1238" s="81"/>
      <c r="G1238" s="82"/>
      <c r="H1238" s="80" t="s">
        <v>8</v>
      </c>
      <c r="I1238" s="81"/>
      <c r="J1238" s="82"/>
      <c r="K1238" s="80" t="str">
        <f>+K1194</f>
        <v>115.2.18</v>
      </c>
      <c r="L1238" s="81"/>
      <c r="M1238" s="82"/>
    </row>
    <row r="1239" spans="1:15" ht="24" customHeight="1" thickBot="1">
      <c r="A1239" s="80" t="s">
        <v>37</v>
      </c>
      <c r="B1239" s="81"/>
      <c r="C1239" s="82"/>
      <c r="D1239" s="83">
        <v>0.5</v>
      </c>
      <c r="E1239" s="84"/>
      <c r="F1239" s="84"/>
      <c r="G1239" s="85"/>
      <c r="H1239" s="80" t="s">
        <v>38</v>
      </c>
      <c r="I1239" s="81"/>
      <c r="J1239" s="82"/>
      <c r="K1239" s="83">
        <f>+K1195</f>
        <v>0.66600000000000037</v>
      </c>
      <c r="L1239" s="84"/>
      <c r="M1239" s="85"/>
    </row>
    <row r="1240" spans="1:15" ht="24" customHeight="1" thickBot="1">
      <c r="A1240" s="72" t="s">
        <v>9</v>
      </c>
      <c r="B1240" s="73"/>
      <c r="C1240" s="73"/>
      <c r="D1240" s="73"/>
      <c r="E1240" s="73"/>
      <c r="F1240" s="73"/>
      <c r="G1240" s="73"/>
      <c r="H1240" s="73"/>
      <c r="I1240" s="73"/>
      <c r="J1240" s="73"/>
      <c r="K1240" s="73"/>
      <c r="L1240" s="73"/>
      <c r="M1240" s="74"/>
    </row>
    <row r="1241" spans="1:15" ht="35.25" customHeight="1" thickBot="1">
      <c r="A1241" s="75" t="s">
        <v>10</v>
      </c>
      <c r="B1241" s="76"/>
      <c r="C1241" s="76"/>
      <c r="D1241" s="77"/>
      <c r="E1241" s="14" t="s">
        <v>11</v>
      </c>
      <c r="F1241" s="75" t="s">
        <v>12</v>
      </c>
      <c r="G1241" s="77"/>
      <c r="H1241" s="75" t="s">
        <v>13</v>
      </c>
      <c r="I1241" s="77"/>
      <c r="J1241" s="78" t="s">
        <v>14</v>
      </c>
      <c r="K1241" s="79"/>
      <c r="L1241" s="75" t="s">
        <v>15</v>
      </c>
      <c r="M1241" s="77"/>
    </row>
    <row r="1242" spans="1:15" ht="27.95" customHeight="1" thickBot="1">
      <c r="A1242" s="141"/>
      <c r="B1242" s="142"/>
      <c r="C1242" s="142"/>
      <c r="D1242" s="143"/>
      <c r="E1242" s="2"/>
      <c r="F1242" s="56"/>
      <c r="G1242" s="57"/>
      <c r="H1242" s="56"/>
      <c r="I1242" s="57"/>
      <c r="J1242" s="56"/>
      <c r="K1242" s="57"/>
      <c r="L1242" s="58"/>
      <c r="M1242" s="59"/>
    </row>
    <row r="1243" spans="1:15" ht="27.95" customHeight="1" thickBot="1">
      <c r="A1243" s="141"/>
      <c r="B1243" s="142"/>
      <c r="C1243" s="142"/>
      <c r="D1243" s="143"/>
      <c r="E1243" s="15"/>
      <c r="F1243" s="56"/>
      <c r="G1243" s="57"/>
      <c r="H1243" s="56"/>
      <c r="I1243" s="57"/>
      <c r="J1243" s="56"/>
      <c r="K1243" s="57"/>
      <c r="L1243" s="58"/>
      <c r="M1243" s="59"/>
    </row>
    <row r="1244" spans="1:15" ht="24.95" customHeight="1" thickTop="1" thickBot="1">
      <c r="A1244" s="130" t="s">
        <v>16</v>
      </c>
      <c r="B1244" s="67"/>
      <c r="C1244" s="67"/>
      <c r="D1244" s="68"/>
      <c r="E1244" s="38"/>
      <c r="F1244" s="131"/>
      <c r="G1244" s="132"/>
      <c r="H1244" s="131"/>
      <c r="I1244" s="132"/>
      <c r="J1244" s="131"/>
      <c r="K1244" s="132"/>
      <c r="L1244" s="131"/>
      <c r="M1244" s="133"/>
    </row>
    <row r="1245" spans="1:15" ht="24.95" customHeight="1" thickBot="1">
      <c r="A1245" s="134" t="s">
        <v>17</v>
      </c>
      <c r="B1245" s="135"/>
      <c r="C1245" s="135"/>
      <c r="D1245" s="59"/>
      <c r="E1245" s="38"/>
      <c r="F1245" s="58"/>
      <c r="G1245" s="59"/>
      <c r="H1245" s="58"/>
      <c r="I1245" s="59"/>
      <c r="J1245" s="58"/>
      <c r="K1245" s="59"/>
      <c r="L1245" s="58"/>
      <c r="M1245" s="136"/>
    </row>
    <row r="1246" spans="1:15" ht="24.95" customHeight="1" thickBot="1">
      <c r="A1246" s="118" t="s">
        <v>18</v>
      </c>
      <c r="B1246" s="119"/>
      <c r="C1246" s="119"/>
      <c r="D1246" s="120"/>
      <c r="E1246" s="24"/>
      <c r="F1246" s="121"/>
      <c r="G1246" s="120"/>
      <c r="H1246" s="121"/>
      <c r="I1246" s="120"/>
      <c r="J1246" s="121"/>
      <c r="K1246" s="120"/>
      <c r="L1246" s="121"/>
      <c r="M1246" s="122"/>
    </row>
    <row r="1247" spans="1:15" ht="24" customHeight="1" thickTop="1" thickBot="1">
      <c r="A1247" s="66" t="s">
        <v>19</v>
      </c>
      <c r="B1247" s="67"/>
      <c r="C1247" s="67"/>
      <c r="D1247" s="67"/>
      <c r="E1247" s="67"/>
      <c r="F1247" s="67"/>
      <c r="G1247" s="67"/>
      <c r="H1247" s="67"/>
      <c r="I1247" s="67"/>
      <c r="J1247" s="67"/>
      <c r="K1247" s="67"/>
      <c r="L1247" s="67"/>
      <c r="M1247" s="68"/>
    </row>
    <row r="1248" spans="1:15" ht="35.25" customHeight="1" thickBot="1">
      <c r="A1248" s="75" t="s">
        <v>20</v>
      </c>
      <c r="B1248" s="76"/>
      <c r="C1248" s="76"/>
      <c r="D1248" s="77"/>
      <c r="E1248" s="14" t="s">
        <v>11</v>
      </c>
      <c r="F1248" s="75" t="s">
        <v>39</v>
      </c>
      <c r="G1248" s="77"/>
      <c r="H1248" s="75" t="s">
        <v>21</v>
      </c>
      <c r="I1248" s="77"/>
      <c r="J1248" s="78" t="s">
        <v>22</v>
      </c>
      <c r="K1248" s="79"/>
      <c r="L1248" s="75" t="s">
        <v>15</v>
      </c>
      <c r="M1248" s="77"/>
    </row>
    <row r="1249" spans="1:13" ht="24" customHeight="1" thickBot="1">
      <c r="A1249" s="96"/>
      <c r="B1249" s="97"/>
      <c r="C1249" s="97"/>
      <c r="D1249" s="98"/>
      <c r="E1249" s="38"/>
      <c r="F1249" s="58"/>
      <c r="G1249" s="59"/>
      <c r="H1249" s="58"/>
      <c r="I1249" s="59"/>
      <c r="J1249" s="56"/>
      <c r="K1249" s="57"/>
      <c r="L1249" s="58"/>
      <c r="M1249" s="59"/>
    </row>
    <row r="1250" spans="1:13" ht="24" customHeight="1" thickBot="1">
      <c r="A1250" s="96"/>
      <c r="B1250" s="97"/>
      <c r="C1250" s="97"/>
      <c r="D1250" s="98"/>
      <c r="E1250" s="38"/>
      <c r="F1250" s="58"/>
      <c r="G1250" s="59"/>
      <c r="H1250" s="58"/>
      <c r="I1250" s="59"/>
      <c r="J1250" s="56"/>
      <c r="K1250" s="57"/>
      <c r="L1250" s="58"/>
      <c r="M1250" s="59"/>
    </row>
    <row r="1251" spans="1:13" ht="24" customHeight="1" thickBot="1">
      <c r="A1251" s="60" t="s">
        <v>23</v>
      </c>
      <c r="B1251" s="61"/>
      <c r="C1251" s="61"/>
      <c r="D1251" s="61"/>
      <c r="E1251" s="61"/>
      <c r="F1251" s="61"/>
      <c r="G1251" s="61"/>
      <c r="H1251" s="61"/>
      <c r="I1251" s="61"/>
      <c r="J1251" s="61"/>
      <c r="K1251" s="61"/>
      <c r="L1251" s="61"/>
      <c r="M1251" s="62"/>
    </row>
    <row r="1252" spans="1:13" ht="35.25" customHeight="1" thickBot="1">
      <c r="A1252" s="75" t="s">
        <v>24</v>
      </c>
      <c r="B1252" s="77"/>
      <c r="C1252" s="75" t="s">
        <v>25</v>
      </c>
      <c r="D1252" s="77"/>
      <c r="E1252" s="75" t="s">
        <v>26</v>
      </c>
      <c r="F1252" s="76"/>
      <c r="G1252" s="77"/>
      <c r="H1252" s="75" t="s">
        <v>27</v>
      </c>
      <c r="I1252" s="77"/>
      <c r="J1252" s="78" t="s">
        <v>21</v>
      </c>
      <c r="K1252" s="79"/>
      <c r="L1252" s="75" t="s">
        <v>22</v>
      </c>
      <c r="M1252" s="77"/>
    </row>
    <row r="1253" spans="1:13" s="18" customFormat="1" ht="24.75" customHeight="1" thickBot="1">
      <c r="A1253" s="99"/>
      <c r="B1253" s="98"/>
      <c r="C1253" s="56"/>
      <c r="D1253" s="57"/>
      <c r="E1253" s="56"/>
      <c r="F1253" s="100"/>
      <c r="G1253" s="57"/>
      <c r="H1253" s="56"/>
      <c r="I1253" s="57"/>
      <c r="J1253" s="56"/>
      <c r="K1253" s="57"/>
      <c r="L1253" s="56"/>
      <c r="M1253" s="57"/>
    </row>
    <row r="1254" spans="1:13" s="18" customFormat="1" ht="24.75" customHeight="1" thickBot="1">
      <c r="A1254" s="99"/>
      <c r="B1254" s="98"/>
      <c r="C1254" s="56"/>
      <c r="D1254" s="57"/>
      <c r="E1254" s="56"/>
      <c r="F1254" s="100"/>
      <c r="G1254" s="57"/>
      <c r="H1254" s="56"/>
      <c r="I1254" s="57"/>
      <c r="J1254" s="56"/>
      <c r="K1254" s="57"/>
      <c r="L1254" s="56"/>
      <c r="M1254" s="57"/>
    </row>
    <row r="1255" spans="1:13" ht="33" customHeight="1" thickBot="1">
      <c r="A1255" s="112" t="s">
        <v>60</v>
      </c>
      <c r="B1255" s="113"/>
      <c r="C1255" s="113"/>
      <c r="D1255" s="113"/>
      <c r="E1255" s="113"/>
      <c r="F1255" s="113"/>
      <c r="G1255" s="113"/>
      <c r="H1255" s="113"/>
      <c r="I1255" s="113"/>
      <c r="J1255" s="113"/>
      <c r="K1255" s="113"/>
      <c r="L1255" s="113"/>
      <c r="M1255" s="114"/>
    </row>
    <row r="1256" spans="1:13" ht="16.5" customHeight="1">
      <c r="A1256" s="115" t="s">
        <v>41</v>
      </c>
      <c r="B1256" s="116"/>
      <c r="C1256" s="116"/>
      <c r="D1256" s="116"/>
      <c r="E1256" s="116"/>
      <c r="F1256" s="116"/>
      <c r="G1256" s="116"/>
      <c r="H1256" s="116"/>
      <c r="I1256" s="116"/>
      <c r="J1256" s="116"/>
      <c r="K1256" s="116"/>
      <c r="L1256" s="116"/>
      <c r="M1256" s="117"/>
    </row>
    <row r="1257" spans="1:13" ht="16.5" customHeight="1">
      <c r="A1257" s="90" t="s">
        <v>28</v>
      </c>
      <c r="B1257" s="91"/>
      <c r="C1257" s="91"/>
      <c r="D1257" s="91"/>
      <c r="E1257" s="91"/>
      <c r="F1257" s="91"/>
      <c r="G1257" s="91"/>
      <c r="H1257" s="91"/>
      <c r="I1257" s="91"/>
      <c r="J1257" s="91"/>
      <c r="K1257" s="91"/>
      <c r="L1257" s="91"/>
      <c r="M1257" s="92"/>
    </row>
    <row r="1258" spans="1:13" ht="16.5" customHeight="1">
      <c r="A1258" s="106" t="s">
        <v>42</v>
      </c>
      <c r="B1258" s="107"/>
      <c r="C1258" s="107"/>
      <c r="D1258" s="107"/>
      <c r="E1258" s="107"/>
      <c r="F1258" s="107"/>
      <c r="G1258" s="107"/>
      <c r="H1258" s="107"/>
      <c r="I1258" s="107"/>
      <c r="J1258" s="107"/>
      <c r="K1258" s="107"/>
      <c r="L1258" s="107"/>
      <c r="M1258" s="108"/>
    </row>
    <row r="1259" spans="1:13" ht="16.5" customHeight="1">
      <c r="A1259" s="106" t="s">
        <v>43</v>
      </c>
      <c r="B1259" s="107"/>
      <c r="C1259" s="107"/>
      <c r="D1259" s="107"/>
      <c r="E1259" s="107"/>
      <c r="F1259" s="107"/>
      <c r="G1259" s="107"/>
      <c r="H1259" s="107"/>
      <c r="I1259" s="107"/>
      <c r="J1259" s="107"/>
      <c r="K1259" s="107"/>
      <c r="L1259" s="107"/>
      <c r="M1259" s="108"/>
    </row>
    <row r="1260" spans="1:13" ht="16.5" customHeight="1">
      <c r="A1260" s="106" t="s">
        <v>44</v>
      </c>
      <c r="B1260" s="107"/>
      <c r="C1260" s="107"/>
      <c r="D1260" s="107"/>
      <c r="E1260" s="107"/>
      <c r="F1260" s="107"/>
      <c r="G1260" s="107"/>
      <c r="H1260" s="107"/>
      <c r="I1260" s="107"/>
      <c r="J1260" s="107"/>
      <c r="K1260" s="107"/>
      <c r="L1260" s="107"/>
      <c r="M1260" s="108"/>
    </row>
    <row r="1261" spans="1:13" ht="16.5" customHeight="1">
      <c r="A1261" s="106" t="s">
        <v>45</v>
      </c>
      <c r="B1261" s="107"/>
      <c r="C1261" s="107"/>
      <c r="D1261" s="107"/>
      <c r="E1261" s="107"/>
      <c r="F1261" s="107"/>
      <c r="G1261" s="107"/>
      <c r="H1261" s="107"/>
      <c r="I1261" s="107"/>
      <c r="J1261" s="107"/>
      <c r="K1261" s="107"/>
      <c r="L1261" s="107"/>
      <c r="M1261" s="108"/>
    </row>
    <row r="1262" spans="1:13" ht="16.5" customHeight="1">
      <c r="A1262" s="106" t="s">
        <v>29</v>
      </c>
      <c r="B1262" s="107"/>
      <c r="C1262" s="107"/>
      <c r="D1262" s="107"/>
      <c r="E1262" s="107"/>
      <c r="F1262" s="107"/>
      <c r="G1262" s="107"/>
      <c r="H1262" s="107"/>
      <c r="I1262" s="107"/>
      <c r="J1262" s="107"/>
      <c r="K1262" s="107"/>
      <c r="L1262" s="107"/>
      <c r="M1262" s="108"/>
    </row>
    <row r="1263" spans="1:13" ht="9.75" customHeight="1" thickBot="1">
      <c r="A1263" s="109"/>
      <c r="B1263" s="110"/>
      <c r="C1263" s="110"/>
      <c r="D1263" s="110"/>
      <c r="E1263" s="110"/>
      <c r="F1263" s="110"/>
      <c r="G1263" s="110"/>
      <c r="H1263" s="110"/>
      <c r="I1263" s="110"/>
      <c r="J1263" s="110"/>
      <c r="K1263" s="110"/>
      <c r="L1263" s="110"/>
      <c r="M1263" s="111"/>
    </row>
    <row r="1264" spans="1:13" ht="18.75" customHeight="1" thickBot="1">
      <c r="A1264" s="72" t="s">
        <v>30</v>
      </c>
      <c r="B1264" s="73"/>
      <c r="C1264" s="73"/>
      <c r="D1264" s="73"/>
      <c r="E1264" s="73"/>
      <c r="F1264" s="73"/>
      <c r="G1264" s="73"/>
      <c r="H1264" s="73"/>
      <c r="I1264" s="73"/>
      <c r="J1264" s="73"/>
      <c r="K1264" s="73"/>
      <c r="L1264" s="73"/>
      <c r="M1264" s="74"/>
    </row>
    <row r="1265" spans="1:15" ht="24" customHeight="1" thickBot="1">
      <c r="A1265" s="72" t="s">
        <v>31</v>
      </c>
      <c r="B1265" s="73"/>
      <c r="C1265" s="73"/>
      <c r="D1265" s="73"/>
      <c r="E1265" s="73"/>
      <c r="F1265" s="73"/>
      <c r="G1265" s="73"/>
      <c r="H1265" s="73"/>
      <c r="I1265" s="73"/>
      <c r="J1265" s="73"/>
      <c r="K1265" s="73"/>
      <c r="L1265" s="73"/>
      <c r="M1265" s="74"/>
    </row>
    <row r="1266" spans="1:15" ht="24" customHeight="1" thickBot="1">
      <c r="A1266" s="72" t="s">
        <v>176</v>
      </c>
      <c r="B1266" s="73"/>
      <c r="C1266" s="73"/>
      <c r="D1266" s="73"/>
      <c r="E1266" s="73"/>
      <c r="F1266" s="73"/>
      <c r="G1266" s="73"/>
      <c r="H1266" s="73"/>
      <c r="I1266" s="73"/>
      <c r="J1266" s="73"/>
      <c r="K1266" s="73"/>
      <c r="L1266" s="73"/>
      <c r="M1266" s="74"/>
    </row>
    <row r="1267" spans="1:15" ht="24" customHeight="1" thickBot="1">
      <c r="A1267" s="60" t="s">
        <v>46</v>
      </c>
      <c r="B1267" s="61"/>
      <c r="C1267" s="61"/>
      <c r="D1267" s="61"/>
      <c r="E1267" s="61"/>
      <c r="F1267" s="61"/>
      <c r="G1267" s="61"/>
      <c r="H1267" s="61"/>
      <c r="I1267" s="61"/>
      <c r="J1267" s="61"/>
      <c r="K1267" s="61"/>
      <c r="L1267" s="61"/>
      <c r="M1267" s="62"/>
    </row>
    <row r="1268" spans="1:15" ht="11.1" customHeight="1">
      <c r="A1268" s="103" t="s">
        <v>47</v>
      </c>
      <c r="B1268" s="103"/>
      <c r="C1268" s="103"/>
      <c r="D1268" s="103"/>
      <c r="E1268" s="103"/>
      <c r="F1268" s="103"/>
      <c r="G1268" s="103"/>
      <c r="H1268" s="103"/>
      <c r="I1268" s="103"/>
      <c r="J1268" s="103"/>
      <c r="K1268" s="103"/>
      <c r="L1268" s="103"/>
      <c r="M1268" s="103"/>
    </row>
    <row r="1269" spans="1:15" ht="11.1" customHeight="1">
      <c r="A1269" s="104" t="s">
        <v>48</v>
      </c>
      <c r="B1269" s="104"/>
      <c r="C1269" s="104"/>
      <c r="D1269" s="104"/>
      <c r="E1269" s="104"/>
      <c r="F1269" s="104"/>
      <c r="G1269" s="104"/>
      <c r="H1269" s="104"/>
      <c r="I1269" s="104"/>
      <c r="J1269" s="104"/>
      <c r="K1269" s="104"/>
      <c r="L1269" s="104"/>
      <c r="M1269" s="104"/>
    </row>
    <row r="1270" spans="1:15" ht="11.1" customHeight="1">
      <c r="A1270" s="105" t="s">
        <v>49</v>
      </c>
      <c r="B1270" s="105"/>
      <c r="C1270" s="105"/>
      <c r="D1270" s="105"/>
      <c r="E1270" s="105"/>
      <c r="F1270" s="105"/>
      <c r="G1270" s="105"/>
      <c r="H1270" s="105"/>
      <c r="I1270" s="105"/>
      <c r="J1270" s="105"/>
      <c r="K1270" s="105"/>
      <c r="L1270" s="105"/>
      <c r="M1270" s="105"/>
    </row>
    <row r="1271" spans="1:15" ht="11.1" customHeight="1">
      <c r="A1271" s="105" t="s">
        <v>50</v>
      </c>
      <c r="B1271" s="105"/>
      <c r="C1271" s="105"/>
      <c r="D1271" s="105"/>
      <c r="E1271" s="105"/>
      <c r="F1271" s="105"/>
      <c r="G1271" s="105"/>
      <c r="H1271" s="105"/>
      <c r="I1271" s="105"/>
      <c r="J1271" s="105"/>
      <c r="K1271" s="105"/>
      <c r="L1271" s="105"/>
      <c r="M1271" s="105"/>
    </row>
    <row r="1272" spans="1:15" ht="11.1" customHeight="1">
      <c r="A1272" s="104" t="s">
        <v>51</v>
      </c>
      <c r="B1272" s="104"/>
      <c r="C1272" s="104"/>
      <c r="D1272" s="104"/>
      <c r="E1272" s="104"/>
      <c r="F1272" s="104"/>
      <c r="G1272" s="104"/>
      <c r="H1272" s="104"/>
      <c r="I1272" s="104"/>
      <c r="J1272" s="104"/>
      <c r="K1272" s="104"/>
      <c r="L1272" s="104"/>
      <c r="M1272" s="104"/>
    </row>
    <row r="1273" spans="1:15" ht="11.1" customHeight="1">
      <c r="A1273" s="104" t="s">
        <v>52</v>
      </c>
      <c r="B1273" s="104"/>
      <c r="C1273" s="104"/>
      <c r="D1273" s="104"/>
      <c r="E1273" s="104"/>
      <c r="F1273" s="104"/>
      <c r="G1273" s="104"/>
      <c r="H1273" s="104"/>
      <c r="I1273" s="104"/>
      <c r="J1273" s="104"/>
      <c r="K1273" s="104"/>
      <c r="L1273" s="104"/>
      <c r="M1273" s="104"/>
    </row>
    <row r="1274" spans="1:15" ht="11.1" customHeight="1">
      <c r="A1274" s="104" t="s">
        <v>53</v>
      </c>
      <c r="B1274" s="104"/>
      <c r="C1274" s="104"/>
      <c r="D1274" s="104"/>
      <c r="E1274" s="104"/>
      <c r="F1274" s="104"/>
      <c r="G1274" s="104"/>
      <c r="H1274" s="104"/>
      <c r="I1274" s="104"/>
      <c r="J1274" s="104"/>
      <c r="K1274" s="104"/>
      <c r="L1274" s="104"/>
      <c r="M1274" s="104"/>
    </row>
    <row r="1275" spans="1:15" ht="11.1" customHeight="1">
      <c r="A1275" s="101" t="s">
        <v>54</v>
      </c>
      <c r="B1275" s="101"/>
      <c r="C1275" s="101"/>
      <c r="D1275" s="101"/>
      <c r="E1275" s="101"/>
      <c r="F1275" s="101"/>
      <c r="G1275" s="101"/>
      <c r="H1275" s="101"/>
      <c r="I1275" s="101"/>
      <c r="J1275" s="101"/>
      <c r="K1275" s="101"/>
      <c r="L1275" s="101"/>
      <c r="M1275" s="101"/>
    </row>
    <row r="1276" spans="1:15" ht="11.1" customHeight="1">
      <c r="A1276" s="101" t="s">
        <v>55</v>
      </c>
      <c r="B1276" s="101"/>
      <c r="C1276" s="101"/>
      <c r="D1276" s="101"/>
      <c r="E1276" s="101"/>
      <c r="F1276" s="101"/>
      <c r="G1276" s="101"/>
      <c r="H1276" s="101"/>
      <c r="I1276" s="101"/>
      <c r="J1276" s="101"/>
      <c r="K1276" s="101"/>
      <c r="L1276" s="101"/>
      <c r="M1276" s="101"/>
    </row>
    <row r="1277" spans="1:15" ht="19.5" customHeight="1">
      <c r="A1277" s="69" t="s">
        <v>0</v>
      </c>
      <c r="B1277" s="69"/>
      <c r="C1277" s="69"/>
      <c r="D1277" s="69"/>
      <c r="E1277" s="69"/>
      <c r="F1277" s="69"/>
      <c r="G1277" s="69"/>
      <c r="H1277" s="69"/>
      <c r="I1277" s="69"/>
      <c r="J1277" s="69"/>
      <c r="K1277" s="69"/>
      <c r="L1277" s="69"/>
      <c r="M1277" s="69"/>
    </row>
    <row r="1278" spans="1:15" ht="20.100000000000001" customHeight="1">
      <c r="A1278" s="4" t="s">
        <v>32</v>
      </c>
      <c r="B1278" s="5">
        <f>+B1234+1</f>
        <v>95</v>
      </c>
      <c r="C1278" s="35"/>
      <c r="D1278" s="35"/>
      <c r="E1278" s="35"/>
      <c r="F1278" s="35"/>
      <c r="G1278" s="35"/>
      <c r="H1278" s="35"/>
      <c r="I1278" s="35"/>
      <c r="J1278" s="35"/>
      <c r="K1278" s="35"/>
      <c r="L1278" s="35"/>
      <c r="M1278" s="35"/>
    </row>
    <row r="1279" spans="1:15" ht="24" customHeight="1" thickBot="1">
      <c r="A1279" s="4" t="s">
        <v>33</v>
      </c>
      <c r="H1279" s="70" t="s">
        <v>34</v>
      </c>
      <c r="I1279" s="70"/>
      <c r="J1279" s="70"/>
      <c r="K1279" s="102">
        <f>+K1235+1</f>
        <v>46021</v>
      </c>
      <c r="L1279" s="102"/>
      <c r="M1279" s="102"/>
      <c r="O1279" s="7"/>
    </row>
    <row r="1280" spans="1:15" ht="33.75" customHeight="1" thickBot="1">
      <c r="A1280" s="80" t="s">
        <v>1</v>
      </c>
      <c r="B1280" s="81"/>
      <c r="C1280" s="82"/>
      <c r="D1280" s="86" t="str">
        <f>+D1236</f>
        <v>光明國中B與C區5樓老舊廁所整修工程</v>
      </c>
      <c r="E1280" s="87"/>
      <c r="F1280" s="87"/>
      <c r="G1280" s="88"/>
      <c r="H1280" s="80" t="s">
        <v>2</v>
      </c>
      <c r="I1280" s="81"/>
      <c r="J1280" s="82"/>
      <c r="K1280" s="80" t="s">
        <v>35</v>
      </c>
      <c r="L1280" s="81"/>
      <c r="M1280" s="82"/>
    </row>
    <row r="1281" spans="1:13" ht="33.75" customHeight="1" thickBot="1">
      <c r="A1281" s="8" t="s">
        <v>3</v>
      </c>
      <c r="B1281" s="36">
        <f>+B1237</f>
        <v>145</v>
      </c>
      <c r="C1281" s="10" t="s">
        <v>36</v>
      </c>
      <c r="D1281" s="80" t="s">
        <v>4</v>
      </c>
      <c r="E1281" s="89"/>
      <c r="F1281" s="37">
        <f>+F1237+1</f>
        <v>95</v>
      </c>
      <c r="G1281" s="12" t="s">
        <v>36</v>
      </c>
      <c r="H1281" s="13" t="s">
        <v>5</v>
      </c>
      <c r="I1281" s="36">
        <f>+B1281-F1281</f>
        <v>50</v>
      </c>
      <c r="J1281" s="10" t="s">
        <v>36</v>
      </c>
      <c r="K1281" s="80" t="s">
        <v>6</v>
      </c>
      <c r="L1281" s="82"/>
      <c r="M1281" s="13">
        <f>+M1237</f>
        <v>15</v>
      </c>
    </row>
    <row r="1282" spans="1:13" ht="24" customHeight="1" thickBot="1">
      <c r="A1282" s="80" t="s">
        <v>7</v>
      </c>
      <c r="B1282" s="81"/>
      <c r="C1282" s="82"/>
      <c r="D1282" s="80" t="str">
        <f>+D1238</f>
        <v>114.9.27</v>
      </c>
      <c r="E1282" s="81"/>
      <c r="F1282" s="81"/>
      <c r="G1282" s="82"/>
      <c r="H1282" s="80" t="s">
        <v>8</v>
      </c>
      <c r="I1282" s="81"/>
      <c r="J1282" s="82"/>
      <c r="K1282" s="80" t="str">
        <f>+K1238</f>
        <v>115.2.18</v>
      </c>
      <c r="L1282" s="81"/>
      <c r="M1282" s="82"/>
    </row>
    <row r="1283" spans="1:13" ht="24" customHeight="1" thickBot="1">
      <c r="A1283" s="80" t="s">
        <v>37</v>
      </c>
      <c r="B1283" s="81"/>
      <c r="C1283" s="82"/>
      <c r="D1283" s="83">
        <v>0.51</v>
      </c>
      <c r="E1283" s="84"/>
      <c r="F1283" s="84"/>
      <c r="G1283" s="85"/>
      <c r="H1283" s="80" t="s">
        <v>38</v>
      </c>
      <c r="I1283" s="81"/>
      <c r="J1283" s="82"/>
      <c r="K1283" s="83">
        <f>+K1239</f>
        <v>0.66600000000000037</v>
      </c>
      <c r="L1283" s="84"/>
      <c r="M1283" s="85"/>
    </row>
    <row r="1284" spans="1:13" ht="24" customHeight="1" thickBot="1">
      <c r="A1284" s="72" t="s">
        <v>9</v>
      </c>
      <c r="B1284" s="73"/>
      <c r="C1284" s="73"/>
      <c r="D1284" s="73"/>
      <c r="E1284" s="73"/>
      <c r="F1284" s="73"/>
      <c r="G1284" s="73"/>
      <c r="H1284" s="73"/>
      <c r="I1284" s="73"/>
      <c r="J1284" s="73"/>
      <c r="K1284" s="73"/>
      <c r="L1284" s="73"/>
      <c r="M1284" s="74"/>
    </row>
    <row r="1285" spans="1:13" ht="35.25" customHeight="1" thickBot="1">
      <c r="A1285" s="75" t="s">
        <v>10</v>
      </c>
      <c r="B1285" s="76"/>
      <c r="C1285" s="76"/>
      <c r="D1285" s="77"/>
      <c r="E1285" s="14" t="s">
        <v>11</v>
      </c>
      <c r="F1285" s="75" t="s">
        <v>12</v>
      </c>
      <c r="G1285" s="77"/>
      <c r="H1285" s="75" t="s">
        <v>13</v>
      </c>
      <c r="I1285" s="77"/>
      <c r="J1285" s="78" t="s">
        <v>14</v>
      </c>
      <c r="K1285" s="79"/>
      <c r="L1285" s="75" t="s">
        <v>15</v>
      </c>
      <c r="M1285" s="77"/>
    </row>
    <row r="1286" spans="1:13" ht="27.95" customHeight="1" thickBot="1">
      <c r="A1286" s="141"/>
      <c r="B1286" s="142"/>
      <c r="C1286" s="142"/>
      <c r="D1286" s="143"/>
      <c r="E1286" s="2"/>
      <c r="F1286" s="56"/>
      <c r="G1286" s="57"/>
      <c r="H1286" s="56"/>
      <c r="I1286" s="57"/>
      <c r="J1286" s="56"/>
      <c r="K1286" s="57"/>
      <c r="L1286" s="58"/>
      <c r="M1286" s="59"/>
    </row>
    <row r="1287" spans="1:13" ht="27.95" customHeight="1" thickBot="1">
      <c r="A1287" s="141"/>
      <c r="B1287" s="142"/>
      <c r="C1287" s="142"/>
      <c r="D1287" s="143"/>
      <c r="E1287" s="15"/>
      <c r="F1287" s="56"/>
      <c r="G1287" s="57"/>
      <c r="H1287" s="56"/>
      <c r="I1287" s="57"/>
      <c r="J1287" s="56"/>
      <c r="K1287" s="57"/>
      <c r="L1287" s="58"/>
      <c r="M1287" s="59"/>
    </row>
    <row r="1288" spans="1:13" ht="24.95" customHeight="1" thickTop="1" thickBot="1">
      <c r="A1288" s="130" t="s">
        <v>16</v>
      </c>
      <c r="B1288" s="67"/>
      <c r="C1288" s="67"/>
      <c r="D1288" s="68"/>
      <c r="E1288" s="38"/>
      <c r="F1288" s="131"/>
      <c r="G1288" s="132"/>
      <c r="H1288" s="131"/>
      <c r="I1288" s="132"/>
      <c r="J1288" s="131"/>
      <c r="K1288" s="132"/>
      <c r="L1288" s="131"/>
      <c r="M1288" s="133"/>
    </row>
    <row r="1289" spans="1:13" ht="24.95" customHeight="1" thickBot="1">
      <c r="A1289" s="134" t="s">
        <v>17</v>
      </c>
      <c r="B1289" s="135"/>
      <c r="C1289" s="135"/>
      <c r="D1289" s="59"/>
      <c r="E1289" s="38"/>
      <c r="F1289" s="58"/>
      <c r="G1289" s="59"/>
      <c r="H1289" s="58"/>
      <c r="I1289" s="59"/>
      <c r="J1289" s="58"/>
      <c r="K1289" s="59"/>
      <c r="L1289" s="58"/>
      <c r="M1289" s="136"/>
    </row>
    <row r="1290" spans="1:13" ht="24.95" customHeight="1" thickBot="1">
      <c r="A1290" s="118" t="s">
        <v>18</v>
      </c>
      <c r="B1290" s="119"/>
      <c r="C1290" s="119"/>
      <c r="D1290" s="120"/>
      <c r="E1290" s="24"/>
      <c r="F1290" s="121"/>
      <c r="G1290" s="120"/>
      <c r="H1290" s="121"/>
      <c r="I1290" s="120"/>
      <c r="J1290" s="121"/>
      <c r="K1290" s="120"/>
      <c r="L1290" s="121"/>
      <c r="M1290" s="122"/>
    </row>
    <row r="1291" spans="1:13" ht="24" customHeight="1" thickTop="1" thickBot="1">
      <c r="A1291" s="66" t="s">
        <v>19</v>
      </c>
      <c r="B1291" s="67"/>
      <c r="C1291" s="67"/>
      <c r="D1291" s="67"/>
      <c r="E1291" s="67"/>
      <c r="F1291" s="67"/>
      <c r="G1291" s="67"/>
      <c r="H1291" s="67"/>
      <c r="I1291" s="67"/>
      <c r="J1291" s="67"/>
      <c r="K1291" s="67"/>
      <c r="L1291" s="67"/>
      <c r="M1291" s="68"/>
    </row>
    <row r="1292" spans="1:13" ht="35.25" customHeight="1" thickBot="1">
      <c r="A1292" s="75" t="s">
        <v>20</v>
      </c>
      <c r="B1292" s="76"/>
      <c r="C1292" s="76"/>
      <c r="D1292" s="77"/>
      <c r="E1292" s="14" t="s">
        <v>11</v>
      </c>
      <c r="F1292" s="75" t="s">
        <v>39</v>
      </c>
      <c r="G1292" s="77"/>
      <c r="H1292" s="75" t="s">
        <v>21</v>
      </c>
      <c r="I1292" s="77"/>
      <c r="J1292" s="78" t="s">
        <v>22</v>
      </c>
      <c r="K1292" s="79"/>
      <c r="L1292" s="75" t="s">
        <v>15</v>
      </c>
      <c r="M1292" s="77"/>
    </row>
    <row r="1293" spans="1:13" ht="24" customHeight="1" thickBot="1">
      <c r="A1293" s="96"/>
      <c r="B1293" s="97"/>
      <c r="C1293" s="97"/>
      <c r="D1293" s="98"/>
      <c r="E1293" s="38"/>
      <c r="F1293" s="58"/>
      <c r="G1293" s="59"/>
      <c r="H1293" s="58"/>
      <c r="I1293" s="59"/>
      <c r="J1293" s="56"/>
      <c r="K1293" s="57"/>
      <c r="L1293" s="58"/>
      <c r="M1293" s="59"/>
    </row>
    <row r="1294" spans="1:13" ht="24" customHeight="1" thickBot="1">
      <c r="A1294" s="96"/>
      <c r="B1294" s="97"/>
      <c r="C1294" s="97"/>
      <c r="D1294" s="98"/>
      <c r="E1294" s="38"/>
      <c r="F1294" s="58"/>
      <c r="G1294" s="59"/>
      <c r="H1294" s="58"/>
      <c r="I1294" s="59"/>
      <c r="J1294" s="56"/>
      <c r="K1294" s="57"/>
      <c r="L1294" s="58"/>
      <c r="M1294" s="59"/>
    </row>
    <row r="1295" spans="1:13" ht="24" customHeight="1" thickBot="1">
      <c r="A1295" s="60" t="s">
        <v>23</v>
      </c>
      <c r="B1295" s="61"/>
      <c r="C1295" s="61"/>
      <c r="D1295" s="61"/>
      <c r="E1295" s="61"/>
      <c r="F1295" s="61"/>
      <c r="G1295" s="61"/>
      <c r="H1295" s="61"/>
      <c r="I1295" s="61"/>
      <c r="J1295" s="61"/>
      <c r="K1295" s="61"/>
      <c r="L1295" s="61"/>
      <c r="M1295" s="62"/>
    </row>
    <row r="1296" spans="1:13" ht="35.25" customHeight="1" thickBot="1">
      <c r="A1296" s="75" t="s">
        <v>24</v>
      </c>
      <c r="B1296" s="77"/>
      <c r="C1296" s="75" t="s">
        <v>25</v>
      </c>
      <c r="D1296" s="77"/>
      <c r="E1296" s="75" t="s">
        <v>26</v>
      </c>
      <c r="F1296" s="76"/>
      <c r="G1296" s="77"/>
      <c r="H1296" s="75" t="s">
        <v>27</v>
      </c>
      <c r="I1296" s="77"/>
      <c r="J1296" s="78" t="s">
        <v>21</v>
      </c>
      <c r="K1296" s="79"/>
      <c r="L1296" s="75" t="s">
        <v>22</v>
      </c>
      <c r="M1296" s="77"/>
    </row>
    <row r="1297" spans="1:13" s="18" customFormat="1" ht="24.75" customHeight="1" thickBot="1">
      <c r="A1297" s="99"/>
      <c r="B1297" s="98"/>
      <c r="C1297" s="56"/>
      <c r="D1297" s="57"/>
      <c r="E1297" s="56"/>
      <c r="F1297" s="100"/>
      <c r="G1297" s="57"/>
      <c r="H1297" s="56"/>
      <c r="I1297" s="57"/>
      <c r="J1297" s="56"/>
      <c r="K1297" s="57"/>
      <c r="L1297" s="56"/>
      <c r="M1297" s="57"/>
    </row>
    <row r="1298" spans="1:13" s="18" customFormat="1" ht="24.75" customHeight="1" thickBot="1">
      <c r="A1298" s="99"/>
      <c r="B1298" s="98"/>
      <c r="C1298" s="56"/>
      <c r="D1298" s="57"/>
      <c r="E1298" s="56"/>
      <c r="F1298" s="100"/>
      <c r="G1298" s="57"/>
      <c r="H1298" s="56"/>
      <c r="I1298" s="57"/>
      <c r="J1298" s="56"/>
      <c r="K1298" s="57"/>
      <c r="L1298" s="56"/>
      <c r="M1298" s="57"/>
    </row>
    <row r="1299" spans="1:13" ht="33" customHeight="1" thickBot="1">
      <c r="A1299" s="112" t="s">
        <v>60</v>
      </c>
      <c r="B1299" s="113"/>
      <c r="C1299" s="113"/>
      <c r="D1299" s="113"/>
      <c r="E1299" s="113"/>
      <c r="F1299" s="113"/>
      <c r="G1299" s="113"/>
      <c r="H1299" s="113"/>
      <c r="I1299" s="113"/>
      <c r="J1299" s="113"/>
      <c r="K1299" s="113"/>
      <c r="L1299" s="113"/>
      <c r="M1299" s="114"/>
    </row>
    <row r="1300" spans="1:13" ht="16.5" customHeight="1">
      <c r="A1300" s="115" t="s">
        <v>41</v>
      </c>
      <c r="B1300" s="116"/>
      <c r="C1300" s="116"/>
      <c r="D1300" s="116"/>
      <c r="E1300" s="116"/>
      <c r="F1300" s="116"/>
      <c r="G1300" s="116"/>
      <c r="H1300" s="116"/>
      <c r="I1300" s="116"/>
      <c r="J1300" s="116"/>
      <c r="K1300" s="116"/>
      <c r="L1300" s="116"/>
      <c r="M1300" s="117"/>
    </row>
    <row r="1301" spans="1:13" ht="16.5" customHeight="1">
      <c r="A1301" s="90" t="s">
        <v>28</v>
      </c>
      <c r="B1301" s="91"/>
      <c r="C1301" s="91"/>
      <c r="D1301" s="91"/>
      <c r="E1301" s="91"/>
      <c r="F1301" s="91"/>
      <c r="G1301" s="91"/>
      <c r="H1301" s="91"/>
      <c r="I1301" s="91"/>
      <c r="J1301" s="91"/>
      <c r="K1301" s="91"/>
      <c r="L1301" s="91"/>
      <c r="M1301" s="92"/>
    </row>
    <row r="1302" spans="1:13" ht="16.5" customHeight="1">
      <c r="A1302" s="106" t="s">
        <v>42</v>
      </c>
      <c r="B1302" s="107"/>
      <c r="C1302" s="107"/>
      <c r="D1302" s="107"/>
      <c r="E1302" s="107"/>
      <c r="F1302" s="107"/>
      <c r="G1302" s="107"/>
      <c r="H1302" s="107"/>
      <c r="I1302" s="107"/>
      <c r="J1302" s="107"/>
      <c r="K1302" s="107"/>
      <c r="L1302" s="107"/>
      <c r="M1302" s="108"/>
    </row>
    <row r="1303" spans="1:13" ht="16.5" customHeight="1">
      <c r="A1303" s="106" t="s">
        <v>43</v>
      </c>
      <c r="B1303" s="107"/>
      <c r="C1303" s="107"/>
      <c r="D1303" s="107"/>
      <c r="E1303" s="107"/>
      <c r="F1303" s="107"/>
      <c r="G1303" s="107"/>
      <c r="H1303" s="107"/>
      <c r="I1303" s="107"/>
      <c r="J1303" s="107"/>
      <c r="K1303" s="107"/>
      <c r="L1303" s="107"/>
      <c r="M1303" s="108"/>
    </row>
    <row r="1304" spans="1:13" ht="16.5" customHeight="1">
      <c r="A1304" s="106" t="s">
        <v>44</v>
      </c>
      <c r="B1304" s="107"/>
      <c r="C1304" s="107"/>
      <c r="D1304" s="107"/>
      <c r="E1304" s="107"/>
      <c r="F1304" s="107"/>
      <c r="G1304" s="107"/>
      <c r="H1304" s="107"/>
      <c r="I1304" s="107"/>
      <c r="J1304" s="107"/>
      <c r="K1304" s="107"/>
      <c r="L1304" s="107"/>
      <c r="M1304" s="108"/>
    </row>
    <row r="1305" spans="1:13" ht="16.5" customHeight="1">
      <c r="A1305" s="106" t="s">
        <v>45</v>
      </c>
      <c r="B1305" s="107"/>
      <c r="C1305" s="107"/>
      <c r="D1305" s="107"/>
      <c r="E1305" s="107"/>
      <c r="F1305" s="107"/>
      <c r="G1305" s="107"/>
      <c r="H1305" s="107"/>
      <c r="I1305" s="107"/>
      <c r="J1305" s="107"/>
      <c r="K1305" s="107"/>
      <c r="L1305" s="107"/>
      <c r="M1305" s="108"/>
    </row>
    <row r="1306" spans="1:13" ht="16.5" customHeight="1">
      <c r="A1306" s="106" t="s">
        <v>29</v>
      </c>
      <c r="B1306" s="107"/>
      <c r="C1306" s="107"/>
      <c r="D1306" s="107"/>
      <c r="E1306" s="107"/>
      <c r="F1306" s="107"/>
      <c r="G1306" s="107"/>
      <c r="H1306" s="107"/>
      <c r="I1306" s="107"/>
      <c r="J1306" s="107"/>
      <c r="K1306" s="107"/>
      <c r="L1306" s="107"/>
      <c r="M1306" s="108"/>
    </row>
    <row r="1307" spans="1:13" ht="9.75" customHeight="1" thickBot="1">
      <c r="A1307" s="109"/>
      <c r="B1307" s="110"/>
      <c r="C1307" s="110"/>
      <c r="D1307" s="110"/>
      <c r="E1307" s="110"/>
      <c r="F1307" s="110"/>
      <c r="G1307" s="110"/>
      <c r="H1307" s="110"/>
      <c r="I1307" s="110"/>
      <c r="J1307" s="110"/>
      <c r="K1307" s="110"/>
      <c r="L1307" s="110"/>
      <c r="M1307" s="111"/>
    </row>
    <row r="1308" spans="1:13" ht="18.75" customHeight="1" thickBot="1">
      <c r="A1308" s="72" t="s">
        <v>30</v>
      </c>
      <c r="B1308" s="73"/>
      <c r="C1308" s="73"/>
      <c r="D1308" s="73"/>
      <c r="E1308" s="73"/>
      <c r="F1308" s="73"/>
      <c r="G1308" s="73"/>
      <c r="H1308" s="73"/>
      <c r="I1308" s="73"/>
      <c r="J1308" s="73"/>
      <c r="K1308" s="73"/>
      <c r="L1308" s="73"/>
      <c r="M1308" s="74"/>
    </row>
    <row r="1309" spans="1:13" ht="24" customHeight="1" thickBot="1">
      <c r="A1309" s="72" t="s">
        <v>31</v>
      </c>
      <c r="B1309" s="73"/>
      <c r="C1309" s="73"/>
      <c r="D1309" s="73"/>
      <c r="E1309" s="73"/>
      <c r="F1309" s="73"/>
      <c r="G1309" s="73"/>
      <c r="H1309" s="73"/>
      <c r="I1309" s="73"/>
      <c r="J1309" s="73"/>
      <c r="K1309" s="73"/>
      <c r="L1309" s="73"/>
      <c r="M1309" s="74"/>
    </row>
    <row r="1310" spans="1:13" ht="24" customHeight="1" thickBot="1">
      <c r="A1310" s="72" t="s">
        <v>176</v>
      </c>
      <c r="B1310" s="73"/>
      <c r="C1310" s="73"/>
      <c r="D1310" s="73"/>
      <c r="E1310" s="73"/>
      <c r="F1310" s="73"/>
      <c r="G1310" s="73"/>
      <c r="H1310" s="73"/>
      <c r="I1310" s="73"/>
      <c r="J1310" s="73"/>
      <c r="K1310" s="73"/>
      <c r="L1310" s="73"/>
      <c r="M1310" s="74"/>
    </row>
    <row r="1311" spans="1:13" ht="24" customHeight="1" thickBot="1">
      <c r="A1311" s="60" t="s">
        <v>46</v>
      </c>
      <c r="B1311" s="61"/>
      <c r="C1311" s="61"/>
      <c r="D1311" s="61"/>
      <c r="E1311" s="61"/>
      <c r="F1311" s="61"/>
      <c r="G1311" s="61"/>
      <c r="H1311" s="61"/>
      <c r="I1311" s="61"/>
      <c r="J1311" s="61"/>
      <c r="K1311" s="61"/>
      <c r="L1311" s="61"/>
      <c r="M1311" s="62"/>
    </row>
    <row r="1312" spans="1:13" ht="11.1" customHeight="1">
      <c r="A1312" s="103" t="s">
        <v>47</v>
      </c>
      <c r="B1312" s="103"/>
      <c r="C1312" s="103"/>
      <c r="D1312" s="103"/>
      <c r="E1312" s="103"/>
      <c r="F1312" s="103"/>
      <c r="G1312" s="103"/>
      <c r="H1312" s="103"/>
      <c r="I1312" s="103"/>
      <c r="J1312" s="103"/>
      <c r="K1312" s="103"/>
      <c r="L1312" s="103"/>
      <c r="M1312" s="103"/>
    </row>
    <row r="1313" spans="1:15" ht="11.1" customHeight="1">
      <c r="A1313" s="104" t="s">
        <v>48</v>
      </c>
      <c r="B1313" s="104"/>
      <c r="C1313" s="104"/>
      <c r="D1313" s="104"/>
      <c r="E1313" s="104"/>
      <c r="F1313" s="104"/>
      <c r="G1313" s="104"/>
      <c r="H1313" s="104"/>
      <c r="I1313" s="104"/>
      <c r="J1313" s="104"/>
      <c r="K1313" s="104"/>
      <c r="L1313" s="104"/>
      <c r="M1313" s="104"/>
    </row>
    <row r="1314" spans="1:15" ht="11.1" customHeight="1">
      <c r="A1314" s="105" t="s">
        <v>49</v>
      </c>
      <c r="B1314" s="105"/>
      <c r="C1314" s="105"/>
      <c r="D1314" s="105"/>
      <c r="E1314" s="105"/>
      <c r="F1314" s="105"/>
      <c r="G1314" s="105"/>
      <c r="H1314" s="105"/>
      <c r="I1314" s="105"/>
      <c r="J1314" s="105"/>
      <c r="K1314" s="105"/>
      <c r="L1314" s="105"/>
      <c r="M1314" s="105"/>
    </row>
    <row r="1315" spans="1:15" ht="11.1" customHeight="1">
      <c r="A1315" s="105" t="s">
        <v>50</v>
      </c>
      <c r="B1315" s="105"/>
      <c r="C1315" s="105"/>
      <c r="D1315" s="105"/>
      <c r="E1315" s="105"/>
      <c r="F1315" s="105"/>
      <c r="G1315" s="105"/>
      <c r="H1315" s="105"/>
      <c r="I1315" s="105"/>
      <c r="J1315" s="105"/>
      <c r="K1315" s="105"/>
      <c r="L1315" s="105"/>
      <c r="M1315" s="105"/>
    </row>
    <row r="1316" spans="1:15" ht="11.1" customHeight="1">
      <c r="A1316" s="104" t="s">
        <v>51</v>
      </c>
      <c r="B1316" s="104"/>
      <c r="C1316" s="104"/>
      <c r="D1316" s="104"/>
      <c r="E1316" s="104"/>
      <c r="F1316" s="104"/>
      <c r="G1316" s="104"/>
      <c r="H1316" s="104"/>
      <c r="I1316" s="104"/>
      <c r="J1316" s="104"/>
      <c r="K1316" s="104"/>
      <c r="L1316" s="104"/>
      <c r="M1316" s="104"/>
    </row>
    <row r="1317" spans="1:15" ht="11.1" customHeight="1">
      <c r="A1317" s="104" t="s">
        <v>52</v>
      </c>
      <c r="B1317" s="104"/>
      <c r="C1317" s="104"/>
      <c r="D1317" s="104"/>
      <c r="E1317" s="104"/>
      <c r="F1317" s="104"/>
      <c r="G1317" s="104"/>
      <c r="H1317" s="104"/>
      <c r="I1317" s="104"/>
      <c r="J1317" s="104"/>
      <c r="K1317" s="104"/>
      <c r="L1317" s="104"/>
      <c r="M1317" s="104"/>
    </row>
    <row r="1318" spans="1:15" ht="11.1" customHeight="1">
      <c r="A1318" s="104" t="s">
        <v>53</v>
      </c>
      <c r="B1318" s="104"/>
      <c r="C1318" s="104"/>
      <c r="D1318" s="104"/>
      <c r="E1318" s="104"/>
      <c r="F1318" s="104"/>
      <c r="G1318" s="104"/>
      <c r="H1318" s="104"/>
      <c r="I1318" s="104"/>
      <c r="J1318" s="104"/>
      <c r="K1318" s="104"/>
      <c r="L1318" s="104"/>
      <c r="M1318" s="104"/>
    </row>
    <row r="1319" spans="1:15" ht="11.1" customHeight="1">
      <c r="A1319" s="101" t="s">
        <v>54</v>
      </c>
      <c r="B1319" s="101"/>
      <c r="C1319" s="101"/>
      <c r="D1319" s="101"/>
      <c r="E1319" s="101"/>
      <c r="F1319" s="101"/>
      <c r="G1319" s="101"/>
      <c r="H1319" s="101"/>
      <c r="I1319" s="101"/>
      <c r="J1319" s="101"/>
      <c r="K1319" s="101"/>
      <c r="L1319" s="101"/>
      <c r="M1319" s="101"/>
    </row>
    <row r="1320" spans="1:15" ht="11.1" customHeight="1">
      <c r="A1320" s="101" t="s">
        <v>55</v>
      </c>
      <c r="B1320" s="101"/>
      <c r="C1320" s="101"/>
      <c r="D1320" s="101"/>
      <c r="E1320" s="101"/>
      <c r="F1320" s="101"/>
      <c r="G1320" s="101"/>
      <c r="H1320" s="101"/>
      <c r="I1320" s="101"/>
      <c r="J1320" s="101"/>
      <c r="K1320" s="101"/>
      <c r="L1320" s="101"/>
      <c r="M1320" s="101"/>
    </row>
    <row r="1321" spans="1:15" ht="19.5" customHeight="1">
      <c r="A1321" s="69" t="s">
        <v>0</v>
      </c>
      <c r="B1321" s="69"/>
      <c r="C1321" s="69"/>
      <c r="D1321" s="69"/>
      <c r="E1321" s="69"/>
      <c r="F1321" s="69"/>
      <c r="G1321" s="69"/>
      <c r="H1321" s="69"/>
      <c r="I1321" s="69"/>
      <c r="J1321" s="69"/>
      <c r="K1321" s="69"/>
      <c r="L1321" s="69"/>
      <c r="M1321" s="69"/>
    </row>
    <row r="1322" spans="1:15" ht="20.100000000000001" customHeight="1">
      <c r="A1322" s="4" t="s">
        <v>32</v>
      </c>
      <c r="B1322" s="5">
        <f>+B1278+1</f>
        <v>96</v>
      </c>
      <c r="C1322" s="35"/>
      <c r="D1322" s="35"/>
      <c r="E1322" s="35"/>
      <c r="F1322" s="35"/>
      <c r="G1322" s="35"/>
      <c r="H1322" s="35"/>
      <c r="I1322" s="35"/>
      <c r="J1322" s="35"/>
      <c r="K1322" s="35"/>
      <c r="L1322" s="35"/>
      <c r="M1322" s="35"/>
    </row>
    <row r="1323" spans="1:15" ht="24" customHeight="1" thickBot="1">
      <c r="A1323" s="4" t="s">
        <v>33</v>
      </c>
      <c r="H1323" s="70" t="s">
        <v>34</v>
      </c>
      <c r="I1323" s="70"/>
      <c r="J1323" s="70"/>
      <c r="K1323" s="102">
        <f>+K1279+1</f>
        <v>46022</v>
      </c>
      <c r="L1323" s="102"/>
      <c r="M1323" s="102"/>
      <c r="O1323" s="7"/>
    </row>
    <row r="1324" spans="1:15" ht="33.75" customHeight="1" thickBot="1">
      <c r="A1324" s="80" t="s">
        <v>1</v>
      </c>
      <c r="B1324" s="81"/>
      <c r="C1324" s="82"/>
      <c r="D1324" s="86" t="str">
        <f>+D1280</f>
        <v>光明國中B與C區5樓老舊廁所整修工程</v>
      </c>
      <c r="E1324" s="87"/>
      <c r="F1324" s="87"/>
      <c r="G1324" s="88"/>
      <c r="H1324" s="80" t="s">
        <v>2</v>
      </c>
      <c r="I1324" s="81"/>
      <c r="J1324" s="82"/>
      <c r="K1324" s="80" t="s">
        <v>35</v>
      </c>
      <c r="L1324" s="81"/>
      <c r="M1324" s="82"/>
    </row>
    <row r="1325" spans="1:15" ht="33.75" customHeight="1" thickBot="1">
      <c r="A1325" s="8" t="s">
        <v>3</v>
      </c>
      <c r="B1325" s="36">
        <f>+B1281</f>
        <v>145</v>
      </c>
      <c r="C1325" s="10" t="s">
        <v>36</v>
      </c>
      <c r="D1325" s="80" t="s">
        <v>4</v>
      </c>
      <c r="E1325" s="89"/>
      <c r="F1325" s="37">
        <f>+F1281+1</f>
        <v>96</v>
      </c>
      <c r="G1325" s="12" t="s">
        <v>36</v>
      </c>
      <c r="H1325" s="13" t="s">
        <v>5</v>
      </c>
      <c r="I1325" s="36">
        <f>+B1325-F1325</f>
        <v>49</v>
      </c>
      <c r="J1325" s="10" t="s">
        <v>36</v>
      </c>
      <c r="K1325" s="80" t="s">
        <v>6</v>
      </c>
      <c r="L1325" s="82"/>
      <c r="M1325" s="13">
        <f>+M1281</f>
        <v>15</v>
      </c>
    </row>
    <row r="1326" spans="1:15" ht="24" customHeight="1" thickBot="1">
      <c r="A1326" s="80" t="s">
        <v>7</v>
      </c>
      <c r="B1326" s="81"/>
      <c r="C1326" s="82"/>
      <c r="D1326" s="80" t="str">
        <f>+D1282</f>
        <v>114.9.27</v>
      </c>
      <c r="E1326" s="81"/>
      <c r="F1326" s="81"/>
      <c r="G1326" s="82"/>
      <c r="H1326" s="80" t="s">
        <v>8</v>
      </c>
      <c r="I1326" s="81"/>
      <c r="J1326" s="82"/>
      <c r="K1326" s="80" t="str">
        <f>+K1282</f>
        <v>115.2.18</v>
      </c>
      <c r="L1326" s="81"/>
      <c r="M1326" s="82"/>
    </row>
    <row r="1327" spans="1:15" ht="24" customHeight="1" thickBot="1">
      <c r="A1327" s="80" t="s">
        <v>37</v>
      </c>
      <c r="B1327" s="81"/>
      <c r="C1327" s="82"/>
      <c r="D1327" s="83">
        <v>0.52</v>
      </c>
      <c r="E1327" s="84"/>
      <c r="F1327" s="84"/>
      <c r="G1327" s="85"/>
      <c r="H1327" s="80" t="s">
        <v>38</v>
      </c>
      <c r="I1327" s="81"/>
      <c r="J1327" s="82"/>
      <c r="K1327" s="83">
        <f>+K1283</f>
        <v>0.66600000000000037</v>
      </c>
      <c r="L1327" s="84"/>
      <c r="M1327" s="85"/>
    </row>
    <row r="1328" spans="1:15" ht="24" customHeight="1" thickBot="1">
      <c r="A1328" s="72" t="s">
        <v>9</v>
      </c>
      <c r="B1328" s="73"/>
      <c r="C1328" s="73"/>
      <c r="D1328" s="73"/>
      <c r="E1328" s="73"/>
      <c r="F1328" s="73"/>
      <c r="G1328" s="73"/>
      <c r="H1328" s="73"/>
      <c r="I1328" s="73"/>
      <c r="J1328" s="73"/>
      <c r="K1328" s="73"/>
      <c r="L1328" s="73"/>
      <c r="M1328" s="74"/>
    </row>
    <row r="1329" spans="1:13" ht="29.25" customHeight="1" thickBot="1">
      <c r="A1329" s="75" t="s">
        <v>10</v>
      </c>
      <c r="B1329" s="76"/>
      <c r="C1329" s="76"/>
      <c r="D1329" s="77"/>
      <c r="E1329" s="14" t="s">
        <v>11</v>
      </c>
      <c r="F1329" s="75" t="s">
        <v>12</v>
      </c>
      <c r="G1329" s="77"/>
      <c r="H1329" s="75" t="s">
        <v>13</v>
      </c>
      <c r="I1329" s="77"/>
      <c r="J1329" s="78" t="s">
        <v>14</v>
      </c>
      <c r="K1329" s="79"/>
      <c r="L1329" s="75" t="s">
        <v>15</v>
      </c>
      <c r="M1329" s="77"/>
    </row>
    <row r="1330" spans="1:13" ht="24" customHeight="1" thickBot="1">
      <c r="A1330" s="141"/>
      <c r="B1330" s="142"/>
      <c r="C1330" s="142"/>
      <c r="D1330" s="143"/>
      <c r="E1330" s="2"/>
      <c r="F1330" s="56"/>
      <c r="G1330" s="57"/>
      <c r="H1330" s="56"/>
      <c r="I1330" s="57"/>
      <c r="J1330" s="56"/>
      <c r="K1330" s="57"/>
      <c r="L1330" s="58"/>
      <c r="M1330" s="59"/>
    </row>
    <row r="1331" spans="1:13" ht="24" customHeight="1" thickBot="1">
      <c r="A1331" s="141"/>
      <c r="B1331" s="142"/>
      <c r="C1331" s="142"/>
      <c r="D1331" s="143"/>
      <c r="E1331" s="15"/>
      <c r="F1331" s="56"/>
      <c r="G1331" s="57"/>
      <c r="H1331" s="56"/>
      <c r="I1331" s="57"/>
      <c r="J1331" s="56"/>
      <c r="K1331" s="57"/>
      <c r="L1331" s="58"/>
      <c r="M1331" s="59"/>
    </row>
    <row r="1332" spans="1:13" ht="24.95" customHeight="1" thickTop="1" thickBot="1">
      <c r="A1332" s="130" t="s">
        <v>16</v>
      </c>
      <c r="B1332" s="67"/>
      <c r="C1332" s="67"/>
      <c r="D1332" s="68"/>
      <c r="E1332" s="38"/>
      <c r="F1332" s="131"/>
      <c r="G1332" s="132"/>
      <c r="H1332" s="131"/>
      <c r="I1332" s="132"/>
      <c r="J1332" s="131"/>
      <c r="K1332" s="132"/>
      <c r="L1332" s="131"/>
      <c r="M1332" s="133"/>
    </row>
    <row r="1333" spans="1:13" ht="24.95" customHeight="1" thickBot="1">
      <c r="A1333" s="134" t="s">
        <v>17</v>
      </c>
      <c r="B1333" s="135"/>
      <c r="C1333" s="135"/>
      <c r="D1333" s="59"/>
      <c r="E1333" s="38"/>
      <c r="F1333" s="58"/>
      <c r="G1333" s="59"/>
      <c r="H1333" s="58"/>
      <c r="I1333" s="59"/>
      <c r="J1333" s="58"/>
      <c r="K1333" s="59"/>
      <c r="L1333" s="58"/>
      <c r="M1333" s="136"/>
    </row>
    <row r="1334" spans="1:13" ht="24.95" customHeight="1" thickBot="1">
      <c r="A1334" s="118" t="s">
        <v>18</v>
      </c>
      <c r="B1334" s="119"/>
      <c r="C1334" s="119"/>
      <c r="D1334" s="120"/>
      <c r="E1334" s="24"/>
      <c r="F1334" s="121"/>
      <c r="G1334" s="120"/>
      <c r="H1334" s="121"/>
      <c r="I1334" s="120"/>
      <c r="J1334" s="121"/>
      <c r="K1334" s="120"/>
      <c r="L1334" s="121"/>
      <c r="M1334" s="122"/>
    </row>
    <row r="1335" spans="1:13" ht="24" customHeight="1" thickTop="1" thickBot="1">
      <c r="A1335" s="66" t="s">
        <v>19</v>
      </c>
      <c r="B1335" s="67"/>
      <c r="C1335" s="67"/>
      <c r="D1335" s="67"/>
      <c r="E1335" s="67"/>
      <c r="F1335" s="67"/>
      <c r="G1335" s="67"/>
      <c r="H1335" s="67"/>
      <c r="I1335" s="67"/>
      <c r="J1335" s="67"/>
      <c r="K1335" s="67"/>
      <c r="L1335" s="67"/>
      <c r="M1335" s="68"/>
    </row>
    <row r="1336" spans="1:13" ht="26.25" customHeight="1" thickBot="1">
      <c r="A1336" s="75" t="s">
        <v>20</v>
      </c>
      <c r="B1336" s="76"/>
      <c r="C1336" s="76"/>
      <c r="D1336" s="77"/>
      <c r="E1336" s="14" t="s">
        <v>11</v>
      </c>
      <c r="F1336" s="75" t="s">
        <v>39</v>
      </c>
      <c r="G1336" s="77"/>
      <c r="H1336" s="75" t="s">
        <v>21</v>
      </c>
      <c r="I1336" s="77"/>
      <c r="J1336" s="78" t="s">
        <v>22</v>
      </c>
      <c r="K1336" s="79"/>
      <c r="L1336" s="75" t="s">
        <v>15</v>
      </c>
      <c r="M1336" s="77"/>
    </row>
    <row r="1337" spans="1:13" ht="24" customHeight="1" thickBot="1">
      <c r="A1337" s="96"/>
      <c r="B1337" s="97"/>
      <c r="C1337" s="97"/>
      <c r="D1337" s="98"/>
      <c r="E1337" s="38"/>
      <c r="F1337" s="58"/>
      <c r="G1337" s="59"/>
      <c r="H1337" s="58"/>
      <c r="I1337" s="59"/>
      <c r="J1337" s="56"/>
      <c r="K1337" s="57"/>
      <c r="L1337" s="58"/>
      <c r="M1337" s="59"/>
    </row>
    <row r="1338" spans="1:13" ht="24" customHeight="1" thickBot="1">
      <c r="A1338" s="96"/>
      <c r="B1338" s="97"/>
      <c r="C1338" s="97"/>
      <c r="D1338" s="98"/>
      <c r="E1338" s="38"/>
      <c r="F1338" s="58"/>
      <c r="G1338" s="59"/>
      <c r="H1338" s="58"/>
      <c r="I1338" s="59"/>
      <c r="J1338" s="56"/>
      <c r="K1338" s="57"/>
      <c r="L1338" s="58"/>
      <c r="M1338" s="59"/>
    </row>
    <row r="1339" spans="1:13" ht="24" customHeight="1" thickBot="1">
      <c r="A1339" s="60" t="s">
        <v>23</v>
      </c>
      <c r="B1339" s="61"/>
      <c r="C1339" s="61"/>
      <c r="D1339" s="61"/>
      <c r="E1339" s="61"/>
      <c r="F1339" s="61"/>
      <c r="G1339" s="61"/>
      <c r="H1339" s="61"/>
      <c r="I1339" s="61"/>
      <c r="J1339" s="61"/>
      <c r="K1339" s="61"/>
      <c r="L1339" s="61"/>
      <c r="M1339" s="62"/>
    </row>
    <row r="1340" spans="1:13" ht="20.100000000000001" customHeight="1" thickBot="1">
      <c r="A1340" s="75" t="s">
        <v>24</v>
      </c>
      <c r="B1340" s="77"/>
      <c r="C1340" s="75" t="s">
        <v>25</v>
      </c>
      <c r="D1340" s="77"/>
      <c r="E1340" s="75" t="s">
        <v>26</v>
      </c>
      <c r="F1340" s="76"/>
      <c r="G1340" s="77"/>
      <c r="H1340" s="75" t="s">
        <v>27</v>
      </c>
      <c r="I1340" s="77"/>
      <c r="J1340" s="78" t="s">
        <v>21</v>
      </c>
      <c r="K1340" s="79"/>
      <c r="L1340" s="75" t="s">
        <v>22</v>
      </c>
      <c r="M1340" s="77"/>
    </row>
    <row r="1341" spans="1:13" s="18" customFormat="1" ht="20.100000000000001" customHeight="1" thickBot="1">
      <c r="A1341" s="99" t="s">
        <v>80</v>
      </c>
      <c r="B1341" s="98"/>
      <c r="C1341" s="56">
        <v>0</v>
      </c>
      <c r="D1341" s="57"/>
      <c r="E1341" s="56">
        <v>33</v>
      </c>
      <c r="F1341" s="100"/>
      <c r="G1341" s="57"/>
      <c r="H1341" s="56"/>
      <c r="I1341" s="57"/>
      <c r="J1341" s="56"/>
      <c r="K1341" s="57"/>
      <c r="L1341" s="56"/>
      <c r="M1341" s="57"/>
    </row>
    <row r="1342" spans="1:13" s="18" customFormat="1" ht="20.100000000000001" customHeight="1" thickBot="1">
      <c r="A1342" s="99" t="s">
        <v>182</v>
      </c>
      <c r="B1342" s="98"/>
      <c r="C1342" s="56">
        <v>0</v>
      </c>
      <c r="D1342" s="57"/>
      <c r="E1342" s="56">
        <v>6</v>
      </c>
      <c r="F1342" s="100"/>
      <c r="G1342" s="57"/>
      <c r="H1342" s="56"/>
      <c r="I1342" s="57"/>
      <c r="J1342" s="56"/>
      <c r="K1342" s="57"/>
      <c r="L1342" s="56"/>
      <c r="M1342" s="57"/>
    </row>
    <row r="1343" spans="1:13" s="18" customFormat="1" ht="20.100000000000001" customHeight="1" thickBot="1">
      <c r="A1343" s="99" t="s">
        <v>71</v>
      </c>
      <c r="B1343" s="137"/>
      <c r="C1343" s="56">
        <v>0</v>
      </c>
      <c r="D1343" s="57"/>
      <c r="E1343" s="56">
        <v>65</v>
      </c>
      <c r="F1343" s="100"/>
      <c r="G1343" s="57"/>
      <c r="H1343" s="56"/>
      <c r="I1343" s="57"/>
      <c r="J1343" s="56"/>
      <c r="K1343" s="57"/>
      <c r="L1343" s="56"/>
      <c r="M1343" s="57"/>
    </row>
    <row r="1344" spans="1:13" s="18" customFormat="1" ht="20.100000000000001" customHeight="1" thickBot="1">
      <c r="A1344" s="99" t="s">
        <v>119</v>
      </c>
      <c r="B1344" s="137"/>
      <c r="C1344" s="56">
        <v>0</v>
      </c>
      <c r="D1344" s="57"/>
      <c r="E1344" s="56">
        <v>69</v>
      </c>
      <c r="F1344" s="100"/>
      <c r="G1344" s="57"/>
      <c r="H1344" s="56"/>
      <c r="I1344" s="57"/>
      <c r="J1344" s="56"/>
      <c r="K1344" s="57"/>
      <c r="L1344" s="56"/>
      <c r="M1344" s="57"/>
    </row>
    <row r="1345" spans="1:13" s="18" customFormat="1" ht="20.100000000000001" customHeight="1" thickBot="1">
      <c r="A1345" s="99" t="s">
        <v>198</v>
      </c>
      <c r="B1345" s="137"/>
      <c r="C1345" s="56">
        <v>0</v>
      </c>
      <c r="D1345" s="57"/>
      <c r="E1345" s="56">
        <v>6</v>
      </c>
      <c r="F1345" s="100"/>
      <c r="G1345" s="57"/>
      <c r="H1345" s="56"/>
      <c r="I1345" s="57"/>
      <c r="J1345" s="56"/>
      <c r="K1345" s="57"/>
      <c r="L1345" s="56"/>
      <c r="M1345" s="57"/>
    </row>
    <row r="1346" spans="1:13" ht="33" customHeight="1" thickBot="1">
      <c r="A1346" s="112" t="s">
        <v>60</v>
      </c>
      <c r="B1346" s="113"/>
      <c r="C1346" s="113"/>
      <c r="D1346" s="113"/>
      <c r="E1346" s="113"/>
      <c r="F1346" s="113"/>
      <c r="G1346" s="113"/>
      <c r="H1346" s="113"/>
      <c r="I1346" s="113"/>
      <c r="J1346" s="113"/>
      <c r="K1346" s="113"/>
      <c r="L1346" s="113"/>
      <c r="M1346" s="114"/>
    </row>
    <row r="1347" spans="1:13" ht="16.5" customHeight="1">
      <c r="A1347" s="115" t="s">
        <v>41</v>
      </c>
      <c r="B1347" s="116"/>
      <c r="C1347" s="116"/>
      <c r="D1347" s="116"/>
      <c r="E1347" s="116"/>
      <c r="F1347" s="116"/>
      <c r="G1347" s="116"/>
      <c r="H1347" s="116"/>
      <c r="I1347" s="116"/>
      <c r="J1347" s="116"/>
      <c r="K1347" s="116"/>
      <c r="L1347" s="116"/>
      <c r="M1347" s="117"/>
    </row>
    <row r="1348" spans="1:13" ht="16.5" customHeight="1">
      <c r="A1348" s="90" t="s">
        <v>28</v>
      </c>
      <c r="B1348" s="91"/>
      <c r="C1348" s="91"/>
      <c r="D1348" s="91"/>
      <c r="E1348" s="91"/>
      <c r="F1348" s="91"/>
      <c r="G1348" s="91"/>
      <c r="H1348" s="91"/>
      <c r="I1348" s="91"/>
      <c r="J1348" s="91"/>
      <c r="K1348" s="91"/>
      <c r="L1348" s="91"/>
      <c r="M1348" s="92"/>
    </row>
    <row r="1349" spans="1:13" ht="16.5" customHeight="1">
      <c r="A1349" s="106" t="s">
        <v>42</v>
      </c>
      <c r="B1349" s="107"/>
      <c r="C1349" s="107"/>
      <c r="D1349" s="107"/>
      <c r="E1349" s="107"/>
      <c r="F1349" s="107"/>
      <c r="G1349" s="107"/>
      <c r="H1349" s="107"/>
      <c r="I1349" s="107"/>
      <c r="J1349" s="107"/>
      <c r="K1349" s="107"/>
      <c r="L1349" s="107"/>
      <c r="M1349" s="108"/>
    </row>
    <row r="1350" spans="1:13" ht="16.5" customHeight="1">
      <c r="A1350" s="106" t="s">
        <v>43</v>
      </c>
      <c r="B1350" s="107"/>
      <c r="C1350" s="107"/>
      <c r="D1350" s="107"/>
      <c r="E1350" s="107"/>
      <c r="F1350" s="107"/>
      <c r="G1350" s="107"/>
      <c r="H1350" s="107"/>
      <c r="I1350" s="107"/>
      <c r="J1350" s="107"/>
      <c r="K1350" s="107"/>
      <c r="L1350" s="107"/>
      <c r="M1350" s="108"/>
    </row>
    <row r="1351" spans="1:13" ht="16.5" customHeight="1">
      <c r="A1351" s="106" t="s">
        <v>44</v>
      </c>
      <c r="B1351" s="107"/>
      <c r="C1351" s="107"/>
      <c r="D1351" s="107"/>
      <c r="E1351" s="107"/>
      <c r="F1351" s="107"/>
      <c r="G1351" s="107"/>
      <c r="H1351" s="107"/>
      <c r="I1351" s="107"/>
      <c r="J1351" s="107"/>
      <c r="K1351" s="107"/>
      <c r="L1351" s="107"/>
      <c r="M1351" s="108"/>
    </row>
    <row r="1352" spans="1:13" ht="16.5" customHeight="1">
      <c r="A1352" s="106" t="s">
        <v>45</v>
      </c>
      <c r="B1352" s="107"/>
      <c r="C1352" s="107"/>
      <c r="D1352" s="107"/>
      <c r="E1352" s="107"/>
      <c r="F1352" s="107"/>
      <c r="G1352" s="107"/>
      <c r="H1352" s="107"/>
      <c r="I1352" s="107"/>
      <c r="J1352" s="107"/>
      <c r="K1352" s="107"/>
      <c r="L1352" s="107"/>
      <c r="M1352" s="108"/>
    </row>
    <row r="1353" spans="1:13" ht="16.5" customHeight="1">
      <c r="A1353" s="106" t="s">
        <v>29</v>
      </c>
      <c r="B1353" s="107"/>
      <c r="C1353" s="107"/>
      <c r="D1353" s="107"/>
      <c r="E1353" s="107"/>
      <c r="F1353" s="107"/>
      <c r="G1353" s="107"/>
      <c r="H1353" s="107"/>
      <c r="I1353" s="107"/>
      <c r="J1353" s="107"/>
      <c r="K1353" s="107"/>
      <c r="L1353" s="107"/>
      <c r="M1353" s="108"/>
    </row>
    <row r="1354" spans="1:13" ht="3.75" customHeight="1" thickBot="1">
      <c r="A1354" s="109"/>
      <c r="B1354" s="110"/>
      <c r="C1354" s="110"/>
      <c r="D1354" s="110"/>
      <c r="E1354" s="110"/>
      <c r="F1354" s="110"/>
      <c r="G1354" s="110"/>
      <c r="H1354" s="110"/>
      <c r="I1354" s="110"/>
      <c r="J1354" s="110"/>
      <c r="K1354" s="110"/>
      <c r="L1354" s="110"/>
      <c r="M1354" s="111"/>
    </row>
    <row r="1355" spans="1:13" ht="18.75" customHeight="1" thickBot="1">
      <c r="A1355" s="72" t="s">
        <v>30</v>
      </c>
      <c r="B1355" s="73"/>
      <c r="C1355" s="73"/>
      <c r="D1355" s="73"/>
      <c r="E1355" s="73"/>
      <c r="F1355" s="73"/>
      <c r="G1355" s="73"/>
      <c r="H1355" s="73"/>
      <c r="I1355" s="73"/>
      <c r="J1355" s="73"/>
      <c r="K1355" s="73"/>
      <c r="L1355" s="73"/>
      <c r="M1355" s="74"/>
    </row>
    <row r="1356" spans="1:13" ht="24" customHeight="1" thickBot="1">
      <c r="A1356" s="72" t="s">
        <v>31</v>
      </c>
      <c r="B1356" s="73"/>
      <c r="C1356" s="73"/>
      <c r="D1356" s="73"/>
      <c r="E1356" s="73"/>
      <c r="F1356" s="73"/>
      <c r="G1356" s="73"/>
      <c r="H1356" s="73"/>
      <c r="I1356" s="73"/>
      <c r="J1356" s="73"/>
      <c r="K1356" s="73"/>
      <c r="L1356" s="73"/>
      <c r="M1356" s="74"/>
    </row>
    <row r="1357" spans="1:13" ht="24" customHeight="1" thickBot="1">
      <c r="A1357" s="72" t="s">
        <v>176</v>
      </c>
      <c r="B1357" s="73"/>
      <c r="C1357" s="73"/>
      <c r="D1357" s="73"/>
      <c r="E1357" s="73"/>
      <c r="F1357" s="73"/>
      <c r="G1357" s="73"/>
      <c r="H1357" s="73"/>
      <c r="I1357" s="73"/>
      <c r="J1357" s="73"/>
      <c r="K1357" s="73"/>
      <c r="L1357" s="73"/>
      <c r="M1357" s="74"/>
    </row>
    <row r="1358" spans="1:13" ht="24" customHeight="1" thickBot="1">
      <c r="A1358" s="60" t="s">
        <v>46</v>
      </c>
      <c r="B1358" s="61"/>
      <c r="C1358" s="61"/>
      <c r="D1358" s="61"/>
      <c r="E1358" s="61"/>
      <c r="F1358" s="61"/>
      <c r="G1358" s="61"/>
      <c r="H1358" s="61"/>
      <c r="I1358" s="61"/>
      <c r="J1358" s="61"/>
      <c r="K1358" s="61"/>
      <c r="L1358" s="61"/>
      <c r="M1358" s="62"/>
    </row>
    <row r="1359" spans="1:13" ht="11.1" customHeight="1">
      <c r="A1359" s="103" t="s">
        <v>47</v>
      </c>
      <c r="B1359" s="103"/>
      <c r="C1359" s="103"/>
      <c r="D1359" s="103"/>
      <c r="E1359" s="103"/>
      <c r="F1359" s="103"/>
      <c r="G1359" s="103"/>
      <c r="H1359" s="103"/>
      <c r="I1359" s="103"/>
      <c r="J1359" s="103"/>
      <c r="K1359" s="103"/>
      <c r="L1359" s="103"/>
      <c r="M1359" s="103"/>
    </row>
    <row r="1360" spans="1:13" ht="11.1" customHeight="1">
      <c r="A1360" s="104" t="s">
        <v>48</v>
      </c>
      <c r="B1360" s="104"/>
      <c r="C1360" s="104"/>
      <c r="D1360" s="104"/>
      <c r="E1360" s="104"/>
      <c r="F1360" s="104"/>
      <c r="G1360" s="104"/>
      <c r="H1360" s="104"/>
      <c r="I1360" s="104"/>
      <c r="J1360" s="104"/>
      <c r="K1360" s="104"/>
      <c r="L1360" s="104"/>
      <c r="M1360" s="104"/>
    </row>
    <row r="1361" spans="1:13" ht="11.1" customHeight="1">
      <c r="A1361" s="105" t="s">
        <v>49</v>
      </c>
      <c r="B1361" s="105"/>
      <c r="C1361" s="105"/>
      <c r="D1361" s="105"/>
      <c r="E1361" s="105"/>
      <c r="F1361" s="105"/>
      <c r="G1361" s="105"/>
      <c r="H1361" s="105"/>
      <c r="I1361" s="105"/>
      <c r="J1361" s="105"/>
      <c r="K1361" s="105"/>
      <c r="L1361" s="105"/>
      <c r="M1361" s="105"/>
    </row>
    <row r="1362" spans="1:13" ht="11.1" customHeight="1">
      <c r="A1362" s="105" t="s">
        <v>50</v>
      </c>
      <c r="B1362" s="105"/>
      <c r="C1362" s="105"/>
      <c r="D1362" s="105"/>
      <c r="E1362" s="105"/>
      <c r="F1362" s="105"/>
      <c r="G1362" s="105"/>
      <c r="H1362" s="105"/>
      <c r="I1362" s="105"/>
      <c r="J1362" s="105"/>
      <c r="K1362" s="105"/>
      <c r="L1362" s="105"/>
      <c r="M1362" s="105"/>
    </row>
    <row r="1363" spans="1:13" ht="11.1" customHeight="1">
      <c r="A1363" s="104" t="s">
        <v>51</v>
      </c>
      <c r="B1363" s="104"/>
      <c r="C1363" s="104"/>
      <c r="D1363" s="104"/>
      <c r="E1363" s="104"/>
      <c r="F1363" s="104"/>
      <c r="G1363" s="104"/>
      <c r="H1363" s="104"/>
      <c r="I1363" s="104"/>
      <c r="J1363" s="104"/>
      <c r="K1363" s="104"/>
      <c r="L1363" s="104"/>
      <c r="M1363" s="104"/>
    </row>
    <row r="1364" spans="1:13" ht="11.1" customHeight="1">
      <c r="A1364" s="104" t="s">
        <v>52</v>
      </c>
      <c r="B1364" s="104"/>
      <c r="C1364" s="104"/>
      <c r="D1364" s="104"/>
      <c r="E1364" s="104"/>
      <c r="F1364" s="104"/>
      <c r="G1364" s="104"/>
      <c r="H1364" s="104"/>
      <c r="I1364" s="104"/>
      <c r="J1364" s="104"/>
      <c r="K1364" s="104"/>
      <c r="L1364" s="104"/>
      <c r="M1364" s="104"/>
    </row>
    <row r="1365" spans="1:13" ht="11.1" customHeight="1">
      <c r="A1365" s="104" t="s">
        <v>53</v>
      </c>
      <c r="B1365" s="104"/>
      <c r="C1365" s="104"/>
      <c r="D1365" s="104"/>
      <c r="E1365" s="104"/>
      <c r="F1365" s="104"/>
      <c r="G1365" s="104"/>
      <c r="H1365" s="104"/>
      <c r="I1365" s="104"/>
      <c r="J1365" s="104"/>
      <c r="K1365" s="104"/>
      <c r="L1365" s="104"/>
      <c r="M1365" s="104"/>
    </row>
    <row r="1366" spans="1:13" ht="11.1" customHeight="1">
      <c r="A1366" s="101" t="s">
        <v>54</v>
      </c>
      <c r="B1366" s="101"/>
      <c r="C1366" s="101"/>
      <c r="D1366" s="101"/>
      <c r="E1366" s="101"/>
      <c r="F1366" s="101"/>
      <c r="G1366" s="101"/>
      <c r="H1366" s="101"/>
      <c r="I1366" s="101"/>
      <c r="J1366" s="101"/>
      <c r="K1366" s="101"/>
      <c r="L1366" s="101"/>
      <c r="M1366" s="101"/>
    </row>
    <row r="1367" spans="1:13" ht="11.1" customHeight="1">
      <c r="A1367" s="101" t="s">
        <v>55</v>
      </c>
      <c r="B1367" s="101"/>
      <c r="C1367" s="101"/>
      <c r="D1367" s="101"/>
      <c r="E1367" s="101"/>
      <c r="F1367" s="101"/>
      <c r="G1367" s="101"/>
      <c r="H1367" s="101"/>
      <c r="I1367" s="101"/>
      <c r="J1367" s="101"/>
      <c r="K1367" s="101"/>
      <c r="L1367" s="101"/>
      <c r="M1367" s="101"/>
    </row>
  </sheetData>
  <mergeCells count="3273">
    <mergeCell ref="E1343:G1343"/>
    <mergeCell ref="H1343:I1343"/>
    <mergeCell ref="J1343:K1343"/>
    <mergeCell ref="L1343:M1343"/>
    <mergeCell ref="A1344:B1344"/>
    <mergeCell ref="C1344:D1344"/>
    <mergeCell ref="E1344:G1344"/>
    <mergeCell ref="H1344:I1344"/>
    <mergeCell ref="J1344:K1344"/>
    <mergeCell ref="L1344:M1344"/>
    <mergeCell ref="A7:C7"/>
    <mergeCell ref="D7:G7"/>
    <mergeCell ref="H7:J7"/>
    <mergeCell ref="K7:M7"/>
    <mergeCell ref="A8:M8"/>
    <mergeCell ref="A9:D9"/>
    <mergeCell ref="F9:G9"/>
    <mergeCell ref="H9:I9"/>
    <mergeCell ref="J9:K9"/>
    <mergeCell ref="L9:M9"/>
    <mergeCell ref="D5:E5"/>
    <mergeCell ref="K5:L5"/>
    <mergeCell ref="A6:C6"/>
    <mergeCell ref="D6:G6"/>
    <mergeCell ref="H6:J6"/>
    <mergeCell ref="K6:M6"/>
    <mergeCell ref="A1:M1"/>
    <mergeCell ref="H3:J3"/>
    <mergeCell ref="K3:M3"/>
    <mergeCell ref="A4:C4"/>
    <mergeCell ref="D4:G4"/>
    <mergeCell ref="H4:J4"/>
    <mergeCell ref="K4:M4"/>
    <mergeCell ref="A14:D14"/>
    <mergeCell ref="F14:G14"/>
    <mergeCell ref="H14:I14"/>
    <mergeCell ref="J14:K14"/>
    <mergeCell ref="L14:M14"/>
    <mergeCell ref="A15:M15"/>
    <mergeCell ref="A12:D12"/>
    <mergeCell ref="F12:G12"/>
    <mergeCell ref="H12:I12"/>
    <mergeCell ref="J12:K12"/>
    <mergeCell ref="L12:M12"/>
    <mergeCell ref="A13:D13"/>
    <mergeCell ref="F13:G13"/>
    <mergeCell ref="H13:I13"/>
    <mergeCell ref="J13:K13"/>
    <mergeCell ref="L13:M13"/>
    <mergeCell ref="A10:D10"/>
    <mergeCell ref="F10:G10"/>
    <mergeCell ref="H10:I10"/>
    <mergeCell ref="J10:K10"/>
    <mergeCell ref="L10:M10"/>
    <mergeCell ref="A11:D11"/>
    <mergeCell ref="F11:G11"/>
    <mergeCell ref="H11:I11"/>
    <mergeCell ref="J11:K11"/>
    <mergeCell ref="L11:M11"/>
    <mergeCell ref="A20:B20"/>
    <mergeCell ref="C20:D20"/>
    <mergeCell ref="E20:G20"/>
    <mergeCell ref="H20:I20"/>
    <mergeCell ref="J20:K20"/>
    <mergeCell ref="L20:M20"/>
    <mergeCell ref="A18:D18"/>
    <mergeCell ref="F18:G18"/>
    <mergeCell ref="H18:I18"/>
    <mergeCell ref="J18:K18"/>
    <mergeCell ref="L18:M18"/>
    <mergeCell ref="A19:M19"/>
    <mergeCell ref="A16:D16"/>
    <mergeCell ref="F16:G16"/>
    <mergeCell ref="H16:I16"/>
    <mergeCell ref="J16:K16"/>
    <mergeCell ref="L16:M16"/>
    <mergeCell ref="A17:D17"/>
    <mergeCell ref="F17:G17"/>
    <mergeCell ref="H17:I17"/>
    <mergeCell ref="J17:K17"/>
    <mergeCell ref="L17:M17"/>
    <mergeCell ref="A23:M23"/>
    <mergeCell ref="A24:M24"/>
    <mergeCell ref="A25:M25"/>
    <mergeCell ref="A26:M26"/>
    <mergeCell ref="A27:M27"/>
    <mergeCell ref="A28:M28"/>
    <mergeCell ref="A22:B22"/>
    <mergeCell ref="C22:D22"/>
    <mergeCell ref="E22:G22"/>
    <mergeCell ref="H22:I22"/>
    <mergeCell ref="J22:K22"/>
    <mergeCell ref="L22:M22"/>
    <mergeCell ref="A21:B21"/>
    <mergeCell ref="C21:D21"/>
    <mergeCell ref="E21:G21"/>
    <mergeCell ref="H21:I21"/>
    <mergeCell ref="J21:K21"/>
    <mergeCell ref="L21:M21"/>
    <mergeCell ref="A41:M41"/>
    <mergeCell ref="A42:M42"/>
    <mergeCell ref="A43:M43"/>
    <mergeCell ref="A44:M44"/>
    <mergeCell ref="A45:M45"/>
    <mergeCell ref="H47:J47"/>
    <mergeCell ref="K47:M47"/>
    <mergeCell ref="A35:M35"/>
    <mergeCell ref="A36:M36"/>
    <mergeCell ref="A37:M37"/>
    <mergeCell ref="A38:M38"/>
    <mergeCell ref="A39:M39"/>
    <mergeCell ref="A40:M40"/>
    <mergeCell ref="A29:M29"/>
    <mergeCell ref="A30:M30"/>
    <mergeCell ref="A31:M31"/>
    <mergeCell ref="A32:M32"/>
    <mergeCell ref="A33:M33"/>
    <mergeCell ref="A34:M34"/>
    <mergeCell ref="A52:M52"/>
    <mergeCell ref="A53:D53"/>
    <mergeCell ref="F53:G53"/>
    <mergeCell ref="H53:I53"/>
    <mergeCell ref="J53:K53"/>
    <mergeCell ref="L53:M53"/>
    <mergeCell ref="A50:C50"/>
    <mergeCell ref="D50:G50"/>
    <mergeCell ref="H50:J50"/>
    <mergeCell ref="K50:M50"/>
    <mergeCell ref="A51:C51"/>
    <mergeCell ref="D51:G51"/>
    <mergeCell ref="H51:J51"/>
    <mergeCell ref="K51:M51"/>
    <mergeCell ref="A48:C48"/>
    <mergeCell ref="D48:G48"/>
    <mergeCell ref="H48:J48"/>
    <mergeCell ref="K48:M48"/>
    <mergeCell ref="D49:E49"/>
    <mergeCell ref="K49:L49"/>
    <mergeCell ref="A56:D56"/>
    <mergeCell ref="F56:G56"/>
    <mergeCell ref="H56:I56"/>
    <mergeCell ref="J56:K56"/>
    <mergeCell ref="L56:M56"/>
    <mergeCell ref="A57:D57"/>
    <mergeCell ref="F57:G57"/>
    <mergeCell ref="H57:I57"/>
    <mergeCell ref="J57:K57"/>
    <mergeCell ref="L57:M57"/>
    <mergeCell ref="A54:D54"/>
    <mergeCell ref="F54:G54"/>
    <mergeCell ref="H54:I54"/>
    <mergeCell ref="J54:K54"/>
    <mergeCell ref="L54:M54"/>
    <mergeCell ref="A55:D55"/>
    <mergeCell ref="F55:G55"/>
    <mergeCell ref="H55:I55"/>
    <mergeCell ref="J55:K55"/>
    <mergeCell ref="L55:M55"/>
    <mergeCell ref="A62:D62"/>
    <mergeCell ref="F62:G62"/>
    <mergeCell ref="H62:I62"/>
    <mergeCell ref="J62:K62"/>
    <mergeCell ref="L62:M62"/>
    <mergeCell ref="A63:M63"/>
    <mergeCell ref="A60:D60"/>
    <mergeCell ref="F60:G60"/>
    <mergeCell ref="H60:I60"/>
    <mergeCell ref="J60:K60"/>
    <mergeCell ref="L60:M60"/>
    <mergeCell ref="A61:D61"/>
    <mergeCell ref="F61:G61"/>
    <mergeCell ref="H61:I61"/>
    <mergeCell ref="J61:K61"/>
    <mergeCell ref="L61:M61"/>
    <mergeCell ref="A58:D58"/>
    <mergeCell ref="F58:G58"/>
    <mergeCell ref="H58:I58"/>
    <mergeCell ref="J58:K58"/>
    <mergeCell ref="L58:M58"/>
    <mergeCell ref="A59:M59"/>
    <mergeCell ref="A66:B66"/>
    <mergeCell ref="C66:D66"/>
    <mergeCell ref="E66:G66"/>
    <mergeCell ref="H66:I66"/>
    <mergeCell ref="J66:K66"/>
    <mergeCell ref="L66:M66"/>
    <mergeCell ref="A65:B65"/>
    <mergeCell ref="C65:D65"/>
    <mergeCell ref="E65:G65"/>
    <mergeCell ref="H65:I65"/>
    <mergeCell ref="J65:K65"/>
    <mergeCell ref="L65:M65"/>
    <mergeCell ref="A64:B64"/>
    <mergeCell ref="C64:D64"/>
    <mergeCell ref="E64:G64"/>
    <mergeCell ref="H64:I64"/>
    <mergeCell ref="J64:K64"/>
    <mergeCell ref="L64:M64"/>
    <mergeCell ref="A79:M79"/>
    <mergeCell ref="A80:M80"/>
    <mergeCell ref="A81:M81"/>
    <mergeCell ref="A82:M82"/>
    <mergeCell ref="A83:M83"/>
    <mergeCell ref="A84:M84"/>
    <mergeCell ref="A73:M73"/>
    <mergeCell ref="A74:M74"/>
    <mergeCell ref="A75:M75"/>
    <mergeCell ref="A76:M76"/>
    <mergeCell ref="A77:M77"/>
    <mergeCell ref="A78:M78"/>
    <mergeCell ref="A67:M67"/>
    <mergeCell ref="A68:M68"/>
    <mergeCell ref="A69:M69"/>
    <mergeCell ref="A70:M70"/>
    <mergeCell ref="A71:M71"/>
    <mergeCell ref="A72:M72"/>
    <mergeCell ref="A94:C94"/>
    <mergeCell ref="D94:G94"/>
    <mergeCell ref="H94:J94"/>
    <mergeCell ref="K94:M94"/>
    <mergeCell ref="A95:C95"/>
    <mergeCell ref="D95:G95"/>
    <mergeCell ref="H95:J95"/>
    <mergeCell ref="K95:M95"/>
    <mergeCell ref="A92:C92"/>
    <mergeCell ref="D92:G92"/>
    <mergeCell ref="H92:J92"/>
    <mergeCell ref="K92:M92"/>
    <mergeCell ref="D93:E93"/>
    <mergeCell ref="K93:L93"/>
    <mergeCell ref="A85:M85"/>
    <mergeCell ref="A86:M86"/>
    <mergeCell ref="A87:M87"/>
    <mergeCell ref="A88:M88"/>
    <mergeCell ref="A89:M89"/>
    <mergeCell ref="H91:J91"/>
    <mergeCell ref="K91:M91"/>
    <mergeCell ref="A102:D102"/>
    <mergeCell ref="F102:G102"/>
    <mergeCell ref="H102:I102"/>
    <mergeCell ref="J102:K102"/>
    <mergeCell ref="L102:M102"/>
    <mergeCell ref="A103:M103"/>
    <mergeCell ref="A100:D100"/>
    <mergeCell ref="F100:G100"/>
    <mergeCell ref="H100:I100"/>
    <mergeCell ref="J100:K100"/>
    <mergeCell ref="L100:M100"/>
    <mergeCell ref="A101:D101"/>
    <mergeCell ref="F101:G101"/>
    <mergeCell ref="H101:I101"/>
    <mergeCell ref="J101:K101"/>
    <mergeCell ref="L101:M101"/>
    <mergeCell ref="A96:M96"/>
    <mergeCell ref="A97:D97"/>
    <mergeCell ref="F97:G97"/>
    <mergeCell ref="H97:I97"/>
    <mergeCell ref="J97:K97"/>
    <mergeCell ref="L97:M97"/>
    <mergeCell ref="L99:M99"/>
    <mergeCell ref="J99:K99"/>
    <mergeCell ref="H99:I99"/>
    <mergeCell ref="F99:G99"/>
    <mergeCell ref="A99:D99"/>
    <mergeCell ref="L98:M98"/>
    <mergeCell ref="J98:K98"/>
    <mergeCell ref="H98:I98"/>
    <mergeCell ref="F98:G98"/>
    <mergeCell ref="A98:D98"/>
    <mergeCell ref="A108:B108"/>
    <mergeCell ref="C108:D108"/>
    <mergeCell ref="E108:G108"/>
    <mergeCell ref="H108:I108"/>
    <mergeCell ref="J108:K108"/>
    <mergeCell ref="L108:M108"/>
    <mergeCell ref="A106:D106"/>
    <mergeCell ref="F106:G106"/>
    <mergeCell ref="H106:I106"/>
    <mergeCell ref="J106:K106"/>
    <mergeCell ref="L106:M106"/>
    <mergeCell ref="A107:M107"/>
    <mergeCell ref="A104:D104"/>
    <mergeCell ref="F104:G104"/>
    <mergeCell ref="H104:I104"/>
    <mergeCell ref="J104:K104"/>
    <mergeCell ref="L104:M104"/>
    <mergeCell ref="A105:D105"/>
    <mergeCell ref="F105:G105"/>
    <mergeCell ref="H105:I105"/>
    <mergeCell ref="J105:K105"/>
    <mergeCell ref="L105:M105"/>
    <mergeCell ref="A111:M111"/>
    <mergeCell ref="A112:M112"/>
    <mergeCell ref="A113:M113"/>
    <mergeCell ref="A114:M114"/>
    <mergeCell ref="A115:M115"/>
    <mergeCell ref="A116:M116"/>
    <mergeCell ref="A110:B110"/>
    <mergeCell ref="C110:D110"/>
    <mergeCell ref="E110:G110"/>
    <mergeCell ref="H110:I110"/>
    <mergeCell ref="J110:K110"/>
    <mergeCell ref="L110:M110"/>
    <mergeCell ref="A109:B109"/>
    <mergeCell ref="C109:D109"/>
    <mergeCell ref="E109:G109"/>
    <mergeCell ref="H109:I109"/>
    <mergeCell ref="J109:K109"/>
    <mergeCell ref="L109:M109"/>
    <mergeCell ref="A129:M129"/>
    <mergeCell ref="A130:M130"/>
    <mergeCell ref="A131:M131"/>
    <mergeCell ref="A132:M132"/>
    <mergeCell ref="A133:M133"/>
    <mergeCell ref="H135:J135"/>
    <mergeCell ref="K135:M135"/>
    <mergeCell ref="A123:M123"/>
    <mergeCell ref="A124:M124"/>
    <mergeCell ref="A125:M125"/>
    <mergeCell ref="A126:M126"/>
    <mergeCell ref="A127:M127"/>
    <mergeCell ref="A128:M128"/>
    <mergeCell ref="A117:M117"/>
    <mergeCell ref="A118:M118"/>
    <mergeCell ref="A119:M119"/>
    <mergeCell ref="A120:M120"/>
    <mergeCell ref="A121:M121"/>
    <mergeCell ref="A122:M122"/>
    <mergeCell ref="A140:M140"/>
    <mergeCell ref="A141:D141"/>
    <mergeCell ref="F141:G141"/>
    <mergeCell ref="H141:I141"/>
    <mergeCell ref="J141:K141"/>
    <mergeCell ref="L141:M141"/>
    <mergeCell ref="A138:C138"/>
    <mergeCell ref="D138:G138"/>
    <mergeCell ref="H138:J138"/>
    <mergeCell ref="K138:M138"/>
    <mergeCell ref="A139:C139"/>
    <mergeCell ref="D139:G139"/>
    <mergeCell ref="H139:J139"/>
    <mergeCell ref="K139:M139"/>
    <mergeCell ref="A136:C136"/>
    <mergeCell ref="D136:G136"/>
    <mergeCell ref="H136:J136"/>
    <mergeCell ref="K136:M136"/>
    <mergeCell ref="D137:E137"/>
    <mergeCell ref="K137:L137"/>
    <mergeCell ref="A146:D146"/>
    <mergeCell ref="F146:G146"/>
    <mergeCell ref="H146:I146"/>
    <mergeCell ref="J146:K146"/>
    <mergeCell ref="L146:M146"/>
    <mergeCell ref="A147:M147"/>
    <mergeCell ref="A144:D144"/>
    <mergeCell ref="F144:G144"/>
    <mergeCell ref="H144:I144"/>
    <mergeCell ref="J144:K144"/>
    <mergeCell ref="L144:M144"/>
    <mergeCell ref="A145:D145"/>
    <mergeCell ref="F145:G145"/>
    <mergeCell ref="H145:I145"/>
    <mergeCell ref="J145:K145"/>
    <mergeCell ref="L145:M145"/>
    <mergeCell ref="A142:D142"/>
    <mergeCell ref="F142:G142"/>
    <mergeCell ref="H142:I142"/>
    <mergeCell ref="J142:K142"/>
    <mergeCell ref="L142:M142"/>
    <mergeCell ref="A143:D143"/>
    <mergeCell ref="F143:G143"/>
    <mergeCell ref="H143:I143"/>
    <mergeCell ref="J143:K143"/>
    <mergeCell ref="L143:M143"/>
    <mergeCell ref="A152:B152"/>
    <mergeCell ref="C152:D152"/>
    <mergeCell ref="E152:G152"/>
    <mergeCell ref="H152:I152"/>
    <mergeCell ref="J152:K152"/>
    <mergeCell ref="L152:M152"/>
    <mergeCell ref="A150:D150"/>
    <mergeCell ref="F150:G150"/>
    <mergeCell ref="H150:I150"/>
    <mergeCell ref="J150:K150"/>
    <mergeCell ref="L150:M150"/>
    <mergeCell ref="A151:M151"/>
    <mergeCell ref="A148:D148"/>
    <mergeCell ref="F148:G148"/>
    <mergeCell ref="H148:I148"/>
    <mergeCell ref="J148:K148"/>
    <mergeCell ref="L148:M148"/>
    <mergeCell ref="A149:D149"/>
    <mergeCell ref="F149:G149"/>
    <mergeCell ref="H149:I149"/>
    <mergeCell ref="J149:K149"/>
    <mergeCell ref="L149:M149"/>
    <mergeCell ref="A155:M155"/>
    <mergeCell ref="A156:M156"/>
    <mergeCell ref="A157:M157"/>
    <mergeCell ref="A158:M158"/>
    <mergeCell ref="A159:M159"/>
    <mergeCell ref="A160:M160"/>
    <mergeCell ref="A154:B154"/>
    <mergeCell ref="C154:D154"/>
    <mergeCell ref="E154:G154"/>
    <mergeCell ref="H154:I154"/>
    <mergeCell ref="J154:K154"/>
    <mergeCell ref="L154:M154"/>
    <mergeCell ref="A153:B153"/>
    <mergeCell ref="C153:D153"/>
    <mergeCell ref="E153:G153"/>
    <mergeCell ref="H153:I153"/>
    <mergeCell ref="J153:K153"/>
    <mergeCell ref="L153:M153"/>
    <mergeCell ref="A173:M173"/>
    <mergeCell ref="A174:M174"/>
    <mergeCell ref="A175:M175"/>
    <mergeCell ref="A176:M176"/>
    <mergeCell ref="A177:M177"/>
    <mergeCell ref="H179:J179"/>
    <mergeCell ref="K179:M179"/>
    <mergeCell ref="A167:M167"/>
    <mergeCell ref="A168:M168"/>
    <mergeCell ref="A169:M169"/>
    <mergeCell ref="A170:M170"/>
    <mergeCell ref="A171:M171"/>
    <mergeCell ref="A172:M172"/>
    <mergeCell ref="A161:M161"/>
    <mergeCell ref="A162:M162"/>
    <mergeCell ref="A163:M163"/>
    <mergeCell ref="A164:M164"/>
    <mergeCell ref="A165:M165"/>
    <mergeCell ref="A166:M166"/>
    <mergeCell ref="A184:M184"/>
    <mergeCell ref="A185:D185"/>
    <mergeCell ref="F185:G185"/>
    <mergeCell ref="H185:I185"/>
    <mergeCell ref="J185:K185"/>
    <mergeCell ref="L185:M185"/>
    <mergeCell ref="A182:C182"/>
    <mergeCell ref="D182:G182"/>
    <mergeCell ref="H182:J182"/>
    <mergeCell ref="K182:M182"/>
    <mergeCell ref="A183:C183"/>
    <mergeCell ref="D183:G183"/>
    <mergeCell ref="H183:J183"/>
    <mergeCell ref="K183:M183"/>
    <mergeCell ref="A180:C180"/>
    <mergeCell ref="D180:G180"/>
    <mergeCell ref="H180:J180"/>
    <mergeCell ref="K180:M180"/>
    <mergeCell ref="D181:E181"/>
    <mergeCell ref="K181:L181"/>
    <mergeCell ref="A190:D190"/>
    <mergeCell ref="F190:G190"/>
    <mergeCell ref="H190:I190"/>
    <mergeCell ref="J190:K190"/>
    <mergeCell ref="L190:M190"/>
    <mergeCell ref="A191:M191"/>
    <mergeCell ref="A188:D188"/>
    <mergeCell ref="F188:G188"/>
    <mergeCell ref="H188:I188"/>
    <mergeCell ref="J188:K188"/>
    <mergeCell ref="L188:M188"/>
    <mergeCell ref="A189:D189"/>
    <mergeCell ref="F189:G189"/>
    <mergeCell ref="H189:I189"/>
    <mergeCell ref="J189:K189"/>
    <mergeCell ref="L189:M189"/>
    <mergeCell ref="A186:D186"/>
    <mergeCell ref="F186:G186"/>
    <mergeCell ref="H186:I186"/>
    <mergeCell ref="J186:K186"/>
    <mergeCell ref="L186:M186"/>
    <mergeCell ref="A187:D187"/>
    <mergeCell ref="F187:G187"/>
    <mergeCell ref="H187:I187"/>
    <mergeCell ref="J187:K187"/>
    <mergeCell ref="L187:M187"/>
    <mergeCell ref="A196:B196"/>
    <mergeCell ref="C196:D196"/>
    <mergeCell ref="E196:G196"/>
    <mergeCell ref="H196:I196"/>
    <mergeCell ref="J196:K196"/>
    <mergeCell ref="L196:M196"/>
    <mergeCell ref="A194:D194"/>
    <mergeCell ref="F194:G194"/>
    <mergeCell ref="H194:I194"/>
    <mergeCell ref="J194:K194"/>
    <mergeCell ref="L194:M194"/>
    <mergeCell ref="A195:M195"/>
    <mergeCell ref="A192:D192"/>
    <mergeCell ref="F192:G192"/>
    <mergeCell ref="H192:I192"/>
    <mergeCell ref="J192:K192"/>
    <mergeCell ref="L192:M192"/>
    <mergeCell ref="A193:D193"/>
    <mergeCell ref="F193:G193"/>
    <mergeCell ref="H193:I193"/>
    <mergeCell ref="J193:K193"/>
    <mergeCell ref="L193:M193"/>
    <mergeCell ref="A199:M199"/>
    <mergeCell ref="A200:M200"/>
    <mergeCell ref="A201:M201"/>
    <mergeCell ref="A202:M202"/>
    <mergeCell ref="A203:M203"/>
    <mergeCell ref="A204:M204"/>
    <mergeCell ref="A198:B198"/>
    <mergeCell ref="C198:D198"/>
    <mergeCell ref="E198:G198"/>
    <mergeCell ref="H198:I198"/>
    <mergeCell ref="J198:K198"/>
    <mergeCell ref="L198:M198"/>
    <mergeCell ref="A197:B197"/>
    <mergeCell ref="C197:D197"/>
    <mergeCell ref="E197:G197"/>
    <mergeCell ref="H197:I197"/>
    <mergeCell ref="J197:K197"/>
    <mergeCell ref="L197:M197"/>
    <mergeCell ref="A217:M217"/>
    <mergeCell ref="A218:M218"/>
    <mergeCell ref="A219:M219"/>
    <mergeCell ref="A220:M220"/>
    <mergeCell ref="A221:M221"/>
    <mergeCell ref="H223:J223"/>
    <mergeCell ref="K223:M223"/>
    <mergeCell ref="A211:M211"/>
    <mergeCell ref="A212:M212"/>
    <mergeCell ref="A213:M213"/>
    <mergeCell ref="A214:M214"/>
    <mergeCell ref="A215:M215"/>
    <mergeCell ref="A216:M216"/>
    <mergeCell ref="A205:M205"/>
    <mergeCell ref="A206:M206"/>
    <mergeCell ref="A207:M207"/>
    <mergeCell ref="A208:M208"/>
    <mergeCell ref="A209:M209"/>
    <mergeCell ref="A210:M210"/>
    <mergeCell ref="A228:M228"/>
    <mergeCell ref="A229:D229"/>
    <mergeCell ref="F229:G229"/>
    <mergeCell ref="H229:I229"/>
    <mergeCell ref="J229:K229"/>
    <mergeCell ref="L229:M229"/>
    <mergeCell ref="A226:C226"/>
    <mergeCell ref="D226:G226"/>
    <mergeCell ref="H226:J226"/>
    <mergeCell ref="K226:M226"/>
    <mergeCell ref="A227:C227"/>
    <mergeCell ref="D227:G227"/>
    <mergeCell ref="H227:J227"/>
    <mergeCell ref="K227:M227"/>
    <mergeCell ref="A224:C224"/>
    <mergeCell ref="D224:G224"/>
    <mergeCell ref="H224:J224"/>
    <mergeCell ref="K224:M224"/>
    <mergeCell ref="D225:E225"/>
    <mergeCell ref="K225:L225"/>
    <mergeCell ref="A234:D234"/>
    <mergeCell ref="F234:G234"/>
    <mergeCell ref="H234:I234"/>
    <mergeCell ref="J234:K234"/>
    <mergeCell ref="L234:M234"/>
    <mergeCell ref="A235:M235"/>
    <mergeCell ref="A232:D232"/>
    <mergeCell ref="F232:G232"/>
    <mergeCell ref="H232:I232"/>
    <mergeCell ref="J232:K232"/>
    <mergeCell ref="L232:M232"/>
    <mergeCell ref="A233:D233"/>
    <mergeCell ref="F233:G233"/>
    <mergeCell ref="H233:I233"/>
    <mergeCell ref="J233:K233"/>
    <mergeCell ref="L233:M233"/>
    <mergeCell ref="A230:D230"/>
    <mergeCell ref="F230:G230"/>
    <mergeCell ref="H230:I230"/>
    <mergeCell ref="J230:K230"/>
    <mergeCell ref="L230:M230"/>
    <mergeCell ref="A231:D231"/>
    <mergeCell ref="F231:G231"/>
    <mergeCell ref="H231:I231"/>
    <mergeCell ref="J231:K231"/>
    <mergeCell ref="L231:M231"/>
    <mergeCell ref="A240:B240"/>
    <mergeCell ref="C240:D240"/>
    <mergeCell ref="E240:G240"/>
    <mergeCell ref="H240:I240"/>
    <mergeCell ref="J240:K240"/>
    <mergeCell ref="L240:M240"/>
    <mergeCell ref="A238:D238"/>
    <mergeCell ref="F238:G238"/>
    <mergeCell ref="H238:I238"/>
    <mergeCell ref="J238:K238"/>
    <mergeCell ref="L238:M238"/>
    <mergeCell ref="A239:M239"/>
    <mergeCell ref="A236:D236"/>
    <mergeCell ref="F236:G236"/>
    <mergeCell ref="H236:I236"/>
    <mergeCell ref="J236:K236"/>
    <mergeCell ref="L236:M236"/>
    <mergeCell ref="A237:D237"/>
    <mergeCell ref="F237:G237"/>
    <mergeCell ref="H237:I237"/>
    <mergeCell ref="J237:K237"/>
    <mergeCell ref="L237:M237"/>
    <mergeCell ref="A243:M243"/>
    <mergeCell ref="A244:M244"/>
    <mergeCell ref="A245:M245"/>
    <mergeCell ref="A246:M246"/>
    <mergeCell ref="A247:M247"/>
    <mergeCell ref="A248:M248"/>
    <mergeCell ref="A242:B242"/>
    <mergeCell ref="C242:D242"/>
    <mergeCell ref="E242:G242"/>
    <mergeCell ref="H242:I242"/>
    <mergeCell ref="J242:K242"/>
    <mergeCell ref="L242:M242"/>
    <mergeCell ref="A241:B241"/>
    <mergeCell ref="C241:D241"/>
    <mergeCell ref="E241:G241"/>
    <mergeCell ref="H241:I241"/>
    <mergeCell ref="J241:K241"/>
    <mergeCell ref="L241:M241"/>
    <mergeCell ref="A261:M261"/>
    <mergeCell ref="A262:M262"/>
    <mergeCell ref="A263:M263"/>
    <mergeCell ref="A264:M264"/>
    <mergeCell ref="A265:M265"/>
    <mergeCell ref="H267:J267"/>
    <mergeCell ref="K267:M267"/>
    <mergeCell ref="A255:M255"/>
    <mergeCell ref="A256:M256"/>
    <mergeCell ref="A257:M257"/>
    <mergeCell ref="A258:M258"/>
    <mergeCell ref="A259:M259"/>
    <mergeCell ref="A260:M260"/>
    <mergeCell ref="A249:M249"/>
    <mergeCell ref="A250:M250"/>
    <mergeCell ref="A251:M251"/>
    <mergeCell ref="A252:M252"/>
    <mergeCell ref="A253:M253"/>
    <mergeCell ref="A254:M254"/>
    <mergeCell ref="A272:M272"/>
    <mergeCell ref="A273:D273"/>
    <mergeCell ref="F273:G273"/>
    <mergeCell ref="H273:I273"/>
    <mergeCell ref="J273:K273"/>
    <mergeCell ref="L273:M273"/>
    <mergeCell ref="A270:C270"/>
    <mergeCell ref="D270:G270"/>
    <mergeCell ref="H270:J270"/>
    <mergeCell ref="K270:M270"/>
    <mergeCell ref="A271:C271"/>
    <mergeCell ref="D271:G271"/>
    <mergeCell ref="H271:J271"/>
    <mergeCell ref="K271:M271"/>
    <mergeCell ref="A268:C268"/>
    <mergeCell ref="D268:G268"/>
    <mergeCell ref="H268:J268"/>
    <mergeCell ref="K268:M268"/>
    <mergeCell ref="D269:E269"/>
    <mergeCell ref="K269:L269"/>
    <mergeCell ref="A278:D278"/>
    <mergeCell ref="F278:G278"/>
    <mergeCell ref="H278:I278"/>
    <mergeCell ref="J278:K278"/>
    <mergeCell ref="L278:M278"/>
    <mergeCell ref="A279:M279"/>
    <mergeCell ref="A276:D276"/>
    <mergeCell ref="F276:G276"/>
    <mergeCell ref="H276:I276"/>
    <mergeCell ref="J276:K276"/>
    <mergeCell ref="L276:M276"/>
    <mergeCell ref="A277:D277"/>
    <mergeCell ref="F277:G277"/>
    <mergeCell ref="H277:I277"/>
    <mergeCell ref="J277:K277"/>
    <mergeCell ref="L277:M277"/>
    <mergeCell ref="A274:D274"/>
    <mergeCell ref="F274:G274"/>
    <mergeCell ref="H274:I274"/>
    <mergeCell ref="J274:K274"/>
    <mergeCell ref="L274:M274"/>
    <mergeCell ref="A275:D275"/>
    <mergeCell ref="F275:G275"/>
    <mergeCell ref="H275:I275"/>
    <mergeCell ref="J275:K275"/>
    <mergeCell ref="L275:M275"/>
    <mergeCell ref="A284:B284"/>
    <mergeCell ref="C284:D284"/>
    <mergeCell ref="E284:G284"/>
    <mergeCell ref="H284:I284"/>
    <mergeCell ref="J284:K284"/>
    <mergeCell ref="L284:M284"/>
    <mergeCell ref="A282:D282"/>
    <mergeCell ref="F282:G282"/>
    <mergeCell ref="H282:I282"/>
    <mergeCell ref="J282:K282"/>
    <mergeCell ref="L282:M282"/>
    <mergeCell ref="A283:M283"/>
    <mergeCell ref="A280:D280"/>
    <mergeCell ref="F280:G280"/>
    <mergeCell ref="H280:I280"/>
    <mergeCell ref="J280:K280"/>
    <mergeCell ref="L280:M280"/>
    <mergeCell ref="A281:D281"/>
    <mergeCell ref="F281:G281"/>
    <mergeCell ref="H281:I281"/>
    <mergeCell ref="J281:K281"/>
    <mergeCell ref="L281:M281"/>
    <mergeCell ref="A287:M287"/>
    <mergeCell ref="A288:M288"/>
    <mergeCell ref="A289:M289"/>
    <mergeCell ref="A290:M290"/>
    <mergeCell ref="A291:M291"/>
    <mergeCell ref="A292:M292"/>
    <mergeCell ref="A286:B286"/>
    <mergeCell ref="C286:D286"/>
    <mergeCell ref="E286:G286"/>
    <mergeCell ref="H286:I286"/>
    <mergeCell ref="J286:K286"/>
    <mergeCell ref="L286:M286"/>
    <mergeCell ref="A285:B285"/>
    <mergeCell ref="C285:D285"/>
    <mergeCell ref="E285:G285"/>
    <mergeCell ref="H285:I285"/>
    <mergeCell ref="J285:K285"/>
    <mergeCell ref="L285:M285"/>
    <mergeCell ref="A305:M305"/>
    <mergeCell ref="A306:M306"/>
    <mergeCell ref="A307:M307"/>
    <mergeCell ref="A308:M308"/>
    <mergeCell ref="A309:M309"/>
    <mergeCell ref="H311:J311"/>
    <mergeCell ref="K311:M311"/>
    <mergeCell ref="A299:M299"/>
    <mergeCell ref="A300:M300"/>
    <mergeCell ref="A301:M301"/>
    <mergeCell ref="A302:M302"/>
    <mergeCell ref="A303:M303"/>
    <mergeCell ref="A304:M304"/>
    <mergeCell ref="A293:M293"/>
    <mergeCell ref="A294:M294"/>
    <mergeCell ref="A295:M295"/>
    <mergeCell ref="A296:M296"/>
    <mergeCell ref="A297:M297"/>
    <mergeCell ref="A298:M298"/>
    <mergeCell ref="A316:M316"/>
    <mergeCell ref="A317:D317"/>
    <mergeCell ref="F317:G317"/>
    <mergeCell ref="H317:I317"/>
    <mergeCell ref="J317:K317"/>
    <mergeCell ref="L317:M317"/>
    <mergeCell ref="A314:C314"/>
    <mergeCell ref="D314:G314"/>
    <mergeCell ref="H314:J314"/>
    <mergeCell ref="K314:M314"/>
    <mergeCell ref="A315:C315"/>
    <mergeCell ref="D315:G315"/>
    <mergeCell ref="H315:J315"/>
    <mergeCell ref="K315:M315"/>
    <mergeCell ref="A312:C312"/>
    <mergeCell ref="D312:G312"/>
    <mergeCell ref="H312:J312"/>
    <mergeCell ref="K312:M312"/>
    <mergeCell ref="D313:E313"/>
    <mergeCell ref="K313:L313"/>
    <mergeCell ref="A322:D322"/>
    <mergeCell ref="F322:G322"/>
    <mergeCell ref="H322:I322"/>
    <mergeCell ref="J322:K322"/>
    <mergeCell ref="L322:M322"/>
    <mergeCell ref="A323:M323"/>
    <mergeCell ref="A320:D320"/>
    <mergeCell ref="F320:G320"/>
    <mergeCell ref="H320:I320"/>
    <mergeCell ref="J320:K320"/>
    <mergeCell ref="L320:M320"/>
    <mergeCell ref="A321:D321"/>
    <mergeCell ref="F321:G321"/>
    <mergeCell ref="H321:I321"/>
    <mergeCell ref="J321:K321"/>
    <mergeCell ref="L321:M321"/>
    <mergeCell ref="A318:D318"/>
    <mergeCell ref="F318:G318"/>
    <mergeCell ref="H318:I318"/>
    <mergeCell ref="J318:K318"/>
    <mergeCell ref="L318:M318"/>
    <mergeCell ref="A319:D319"/>
    <mergeCell ref="F319:G319"/>
    <mergeCell ref="H319:I319"/>
    <mergeCell ref="J319:K319"/>
    <mergeCell ref="L319:M319"/>
    <mergeCell ref="A328:B328"/>
    <mergeCell ref="C328:D328"/>
    <mergeCell ref="E328:G328"/>
    <mergeCell ref="H328:I328"/>
    <mergeCell ref="J328:K328"/>
    <mergeCell ref="L328:M328"/>
    <mergeCell ref="A326:D326"/>
    <mergeCell ref="F326:G326"/>
    <mergeCell ref="H326:I326"/>
    <mergeCell ref="J326:K326"/>
    <mergeCell ref="L326:M326"/>
    <mergeCell ref="A327:M327"/>
    <mergeCell ref="A324:D324"/>
    <mergeCell ref="F324:G324"/>
    <mergeCell ref="H324:I324"/>
    <mergeCell ref="J324:K324"/>
    <mergeCell ref="L324:M324"/>
    <mergeCell ref="A325:D325"/>
    <mergeCell ref="F325:G325"/>
    <mergeCell ref="H325:I325"/>
    <mergeCell ref="J325:K325"/>
    <mergeCell ref="L325:M325"/>
    <mergeCell ref="A331:M331"/>
    <mergeCell ref="A332:M332"/>
    <mergeCell ref="A333:M333"/>
    <mergeCell ref="A334:M334"/>
    <mergeCell ref="A335:M335"/>
    <mergeCell ref="A336:M336"/>
    <mergeCell ref="A330:B330"/>
    <mergeCell ref="C330:D330"/>
    <mergeCell ref="E330:G330"/>
    <mergeCell ref="H330:I330"/>
    <mergeCell ref="J330:K330"/>
    <mergeCell ref="L330:M330"/>
    <mergeCell ref="A329:B329"/>
    <mergeCell ref="C329:D329"/>
    <mergeCell ref="E329:G329"/>
    <mergeCell ref="H329:I329"/>
    <mergeCell ref="J329:K329"/>
    <mergeCell ref="L329:M329"/>
    <mergeCell ref="A349:M349"/>
    <mergeCell ref="A350:M350"/>
    <mergeCell ref="A351:M351"/>
    <mergeCell ref="A352:M352"/>
    <mergeCell ref="A353:M353"/>
    <mergeCell ref="H355:J355"/>
    <mergeCell ref="K355:M355"/>
    <mergeCell ref="A343:M343"/>
    <mergeCell ref="A344:M344"/>
    <mergeCell ref="A345:M345"/>
    <mergeCell ref="A346:M346"/>
    <mergeCell ref="A347:M347"/>
    <mergeCell ref="A348:M348"/>
    <mergeCell ref="A337:M337"/>
    <mergeCell ref="A338:M338"/>
    <mergeCell ref="A339:M339"/>
    <mergeCell ref="A340:M340"/>
    <mergeCell ref="A341:M341"/>
    <mergeCell ref="A342:M342"/>
    <mergeCell ref="A360:M360"/>
    <mergeCell ref="A361:D361"/>
    <mergeCell ref="F361:G361"/>
    <mergeCell ref="H361:I361"/>
    <mergeCell ref="J361:K361"/>
    <mergeCell ref="L361:M361"/>
    <mergeCell ref="A358:C358"/>
    <mergeCell ref="D358:G358"/>
    <mergeCell ref="H358:J358"/>
    <mergeCell ref="K358:M358"/>
    <mergeCell ref="A359:C359"/>
    <mergeCell ref="D359:G359"/>
    <mergeCell ref="H359:J359"/>
    <mergeCell ref="K359:M359"/>
    <mergeCell ref="A356:C356"/>
    <mergeCell ref="D356:G356"/>
    <mergeCell ref="H356:J356"/>
    <mergeCell ref="K356:M356"/>
    <mergeCell ref="D357:E357"/>
    <mergeCell ref="K357:L357"/>
    <mergeCell ref="A366:D366"/>
    <mergeCell ref="F366:G366"/>
    <mergeCell ref="H366:I366"/>
    <mergeCell ref="J366:K366"/>
    <mergeCell ref="L366:M366"/>
    <mergeCell ref="A367:M367"/>
    <mergeCell ref="A364:D364"/>
    <mergeCell ref="F364:G364"/>
    <mergeCell ref="H364:I364"/>
    <mergeCell ref="J364:K364"/>
    <mergeCell ref="L364:M364"/>
    <mergeCell ref="A365:D365"/>
    <mergeCell ref="F365:G365"/>
    <mergeCell ref="H365:I365"/>
    <mergeCell ref="J365:K365"/>
    <mergeCell ref="L365:M365"/>
    <mergeCell ref="A362:D362"/>
    <mergeCell ref="F362:G362"/>
    <mergeCell ref="H362:I362"/>
    <mergeCell ref="J362:K362"/>
    <mergeCell ref="L362:M362"/>
    <mergeCell ref="A363:D363"/>
    <mergeCell ref="F363:G363"/>
    <mergeCell ref="H363:I363"/>
    <mergeCell ref="J363:K363"/>
    <mergeCell ref="L363:M363"/>
    <mergeCell ref="A372:B372"/>
    <mergeCell ref="C372:D372"/>
    <mergeCell ref="E372:G372"/>
    <mergeCell ref="H372:I372"/>
    <mergeCell ref="J372:K372"/>
    <mergeCell ref="L372:M372"/>
    <mergeCell ref="A370:D370"/>
    <mergeCell ref="F370:G370"/>
    <mergeCell ref="H370:I370"/>
    <mergeCell ref="J370:K370"/>
    <mergeCell ref="L370:M370"/>
    <mergeCell ref="A371:M371"/>
    <mergeCell ref="A368:D368"/>
    <mergeCell ref="F368:G368"/>
    <mergeCell ref="H368:I368"/>
    <mergeCell ref="J368:K368"/>
    <mergeCell ref="L368:M368"/>
    <mergeCell ref="A369:D369"/>
    <mergeCell ref="F369:G369"/>
    <mergeCell ref="H369:I369"/>
    <mergeCell ref="J369:K369"/>
    <mergeCell ref="L369:M369"/>
    <mergeCell ref="A375:M375"/>
    <mergeCell ref="A376:M376"/>
    <mergeCell ref="A377:M377"/>
    <mergeCell ref="A378:M378"/>
    <mergeCell ref="A379:M379"/>
    <mergeCell ref="A380:M380"/>
    <mergeCell ref="A374:B374"/>
    <mergeCell ref="C374:D374"/>
    <mergeCell ref="E374:G374"/>
    <mergeCell ref="H374:I374"/>
    <mergeCell ref="J374:K374"/>
    <mergeCell ref="L374:M374"/>
    <mergeCell ref="A373:B373"/>
    <mergeCell ref="C373:D373"/>
    <mergeCell ref="E373:G373"/>
    <mergeCell ref="H373:I373"/>
    <mergeCell ref="J373:K373"/>
    <mergeCell ref="L373:M373"/>
    <mergeCell ref="A393:M393"/>
    <mergeCell ref="A394:M394"/>
    <mergeCell ref="A395:M395"/>
    <mergeCell ref="A396:M396"/>
    <mergeCell ref="A397:M397"/>
    <mergeCell ref="H399:J399"/>
    <mergeCell ref="K399:M399"/>
    <mergeCell ref="A387:M387"/>
    <mergeCell ref="A388:M388"/>
    <mergeCell ref="A389:M389"/>
    <mergeCell ref="A390:M390"/>
    <mergeCell ref="A391:M391"/>
    <mergeCell ref="A392:M392"/>
    <mergeCell ref="A381:M381"/>
    <mergeCell ref="A382:M382"/>
    <mergeCell ref="A383:M383"/>
    <mergeCell ref="A384:M384"/>
    <mergeCell ref="A385:M385"/>
    <mergeCell ref="A386:M386"/>
    <mergeCell ref="A404:M404"/>
    <mergeCell ref="A405:D405"/>
    <mergeCell ref="F405:G405"/>
    <mergeCell ref="H405:I405"/>
    <mergeCell ref="J405:K405"/>
    <mergeCell ref="L405:M405"/>
    <mergeCell ref="A402:C402"/>
    <mergeCell ref="D402:G402"/>
    <mergeCell ref="H402:J402"/>
    <mergeCell ref="K402:M402"/>
    <mergeCell ref="A403:C403"/>
    <mergeCell ref="D403:G403"/>
    <mergeCell ref="H403:J403"/>
    <mergeCell ref="K403:M403"/>
    <mergeCell ref="A400:C400"/>
    <mergeCell ref="D400:G400"/>
    <mergeCell ref="H400:J400"/>
    <mergeCell ref="K400:M400"/>
    <mergeCell ref="D401:E401"/>
    <mergeCell ref="K401:L401"/>
    <mergeCell ref="A410:D410"/>
    <mergeCell ref="F410:G410"/>
    <mergeCell ref="H410:I410"/>
    <mergeCell ref="J410:K410"/>
    <mergeCell ref="L410:M410"/>
    <mergeCell ref="A411:M411"/>
    <mergeCell ref="A408:D408"/>
    <mergeCell ref="F408:G408"/>
    <mergeCell ref="H408:I408"/>
    <mergeCell ref="J408:K408"/>
    <mergeCell ref="L408:M408"/>
    <mergeCell ref="A409:D409"/>
    <mergeCell ref="F409:G409"/>
    <mergeCell ref="H409:I409"/>
    <mergeCell ref="J409:K409"/>
    <mergeCell ref="L409:M409"/>
    <mergeCell ref="A406:D406"/>
    <mergeCell ref="F406:G406"/>
    <mergeCell ref="H406:I406"/>
    <mergeCell ref="J406:K406"/>
    <mergeCell ref="L406:M406"/>
    <mergeCell ref="A407:D407"/>
    <mergeCell ref="F407:G407"/>
    <mergeCell ref="H407:I407"/>
    <mergeCell ref="J407:K407"/>
    <mergeCell ref="L407:M407"/>
    <mergeCell ref="A416:B416"/>
    <mergeCell ref="C416:D416"/>
    <mergeCell ref="E416:G416"/>
    <mergeCell ref="H416:I416"/>
    <mergeCell ref="J416:K416"/>
    <mergeCell ref="L416:M416"/>
    <mergeCell ref="A414:D414"/>
    <mergeCell ref="F414:G414"/>
    <mergeCell ref="H414:I414"/>
    <mergeCell ref="J414:K414"/>
    <mergeCell ref="L414:M414"/>
    <mergeCell ref="A415:M415"/>
    <mergeCell ref="A412:D412"/>
    <mergeCell ref="F412:G412"/>
    <mergeCell ref="H412:I412"/>
    <mergeCell ref="J412:K412"/>
    <mergeCell ref="L412:M412"/>
    <mergeCell ref="A413:D413"/>
    <mergeCell ref="F413:G413"/>
    <mergeCell ref="H413:I413"/>
    <mergeCell ref="J413:K413"/>
    <mergeCell ref="L413:M413"/>
    <mergeCell ref="A419:M419"/>
    <mergeCell ref="A420:M420"/>
    <mergeCell ref="A421:M421"/>
    <mergeCell ref="A422:M422"/>
    <mergeCell ref="A423:M423"/>
    <mergeCell ref="A424:M424"/>
    <mergeCell ref="A418:B418"/>
    <mergeCell ref="C418:D418"/>
    <mergeCell ref="E418:G418"/>
    <mergeCell ref="H418:I418"/>
    <mergeCell ref="J418:K418"/>
    <mergeCell ref="L418:M418"/>
    <mergeCell ref="A417:B417"/>
    <mergeCell ref="C417:D417"/>
    <mergeCell ref="E417:G417"/>
    <mergeCell ref="H417:I417"/>
    <mergeCell ref="J417:K417"/>
    <mergeCell ref="L417:M417"/>
    <mergeCell ref="A437:M437"/>
    <mergeCell ref="A438:M438"/>
    <mergeCell ref="A439:M439"/>
    <mergeCell ref="A440:M440"/>
    <mergeCell ref="A441:M441"/>
    <mergeCell ref="H443:J443"/>
    <mergeCell ref="K443:M443"/>
    <mergeCell ref="A431:M431"/>
    <mergeCell ref="A432:M432"/>
    <mergeCell ref="A433:M433"/>
    <mergeCell ref="A434:M434"/>
    <mergeCell ref="A435:M435"/>
    <mergeCell ref="A436:M436"/>
    <mergeCell ref="A425:M425"/>
    <mergeCell ref="A426:M426"/>
    <mergeCell ref="A427:M427"/>
    <mergeCell ref="A428:M428"/>
    <mergeCell ref="A429:M429"/>
    <mergeCell ref="A430:M430"/>
    <mergeCell ref="A448:M448"/>
    <mergeCell ref="A449:D449"/>
    <mergeCell ref="F449:G449"/>
    <mergeCell ref="H449:I449"/>
    <mergeCell ref="J449:K449"/>
    <mergeCell ref="L449:M449"/>
    <mergeCell ref="A446:C446"/>
    <mergeCell ref="D446:G446"/>
    <mergeCell ref="H446:J446"/>
    <mergeCell ref="K446:M446"/>
    <mergeCell ref="A447:C447"/>
    <mergeCell ref="D447:G447"/>
    <mergeCell ref="H447:J447"/>
    <mergeCell ref="K447:M447"/>
    <mergeCell ref="A444:C444"/>
    <mergeCell ref="D444:G444"/>
    <mergeCell ref="H444:J444"/>
    <mergeCell ref="K444:M444"/>
    <mergeCell ref="D445:E445"/>
    <mergeCell ref="K445:L445"/>
    <mergeCell ref="A454:D454"/>
    <mergeCell ref="F454:G454"/>
    <mergeCell ref="H454:I454"/>
    <mergeCell ref="J454:K454"/>
    <mergeCell ref="L454:M454"/>
    <mergeCell ref="A455:M455"/>
    <mergeCell ref="A452:D452"/>
    <mergeCell ref="F452:G452"/>
    <mergeCell ref="H452:I452"/>
    <mergeCell ref="J452:K452"/>
    <mergeCell ref="L452:M452"/>
    <mergeCell ref="A453:D453"/>
    <mergeCell ref="F453:G453"/>
    <mergeCell ref="H453:I453"/>
    <mergeCell ref="J453:K453"/>
    <mergeCell ref="L453:M453"/>
    <mergeCell ref="A450:D450"/>
    <mergeCell ref="F450:G450"/>
    <mergeCell ref="H450:I450"/>
    <mergeCell ref="J450:K450"/>
    <mergeCell ref="L450:M450"/>
    <mergeCell ref="A451:D451"/>
    <mergeCell ref="F451:G451"/>
    <mergeCell ref="H451:I451"/>
    <mergeCell ref="J451:K451"/>
    <mergeCell ref="L451:M451"/>
    <mergeCell ref="A460:B460"/>
    <mergeCell ref="C460:D460"/>
    <mergeCell ref="E460:G460"/>
    <mergeCell ref="H460:I460"/>
    <mergeCell ref="J460:K460"/>
    <mergeCell ref="L460:M460"/>
    <mergeCell ref="A458:D458"/>
    <mergeCell ref="F458:G458"/>
    <mergeCell ref="H458:I458"/>
    <mergeCell ref="J458:K458"/>
    <mergeCell ref="L458:M458"/>
    <mergeCell ref="A459:M459"/>
    <mergeCell ref="A456:D456"/>
    <mergeCell ref="F456:G456"/>
    <mergeCell ref="H456:I456"/>
    <mergeCell ref="J456:K456"/>
    <mergeCell ref="L456:M456"/>
    <mergeCell ref="A457:D457"/>
    <mergeCell ref="F457:G457"/>
    <mergeCell ref="H457:I457"/>
    <mergeCell ref="J457:K457"/>
    <mergeCell ref="L457:M457"/>
    <mergeCell ref="A463:M463"/>
    <mergeCell ref="A464:M464"/>
    <mergeCell ref="A465:M465"/>
    <mergeCell ref="A466:M466"/>
    <mergeCell ref="A467:M467"/>
    <mergeCell ref="A468:M468"/>
    <mergeCell ref="A462:B462"/>
    <mergeCell ref="C462:D462"/>
    <mergeCell ref="E462:G462"/>
    <mergeCell ref="H462:I462"/>
    <mergeCell ref="J462:K462"/>
    <mergeCell ref="L462:M462"/>
    <mergeCell ref="A461:B461"/>
    <mergeCell ref="C461:D461"/>
    <mergeCell ref="E461:G461"/>
    <mergeCell ref="H461:I461"/>
    <mergeCell ref="J461:K461"/>
    <mergeCell ref="L461:M461"/>
    <mergeCell ref="A481:M481"/>
    <mergeCell ref="A482:M482"/>
    <mergeCell ref="A483:M483"/>
    <mergeCell ref="A484:M484"/>
    <mergeCell ref="A485:M485"/>
    <mergeCell ref="H487:J487"/>
    <mergeCell ref="K487:M487"/>
    <mergeCell ref="A475:M475"/>
    <mergeCell ref="A476:M476"/>
    <mergeCell ref="A477:M477"/>
    <mergeCell ref="A478:M478"/>
    <mergeCell ref="A479:M479"/>
    <mergeCell ref="A480:M480"/>
    <mergeCell ref="A469:M469"/>
    <mergeCell ref="A470:M470"/>
    <mergeCell ref="A471:M471"/>
    <mergeCell ref="A472:M472"/>
    <mergeCell ref="A473:M473"/>
    <mergeCell ref="A474:M474"/>
    <mergeCell ref="A492:M492"/>
    <mergeCell ref="A493:D493"/>
    <mergeCell ref="F493:G493"/>
    <mergeCell ref="H493:I493"/>
    <mergeCell ref="J493:K493"/>
    <mergeCell ref="L493:M493"/>
    <mergeCell ref="A490:C490"/>
    <mergeCell ref="D490:G490"/>
    <mergeCell ref="H490:J490"/>
    <mergeCell ref="K490:M490"/>
    <mergeCell ref="A491:C491"/>
    <mergeCell ref="D491:G491"/>
    <mergeCell ref="H491:J491"/>
    <mergeCell ref="K491:M491"/>
    <mergeCell ref="A488:C488"/>
    <mergeCell ref="D488:G488"/>
    <mergeCell ref="H488:J488"/>
    <mergeCell ref="K488:M488"/>
    <mergeCell ref="D489:E489"/>
    <mergeCell ref="K489:L489"/>
    <mergeCell ref="A498:D498"/>
    <mergeCell ref="F498:G498"/>
    <mergeCell ref="H498:I498"/>
    <mergeCell ref="J498:K498"/>
    <mergeCell ref="L498:M498"/>
    <mergeCell ref="A499:M499"/>
    <mergeCell ref="A496:D496"/>
    <mergeCell ref="F496:G496"/>
    <mergeCell ref="H496:I496"/>
    <mergeCell ref="J496:K496"/>
    <mergeCell ref="L496:M496"/>
    <mergeCell ref="A497:D497"/>
    <mergeCell ref="F497:G497"/>
    <mergeCell ref="H497:I497"/>
    <mergeCell ref="J497:K497"/>
    <mergeCell ref="L497:M497"/>
    <mergeCell ref="A494:D494"/>
    <mergeCell ref="F494:G494"/>
    <mergeCell ref="H494:I494"/>
    <mergeCell ref="J494:K494"/>
    <mergeCell ref="L494:M494"/>
    <mergeCell ref="A495:D495"/>
    <mergeCell ref="F495:G495"/>
    <mergeCell ref="H495:I495"/>
    <mergeCell ref="J495:K495"/>
    <mergeCell ref="L495:M495"/>
    <mergeCell ref="A504:B504"/>
    <mergeCell ref="C504:D504"/>
    <mergeCell ref="E504:G504"/>
    <mergeCell ref="H504:I504"/>
    <mergeCell ref="J504:K504"/>
    <mergeCell ref="L504:M504"/>
    <mergeCell ref="A502:D502"/>
    <mergeCell ref="F502:G502"/>
    <mergeCell ref="H502:I502"/>
    <mergeCell ref="J502:K502"/>
    <mergeCell ref="L502:M502"/>
    <mergeCell ref="A503:M503"/>
    <mergeCell ref="A500:D500"/>
    <mergeCell ref="F500:G500"/>
    <mergeCell ref="H500:I500"/>
    <mergeCell ref="J500:K500"/>
    <mergeCell ref="L500:M500"/>
    <mergeCell ref="A501:D501"/>
    <mergeCell ref="F501:G501"/>
    <mergeCell ref="H501:I501"/>
    <mergeCell ref="J501:K501"/>
    <mergeCell ref="L501:M501"/>
    <mergeCell ref="A507:M507"/>
    <mergeCell ref="A508:M508"/>
    <mergeCell ref="A509:M509"/>
    <mergeCell ref="A510:M510"/>
    <mergeCell ref="A511:M511"/>
    <mergeCell ref="A512:M512"/>
    <mergeCell ref="A506:B506"/>
    <mergeCell ref="C506:D506"/>
    <mergeCell ref="E506:G506"/>
    <mergeCell ref="H506:I506"/>
    <mergeCell ref="J506:K506"/>
    <mergeCell ref="L506:M506"/>
    <mergeCell ref="A505:B505"/>
    <mergeCell ref="C505:D505"/>
    <mergeCell ref="E505:G505"/>
    <mergeCell ref="H505:I505"/>
    <mergeCell ref="J505:K505"/>
    <mergeCell ref="L505:M505"/>
    <mergeCell ref="A525:M525"/>
    <mergeCell ref="A526:M526"/>
    <mergeCell ref="A527:M527"/>
    <mergeCell ref="A528:M528"/>
    <mergeCell ref="A529:M529"/>
    <mergeCell ref="H531:J531"/>
    <mergeCell ref="K531:M531"/>
    <mergeCell ref="A519:M519"/>
    <mergeCell ref="A520:M520"/>
    <mergeCell ref="A521:M521"/>
    <mergeCell ref="A522:M522"/>
    <mergeCell ref="A523:M523"/>
    <mergeCell ref="A524:M524"/>
    <mergeCell ref="A513:M513"/>
    <mergeCell ref="A514:M514"/>
    <mergeCell ref="A515:M515"/>
    <mergeCell ref="A516:M516"/>
    <mergeCell ref="A517:M517"/>
    <mergeCell ref="A518:M518"/>
    <mergeCell ref="A536:M536"/>
    <mergeCell ref="A537:D537"/>
    <mergeCell ref="F537:G537"/>
    <mergeCell ref="H537:I537"/>
    <mergeCell ref="J537:K537"/>
    <mergeCell ref="L537:M537"/>
    <mergeCell ref="A534:C534"/>
    <mergeCell ref="D534:G534"/>
    <mergeCell ref="H534:J534"/>
    <mergeCell ref="K534:M534"/>
    <mergeCell ref="A535:C535"/>
    <mergeCell ref="D535:G535"/>
    <mergeCell ref="H535:J535"/>
    <mergeCell ref="K535:M535"/>
    <mergeCell ref="A532:C532"/>
    <mergeCell ref="D532:G532"/>
    <mergeCell ref="H532:J532"/>
    <mergeCell ref="K532:M532"/>
    <mergeCell ref="D533:E533"/>
    <mergeCell ref="K533:L533"/>
    <mergeCell ref="A542:D542"/>
    <mergeCell ref="F542:G542"/>
    <mergeCell ref="H542:I542"/>
    <mergeCell ref="J542:K542"/>
    <mergeCell ref="L542:M542"/>
    <mergeCell ref="A543:M543"/>
    <mergeCell ref="A540:D540"/>
    <mergeCell ref="F540:G540"/>
    <mergeCell ref="H540:I540"/>
    <mergeCell ref="J540:K540"/>
    <mergeCell ref="L540:M540"/>
    <mergeCell ref="A541:D541"/>
    <mergeCell ref="F541:G541"/>
    <mergeCell ref="H541:I541"/>
    <mergeCell ref="J541:K541"/>
    <mergeCell ref="L541:M541"/>
    <mergeCell ref="A538:D538"/>
    <mergeCell ref="F538:G538"/>
    <mergeCell ref="H538:I538"/>
    <mergeCell ref="J538:K538"/>
    <mergeCell ref="L538:M538"/>
    <mergeCell ref="A539:D539"/>
    <mergeCell ref="F539:G539"/>
    <mergeCell ref="H539:I539"/>
    <mergeCell ref="J539:K539"/>
    <mergeCell ref="L539:M539"/>
    <mergeCell ref="A548:B548"/>
    <mergeCell ref="C548:D548"/>
    <mergeCell ref="E548:G548"/>
    <mergeCell ref="H548:I548"/>
    <mergeCell ref="J548:K548"/>
    <mergeCell ref="L548:M548"/>
    <mergeCell ref="A546:D546"/>
    <mergeCell ref="F546:G546"/>
    <mergeCell ref="H546:I546"/>
    <mergeCell ref="J546:K546"/>
    <mergeCell ref="L546:M546"/>
    <mergeCell ref="A547:M547"/>
    <mergeCell ref="A544:D544"/>
    <mergeCell ref="F544:G544"/>
    <mergeCell ref="H544:I544"/>
    <mergeCell ref="J544:K544"/>
    <mergeCell ref="L544:M544"/>
    <mergeCell ref="A545:D545"/>
    <mergeCell ref="F545:G545"/>
    <mergeCell ref="H545:I545"/>
    <mergeCell ref="J545:K545"/>
    <mergeCell ref="L545:M545"/>
    <mergeCell ref="A551:M551"/>
    <mergeCell ref="A552:M552"/>
    <mergeCell ref="A553:M553"/>
    <mergeCell ref="A554:M554"/>
    <mergeCell ref="A555:M555"/>
    <mergeCell ref="A556:M556"/>
    <mergeCell ref="A550:B550"/>
    <mergeCell ref="C550:D550"/>
    <mergeCell ref="E550:G550"/>
    <mergeCell ref="H550:I550"/>
    <mergeCell ref="J550:K550"/>
    <mergeCell ref="L550:M550"/>
    <mergeCell ref="A549:B549"/>
    <mergeCell ref="C549:D549"/>
    <mergeCell ref="E549:G549"/>
    <mergeCell ref="H549:I549"/>
    <mergeCell ref="J549:K549"/>
    <mergeCell ref="L549:M549"/>
    <mergeCell ref="A569:M569"/>
    <mergeCell ref="A570:M570"/>
    <mergeCell ref="A571:M571"/>
    <mergeCell ref="A572:M572"/>
    <mergeCell ref="A573:M573"/>
    <mergeCell ref="H575:J575"/>
    <mergeCell ref="K575:M575"/>
    <mergeCell ref="A563:M563"/>
    <mergeCell ref="A564:M564"/>
    <mergeCell ref="A565:M565"/>
    <mergeCell ref="A566:M566"/>
    <mergeCell ref="A567:M567"/>
    <mergeCell ref="A568:M568"/>
    <mergeCell ref="A557:M557"/>
    <mergeCell ref="A558:M558"/>
    <mergeCell ref="A559:M559"/>
    <mergeCell ref="A560:M560"/>
    <mergeCell ref="A561:M561"/>
    <mergeCell ref="A562:M562"/>
    <mergeCell ref="A580:M580"/>
    <mergeCell ref="A581:D581"/>
    <mergeCell ref="F581:G581"/>
    <mergeCell ref="H581:I581"/>
    <mergeCell ref="J581:K581"/>
    <mergeCell ref="L581:M581"/>
    <mergeCell ref="A578:C578"/>
    <mergeCell ref="D578:G578"/>
    <mergeCell ref="H578:J578"/>
    <mergeCell ref="K578:M578"/>
    <mergeCell ref="A579:C579"/>
    <mergeCell ref="D579:G579"/>
    <mergeCell ref="H579:J579"/>
    <mergeCell ref="K579:M579"/>
    <mergeCell ref="A576:C576"/>
    <mergeCell ref="D576:G576"/>
    <mergeCell ref="H576:J576"/>
    <mergeCell ref="K576:M576"/>
    <mergeCell ref="D577:E577"/>
    <mergeCell ref="K577:L577"/>
    <mergeCell ref="A586:D586"/>
    <mergeCell ref="F586:G586"/>
    <mergeCell ref="H586:I586"/>
    <mergeCell ref="J586:K586"/>
    <mergeCell ref="L586:M586"/>
    <mergeCell ref="A587:M587"/>
    <mergeCell ref="A584:D584"/>
    <mergeCell ref="F584:G584"/>
    <mergeCell ref="H584:I584"/>
    <mergeCell ref="J584:K584"/>
    <mergeCell ref="L584:M584"/>
    <mergeCell ref="A585:D585"/>
    <mergeCell ref="F585:G585"/>
    <mergeCell ref="H585:I585"/>
    <mergeCell ref="J585:K585"/>
    <mergeCell ref="L585:M585"/>
    <mergeCell ref="A582:D582"/>
    <mergeCell ref="F582:G582"/>
    <mergeCell ref="H582:I582"/>
    <mergeCell ref="J582:K582"/>
    <mergeCell ref="L582:M582"/>
    <mergeCell ref="A583:D583"/>
    <mergeCell ref="F583:G583"/>
    <mergeCell ref="H583:I583"/>
    <mergeCell ref="J583:K583"/>
    <mergeCell ref="L583:M583"/>
    <mergeCell ref="A592:B592"/>
    <mergeCell ref="C592:D592"/>
    <mergeCell ref="E592:G592"/>
    <mergeCell ref="H592:I592"/>
    <mergeCell ref="J592:K592"/>
    <mergeCell ref="L592:M592"/>
    <mergeCell ref="A590:D590"/>
    <mergeCell ref="F590:G590"/>
    <mergeCell ref="H590:I590"/>
    <mergeCell ref="J590:K590"/>
    <mergeCell ref="L590:M590"/>
    <mergeCell ref="A591:M591"/>
    <mergeCell ref="A588:D588"/>
    <mergeCell ref="F588:G588"/>
    <mergeCell ref="H588:I588"/>
    <mergeCell ref="J588:K588"/>
    <mergeCell ref="L588:M588"/>
    <mergeCell ref="A589:D589"/>
    <mergeCell ref="F589:G589"/>
    <mergeCell ref="H589:I589"/>
    <mergeCell ref="J589:K589"/>
    <mergeCell ref="L589:M589"/>
    <mergeCell ref="A595:M595"/>
    <mergeCell ref="A596:M596"/>
    <mergeCell ref="A597:M597"/>
    <mergeCell ref="A598:M598"/>
    <mergeCell ref="A599:M599"/>
    <mergeCell ref="A600:M600"/>
    <mergeCell ref="A594:B594"/>
    <mergeCell ref="C594:D594"/>
    <mergeCell ref="E594:G594"/>
    <mergeCell ref="H594:I594"/>
    <mergeCell ref="J594:K594"/>
    <mergeCell ref="L594:M594"/>
    <mergeCell ref="A593:B593"/>
    <mergeCell ref="C593:D593"/>
    <mergeCell ref="E593:G593"/>
    <mergeCell ref="H593:I593"/>
    <mergeCell ref="J593:K593"/>
    <mergeCell ref="L593:M593"/>
    <mergeCell ref="A613:M613"/>
    <mergeCell ref="A614:M614"/>
    <mergeCell ref="A615:M615"/>
    <mergeCell ref="A616:M616"/>
    <mergeCell ref="A617:M617"/>
    <mergeCell ref="H619:J619"/>
    <mergeCell ref="K619:M619"/>
    <mergeCell ref="A607:M607"/>
    <mergeCell ref="A608:M608"/>
    <mergeCell ref="A609:M609"/>
    <mergeCell ref="A610:M610"/>
    <mergeCell ref="A611:M611"/>
    <mergeCell ref="A612:M612"/>
    <mergeCell ref="A601:M601"/>
    <mergeCell ref="A602:M602"/>
    <mergeCell ref="A603:M603"/>
    <mergeCell ref="A604:M604"/>
    <mergeCell ref="A605:M605"/>
    <mergeCell ref="A606:M606"/>
    <mergeCell ref="A624:M624"/>
    <mergeCell ref="A625:D625"/>
    <mergeCell ref="F625:G625"/>
    <mergeCell ref="H625:I625"/>
    <mergeCell ref="J625:K625"/>
    <mergeCell ref="L625:M625"/>
    <mergeCell ref="A622:C622"/>
    <mergeCell ref="D622:G622"/>
    <mergeCell ref="H622:J622"/>
    <mergeCell ref="K622:M622"/>
    <mergeCell ref="A623:C623"/>
    <mergeCell ref="D623:G623"/>
    <mergeCell ref="H623:J623"/>
    <mergeCell ref="K623:M623"/>
    <mergeCell ref="A620:C620"/>
    <mergeCell ref="D620:G620"/>
    <mergeCell ref="H620:J620"/>
    <mergeCell ref="K620:M620"/>
    <mergeCell ref="D621:E621"/>
    <mergeCell ref="K621:L621"/>
    <mergeCell ref="A630:D630"/>
    <mergeCell ref="F630:G630"/>
    <mergeCell ref="H630:I630"/>
    <mergeCell ref="J630:K630"/>
    <mergeCell ref="L630:M630"/>
    <mergeCell ref="A631:M631"/>
    <mergeCell ref="A628:D628"/>
    <mergeCell ref="F628:G628"/>
    <mergeCell ref="H628:I628"/>
    <mergeCell ref="J628:K628"/>
    <mergeCell ref="L628:M628"/>
    <mergeCell ref="A629:D629"/>
    <mergeCell ref="F629:G629"/>
    <mergeCell ref="H629:I629"/>
    <mergeCell ref="J629:K629"/>
    <mergeCell ref="L629:M629"/>
    <mergeCell ref="A626:D626"/>
    <mergeCell ref="F626:G626"/>
    <mergeCell ref="H626:I626"/>
    <mergeCell ref="J626:K626"/>
    <mergeCell ref="L626:M626"/>
    <mergeCell ref="A627:D627"/>
    <mergeCell ref="F627:G627"/>
    <mergeCell ref="H627:I627"/>
    <mergeCell ref="J627:K627"/>
    <mergeCell ref="L627:M627"/>
    <mergeCell ref="A636:B636"/>
    <mergeCell ref="C636:D636"/>
    <mergeCell ref="E636:G636"/>
    <mergeCell ref="H636:I636"/>
    <mergeCell ref="J636:K636"/>
    <mergeCell ref="L636:M636"/>
    <mergeCell ref="A634:D634"/>
    <mergeCell ref="F634:G634"/>
    <mergeCell ref="H634:I634"/>
    <mergeCell ref="J634:K634"/>
    <mergeCell ref="L634:M634"/>
    <mergeCell ref="A635:M635"/>
    <mergeCell ref="A632:D632"/>
    <mergeCell ref="F632:G632"/>
    <mergeCell ref="H632:I632"/>
    <mergeCell ref="J632:K632"/>
    <mergeCell ref="L632:M632"/>
    <mergeCell ref="A633:D633"/>
    <mergeCell ref="F633:G633"/>
    <mergeCell ref="H633:I633"/>
    <mergeCell ref="J633:K633"/>
    <mergeCell ref="L633:M633"/>
    <mergeCell ref="A639:M639"/>
    <mergeCell ref="A640:M640"/>
    <mergeCell ref="A641:M641"/>
    <mergeCell ref="A642:M642"/>
    <mergeCell ref="A643:M643"/>
    <mergeCell ref="A644:M644"/>
    <mergeCell ref="A638:B638"/>
    <mergeCell ref="C638:D638"/>
    <mergeCell ref="E638:G638"/>
    <mergeCell ref="H638:I638"/>
    <mergeCell ref="J638:K638"/>
    <mergeCell ref="L638:M638"/>
    <mergeCell ref="A637:B637"/>
    <mergeCell ref="C637:D637"/>
    <mergeCell ref="E637:G637"/>
    <mergeCell ref="H637:I637"/>
    <mergeCell ref="J637:K637"/>
    <mergeCell ref="L637:M637"/>
    <mergeCell ref="A657:M657"/>
    <mergeCell ref="A658:M658"/>
    <mergeCell ref="A659:M659"/>
    <mergeCell ref="A660:M660"/>
    <mergeCell ref="A661:M661"/>
    <mergeCell ref="H663:J663"/>
    <mergeCell ref="K663:M663"/>
    <mergeCell ref="A651:M651"/>
    <mergeCell ref="A652:M652"/>
    <mergeCell ref="A653:M653"/>
    <mergeCell ref="A654:M654"/>
    <mergeCell ref="A655:M655"/>
    <mergeCell ref="A656:M656"/>
    <mergeCell ref="A645:M645"/>
    <mergeCell ref="A646:M646"/>
    <mergeCell ref="A647:M647"/>
    <mergeCell ref="A648:M648"/>
    <mergeCell ref="A649:M649"/>
    <mergeCell ref="A650:M650"/>
    <mergeCell ref="A668:M668"/>
    <mergeCell ref="A669:D669"/>
    <mergeCell ref="F669:G669"/>
    <mergeCell ref="H669:I669"/>
    <mergeCell ref="J669:K669"/>
    <mergeCell ref="L669:M669"/>
    <mergeCell ref="A666:C666"/>
    <mergeCell ref="D666:G666"/>
    <mergeCell ref="H666:J666"/>
    <mergeCell ref="K666:M666"/>
    <mergeCell ref="A667:C667"/>
    <mergeCell ref="D667:G667"/>
    <mergeCell ref="H667:J667"/>
    <mergeCell ref="K667:M667"/>
    <mergeCell ref="A664:C664"/>
    <mergeCell ref="D664:G664"/>
    <mergeCell ref="H664:J664"/>
    <mergeCell ref="K664:M664"/>
    <mergeCell ref="D665:E665"/>
    <mergeCell ref="K665:L665"/>
    <mergeCell ref="A674:D674"/>
    <mergeCell ref="F674:G674"/>
    <mergeCell ref="H674:I674"/>
    <mergeCell ref="J674:K674"/>
    <mergeCell ref="L674:M674"/>
    <mergeCell ref="A675:M675"/>
    <mergeCell ref="A672:D672"/>
    <mergeCell ref="F672:G672"/>
    <mergeCell ref="H672:I672"/>
    <mergeCell ref="J672:K672"/>
    <mergeCell ref="L672:M672"/>
    <mergeCell ref="A673:D673"/>
    <mergeCell ref="F673:G673"/>
    <mergeCell ref="H673:I673"/>
    <mergeCell ref="J673:K673"/>
    <mergeCell ref="L673:M673"/>
    <mergeCell ref="A670:D670"/>
    <mergeCell ref="F670:G670"/>
    <mergeCell ref="H670:I670"/>
    <mergeCell ref="J670:K670"/>
    <mergeCell ref="L670:M670"/>
    <mergeCell ref="A671:D671"/>
    <mergeCell ref="F671:G671"/>
    <mergeCell ref="H671:I671"/>
    <mergeCell ref="J671:K671"/>
    <mergeCell ref="L671:M671"/>
    <mergeCell ref="A680:B680"/>
    <mergeCell ref="C680:D680"/>
    <mergeCell ref="E680:G680"/>
    <mergeCell ref="H680:I680"/>
    <mergeCell ref="J680:K680"/>
    <mergeCell ref="L680:M680"/>
    <mergeCell ref="A678:D678"/>
    <mergeCell ref="F678:G678"/>
    <mergeCell ref="H678:I678"/>
    <mergeCell ref="J678:K678"/>
    <mergeCell ref="L678:M678"/>
    <mergeCell ref="A679:M679"/>
    <mergeCell ref="A676:D676"/>
    <mergeCell ref="F676:G676"/>
    <mergeCell ref="H676:I676"/>
    <mergeCell ref="J676:K676"/>
    <mergeCell ref="L676:M676"/>
    <mergeCell ref="A677:D677"/>
    <mergeCell ref="F677:G677"/>
    <mergeCell ref="H677:I677"/>
    <mergeCell ref="J677:K677"/>
    <mergeCell ref="L677:M677"/>
    <mergeCell ref="A683:M683"/>
    <mergeCell ref="A684:M684"/>
    <mergeCell ref="A685:M685"/>
    <mergeCell ref="A686:M686"/>
    <mergeCell ref="A687:M687"/>
    <mergeCell ref="A688:M688"/>
    <mergeCell ref="A682:B682"/>
    <mergeCell ref="C682:D682"/>
    <mergeCell ref="E682:G682"/>
    <mergeCell ref="H682:I682"/>
    <mergeCell ref="J682:K682"/>
    <mergeCell ref="L682:M682"/>
    <mergeCell ref="A681:B681"/>
    <mergeCell ref="C681:D681"/>
    <mergeCell ref="E681:G681"/>
    <mergeCell ref="H681:I681"/>
    <mergeCell ref="J681:K681"/>
    <mergeCell ref="L681:M681"/>
    <mergeCell ref="A701:M701"/>
    <mergeCell ref="A702:M702"/>
    <mergeCell ref="A703:M703"/>
    <mergeCell ref="A704:M704"/>
    <mergeCell ref="A705:M705"/>
    <mergeCell ref="H707:J707"/>
    <mergeCell ref="K707:M707"/>
    <mergeCell ref="A695:M695"/>
    <mergeCell ref="A696:M696"/>
    <mergeCell ref="A697:M697"/>
    <mergeCell ref="A698:M698"/>
    <mergeCell ref="A699:M699"/>
    <mergeCell ref="A700:M700"/>
    <mergeCell ref="A689:M689"/>
    <mergeCell ref="A690:M690"/>
    <mergeCell ref="A691:M691"/>
    <mergeCell ref="A692:M692"/>
    <mergeCell ref="A693:M693"/>
    <mergeCell ref="A694:M694"/>
    <mergeCell ref="A712:M712"/>
    <mergeCell ref="A713:D713"/>
    <mergeCell ref="F713:G713"/>
    <mergeCell ref="H713:I713"/>
    <mergeCell ref="J713:K713"/>
    <mergeCell ref="L713:M713"/>
    <mergeCell ref="A710:C710"/>
    <mergeCell ref="D710:G710"/>
    <mergeCell ref="H710:J710"/>
    <mergeCell ref="K710:M710"/>
    <mergeCell ref="A711:C711"/>
    <mergeCell ref="D711:G711"/>
    <mergeCell ref="H711:J711"/>
    <mergeCell ref="K711:M711"/>
    <mergeCell ref="A708:C708"/>
    <mergeCell ref="D708:G708"/>
    <mergeCell ref="H708:J708"/>
    <mergeCell ref="K708:M708"/>
    <mergeCell ref="D709:E709"/>
    <mergeCell ref="K709:L709"/>
    <mergeCell ref="A718:D718"/>
    <mergeCell ref="F718:G718"/>
    <mergeCell ref="H718:I718"/>
    <mergeCell ref="J718:K718"/>
    <mergeCell ref="L718:M718"/>
    <mergeCell ref="A719:M719"/>
    <mergeCell ref="A716:D716"/>
    <mergeCell ref="F716:G716"/>
    <mergeCell ref="H716:I716"/>
    <mergeCell ref="J716:K716"/>
    <mergeCell ref="L716:M716"/>
    <mergeCell ref="A717:D717"/>
    <mergeCell ref="F717:G717"/>
    <mergeCell ref="H717:I717"/>
    <mergeCell ref="J717:K717"/>
    <mergeCell ref="L717:M717"/>
    <mergeCell ref="A714:D714"/>
    <mergeCell ref="F714:G714"/>
    <mergeCell ref="H714:I714"/>
    <mergeCell ref="J714:K714"/>
    <mergeCell ref="L714:M714"/>
    <mergeCell ref="A715:D715"/>
    <mergeCell ref="F715:G715"/>
    <mergeCell ref="H715:I715"/>
    <mergeCell ref="J715:K715"/>
    <mergeCell ref="L715:M715"/>
    <mergeCell ref="A724:B724"/>
    <mergeCell ref="C724:D724"/>
    <mergeCell ref="E724:G724"/>
    <mergeCell ref="H724:I724"/>
    <mergeCell ref="J724:K724"/>
    <mergeCell ref="L724:M724"/>
    <mergeCell ref="A722:D722"/>
    <mergeCell ref="F722:G722"/>
    <mergeCell ref="H722:I722"/>
    <mergeCell ref="J722:K722"/>
    <mergeCell ref="L722:M722"/>
    <mergeCell ref="A723:M723"/>
    <mergeCell ref="A720:D720"/>
    <mergeCell ref="F720:G720"/>
    <mergeCell ref="H720:I720"/>
    <mergeCell ref="J720:K720"/>
    <mergeCell ref="L720:M720"/>
    <mergeCell ref="A721:D721"/>
    <mergeCell ref="F721:G721"/>
    <mergeCell ref="H721:I721"/>
    <mergeCell ref="J721:K721"/>
    <mergeCell ref="L721:M721"/>
    <mergeCell ref="A727:M727"/>
    <mergeCell ref="A728:M728"/>
    <mergeCell ref="A729:M729"/>
    <mergeCell ref="A730:M730"/>
    <mergeCell ref="A731:M731"/>
    <mergeCell ref="A732:M732"/>
    <mergeCell ref="A726:B726"/>
    <mergeCell ref="C726:D726"/>
    <mergeCell ref="E726:G726"/>
    <mergeCell ref="H726:I726"/>
    <mergeCell ref="J726:K726"/>
    <mergeCell ref="L726:M726"/>
    <mergeCell ref="A725:B725"/>
    <mergeCell ref="C725:D725"/>
    <mergeCell ref="E725:G725"/>
    <mergeCell ref="H725:I725"/>
    <mergeCell ref="J725:K725"/>
    <mergeCell ref="L725:M725"/>
    <mergeCell ref="A745:M745"/>
    <mergeCell ref="A746:M746"/>
    <mergeCell ref="A747:M747"/>
    <mergeCell ref="A748:M748"/>
    <mergeCell ref="A749:M749"/>
    <mergeCell ref="H751:J751"/>
    <mergeCell ref="K751:M751"/>
    <mergeCell ref="A739:M739"/>
    <mergeCell ref="A740:M740"/>
    <mergeCell ref="A741:M741"/>
    <mergeCell ref="A742:M742"/>
    <mergeCell ref="A743:M743"/>
    <mergeCell ref="A744:M744"/>
    <mergeCell ref="A733:M733"/>
    <mergeCell ref="A734:M734"/>
    <mergeCell ref="A735:M735"/>
    <mergeCell ref="A736:M736"/>
    <mergeCell ref="A737:M737"/>
    <mergeCell ref="A738:M738"/>
    <mergeCell ref="A756:M756"/>
    <mergeCell ref="A757:D757"/>
    <mergeCell ref="F757:G757"/>
    <mergeCell ref="H757:I757"/>
    <mergeCell ref="J757:K757"/>
    <mergeCell ref="L757:M757"/>
    <mergeCell ref="A754:C754"/>
    <mergeCell ref="D754:G754"/>
    <mergeCell ref="H754:J754"/>
    <mergeCell ref="K754:M754"/>
    <mergeCell ref="A755:C755"/>
    <mergeCell ref="D755:G755"/>
    <mergeCell ref="H755:J755"/>
    <mergeCell ref="K755:M755"/>
    <mergeCell ref="A752:C752"/>
    <mergeCell ref="D752:G752"/>
    <mergeCell ref="H752:J752"/>
    <mergeCell ref="K752:M752"/>
    <mergeCell ref="D753:E753"/>
    <mergeCell ref="K753:L753"/>
    <mergeCell ref="A762:D762"/>
    <mergeCell ref="F762:G762"/>
    <mergeCell ref="H762:I762"/>
    <mergeCell ref="J762:K762"/>
    <mergeCell ref="L762:M762"/>
    <mergeCell ref="A763:M763"/>
    <mergeCell ref="A760:D760"/>
    <mergeCell ref="F760:G760"/>
    <mergeCell ref="H760:I760"/>
    <mergeCell ref="J760:K760"/>
    <mergeCell ref="L760:M760"/>
    <mergeCell ref="A761:D761"/>
    <mergeCell ref="F761:G761"/>
    <mergeCell ref="H761:I761"/>
    <mergeCell ref="J761:K761"/>
    <mergeCell ref="L761:M761"/>
    <mergeCell ref="A758:D758"/>
    <mergeCell ref="F758:G758"/>
    <mergeCell ref="H758:I758"/>
    <mergeCell ref="J758:K758"/>
    <mergeCell ref="L758:M758"/>
    <mergeCell ref="A759:D759"/>
    <mergeCell ref="F759:G759"/>
    <mergeCell ref="H759:I759"/>
    <mergeCell ref="J759:K759"/>
    <mergeCell ref="L759:M759"/>
    <mergeCell ref="A768:B768"/>
    <mergeCell ref="C768:D768"/>
    <mergeCell ref="E768:G768"/>
    <mergeCell ref="H768:I768"/>
    <mergeCell ref="J768:K768"/>
    <mergeCell ref="L768:M768"/>
    <mergeCell ref="A766:D766"/>
    <mergeCell ref="F766:G766"/>
    <mergeCell ref="H766:I766"/>
    <mergeCell ref="J766:K766"/>
    <mergeCell ref="L766:M766"/>
    <mergeCell ref="A767:M767"/>
    <mergeCell ref="A764:D764"/>
    <mergeCell ref="F764:G764"/>
    <mergeCell ref="H764:I764"/>
    <mergeCell ref="J764:K764"/>
    <mergeCell ref="L764:M764"/>
    <mergeCell ref="A765:D765"/>
    <mergeCell ref="F765:G765"/>
    <mergeCell ref="H765:I765"/>
    <mergeCell ref="J765:K765"/>
    <mergeCell ref="L765:M765"/>
    <mergeCell ref="A771:M771"/>
    <mergeCell ref="A772:M772"/>
    <mergeCell ref="A773:M773"/>
    <mergeCell ref="A774:M774"/>
    <mergeCell ref="A775:M775"/>
    <mergeCell ref="A776:M776"/>
    <mergeCell ref="A770:B770"/>
    <mergeCell ref="C770:D770"/>
    <mergeCell ref="E770:G770"/>
    <mergeCell ref="H770:I770"/>
    <mergeCell ref="J770:K770"/>
    <mergeCell ref="L770:M770"/>
    <mergeCell ref="A769:B769"/>
    <mergeCell ref="C769:D769"/>
    <mergeCell ref="E769:G769"/>
    <mergeCell ref="H769:I769"/>
    <mergeCell ref="J769:K769"/>
    <mergeCell ref="L769:M769"/>
    <mergeCell ref="A789:M789"/>
    <mergeCell ref="A790:M790"/>
    <mergeCell ref="A791:M791"/>
    <mergeCell ref="A792:M792"/>
    <mergeCell ref="A793:M793"/>
    <mergeCell ref="H795:J795"/>
    <mergeCell ref="K795:M795"/>
    <mergeCell ref="A783:M783"/>
    <mergeCell ref="A784:M784"/>
    <mergeCell ref="A785:M785"/>
    <mergeCell ref="A786:M786"/>
    <mergeCell ref="A787:M787"/>
    <mergeCell ref="A788:M788"/>
    <mergeCell ref="A777:M777"/>
    <mergeCell ref="A778:M778"/>
    <mergeCell ref="A779:M779"/>
    <mergeCell ref="A780:M780"/>
    <mergeCell ref="A781:M781"/>
    <mergeCell ref="A782:M782"/>
    <mergeCell ref="A800:M800"/>
    <mergeCell ref="A801:D801"/>
    <mergeCell ref="F801:G801"/>
    <mergeCell ref="H801:I801"/>
    <mergeCell ref="J801:K801"/>
    <mergeCell ref="L801:M801"/>
    <mergeCell ref="A798:C798"/>
    <mergeCell ref="D798:G798"/>
    <mergeCell ref="H798:J798"/>
    <mergeCell ref="K798:M798"/>
    <mergeCell ref="A799:C799"/>
    <mergeCell ref="D799:G799"/>
    <mergeCell ref="H799:J799"/>
    <mergeCell ref="K799:M799"/>
    <mergeCell ref="A796:C796"/>
    <mergeCell ref="D796:G796"/>
    <mergeCell ref="H796:J796"/>
    <mergeCell ref="K796:M796"/>
    <mergeCell ref="D797:E797"/>
    <mergeCell ref="K797:L797"/>
    <mergeCell ref="A806:D806"/>
    <mergeCell ref="F806:G806"/>
    <mergeCell ref="H806:I806"/>
    <mergeCell ref="J806:K806"/>
    <mergeCell ref="L806:M806"/>
    <mergeCell ref="A807:M807"/>
    <mergeCell ref="A804:D804"/>
    <mergeCell ref="F804:G804"/>
    <mergeCell ref="H804:I804"/>
    <mergeCell ref="J804:K804"/>
    <mergeCell ref="L804:M804"/>
    <mergeCell ref="A805:D805"/>
    <mergeCell ref="F805:G805"/>
    <mergeCell ref="H805:I805"/>
    <mergeCell ref="J805:K805"/>
    <mergeCell ref="L805:M805"/>
    <mergeCell ref="A802:D802"/>
    <mergeCell ref="F802:G802"/>
    <mergeCell ref="H802:I802"/>
    <mergeCell ref="J802:K802"/>
    <mergeCell ref="L802:M802"/>
    <mergeCell ref="A803:D803"/>
    <mergeCell ref="F803:G803"/>
    <mergeCell ref="H803:I803"/>
    <mergeCell ref="J803:K803"/>
    <mergeCell ref="L803:M803"/>
    <mergeCell ref="A812:B812"/>
    <mergeCell ref="C812:D812"/>
    <mergeCell ref="E812:G812"/>
    <mergeCell ref="H812:I812"/>
    <mergeCell ref="J812:K812"/>
    <mergeCell ref="L812:M812"/>
    <mergeCell ref="A810:D810"/>
    <mergeCell ref="F810:G810"/>
    <mergeCell ref="H810:I810"/>
    <mergeCell ref="J810:K810"/>
    <mergeCell ref="L810:M810"/>
    <mergeCell ref="A811:M811"/>
    <mergeCell ref="A808:D808"/>
    <mergeCell ref="F808:G808"/>
    <mergeCell ref="H808:I808"/>
    <mergeCell ref="J808:K808"/>
    <mergeCell ref="L808:M808"/>
    <mergeCell ref="A809:D809"/>
    <mergeCell ref="F809:G809"/>
    <mergeCell ref="H809:I809"/>
    <mergeCell ref="J809:K809"/>
    <mergeCell ref="L809:M809"/>
    <mergeCell ref="A815:M815"/>
    <mergeCell ref="A816:M816"/>
    <mergeCell ref="A817:M817"/>
    <mergeCell ref="A818:M818"/>
    <mergeCell ref="A819:M819"/>
    <mergeCell ref="A820:M820"/>
    <mergeCell ref="A814:B814"/>
    <mergeCell ref="C814:D814"/>
    <mergeCell ref="E814:G814"/>
    <mergeCell ref="H814:I814"/>
    <mergeCell ref="J814:K814"/>
    <mergeCell ref="L814:M814"/>
    <mergeCell ref="A813:B813"/>
    <mergeCell ref="C813:D813"/>
    <mergeCell ref="E813:G813"/>
    <mergeCell ref="H813:I813"/>
    <mergeCell ref="J813:K813"/>
    <mergeCell ref="L813:M813"/>
    <mergeCell ref="A833:M833"/>
    <mergeCell ref="A834:M834"/>
    <mergeCell ref="A835:M835"/>
    <mergeCell ref="A836:M836"/>
    <mergeCell ref="A837:M837"/>
    <mergeCell ref="H839:J839"/>
    <mergeCell ref="K839:M839"/>
    <mergeCell ref="A827:M827"/>
    <mergeCell ref="A828:M828"/>
    <mergeCell ref="A829:M829"/>
    <mergeCell ref="A830:M830"/>
    <mergeCell ref="A831:M831"/>
    <mergeCell ref="A832:M832"/>
    <mergeCell ref="A821:M821"/>
    <mergeCell ref="A822:M822"/>
    <mergeCell ref="A823:M823"/>
    <mergeCell ref="A824:M824"/>
    <mergeCell ref="A825:M825"/>
    <mergeCell ref="A826:M826"/>
    <mergeCell ref="A844:M844"/>
    <mergeCell ref="A845:D845"/>
    <mergeCell ref="F845:G845"/>
    <mergeCell ref="H845:I845"/>
    <mergeCell ref="J845:K845"/>
    <mergeCell ref="L845:M845"/>
    <mergeCell ref="A842:C842"/>
    <mergeCell ref="D842:G842"/>
    <mergeCell ref="H842:J842"/>
    <mergeCell ref="K842:M842"/>
    <mergeCell ref="A843:C843"/>
    <mergeCell ref="D843:G843"/>
    <mergeCell ref="H843:J843"/>
    <mergeCell ref="K843:M843"/>
    <mergeCell ref="A840:C840"/>
    <mergeCell ref="D840:G840"/>
    <mergeCell ref="H840:J840"/>
    <mergeCell ref="K840:M840"/>
    <mergeCell ref="D841:E841"/>
    <mergeCell ref="K841:L841"/>
    <mergeCell ref="A850:D850"/>
    <mergeCell ref="F850:G850"/>
    <mergeCell ref="H850:I850"/>
    <mergeCell ref="J850:K850"/>
    <mergeCell ref="L850:M850"/>
    <mergeCell ref="A851:M851"/>
    <mergeCell ref="A848:D848"/>
    <mergeCell ref="F848:G848"/>
    <mergeCell ref="H848:I848"/>
    <mergeCell ref="J848:K848"/>
    <mergeCell ref="L848:M848"/>
    <mergeCell ref="A849:D849"/>
    <mergeCell ref="F849:G849"/>
    <mergeCell ref="H849:I849"/>
    <mergeCell ref="J849:K849"/>
    <mergeCell ref="L849:M849"/>
    <mergeCell ref="A846:D846"/>
    <mergeCell ref="F846:G846"/>
    <mergeCell ref="H846:I846"/>
    <mergeCell ref="J846:K846"/>
    <mergeCell ref="L846:M846"/>
    <mergeCell ref="A847:D847"/>
    <mergeCell ref="F847:G847"/>
    <mergeCell ref="H847:I847"/>
    <mergeCell ref="J847:K847"/>
    <mergeCell ref="L847:M847"/>
    <mergeCell ref="A856:B856"/>
    <mergeCell ref="C856:D856"/>
    <mergeCell ref="E856:G856"/>
    <mergeCell ref="H856:I856"/>
    <mergeCell ref="J856:K856"/>
    <mergeCell ref="L856:M856"/>
    <mergeCell ref="A854:D854"/>
    <mergeCell ref="F854:G854"/>
    <mergeCell ref="H854:I854"/>
    <mergeCell ref="J854:K854"/>
    <mergeCell ref="L854:M854"/>
    <mergeCell ref="A855:M855"/>
    <mergeCell ref="A852:D852"/>
    <mergeCell ref="F852:G852"/>
    <mergeCell ref="H852:I852"/>
    <mergeCell ref="J852:K852"/>
    <mergeCell ref="L852:M852"/>
    <mergeCell ref="A853:D853"/>
    <mergeCell ref="F853:G853"/>
    <mergeCell ref="H853:I853"/>
    <mergeCell ref="J853:K853"/>
    <mergeCell ref="L853:M853"/>
    <mergeCell ref="A859:M859"/>
    <mergeCell ref="A860:M860"/>
    <mergeCell ref="A861:M861"/>
    <mergeCell ref="A862:M862"/>
    <mergeCell ref="A863:M863"/>
    <mergeCell ref="A864:M864"/>
    <mergeCell ref="A858:B858"/>
    <mergeCell ref="C858:D858"/>
    <mergeCell ref="E858:G858"/>
    <mergeCell ref="H858:I858"/>
    <mergeCell ref="J858:K858"/>
    <mergeCell ref="L858:M858"/>
    <mergeCell ref="A857:B857"/>
    <mergeCell ref="C857:D857"/>
    <mergeCell ref="E857:G857"/>
    <mergeCell ref="H857:I857"/>
    <mergeCell ref="J857:K857"/>
    <mergeCell ref="L857:M857"/>
    <mergeCell ref="A877:M877"/>
    <mergeCell ref="A878:M878"/>
    <mergeCell ref="A879:M879"/>
    <mergeCell ref="A880:M880"/>
    <mergeCell ref="A881:M881"/>
    <mergeCell ref="H883:J883"/>
    <mergeCell ref="K883:M883"/>
    <mergeCell ref="A871:M871"/>
    <mergeCell ref="A872:M872"/>
    <mergeCell ref="A873:M873"/>
    <mergeCell ref="A874:M874"/>
    <mergeCell ref="A875:M875"/>
    <mergeCell ref="A876:M876"/>
    <mergeCell ref="A865:M865"/>
    <mergeCell ref="A866:M866"/>
    <mergeCell ref="A867:M867"/>
    <mergeCell ref="A868:M868"/>
    <mergeCell ref="A869:M869"/>
    <mergeCell ref="A870:M870"/>
    <mergeCell ref="A888:M888"/>
    <mergeCell ref="A889:D889"/>
    <mergeCell ref="F889:G889"/>
    <mergeCell ref="H889:I889"/>
    <mergeCell ref="J889:K889"/>
    <mergeCell ref="L889:M889"/>
    <mergeCell ref="A886:C886"/>
    <mergeCell ref="D886:G886"/>
    <mergeCell ref="H886:J886"/>
    <mergeCell ref="K886:M886"/>
    <mergeCell ref="A887:C887"/>
    <mergeCell ref="D887:G887"/>
    <mergeCell ref="H887:J887"/>
    <mergeCell ref="K887:M887"/>
    <mergeCell ref="A884:C884"/>
    <mergeCell ref="D884:G884"/>
    <mergeCell ref="H884:J884"/>
    <mergeCell ref="K884:M884"/>
    <mergeCell ref="D885:E885"/>
    <mergeCell ref="K885:L885"/>
    <mergeCell ref="A894:D894"/>
    <mergeCell ref="F894:G894"/>
    <mergeCell ref="H894:I894"/>
    <mergeCell ref="J894:K894"/>
    <mergeCell ref="L894:M894"/>
    <mergeCell ref="A895:M895"/>
    <mergeCell ref="A892:D892"/>
    <mergeCell ref="F892:G892"/>
    <mergeCell ref="H892:I892"/>
    <mergeCell ref="J892:K892"/>
    <mergeCell ref="L892:M892"/>
    <mergeCell ref="A893:D893"/>
    <mergeCell ref="F893:G893"/>
    <mergeCell ref="H893:I893"/>
    <mergeCell ref="J893:K893"/>
    <mergeCell ref="L893:M893"/>
    <mergeCell ref="A890:D890"/>
    <mergeCell ref="F890:G890"/>
    <mergeCell ref="H890:I890"/>
    <mergeCell ref="J890:K890"/>
    <mergeCell ref="L890:M890"/>
    <mergeCell ref="A891:D891"/>
    <mergeCell ref="F891:G891"/>
    <mergeCell ref="H891:I891"/>
    <mergeCell ref="J891:K891"/>
    <mergeCell ref="L891:M891"/>
    <mergeCell ref="A900:B900"/>
    <mergeCell ref="C900:D900"/>
    <mergeCell ref="E900:G900"/>
    <mergeCell ref="H900:I900"/>
    <mergeCell ref="J900:K900"/>
    <mergeCell ref="L900:M900"/>
    <mergeCell ref="A898:D898"/>
    <mergeCell ref="F898:G898"/>
    <mergeCell ref="H898:I898"/>
    <mergeCell ref="J898:K898"/>
    <mergeCell ref="L898:M898"/>
    <mergeCell ref="A899:M899"/>
    <mergeCell ref="A896:D896"/>
    <mergeCell ref="F896:G896"/>
    <mergeCell ref="H896:I896"/>
    <mergeCell ref="J896:K896"/>
    <mergeCell ref="L896:M896"/>
    <mergeCell ref="A897:D897"/>
    <mergeCell ref="F897:G897"/>
    <mergeCell ref="H897:I897"/>
    <mergeCell ref="J897:K897"/>
    <mergeCell ref="L897:M897"/>
    <mergeCell ref="A903:M903"/>
    <mergeCell ref="A904:M904"/>
    <mergeCell ref="A905:M905"/>
    <mergeCell ref="A906:M906"/>
    <mergeCell ref="A907:M907"/>
    <mergeCell ref="A908:M908"/>
    <mergeCell ref="A902:B902"/>
    <mergeCell ref="C902:D902"/>
    <mergeCell ref="E902:G902"/>
    <mergeCell ref="H902:I902"/>
    <mergeCell ref="J902:K902"/>
    <mergeCell ref="L902:M902"/>
    <mergeCell ref="A901:B901"/>
    <mergeCell ref="C901:D901"/>
    <mergeCell ref="E901:G901"/>
    <mergeCell ref="H901:I901"/>
    <mergeCell ref="J901:K901"/>
    <mergeCell ref="L901:M901"/>
    <mergeCell ref="A921:M921"/>
    <mergeCell ref="A922:M922"/>
    <mergeCell ref="A923:M923"/>
    <mergeCell ref="A924:M924"/>
    <mergeCell ref="A925:M925"/>
    <mergeCell ref="H927:J927"/>
    <mergeCell ref="K927:M927"/>
    <mergeCell ref="A915:M915"/>
    <mergeCell ref="A916:M916"/>
    <mergeCell ref="A917:M917"/>
    <mergeCell ref="A918:M918"/>
    <mergeCell ref="A919:M919"/>
    <mergeCell ref="A920:M920"/>
    <mergeCell ref="A909:M909"/>
    <mergeCell ref="A910:M910"/>
    <mergeCell ref="A911:M911"/>
    <mergeCell ref="A912:M912"/>
    <mergeCell ref="A913:M913"/>
    <mergeCell ref="A914:M914"/>
    <mergeCell ref="A932:M932"/>
    <mergeCell ref="A933:D933"/>
    <mergeCell ref="F933:G933"/>
    <mergeCell ref="H933:I933"/>
    <mergeCell ref="J933:K933"/>
    <mergeCell ref="L933:M933"/>
    <mergeCell ref="A930:C930"/>
    <mergeCell ref="D930:G930"/>
    <mergeCell ref="H930:J930"/>
    <mergeCell ref="K930:M930"/>
    <mergeCell ref="A931:C931"/>
    <mergeCell ref="D931:G931"/>
    <mergeCell ref="H931:J931"/>
    <mergeCell ref="K931:M931"/>
    <mergeCell ref="A928:C928"/>
    <mergeCell ref="D928:G928"/>
    <mergeCell ref="H928:J928"/>
    <mergeCell ref="K928:M928"/>
    <mergeCell ref="D929:E929"/>
    <mergeCell ref="K929:L929"/>
    <mergeCell ref="A938:D938"/>
    <mergeCell ref="F938:G938"/>
    <mergeCell ref="H938:I938"/>
    <mergeCell ref="J938:K938"/>
    <mergeCell ref="L938:M938"/>
    <mergeCell ref="A939:M939"/>
    <mergeCell ref="A936:D936"/>
    <mergeCell ref="F936:G936"/>
    <mergeCell ref="H936:I936"/>
    <mergeCell ref="J936:K936"/>
    <mergeCell ref="L936:M936"/>
    <mergeCell ref="A937:D937"/>
    <mergeCell ref="F937:G937"/>
    <mergeCell ref="H937:I937"/>
    <mergeCell ref="J937:K937"/>
    <mergeCell ref="L937:M937"/>
    <mergeCell ref="A934:D934"/>
    <mergeCell ref="F934:G934"/>
    <mergeCell ref="H934:I934"/>
    <mergeCell ref="J934:K934"/>
    <mergeCell ref="L934:M934"/>
    <mergeCell ref="A935:D935"/>
    <mergeCell ref="F935:G935"/>
    <mergeCell ref="H935:I935"/>
    <mergeCell ref="J935:K935"/>
    <mergeCell ref="L935:M935"/>
    <mergeCell ref="A944:B944"/>
    <mergeCell ref="C944:D944"/>
    <mergeCell ref="E944:G944"/>
    <mergeCell ref="H944:I944"/>
    <mergeCell ref="J944:K944"/>
    <mergeCell ref="L944:M944"/>
    <mergeCell ref="A942:D942"/>
    <mergeCell ref="F942:G942"/>
    <mergeCell ref="H942:I942"/>
    <mergeCell ref="J942:K942"/>
    <mergeCell ref="L942:M942"/>
    <mergeCell ref="A943:M943"/>
    <mergeCell ref="A940:D940"/>
    <mergeCell ref="F940:G940"/>
    <mergeCell ref="H940:I940"/>
    <mergeCell ref="J940:K940"/>
    <mergeCell ref="L940:M940"/>
    <mergeCell ref="A941:D941"/>
    <mergeCell ref="F941:G941"/>
    <mergeCell ref="H941:I941"/>
    <mergeCell ref="J941:K941"/>
    <mergeCell ref="L941:M941"/>
    <mergeCell ref="A947:M947"/>
    <mergeCell ref="A948:M948"/>
    <mergeCell ref="A949:M949"/>
    <mergeCell ref="A950:M950"/>
    <mergeCell ref="A951:M951"/>
    <mergeCell ref="A952:M952"/>
    <mergeCell ref="A946:B946"/>
    <mergeCell ref="C946:D946"/>
    <mergeCell ref="E946:G946"/>
    <mergeCell ref="H946:I946"/>
    <mergeCell ref="J946:K946"/>
    <mergeCell ref="L946:M946"/>
    <mergeCell ref="A945:B945"/>
    <mergeCell ref="C945:D945"/>
    <mergeCell ref="E945:G945"/>
    <mergeCell ref="H945:I945"/>
    <mergeCell ref="J945:K945"/>
    <mergeCell ref="L945:M945"/>
    <mergeCell ref="A965:M965"/>
    <mergeCell ref="A966:M966"/>
    <mergeCell ref="A967:M967"/>
    <mergeCell ref="A968:M968"/>
    <mergeCell ref="A969:M969"/>
    <mergeCell ref="H971:J971"/>
    <mergeCell ref="K971:M971"/>
    <mergeCell ref="A959:M959"/>
    <mergeCell ref="A960:M960"/>
    <mergeCell ref="A961:M961"/>
    <mergeCell ref="A962:M962"/>
    <mergeCell ref="A963:M963"/>
    <mergeCell ref="A964:M964"/>
    <mergeCell ref="A953:M953"/>
    <mergeCell ref="A954:M954"/>
    <mergeCell ref="A955:M955"/>
    <mergeCell ref="A956:M956"/>
    <mergeCell ref="A957:M957"/>
    <mergeCell ref="A958:M958"/>
    <mergeCell ref="A976:M976"/>
    <mergeCell ref="A977:D977"/>
    <mergeCell ref="F977:G977"/>
    <mergeCell ref="H977:I977"/>
    <mergeCell ref="J977:K977"/>
    <mergeCell ref="L977:M977"/>
    <mergeCell ref="A974:C974"/>
    <mergeCell ref="D974:G974"/>
    <mergeCell ref="H974:J974"/>
    <mergeCell ref="K974:M974"/>
    <mergeCell ref="A975:C975"/>
    <mergeCell ref="D975:G975"/>
    <mergeCell ref="H975:J975"/>
    <mergeCell ref="K975:M975"/>
    <mergeCell ref="A972:C972"/>
    <mergeCell ref="D972:G972"/>
    <mergeCell ref="H972:J972"/>
    <mergeCell ref="K972:M972"/>
    <mergeCell ref="D973:E973"/>
    <mergeCell ref="K973:L973"/>
    <mergeCell ref="A982:D982"/>
    <mergeCell ref="F982:G982"/>
    <mergeCell ref="H982:I982"/>
    <mergeCell ref="J982:K982"/>
    <mergeCell ref="L982:M982"/>
    <mergeCell ref="A983:M983"/>
    <mergeCell ref="A980:D980"/>
    <mergeCell ref="F980:G980"/>
    <mergeCell ref="H980:I980"/>
    <mergeCell ref="J980:K980"/>
    <mergeCell ref="L980:M980"/>
    <mergeCell ref="A981:D981"/>
    <mergeCell ref="F981:G981"/>
    <mergeCell ref="H981:I981"/>
    <mergeCell ref="J981:K981"/>
    <mergeCell ref="L981:M981"/>
    <mergeCell ref="A978:D978"/>
    <mergeCell ref="F978:G978"/>
    <mergeCell ref="H978:I978"/>
    <mergeCell ref="J978:K978"/>
    <mergeCell ref="L978:M978"/>
    <mergeCell ref="A979:D979"/>
    <mergeCell ref="F979:G979"/>
    <mergeCell ref="H979:I979"/>
    <mergeCell ref="J979:K979"/>
    <mergeCell ref="L979:M979"/>
    <mergeCell ref="A988:B988"/>
    <mergeCell ref="C988:D988"/>
    <mergeCell ref="E988:G988"/>
    <mergeCell ref="H988:I988"/>
    <mergeCell ref="J988:K988"/>
    <mergeCell ref="L988:M988"/>
    <mergeCell ref="A986:D986"/>
    <mergeCell ref="F986:G986"/>
    <mergeCell ref="H986:I986"/>
    <mergeCell ref="J986:K986"/>
    <mergeCell ref="L986:M986"/>
    <mergeCell ref="A987:M987"/>
    <mergeCell ref="A984:D984"/>
    <mergeCell ref="F984:G984"/>
    <mergeCell ref="H984:I984"/>
    <mergeCell ref="J984:K984"/>
    <mergeCell ref="L984:M984"/>
    <mergeCell ref="A985:D985"/>
    <mergeCell ref="F985:G985"/>
    <mergeCell ref="H985:I985"/>
    <mergeCell ref="J985:K985"/>
    <mergeCell ref="L985:M985"/>
    <mergeCell ref="A991:M991"/>
    <mergeCell ref="A992:M992"/>
    <mergeCell ref="A993:M993"/>
    <mergeCell ref="A994:M994"/>
    <mergeCell ref="A995:M995"/>
    <mergeCell ref="A996:M996"/>
    <mergeCell ref="A990:B990"/>
    <mergeCell ref="C990:D990"/>
    <mergeCell ref="E990:G990"/>
    <mergeCell ref="H990:I990"/>
    <mergeCell ref="J990:K990"/>
    <mergeCell ref="L990:M990"/>
    <mergeCell ref="A989:B989"/>
    <mergeCell ref="C989:D989"/>
    <mergeCell ref="E989:G989"/>
    <mergeCell ref="H989:I989"/>
    <mergeCell ref="J989:K989"/>
    <mergeCell ref="L989:M989"/>
    <mergeCell ref="A1009:M1009"/>
    <mergeCell ref="A1010:M1010"/>
    <mergeCell ref="A1011:M1011"/>
    <mergeCell ref="A1012:M1012"/>
    <mergeCell ref="A1013:M1013"/>
    <mergeCell ref="H1015:J1015"/>
    <mergeCell ref="K1015:M1015"/>
    <mergeCell ref="A1003:M1003"/>
    <mergeCell ref="A1004:M1004"/>
    <mergeCell ref="A1005:M1005"/>
    <mergeCell ref="A1006:M1006"/>
    <mergeCell ref="A1007:M1007"/>
    <mergeCell ref="A1008:M1008"/>
    <mergeCell ref="A997:M997"/>
    <mergeCell ref="A998:M998"/>
    <mergeCell ref="A999:M999"/>
    <mergeCell ref="A1000:M1000"/>
    <mergeCell ref="A1001:M1001"/>
    <mergeCell ref="A1002:M1002"/>
    <mergeCell ref="A1020:M1020"/>
    <mergeCell ref="A1021:D1021"/>
    <mergeCell ref="F1021:G1021"/>
    <mergeCell ref="H1021:I1021"/>
    <mergeCell ref="J1021:K1021"/>
    <mergeCell ref="L1021:M1021"/>
    <mergeCell ref="A1018:C1018"/>
    <mergeCell ref="D1018:G1018"/>
    <mergeCell ref="H1018:J1018"/>
    <mergeCell ref="K1018:M1018"/>
    <mergeCell ref="A1019:C1019"/>
    <mergeCell ref="D1019:G1019"/>
    <mergeCell ref="H1019:J1019"/>
    <mergeCell ref="K1019:M1019"/>
    <mergeCell ref="A1016:C1016"/>
    <mergeCell ref="D1016:G1016"/>
    <mergeCell ref="H1016:J1016"/>
    <mergeCell ref="K1016:M1016"/>
    <mergeCell ref="D1017:E1017"/>
    <mergeCell ref="K1017:L1017"/>
    <mergeCell ref="A1026:D1026"/>
    <mergeCell ref="F1026:G1026"/>
    <mergeCell ref="H1026:I1026"/>
    <mergeCell ref="J1026:K1026"/>
    <mergeCell ref="L1026:M1026"/>
    <mergeCell ref="A1027:M1027"/>
    <mergeCell ref="A1024:D1024"/>
    <mergeCell ref="F1024:G1024"/>
    <mergeCell ref="H1024:I1024"/>
    <mergeCell ref="J1024:K1024"/>
    <mergeCell ref="L1024:M1024"/>
    <mergeCell ref="A1025:D1025"/>
    <mergeCell ref="F1025:G1025"/>
    <mergeCell ref="H1025:I1025"/>
    <mergeCell ref="J1025:K1025"/>
    <mergeCell ref="L1025:M1025"/>
    <mergeCell ref="A1022:D1022"/>
    <mergeCell ref="F1022:G1022"/>
    <mergeCell ref="H1022:I1022"/>
    <mergeCell ref="J1022:K1022"/>
    <mergeCell ref="L1022:M1022"/>
    <mergeCell ref="A1023:D1023"/>
    <mergeCell ref="F1023:G1023"/>
    <mergeCell ref="H1023:I1023"/>
    <mergeCell ref="J1023:K1023"/>
    <mergeCell ref="L1023:M1023"/>
    <mergeCell ref="A1032:B1032"/>
    <mergeCell ref="C1032:D1032"/>
    <mergeCell ref="E1032:G1032"/>
    <mergeCell ref="H1032:I1032"/>
    <mergeCell ref="J1032:K1032"/>
    <mergeCell ref="L1032:M1032"/>
    <mergeCell ref="A1030:D1030"/>
    <mergeCell ref="F1030:G1030"/>
    <mergeCell ref="H1030:I1030"/>
    <mergeCell ref="J1030:K1030"/>
    <mergeCell ref="L1030:M1030"/>
    <mergeCell ref="A1031:M1031"/>
    <mergeCell ref="A1028:D1028"/>
    <mergeCell ref="F1028:G1028"/>
    <mergeCell ref="H1028:I1028"/>
    <mergeCell ref="J1028:K1028"/>
    <mergeCell ref="L1028:M1028"/>
    <mergeCell ref="A1029:D1029"/>
    <mergeCell ref="F1029:G1029"/>
    <mergeCell ref="H1029:I1029"/>
    <mergeCell ref="J1029:K1029"/>
    <mergeCell ref="L1029:M1029"/>
    <mergeCell ref="A1035:M1035"/>
    <mergeCell ref="A1036:M1036"/>
    <mergeCell ref="A1037:M1037"/>
    <mergeCell ref="A1038:M1038"/>
    <mergeCell ref="A1039:M1039"/>
    <mergeCell ref="A1040:M1040"/>
    <mergeCell ref="A1034:B1034"/>
    <mergeCell ref="C1034:D1034"/>
    <mergeCell ref="E1034:G1034"/>
    <mergeCell ref="H1034:I1034"/>
    <mergeCell ref="J1034:K1034"/>
    <mergeCell ref="L1034:M1034"/>
    <mergeCell ref="A1033:B1033"/>
    <mergeCell ref="C1033:D1033"/>
    <mergeCell ref="E1033:G1033"/>
    <mergeCell ref="H1033:I1033"/>
    <mergeCell ref="J1033:K1033"/>
    <mergeCell ref="L1033:M1033"/>
    <mergeCell ref="A1053:M1053"/>
    <mergeCell ref="A1054:M1054"/>
    <mergeCell ref="A1055:M1055"/>
    <mergeCell ref="A1056:M1056"/>
    <mergeCell ref="A1057:M1057"/>
    <mergeCell ref="H1059:J1059"/>
    <mergeCell ref="K1059:M1059"/>
    <mergeCell ref="A1047:M1047"/>
    <mergeCell ref="A1048:M1048"/>
    <mergeCell ref="A1049:M1049"/>
    <mergeCell ref="A1050:M1050"/>
    <mergeCell ref="A1051:M1051"/>
    <mergeCell ref="A1052:M1052"/>
    <mergeCell ref="A1041:M1041"/>
    <mergeCell ref="A1042:M1042"/>
    <mergeCell ref="A1043:M1043"/>
    <mergeCell ref="A1044:M1044"/>
    <mergeCell ref="A1045:M1045"/>
    <mergeCell ref="A1046:M1046"/>
    <mergeCell ref="A1064:M1064"/>
    <mergeCell ref="A1065:D1065"/>
    <mergeCell ref="F1065:G1065"/>
    <mergeCell ref="H1065:I1065"/>
    <mergeCell ref="J1065:K1065"/>
    <mergeCell ref="L1065:M1065"/>
    <mergeCell ref="A1062:C1062"/>
    <mergeCell ref="D1062:G1062"/>
    <mergeCell ref="H1062:J1062"/>
    <mergeCell ref="K1062:M1062"/>
    <mergeCell ref="A1063:C1063"/>
    <mergeCell ref="D1063:G1063"/>
    <mergeCell ref="H1063:J1063"/>
    <mergeCell ref="K1063:M1063"/>
    <mergeCell ref="A1060:C1060"/>
    <mergeCell ref="D1060:G1060"/>
    <mergeCell ref="H1060:J1060"/>
    <mergeCell ref="K1060:M1060"/>
    <mergeCell ref="D1061:E1061"/>
    <mergeCell ref="K1061:L1061"/>
    <mergeCell ref="A1070:D1070"/>
    <mergeCell ref="F1070:G1070"/>
    <mergeCell ref="H1070:I1070"/>
    <mergeCell ref="J1070:K1070"/>
    <mergeCell ref="L1070:M1070"/>
    <mergeCell ref="A1071:M1071"/>
    <mergeCell ref="A1068:D1068"/>
    <mergeCell ref="F1068:G1068"/>
    <mergeCell ref="H1068:I1068"/>
    <mergeCell ref="J1068:K1068"/>
    <mergeCell ref="L1068:M1068"/>
    <mergeCell ref="A1069:D1069"/>
    <mergeCell ref="F1069:G1069"/>
    <mergeCell ref="H1069:I1069"/>
    <mergeCell ref="J1069:K1069"/>
    <mergeCell ref="L1069:M1069"/>
    <mergeCell ref="A1066:D1066"/>
    <mergeCell ref="F1066:G1066"/>
    <mergeCell ref="H1066:I1066"/>
    <mergeCell ref="J1066:K1066"/>
    <mergeCell ref="L1066:M1066"/>
    <mergeCell ref="A1067:D1067"/>
    <mergeCell ref="F1067:G1067"/>
    <mergeCell ref="H1067:I1067"/>
    <mergeCell ref="J1067:K1067"/>
    <mergeCell ref="L1067:M1067"/>
    <mergeCell ref="A1076:B1076"/>
    <mergeCell ref="C1076:D1076"/>
    <mergeCell ref="E1076:G1076"/>
    <mergeCell ref="H1076:I1076"/>
    <mergeCell ref="J1076:K1076"/>
    <mergeCell ref="L1076:M1076"/>
    <mergeCell ref="A1074:D1074"/>
    <mergeCell ref="F1074:G1074"/>
    <mergeCell ref="H1074:I1074"/>
    <mergeCell ref="J1074:K1074"/>
    <mergeCell ref="L1074:M1074"/>
    <mergeCell ref="A1075:M1075"/>
    <mergeCell ref="A1072:D1072"/>
    <mergeCell ref="F1072:G1072"/>
    <mergeCell ref="H1072:I1072"/>
    <mergeCell ref="J1072:K1072"/>
    <mergeCell ref="L1072:M1072"/>
    <mergeCell ref="A1073:D1073"/>
    <mergeCell ref="F1073:G1073"/>
    <mergeCell ref="H1073:I1073"/>
    <mergeCell ref="J1073:K1073"/>
    <mergeCell ref="L1073:M1073"/>
    <mergeCell ref="A1079:M1079"/>
    <mergeCell ref="A1080:M1080"/>
    <mergeCell ref="A1081:M1081"/>
    <mergeCell ref="A1082:M1082"/>
    <mergeCell ref="A1083:M1083"/>
    <mergeCell ref="A1084:M1084"/>
    <mergeCell ref="A1078:B1078"/>
    <mergeCell ref="C1078:D1078"/>
    <mergeCell ref="E1078:G1078"/>
    <mergeCell ref="H1078:I1078"/>
    <mergeCell ref="J1078:K1078"/>
    <mergeCell ref="L1078:M1078"/>
    <mergeCell ref="A1077:B1077"/>
    <mergeCell ref="C1077:D1077"/>
    <mergeCell ref="E1077:G1077"/>
    <mergeCell ref="H1077:I1077"/>
    <mergeCell ref="J1077:K1077"/>
    <mergeCell ref="L1077:M1077"/>
    <mergeCell ref="A1097:M1097"/>
    <mergeCell ref="A1098:M1098"/>
    <mergeCell ref="A1099:M1099"/>
    <mergeCell ref="A1100:M1100"/>
    <mergeCell ref="A1101:M1101"/>
    <mergeCell ref="H1103:J1103"/>
    <mergeCell ref="K1103:M1103"/>
    <mergeCell ref="A1091:M1091"/>
    <mergeCell ref="A1092:M1092"/>
    <mergeCell ref="A1093:M1093"/>
    <mergeCell ref="A1094:M1094"/>
    <mergeCell ref="A1095:M1095"/>
    <mergeCell ref="A1096:M1096"/>
    <mergeCell ref="A1085:M1085"/>
    <mergeCell ref="A1086:M1086"/>
    <mergeCell ref="A1087:M1087"/>
    <mergeCell ref="A1088:M1088"/>
    <mergeCell ref="A1089:M1089"/>
    <mergeCell ref="A1090:M1090"/>
    <mergeCell ref="A1108:M1108"/>
    <mergeCell ref="A1109:D1109"/>
    <mergeCell ref="F1109:G1109"/>
    <mergeCell ref="H1109:I1109"/>
    <mergeCell ref="J1109:K1109"/>
    <mergeCell ref="L1109:M1109"/>
    <mergeCell ref="A1106:C1106"/>
    <mergeCell ref="D1106:G1106"/>
    <mergeCell ref="H1106:J1106"/>
    <mergeCell ref="K1106:M1106"/>
    <mergeCell ref="A1107:C1107"/>
    <mergeCell ref="D1107:G1107"/>
    <mergeCell ref="H1107:J1107"/>
    <mergeCell ref="K1107:M1107"/>
    <mergeCell ref="A1104:C1104"/>
    <mergeCell ref="D1104:G1104"/>
    <mergeCell ref="H1104:J1104"/>
    <mergeCell ref="K1104:M1104"/>
    <mergeCell ref="D1105:E1105"/>
    <mergeCell ref="K1105:L1105"/>
    <mergeCell ref="A1114:D1114"/>
    <mergeCell ref="F1114:G1114"/>
    <mergeCell ref="H1114:I1114"/>
    <mergeCell ref="J1114:K1114"/>
    <mergeCell ref="L1114:M1114"/>
    <mergeCell ref="A1115:M1115"/>
    <mergeCell ref="A1112:D1112"/>
    <mergeCell ref="F1112:G1112"/>
    <mergeCell ref="H1112:I1112"/>
    <mergeCell ref="J1112:K1112"/>
    <mergeCell ref="L1112:M1112"/>
    <mergeCell ref="A1113:D1113"/>
    <mergeCell ref="F1113:G1113"/>
    <mergeCell ref="H1113:I1113"/>
    <mergeCell ref="J1113:K1113"/>
    <mergeCell ref="L1113:M1113"/>
    <mergeCell ref="A1110:D1110"/>
    <mergeCell ref="F1110:G1110"/>
    <mergeCell ref="H1110:I1110"/>
    <mergeCell ref="J1110:K1110"/>
    <mergeCell ref="L1110:M1110"/>
    <mergeCell ref="A1111:D1111"/>
    <mergeCell ref="F1111:G1111"/>
    <mergeCell ref="H1111:I1111"/>
    <mergeCell ref="J1111:K1111"/>
    <mergeCell ref="L1111:M1111"/>
    <mergeCell ref="A1120:B1120"/>
    <mergeCell ref="C1120:D1120"/>
    <mergeCell ref="E1120:G1120"/>
    <mergeCell ref="H1120:I1120"/>
    <mergeCell ref="J1120:K1120"/>
    <mergeCell ref="L1120:M1120"/>
    <mergeCell ref="A1118:D1118"/>
    <mergeCell ref="F1118:G1118"/>
    <mergeCell ref="H1118:I1118"/>
    <mergeCell ref="J1118:K1118"/>
    <mergeCell ref="L1118:M1118"/>
    <mergeCell ref="A1119:M1119"/>
    <mergeCell ref="A1116:D1116"/>
    <mergeCell ref="F1116:G1116"/>
    <mergeCell ref="H1116:I1116"/>
    <mergeCell ref="J1116:K1116"/>
    <mergeCell ref="L1116:M1116"/>
    <mergeCell ref="A1117:D1117"/>
    <mergeCell ref="F1117:G1117"/>
    <mergeCell ref="H1117:I1117"/>
    <mergeCell ref="J1117:K1117"/>
    <mergeCell ref="L1117:M1117"/>
    <mergeCell ref="A1123:M1123"/>
    <mergeCell ref="A1124:M1124"/>
    <mergeCell ref="A1125:M1125"/>
    <mergeCell ref="A1126:M1126"/>
    <mergeCell ref="A1127:M1127"/>
    <mergeCell ref="A1128:M1128"/>
    <mergeCell ref="A1122:B1122"/>
    <mergeCell ref="C1122:D1122"/>
    <mergeCell ref="E1122:G1122"/>
    <mergeCell ref="H1122:I1122"/>
    <mergeCell ref="J1122:K1122"/>
    <mergeCell ref="L1122:M1122"/>
    <mergeCell ref="A1121:B1121"/>
    <mergeCell ref="C1121:D1121"/>
    <mergeCell ref="E1121:G1121"/>
    <mergeCell ref="H1121:I1121"/>
    <mergeCell ref="J1121:K1121"/>
    <mergeCell ref="L1121:M1121"/>
    <mergeCell ref="A1141:M1141"/>
    <mergeCell ref="A1142:M1142"/>
    <mergeCell ref="A1143:M1143"/>
    <mergeCell ref="A1144:M1144"/>
    <mergeCell ref="A1145:M1145"/>
    <mergeCell ref="H1147:J1147"/>
    <mergeCell ref="K1147:M1147"/>
    <mergeCell ref="A1135:M1135"/>
    <mergeCell ref="A1136:M1136"/>
    <mergeCell ref="A1137:M1137"/>
    <mergeCell ref="A1138:M1138"/>
    <mergeCell ref="A1139:M1139"/>
    <mergeCell ref="A1140:M1140"/>
    <mergeCell ref="A1129:M1129"/>
    <mergeCell ref="A1130:M1130"/>
    <mergeCell ref="A1131:M1131"/>
    <mergeCell ref="A1132:M1132"/>
    <mergeCell ref="A1133:M1133"/>
    <mergeCell ref="A1134:M1134"/>
    <mergeCell ref="A1152:M1152"/>
    <mergeCell ref="A1153:D1153"/>
    <mergeCell ref="F1153:G1153"/>
    <mergeCell ref="H1153:I1153"/>
    <mergeCell ref="J1153:K1153"/>
    <mergeCell ref="L1153:M1153"/>
    <mergeCell ref="A1150:C1150"/>
    <mergeCell ref="D1150:G1150"/>
    <mergeCell ref="H1150:J1150"/>
    <mergeCell ref="K1150:M1150"/>
    <mergeCell ref="A1151:C1151"/>
    <mergeCell ref="D1151:G1151"/>
    <mergeCell ref="H1151:J1151"/>
    <mergeCell ref="K1151:M1151"/>
    <mergeCell ref="A1148:C1148"/>
    <mergeCell ref="D1148:G1148"/>
    <mergeCell ref="H1148:J1148"/>
    <mergeCell ref="K1148:M1148"/>
    <mergeCell ref="D1149:E1149"/>
    <mergeCell ref="K1149:L1149"/>
    <mergeCell ref="A1158:D1158"/>
    <mergeCell ref="F1158:G1158"/>
    <mergeCell ref="H1158:I1158"/>
    <mergeCell ref="J1158:K1158"/>
    <mergeCell ref="L1158:M1158"/>
    <mergeCell ref="A1159:M1159"/>
    <mergeCell ref="A1156:D1156"/>
    <mergeCell ref="F1156:G1156"/>
    <mergeCell ref="H1156:I1156"/>
    <mergeCell ref="J1156:K1156"/>
    <mergeCell ref="L1156:M1156"/>
    <mergeCell ref="A1157:D1157"/>
    <mergeCell ref="F1157:G1157"/>
    <mergeCell ref="H1157:I1157"/>
    <mergeCell ref="J1157:K1157"/>
    <mergeCell ref="L1157:M1157"/>
    <mergeCell ref="A1154:D1154"/>
    <mergeCell ref="F1154:G1154"/>
    <mergeCell ref="H1154:I1154"/>
    <mergeCell ref="J1154:K1154"/>
    <mergeCell ref="L1154:M1154"/>
    <mergeCell ref="A1155:D1155"/>
    <mergeCell ref="F1155:G1155"/>
    <mergeCell ref="H1155:I1155"/>
    <mergeCell ref="J1155:K1155"/>
    <mergeCell ref="L1155:M1155"/>
    <mergeCell ref="A1164:B1164"/>
    <mergeCell ref="C1164:D1164"/>
    <mergeCell ref="E1164:G1164"/>
    <mergeCell ref="H1164:I1164"/>
    <mergeCell ref="J1164:K1164"/>
    <mergeCell ref="L1164:M1164"/>
    <mergeCell ref="A1162:D1162"/>
    <mergeCell ref="F1162:G1162"/>
    <mergeCell ref="H1162:I1162"/>
    <mergeCell ref="J1162:K1162"/>
    <mergeCell ref="L1162:M1162"/>
    <mergeCell ref="A1163:M1163"/>
    <mergeCell ref="A1160:D1160"/>
    <mergeCell ref="F1160:G1160"/>
    <mergeCell ref="H1160:I1160"/>
    <mergeCell ref="J1160:K1160"/>
    <mergeCell ref="L1160:M1160"/>
    <mergeCell ref="A1161:D1161"/>
    <mergeCell ref="F1161:G1161"/>
    <mergeCell ref="H1161:I1161"/>
    <mergeCell ref="J1161:K1161"/>
    <mergeCell ref="L1161:M1161"/>
    <mergeCell ref="A1167:M1167"/>
    <mergeCell ref="A1168:M1168"/>
    <mergeCell ref="A1169:M1169"/>
    <mergeCell ref="A1170:M1170"/>
    <mergeCell ref="A1171:M1171"/>
    <mergeCell ref="A1172:M1172"/>
    <mergeCell ref="A1166:B1166"/>
    <mergeCell ref="C1166:D1166"/>
    <mergeCell ref="E1166:G1166"/>
    <mergeCell ref="H1166:I1166"/>
    <mergeCell ref="J1166:K1166"/>
    <mergeCell ref="L1166:M1166"/>
    <mergeCell ref="A1165:B1165"/>
    <mergeCell ref="C1165:D1165"/>
    <mergeCell ref="E1165:G1165"/>
    <mergeCell ref="H1165:I1165"/>
    <mergeCell ref="J1165:K1165"/>
    <mergeCell ref="L1165:M1165"/>
    <mergeCell ref="A1185:M1185"/>
    <mergeCell ref="A1186:M1186"/>
    <mergeCell ref="A1187:M1187"/>
    <mergeCell ref="A1188:M1188"/>
    <mergeCell ref="A1189:M1189"/>
    <mergeCell ref="H1191:J1191"/>
    <mergeCell ref="K1191:M1191"/>
    <mergeCell ref="A1179:M1179"/>
    <mergeCell ref="A1180:M1180"/>
    <mergeCell ref="A1181:M1181"/>
    <mergeCell ref="A1182:M1182"/>
    <mergeCell ref="A1183:M1183"/>
    <mergeCell ref="A1184:M1184"/>
    <mergeCell ref="A1173:M1173"/>
    <mergeCell ref="A1174:M1174"/>
    <mergeCell ref="A1175:M1175"/>
    <mergeCell ref="A1176:M1176"/>
    <mergeCell ref="A1177:M1177"/>
    <mergeCell ref="A1178:M1178"/>
    <mergeCell ref="A1196:M1196"/>
    <mergeCell ref="A1197:D1197"/>
    <mergeCell ref="F1197:G1197"/>
    <mergeCell ref="H1197:I1197"/>
    <mergeCell ref="J1197:K1197"/>
    <mergeCell ref="L1197:M1197"/>
    <mergeCell ref="A1194:C1194"/>
    <mergeCell ref="D1194:G1194"/>
    <mergeCell ref="H1194:J1194"/>
    <mergeCell ref="K1194:M1194"/>
    <mergeCell ref="A1195:C1195"/>
    <mergeCell ref="D1195:G1195"/>
    <mergeCell ref="H1195:J1195"/>
    <mergeCell ref="K1195:M1195"/>
    <mergeCell ref="A1192:C1192"/>
    <mergeCell ref="D1192:G1192"/>
    <mergeCell ref="H1192:J1192"/>
    <mergeCell ref="K1192:M1192"/>
    <mergeCell ref="D1193:E1193"/>
    <mergeCell ref="K1193:L1193"/>
    <mergeCell ref="A1202:D1202"/>
    <mergeCell ref="F1202:G1202"/>
    <mergeCell ref="H1202:I1202"/>
    <mergeCell ref="J1202:K1202"/>
    <mergeCell ref="L1202:M1202"/>
    <mergeCell ref="A1203:M1203"/>
    <mergeCell ref="A1200:D1200"/>
    <mergeCell ref="F1200:G1200"/>
    <mergeCell ref="H1200:I1200"/>
    <mergeCell ref="J1200:K1200"/>
    <mergeCell ref="L1200:M1200"/>
    <mergeCell ref="A1201:D1201"/>
    <mergeCell ref="F1201:G1201"/>
    <mergeCell ref="H1201:I1201"/>
    <mergeCell ref="J1201:K1201"/>
    <mergeCell ref="L1201:M1201"/>
    <mergeCell ref="A1198:D1198"/>
    <mergeCell ref="F1198:G1198"/>
    <mergeCell ref="H1198:I1198"/>
    <mergeCell ref="J1198:K1198"/>
    <mergeCell ref="L1198:M1198"/>
    <mergeCell ref="A1199:D1199"/>
    <mergeCell ref="F1199:G1199"/>
    <mergeCell ref="H1199:I1199"/>
    <mergeCell ref="J1199:K1199"/>
    <mergeCell ref="L1199:M1199"/>
    <mergeCell ref="A1208:B1208"/>
    <mergeCell ref="C1208:D1208"/>
    <mergeCell ref="E1208:G1208"/>
    <mergeCell ref="H1208:I1208"/>
    <mergeCell ref="J1208:K1208"/>
    <mergeCell ref="L1208:M1208"/>
    <mergeCell ref="A1206:D1206"/>
    <mergeCell ref="F1206:G1206"/>
    <mergeCell ref="H1206:I1206"/>
    <mergeCell ref="J1206:K1206"/>
    <mergeCell ref="L1206:M1206"/>
    <mergeCell ref="A1207:M1207"/>
    <mergeCell ref="A1204:D1204"/>
    <mergeCell ref="F1204:G1204"/>
    <mergeCell ref="H1204:I1204"/>
    <mergeCell ref="J1204:K1204"/>
    <mergeCell ref="L1204:M1204"/>
    <mergeCell ref="A1205:D1205"/>
    <mergeCell ref="F1205:G1205"/>
    <mergeCell ref="H1205:I1205"/>
    <mergeCell ref="J1205:K1205"/>
    <mergeCell ref="L1205:M1205"/>
    <mergeCell ref="A1211:M1211"/>
    <mergeCell ref="A1212:M1212"/>
    <mergeCell ref="A1213:M1213"/>
    <mergeCell ref="A1214:M1214"/>
    <mergeCell ref="A1215:M1215"/>
    <mergeCell ref="A1216:M1216"/>
    <mergeCell ref="A1210:B1210"/>
    <mergeCell ref="C1210:D1210"/>
    <mergeCell ref="E1210:G1210"/>
    <mergeCell ref="H1210:I1210"/>
    <mergeCell ref="J1210:K1210"/>
    <mergeCell ref="L1210:M1210"/>
    <mergeCell ref="A1209:B1209"/>
    <mergeCell ref="C1209:D1209"/>
    <mergeCell ref="E1209:G1209"/>
    <mergeCell ref="H1209:I1209"/>
    <mergeCell ref="J1209:K1209"/>
    <mergeCell ref="L1209:M1209"/>
    <mergeCell ref="A1229:M1229"/>
    <mergeCell ref="A1230:M1230"/>
    <mergeCell ref="A1231:M1231"/>
    <mergeCell ref="A1232:M1232"/>
    <mergeCell ref="A1233:M1233"/>
    <mergeCell ref="H1235:J1235"/>
    <mergeCell ref="K1235:M1235"/>
    <mergeCell ref="A1223:M1223"/>
    <mergeCell ref="A1224:M1224"/>
    <mergeCell ref="A1225:M1225"/>
    <mergeCell ref="A1226:M1226"/>
    <mergeCell ref="A1227:M1227"/>
    <mergeCell ref="A1228:M1228"/>
    <mergeCell ref="A1217:M1217"/>
    <mergeCell ref="A1218:M1218"/>
    <mergeCell ref="A1219:M1219"/>
    <mergeCell ref="A1220:M1220"/>
    <mergeCell ref="A1221:M1221"/>
    <mergeCell ref="A1222:M1222"/>
    <mergeCell ref="A1240:M1240"/>
    <mergeCell ref="A1241:D1241"/>
    <mergeCell ref="F1241:G1241"/>
    <mergeCell ref="H1241:I1241"/>
    <mergeCell ref="J1241:K1241"/>
    <mergeCell ref="L1241:M1241"/>
    <mergeCell ref="A1238:C1238"/>
    <mergeCell ref="D1238:G1238"/>
    <mergeCell ref="H1238:J1238"/>
    <mergeCell ref="K1238:M1238"/>
    <mergeCell ref="A1239:C1239"/>
    <mergeCell ref="D1239:G1239"/>
    <mergeCell ref="H1239:J1239"/>
    <mergeCell ref="K1239:M1239"/>
    <mergeCell ref="A1236:C1236"/>
    <mergeCell ref="D1236:G1236"/>
    <mergeCell ref="H1236:J1236"/>
    <mergeCell ref="K1236:M1236"/>
    <mergeCell ref="D1237:E1237"/>
    <mergeCell ref="K1237:L1237"/>
    <mergeCell ref="A1246:D1246"/>
    <mergeCell ref="F1246:G1246"/>
    <mergeCell ref="H1246:I1246"/>
    <mergeCell ref="J1246:K1246"/>
    <mergeCell ref="L1246:M1246"/>
    <mergeCell ref="A1247:M1247"/>
    <mergeCell ref="A1244:D1244"/>
    <mergeCell ref="F1244:G1244"/>
    <mergeCell ref="H1244:I1244"/>
    <mergeCell ref="J1244:K1244"/>
    <mergeCell ref="L1244:M1244"/>
    <mergeCell ref="A1245:D1245"/>
    <mergeCell ref="F1245:G1245"/>
    <mergeCell ref="H1245:I1245"/>
    <mergeCell ref="J1245:K1245"/>
    <mergeCell ref="L1245:M1245"/>
    <mergeCell ref="A1242:D1242"/>
    <mergeCell ref="F1242:G1242"/>
    <mergeCell ref="H1242:I1242"/>
    <mergeCell ref="J1242:K1242"/>
    <mergeCell ref="L1242:M1242"/>
    <mergeCell ref="A1243:D1243"/>
    <mergeCell ref="F1243:G1243"/>
    <mergeCell ref="H1243:I1243"/>
    <mergeCell ref="J1243:K1243"/>
    <mergeCell ref="L1243:M1243"/>
    <mergeCell ref="A1252:B1252"/>
    <mergeCell ref="C1252:D1252"/>
    <mergeCell ref="E1252:G1252"/>
    <mergeCell ref="H1252:I1252"/>
    <mergeCell ref="J1252:K1252"/>
    <mergeCell ref="L1252:M1252"/>
    <mergeCell ref="A1250:D1250"/>
    <mergeCell ref="F1250:G1250"/>
    <mergeCell ref="H1250:I1250"/>
    <mergeCell ref="J1250:K1250"/>
    <mergeCell ref="L1250:M1250"/>
    <mergeCell ref="A1251:M1251"/>
    <mergeCell ref="A1248:D1248"/>
    <mergeCell ref="F1248:G1248"/>
    <mergeCell ref="H1248:I1248"/>
    <mergeCell ref="J1248:K1248"/>
    <mergeCell ref="L1248:M1248"/>
    <mergeCell ref="A1249:D1249"/>
    <mergeCell ref="F1249:G1249"/>
    <mergeCell ref="H1249:I1249"/>
    <mergeCell ref="J1249:K1249"/>
    <mergeCell ref="L1249:M1249"/>
    <mergeCell ref="A1255:M1255"/>
    <mergeCell ref="A1256:M1256"/>
    <mergeCell ref="A1257:M1257"/>
    <mergeCell ref="A1258:M1258"/>
    <mergeCell ref="A1259:M1259"/>
    <mergeCell ref="A1260:M1260"/>
    <mergeCell ref="A1254:B1254"/>
    <mergeCell ref="C1254:D1254"/>
    <mergeCell ref="E1254:G1254"/>
    <mergeCell ref="H1254:I1254"/>
    <mergeCell ref="J1254:K1254"/>
    <mergeCell ref="L1254:M1254"/>
    <mergeCell ref="A1253:B1253"/>
    <mergeCell ref="C1253:D1253"/>
    <mergeCell ref="E1253:G1253"/>
    <mergeCell ref="H1253:I1253"/>
    <mergeCell ref="J1253:K1253"/>
    <mergeCell ref="L1253:M1253"/>
    <mergeCell ref="A1273:M1273"/>
    <mergeCell ref="A1274:M1274"/>
    <mergeCell ref="A1275:M1275"/>
    <mergeCell ref="A1276:M1276"/>
    <mergeCell ref="A1277:M1277"/>
    <mergeCell ref="H1279:J1279"/>
    <mergeCell ref="K1279:M1279"/>
    <mergeCell ref="A1267:M1267"/>
    <mergeCell ref="A1268:M1268"/>
    <mergeCell ref="A1269:M1269"/>
    <mergeCell ref="A1270:M1270"/>
    <mergeCell ref="A1271:M1271"/>
    <mergeCell ref="A1272:M1272"/>
    <mergeCell ref="A1261:M1261"/>
    <mergeCell ref="A1262:M1262"/>
    <mergeCell ref="A1263:M1263"/>
    <mergeCell ref="A1264:M1264"/>
    <mergeCell ref="A1265:M1265"/>
    <mergeCell ref="A1266:M1266"/>
    <mergeCell ref="A1284:M1284"/>
    <mergeCell ref="A1285:D1285"/>
    <mergeCell ref="F1285:G1285"/>
    <mergeCell ref="H1285:I1285"/>
    <mergeCell ref="J1285:K1285"/>
    <mergeCell ref="L1285:M1285"/>
    <mergeCell ref="A1282:C1282"/>
    <mergeCell ref="D1282:G1282"/>
    <mergeCell ref="H1282:J1282"/>
    <mergeCell ref="K1282:M1282"/>
    <mergeCell ref="A1283:C1283"/>
    <mergeCell ref="D1283:G1283"/>
    <mergeCell ref="H1283:J1283"/>
    <mergeCell ref="K1283:M1283"/>
    <mergeCell ref="A1280:C1280"/>
    <mergeCell ref="D1280:G1280"/>
    <mergeCell ref="H1280:J1280"/>
    <mergeCell ref="K1280:M1280"/>
    <mergeCell ref="D1281:E1281"/>
    <mergeCell ref="K1281:L1281"/>
    <mergeCell ref="A1290:D1290"/>
    <mergeCell ref="F1290:G1290"/>
    <mergeCell ref="H1290:I1290"/>
    <mergeCell ref="J1290:K1290"/>
    <mergeCell ref="L1290:M1290"/>
    <mergeCell ref="A1291:M1291"/>
    <mergeCell ref="A1288:D1288"/>
    <mergeCell ref="F1288:G1288"/>
    <mergeCell ref="H1288:I1288"/>
    <mergeCell ref="J1288:K1288"/>
    <mergeCell ref="L1288:M1288"/>
    <mergeCell ref="A1289:D1289"/>
    <mergeCell ref="F1289:G1289"/>
    <mergeCell ref="H1289:I1289"/>
    <mergeCell ref="J1289:K1289"/>
    <mergeCell ref="L1289:M1289"/>
    <mergeCell ref="A1286:D1286"/>
    <mergeCell ref="F1286:G1286"/>
    <mergeCell ref="H1286:I1286"/>
    <mergeCell ref="J1286:K1286"/>
    <mergeCell ref="L1286:M1286"/>
    <mergeCell ref="A1287:D1287"/>
    <mergeCell ref="F1287:G1287"/>
    <mergeCell ref="H1287:I1287"/>
    <mergeCell ref="J1287:K1287"/>
    <mergeCell ref="L1287:M1287"/>
    <mergeCell ref="A1296:B1296"/>
    <mergeCell ref="C1296:D1296"/>
    <mergeCell ref="E1296:G1296"/>
    <mergeCell ref="H1296:I1296"/>
    <mergeCell ref="J1296:K1296"/>
    <mergeCell ref="L1296:M1296"/>
    <mergeCell ref="A1294:D1294"/>
    <mergeCell ref="F1294:G1294"/>
    <mergeCell ref="H1294:I1294"/>
    <mergeCell ref="J1294:K1294"/>
    <mergeCell ref="L1294:M1294"/>
    <mergeCell ref="A1295:M1295"/>
    <mergeCell ref="A1292:D1292"/>
    <mergeCell ref="F1292:G1292"/>
    <mergeCell ref="H1292:I1292"/>
    <mergeCell ref="J1292:K1292"/>
    <mergeCell ref="L1292:M1292"/>
    <mergeCell ref="A1293:D1293"/>
    <mergeCell ref="F1293:G1293"/>
    <mergeCell ref="H1293:I1293"/>
    <mergeCell ref="J1293:K1293"/>
    <mergeCell ref="L1293:M1293"/>
    <mergeCell ref="A1299:M1299"/>
    <mergeCell ref="A1300:M1300"/>
    <mergeCell ref="A1301:M1301"/>
    <mergeCell ref="A1302:M1302"/>
    <mergeCell ref="A1303:M1303"/>
    <mergeCell ref="A1304:M1304"/>
    <mergeCell ref="A1298:B1298"/>
    <mergeCell ref="C1298:D1298"/>
    <mergeCell ref="E1298:G1298"/>
    <mergeCell ref="H1298:I1298"/>
    <mergeCell ref="J1298:K1298"/>
    <mergeCell ref="L1298:M1298"/>
    <mergeCell ref="A1297:B1297"/>
    <mergeCell ref="C1297:D1297"/>
    <mergeCell ref="E1297:G1297"/>
    <mergeCell ref="H1297:I1297"/>
    <mergeCell ref="J1297:K1297"/>
    <mergeCell ref="L1297:M1297"/>
    <mergeCell ref="A1317:M1317"/>
    <mergeCell ref="A1318:M1318"/>
    <mergeCell ref="A1319:M1319"/>
    <mergeCell ref="A1320:M1320"/>
    <mergeCell ref="A1321:M1321"/>
    <mergeCell ref="H1323:J1323"/>
    <mergeCell ref="K1323:M1323"/>
    <mergeCell ref="A1311:M1311"/>
    <mergeCell ref="A1312:M1312"/>
    <mergeCell ref="A1313:M1313"/>
    <mergeCell ref="A1314:M1314"/>
    <mergeCell ref="A1315:M1315"/>
    <mergeCell ref="A1316:M1316"/>
    <mergeCell ref="A1305:M1305"/>
    <mergeCell ref="A1306:M1306"/>
    <mergeCell ref="A1307:M1307"/>
    <mergeCell ref="A1308:M1308"/>
    <mergeCell ref="A1309:M1309"/>
    <mergeCell ref="A1310:M1310"/>
    <mergeCell ref="A1328:M1328"/>
    <mergeCell ref="A1329:D1329"/>
    <mergeCell ref="F1329:G1329"/>
    <mergeCell ref="H1329:I1329"/>
    <mergeCell ref="J1329:K1329"/>
    <mergeCell ref="L1329:M1329"/>
    <mergeCell ref="A1326:C1326"/>
    <mergeCell ref="D1326:G1326"/>
    <mergeCell ref="H1326:J1326"/>
    <mergeCell ref="K1326:M1326"/>
    <mergeCell ref="A1327:C1327"/>
    <mergeCell ref="D1327:G1327"/>
    <mergeCell ref="H1327:J1327"/>
    <mergeCell ref="K1327:M1327"/>
    <mergeCell ref="A1324:C1324"/>
    <mergeCell ref="D1324:G1324"/>
    <mergeCell ref="H1324:J1324"/>
    <mergeCell ref="K1324:M1324"/>
    <mergeCell ref="D1325:E1325"/>
    <mergeCell ref="K1325:L1325"/>
    <mergeCell ref="A1332:D1332"/>
    <mergeCell ref="F1332:G1332"/>
    <mergeCell ref="H1332:I1332"/>
    <mergeCell ref="J1332:K1332"/>
    <mergeCell ref="L1332:M1332"/>
    <mergeCell ref="A1333:D1333"/>
    <mergeCell ref="F1333:G1333"/>
    <mergeCell ref="H1333:I1333"/>
    <mergeCell ref="J1333:K1333"/>
    <mergeCell ref="L1333:M1333"/>
    <mergeCell ref="A1330:D1330"/>
    <mergeCell ref="F1330:G1330"/>
    <mergeCell ref="H1330:I1330"/>
    <mergeCell ref="J1330:K1330"/>
    <mergeCell ref="L1330:M1330"/>
    <mergeCell ref="A1331:D1331"/>
    <mergeCell ref="F1331:G1331"/>
    <mergeCell ref="H1331:I1331"/>
    <mergeCell ref="J1331:K1331"/>
    <mergeCell ref="L1331:M1331"/>
    <mergeCell ref="A1338:D1338"/>
    <mergeCell ref="F1338:G1338"/>
    <mergeCell ref="H1338:I1338"/>
    <mergeCell ref="J1338:K1338"/>
    <mergeCell ref="L1338:M1338"/>
    <mergeCell ref="A1339:M1339"/>
    <mergeCell ref="A1336:D1336"/>
    <mergeCell ref="F1336:G1336"/>
    <mergeCell ref="H1336:I1336"/>
    <mergeCell ref="J1336:K1336"/>
    <mergeCell ref="L1336:M1336"/>
    <mergeCell ref="A1337:D1337"/>
    <mergeCell ref="F1337:G1337"/>
    <mergeCell ref="H1337:I1337"/>
    <mergeCell ref="J1337:K1337"/>
    <mergeCell ref="L1337:M1337"/>
    <mergeCell ref="A1334:D1334"/>
    <mergeCell ref="F1334:G1334"/>
    <mergeCell ref="H1334:I1334"/>
    <mergeCell ref="J1334:K1334"/>
    <mergeCell ref="L1334:M1334"/>
    <mergeCell ref="A1335:M1335"/>
    <mergeCell ref="A1345:B1345"/>
    <mergeCell ref="C1345:D1345"/>
    <mergeCell ref="E1345:G1345"/>
    <mergeCell ref="H1345:I1345"/>
    <mergeCell ref="J1345:K1345"/>
    <mergeCell ref="L1345:M1345"/>
    <mergeCell ref="A1340:B1340"/>
    <mergeCell ref="C1340:D1340"/>
    <mergeCell ref="E1340:G1340"/>
    <mergeCell ref="H1340:I1340"/>
    <mergeCell ref="J1340:K1340"/>
    <mergeCell ref="L1340:M1340"/>
    <mergeCell ref="A1341:B1341"/>
    <mergeCell ref="C1341:D1341"/>
    <mergeCell ref="E1341:G1341"/>
    <mergeCell ref="H1341:I1341"/>
    <mergeCell ref="J1341:K1341"/>
    <mergeCell ref="L1341:M1341"/>
    <mergeCell ref="A1342:B1342"/>
    <mergeCell ref="C1342:D1342"/>
    <mergeCell ref="E1342:G1342"/>
    <mergeCell ref="H1342:I1342"/>
    <mergeCell ref="J1342:K1342"/>
    <mergeCell ref="L1342:M1342"/>
    <mergeCell ref="A1343:B1343"/>
    <mergeCell ref="C1343:D1343"/>
    <mergeCell ref="A1364:M1364"/>
    <mergeCell ref="A1365:M1365"/>
    <mergeCell ref="A1366:M1366"/>
    <mergeCell ref="A1367:M1367"/>
    <mergeCell ref="A1358:M1358"/>
    <mergeCell ref="A1359:M1359"/>
    <mergeCell ref="A1360:M1360"/>
    <mergeCell ref="A1361:M1361"/>
    <mergeCell ref="A1362:M1362"/>
    <mergeCell ref="A1363:M1363"/>
    <mergeCell ref="A1352:M1352"/>
    <mergeCell ref="A1353:M1353"/>
    <mergeCell ref="A1354:M1354"/>
    <mergeCell ref="A1355:M1355"/>
    <mergeCell ref="A1356:M1356"/>
    <mergeCell ref="A1357:M1357"/>
    <mergeCell ref="A1346:M1346"/>
    <mergeCell ref="A1347:M1347"/>
    <mergeCell ref="A1348:M1348"/>
    <mergeCell ref="A1349:M1349"/>
    <mergeCell ref="A1350:M1350"/>
    <mergeCell ref="A1351:M1351"/>
  </mergeCells>
  <phoneticPr fontId="5" type="noConversion"/>
  <printOptions horizontalCentered="1"/>
  <pageMargins left="0.55118110236220474" right="0.31496062992125984" top="0.47244094488188981" bottom="0.11811023622047245" header="0.31496062992125984" footer="0.31496062992125984"/>
  <pageSetup paperSize="9" scale="90" orientation="portrait" horizontalDpi="300" r:id="rId1"/>
</worksheet>
</file>

<file path=xl/worksheets/sheet5.xml><?xml version="1.0" encoding="utf-8"?>
<worksheet xmlns="http://schemas.openxmlformats.org/spreadsheetml/2006/main" xmlns:r="http://schemas.openxmlformats.org/officeDocument/2006/relationships">
  <dimension ref="A1:O1364"/>
  <sheetViews>
    <sheetView topLeftCell="A593" zoomScale="110" zoomScaleNormal="110" workbookViewId="0">
      <selection activeCell="B181" sqref="B181"/>
    </sheetView>
  </sheetViews>
  <sheetFormatPr defaultColWidth="9" defaultRowHeight="16.5"/>
  <cols>
    <col min="1" max="1" width="10.375" style="3" customWidth="1"/>
    <col min="2" max="2" width="9" style="3"/>
    <col min="3" max="3" width="3.875" style="3" customWidth="1"/>
    <col min="4" max="4" width="10.5" style="3" customWidth="1"/>
    <col min="5" max="5" width="6.75" style="3" customWidth="1"/>
    <col min="6" max="6" width="7.5" style="3" customWidth="1"/>
    <col min="7" max="7" width="8" style="3" customWidth="1"/>
    <col min="8" max="8" width="10.125" style="3" customWidth="1"/>
    <col min="9" max="9" width="6" style="3" customWidth="1"/>
    <col min="10" max="10" width="3.25" style="3" customWidth="1"/>
    <col min="11" max="11" width="10.375" style="3" customWidth="1"/>
    <col min="12" max="12" width="4.625" style="3" customWidth="1"/>
    <col min="13" max="13" width="9.375" style="3" customWidth="1"/>
    <col min="14" max="16384" width="9" style="3"/>
  </cols>
  <sheetData>
    <row r="1" spans="1:15" ht="19.5" customHeight="1">
      <c r="A1" s="69" t="s">
        <v>0</v>
      </c>
      <c r="B1" s="69"/>
      <c r="C1" s="69"/>
      <c r="D1" s="69"/>
      <c r="E1" s="69"/>
      <c r="F1" s="69"/>
      <c r="G1" s="69"/>
      <c r="H1" s="69"/>
      <c r="I1" s="69"/>
      <c r="J1" s="69"/>
      <c r="K1" s="69"/>
      <c r="L1" s="69"/>
      <c r="M1" s="69"/>
    </row>
    <row r="2" spans="1:15" ht="20.100000000000001" customHeight="1">
      <c r="A2" s="4" t="s">
        <v>32</v>
      </c>
      <c r="B2" s="5">
        <f>+'10月'!B1322+1</f>
        <v>36</v>
      </c>
      <c r="C2" s="48"/>
      <c r="D2" s="48"/>
      <c r="E2" s="48"/>
      <c r="F2" s="48"/>
      <c r="G2" s="48"/>
      <c r="H2" s="48"/>
      <c r="I2" s="48"/>
      <c r="J2" s="48"/>
      <c r="K2" s="48"/>
      <c r="L2" s="48"/>
      <c r="M2" s="48"/>
    </row>
    <row r="3" spans="1:15" ht="24" customHeight="1" thickBot="1">
      <c r="A3" s="4" t="s">
        <v>33</v>
      </c>
      <c r="H3" s="70" t="s">
        <v>34</v>
      </c>
      <c r="I3" s="70"/>
      <c r="J3" s="70"/>
      <c r="K3" s="71">
        <v>45962</v>
      </c>
      <c r="L3" s="71"/>
      <c r="M3" s="71"/>
      <c r="O3" s="7"/>
    </row>
    <row r="4" spans="1:15" ht="33.75" customHeight="1" thickBot="1">
      <c r="A4" s="80" t="s">
        <v>1</v>
      </c>
      <c r="B4" s="81"/>
      <c r="C4" s="82"/>
      <c r="D4" s="86" t="s">
        <v>63</v>
      </c>
      <c r="E4" s="87"/>
      <c r="F4" s="87"/>
      <c r="G4" s="88"/>
      <c r="H4" s="80" t="s">
        <v>2</v>
      </c>
      <c r="I4" s="81"/>
      <c r="J4" s="82"/>
      <c r="K4" s="80" t="s">
        <v>35</v>
      </c>
      <c r="L4" s="81"/>
      <c r="M4" s="82"/>
    </row>
    <row r="5" spans="1:15" ht="33.75" customHeight="1" thickBot="1">
      <c r="A5" s="8" t="s">
        <v>3</v>
      </c>
      <c r="B5" s="45">
        <f>+'10月'!B1325</f>
        <v>142</v>
      </c>
      <c r="C5" s="10" t="s">
        <v>36</v>
      </c>
      <c r="D5" s="80" t="s">
        <v>4</v>
      </c>
      <c r="E5" s="89"/>
      <c r="F5" s="46">
        <f>+'10月'!F1325+1</f>
        <v>36</v>
      </c>
      <c r="G5" s="12" t="s">
        <v>36</v>
      </c>
      <c r="H5" s="13" t="s">
        <v>5</v>
      </c>
      <c r="I5" s="45">
        <f>+B5-F5</f>
        <v>106</v>
      </c>
      <c r="J5" s="10" t="s">
        <v>36</v>
      </c>
      <c r="K5" s="80" t="s">
        <v>6</v>
      </c>
      <c r="L5" s="82"/>
      <c r="M5" s="13">
        <f>+'10月'!M1325</f>
        <v>12</v>
      </c>
    </row>
    <row r="6" spans="1:15" ht="24" customHeight="1" thickBot="1">
      <c r="A6" s="80" t="s">
        <v>7</v>
      </c>
      <c r="B6" s="81"/>
      <c r="C6" s="82"/>
      <c r="D6" s="80" t="str">
        <f>+'9月'!D138:G138</f>
        <v>114.9.27</v>
      </c>
      <c r="E6" s="81"/>
      <c r="F6" s="81"/>
      <c r="G6" s="82"/>
      <c r="H6" s="80" t="s">
        <v>8</v>
      </c>
      <c r="I6" s="81"/>
      <c r="J6" s="82"/>
      <c r="K6" s="80" t="str">
        <f>+'10月'!K1326:M1326</f>
        <v>115.2.15</v>
      </c>
      <c r="L6" s="81"/>
      <c r="M6" s="82"/>
    </row>
    <row r="7" spans="1:15" ht="24" customHeight="1" thickBot="1">
      <c r="A7" s="80" t="s">
        <v>37</v>
      </c>
      <c r="B7" s="81"/>
      <c r="C7" s="82"/>
      <c r="D7" s="83">
        <v>1.7999999999999999E-2</v>
      </c>
      <c r="E7" s="84"/>
      <c r="F7" s="84"/>
      <c r="G7" s="85"/>
      <c r="H7" s="80" t="s">
        <v>38</v>
      </c>
      <c r="I7" s="81"/>
      <c r="J7" s="82"/>
      <c r="K7" s="83">
        <f>+'9月'!K139:M139</f>
        <v>5.8000000000000003E-2</v>
      </c>
      <c r="L7" s="84"/>
      <c r="M7" s="85"/>
    </row>
    <row r="8" spans="1:15" ht="24" customHeight="1" thickBot="1">
      <c r="A8" s="72" t="s">
        <v>9</v>
      </c>
      <c r="B8" s="73"/>
      <c r="C8" s="73"/>
      <c r="D8" s="73"/>
      <c r="E8" s="73"/>
      <c r="F8" s="73"/>
      <c r="G8" s="73"/>
      <c r="H8" s="73"/>
      <c r="I8" s="73"/>
      <c r="J8" s="73"/>
      <c r="K8" s="73"/>
      <c r="L8" s="73"/>
      <c r="M8" s="74"/>
    </row>
    <row r="9" spans="1:15" ht="35.25" customHeight="1" thickBot="1">
      <c r="A9" s="75" t="s">
        <v>10</v>
      </c>
      <c r="B9" s="76"/>
      <c r="C9" s="76"/>
      <c r="D9" s="77"/>
      <c r="E9" s="14" t="s">
        <v>11</v>
      </c>
      <c r="F9" s="75" t="s">
        <v>12</v>
      </c>
      <c r="G9" s="77"/>
      <c r="H9" s="75" t="s">
        <v>13</v>
      </c>
      <c r="I9" s="77"/>
      <c r="J9" s="78" t="s">
        <v>14</v>
      </c>
      <c r="K9" s="79"/>
      <c r="L9" s="75" t="s">
        <v>15</v>
      </c>
      <c r="M9" s="77"/>
    </row>
    <row r="10" spans="1:15" ht="27" customHeight="1" thickBot="1">
      <c r="A10" s="63"/>
      <c r="B10" s="64"/>
      <c r="C10" s="64"/>
      <c r="D10" s="65"/>
      <c r="E10" s="2"/>
      <c r="F10" s="56"/>
      <c r="G10" s="57"/>
      <c r="H10" s="56"/>
      <c r="I10" s="57"/>
      <c r="J10" s="56"/>
      <c r="K10" s="57"/>
      <c r="L10" s="58"/>
      <c r="M10" s="59"/>
    </row>
    <row r="11" spans="1:15" ht="27" customHeight="1" thickBot="1">
      <c r="A11" s="123"/>
      <c r="B11" s="124"/>
      <c r="C11" s="124"/>
      <c r="D11" s="125"/>
      <c r="E11" s="15"/>
      <c r="F11" s="126"/>
      <c r="G11" s="127"/>
      <c r="H11" s="126"/>
      <c r="I11" s="127"/>
      <c r="J11" s="126"/>
      <c r="K11" s="127"/>
      <c r="L11" s="128"/>
      <c r="M11" s="129"/>
    </row>
    <row r="12" spans="1:15" ht="24.95" customHeight="1" thickTop="1" thickBot="1">
      <c r="A12" s="130" t="s">
        <v>16</v>
      </c>
      <c r="B12" s="67"/>
      <c r="C12" s="67"/>
      <c r="D12" s="68"/>
      <c r="E12" s="47"/>
      <c r="F12" s="131"/>
      <c r="G12" s="132"/>
      <c r="H12" s="131"/>
      <c r="I12" s="132"/>
      <c r="J12" s="131"/>
      <c r="K12" s="132"/>
      <c r="L12" s="131"/>
      <c r="M12" s="133"/>
    </row>
    <row r="13" spans="1:15" ht="24.95" customHeight="1" thickBot="1">
      <c r="A13" s="134" t="s">
        <v>17</v>
      </c>
      <c r="B13" s="135"/>
      <c r="C13" s="135"/>
      <c r="D13" s="59"/>
      <c r="E13" s="47"/>
      <c r="F13" s="58"/>
      <c r="G13" s="59"/>
      <c r="H13" s="58"/>
      <c r="I13" s="59"/>
      <c r="J13" s="58"/>
      <c r="K13" s="59"/>
      <c r="L13" s="58"/>
      <c r="M13" s="136"/>
    </row>
    <row r="14" spans="1:15" ht="24.95" customHeight="1" thickBot="1">
      <c r="A14" s="118" t="s">
        <v>18</v>
      </c>
      <c r="B14" s="119"/>
      <c r="C14" s="119"/>
      <c r="D14" s="120"/>
      <c r="E14" s="24"/>
      <c r="F14" s="121"/>
      <c r="G14" s="120"/>
      <c r="H14" s="121"/>
      <c r="I14" s="120"/>
      <c r="J14" s="121"/>
      <c r="K14" s="120"/>
      <c r="L14" s="121"/>
      <c r="M14" s="122"/>
    </row>
    <row r="15" spans="1:15" ht="24" customHeight="1" thickTop="1" thickBot="1">
      <c r="A15" s="66" t="s">
        <v>19</v>
      </c>
      <c r="B15" s="67"/>
      <c r="C15" s="67"/>
      <c r="D15" s="67"/>
      <c r="E15" s="67"/>
      <c r="F15" s="67"/>
      <c r="G15" s="67"/>
      <c r="H15" s="67"/>
      <c r="I15" s="67"/>
      <c r="J15" s="67"/>
      <c r="K15" s="67"/>
      <c r="L15" s="67"/>
      <c r="M15" s="68"/>
    </row>
    <row r="16" spans="1:15" ht="35.25" customHeight="1" thickBot="1">
      <c r="A16" s="75" t="s">
        <v>20</v>
      </c>
      <c r="B16" s="76"/>
      <c r="C16" s="76"/>
      <c r="D16" s="77"/>
      <c r="E16" s="14" t="s">
        <v>11</v>
      </c>
      <c r="F16" s="75" t="s">
        <v>39</v>
      </c>
      <c r="G16" s="77"/>
      <c r="H16" s="75" t="s">
        <v>21</v>
      </c>
      <c r="I16" s="77"/>
      <c r="J16" s="78" t="s">
        <v>22</v>
      </c>
      <c r="K16" s="79"/>
      <c r="L16" s="75" t="s">
        <v>15</v>
      </c>
      <c r="M16" s="77"/>
    </row>
    <row r="17" spans="1:13" ht="24" customHeight="1" thickBot="1">
      <c r="A17" s="96"/>
      <c r="B17" s="97"/>
      <c r="C17" s="97"/>
      <c r="D17" s="98"/>
      <c r="E17" s="47"/>
      <c r="F17" s="58"/>
      <c r="G17" s="59"/>
      <c r="H17" s="58"/>
      <c r="I17" s="59"/>
      <c r="J17" s="56"/>
      <c r="K17" s="57"/>
      <c r="L17" s="58"/>
      <c r="M17" s="59"/>
    </row>
    <row r="18" spans="1:13" ht="24" customHeight="1" thickBot="1">
      <c r="A18" s="96"/>
      <c r="B18" s="97"/>
      <c r="C18" s="97"/>
      <c r="D18" s="98"/>
      <c r="E18" s="47"/>
      <c r="F18" s="58"/>
      <c r="G18" s="59"/>
      <c r="H18" s="58"/>
      <c r="I18" s="59"/>
      <c r="J18" s="56"/>
      <c r="K18" s="57"/>
      <c r="L18" s="58"/>
      <c r="M18" s="59"/>
    </row>
    <row r="19" spans="1:13" ht="24" customHeight="1" thickBot="1">
      <c r="A19" s="60" t="s">
        <v>23</v>
      </c>
      <c r="B19" s="61"/>
      <c r="C19" s="61"/>
      <c r="D19" s="61"/>
      <c r="E19" s="61"/>
      <c r="F19" s="61"/>
      <c r="G19" s="61"/>
      <c r="H19" s="61"/>
      <c r="I19" s="61"/>
      <c r="J19" s="61"/>
      <c r="K19" s="61"/>
      <c r="L19" s="61"/>
      <c r="M19" s="62"/>
    </row>
    <row r="20" spans="1:13" ht="35.25" customHeight="1" thickBot="1">
      <c r="A20" s="75" t="s">
        <v>24</v>
      </c>
      <c r="B20" s="77"/>
      <c r="C20" s="75" t="s">
        <v>25</v>
      </c>
      <c r="D20" s="77"/>
      <c r="E20" s="75" t="s">
        <v>26</v>
      </c>
      <c r="F20" s="76"/>
      <c r="G20" s="77"/>
      <c r="H20" s="75" t="s">
        <v>27</v>
      </c>
      <c r="I20" s="77"/>
      <c r="J20" s="78" t="s">
        <v>21</v>
      </c>
      <c r="K20" s="79"/>
      <c r="L20" s="75" t="s">
        <v>22</v>
      </c>
      <c r="M20" s="77"/>
    </row>
    <row r="21" spans="1:13" s="18" customFormat="1" ht="24.75" customHeight="1" thickBot="1">
      <c r="A21" s="99"/>
      <c r="B21" s="98"/>
      <c r="C21" s="56"/>
      <c r="D21" s="57"/>
      <c r="E21" s="56"/>
      <c r="F21" s="100"/>
      <c r="G21" s="57"/>
      <c r="H21" s="56"/>
      <c r="I21" s="57"/>
      <c r="J21" s="56"/>
      <c r="K21" s="57"/>
      <c r="L21" s="56"/>
      <c r="M21" s="57"/>
    </row>
    <row r="22" spans="1:13" s="18" customFormat="1" ht="25.5" customHeight="1" thickBot="1">
      <c r="A22" s="99"/>
      <c r="B22" s="98"/>
      <c r="C22" s="56"/>
      <c r="D22" s="57"/>
      <c r="E22" s="56"/>
      <c r="F22" s="100"/>
      <c r="G22" s="57"/>
      <c r="H22" s="56"/>
      <c r="I22" s="57"/>
      <c r="J22" s="56"/>
      <c r="K22" s="57"/>
      <c r="L22" s="56"/>
      <c r="M22" s="57"/>
    </row>
    <row r="23" spans="1:13" ht="33" customHeight="1" thickBot="1">
      <c r="A23" s="112" t="s">
        <v>60</v>
      </c>
      <c r="B23" s="113"/>
      <c r="C23" s="113"/>
      <c r="D23" s="113"/>
      <c r="E23" s="113"/>
      <c r="F23" s="113"/>
      <c r="G23" s="113"/>
      <c r="H23" s="113"/>
      <c r="I23" s="113"/>
      <c r="J23" s="113"/>
      <c r="K23" s="113"/>
      <c r="L23" s="113"/>
      <c r="M23" s="114"/>
    </row>
    <row r="24" spans="1:13" ht="16.5" customHeight="1">
      <c r="A24" s="115" t="s">
        <v>41</v>
      </c>
      <c r="B24" s="116"/>
      <c r="C24" s="116"/>
      <c r="D24" s="116"/>
      <c r="E24" s="116"/>
      <c r="F24" s="116"/>
      <c r="G24" s="116"/>
      <c r="H24" s="116"/>
      <c r="I24" s="116"/>
      <c r="J24" s="116"/>
      <c r="K24" s="116"/>
      <c r="L24" s="116"/>
      <c r="M24" s="117"/>
    </row>
    <row r="25" spans="1:13" ht="16.5" customHeight="1">
      <c r="A25" s="90" t="s">
        <v>28</v>
      </c>
      <c r="B25" s="91"/>
      <c r="C25" s="91"/>
      <c r="D25" s="91"/>
      <c r="E25" s="91"/>
      <c r="F25" s="91"/>
      <c r="G25" s="91"/>
      <c r="H25" s="91"/>
      <c r="I25" s="91"/>
      <c r="J25" s="91"/>
      <c r="K25" s="91"/>
      <c r="L25" s="91"/>
      <c r="M25" s="92"/>
    </row>
    <row r="26" spans="1:13" ht="16.5" customHeight="1">
      <c r="A26" s="106" t="s">
        <v>42</v>
      </c>
      <c r="B26" s="107"/>
      <c r="C26" s="107"/>
      <c r="D26" s="107"/>
      <c r="E26" s="107"/>
      <c r="F26" s="107"/>
      <c r="G26" s="107"/>
      <c r="H26" s="107"/>
      <c r="I26" s="107"/>
      <c r="J26" s="107"/>
      <c r="K26" s="107"/>
      <c r="L26" s="107"/>
      <c r="M26" s="108"/>
    </row>
    <row r="27" spans="1:13" ht="16.5" customHeight="1">
      <c r="A27" s="106" t="s">
        <v>43</v>
      </c>
      <c r="B27" s="107"/>
      <c r="C27" s="107"/>
      <c r="D27" s="107"/>
      <c r="E27" s="107"/>
      <c r="F27" s="107"/>
      <c r="G27" s="107"/>
      <c r="H27" s="107"/>
      <c r="I27" s="107"/>
      <c r="J27" s="107"/>
      <c r="K27" s="107"/>
      <c r="L27" s="107"/>
      <c r="M27" s="108"/>
    </row>
    <row r="28" spans="1:13" ht="16.5" customHeight="1">
      <c r="A28" s="106" t="s">
        <v>44</v>
      </c>
      <c r="B28" s="107"/>
      <c r="C28" s="107"/>
      <c r="D28" s="107"/>
      <c r="E28" s="107"/>
      <c r="F28" s="107"/>
      <c r="G28" s="107"/>
      <c r="H28" s="107"/>
      <c r="I28" s="107"/>
      <c r="J28" s="107"/>
      <c r="K28" s="107"/>
      <c r="L28" s="107"/>
      <c r="M28" s="108"/>
    </row>
    <row r="29" spans="1:13" ht="16.5" customHeight="1">
      <c r="A29" s="106" t="s">
        <v>45</v>
      </c>
      <c r="B29" s="107"/>
      <c r="C29" s="107"/>
      <c r="D29" s="107"/>
      <c r="E29" s="107"/>
      <c r="F29" s="107"/>
      <c r="G29" s="107"/>
      <c r="H29" s="107"/>
      <c r="I29" s="107"/>
      <c r="J29" s="107"/>
      <c r="K29" s="107"/>
      <c r="L29" s="107"/>
      <c r="M29" s="108"/>
    </row>
    <row r="30" spans="1:13" ht="16.5" customHeight="1">
      <c r="A30" s="106" t="s">
        <v>29</v>
      </c>
      <c r="B30" s="107"/>
      <c r="C30" s="107"/>
      <c r="D30" s="107"/>
      <c r="E30" s="107"/>
      <c r="F30" s="107"/>
      <c r="G30" s="107"/>
      <c r="H30" s="107"/>
      <c r="I30" s="107"/>
      <c r="J30" s="107"/>
      <c r="K30" s="107"/>
      <c r="L30" s="107"/>
      <c r="M30" s="108"/>
    </row>
    <row r="31" spans="1:13" ht="9.75" customHeight="1" thickBot="1">
      <c r="A31" s="109"/>
      <c r="B31" s="110"/>
      <c r="C31" s="110"/>
      <c r="D31" s="110"/>
      <c r="E31" s="110"/>
      <c r="F31" s="110"/>
      <c r="G31" s="110"/>
      <c r="H31" s="110"/>
      <c r="I31" s="110"/>
      <c r="J31" s="110"/>
      <c r="K31" s="110"/>
      <c r="L31" s="110"/>
      <c r="M31" s="111"/>
    </row>
    <row r="32" spans="1:13" ht="18.75" customHeight="1" thickBot="1">
      <c r="A32" s="72" t="s">
        <v>30</v>
      </c>
      <c r="B32" s="73"/>
      <c r="C32" s="73"/>
      <c r="D32" s="73"/>
      <c r="E32" s="73"/>
      <c r="F32" s="73"/>
      <c r="G32" s="73"/>
      <c r="H32" s="73"/>
      <c r="I32" s="73"/>
      <c r="J32" s="73"/>
      <c r="K32" s="73"/>
      <c r="L32" s="73"/>
      <c r="M32" s="74"/>
    </row>
    <row r="33" spans="1:15" ht="24" customHeight="1" thickBot="1">
      <c r="A33" s="72" t="s">
        <v>31</v>
      </c>
      <c r="B33" s="73"/>
      <c r="C33" s="73"/>
      <c r="D33" s="73"/>
      <c r="E33" s="73"/>
      <c r="F33" s="73"/>
      <c r="G33" s="73"/>
      <c r="H33" s="73"/>
      <c r="I33" s="73"/>
      <c r="J33" s="73"/>
      <c r="K33" s="73"/>
      <c r="L33" s="73"/>
      <c r="M33" s="74"/>
    </row>
    <row r="34" spans="1:15" ht="24" customHeight="1" thickBot="1">
      <c r="A34" s="72" t="s">
        <v>99</v>
      </c>
      <c r="B34" s="73"/>
      <c r="C34" s="73"/>
      <c r="D34" s="73"/>
      <c r="E34" s="73"/>
      <c r="F34" s="73"/>
      <c r="G34" s="73"/>
      <c r="H34" s="73"/>
      <c r="I34" s="73"/>
      <c r="J34" s="73"/>
      <c r="K34" s="73"/>
      <c r="L34" s="73"/>
      <c r="M34" s="74"/>
    </row>
    <row r="35" spans="1:15" ht="24" customHeight="1" thickBot="1">
      <c r="A35" s="60" t="s">
        <v>46</v>
      </c>
      <c r="B35" s="61"/>
      <c r="C35" s="61"/>
      <c r="D35" s="61"/>
      <c r="E35" s="61"/>
      <c r="F35" s="61"/>
      <c r="G35" s="61"/>
      <c r="H35" s="61"/>
      <c r="I35" s="61"/>
      <c r="J35" s="61"/>
      <c r="K35" s="61"/>
      <c r="L35" s="61"/>
      <c r="M35" s="62"/>
    </row>
    <row r="36" spans="1:15" ht="11.1" customHeight="1">
      <c r="A36" s="103" t="s">
        <v>47</v>
      </c>
      <c r="B36" s="103"/>
      <c r="C36" s="103"/>
      <c r="D36" s="103"/>
      <c r="E36" s="103"/>
      <c r="F36" s="103"/>
      <c r="G36" s="103"/>
      <c r="H36" s="103"/>
      <c r="I36" s="103"/>
      <c r="J36" s="103"/>
      <c r="K36" s="103"/>
      <c r="L36" s="103"/>
      <c r="M36" s="103"/>
    </row>
    <row r="37" spans="1:15" ht="11.1" customHeight="1">
      <c r="A37" s="104" t="s">
        <v>48</v>
      </c>
      <c r="B37" s="104"/>
      <c r="C37" s="104"/>
      <c r="D37" s="104"/>
      <c r="E37" s="104"/>
      <c r="F37" s="104"/>
      <c r="G37" s="104"/>
      <c r="H37" s="104"/>
      <c r="I37" s="104"/>
      <c r="J37" s="104"/>
      <c r="K37" s="104"/>
      <c r="L37" s="104"/>
      <c r="M37" s="104"/>
    </row>
    <row r="38" spans="1:15" ht="11.1" customHeight="1">
      <c r="A38" s="105" t="s">
        <v>49</v>
      </c>
      <c r="B38" s="105"/>
      <c r="C38" s="105"/>
      <c r="D38" s="105"/>
      <c r="E38" s="105"/>
      <c r="F38" s="105"/>
      <c r="G38" s="105"/>
      <c r="H38" s="105"/>
      <c r="I38" s="105"/>
      <c r="J38" s="105"/>
      <c r="K38" s="105"/>
      <c r="L38" s="105"/>
      <c r="M38" s="105"/>
    </row>
    <row r="39" spans="1:15" ht="11.1" customHeight="1">
      <c r="A39" s="105" t="s">
        <v>50</v>
      </c>
      <c r="B39" s="105"/>
      <c r="C39" s="105"/>
      <c r="D39" s="105"/>
      <c r="E39" s="105"/>
      <c r="F39" s="105"/>
      <c r="G39" s="105"/>
      <c r="H39" s="105"/>
      <c r="I39" s="105"/>
      <c r="J39" s="105"/>
      <c r="K39" s="105"/>
      <c r="L39" s="105"/>
      <c r="M39" s="105"/>
    </row>
    <row r="40" spans="1:15" ht="11.1" customHeight="1">
      <c r="A40" s="104" t="s">
        <v>51</v>
      </c>
      <c r="B40" s="104"/>
      <c r="C40" s="104"/>
      <c r="D40" s="104"/>
      <c r="E40" s="104"/>
      <c r="F40" s="104"/>
      <c r="G40" s="104"/>
      <c r="H40" s="104"/>
      <c r="I40" s="104"/>
      <c r="J40" s="104"/>
      <c r="K40" s="104"/>
      <c r="L40" s="104"/>
      <c r="M40" s="104"/>
    </row>
    <row r="41" spans="1:15" ht="11.1" customHeight="1">
      <c r="A41" s="104" t="s">
        <v>52</v>
      </c>
      <c r="B41" s="104"/>
      <c r="C41" s="104"/>
      <c r="D41" s="104"/>
      <c r="E41" s="104"/>
      <c r="F41" s="104"/>
      <c r="G41" s="104"/>
      <c r="H41" s="104"/>
      <c r="I41" s="104"/>
      <c r="J41" s="104"/>
      <c r="K41" s="104"/>
      <c r="L41" s="104"/>
      <c r="M41" s="104"/>
    </row>
    <row r="42" spans="1:15" ht="11.1" customHeight="1">
      <c r="A42" s="104" t="s">
        <v>53</v>
      </c>
      <c r="B42" s="104"/>
      <c r="C42" s="104"/>
      <c r="D42" s="104"/>
      <c r="E42" s="104"/>
      <c r="F42" s="104"/>
      <c r="G42" s="104"/>
      <c r="H42" s="104"/>
      <c r="I42" s="104"/>
      <c r="J42" s="104"/>
      <c r="K42" s="104"/>
      <c r="L42" s="104"/>
      <c r="M42" s="104"/>
    </row>
    <row r="43" spans="1:15" ht="11.1" customHeight="1">
      <c r="A43" s="101" t="s">
        <v>54</v>
      </c>
      <c r="B43" s="101"/>
      <c r="C43" s="101"/>
      <c r="D43" s="101"/>
      <c r="E43" s="101"/>
      <c r="F43" s="101"/>
      <c r="G43" s="101"/>
      <c r="H43" s="101"/>
      <c r="I43" s="101"/>
      <c r="J43" s="101"/>
      <c r="K43" s="101"/>
      <c r="L43" s="101"/>
      <c r="M43" s="101"/>
    </row>
    <row r="44" spans="1:15" ht="11.1" customHeight="1">
      <c r="A44" s="101" t="s">
        <v>55</v>
      </c>
      <c r="B44" s="101"/>
      <c r="C44" s="101"/>
      <c r="D44" s="101"/>
      <c r="E44" s="101"/>
      <c r="F44" s="101"/>
      <c r="G44" s="101"/>
      <c r="H44" s="101"/>
      <c r="I44" s="101"/>
      <c r="J44" s="101"/>
      <c r="K44" s="101"/>
      <c r="L44" s="101"/>
      <c r="M44" s="101"/>
    </row>
    <row r="45" spans="1:15" ht="19.5" customHeight="1">
      <c r="A45" s="69" t="s">
        <v>0</v>
      </c>
      <c r="B45" s="69"/>
      <c r="C45" s="69"/>
      <c r="D45" s="69"/>
      <c r="E45" s="69"/>
      <c r="F45" s="69"/>
      <c r="G45" s="69"/>
      <c r="H45" s="69"/>
      <c r="I45" s="69"/>
      <c r="J45" s="69"/>
      <c r="K45" s="69"/>
      <c r="L45" s="69"/>
      <c r="M45" s="69"/>
    </row>
    <row r="46" spans="1:15" ht="20.100000000000001" customHeight="1">
      <c r="A46" s="4" t="s">
        <v>32</v>
      </c>
      <c r="B46" s="5">
        <f>+B2+1</f>
        <v>37</v>
      </c>
      <c r="C46" s="48"/>
      <c r="D46" s="48"/>
      <c r="E46" s="48"/>
      <c r="F46" s="48"/>
      <c r="G46" s="48"/>
      <c r="H46" s="48"/>
      <c r="I46" s="48"/>
      <c r="J46" s="48"/>
      <c r="K46" s="48"/>
      <c r="L46" s="48"/>
      <c r="M46" s="48"/>
    </row>
    <row r="47" spans="1:15" ht="24" customHeight="1" thickBot="1">
      <c r="A47" s="4" t="s">
        <v>33</v>
      </c>
      <c r="H47" s="70" t="s">
        <v>34</v>
      </c>
      <c r="I47" s="70"/>
      <c r="J47" s="70"/>
      <c r="K47" s="102">
        <f>+K3+1</f>
        <v>45963</v>
      </c>
      <c r="L47" s="102"/>
      <c r="M47" s="102"/>
      <c r="O47" s="7"/>
    </row>
    <row r="48" spans="1:15" ht="33.75" customHeight="1" thickBot="1">
      <c r="A48" s="80" t="s">
        <v>1</v>
      </c>
      <c r="B48" s="81"/>
      <c r="C48" s="82"/>
      <c r="D48" s="86" t="str">
        <f>+D4</f>
        <v>光明國中B與C區5樓老舊廁所整修工程</v>
      </c>
      <c r="E48" s="87"/>
      <c r="F48" s="87"/>
      <c r="G48" s="88"/>
      <c r="H48" s="80" t="s">
        <v>2</v>
      </c>
      <c r="I48" s="81"/>
      <c r="J48" s="82"/>
      <c r="K48" s="80" t="s">
        <v>35</v>
      </c>
      <c r="L48" s="81"/>
      <c r="M48" s="82"/>
    </row>
    <row r="49" spans="1:13" ht="33.75" customHeight="1" thickBot="1">
      <c r="A49" s="8" t="s">
        <v>3</v>
      </c>
      <c r="B49" s="45">
        <f>+B5</f>
        <v>142</v>
      </c>
      <c r="C49" s="10" t="s">
        <v>36</v>
      </c>
      <c r="D49" s="80" t="s">
        <v>4</v>
      </c>
      <c r="E49" s="89"/>
      <c r="F49" s="46">
        <f>+F5+1</f>
        <v>37</v>
      </c>
      <c r="G49" s="12" t="s">
        <v>36</v>
      </c>
      <c r="H49" s="13" t="s">
        <v>5</v>
      </c>
      <c r="I49" s="45">
        <f>+B49-F49</f>
        <v>105</v>
      </c>
      <c r="J49" s="10" t="s">
        <v>36</v>
      </c>
      <c r="K49" s="80" t="s">
        <v>6</v>
      </c>
      <c r="L49" s="82"/>
      <c r="M49" s="13">
        <f>+M5</f>
        <v>12</v>
      </c>
    </row>
    <row r="50" spans="1:13" ht="24" customHeight="1" thickBot="1">
      <c r="A50" s="80" t="s">
        <v>7</v>
      </c>
      <c r="B50" s="81"/>
      <c r="C50" s="82"/>
      <c r="D50" s="80" t="str">
        <f>+D6</f>
        <v>114.9.27</v>
      </c>
      <c r="E50" s="81"/>
      <c r="F50" s="81"/>
      <c r="G50" s="82"/>
      <c r="H50" s="80" t="s">
        <v>8</v>
      </c>
      <c r="I50" s="81"/>
      <c r="J50" s="82"/>
      <c r="K50" s="80" t="str">
        <f>+K6</f>
        <v>115.2.15</v>
      </c>
      <c r="L50" s="81"/>
      <c r="M50" s="82"/>
    </row>
    <row r="51" spans="1:13" ht="24" customHeight="1" thickBot="1">
      <c r="A51" s="80" t="s">
        <v>37</v>
      </c>
      <c r="B51" s="81"/>
      <c r="C51" s="82"/>
      <c r="D51" s="83">
        <v>0.02</v>
      </c>
      <c r="E51" s="84"/>
      <c r="F51" s="84"/>
      <c r="G51" s="85"/>
      <c r="H51" s="80" t="s">
        <v>38</v>
      </c>
      <c r="I51" s="81"/>
      <c r="J51" s="82"/>
      <c r="K51" s="83">
        <f>+K7</f>
        <v>5.8000000000000003E-2</v>
      </c>
      <c r="L51" s="84"/>
      <c r="M51" s="85"/>
    </row>
    <row r="52" spans="1:13" ht="24" customHeight="1" thickBot="1">
      <c r="A52" s="72" t="s">
        <v>9</v>
      </c>
      <c r="B52" s="73"/>
      <c r="C52" s="73"/>
      <c r="D52" s="73"/>
      <c r="E52" s="73"/>
      <c r="F52" s="73"/>
      <c r="G52" s="73"/>
      <c r="H52" s="73"/>
      <c r="I52" s="73"/>
      <c r="J52" s="73"/>
      <c r="K52" s="73"/>
      <c r="L52" s="73"/>
      <c r="M52" s="74"/>
    </row>
    <row r="53" spans="1:13" ht="35.25" customHeight="1" thickBot="1">
      <c r="A53" s="75" t="s">
        <v>10</v>
      </c>
      <c r="B53" s="76"/>
      <c r="C53" s="76"/>
      <c r="D53" s="77"/>
      <c r="E53" s="14" t="s">
        <v>11</v>
      </c>
      <c r="F53" s="75" t="s">
        <v>12</v>
      </c>
      <c r="G53" s="77"/>
      <c r="H53" s="75" t="s">
        <v>13</v>
      </c>
      <c r="I53" s="77"/>
      <c r="J53" s="78" t="s">
        <v>14</v>
      </c>
      <c r="K53" s="79"/>
      <c r="L53" s="75" t="s">
        <v>15</v>
      </c>
      <c r="M53" s="77"/>
    </row>
    <row r="54" spans="1:13" ht="27" customHeight="1" thickBot="1">
      <c r="A54" s="63"/>
      <c r="B54" s="64"/>
      <c r="C54" s="64"/>
      <c r="D54" s="65"/>
      <c r="E54" s="2"/>
      <c r="F54" s="56"/>
      <c r="G54" s="57"/>
      <c r="H54" s="56"/>
      <c r="I54" s="57"/>
      <c r="J54" s="56"/>
      <c r="K54" s="57"/>
      <c r="L54" s="58"/>
      <c r="M54" s="59"/>
    </row>
    <row r="55" spans="1:13" ht="27" customHeight="1" thickBot="1">
      <c r="A55" s="123"/>
      <c r="B55" s="124"/>
      <c r="C55" s="124"/>
      <c r="D55" s="125"/>
      <c r="E55" s="15"/>
      <c r="F55" s="126"/>
      <c r="G55" s="127"/>
      <c r="H55" s="126"/>
      <c r="I55" s="127"/>
      <c r="J55" s="126"/>
      <c r="K55" s="127"/>
      <c r="L55" s="128"/>
      <c r="M55" s="129"/>
    </row>
    <row r="56" spans="1:13" ht="24.95" customHeight="1" thickTop="1" thickBot="1">
      <c r="A56" s="130" t="s">
        <v>16</v>
      </c>
      <c r="B56" s="67"/>
      <c r="C56" s="67"/>
      <c r="D56" s="68"/>
      <c r="E56" s="47"/>
      <c r="F56" s="131"/>
      <c r="G56" s="132"/>
      <c r="H56" s="131"/>
      <c r="I56" s="132"/>
      <c r="J56" s="131"/>
      <c r="K56" s="132"/>
      <c r="L56" s="131"/>
      <c r="M56" s="133"/>
    </row>
    <row r="57" spans="1:13" ht="24.95" customHeight="1" thickBot="1">
      <c r="A57" s="134" t="s">
        <v>17</v>
      </c>
      <c r="B57" s="135"/>
      <c r="C57" s="135"/>
      <c r="D57" s="59"/>
      <c r="E57" s="47"/>
      <c r="F57" s="58"/>
      <c r="G57" s="59"/>
      <c r="H57" s="58"/>
      <c r="I57" s="59"/>
      <c r="J57" s="58"/>
      <c r="K57" s="59"/>
      <c r="L57" s="58"/>
      <c r="M57" s="136"/>
    </row>
    <row r="58" spans="1:13" ht="24.95" customHeight="1" thickBot="1">
      <c r="A58" s="118" t="s">
        <v>18</v>
      </c>
      <c r="B58" s="119"/>
      <c r="C58" s="119"/>
      <c r="D58" s="120"/>
      <c r="E58" s="24"/>
      <c r="F58" s="121"/>
      <c r="G58" s="120"/>
      <c r="H58" s="121"/>
      <c r="I58" s="120"/>
      <c r="J58" s="121"/>
      <c r="K58" s="120"/>
      <c r="L58" s="121"/>
      <c r="M58" s="122"/>
    </row>
    <row r="59" spans="1:13" ht="24" customHeight="1" thickTop="1" thickBot="1">
      <c r="A59" s="66" t="s">
        <v>19</v>
      </c>
      <c r="B59" s="67"/>
      <c r="C59" s="67"/>
      <c r="D59" s="67"/>
      <c r="E59" s="67"/>
      <c r="F59" s="67"/>
      <c r="G59" s="67"/>
      <c r="H59" s="67"/>
      <c r="I59" s="67"/>
      <c r="J59" s="67"/>
      <c r="K59" s="67"/>
      <c r="L59" s="67"/>
      <c r="M59" s="68"/>
    </row>
    <row r="60" spans="1:13" ht="35.25" customHeight="1" thickBot="1">
      <c r="A60" s="75" t="s">
        <v>20</v>
      </c>
      <c r="B60" s="76"/>
      <c r="C60" s="76"/>
      <c r="D60" s="77"/>
      <c r="E60" s="14" t="s">
        <v>11</v>
      </c>
      <c r="F60" s="75" t="s">
        <v>39</v>
      </c>
      <c r="G60" s="77"/>
      <c r="H60" s="75" t="s">
        <v>21</v>
      </c>
      <c r="I60" s="77"/>
      <c r="J60" s="78" t="s">
        <v>22</v>
      </c>
      <c r="K60" s="79"/>
      <c r="L60" s="75" t="s">
        <v>15</v>
      </c>
      <c r="M60" s="77"/>
    </row>
    <row r="61" spans="1:13" ht="24" customHeight="1" thickBot="1">
      <c r="A61" s="96"/>
      <c r="B61" s="97"/>
      <c r="C61" s="97"/>
      <c r="D61" s="98"/>
      <c r="E61" s="47"/>
      <c r="F61" s="58"/>
      <c r="G61" s="59"/>
      <c r="H61" s="58"/>
      <c r="I61" s="59"/>
      <c r="J61" s="56"/>
      <c r="K61" s="57"/>
      <c r="L61" s="58"/>
      <c r="M61" s="59"/>
    </row>
    <row r="62" spans="1:13" ht="24" customHeight="1" thickBot="1">
      <c r="A62" s="96"/>
      <c r="B62" s="97"/>
      <c r="C62" s="97"/>
      <c r="D62" s="98"/>
      <c r="E62" s="47"/>
      <c r="F62" s="58"/>
      <c r="G62" s="59"/>
      <c r="H62" s="58"/>
      <c r="I62" s="59"/>
      <c r="J62" s="56"/>
      <c r="K62" s="57"/>
      <c r="L62" s="58"/>
      <c r="M62" s="59"/>
    </row>
    <row r="63" spans="1:13" ht="24" customHeight="1" thickBot="1">
      <c r="A63" s="60" t="s">
        <v>23</v>
      </c>
      <c r="B63" s="61"/>
      <c r="C63" s="61"/>
      <c r="D63" s="61"/>
      <c r="E63" s="61"/>
      <c r="F63" s="61"/>
      <c r="G63" s="61"/>
      <c r="H63" s="61"/>
      <c r="I63" s="61"/>
      <c r="J63" s="61"/>
      <c r="K63" s="61"/>
      <c r="L63" s="61"/>
      <c r="M63" s="62"/>
    </row>
    <row r="64" spans="1:13" ht="35.25" customHeight="1" thickBot="1">
      <c r="A64" s="75" t="s">
        <v>24</v>
      </c>
      <c r="B64" s="77"/>
      <c r="C64" s="75" t="s">
        <v>25</v>
      </c>
      <c r="D64" s="77"/>
      <c r="E64" s="75" t="s">
        <v>26</v>
      </c>
      <c r="F64" s="76"/>
      <c r="G64" s="77"/>
      <c r="H64" s="75" t="s">
        <v>27</v>
      </c>
      <c r="I64" s="77"/>
      <c r="J64" s="78" t="s">
        <v>21</v>
      </c>
      <c r="K64" s="79"/>
      <c r="L64" s="75" t="s">
        <v>22</v>
      </c>
      <c r="M64" s="77"/>
    </row>
    <row r="65" spans="1:13" s="18" customFormat="1" ht="24.75" customHeight="1" thickBot="1">
      <c r="A65" s="99"/>
      <c r="B65" s="137"/>
      <c r="C65" s="56"/>
      <c r="D65" s="57"/>
      <c r="E65" s="56"/>
      <c r="F65" s="100"/>
      <c r="G65" s="57"/>
      <c r="H65" s="56"/>
      <c r="I65" s="57"/>
      <c r="J65" s="56"/>
      <c r="K65" s="57"/>
      <c r="L65" s="56"/>
      <c r="M65" s="57"/>
    </row>
    <row r="66" spans="1:13" s="18" customFormat="1" ht="24.75" customHeight="1" thickBot="1">
      <c r="A66" s="99"/>
      <c r="B66" s="137"/>
      <c r="C66" s="56"/>
      <c r="D66" s="57"/>
      <c r="E66" s="56"/>
      <c r="F66" s="100"/>
      <c r="G66" s="57"/>
      <c r="H66" s="56"/>
      <c r="I66" s="57"/>
      <c r="J66" s="56"/>
      <c r="K66" s="57"/>
      <c r="L66" s="56"/>
      <c r="M66" s="57"/>
    </row>
    <row r="67" spans="1:13" ht="33" customHeight="1" thickBot="1">
      <c r="A67" s="112" t="s">
        <v>60</v>
      </c>
      <c r="B67" s="113"/>
      <c r="C67" s="113"/>
      <c r="D67" s="113"/>
      <c r="E67" s="113"/>
      <c r="F67" s="113"/>
      <c r="G67" s="113"/>
      <c r="H67" s="113"/>
      <c r="I67" s="113"/>
      <c r="J67" s="113"/>
      <c r="K67" s="113"/>
      <c r="L67" s="113"/>
      <c r="M67" s="114"/>
    </row>
    <row r="68" spans="1:13" ht="16.5" customHeight="1">
      <c r="A68" s="115" t="s">
        <v>41</v>
      </c>
      <c r="B68" s="116"/>
      <c r="C68" s="116"/>
      <c r="D68" s="116"/>
      <c r="E68" s="116"/>
      <c r="F68" s="116"/>
      <c r="G68" s="116"/>
      <c r="H68" s="116"/>
      <c r="I68" s="116"/>
      <c r="J68" s="116"/>
      <c r="K68" s="116"/>
      <c r="L68" s="116"/>
      <c r="M68" s="117"/>
    </row>
    <row r="69" spans="1:13" ht="16.5" customHeight="1">
      <c r="A69" s="90" t="s">
        <v>28</v>
      </c>
      <c r="B69" s="91"/>
      <c r="C69" s="91"/>
      <c r="D69" s="91"/>
      <c r="E69" s="91"/>
      <c r="F69" s="91"/>
      <c r="G69" s="91"/>
      <c r="H69" s="91"/>
      <c r="I69" s="91"/>
      <c r="J69" s="91"/>
      <c r="K69" s="91"/>
      <c r="L69" s="91"/>
      <c r="M69" s="92"/>
    </row>
    <row r="70" spans="1:13" ht="16.5" customHeight="1">
      <c r="A70" s="106" t="s">
        <v>42</v>
      </c>
      <c r="B70" s="107"/>
      <c r="C70" s="107"/>
      <c r="D70" s="107"/>
      <c r="E70" s="107"/>
      <c r="F70" s="107"/>
      <c r="G70" s="107"/>
      <c r="H70" s="107"/>
      <c r="I70" s="107"/>
      <c r="J70" s="107"/>
      <c r="K70" s="107"/>
      <c r="L70" s="107"/>
      <c r="M70" s="108"/>
    </row>
    <row r="71" spans="1:13" ht="16.5" customHeight="1">
      <c r="A71" s="106" t="s">
        <v>43</v>
      </c>
      <c r="B71" s="107"/>
      <c r="C71" s="107"/>
      <c r="D71" s="107"/>
      <c r="E71" s="107"/>
      <c r="F71" s="107"/>
      <c r="G71" s="107"/>
      <c r="H71" s="107"/>
      <c r="I71" s="107"/>
      <c r="J71" s="107"/>
      <c r="K71" s="107"/>
      <c r="L71" s="107"/>
      <c r="M71" s="108"/>
    </row>
    <row r="72" spans="1:13" ht="16.5" customHeight="1">
      <c r="A72" s="106" t="s">
        <v>44</v>
      </c>
      <c r="B72" s="107"/>
      <c r="C72" s="107"/>
      <c r="D72" s="107"/>
      <c r="E72" s="107"/>
      <c r="F72" s="107"/>
      <c r="G72" s="107"/>
      <c r="H72" s="107"/>
      <c r="I72" s="107"/>
      <c r="J72" s="107"/>
      <c r="K72" s="107"/>
      <c r="L72" s="107"/>
      <c r="M72" s="108"/>
    </row>
    <row r="73" spans="1:13" ht="16.5" customHeight="1">
      <c r="A73" s="106" t="s">
        <v>45</v>
      </c>
      <c r="B73" s="107"/>
      <c r="C73" s="107"/>
      <c r="D73" s="107"/>
      <c r="E73" s="107"/>
      <c r="F73" s="107"/>
      <c r="G73" s="107"/>
      <c r="H73" s="107"/>
      <c r="I73" s="107"/>
      <c r="J73" s="107"/>
      <c r="K73" s="107"/>
      <c r="L73" s="107"/>
      <c r="M73" s="108"/>
    </row>
    <row r="74" spans="1:13" ht="16.5" customHeight="1">
      <c r="A74" s="106" t="s">
        <v>29</v>
      </c>
      <c r="B74" s="107"/>
      <c r="C74" s="107"/>
      <c r="D74" s="107"/>
      <c r="E74" s="107"/>
      <c r="F74" s="107"/>
      <c r="G74" s="107"/>
      <c r="H74" s="107"/>
      <c r="I74" s="107"/>
      <c r="J74" s="107"/>
      <c r="K74" s="107"/>
      <c r="L74" s="107"/>
      <c r="M74" s="108"/>
    </row>
    <row r="75" spans="1:13" ht="9.75" customHeight="1" thickBot="1">
      <c r="A75" s="109"/>
      <c r="B75" s="110"/>
      <c r="C75" s="110"/>
      <c r="D75" s="110"/>
      <c r="E75" s="110"/>
      <c r="F75" s="110"/>
      <c r="G75" s="110"/>
      <c r="H75" s="110"/>
      <c r="I75" s="110"/>
      <c r="J75" s="110"/>
      <c r="K75" s="110"/>
      <c r="L75" s="110"/>
      <c r="M75" s="111"/>
    </row>
    <row r="76" spans="1:13" ht="18.75" customHeight="1" thickBot="1">
      <c r="A76" s="72" t="s">
        <v>30</v>
      </c>
      <c r="B76" s="73"/>
      <c r="C76" s="73"/>
      <c r="D76" s="73"/>
      <c r="E76" s="73"/>
      <c r="F76" s="73"/>
      <c r="G76" s="73"/>
      <c r="H76" s="73"/>
      <c r="I76" s="73"/>
      <c r="J76" s="73"/>
      <c r="K76" s="73"/>
      <c r="L76" s="73"/>
      <c r="M76" s="74"/>
    </row>
    <row r="77" spans="1:13" ht="24" customHeight="1" thickBot="1">
      <c r="A77" s="72" t="s">
        <v>31</v>
      </c>
      <c r="B77" s="73"/>
      <c r="C77" s="73"/>
      <c r="D77" s="73"/>
      <c r="E77" s="73"/>
      <c r="F77" s="73"/>
      <c r="G77" s="73"/>
      <c r="H77" s="73"/>
      <c r="I77" s="73"/>
      <c r="J77" s="73"/>
      <c r="K77" s="73"/>
      <c r="L77" s="73"/>
      <c r="M77" s="74"/>
    </row>
    <row r="78" spans="1:13" ht="24" customHeight="1" thickBot="1">
      <c r="A78" s="72" t="s">
        <v>99</v>
      </c>
      <c r="B78" s="73"/>
      <c r="C78" s="73"/>
      <c r="D78" s="73"/>
      <c r="E78" s="73"/>
      <c r="F78" s="73"/>
      <c r="G78" s="73"/>
      <c r="H78" s="73"/>
      <c r="I78" s="73"/>
      <c r="J78" s="73"/>
      <c r="K78" s="73"/>
      <c r="L78" s="73"/>
      <c r="M78" s="74"/>
    </row>
    <row r="79" spans="1:13" ht="24" customHeight="1" thickBot="1">
      <c r="A79" s="60" t="s">
        <v>46</v>
      </c>
      <c r="B79" s="61"/>
      <c r="C79" s="61"/>
      <c r="D79" s="61"/>
      <c r="E79" s="61"/>
      <c r="F79" s="61"/>
      <c r="G79" s="61"/>
      <c r="H79" s="61"/>
      <c r="I79" s="61"/>
      <c r="J79" s="61"/>
      <c r="K79" s="61"/>
      <c r="L79" s="61"/>
      <c r="M79" s="62"/>
    </row>
    <row r="80" spans="1:13" ht="11.1" customHeight="1">
      <c r="A80" s="103" t="s">
        <v>47</v>
      </c>
      <c r="B80" s="103"/>
      <c r="C80" s="103"/>
      <c r="D80" s="103"/>
      <c r="E80" s="103"/>
      <c r="F80" s="103"/>
      <c r="G80" s="103"/>
      <c r="H80" s="103"/>
      <c r="I80" s="103"/>
      <c r="J80" s="103"/>
      <c r="K80" s="103"/>
      <c r="L80" s="103"/>
      <c r="M80" s="103"/>
    </row>
    <row r="81" spans="1:15" ht="11.1" customHeight="1">
      <c r="A81" s="104" t="s">
        <v>48</v>
      </c>
      <c r="B81" s="104"/>
      <c r="C81" s="104"/>
      <c r="D81" s="104"/>
      <c r="E81" s="104"/>
      <c r="F81" s="104"/>
      <c r="G81" s="104"/>
      <c r="H81" s="104"/>
      <c r="I81" s="104"/>
      <c r="J81" s="104"/>
      <c r="K81" s="104"/>
      <c r="L81" s="104"/>
      <c r="M81" s="104"/>
    </row>
    <row r="82" spans="1:15" ht="11.1" customHeight="1">
      <c r="A82" s="105" t="s">
        <v>49</v>
      </c>
      <c r="B82" s="105"/>
      <c r="C82" s="105"/>
      <c r="D82" s="105"/>
      <c r="E82" s="105"/>
      <c r="F82" s="105"/>
      <c r="G82" s="105"/>
      <c r="H82" s="105"/>
      <c r="I82" s="105"/>
      <c r="J82" s="105"/>
      <c r="K82" s="105"/>
      <c r="L82" s="105"/>
      <c r="M82" s="105"/>
    </row>
    <row r="83" spans="1:15" ht="11.1" customHeight="1">
      <c r="A83" s="105" t="s">
        <v>50</v>
      </c>
      <c r="B83" s="105"/>
      <c r="C83" s="105"/>
      <c r="D83" s="105"/>
      <c r="E83" s="105"/>
      <c r="F83" s="105"/>
      <c r="G83" s="105"/>
      <c r="H83" s="105"/>
      <c r="I83" s="105"/>
      <c r="J83" s="105"/>
      <c r="K83" s="105"/>
      <c r="L83" s="105"/>
      <c r="M83" s="105"/>
    </row>
    <row r="84" spans="1:15" ht="11.1" customHeight="1">
      <c r="A84" s="104" t="s">
        <v>51</v>
      </c>
      <c r="B84" s="104"/>
      <c r="C84" s="104"/>
      <c r="D84" s="104"/>
      <c r="E84" s="104"/>
      <c r="F84" s="104"/>
      <c r="G84" s="104"/>
      <c r="H84" s="104"/>
      <c r="I84" s="104"/>
      <c r="J84" s="104"/>
      <c r="K84" s="104"/>
      <c r="L84" s="104"/>
      <c r="M84" s="104"/>
    </row>
    <row r="85" spans="1:15" ht="11.1" customHeight="1">
      <c r="A85" s="104" t="s">
        <v>52</v>
      </c>
      <c r="B85" s="104"/>
      <c r="C85" s="104"/>
      <c r="D85" s="104"/>
      <c r="E85" s="104"/>
      <c r="F85" s="104"/>
      <c r="G85" s="104"/>
      <c r="H85" s="104"/>
      <c r="I85" s="104"/>
      <c r="J85" s="104"/>
      <c r="K85" s="104"/>
      <c r="L85" s="104"/>
      <c r="M85" s="104"/>
    </row>
    <row r="86" spans="1:15" ht="11.1" customHeight="1">
      <c r="A86" s="104" t="s">
        <v>53</v>
      </c>
      <c r="B86" s="104"/>
      <c r="C86" s="104"/>
      <c r="D86" s="104"/>
      <c r="E86" s="104"/>
      <c r="F86" s="104"/>
      <c r="G86" s="104"/>
      <c r="H86" s="104"/>
      <c r="I86" s="104"/>
      <c r="J86" s="104"/>
      <c r="K86" s="104"/>
      <c r="L86" s="104"/>
      <c r="M86" s="104"/>
    </row>
    <row r="87" spans="1:15" ht="11.1" customHeight="1">
      <c r="A87" s="101" t="s">
        <v>54</v>
      </c>
      <c r="B87" s="101"/>
      <c r="C87" s="101"/>
      <c r="D87" s="101"/>
      <c r="E87" s="101"/>
      <c r="F87" s="101"/>
      <c r="G87" s="101"/>
      <c r="H87" s="101"/>
      <c r="I87" s="101"/>
      <c r="J87" s="101"/>
      <c r="K87" s="101"/>
      <c r="L87" s="101"/>
      <c r="M87" s="101"/>
    </row>
    <row r="88" spans="1:15" ht="11.1" customHeight="1">
      <c r="A88" s="101" t="s">
        <v>55</v>
      </c>
      <c r="B88" s="101"/>
      <c r="C88" s="101"/>
      <c r="D88" s="101"/>
      <c r="E88" s="101"/>
      <c r="F88" s="101"/>
      <c r="G88" s="101"/>
      <c r="H88" s="101"/>
      <c r="I88" s="101"/>
      <c r="J88" s="101"/>
      <c r="K88" s="101"/>
      <c r="L88" s="101"/>
      <c r="M88" s="101"/>
    </row>
    <row r="89" spans="1:15" ht="19.5" customHeight="1">
      <c r="A89" s="69" t="s">
        <v>0</v>
      </c>
      <c r="B89" s="69"/>
      <c r="C89" s="69"/>
      <c r="D89" s="69"/>
      <c r="E89" s="69"/>
      <c r="F89" s="69"/>
      <c r="G89" s="69"/>
      <c r="H89" s="69"/>
      <c r="I89" s="69"/>
      <c r="J89" s="69"/>
      <c r="K89" s="69"/>
      <c r="L89" s="69"/>
      <c r="M89" s="69"/>
    </row>
    <row r="90" spans="1:15" ht="20.100000000000001" customHeight="1">
      <c r="A90" s="4" t="s">
        <v>32</v>
      </c>
      <c r="B90" s="5">
        <f>+B46+1</f>
        <v>38</v>
      </c>
      <c r="C90" s="48"/>
      <c r="D90" s="48"/>
      <c r="E90" s="48"/>
      <c r="F90" s="48"/>
      <c r="G90" s="48"/>
      <c r="H90" s="48"/>
      <c r="I90" s="48"/>
      <c r="J90" s="48"/>
      <c r="K90" s="48"/>
      <c r="L90" s="48"/>
      <c r="M90" s="48"/>
    </row>
    <row r="91" spans="1:15" ht="24" customHeight="1" thickBot="1">
      <c r="A91" s="4" t="s">
        <v>33</v>
      </c>
      <c r="H91" s="70" t="s">
        <v>34</v>
      </c>
      <c r="I91" s="70"/>
      <c r="J91" s="70"/>
      <c r="K91" s="102">
        <f>+K47+1</f>
        <v>45964</v>
      </c>
      <c r="L91" s="102"/>
      <c r="M91" s="102"/>
      <c r="O91" s="7"/>
    </row>
    <row r="92" spans="1:15" ht="33.75" customHeight="1" thickBot="1">
      <c r="A92" s="80" t="s">
        <v>1</v>
      </c>
      <c r="B92" s="81"/>
      <c r="C92" s="82"/>
      <c r="D92" s="86" t="str">
        <f>+D48</f>
        <v>光明國中B與C區5樓老舊廁所整修工程</v>
      </c>
      <c r="E92" s="87"/>
      <c r="F92" s="87"/>
      <c r="G92" s="88"/>
      <c r="H92" s="80" t="s">
        <v>2</v>
      </c>
      <c r="I92" s="81"/>
      <c r="J92" s="82"/>
      <c r="K92" s="80" t="s">
        <v>35</v>
      </c>
      <c r="L92" s="81"/>
      <c r="M92" s="82"/>
    </row>
    <row r="93" spans="1:15" ht="33.75" customHeight="1" thickBot="1">
      <c r="A93" s="8" t="s">
        <v>3</v>
      </c>
      <c r="B93" s="45">
        <f>+B49</f>
        <v>142</v>
      </c>
      <c r="C93" s="10" t="s">
        <v>36</v>
      </c>
      <c r="D93" s="80" t="s">
        <v>4</v>
      </c>
      <c r="E93" s="89"/>
      <c r="F93" s="46">
        <f>+F49+1</f>
        <v>38</v>
      </c>
      <c r="G93" s="12" t="s">
        <v>36</v>
      </c>
      <c r="H93" s="13" t="s">
        <v>5</v>
      </c>
      <c r="I93" s="45">
        <f>+B93-F93</f>
        <v>104</v>
      </c>
      <c r="J93" s="10" t="s">
        <v>36</v>
      </c>
      <c r="K93" s="80" t="s">
        <v>6</v>
      </c>
      <c r="L93" s="82"/>
      <c r="M93" s="13">
        <f>+M49</f>
        <v>12</v>
      </c>
    </row>
    <row r="94" spans="1:15" ht="24" customHeight="1" thickBot="1">
      <c r="A94" s="80" t="s">
        <v>7</v>
      </c>
      <c r="B94" s="81"/>
      <c r="C94" s="82"/>
      <c r="D94" s="80" t="str">
        <f>+D50</f>
        <v>114.9.27</v>
      </c>
      <c r="E94" s="81"/>
      <c r="F94" s="81"/>
      <c r="G94" s="82"/>
      <c r="H94" s="80" t="s">
        <v>8</v>
      </c>
      <c r="I94" s="81"/>
      <c r="J94" s="82"/>
      <c r="K94" s="80" t="str">
        <f>+K50</f>
        <v>115.2.15</v>
      </c>
      <c r="L94" s="81"/>
      <c r="M94" s="82"/>
    </row>
    <row r="95" spans="1:15" ht="24" customHeight="1" thickBot="1">
      <c r="A95" s="80" t="s">
        <v>37</v>
      </c>
      <c r="B95" s="81"/>
      <c r="C95" s="82"/>
      <c r="D95" s="83">
        <v>2.1999999999999999E-2</v>
      </c>
      <c r="E95" s="84"/>
      <c r="F95" s="84"/>
      <c r="G95" s="85"/>
      <c r="H95" s="80" t="s">
        <v>38</v>
      </c>
      <c r="I95" s="81"/>
      <c r="J95" s="82"/>
      <c r="K95" s="83">
        <f>+K51</f>
        <v>5.8000000000000003E-2</v>
      </c>
      <c r="L95" s="84"/>
      <c r="M95" s="85"/>
    </row>
    <row r="96" spans="1:15" ht="24" customHeight="1" thickBot="1">
      <c r="A96" s="72" t="s">
        <v>9</v>
      </c>
      <c r="B96" s="73"/>
      <c r="C96" s="73"/>
      <c r="D96" s="73"/>
      <c r="E96" s="73"/>
      <c r="F96" s="73"/>
      <c r="G96" s="73"/>
      <c r="H96" s="73"/>
      <c r="I96" s="73"/>
      <c r="J96" s="73"/>
      <c r="K96" s="73"/>
      <c r="L96" s="73"/>
      <c r="M96" s="74"/>
    </row>
    <row r="97" spans="1:13" ht="35.25" customHeight="1" thickBot="1">
      <c r="A97" s="75" t="s">
        <v>10</v>
      </c>
      <c r="B97" s="76"/>
      <c r="C97" s="76"/>
      <c r="D97" s="77"/>
      <c r="E97" s="14" t="s">
        <v>11</v>
      </c>
      <c r="F97" s="75" t="s">
        <v>12</v>
      </c>
      <c r="G97" s="77"/>
      <c r="H97" s="75" t="s">
        <v>13</v>
      </c>
      <c r="I97" s="77"/>
      <c r="J97" s="78" t="s">
        <v>14</v>
      </c>
      <c r="K97" s="79"/>
      <c r="L97" s="75" t="s">
        <v>15</v>
      </c>
      <c r="M97" s="77"/>
    </row>
    <row r="98" spans="1:13" ht="27" customHeight="1" thickBot="1">
      <c r="A98" s="63"/>
      <c r="B98" s="64"/>
      <c r="C98" s="64"/>
      <c r="D98" s="65"/>
      <c r="E98" s="2"/>
      <c r="F98" s="56"/>
      <c r="G98" s="57"/>
      <c r="H98" s="56"/>
      <c r="I98" s="57"/>
      <c r="J98" s="56"/>
      <c r="K98" s="57"/>
      <c r="L98" s="58"/>
      <c r="M98" s="59"/>
    </row>
    <row r="99" spans="1:13" ht="27" customHeight="1" thickBot="1">
      <c r="A99" s="123"/>
      <c r="B99" s="124"/>
      <c r="C99" s="124"/>
      <c r="D99" s="125"/>
      <c r="E99" s="15"/>
      <c r="F99" s="126"/>
      <c r="G99" s="127"/>
      <c r="H99" s="126"/>
      <c r="I99" s="127"/>
      <c r="J99" s="126"/>
      <c r="K99" s="127"/>
      <c r="L99" s="128"/>
      <c r="M99" s="129"/>
    </row>
    <row r="100" spans="1:13" ht="24.95" customHeight="1" thickTop="1" thickBot="1">
      <c r="A100" s="130" t="s">
        <v>16</v>
      </c>
      <c r="B100" s="67"/>
      <c r="C100" s="67"/>
      <c r="D100" s="68"/>
      <c r="E100" s="47"/>
      <c r="F100" s="131"/>
      <c r="G100" s="132"/>
      <c r="H100" s="131"/>
      <c r="I100" s="132"/>
      <c r="J100" s="131"/>
      <c r="K100" s="132"/>
      <c r="L100" s="131"/>
      <c r="M100" s="133"/>
    </row>
    <row r="101" spans="1:13" ht="24.95" customHeight="1" thickBot="1">
      <c r="A101" s="134" t="s">
        <v>17</v>
      </c>
      <c r="B101" s="135"/>
      <c r="C101" s="135"/>
      <c r="D101" s="59"/>
      <c r="E101" s="47"/>
      <c r="F101" s="58"/>
      <c r="G101" s="59"/>
      <c r="H101" s="58"/>
      <c r="I101" s="59"/>
      <c r="J101" s="58"/>
      <c r="K101" s="59"/>
      <c r="L101" s="58"/>
      <c r="M101" s="136"/>
    </row>
    <row r="102" spans="1:13" ht="24.95" customHeight="1" thickBot="1">
      <c r="A102" s="118" t="s">
        <v>18</v>
      </c>
      <c r="B102" s="119"/>
      <c r="C102" s="119"/>
      <c r="D102" s="120"/>
      <c r="E102" s="24"/>
      <c r="F102" s="121"/>
      <c r="G102" s="120"/>
      <c r="H102" s="121"/>
      <c r="I102" s="120"/>
      <c r="J102" s="121"/>
      <c r="K102" s="120"/>
      <c r="L102" s="121"/>
      <c r="M102" s="122"/>
    </row>
    <row r="103" spans="1:13" ht="24" customHeight="1" thickTop="1" thickBot="1">
      <c r="A103" s="66" t="s">
        <v>19</v>
      </c>
      <c r="B103" s="67"/>
      <c r="C103" s="67"/>
      <c r="D103" s="67"/>
      <c r="E103" s="67"/>
      <c r="F103" s="67"/>
      <c r="G103" s="67"/>
      <c r="H103" s="67"/>
      <c r="I103" s="67"/>
      <c r="J103" s="67"/>
      <c r="K103" s="67"/>
      <c r="L103" s="67"/>
      <c r="M103" s="68"/>
    </row>
    <row r="104" spans="1:13" ht="35.25" customHeight="1" thickBot="1">
      <c r="A104" s="75" t="s">
        <v>20</v>
      </c>
      <c r="B104" s="76"/>
      <c r="C104" s="76"/>
      <c r="D104" s="77"/>
      <c r="E104" s="14" t="s">
        <v>11</v>
      </c>
      <c r="F104" s="75" t="s">
        <v>39</v>
      </c>
      <c r="G104" s="77"/>
      <c r="H104" s="75" t="s">
        <v>21</v>
      </c>
      <c r="I104" s="77"/>
      <c r="J104" s="78" t="s">
        <v>22</v>
      </c>
      <c r="K104" s="79"/>
      <c r="L104" s="75" t="s">
        <v>15</v>
      </c>
      <c r="M104" s="77"/>
    </row>
    <row r="105" spans="1:13" ht="24" customHeight="1" thickBot="1">
      <c r="A105" s="96"/>
      <c r="B105" s="97"/>
      <c r="C105" s="97"/>
      <c r="D105" s="98"/>
      <c r="E105" s="47"/>
      <c r="F105" s="58"/>
      <c r="G105" s="59"/>
      <c r="H105" s="58"/>
      <c r="I105" s="59"/>
      <c r="J105" s="56"/>
      <c r="K105" s="57"/>
      <c r="L105" s="58"/>
      <c r="M105" s="59"/>
    </row>
    <row r="106" spans="1:13" ht="24" customHeight="1" thickBot="1">
      <c r="A106" s="96"/>
      <c r="B106" s="97"/>
      <c r="C106" s="97"/>
      <c r="D106" s="98"/>
      <c r="E106" s="47"/>
      <c r="F106" s="58"/>
      <c r="G106" s="59"/>
      <c r="H106" s="58"/>
      <c r="I106" s="59"/>
      <c r="J106" s="56"/>
      <c r="K106" s="57"/>
      <c r="L106" s="58"/>
      <c r="M106" s="59"/>
    </row>
    <row r="107" spans="1:13" ht="24" customHeight="1" thickBot="1">
      <c r="A107" s="60" t="s">
        <v>23</v>
      </c>
      <c r="B107" s="61"/>
      <c r="C107" s="61"/>
      <c r="D107" s="61"/>
      <c r="E107" s="61"/>
      <c r="F107" s="61"/>
      <c r="G107" s="61"/>
      <c r="H107" s="61"/>
      <c r="I107" s="61"/>
      <c r="J107" s="61"/>
      <c r="K107" s="61"/>
      <c r="L107" s="61"/>
      <c r="M107" s="62"/>
    </row>
    <row r="108" spans="1:13" ht="35.25" customHeight="1" thickBot="1">
      <c r="A108" s="75" t="s">
        <v>24</v>
      </c>
      <c r="B108" s="77"/>
      <c r="C108" s="75" t="s">
        <v>25</v>
      </c>
      <c r="D108" s="77"/>
      <c r="E108" s="75" t="s">
        <v>26</v>
      </c>
      <c r="F108" s="76"/>
      <c r="G108" s="77"/>
      <c r="H108" s="75" t="s">
        <v>27</v>
      </c>
      <c r="I108" s="77"/>
      <c r="J108" s="78" t="s">
        <v>21</v>
      </c>
      <c r="K108" s="79"/>
      <c r="L108" s="75" t="s">
        <v>22</v>
      </c>
      <c r="M108" s="77"/>
    </row>
    <row r="109" spans="1:13" s="18" customFormat="1" ht="24.75" customHeight="1" thickBot="1">
      <c r="A109" s="99"/>
      <c r="B109" s="98"/>
      <c r="C109" s="56"/>
      <c r="D109" s="57"/>
      <c r="E109" s="56"/>
      <c r="F109" s="100"/>
      <c r="G109" s="57"/>
      <c r="H109" s="56"/>
      <c r="I109" s="57"/>
      <c r="J109" s="56"/>
      <c r="K109" s="57"/>
      <c r="L109" s="56"/>
      <c r="M109" s="57"/>
    </row>
    <row r="110" spans="1:13" s="18" customFormat="1" ht="24.75" customHeight="1" thickBot="1">
      <c r="A110" s="99"/>
      <c r="B110" s="98"/>
      <c r="C110" s="56"/>
      <c r="D110" s="57"/>
      <c r="E110" s="56"/>
      <c r="F110" s="100"/>
      <c r="G110" s="57"/>
      <c r="H110" s="56"/>
      <c r="I110" s="57"/>
      <c r="J110" s="56"/>
      <c r="K110" s="57"/>
      <c r="L110" s="56"/>
      <c r="M110" s="57"/>
    </row>
    <row r="111" spans="1:13" ht="33" customHeight="1" thickBot="1">
      <c r="A111" s="112" t="s">
        <v>60</v>
      </c>
      <c r="B111" s="113"/>
      <c r="C111" s="113"/>
      <c r="D111" s="113"/>
      <c r="E111" s="113"/>
      <c r="F111" s="113"/>
      <c r="G111" s="113"/>
      <c r="H111" s="113"/>
      <c r="I111" s="113"/>
      <c r="J111" s="113"/>
      <c r="K111" s="113"/>
      <c r="L111" s="113"/>
      <c r="M111" s="114"/>
    </row>
    <row r="112" spans="1:13" ht="16.5" customHeight="1">
      <c r="A112" s="115" t="s">
        <v>41</v>
      </c>
      <c r="B112" s="116"/>
      <c r="C112" s="116"/>
      <c r="D112" s="116"/>
      <c r="E112" s="116"/>
      <c r="F112" s="116"/>
      <c r="G112" s="116"/>
      <c r="H112" s="116"/>
      <c r="I112" s="116"/>
      <c r="J112" s="116"/>
      <c r="K112" s="116"/>
      <c r="L112" s="116"/>
      <c r="M112" s="117"/>
    </row>
    <row r="113" spans="1:13" ht="16.5" customHeight="1">
      <c r="A113" s="90" t="s">
        <v>28</v>
      </c>
      <c r="B113" s="91"/>
      <c r="C113" s="91"/>
      <c r="D113" s="91"/>
      <c r="E113" s="91"/>
      <c r="F113" s="91"/>
      <c r="G113" s="91"/>
      <c r="H113" s="91"/>
      <c r="I113" s="91"/>
      <c r="J113" s="91"/>
      <c r="K113" s="91"/>
      <c r="L113" s="91"/>
      <c r="M113" s="92"/>
    </row>
    <row r="114" spans="1:13" ht="16.5" customHeight="1">
      <c r="A114" s="106" t="s">
        <v>42</v>
      </c>
      <c r="B114" s="107"/>
      <c r="C114" s="107"/>
      <c r="D114" s="107"/>
      <c r="E114" s="107"/>
      <c r="F114" s="107"/>
      <c r="G114" s="107"/>
      <c r="H114" s="107"/>
      <c r="I114" s="107"/>
      <c r="J114" s="107"/>
      <c r="K114" s="107"/>
      <c r="L114" s="107"/>
      <c r="M114" s="108"/>
    </row>
    <row r="115" spans="1:13" ht="16.5" customHeight="1">
      <c r="A115" s="106" t="s">
        <v>43</v>
      </c>
      <c r="B115" s="107"/>
      <c r="C115" s="107"/>
      <c r="D115" s="107"/>
      <c r="E115" s="107"/>
      <c r="F115" s="107"/>
      <c r="G115" s="107"/>
      <c r="H115" s="107"/>
      <c r="I115" s="107"/>
      <c r="J115" s="107"/>
      <c r="K115" s="107"/>
      <c r="L115" s="107"/>
      <c r="M115" s="108"/>
    </row>
    <row r="116" spans="1:13" ht="16.5" customHeight="1">
      <c r="A116" s="106" t="s">
        <v>44</v>
      </c>
      <c r="B116" s="107"/>
      <c r="C116" s="107"/>
      <c r="D116" s="107"/>
      <c r="E116" s="107"/>
      <c r="F116" s="107"/>
      <c r="G116" s="107"/>
      <c r="H116" s="107"/>
      <c r="I116" s="107"/>
      <c r="J116" s="107"/>
      <c r="K116" s="107"/>
      <c r="L116" s="107"/>
      <c r="M116" s="108"/>
    </row>
    <row r="117" spans="1:13" ht="16.5" customHeight="1">
      <c r="A117" s="106" t="s">
        <v>45</v>
      </c>
      <c r="B117" s="107"/>
      <c r="C117" s="107"/>
      <c r="D117" s="107"/>
      <c r="E117" s="107"/>
      <c r="F117" s="107"/>
      <c r="G117" s="107"/>
      <c r="H117" s="107"/>
      <c r="I117" s="107"/>
      <c r="J117" s="107"/>
      <c r="K117" s="107"/>
      <c r="L117" s="107"/>
      <c r="M117" s="108"/>
    </row>
    <row r="118" spans="1:13" ht="16.5" customHeight="1">
      <c r="A118" s="106" t="s">
        <v>29</v>
      </c>
      <c r="B118" s="107"/>
      <c r="C118" s="107"/>
      <c r="D118" s="107"/>
      <c r="E118" s="107"/>
      <c r="F118" s="107"/>
      <c r="G118" s="107"/>
      <c r="H118" s="107"/>
      <c r="I118" s="107"/>
      <c r="J118" s="107"/>
      <c r="K118" s="107"/>
      <c r="L118" s="107"/>
      <c r="M118" s="108"/>
    </row>
    <row r="119" spans="1:13" ht="9.75" customHeight="1" thickBot="1">
      <c r="A119" s="109"/>
      <c r="B119" s="110"/>
      <c r="C119" s="110"/>
      <c r="D119" s="110"/>
      <c r="E119" s="110"/>
      <c r="F119" s="110"/>
      <c r="G119" s="110"/>
      <c r="H119" s="110"/>
      <c r="I119" s="110"/>
      <c r="J119" s="110"/>
      <c r="K119" s="110"/>
      <c r="L119" s="110"/>
      <c r="M119" s="111"/>
    </row>
    <row r="120" spans="1:13" ht="18.75" customHeight="1" thickBot="1">
      <c r="A120" s="72" t="s">
        <v>30</v>
      </c>
      <c r="B120" s="73"/>
      <c r="C120" s="73"/>
      <c r="D120" s="73"/>
      <c r="E120" s="73"/>
      <c r="F120" s="73"/>
      <c r="G120" s="73"/>
      <c r="H120" s="73"/>
      <c r="I120" s="73"/>
      <c r="J120" s="73"/>
      <c r="K120" s="73"/>
      <c r="L120" s="73"/>
      <c r="M120" s="74"/>
    </row>
    <row r="121" spans="1:13" ht="24" customHeight="1" thickBot="1">
      <c r="A121" s="72" t="s">
        <v>31</v>
      </c>
      <c r="B121" s="73"/>
      <c r="C121" s="73"/>
      <c r="D121" s="73"/>
      <c r="E121" s="73"/>
      <c r="F121" s="73"/>
      <c r="G121" s="73"/>
      <c r="H121" s="73"/>
      <c r="I121" s="73"/>
      <c r="J121" s="73"/>
      <c r="K121" s="73"/>
      <c r="L121" s="73"/>
      <c r="M121" s="74"/>
    </row>
    <row r="122" spans="1:13" ht="24" customHeight="1" thickBot="1">
      <c r="A122" s="72" t="s">
        <v>99</v>
      </c>
      <c r="B122" s="73"/>
      <c r="C122" s="73"/>
      <c r="D122" s="73"/>
      <c r="E122" s="73"/>
      <c r="F122" s="73"/>
      <c r="G122" s="73"/>
      <c r="H122" s="73"/>
      <c r="I122" s="73"/>
      <c r="J122" s="73"/>
      <c r="K122" s="73"/>
      <c r="L122" s="73"/>
      <c r="M122" s="74"/>
    </row>
    <row r="123" spans="1:13" ht="24" customHeight="1" thickBot="1">
      <c r="A123" s="60" t="s">
        <v>46</v>
      </c>
      <c r="B123" s="61"/>
      <c r="C123" s="61"/>
      <c r="D123" s="61"/>
      <c r="E123" s="61"/>
      <c r="F123" s="61"/>
      <c r="G123" s="61"/>
      <c r="H123" s="61"/>
      <c r="I123" s="61"/>
      <c r="J123" s="61"/>
      <c r="K123" s="61"/>
      <c r="L123" s="61"/>
      <c r="M123" s="62"/>
    </row>
    <row r="124" spans="1:13" ht="11.1" customHeight="1">
      <c r="A124" s="103" t="s">
        <v>47</v>
      </c>
      <c r="B124" s="103"/>
      <c r="C124" s="103"/>
      <c r="D124" s="103"/>
      <c r="E124" s="103"/>
      <c r="F124" s="103"/>
      <c r="G124" s="103"/>
      <c r="H124" s="103"/>
      <c r="I124" s="103"/>
      <c r="J124" s="103"/>
      <c r="K124" s="103"/>
      <c r="L124" s="103"/>
      <c r="M124" s="103"/>
    </row>
    <row r="125" spans="1:13" ht="11.1" customHeight="1">
      <c r="A125" s="104" t="s">
        <v>48</v>
      </c>
      <c r="B125" s="104"/>
      <c r="C125" s="104"/>
      <c r="D125" s="104"/>
      <c r="E125" s="104"/>
      <c r="F125" s="104"/>
      <c r="G125" s="104"/>
      <c r="H125" s="104"/>
      <c r="I125" s="104"/>
      <c r="J125" s="104"/>
      <c r="K125" s="104"/>
      <c r="L125" s="104"/>
      <c r="M125" s="104"/>
    </row>
    <row r="126" spans="1:13" ht="11.1" customHeight="1">
      <c r="A126" s="105" t="s">
        <v>49</v>
      </c>
      <c r="B126" s="105"/>
      <c r="C126" s="105"/>
      <c r="D126" s="105"/>
      <c r="E126" s="105"/>
      <c r="F126" s="105"/>
      <c r="G126" s="105"/>
      <c r="H126" s="105"/>
      <c r="I126" s="105"/>
      <c r="J126" s="105"/>
      <c r="K126" s="105"/>
      <c r="L126" s="105"/>
      <c r="M126" s="105"/>
    </row>
    <row r="127" spans="1:13" ht="11.1" customHeight="1">
      <c r="A127" s="105" t="s">
        <v>50</v>
      </c>
      <c r="B127" s="105"/>
      <c r="C127" s="105"/>
      <c r="D127" s="105"/>
      <c r="E127" s="105"/>
      <c r="F127" s="105"/>
      <c r="G127" s="105"/>
      <c r="H127" s="105"/>
      <c r="I127" s="105"/>
      <c r="J127" s="105"/>
      <c r="K127" s="105"/>
      <c r="L127" s="105"/>
      <c r="M127" s="105"/>
    </row>
    <row r="128" spans="1:13" ht="11.1" customHeight="1">
      <c r="A128" s="104" t="s">
        <v>51</v>
      </c>
      <c r="B128" s="104"/>
      <c r="C128" s="104"/>
      <c r="D128" s="104"/>
      <c r="E128" s="104"/>
      <c r="F128" s="104"/>
      <c r="G128" s="104"/>
      <c r="H128" s="104"/>
      <c r="I128" s="104"/>
      <c r="J128" s="104"/>
      <c r="K128" s="104"/>
      <c r="L128" s="104"/>
      <c r="M128" s="104"/>
    </row>
    <row r="129" spans="1:15" ht="11.1" customHeight="1">
      <c r="A129" s="104" t="s">
        <v>52</v>
      </c>
      <c r="B129" s="104"/>
      <c r="C129" s="104"/>
      <c r="D129" s="104"/>
      <c r="E129" s="104"/>
      <c r="F129" s="104"/>
      <c r="G129" s="104"/>
      <c r="H129" s="104"/>
      <c r="I129" s="104"/>
      <c r="J129" s="104"/>
      <c r="K129" s="104"/>
      <c r="L129" s="104"/>
      <c r="M129" s="104"/>
    </row>
    <row r="130" spans="1:15" ht="11.1" customHeight="1">
      <c r="A130" s="104" t="s">
        <v>53</v>
      </c>
      <c r="B130" s="104"/>
      <c r="C130" s="104"/>
      <c r="D130" s="104"/>
      <c r="E130" s="104"/>
      <c r="F130" s="104"/>
      <c r="G130" s="104"/>
      <c r="H130" s="104"/>
      <c r="I130" s="104"/>
      <c r="J130" s="104"/>
      <c r="K130" s="104"/>
      <c r="L130" s="104"/>
      <c r="M130" s="104"/>
    </row>
    <row r="131" spans="1:15" ht="11.1" customHeight="1">
      <c r="A131" s="101" t="s">
        <v>54</v>
      </c>
      <c r="B131" s="101"/>
      <c r="C131" s="101"/>
      <c r="D131" s="101"/>
      <c r="E131" s="101"/>
      <c r="F131" s="101"/>
      <c r="G131" s="101"/>
      <c r="H131" s="101"/>
      <c r="I131" s="101"/>
      <c r="J131" s="101"/>
      <c r="K131" s="101"/>
      <c r="L131" s="101"/>
      <c r="M131" s="101"/>
    </row>
    <row r="132" spans="1:15" ht="11.1" customHeight="1">
      <c r="A132" s="101" t="s">
        <v>55</v>
      </c>
      <c r="B132" s="101"/>
      <c r="C132" s="101"/>
      <c r="D132" s="101"/>
      <c r="E132" s="101"/>
      <c r="F132" s="101"/>
      <c r="G132" s="101"/>
      <c r="H132" s="101"/>
      <c r="I132" s="101"/>
      <c r="J132" s="101"/>
      <c r="K132" s="101"/>
      <c r="L132" s="101"/>
      <c r="M132" s="101"/>
    </row>
    <row r="133" spans="1:15" ht="19.5" customHeight="1">
      <c r="A133" s="69" t="s">
        <v>0</v>
      </c>
      <c r="B133" s="69"/>
      <c r="C133" s="69"/>
      <c r="D133" s="69"/>
      <c r="E133" s="69"/>
      <c r="F133" s="69"/>
      <c r="G133" s="69"/>
      <c r="H133" s="69"/>
      <c r="I133" s="69"/>
      <c r="J133" s="69"/>
      <c r="K133" s="69"/>
      <c r="L133" s="69"/>
      <c r="M133" s="69"/>
    </row>
    <row r="134" spans="1:15" ht="20.100000000000001" customHeight="1">
      <c r="A134" s="4" t="s">
        <v>32</v>
      </c>
      <c r="B134" s="5">
        <f>+B90+1</f>
        <v>39</v>
      </c>
      <c r="C134" s="48"/>
      <c r="D134" s="48"/>
      <c r="E134" s="48"/>
      <c r="F134" s="48"/>
      <c r="G134" s="48"/>
      <c r="H134" s="48"/>
      <c r="I134" s="48"/>
      <c r="J134" s="48"/>
      <c r="K134" s="48"/>
      <c r="L134" s="48"/>
      <c r="M134" s="48"/>
    </row>
    <row r="135" spans="1:15" ht="24" customHeight="1" thickBot="1">
      <c r="A135" s="4" t="s">
        <v>33</v>
      </c>
      <c r="H135" s="70" t="s">
        <v>34</v>
      </c>
      <c r="I135" s="70"/>
      <c r="J135" s="70"/>
      <c r="K135" s="102">
        <f>+K91+1</f>
        <v>45965</v>
      </c>
      <c r="L135" s="102"/>
      <c r="M135" s="102"/>
      <c r="O135" s="7"/>
    </row>
    <row r="136" spans="1:15" ht="33.75" customHeight="1" thickBot="1">
      <c r="A136" s="80" t="s">
        <v>1</v>
      </c>
      <c r="B136" s="81"/>
      <c r="C136" s="82"/>
      <c r="D136" s="86" t="str">
        <f>+D92</f>
        <v>光明國中B與C區5樓老舊廁所整修工程</v>
      </c>
      <c r="E136" s="87"/>
      <c r="F136" s="87"/>
      <c r="G136" s="88"/>
      <c r="H136" s="80" t="s">
        <v>2</v>
      </c>
      <c r="I136" s="81"/>
      <c r="J136" s="82"/>
      <c r="K136" s="80" t="s">
        <v>35</v>
      </c>
      <c r="L136" s="81"/>
      <c r="M136" s="82"/>
    </row>
    <row r="137" spans="1:15" ht="33.75" customHeight="1" thickBot="1">
      <c r="A137" s="8" t="s">
        <v>3</v>
      </c>
      <c r="B137" s="45">
        <f>+B93</f>
        <v>142</v>
      </c>
      <c r="C137" s="10" t="s">
        <v>36</v>
      </c>
      <c r="D137" s="80" t="s">
        <v>4</v>
      </c>
      <c r="E137" s="89"/>
      <c r="F137" s="46">
        <f>+F93+1</f>
        <v>39</v>
      </c>
      <c r="G137" s="12" t="s">
        <v>36</v>
      </c>
      <c r="H137" s="13" t="s">
        <v>5</v>
      </c>
      <c r="I137" s="45">
        <f>+B137-F137</f>
        <v>103</v>
      </c>
      <c r="J137" s="10" t="s">
        <v>36</v>
      </c>
      <c r="K137" s="80" t="s">
        <v>6</v>
      </c>
      <c r="L137" s="82"/>
      <c r="M137" s="13">
        <f>+M93</f>
        <v>12</v>
      </c>
    </row>
    <row r="138" spans="1:15" ht="24" customHeight="1" thickBot="1">
      <c r="A138" s="80" t="s">
        <v>7</v>
      </c>
      <c r="B138" s="81"/>
      <c r="C138" s="82"/>
      <c r="D138" s="80" t="str">
        <f>+D94</f>
        <v>114.9.27</v>
      </c>
      <c r="E138" s="81"/>
      <c r="F138" s="81"/>
      <c r="G138" s="82"/>
      <c r="H138" s="80" t="s">
        <v>8</v>
      </c>
      <c r="I138" s="81"/>
      <c r="J138" s="82"/>
      <c r="K138" s="80" t="str">
        <f>+K94</f>
        <v>115.2.15</v>
      </c>
      <c r="L138" s="81"/>
      <c r="M138" s="82"/>
    </row>
    <row r="139" spans="1:15" ht="24" customHeight="1" thickBot="1">
      <c r="A139" s="80" t="s">
        <v>37</v>
      </c>
      <c r="B139" s="81"/>
      <c r="C139" s="82"/>
      <c r="D139" s="83">
        <v>2.4E-2</v>
      </c>
      <c r="E139" s="84"/>
      <c r="F139" s="84"/>
      <c r="G139" s="85"/>
      <c r="H139" s="80" t="s">
        <v>38</v>
      </c>
      <c r="I139" s="81"/>
      <c r="J139" s="82"/>
      <c r="K139" s="83">
        <f>+K95</f>
        <v>5.8000000000000003E-2</v>
      </c>
      <c r="L139" s="84"/>
      <c r="M139" s="85"/>
    </row>
    <row r="140" spans="1:15" ht="24" customHeight="1" thickBot="1">
      <c r="A140" s="72" t="s">
        <v>9</v>
      </c>
      <c r="B140" s="73"/>
      <c r="C140" s="73"/>
      <c r="D140" s="73"/>
      <c r="E140" s="73"/>
      <c r="F140" s="73"/>
      <c r="G140" s="73"/>
      <c r="H140" s="73"/>
      <c r="I140" s="73"/>
      <c r="J140" s="73"/>
      <c r="K140" s="73"/>
      <c r="L140" s="73"/>
      <c r="M140" s="74"/>
    </row>
    <row r="141" spans="1:15" ht="35.25" customHeight="1" thickBot="1">
      <c r="A141" s="75" t="s">
        <v>10</v>
      </c>
      <c r="B141" s="76"/>
      <c r="C141" s="76"/>
      <c r="D141" s="77"/>
      <c r="E141" s="14" t="s">
        <v>11</v>
      </c>
      <c r="F141" s="75" t="s">
        <v>12</v>
      </c>
      <c r="G141" s="77"/>
      <c r="H141" s="75" t="s">
        <v>13</v>
      </c>
      <c r="I141" s="77"/>
      <c r="J141" s="78" t="s">
        <v>14</v>
      </c>
      <c r="K141" s="79"/>
      <c r="L141" s="75" t="s">
        <v>15</v>
      </c>
      <c r="M141" s="77"/>
    </row>
    <row r="142" spans="1:15" ht="27" customHeight="1" thickBot="1">
      <c r="A142" s="63"/>
      <c r="B142" s="64"/>
      <c r="C142" s="64"/>
      <c r="D142" s="65"/>
      <c r="E142" s="2"/>
      <c r="F142" s="56"/>
      <c r="G142" s="57"/>
      <c r="H142" s="56"/>
      <c r="I142" s="57"/>
      <c r="J142" s="56"/>
      <c r="K142" s="57"/>
      <c r="L142" s="58"/>
      <c r="M142" s="59"/>
    </row>
    <row r="143" spans="1:15" ht="27" customHeight="1" thickBot="1">
      <c r="A143" s="123"/>
      <c r="B143" s="124"/>
      <c r="C143" s="124"/>
      <c r="D143" s="125"/>
      <c r="E143" s="15"/>
      <c r="F143" s="126"/>
      <c r="G143" s="127"/>
      <c r="H143" s="126"/>
      <c r="I143" s="127"/>
      <c r="J143" s="126"/>
      <c r="K143" s="127"/>
      <c r="L143" s="128"/>
      <c r="M143" s="129"/>
    </row>
    <row r="144" spans="1:15" ht="24.95" customHeight="1" thickTop="1" thickBot="1">
      <c r="A144" s="130" t="s">
        <v>16</v>
      </c>
      <c r="B144" s="67"/>
      <c r="C144" s="67"/>
      <c r="D144" s="68"/>
      <c r="E144" s="47"/>
      <c r="F144" s="131"/>
      <c r="G144" s="132"/>
      <c r="H144" s="131"/>
      <c r="I144" s="132"/>
      <c r="J144" s="131"/>
      <c r="K144" s="132"/>
      <c r="L144" s="131"/>
      <c r="M144" s="133"/>
    </row>
    <row r="145" spans="1:13" ht="24.95" customHeight="1" thickBot="1">
      <c r="A145" s="134" t="s">
        <v>17</v>
      </c>
      <c r="B145" s="135"/>
      <c r="C145" s="135"/>
      <c r="D145" s="59"/>
      <c r="E145" s="47"/>
      <c r="F145" s="58"/>
      <c r="G145" s="59"/>
      <c r="H145" s="58"/>
      <c r="I145" s="59"/>
      <c r="J145" s="58"/>
      <c r="K145" s="59"/>
      <c r="L145" s="58"/>
      <c r="M145" s="136"/>
    </row>
    <row r="146" spans="1:13" ht="24.95" customHeight="1" thickBot="1">
      <c r="A146" s="118" t="s">
        <v>18</v>
      </c>
      <c r="B146" s="119"/>
      <c r="C146" s="119"/>
      <c r="D146" s="120"/>
      <c r="E146" s="24"/>
      <c r="F146" s="121"/>
      <c r="G146" s="120"/>
      <c r="H146" s="121"/>
      <c r="I146" s="120"/>
      <c r="J146" s="121"/>
      <c r="K146" s="120"/>
      <c r="L146" s="121"/>
      <c r="M146" s="122"/>
    </row>
    <row r="147" spans="1:13" ht="24" customHeight="1" thickTop="1" thickBot="1">
      <c r="A147" s="66" t="s">
        <v>19</v>
      </c>
      <c r="B147" s="67"/>
      <c r="C147" s="67"/>
      <c r="D147" s="67"/>
      <c r="E147" s="67"/>
      <c r="F147" s="67"/>
      <c r="G147" s="67"/>
      <c r="H147" s="67"/>
      <c r="I147" s="67"/>
      <c r="J147" s="67"/>
      <c r="K147" s="67"/>
      <c r="L147" s="67"/>
      <c r="M147" s="68"/>
    </row>
    <row r="148" spans="1:13" ht="35.25" customHeight="1" thickBot="1">
      <c r="A148" s="75" t="s">
        <v>20</v>
      </c>
      <c r="B148" s="76"/>
      <c r="C148" s="76"/>
      <c r="D148" s="77"/>
      <c r="E148" s="14" t="s">
        <v>11</v>
      </c>
      <c r="F148" s="75" t="s">
        <v>39</v>
      </c>
      <c r="G148" s="77"/>
      <c r="H148" s="75" t="s">
        <v>21</v>
      </c>
      <c r="I148" s="77"/>
      <c r="J148" s="78" t="s">
        <v>22</v>
      </c>
      <c r="K148" s="79"/>
      <c r="L148" s="75" t="s">
        <v>15</v>
      </c>
      <c r="M148" s="77"/>
    </row>
    <row r="149" spans="1:13" ht="24" customHeight="1" thickBot="1">
      <c r="A149" s="96"/>
      <c r="B149" s="97"/>
      <c r="C149" s="97"/>
      <c r="D149" s="98"/>
      <c r="E149" s="47"/>
      <c r="F149" s="58"/>
      <c r="G149" s="59"/>
      <c r="H149" s="58"/>
      <c r="I149" s="59"/>
      <c r="J149" s="56"/>
      <c r="K149" s="57"/>
      <c r="L149" s="58"/>
      <c r="M149" s="59"/>
    </row>
    <row r="150" spans="1:13" ht="24" customHeight="1" thickBot="1">
      <c r="A150" s="96"/>
      <c r="B150" s="97"/>
      <c r="C150" s="97"/>
      <c r="D150" s="98"/>
      <c r="E150" s="47"/>
      <c r="F150" s="58"/>
      <c r="G150" s="59"/>
      <c r="H150" s="58"/>
      <c r="I150" s="59"/>
      <c r="J150" s="56"/>
      <c r="K150" s="57"/>
      <c r="L150" s="58"/>
      <c r="M150" s="59"/>
    </row>
    <row r="151" spans="1:13" ht="24" customHeight="1" thickBot="1">
      <c r="A151" s="60" t="s">
        <v>23</v>
      </c>
      <c r="B151" s="61"/>
      <c r="C151" s="61"/>
      <c r="D151" s="61"/>
      <c r="E151" s="61"/>
      <c r="F151" s="61"/>
      <c r="G151" s="61"/>
      <c r="H151" s="61"/>
      <c r="I151" s="61"/>
      <c r="J151" s="61"/>
      <c r="K151" s="61"/>
      <c r="L151" s="61"/>
      <c r="M151" s="62"/>
    </row>
    <row r="152" spans="1:13" ht="35.25" customHeight="1" thickBot="1">
      <c r="A152" s="75" t="s">
        <v>24</v>
      </c>
      <c r="B152" s="77"/>
      <c r="C152" s="75" t="s">
        <v>25</v>
      </c>
      <c r="D152" s="77"/>
      <c r="E152" s="75" t="s">
        <v>26</v>
      </c>
      <c r="F152" s="76"/>
      <c r="G152" s="77"/>
      <c r="H152" s="75" t="s">
        <v>27</v>
      </c>
      <c r="I152" s="77"/>
      <c r="J152" s="78" t="s">
        <v>21</v>
      </c>
      <c r="K152" s="79"/>
      <c r="L152" s="75" t="s">
        <v>22</v>
      </c>
      <c r="M152" s="77"/>
    </row>
    <row r="153" spans="1:13" s="18" customFormat="1" ht="24.75" customHeight="1" thickBot="1">
      <c r="A153" s="99"/>
      <c r="B153" s="98"/>
      <c r="C153" s="56"/>
      <c r="D153" s="57"/>
      <c r="E153" s="56"/>
      <c r="F153" s="100"/>
      <c r="G153" s="57"/>
      <c r="H153" s="56"/>
      <c r="I153" s="57"/>
      <c r="J153" s="56"/>
      <c r="K153" s="57"/>
      <c r="L153" s="56"/>
      <c r="M153" s="57"/>
    </row>
    <row r="154" spans="1:13" s="18" customFormat="1" ht="24.75" customHeight="1" thickBot="1">
      <c r="A154" s="99"/>
      <c r="B154" s="98"/>
      <c r="C154" s="56"/>
      <c r="D154" s="57"/>
      <c r="E154" s="56"/>
      <c r="F154" s="100"/>
      <c r="G154" s="57"/>
      <c r="H154" s="56"/>
      <c r="I154" s="57"/>
      <c r="J154" s="56"/>
      <c r="K154" s="57"/>
      <c r="L154" s="56"/>
      <c r="M154" s="57"/>
    </row>
    <row r="155" spans="1:13" ht="33" customHeight="1" thickBot="1">
      <c r="A155" s="112" t="s">
        <v>40</v>
      </c>
      <c r="B155" s="113"/>
      <c r="C155" s="113"/>
      <c r="D155" s="113"/>
      <c r="E155" s="113"/>
      <c r="F155" s="113"/>
      <c r="G155" s="113"/>
      <c r="H155" s="113"/>
      <c r="I155" s="113"/>
      <c r="J155" s="113"/>
      <c r="K155" s="113"/>
      <c r="L155" s="113"/>
      <c r="M155" s="114"/>
    </row>
    <row r="156" spans="1:13" ht="16.5" customHeight="1">
      <c r="A156" s="115" t="s">
        <v>41</v>
      </c>
      <c r="B156" s="116"/>
      <c r="C156" s="116"/>
      <c r="D156" s="116"/>
      <c r="E156" s="116"/>
      <c r="F156" s="116"/>
      <c r="G156" s="116"/>
      <c r="H156" s="116"/>
      <c r="I156" s="116"/>
      <c r="J156" s="116"/>
      <c r="K156" s="116"/>
      <c r="L156" s="116"/>
      <c r="M156" s="117"/>
    </row>
    <row r="157" spans="1:13" ht="16.5" customHeight="1">
      <c r="A157" s="90" t="s">
        <v>28</v>
      </c>
      <c r="B157" s="91"/>
      <c r="C157" s="91"/>
      <c r="D157" s="91"/>
      <c r="E157" s="91"/>
      <c r="F157" s="91"/>
      <c r="G157" s="91"/>
      <c r="H157" s="91"/>
      <c r="I157" s="91"/>
      <c r="J157" s="91"/>
      <c r="K157" s="91"/>
      <c r="L157" s="91"/>
      <c r="M157" s="92"/>
    </row>
    <row r="158" spans="1:13" s="1" customFormat="1" ht="16.5" customHeight="1">
      <c r="A158" s="93" t="s">
        <v>56</v>
      </c>
      <c r="B158" s="94"/>
      <c r="C158" s="94"/>
      <c r="D158" s="94"/>
      <c r="E158" s="94"/>
      <c r="F158" s="94"/>
      <c r="G158" s="94"/>
      <c r="H158" s="94"/>
      <c r="I158" s="94"/>
      <c r="J158" s="94"/>
      <c r="K158" s="94"/>
      <c r="L158" s="94"/>
      <c r="M158" s="95"/>
    </row>
    <row r="159" spans="1:13" s="1" customFormat="1" ht="16.5" customHeight="1">
      <c r="A159" s="93" t="s">
        <v>57</v>
      </c>
      <c r="B159" s="94"/>
      <c r="C159" s="94"/>
      <c r="D159" s="94"/>
      <c r="E159" s="94"/>
      <c r="F159" s="94"/>
      <c r="G159" s="94"/>
      <c r="H159" s="94"/>
      <c r="I159" s="94"/>
      <c r="J159" s="94"/>
      <c r="K159" s="94"/>
      <c r="L159" s="94"/>
      <c r="M159" s="95"/>
    </row>
    <row r="160" spans="1:13" s="1" customFormat="1" ht="16.5" customHeight="1">
      <c r="A160" s="93" t="s">
        <v>58</v>
      </c>
      <c r="B160" s="94"/>
      <c r="C160" s="94"/>
      <c r="D160" s="94"/>
      <c r="E160" s="94"/>
      <c r="F160" s="94"/>
      <c r="G160" s="94"/>
      <c r="H160" s="94"/>
      <c r="I160" s="94"/>
      <c r="J160" s="94"/>
      <c r="K160" s="94"/>
      <c r="L160" s="94"/>
      <c r="M160" s="95"/>
    </row>
    <row r="161" spans="1:13" s="1" customFormat="1" ht="16.5" customHeight="1">
      <c r="A161" s="93" t="s">
        <v>59</v>
      </c>
      <c r="B161" s="94"/>
      <c r="C161" s="94"/>
      <c r="D161" s="94"/>
      <c r="E161" s="94"/>
      <c r="F161" s="94"/>
      <c r="G161" s="94"/>
      <c r="H161" s="94"/>
      <c r="I161" s="94"/>
      <c r="J161" s="94"/>
      <c r="K161" s="94"/>
      <c r="L161" s="94"/>
      <c r="M161" s="95"/>
    </row>
    <row r="162" spans="1:13" ht="16.5" customHeight="1">
      <c r="A162" s="106" t="s">
        <v>29</v>
      </c>
      <c r="B162" s="107"/>
      <c r="C162" s="107"/>
      <c r="D162" s="107"/>
      <c r="E162" s="107"/>
      <c r="F162" s="107"/>
      <c r="G162" s="107"/>
      <c r="H162" s="107"/>
      <c r="I162" s="107"/>
      <c r="J162" s="107"/>
      <c r="K162" s="107"/>
      <c r="L162" s="107"/>
      <c r="M162" s="108"/>
    </row>
    <row r="163" spans="1:13" ht="9.75" customHeight="1" thickBot="1">
      <c r="A163" s="109"/>
      <c r="B163" s="110"/>
      <c r="C163" s="110"/>
      <c r="D163" s="110"/>
      <c r="E163" s="110"/>
      <c r="F163" s="110"/>
      <c r="G163" s="110"/>
      <c r="H163" s="110"/>
      <c r="I163" s="110"/>
      <c r="J163" s="110"/>
      <c r="K163" s="110"/>
      <c r="L163" s="110"/>
      <c r="M163" s="111"/>
    </row>
    <row r="164" spans="1:13" ht="18.75" customHeight="1" thickBot="1">
      <c r="A164" s="72" t="s">
        <v>30</v>
      </c>
      <c r="B164" s="73"/>
      <c r="C164" s="73"/>
      <c r="D164" s="73"/>
      <c r="E164" s="73"/>
      <c r="F164" s="73"/>
      <c r="G164" s="73"/>
      <c r="H164" s="73"/>
      <c r="I164" s="73"/>
      <c r="J164" s="73"/>
      <c r="K164" s="73"/>
      <c r="L164" s="73"/>
      <c r="M164" s="74"/>
    </row>
    <row r="165" spans="1:13" ht="24" customHeight="1" thickBot="1">
      <c r="A165" s="72" t="s">
        <v>31</v>
      </c>
      <c r="B165" s="73"/>
      <c r="C165" s="73"/>
      <c r="D165" s="73"/>
      <c r="E165" s="73"/>
      <c r="F165" s="73"/>
      <c r="G165" s="73"/>
      <c r="H165" s="73"/>
      <c r="I165" s="73"/>
      <c r="J165" s="73"/>
      <c r="K165" s="73"/>
      <c r="L165" s="73"/>
      <c r="M165" s="74"/>
    </row>
    <row r="166" spans="1:13" ht="27" customHeight="1" thickBot="1">
      <c r="A166" s="72" t="s">
        <v>62</v>
      </c>
      <c r="B166" s="73"/>
      <c r="C166" s="73"/>
      <c r="D166" s="73"/>
      <c r="E166" s="73"/>
      <c r="F166" s="73"/>
      <c r="G166" s="73"/>
      <c r="H166" s="73"/>
      <c r="I166" s="73"/>
      <c r="J166" s="73"/>
      <c r="K166" s="73"/>
      <c r="L166" s="73"/>
      <c r="M166" s="74"/>
    </row>
    <row r="167" spans="1:13" ht="24" customHeight="1" thickBot="1">
      <c r="A167" s="60" t="s">
        <v>46</v>
      </c>
      <c r="B167" s="61"/>
      <c r="C167" s="61"/>
      <c r="D167" s="61"/>
      <c r="E167" s="61"/>
      <c r="F167" s="61"/>
      <c r="G167" s="61"/>
      <c r="H167" s="61"/>
      <c r="I167" s="61"/>
      <c r="J167" s="61"/>
      <c r="K167" s="61"/>
      <c r="L167" s="61"/>
      <c r="M167" s="62"/>
    </row>
    <row r="168" spans="1:13" ht="11.1" customHeight="1">
      <c r="A168" s="103" t="s">
        <v>47</v>
      </c>
      <c r="B168" s="103"/>
      <c r="C168" s="103"/>
      <c r="D168" s="103"/>
      <c r="E168" s="103"/>
      <c r="F168" s="103"/>
      <c r="G168" s="103"/>
      <c r="H168" s="103"/>
      <c r="I168" s="103"/>
      <c r="J168" s="103"/>
      <c r="K168" s="103"/>
      <c r="L168" s="103"/>
      <c r="M168" s="103"/>
    </row>
    <row r="169" spans="1:13" ht="11.1" customHeight="1">
      <c r="A169" s="104" t="s">
        <v>48</v>
      </c>
      <c r="B169" s="104"/>
      <c r="C169" s="104"/>
      <c r="D169" s="104"/>
      <c r="E169" s="104"/>
      <c r="F169" s="104"/>
      <c r="G169" s="104"/>
      <c r="H169" s="104"/>
      <c r="I169" s="104"/>
      <c r="J169" s="104"/>
      <c r="K169" s="104"/>
      <c r="L169" s="104"/>
      <c r="M169" s="104"/>
    </row>
    <row r="170" spans="1:13" ht="11.1" customHeight="1">
      <c r="A170" s="105" t="s">
        <v>49</v>
      </c>
      <c r="B170" s="105"/>
      <c r="C170" s="105"/>
      <c r="D170" s="105"/>
      <c r="E170" s="105"/>
      <c r="F170" s="105"/>
      <c r="G170" s="105"/>
      <c r="H170" s="105"/>
      <c r="I170" s="105"/>
      <c r="J170" s="105"/>
      <c r="K170" s="105"/>
      <c r="L170" s="105"/>
      <c r="M170" s="105"/>
    </row>
    <row r="171" spans="1:13" ht="11.1" customHeight="1">
      <c r="A171" s="105" t="s">
        <v>50</v>
      </c>
      <c r="B171" s="105"/>
      <c r="C171" s="105"/>
      <c r="D171" s="105"/>
      <c r="E171" s="105"/>
      <c r="F171" s="105"/>
      <c r="G171" s="105"/>
      <c r="H171" s="105"/>
      <c r="I171" s="105"/>
      <c r="J171" s="105"/>
      <c r="K171" s="105"/>
      <c r="L171" s="105"/>
      <c r="M171" s="105"/>
    </row>
    <row r="172" spans="1:13" ht="11.1" customHeight="1">
      <c r="A172" s="104" t="s">
        <v>51</v>
      </c>
      <c r="B172" s="104"/>
      <c r="C172" s="104"/>
      <c r="D172" s="104"/>
      <c r="E172" s="104"/>
      <c r="F172" s="104"/>
      <c r="G172" s="104"/>
      <c r="H172" s="104"/>
      <c r="I172" s="104"/>
      <c r="J172" s="104"/>
      <c r="K172" s="104"/>
      <c r="L172" s="104"/>
      <c r="M172" s="104"/>
    </row>
    <row r="173" spans="1:13" ht="11.1" customHeight="1">
      <c r="A173" s="104" t="s">
        <v>52</v>
      </c>
      <c r="B173" s="104"/>
      <c r="C173" s="104"/>
      <c r="D173" s="104"/>
      <c r="E173" s="104"/>
      <c r="F173" s="104"/>
      <c r="G173" s="104"/>
      <c r="H173" s="104"/>
      <c r="I173" s="104"/>
      <c r="J173" s="104"/>
      <c r="K173" s="104"/>
      <c r="L173" s="104"/>
      <c r="M173" s="104"/>
    </row>
    <row r="174" spans="1:13" ht="11.1" customHeight="1">
      <c r="A174" s="104" t="s">
        <v>53</v>
      </c>
      <c r="B174" s="104"/>
      <c r="C174" s="104"/>
      <c r="D174" s="104"/>
      <c r="E174" s="104"/>
      <c r="F174" s="104"/>
      <c r="G174" s="104"/>
      <c r="H174" s="104"/>
      <c r="I174" s="104"/>
      <c r="J174" s="104"/>
      <c r="K174" s="104"/>
      <c r="L174" s="104"/>
      <c r="M174" s="104"/>
    </row>
    <row r="175" spans="1:13" ht="11.1" customHeight="1">
      <c r="A175" s="101" t="s">
        <v>54</v>
      </c>
      <c r="B175" s="101"/>
      <c r="C175" s="101"/>
      <c r="D175" s="101"/>
      <c r="E175" s="101"/>
      <c r="F175" s="101"/>
      <c r="G175" s="101"/>
      <c r="H175" s="101"/>
      <c r="I175" s="101"/>
      <c r="J175" s="101"/>
      <c r="K175" s="101"/>
      <c r="L175" s="101"/>
      <c r="M175" s="101"/>
    </row>
    <row r="176" spans="1:13" ht="11.1" customHeight="1">
      <c r="A176" s="101" t="s">
        <v>55</v>
      </c>
      <c r="B176" s="101"/>
      <c r="C176" s="101"/>
      <c r="D176" s="101"/>
      <c r="E176" s="101"/>
      <c r="F176" s="101"/>
      <c r="G176" s="101"/>
      <c r="H176" s="101"/>
      <c r="I176" s="101"/>
      <c r="J176" s="101"/>
      <c r="K176" s="101"/>
      <c r="L176" s="101"/>
      <c r="M176" s="101"/>
    </row>
    <row r="177" spans="1:15" ht="19.5" customHeight="1">
      <c r="A177" s="69" t="s">
        <v>0</v>
      </c>
      <c r="B177" s="69"/>
      <c r="C177" s="69"/>
      <c r="D177" s="69"/>
      <c r="E177" s="69"/>
      <c r="F177" s="69"/>
      <c r="G177" s="69"/>
      <c r="H177" s="69"/>
      <c r="I177" s="69"/>
      <c r="J177" s="69"/>
      <c r="K177" s="69"/>
      <c r="L177" s="69"/>
      <c r="M177" s="69"/>
    </row>
    <row r="178" spans="1:15" ht="20.100000000000001" customHeight="1">
      <c r="A178" s="4" t="s">
        <v>32</v>
      </c>
      <c r="B178" s="5">
        <f>+B134+1</f>
        <v>40</v>
      </c>
      <c r="C178" s="48"/>
      <c r="D178" s="48"/>
      <c r="E178" s="48"/>
      <c r="F178" s="48"/>
      <c r="G178" s="48"/>
      <c r="H178" s="48"/>
      <c r="I178" s="48"/>
      <c r="J178" s="48"/>
      <c r="K178" s="48"/>
      <c r="L178" s="48"/>
      <c r="M178" s="48"/>
    </row>
    <row r="179" spans="1:15" ht="24" customHeight="1" thickBot="1">
      <c r="A179" s="4" t="s">
        <v>33</v>
      </c>
      <c r="H179" s="70" t="s">
        <v>34</v>
      </c>
      <c r="I179" s="70"/>
      <c r="J179" s="70"/>
      <c r="K179" s="102">
        <f>+K135+1</f>
        <v>45966</v>
      </c>
      <c r="L179" s="102"/>
      <c r="M179" s="102"/>
      <c r="O179" s="7"/>
    </row>
    <row r="180" spans="1:15" ht="33.75" customHeight="1" thickBot="1">
      <c r="A180" s="80" t="s">
        <v>1</v>
      </c>
      <c r="B180" s="81"/>
      <c r="C180" s="82"/>
      <c r="D180" s="86" t="str">
        <f>+D136</f>
        <v>光明國中B與C區5樓老舊廁所整修工程</v>
      </c>
      <c r="E180" s="87"/>
      <c r="F180" s="87"/>
      <c r="G180" s="88"/>
      <c r="H180" s="80" t="s">
        <v>2</v>
      </c>
      <c r="I180" s="81"/>
      <c r="J180" s="82"/>
      <c r="K180" s="80" t="s">
        <v>35</v>
      </c>
      <c r="L180" s="81"/>
      <c r="M180" s="82"/>
    </row>
    <row r="181" spans="1:15" ht="33.75" customHeight="1" thickBot="1">
      <c r="A181" s="8" t="s">
        <v>3</v>
      </c>
      <c r="B181" s="45">
        <f>+B137</f>
        <v>142</v>
      </c>
      <c r="C181" s="10" t="s">
        <v>36</v>
      </c>
      <c r="D181" s="80" t="s">
        <v>4</v>
      </c>
      <c r="E181" s="89"/>
      <c r="F181" s="46">
        <f>+F137+1</f>
        <v>40</v>
      </c>
      <c r="G181" s="12" t="s">
        <v>36</v>
      </c>
      <c r="H181" s="13" t="s">
        <v>5</v>
      </c>
      <c r="I181" s="45">
        <f>+B181-F181</f>
        <v>102</v>
      </c>
      <c r="J181" s="10" t="s">
        <v>36</v>
      </c>
      <c r="K181" s="80" t="s">
        <v>6</v>
      </c>
      <c r="L181" s="82"/>
      <c r="M181" s="13">
        <f>+M137</f>
        <v>12</v>
      </c>
    </row>
    <row r="182" spans="1:15" ht="24" customHeight="1" thickBot="1">
      <c r="A182" s="80" t="s">
        <v>7</v>
      </c>
      <c r="B182" s="81"/>
      <c r="C182" s="82"/>
      <c r="D182" s="80" t="str">
        <f>+D138</f>
        <v>114.9.27</v>
      </c>
      <c r="E182" s="81"/>
      <c r="F182" s="81"/>
      <c r="G182" s="82"/>
      <c r="H182" s="80" t="s">
        <v>8</v>
      </c>
      <c r="I182" s="81"/>
      <c r="J182" s="82"/>
      <c r="K182" s="80" t="str">
        <f>+K138</f>
        <v>115.2.15</v>
      </c>
      <c r="L182" s="81"/>
      <c r="M182" s="82"/>
    </row>
    <row r="183" spans="1:15" ht="24" customHeight="1" thickBot="1">
      <c r="A183" s="80" t="s">
        <v>37</v>
      </c>
      <c r="B183" s="81"/>
      <c r="C183" s="82"/>
      <c r="D183" s="83">
        <v>2.5999999999999999E-2</v>
      </c>
      <c r="E183" s="84"/>
      <c r="F183" s="84"/>
      <c r="G183" s="85"/>
      <c r="H183" s="80" t="s">
        <v>38</v>
      </c>
      <c r="I183" s="81"/>
      <c r="J183" s="82"/>
      <c r="K183" s="83">
        <f>+K139</f>
        <v>5.8000000000000003E-2</v>
      </c>
      <c r="L183" s="84"/>
      <c r="M183" s="85"/>
    </row>
    <row r="184" spans="1:15" ht="24" customHeight="1" thickBot="1">
      <c r="A184" s="72" t="s">
        <v>9</v>
      </c>
      <c r="B184" s="73"/>
      <c r="C184" s="73"/>
      <c r="D184" s="73"/>
      <c r="E184" s="73"/>
      <c r="F184" s="73"/>
      <c r="G184" s="73"/>
      <c r="H184" s="73"/>
      <c r="I184" s="73"/>
      <c r="J184" s="73"/>
      <c r="K184" s="73"/>
      <c r="L184" s="73"/>
      <c r="M184" s="74"/>
    </row>
    <row r="185" spans="1:15" ht="35.25" customHeight="1" thickBot="1">
      <c r="A185" s="75" t="s">
        <v>10</v>
      </c>
      <c r="B185" s="76"/>
      <c r="C185" s="76"/>
      <c r="D185" s="77"/>
      <c r="E185" s="14" t="s">
        <v>11</v>
      </c>
      <c r="F185" s="75" t="s">
        <v>12</v>
      </c>
      <c r="G185" s="77"/>
      <c r="H185" s="75" t="s">
        <v>13</v>
      </c>
      <c r="I185" s="77"/>
      <c r="J185" s="78" t="s">
        <v>14</v>
      </c>
      <c r="K185" s="79"/>
      <c r="L185" s="75" t="s">
        <v>15</v>
      </c>
      <c r="M185" s="77"/>
    </row>
    <row r="186" spans="1:15" ht="27" customHeight="1" thickBot="1">
      <c r="A186" s="63"/>
      <c r="B186" s="64"/>
      <c r="C186" s="64"/>
      <c r="D186" s="65"/>
      <c r="E186" s="2"/>
      <c r="F186" s="56"/>
      <c r="G186" s="57"/>
      <c r="H186" s="56"/>
      <c r="I186" s="57"/>
      <c r="J186" s="56"/>
      <c r="K186" s="57"/>
      <c r="L186" s="58"/>
      <c r="M186" s="59"/>
    </row>
    <row r="187" spans="1:15" ht="27" customHeight="1" thickBot="1">
      <c r="A187" s="123"/>
      <c r="B187" s="124"/>
      <c r="C187" s="124"/>
      <c r="D187" s="125"/>
      <c r="E187" s="15"/>
      <c r="F187" s="126"/>
      <c r="G187" s="127"/>
      <c r="H187" s="126"/>
      <c r="I187" s="127"/>
      <c r="J187" s="126"/>
      <c r="K187" s="127"/>
      <c r="L187" s="128"/>
      <c r="M187" s="129"/>
    </row>
    <row r="188" spans="1:15" ht="24.95" customHeight="1" thickTop="1" thickBot="1">
      <c r="A188" s="130" t="s">
        <v>16</v>
      </c>
      <c r="B188" s="67"/>
      <c r="C188" s="67"/>
      <c r="D188" s="68"/>
      <c r="E188" s="47"/>
      <c r="F188" s="131"/>
      <c r="G188" s="132"/>
      <c r="H188" s="131"/>
      <c r="I188" s="132"/>
      <c r="J188" s="131"/>
      <c r="K188" s="132"/>
      <c r="L188" s="131"/>
      <c r="M188" s="133"/>
    </row>
    <row r="189" spans="1:15" ht="24.95" customHeight="1" thickBot="1">
      <c r="A189" s="134"/>
      <c r="B189" s="135"/>
      <c r="C189" s="135"/>
      <c r="D189" s="59"/>
      <c r="E189" s="47"/>
      <c r="F189" s="58"/>
      <c r="G189" s="59"/>
      <c r="H189" s="58"/>
      <c r="I189" s="59"/>
      <c r="J189" s="58"/>
      <c r="K189" s="59"/>
      <c r="L189" s="58"/>
      <c r="M189" s="136"/>
    </row>
    <row r="190" spans="1:15" ht="24.95" customHeight="1" thickBot="1">
      <c r="A190" s="118"/>
      <c r="B190" s="119"/>
      <c r="C190" s="119"/>
      <c r="D190" s="120"/>
      <c r="E190" s="24"/>
      <c r="F190" s="121"/>
      <c r="G190" s="120"/>
      <c r="H190" s="121"/>
      <c r="I190" s="120"/>
      <c r="J190" s="121"/>
      <c r="K190" s="120"/>
      <c r="L190" s="121"/>
      <c r="M190" s="122"/>
    </row>
    <row r="191" spans="1:15" ht="24" customHeight="1" thickTop="1" thickBot="1">
      <c r="A191" s="66" t="s">
        <v>19</v>
      </c>
      <c r="B191" s="67"/>
      <c r="C191" s="67"/>
      <c r="D191" s="67"/>
      <c r="E191" s="67"/>
      <c r="F191" s="67"/>
      <c r="G191" s="67"/>
      <c r="H191" s="67"/>
      <c r="I191" s="67"/>
      <c r="J191" s="67"/>
      <c r="K191" s="67"/>
      <c r="L191" s="67"/>
      <c r="M191" s="68"/>
    </row>
    <row r="192" spans="1:15" ht="35.25" customHeight="1" thickBot="1">
      <c r="A192" s="75" t="s">
        <v>20</v>
      </c>
      <c r="B192" s="76"/>
      <c r="C192" s="76"/>
      <c r="D192" s="77"/>
      <c r="E192" s="14" t="s">
        <v>11</v>
      </c>
      <c r="F192" s="75" t="s">
        <v>39</v>
      </c>
      <c r="G192" s="77"/>
      <c r="H192" s="75" t="s">
        <v>21</v>
      </c>
      <c r="I192" s="77"/>
      <c r="J192" s="78" t="s">
        <v>22</v>
      </c>
      <c r="K192" s="79"/>
      <c r="L192" s="75" t="s">
        <v>15</v>
      </c>
      <c r="M192" s="77"/>
    </row>
    <row r="193" spans="1:13" ht="24" customHeight="1" thickBot="1">
      <c r="A193" s="96"/>
      <c r="B193" s="97"/>
      <c r="C193" s="97"/>
      <c r="D193" s="98"/>
      <c r="E193" s="47"/>
      <c r="F193" s="58"/>
      <c r="G193" s="59"/>
      <c r="H193" s="58"/>
      <c r="I193" s="59"/>
      <c r="J193" s="56"/>
      <c r="K193" s="57"/>
      <c r="L193" s="58"/>
      <c r="M193" s="59"/>
    </row>
    <row r="194" spans="1:13" ht="24" customHeight="1" thickBot="1">
      <c r="A194" s="96"/>
      <c r="B194" s="97"/>
      <c r="C194" s="97"/>
      <c r="D194" s="98"/>
      <c r="E194" s="47"/>
      <c r="F194" s="58"/>
      <c r="G194" s="59"/>
      <c r="H194" s="58"/>
      <c r="I194" s="59"/>
      <c r="J194" s="56"/>
      <c r="K194" s="57"/>
      <c r="L194" s="58"/>
      <c r="M194" s="59"/>
    </row>
    <row r="195" spans="1:13" ht="24" customHeight="1" thickBot="1">
      <c r="A195" s="60" t="s">
        <v>23</v>
      </c>
      <c r="B195" s="61"/>
      <c r="C195" s="61"/>
      <c r="D195" s="61"/>
      <c r="E195" s="61"/>
      <c r="F195" s="61"/>
      <c r="G195" s="61"/>
      <c r="H195" s="61"/>
      <c r="I195" s="61"/>
      <c r="J195" s="61"/>
      <c r="K195" s="61"/>
      <c r="L195" s="61"/>
      <c r="M195" s="62"/>
    </row>
    <row r="196" spans="1:13" ht="35.25" customHeight="1" thickBot="1">
      <c r="A196" s="75" t="s">
        <v>24</v>
      </c>
      <c r="B196" s="77"/>
      <c r="C196" s="75" t="s">
        <v>25</v>
      </c>
      <c r="D196" s="77"/>
      <c r="E196" s="75" t="s">
        <v>26</v>
      </c>
      <c r="F196" s="76"/>
      <c r="G196" s="77"/>
      <c r="H196" s="75" t="s">
        <v>27</v>
      </c>
      <c r="I196" s="77"/>
      <c r="J196" s="78" t="s">
        <v>21</v>
      </c>
      <c r="K196" s="79"/>
      <c r="L196" s="75" t="s">
        <v>22</v>
      </c>
      <c r="M196" s="77"/>
    </row>
    <row r="197" spans="1:13" s="18" customFormat="1" ht="24.75" customHeight="1" thickBot="1">
      <c r="A197" s="99"/>
      <c r="B197" s="98"/>
      <c r="C197" s="56"/>
      <c r="D197" s="57"/>
      <c r="E197" s="56"/>
      <c r="F197" s="100"/>
      <c r="G197" s="57"/>
      <c r="H197" s="56"/>
      <c r="I197" s="57"/>
      <c r="J197" s="56"/>
      <c r="K197" s="57"/>
      <c r="L197" s="56"/>
      <c r="M197" s="57"/>
    </row>
    <row r="198" spans="1:13" s="18" customFormat="1" ht="24.75" customHeight="1" thickBot="1">
      <c r="A198" s="99"/>
      <c r="B198" s="98"/>
      <c r="C198" s="56"/>
      <c r="D198" s="57"/>
      <c r="E198" s="56"/>
      <c r="F198" s="100"/>
      <c r="G198" s="57"/>
      <c r="H198" s="56"/>
      <c r="I198" s="57"/>
      <c r="J198" s="56"/>
      <c r="K198" s="57"/>
      <c r="L198" s="56"/>
      <c r="M198" s="57"/>
    </row>
    <row r="199" spans="1:13" ht="33" customHeight="1" thickBot="1">
      <c r="A199" s="112" t="s">
        <v>40</v>
      </c>
      <c r="B199" s="113"/>
      <c r="C199" s="113"/>
      <c r="D199" s="113"/>
      <c r="E199" s="113"/>
      <c r="F199" s="113"/>
      <c r="G199" s="113"/>
      <c r="H199" s="113"/>
      <c r="I199" s="113"/>
      <c r="J199" s="113"/>
      <c r="K199" s="113"/>
      <c r="L199" s="113"/>
      <c r="M199" s="114"/>
    </row>
    <row r="200" spans="1:13" ht="16.5" customHeight="1">
      <c r="A200" s="115" t="s">
        <v>41</v>
      </c>
      <c r="B200" s="116"/>
      <c r="C200" s="116"/>
      <c r="D200" s="116"/>
      <c r="E200" s="116"/>
      <c r="F200" s="116"/>
      <c r="G200" s="116"/>
      <c r="H200" s="116"/>
      <c r="I200" s="116"/>
      <c r="J200" s="116"/>
      <c r="K200" s="116"/>
      <c r="L200" s="116"/>
      <c r="M200" s="117"/>
    </row>
    <row r="201" spans="1:13" ht="16.5" customHeight="1">
      <c r="A201" s="90" t="s">
        <v>28</v>
      </c>
      <c r="B201" s="91"/>
      <c r="C201" s="91"/>
      <c r="D201" s="91"/>
      <c r="E201" s="91"/>
      <c r="F201" s="91"/>
      <c r="G201" s="91"/>
      <c r="H201" s="91"/>
      <c r="I201" s="91"/>
      <c r="J201" s="91"/>
      <c r="K201" s="91"/>
      <c r="L201" s="91"/>
      <c r="M201" s="92"/>
    </row>
    <row r="202" spans="1:13" s="1" customFormat="1" ht="16.5" customHeight="1">
      <c r="A202" s="93" t="s">
        <v>56</v>
      </c>
      <c r="B202" s="94"/>
      <c r="C202" s="94"/>
      <c r="D202" s="94"/>
      <c r="E202" s="94"/>
      <c r="F202" s="94"/>
      <c r="G202" s="94"/>
      <c r="H202" s="94"/>
      <c r="I202" s="94"/>
      <c r="J202" s="94"/>
      <c r="K202" s="94"/>
      <c r="L202" s="94"/>
      <c r="M202" s="95"/>
    </row>
    <row r="203" spans="1:13" s="1" customFormat="1" ht="16.5" customHeight="1">
      <c r="A203" s="93" t="s">
        <v>57</v>
      </c>
      <c r="B203" s="94"/>
      <c r="C203" s="94"/>
      <c r="D203" s="94"/>
      <c r="E203" s="94"/>
      <c r="F203" s="94"/>
      <c r="G203" s="94"/>
      <c r="H203" s="94"/>
      <c r="I203" s="94"/>
      <c r="J203" s="94"/>
      <c r="K203" s="94"/>
      <c r="L203" s="94"/>
      <c r="M203" s="95"/>
    </row>
    <row r="204" spans="1:13" s="1" customFormat="1" ht="16.5" customHeight="1">
      <c r="A204" s="93" t="s">
        <v>58</v>
      </c>
      <c r="B204" s="94"/>
      <c r="C204" s="94"/>
      <c r="D204" s="94"/>
      <c r="E204" s="94"/>
      <c r="F204" s="94"/>
      <c r="G204" s="94"/>
      <c r="H204" s="94"/>
      <c r="I204" s="94"/>
      <c r="J204" s="94"/>
      <c r="K204" s="94"/>
      <c r="L204" s="94"/>
      <c r="M204" s="95"/>
    </row>
    <row r="205" spans="1:13" s="1" customFormat="1" ht="16.5" customHeight="1">
      <c r="A205" s="93" t="s">
        <v>59</v>
      </c>
      <c r="B205" s="94"/>
      <c r="C205" s="94"/>
      <c r="D205" s="94"/>
      <c r="E205" s="94"/>
      <c r="F205" s="94"/>
      <c r="G205" s="94"/>
      <c r="H205" s="94"/>
      <c r="I205" s="94"/>
      <c r="J205" s="94"/>
      <c r="K205" s="94"/>
      <c r="L205" s="94"/>
      <c r="M205" s="95"/>
    </row>
    <row r="206" spans="1:13" ht="16.5" customHeight="1">
      <c r="A206" s="106" t="s">
        <v>29</v>
      </c>
      <c r="B206" s="107"/>
      <c r="C206" s="107"/>
      <c r="D206" s="107"/>
      <c r="E206" s="107"/>
      <c r="F206" s="107"/>
      <c r="G206" s="107"/>
      <c r="H206" s="107"/>
      <c r="I206" s="107"/>
      <c r="J206" s="107"/>
      <c r="K206" s="107"/>
      <c r="L206" s="107"/>
      <c r="M206" s="108"/>
    </row>
    <row r="207" spans="1:13" ht="9.75" customHeight="1" thickBot="1">
      <c r="A207" s="109"/>
      <c r="B207" s="110"/>
      <c r="C207" s="110"/>
      <c r="D207" s="110"/>
      <c r="E207" s="110"/>
      <c r="F207" s="110"/>
      <c r="G207" s="110"/>
      <c r="H207" s="110"/>
      <c r="I207" s="110"/>
      <c r="J207" s="110"/>
      <c r="K207" s="110"/>
      <c r="L207" s="110"/>
      <c r="M207" s="111"/>
    </row>
    <row r="208" spans="1:13" ht="18.75" customHeight="1" thickBot="1">
      <c r="A208" s="72" t="s">
        <v>30</v>
      </c>
      <c r="B208" s="73"/>
      <c r="C208" s="73"/>
      <c r="D208" s="73"/>
      <c r="E208" s="73"/>
      <c r="F208" s="73"/>
      <c r="G208" s="73"/>
      <c r="H208" s="73"/>
      <c r="I208" s="73"/>
      <c r="J208" s="73"/>
      <c r="K208" s="73"/>
      <c r="L208" s="73"/>
      <c r="M208" s="74"/>
    </row>
    <row r="209" spans="1:15" ht="24" customHeight="1" thickBot="1">
      <c r="A209" s="72" t="s">
        <v>31</v>
      </c>
      <c r="B209" s="73"/>
      <c r="C209" s="73"/>
      <c r="D209" s="73"/>
      <c r="E209" s="73"/>
      <c r="F209" s="73"/>
      <c r="G209" s="73"/>
      <c r="H209" s="73"/>
      <c r="I209" s="73"/>
      <c r="J209" s="73"/>
      <c r="K209" s="73"/>
      <c r="L209" s="73"/>
      <c r="M209" s="74"/>
    </row>
    <row r="210" spans="1:15" ht="27" customHeight="1" thickBot="1">
      <c r="A210" s="72" t="s">
        <v>62</v>
      </c>
      <c r="B210" s="73"/>
      <c r="C210" s="73"/>
      <c r="D210" s="73"/>
      <c r="E210" s="73"/>
      <c r="F210" s="73"/>
      <c r="G210" s="73"/>
      <c r="H210" s="73"/>
      <c r="I210" s="73"/>
      <c r="J210" s="73"/>
      <c r="K210" s="73"/>
      <c r="L210" s="73"/>
      <c r="M210" s="74"/>
    </row>
    <row r="211" spans="1:15" ht="24" customHeight="1" thickBot="1">
      <c r="A211" s="60" t="s">
        <v>46</v>
      </c>
      <c r="B211" s="61"/>
      <c r="C211" s="61"/>
      <c r="D211" s="61"/>
      <c r="E211" s="61"/>
      <c r="F211" s="61"/>
      <c r="G211" s="61"/>
      <c r="H211" s="61"/>
      <c r="I211" s="61"/>
      <c r="J211" s="61"/>
      <c r="K211" s="61"/>
      <c r="L211" s="61"/>
      <c r="M211" s="62"/>
    </row>
    <row r="212" spans="1:15" ht="11.1" customHeight="1">
      <c r="A212" s="103" t="s">
        <v>47</v>
      </c>
      <c r="B212" s="103"/>
      <c r="C212" s="103"/>
      <c r="D212" s="103"/>
      <c r="E212" s="103"/>
      <c r="F212" s="103"/>
      <c r="G212" s="103"/>
      <c r="H212" s="103"/>
      <c r="I212" s="103"/>
      <c r="J212" s="103"/>
      <c r="K212" s="103"/>
      <c r="L212" s="103"/>
      <c r="M212" s="103"/>
    </row>
    <row r="213" spans="1:15" ht="11.1" customHeight="1">
      <c r="A213" s="104" t="s">
        <v>48</v>
      </c>
      <c r="B213" s="104"/>
      <c r="C213" s="104"/>
      <c r="D213" s="104"/>
      <c r="E213" s="104"/>
      <c r="F213" s="104"/>
      <c r="G213" s="104"/>
      <c r="H213" s="104"/>
      <c r="I213" s="104"/>
      <c r="J213" s="104"/>
      <c r="K213" s="104"/>
      <c r="L213" s="104"/>
      <c r="M213" s="104"/>
    </row>
    <row r="214" spans="1:15" ht="11.1" customHeight="1">
      <c r="A214" s="105" t="s">
        <v>49</v>
      </c>
      <c r="B214" s="105"/>
      <c r="C214" s="105"/>
      <c r="D214" s="105"/>
      <c r="E214" s="105"/>
      <c r="F214" s="105"/>
      <c r="G214" s="105"/>
      <c r="H214" s="105"/>
      <c r="I214" s="105"/>
      <c r="J214" s="105"/>
      <c r="K214" s="105"/>
      <c r="L214" s="105"/>
      <c r="M214" s="105"/>
    </row>
    <row r="215" spans="1:15" ht="11.1" customHeight="1">
      <c r="A215" s="105" t="s">
        <v>50</v>
      </c>
      <c r="B215" s="105"/>
      <c r="C215" s="105"/>
      <c r="D215" s="105"/>
      <c r="E215" s="105"/>
      <c r="F215" s="105"/>
      <c r="G215" s="105"/>
      <c r="H215" s="105"/>
      <c r="I215" s="105"/>
      <c r="J215" s="105"/>
      <c r="K215" s="105"/>
      <c r="L215" s="105"/>
      <c r="M215" s="105"/>
    </row>
    <row r="216" spans="1:15" ht="11.1" customHeight="1">
      <c r="A216" s="104" t="s">
        <v>51</v>
      </c>
      <c r="B216" s="104"/>
      <c r="C216" s="104"/>
      <c r="D216" s="104"/>
      <c r="E216" s="104"/>
      <c r="F216" s="104"/>
      <c r="G216" s="104"/>
      <c r="H216" s="104"/>
      <c r="I216" s="104"/>
      <c r="J216" s="104"/>
      <c r="K216" s="104"/>
      <c r="L216" s="104"/>
      <c r="M216" s="104"/>
    </row>
    <row r="217" spans="1:15" ht="11.1" customHeight="1">
      <c r="A217" s="104" t="s">
        <v>52</v>
      </c>
      <c r="B217" s="104"/>
      <c r="C217" s="104"/>
      <c r="D217" s="104"/>
      <c r="E217" s="104"/>
      <c r="F217" s="104"/>
      <c r="G217" s="104"/>
      <c r="H217" s="104"/>
      <c r="I217" s="104"/>
      <c r="J217" s="104"/>
      <c r="K217" s="104"/>
      <c r="L217" s="104"/>
      <c r="M217" s="104"/>
    </row>
    <row r="218" spans="1:15" ht="11.1" customHeight="1">
      <c r="A218" s="104" t="s">
        <v>53</v>
      </c>
      <c r="B218" s="104"/>
      <c r="C218" s="104"/>
      <c r="D218" s="104"/>
      <c r="E218" s="104"/>
      <c r="F218" s="104"/>
      <c r="G218" s="104"/>
      <c r="H218" s="104"/>
      <c r="I218" s="104"/>
      <c r="J218" s="104"/>
      <c r="K218" s="104"/>
      <c r="L218" s="104"/>
      <c r="M218" s="104"/>
    </row>
    <row r="219" spans="1:15" ht="11.1" customHeight="1">
      <c r="A219" s="101" t="s">
        <v>54</v>
      </c>
      <c r="B219" s="101"/>
      <c r="C219" s="101"/>
      <c r="D219" s="101"/>
      <c r="E219" s="101"/>
      <c r="F219" s="101"/>
      <c r="G219" s="101"/>
      <c r="H219" s="101"/>
      <c r="I219" s="101"/>
      <c r="J219" s="101"/>
      <c r="K219" s="101"/>
      <c r="L219" s="101"/>
      <c r="M219" s="101"/>
    </row>
    <row r="220" spans="1:15" ht="11.1" customHeight="1">
      <c r="A220" s="101" t="s">
        <v>55</v>
      </c>
      <c r="B220" s="101"/>
      <c r="C220" s="101"/>
      <c r="D220" s="101"/>
      <c r="E220" s="101"/>
      <c r="F220" s="101"/>
      <c r="G220" s="101"/>
      <c r="H220" s="101"/>
      <c r="I220" s="101"/>
      <c r="J220" s="101"/>
      <c r="K220" s="101"/>
      <c r="L220" s="101"/>
      <c r="M220" s="101"/>
    </row>
    <row r="221" spans="1:15" ht="19.5" customHeight="1">
      <c r="A221" s="69" t="s">
        <v>0</v>
      </c>
      <c r="B221" s="69"/>
      <c r="C221" s="69"/>
      <c r="D221" s="69"/>
      <c r="E221" s="69"/>
      <c r="F221" s="69"/>
      <c r="G221" s="69"/>
      <c r="H221" s="69"/>
      <c r="I221" s="69"/>
      <c r="J221" s="69"/>
      <c r="K221" s="69"/>
      <c r="L221" s="69"/>
      <c r="M221" s="69"/>
    </row>
    <row r="222" spans="1:15" ht="20.100000000000001" customHeight="1">
      <c r="A222" s="4" t="s">
        <v>32</v>
      </c>
      <c r="B222" s="5">
        <f>+B178+1</f>
        <v>41</v>
      </c>
      <c r="C222" s="48"/>
      <c r="D222" s="48"/>
      <c r="E222" s="48"/>
      <c r="F222" s="48"/>
      <c r="G222" s="48"/>
      <c r="H222" s="48"/>
      <c r="I222" s="48"/>
      <c r="J222" s="48"/>
      <c r="K222" s="48"/>
      <c r="L222" s="48"/>
      <c r="M222" s="48"/>
    </row>
    <row r="223" spans="1:15" ht="24" customHeight="1" thickBot="1">
      <c r="A223" s="4" t="s">
        <v>33</v>
      </c>
      <c r="H223" s="70" t="s">
        <v>34</v>
      </c>
      <c r="I223" s="70"/>
      <c r="J223" s="70"/>
      <c r="K223" s="102">
        <f>+K179+1</f>
        <v>45967</v>
      </c>
      <c r="L223" s="102"/>
      <c r="M223" s="102"/>
      <c r="O223" s="7"/>
    </row>
    <row r="224" spans="1:15" ht="33.75" customHeight="1" thickBot="1">
      <c r="A224" s="80" t="s">
        <v>1</v>
      </c>
      <c r="B224" s="81"/>
      <c r="C224" s="82"/>
      <c r="D224" s="86" t="str">
        <f>+D180</f>
        <v>光明國中B與C區5樓老舊廁所整修工程</v>
      </c>
      <c r="E224" s="87"/>
      <c r="F224" s="87"/>
      <c r="G224" s="88"/>
      <c r="H224" s="80" t="s">
        <v>2</v>
      </c>
      <c r="I224" s="81"/>
      <c r="J224" s="82"/>
      <c r="K224" s="80" t="s">
        <v>35</v>
      </c>
      <c r="L224" s="81"/>
      <c r="M224" s="82"/>
    </row>
    <row r="225" spans="1:13" ht="33.75" customHeight="1" thickBot="1">
      <c r="A225" s="8" t="s">
        <v>3</v>
      </c>
      <c r="B225" s="45">
        <f>+B181</f>
        <v>142</v>
      </c>
      <c r="C225" s="10" t="s">
        <v>36</v>
      </c>
      <c r="D225" s="80" t="s">
        <v>4</v>
      </c>
      <c r="E225" s="89"/>
      <c r="F225" s="46">
        <f>+F181+1</f>
        <v>41</v>
      </c>
      <c r="G225" s="12" t="s">
        <v>36</v>
      </c>
      <c r="H225" s="13" t="s">
        <v>5</v>
      </c>
      <c r="I225" s="45">
        <f>+B225-F225</f>
        <v>101</v>
      </c>
      <c r="J225" s="10" t="s">
        <v>36</v>
      </c>
      <c r="K225" s="80" t="s">
        <v>6</v>
      </c>
      <c r="L225" s="82"/>
      <c r="M225" s="13">
        <f>+M181</f>
        <v>12</v>
      </c>
    </row>
    <row r="226" spans="1:13" ht="24" customHeight="1" thickBot="1">
      <c r="A226" s="80" t="s">
        <v>7</v>
      </c>
      <c r="B226" s="81"/>
      <c r="C226" s="82"/>
      <c r="D226" s="80" t="str">
        <f>+D182</f>
        <v>114.9.27</v>
      </c>
      <c r="E226" s="81"/>
      <c r="F226" s="81"/>
      <c r="G226" s="82"/>
      <c r="H226" s="80" t="s">
        <v>8</v>
      </c>
      <c r="I226" s="81"/>
      <c r="J226" s="82"/>
      <c r="K226" s="80" t="str">
        <f>+K182</f>
        <v>115.2.15</v>
      </c>
      <c r="L226" s="81"/>
      <c r="M226" s="82"/>
    </row>
    <row r="227" spans="1:13" ht="24" customHeight="1" thickBot="1">
      <c r="A227" s="80" t="s">
        <v>37</v>
      </c>
      <c r="B227" s="81"/>
      <c r="C227" s="82"/>
      <c r="D227" s="83">
        <v>2.8000000000000001E-2</v>
      </c>
      <c r="E227" s="84"/>
      <c r="F227" s="84"/>
      <c r="G227" s="85"/>
      <c r="H227" s="80" t="s">
        <v>38</v>
      </c>
      <c r="I227" s="81"/>
      <c r="J227" s="82"/>
      <c r="K227" s="83">
        <f>+K183</f>
        <v>5.8000000000000003E-2</v>
      </c>
      <c r="L227" s="84"/>
      <c r="M227" s="85"/>
    </row>
    <row r="228" spans="1:13" ht="24" customHeight="1" thickBot="1">
      <c r="A228" s="72" t="s">
        <v>9</v>
      </c>
      <c r="B228" s="73"/>
      <c r="C228" s="73"/>
      <c r="D228" s="73"/>
      <c r="E228" s="73"/>
      <c r="F228" s="73"/>
      <c r="G228" s="73"/>
      <c r="H228" s="73"/>
      <c r="I228" s="73"/>
      <c r="J228" s="73"/>
      <c r="K228" s="73"/>
      <c r="L228" s="73"/>
      <c r="M228" s="74"/>
    </row>
    <row r="229" spans="1:13" ht="35.25" customHeight="1" thickBot="1">
      <c r="A229" s="75" t="s">
        <v>10</v>
      </c>
      <c r="B229" s="76"/>
      <c r="C229" s="76"/>
      <c r="D229" s="77"/>
      <c r="E229" s="14" t="s">
        <v>11</v>
      </c>
      <c r="F229" s="75" t="s">
        <v>12</v>
      </c>
      <c r="G229" s="77"/>
      <c r="H229" s="75" t="s">
        <v>13</v>
      </c>
      <c r="I229" s="77"/>
      <c r="J229" s="78" t="s">
        <v>14</v>
      </c>
      <c r="K229" s="79"/>
      <c r="L229" s="75" t="s">
        <v>15</v>
      </c>
      <c r="M229" s="77"/>
    </row>
    <row r="230" spans="1:13" ht="27.95" customHeight="1" thickBot="1">
      <c r="A230" s="141"/>
      <c r="B230" s="142"/>
      <c r="C230" s="142"/>
      <c r="D230" s="143"/>
      <c r="E230" s="2"/>
      <c r="F230" s="56"/>
      <c r="G230" s="57"/>
      <c r="H230" s="56"/>
      <c r="I230" s="57"/>
      <c r="J230" s="56"/>
      <c r="K230" s="57"/>
      <c r="L230" s="58"/>
      <c r="M230" s="59"/>
    </row>
    <row r="231" spans="1:13" ht="27.95" customHeight="1" thickBot="1">
      <c r="A231" s="141"/>
      <c r="B231" s="142"/>
      <c r="C231" s="142"/>
      <c r="D231" s="143"/>
      <c r="E231" s="15"/>
      <c r="F231" s="56"/>
      <c r="G231" s="57"/>
      <c r="H231" s="56"/>
      <c r="I231" s="57"/>
      <c r="J231" s="56"/>
      <c r="K231" s="57"/>
      <c r="L231" s="58"/>
      <c r="M231" s="59"/>
    </row>
    <row r="232" spans="1:13" ht="24.95" customHeight="1" thickTop="1" thickBot="1">
      <c r="A232" s="130" t="s">
        <v>16</v>
      </c>
      <c r="B232" s="67"/>
      <c r="C232" s="67"/>
      <c r="D232" s="68"/>
      <c r="E232" s="47"/>
      <c r="F232" s="131"/>
      <c r="G232" s="132"/>
      <c r="H232" s="131"/>
      <c r="I232" s="132"/>
      <c r="J232" s="131"/>
      <c r="K232" s="132"/>
      <c r="L232" s="131"/>
      <c r="M232" s="133"/>
    </row>
    <row r="233" spans="1:13" ht="24.95" customHeight="1" thickBot="1">
      <c r="A233" s="134"/>
      <c r="B233" s="135"/>
      <c r="C233" s="135"/>
      <c r="D233" s="59"/>
      <c r="E233" s="47"/>
      <c r="F233" s="58"/>
      <c r="G233" s="59"/>
      <c r="H233" s="58"/>
      <c r="I233" s="59"/>
      <c r="J233" s="58"/>
      <c r="K233" s="59"/>
      <c r="L233" s="58"/>
      <c r="M233" s="136"/>
    </row>
    <row r="234" spans="1:13" ht="24.95" customHeight="1" thickBot="1">
      <c r="A234" s="118"/>
      <c r="B234" s="119"/>
      <c r="C234" s="119"/>
      <c r="D234" s="120"/>
      <c r="E234" s="24"/>
      <c r="F234" s="121"/>
      <c r="G234" s="120"/>
      <c r="H234" s="121"/>
      <c r="I234" s="120"/>
      <c r="J234" s="121"/>
      <c r="K234" s="120"/>
      <c r="L234" s="121"/>
      <c r="M234" s="122"/>
    </row>
    <row r="235" spans="1:13" ht="24" customHeight="1" thickTop="1" thickBot="1">
      <c r="A235" s="66" t="s">
        <v>19</v>
      </c>
      <c r="B235" s="67"/>
      <c r="C235" s="67"/>
      <c r="D235" s="67"/>
      <c r="E235" s="67"/>
      <c r="F235" s="67"/>
      <c r="G235" s="67"/>
      <c r="H235" s="67"/>
      <c r="I235" s="67"/>
      <c r="J235" s="67"/>
      <c r="K235" s="67"/>
      <c r="L235" s="67"/>
      <c r="M235" s="68"/>
    </row>
    <row r="236" spans="1:13" ht="35.25" customHeight="1" thickBot="1">
      <c r="A236" s="75" t="s">
        <v>20</v>
      </c>
      <c r="B236" s="76"/>
      <c r="C236" s="76"/>
      <c r="D236" s="77"/>
      <c r="E236" s="14" t="s">
        <v>11</v>
      </c>
      <c r="F236" s="75" t="s">
        <v>39</v>
      </c>
      <c r="G236" s="77"/>
      <c r="H236" s="75" t="s">
        <v>21</v>
      </c>
      <c r="I236" s="77"/>
      <c r="J236" s="78" t="s">
        <v>22</v>
      </c>
      <c r="K236" s="79"/>
      <c r="L236" s="75" t="s">
        <v>15</v>
      </c>
      <c r="M236" s="77"/>
    </row>
    <row r="237" spans="1:13" ht="24" customHeight="1" thickBot="1">
      <c r="A237" s="96"/>
      <c r="B237" s="97"/>
      <c r="C237" s="97"/>
      <c r="D237" s="98"/>
      <c r="E237" s="47"/>
      <c r="F237" s="58"/>
      <c r="G237" s="59"/>
      <c r="H237" s="58"/>
      <c r="I237" s="59"/>
      <c r="J237" s="56"/>
      <c r="K237" s="57"/>
      <c r="L237" s="58"/>
      <c r="M237" s="59"/>
    </row>
    <row r="238" spans="1:13" ht="24" customHeight="1" thickBot="1">
      <c r="A238" s="96"/>
      <c r="B238" s="97"/>
      <c r="C238" s="97"/>
      <c r="D238" s="98"/>
      <c r="E238" s="47"/>
      <c r="F238" s="58"/>
      <c r="G238" s="59"/>
      <c r="H238" s="58"/>
      <c r="I238" s="59"/>
      <c r="J238" s="56"/>
      <c r="K238" s="57"/>
      <c r="L238" s="58"/>
      <c r="M238" s="59"/>
    </row>
    <row r="239" spans="1:13" ht="24" customHeight="1" thickBot="1">
      <c r="A239" s="60" t="s">
        <v>23</v>
      </c>
      <c r="B239" s="61"/>
      <c r="C239" s="61"/>
      <c r="D239" s="61"/>
      <c r="E239" s="61"/>
      <c r="F239" s="61"/>
      <c r="G239" s="61"/>
      <c r="H239" s="61"/>
      <c r="I239" s="61"/>
      <c r="J239" s="61"/>
      <c r="K239" s="61"/>
      <c r="L239" s="61"/>
      <c r="M239" s="62"/>
    </row>
    <row r="240" spans="1:13" ht="35.25" customHeight="1" thickBot="1">
      <c r="A240" s="75" t="s">
        <v>24</v>
      </c>
      <c r="B240" s="77"/>
      <c r="C240" s="75" t="s">
        <v>25</v>
      </c>
      <c r="D240" s="77"/>
      <c r="E240" s="75" t="s">
        <v>26</v>
      </c>
      <c r="F240" s="76"/>
      <c r="G240" s="77"/>
      <c r="H240" s="75" t="s">
        <v>27</v>
      </c>
      <c r="I240" s="77"/>
      <c r="J240" s="78" t="s">
        <v>21</v>
      </c>
      <c r="K240" s="79"/>
      <c r="L240" s="75" t="s">
        <v>22</v>
      </c>
      <c r="M240" s="77"/>
    </row>
    <row r="241" spans="1:13" s="18" customFormat="1" ht="24.75" customHeight="1" thickBot="1">
      <c r="A241" s="99"/>
      <c r="B241" s="98"/>
      <c r="C241" s="56"/>
      <c r="D241" s="57"/>
      <c r="E241" s="56"/>
      <c r="F241" s="100"/>
      <c r="G241" s="57"/>
      <c r="H241" s="56"/>
      <c r="I241" s="57"/>
      <c r="J241" s="56"/>
      <c r="K241" s="57"/>
      <c r="L241" s="56"/>
      <c r="M241" s="57"/>
    </row>
    <row r="242" spans="1:13" s="18" customFormat="1" ht="24.75" customHeight="1" thickBot="1">
      <c r="A242" s="99"/>
      <c r="B242" s="98"/>
      <c r="C242" s="56"/>
      <c r="D242" s="57"/>
      <c r="E242" s="56"/>
      <c r="F242" s="100"/>
      <c r="G242" s="57"/>
      <c r="H242" s="56"/>
      <c r="I242" s="57"/>
      <c r="J242" s="56"/>
      <c r="K242" s="57"/>
      <c r="L242" s="56"/>
      <c r="M242" s="57"/>
    </row>
    <row r="243" spans="1:13" ht="33" customHeight="1" thickBot="1">
      <c r="A243" s="112" t="s">
        <v>40</v>
      </c>
      <c r="B243" s="113"/>
      <c r="C243" s="113"/>
      <c r="D243" s="113"/>
      <c r="E243" s="113"/>
      <c r="F243" s="113"/>
      <c r="G243" s="113"/>
      <c r="H243" s="113"/>
      <c r="I243" s="113"/>
      <c r="J243" s="113"/>
      <c r="K243" s="113"/>
      <c r="L243" s="113"/>
      <c r="M243" s="114"/>
    </row>
    <row r="244" spans="1:13" ht="16.5" customHeight="1">
      <c r="A244" s="115" t="s">
        <v>41</v>
      </c>
      <c r="B244" s="116"/>
      <c r="C244" s="116"/>
      <c r="D244" s="116"/>
      <c r="E244" s="116"/>
      <c r="F244" s="116"/>
      <c r="G244" s="116"/>
      <c r="H244" s="116"/>
      <c r="I244" s="116"/>
      <c r="J244" s="116"/>
      <c r="K244" s="116"/>
      <c r="L244" s="116"/>
      <c r="M244" s="117"/>
    </row>
    <row r="245" spans="1:13" ht="16.5" customHeight="1">
      <c r="A245" s="90" t="s">
        <v>28</v>
      </c>
      <c r="B245" s="91"/>
      <c r="C245" s="91"/>
      <c r="D245" s="91"/>
      <c r="E245" s="91"/>
      <c r="F245" s="91"/>
      <c r="G245" s="91"/>
      <c r="H245" s="91"/>
      <c r="I245" s="91"/>
      <c r="J245" s="91"/>
      <c r="K245" s="91"/>
      <c r="L245" s="91"/>
      <c r="M245" s="92"/>
    </row>
    <row r="246" spans="1:13" s="1" customFormat="1" ht="16.5" customHeight="1">
      <c r="A246" s="93" t="s">
        <v>56</v>
      </c>
      <c r="B246" s="94"/>
      <c r="C246" s="94"/>
      <c r="D246" s="94"/>
      <c r="E246" s="94"/>
      <c r="F246" s="94"/>
      <c r="G246" s="94"/>
      <c r="H246" s="94"/>
      <c r="I246" s="94"/>
      <c r="J246" s="94"/>
      <c r="K246" s="94"/>
      <c r="L246" s="94"/>
      <c r="M246" s="95"/>
    </row>
    <row r="247" spans="1:13" s="1" customFormat="1" ht="16.5" customHeight="1">
      <c r="A247" s="93" t="s">
        <v>57</v>
      </c>
      <c r="B247" s="94"/>
      <c r="C247" s="94"/>
      <c r="D247" s="94"/>
      <c r="E247" s="94"/>
      <c r="F247" s="94"/>
      <c r="G247" s="94"/>
      <c r="H247" s="94"/>
      <c r="I247" s="94"/>
      <c r="J247" s="94"/>
      <c r="K247" s="94"/>
      <c r="L247" s="94"/>
      <c r="M247" s="95"/>
    </row>
    <row r="248" spans="1:13" s="1" customFormat="1" ht="16.5" customHeight="1">
      <c r="A248" s="93" t="s">
        <v>58</v>
      </c>
      <c r="B248" s="94"/>
      <c r="C248" s="94"/>
      <c r="D248" s="94"/>
      <c r="E248" s="94"/>
      <c r="F248" s="94"/>
      <c r="G248" s="94"/>
      <c r="H248" s="94"/>
      <c r="I248" s="94"/>
      <c r="J248" s="94"/>
      <c r="K248" s="94"/>
      <c r="L248" s="94"/>
      <c r="M248" s="95"/>
    </row>
    <row r="249" spans="1:13" s="1" customFormat="1" ht="16.5" customHeight="1">
      <c r="A249" s="93" t="s">
        <v>59</v>
      </c>
      <c r="B249" s="94"/>
      <c r="C249" s="94"/>
      <c r="D249" s="94"/>
      <c r="E249" s="94"/>
      <c r="F249" s="94"/>
      <c r="G249" s="94"/>
      <c r="H249" s="94"/>
      <c r="I249" s="94"/>
      <c r="J249" s="94"/>
      <c r="K249" s="94"/>
      <c r="L249" s="94"/>
      <c r="M249" s="95"/>
    </row>
    <row r="250" spans="1:13" ht="16.5" customHeight="1">
      <c r="A250" s="106" t="s">
        <v>29</v>
      </c>
      <c r="B250" s="107"/>
      <c r="C250" s="107"/>
      <c r="D250" s="107"/>
      <c r="E250" s="107"/>
      <c r="F250" s="107"/>
      <c r="G250" s="107"/>
      <c r="H250" s="107"/>
      <c r="I250" s="107"/>
      <c r="J250" s="107"/>
      <c r="K250" s="107"/>
      <c r="L250" s="107"/>
      <c r="M250" s="108"/>
    </row>
    <row r="251" spans="1:13" ht="9.75" customHeight="1" thickBot="1">
      <c r="A251" s="109"/>
      <c r="B251" s="110"/>
      <c r="C251" s="110"/>
      <c r="D251" s="110"/>
      <c r="E251" s="110"/>
      <c r="F251" s="110"/>
      <c r="G251" s="110"/>
      <c r="H251" s="110"/>
      <c r="I251" s="110"/>
      <c r="J251" s="110"/>
      <c r="K251" s="110"/>
      <c r="L251" s="110"/>
      <c r="M251" s="111"/>
    </row>
    <row r="252" spans="1:13" ht="18.75" customHeight="1" thickBot="1">
      <c r="A252" s="72" t="s">
        <v>30</v>
      </c>
      <c r="B252" s="73"/>
      <c r="C252" s="73"/>
      <c r="D252" s="73"/>
      <c r="E252" s="73"/>
      <c r="F252" s="73"/>
      <c r="G252" s="73"/>
      <c r="H252" s="73"/>
      <c r="I252" s="73"/>
      <c r="J252" s="73"/>
      <c r="K252" s="73"/>
      <c r="L252" s="73"/>
      <c r="M252" s="74"/>
    </row>
    <row r="253" spans="1:13" ht="24" customHeight="1" thickBot="1">
      <c r="A253" s="72" t="s">
        <v>31</v>
      </c>
      <c r="B253" s="73"/>
      <c r="C253" s="73"/>
      <c r="D253" s="73"/>
      <c r="E253" s="73"/>
      <c r="F253" s="73"/>
      <c r="G253" s="73"/>
      <c r="H253" s="73"/>
      <c r="I253" s="73"/>
      <c r="J253" s="73"/>
      <c r="K253" s="73"/>
      <c r="L253" s="73"/>
      <c r="M253" s="74"/>
    </row>
    <row r="254" spans="1:13" ht="24" customHeight="1" thickBot="1">
      <c r="A254" s="72" t="s">
        <v>62</v>
      </c>
      <c r="B254" s="73"/>
      <c r="C254" s="73"/>
      <c r="D254" s="73"/>
      <c r="E254" s="73"/>
      <c r="F254" s="73"/>
      <c r="G254" s="73"/>
      <c r="H254" s="73"/>
      <c r="I254" s="73"/>
      <c r="J254" s="73"/>
      <c r="K254" s="73"/>
      <c r="L254" s="73"/>
      <c r="M254" s="74"/>
    </row>
    <row r="255" spans="1:13" ht="24" customHeight="1" thickBot="1">
      <c r="A255" s="60" t="s">
        <v>46</v>
      </c>
      <c r="B255" s="61"/>
      <c r="C255" s="61"/>
      <c r="D255" s="61"/>
      <c r="E255" s="61"/>
      <c r="F255" s="61"/>
      <c r="G255" s="61"/>
      <c r="H255" s="61"/>
      <c r="I255" s="61"/>
      <c r="J255" s="61"/>
      <c r="K255" s="61"/>
      <c r="L255" s="61"/>
      <c r="M255" s="62"/>
    </row>
    <row r="256" spans="1:13" ht="11.1" customHeight="1">
      <c r="A256" s="103" t="s">
        <v>47</v>
      </c>
      <c r="B256" s="103"/>
      <c r="C256" s="103"/>
      <c r="D256" s="103"/>
      <c r="E256" s="103"/>
      <c r="F256" s="103"/>
      <c r="G256" s="103"/>
      <c r="H256" s="103"/>
      <c r="I256" s="103"/>
      <c r="J256" s="103"/>
      <c r="K256" s="103"/>
      <c r="L256" s="103"/>
      <c r="M256" s="103"/>
    </row>
    <row r="257" spans="1:15" ht="11.1" customHeight="1">
      <c r="A257" s="104" t="s">
        <v>48</v>
      </c>
      <c r="B257" s="104"/>
      <c r="C257" s="104"/>
      <c r="D257" s="104"/>
      <c r="E257" s="104"/>
      <c r="F257" s="104"/>
      <c r="G257" s="104"/>
      <c r="H257" s="104"/>
      <c r="I257" s="104"/>
      <c r="J257" s="104"/>
      <c r="K257" s="104"/>
      <c r="L257" s="104"/>
      <c r="M257" s="104"/>
    </row>
    <row r="258" spans="1:15" ht="11.1" customHeight="1">
      <c r="A258" s="105" t="s">
        <v>49</v>
      </c>
      <c r="B258" s="105"/>
      <c r="C258" s="105"/>
      <c r="D258" s="105"/>
      <c r="E258" s="105"/>
      <c r="F258" s="105"/>
      <c r="G258" s="105"/>
      <c r="H258" s="105"/>
      <c r="I258" s="105"/>
      <c r="J258" s="105"/>
      <c r="K258" s="105"/>
      <c r="L258" s="105"/>
      <c r="M258" s="105"/>
    </row>
    <row r="259" spans="1:15" ht="11.1" customHeight="1">
      <c r="A259" s="105" t="s">
        <v>50</v>
      </c>
      <c r="B259" s="105"/>
      <c r="C259" s="105"/>
      <c r="D259" s="105"/>
      <c r="E259" s="105"/>
      <c r="F259" s="105"/>
      <c r="G259" s="105"/>
      <c r="H259" s="105"/>
      <c r="I259" s="105"/>
      <c r="J259" s="105"/>
      <c r="K259" s="105"/>
      <c r="L259" s="105"/>
      <c r="M259" s="105"/>
    </row>
    <row r="260" spans="1:15" ht="11.1" customHeight="1">
      <c r="A260" s="104" t="s">
        <v>51</v>
      </c>
      <c r="B260" s="104"/>
      <c r="C260" s="104"/>
      <c r="D260" s="104"/>
      <c r="E260" s="104"/>
      <c r="F260" s="104"/>
      <c r="G260" s="104"/>
      <c r="H260" s="104"/>
      <c r="I260" s="104"/>
      <c r="J260" s="104"/>
      <c r="K260" s="104"/>
      <c r="L260" s="104"/>
      <c r="M260" s="104"/>
    </row>
    <row r="261" spans="1:15" ht="11.1" customHeight="1">
      <c r="A261" s="104" t="s">
        <v>52</v>
      </c>
      <c r="B261" s="104"/>
      <c r="C261" s="104"/>
      <c r="D261" s="104"/>
      <c r="E261" s="104"/>
      <c r="F261" s="104"/>
      <c r="G261" s="104"/>
      <c r="H261" s="104"/>
      <c r="I261" s="104"/>
      <c r="J261" s="104"/>
      <c r="K261" s="104"/>
      <c r="L261" s="104"/>
      <c r="M261" s="104"/>
    </row>
    <row r="262" spans="1:15" ht="11.1" customHeight="1">
      <c r="A262" s="104" t="s">
        <v>53</v>
      </c>
      <c r="B262" s="104"/>
      <c r="C262" s="104"/>
      <c r="D262" s="104"/>
      <c r="E262" s="104"/>
      <c r="F262" s="104"/>
      <c r="G262" s="104"/>
      <c r="H262" s="104"/>
      <c r="I262" s="104"/>
      <c r="J262" s="104"/>
      <c r="K262" s="104"/>
      <c r="L262" s="104"/>
      <c r="M262" s="104"/>
    </row>
    <row r="263" spans="1:15" ht="11.1" customHeight="1">
      <c r="A263" s="101" t="s">
        <v>54</v>
      </c>
      <c r="B263" s="101"/>
      <c r="C263" s="101"/>
      <c r="D263" s="101"/>
      <c r="E263" s="101"/>
      <c r="F263" s="101"/>
      <c r="G263" s="101"/>
      <c r="H263" s="101"/>
      <c r="I263" s="101"/>
      <c r="J263" s="101"/>
      <c r="K263" s="101"/>
      <c r="L263" s="101"/>
      <c r="M263" s="101"/>
    </row>
    <row r="264" spans="1:15" ht="11.1" customHeight="1">
      <c r="A264" s="101" t="s">
        <v>55</v>
      </c>
      <c r="B264" s="101"/>
      <c r="C264" s="101"/>
      <c r="D264" s="101"/>
      <c r="E264" s="101"/>
      <c r="F264" s="101"/>
      <c r="G264" s="101"/>
      <c r="H264" s="101"/>
      <c r="I264" s="101"/>
      <c r="J264" s="101"/>
      <c r="K264" s="101"/>
      <c r="L264" s="101"/>
      <c r="M264" s="101"/>
    </row>
    <row r="265" spans="1:15" ht="19.5" customHeight="1">
      <c r="A265" s="69" t="s">
        <v>0</v>
      </c>
      <c r="B265" s="69"/>
      <c r="C265" s="69"/>
      <c r="D265" s="69"/>
      <c r="E265" s="69"/>
      <c r="F265" s="69"/>
      <c r="G265" s="69"/>
      <c r="H265" s="69"/>
      <c r="I265" s="69"/>
      <c r="J265" s="69"/>
      <c r="K265" s="69"/>
      <c r="L265" s="69"/>
      <c r="M265" s="69"/>
    </row>
    <row r="266" spans="1:15" ht="20.100000000000001" customHeight="1">
      <c r="A266" s="4" t="s">
        <v>32</v>
      </c>
      <c r="B266" s="5">
        <f>+B222+1</f>
        <v>42</v>
      </c>
      <c r="C266" s="48"/>
      <c r="D266" s="48"/>
      <c r="E266" s="48"/>
      <c r="F266" s="48"/>
      <c r="G266" s="48"/>
      <c r="H266" s="48"/>
      <c r="I266" s="48"/>
      <c r="J266" s="48"/>
      <c r="K266" s="48"/>
      <c r="L266" s="48"/>
      <c r="M266" s="48"/>
    </row>
    <row r="267" spans="1:15" ht="24" customHeight="1" thickBot="1">
      <c r="A267" s="4" t="s">
        <v>33</v>
      </c>
      <c r="H267" s="70" t="s">
        <v>34</v>
      </c>
      <c r="I267" s="70"/>
      <c r="J267" s="70"/>
      <c r="K267" s="102">
        <f>+K223+1</f>
        <v>45968</v>
      </c>
      <c r="L267" s="102"/>
      <c r="M267" s="102"/>
      <c r="O267" s="7"/>
    </row>
    <row r="268" spans="1:15" ht="33.75" customHeight="1" thickBot="1">
      <c r="A268" s="80" t="s">
        <v>1</v>
      </c>
      <c r="B268" s="81"/>
      <c r="C268" s="82"/>
      <c r="D268" s="86" t="str">
        <f>+D224</f>
        <v>光明國中B與C區5樓老舊廁所整修工程</v>
      </c>
      <c r="E268" s="87"/>
      <c r="F268" s="87"/>
      <c r="G268" s="88"/>
      <c r="H268" s="80" t="s">
        <v>2</v>
      </c>
      <c r="I268" s="81"/>
      <c r="J268" s="82"/>
      <c r="K268" s="80" t="s">
        <v>35</v>
      </c>
      <c r="L268" s="81"/>
      <c r="M268" s="82"/>
    </row>
    <row r="269" spans="1:15" ht="33.75" customHeight="1" thickBot="1">
      <c r="A269" s="8" t="s">
        <v>3</v>
      </c>
      <c r="B269" s="45">
        <f>+B225</f>
        <v>142</v>
      </c>
      <c r="C269" s="10" t="s">
        <v>36</v>
      </c>
      <c r="D269" s="80" t="s">
        <v>4</v>
      </c>
      <c r="E269" s="89"/>
      <c r="F269" s="46">
        <f>+F225+1</f>
        <v>42</v>
      </c>
      <c r="G269" s="12" t="s">
        <v>36</v>
      </c>
      <c r="H269" s="13" t="s">
        <v>5</v>
      </c>
      <c r="I269" s="45">
        <f>+B269-F269</f>
        <v>100</v>
      </c>
      <c r="J269" s="10" t="s">
        <v>36</v>
      </c>
      <c r="K269" s="80" t="s">
        <v>6</v>
      </c>
      <c r="L269" s="82"/>
      <c r="M269" s="13">
        <f>+M225</f>
        <v>12</v>
      </c>
    </row>
    <row r="270" spans="1:15" ht="24" customHeight="1" thickBot="1">
      <c r="A270" s="80" t="s">
        <v>7</v>
      </c>
      <c r="B270" s="81"/>
      <c r="C270" s="82"/>
      <c r="D270" s="80" t="str">
        <f>+D226</f>
        <v>114.9.27</v>
      </c>
      <c r="E270" s="81"/>
      <c r="F270" s="81"/>
      <c r="G270" s="82"/>
      <c r="H270" s="80" t="s">
        <v>8</v>
      </c>
      <c r="I270" s="81"/>
      <c r="J270" s="82"/>
      <c r="K270" s="80" t="str">
        <f>+K226</f>
        <v>115.2.15</v>
      </c>
      <c r="L270" s="81"/>
      <c r="M270" s="82"/>
    </row>
    <row r="271" spans="1:15" ht="24" customHeight="1" thickBot="1">
      <c r="A271" s="80" t="s">
        <v>37</v>
      </c>
      <c r="B271" s="81"/>
      <c r="C271" s="82"/>
      <c r="D271" s="83">
        <v>0.03</v>
      </c>
      <c r="E271" s="84"/>
      <c r="F271" s="84"/>
      <c r="G271" s="85"/>
      <c r="H271" s="80" t="s">
        <v>38</v>
      </c>
      <c r="I271" s="81"/>
      <c r="J271" s="82"/>
      <c r="K271" s="83">
        <f>+K227</f>
        <v>5.8000000000000003E-2</v>
      </c>
      <c r="L271" s="84"/>
      <c r="M271" s="85"/>
    </row>
    <row r="272" spans="1:15" ht="24" customHeight="1" thickBot="1">
      <c r="A272" s="72" t="s">
        <v>9</v>
      </c>
      <c r="B272" s="73"/>
      <c r="C272" s="73"/>
      <c r="D272" s="73"/>
      <c r="E272" s="73"/>
      <c r="F272" s="73"/>
      <c r="G272" s="73"/>
      <c r="H272" s="73"/>
      <c r="I272" s="73"/>
      <c r="J272" s="73"/>
      <c r="K272" s="73"/>
      <c r="L272" s="73"/>
      <c r="M272" s="74"/>
    </row>
    <row r="273" spans="1:13" ht="35.25" customHeight="1" thickBot="1">
      <c r="A273" s="75" t="s">
        <v>10</v>
      </c>
      <c r="B273" s="76"/>
      <c r="C273" s="76"/>
      <c r="D273" s="77"/>
      <c r="E273" s="14" t="s">
        <v>11</v>
      </c>
      <c r="F273" s="75" t="s">
        <v>12</v>
      </c>
      <c r="G273" s="77"/>
      <c r="H273" s="75" t="s">
        <v>13</v>
      </c>
      <c r="I273" s="77"/>
      <c r="J273" s="78" t="s">
        <v>14</v>
      </c>
      <c r="K273" s="79"/>
      <c r="L273" s="75" t="s">
        <v>15</v>
      </c>
      <c r="M273" s="77"/>
    </row>
    <row r="274" spans="1:13" ht="27.95" customHeight="1" thickBot="1">
      <c r="A274" s="141"/>
      <c r="B274" s="142"/>
      <c r="C274" s="142"/>
      <c r="D274" s="143"/>
      <c r="E274" s="2"/>
      <c r="F274" s="56"/>
      <c r="G274" s="57"/>
      <c r="H274" s="56"/>
      <c r="I274" s="57"/>
      <c r="J274" s="56"/>
      <c r="K274" s="57"/>
      <c r="L274" s="58"/>
      <c r="M274" s="59"/>
    </row>
    <row r="275" spans="1:13" ht="27.95" customHeight="1" thickBot="1">
      <c r="A275" s="141"/>
      <c r="B275" s="142"/>
      <c r="C275" s="142"/>
      <c r="D275" s="143"/>
      <c r="E275" s="15"/>
      <c r="F275" s="56"/>
      <c r="G275" s="57"/>
      <c r="H275" s="56"/>
      <c r="I275" s="57"/>
      <c r="J275" s="56"/>
      <c r="K275" s="57"/>
      <c r="L275" s="58"/>
      <c r="M275" s="59"/>
    </row>
    <row r="276" spans="1:13" ht="24.95" customHeight="1" thickTop="1" thickBot="1">
      <c r="A276" s="130" t="s">
        <v>16</v>
      </c>
      <c r="B276" s="67"/>
      <c r="C276" s="67"/>
      <c r="D276" s="68"/>
      <c r="E276" s="47"/>
      <c r="F276" s="131"/>
      <c r="G276" s="132"/>
      <c r="H276" s="131"/>
      <c r="I276" s="132"/>
      <c r="J276" s="131"/>
      <c r="K276" s="132"/>
      <c r="L276" s="131"/>
      <c r="M276" s="133"/>
    </row>
    <row r="277" spans="1:13" ht="24.95" customHeight="1" thickBot="1">
      <c r="A277" s="134"/>
      <c r="B277" s="135"/>
      <c r="C277" s="135"/>
      <c r="D277" s="59"/>
      <c r="E277" s="47"/>
      <c r="F277" s="58"/>
      <c r="G277" s="59"/>
      <c r="H277" s="58"/>
      <c r="I277" s="59"/>
      <c r="J277" s="58"/>
      <c r="K277" s="59"/>
      <c r="L277" s="58"/>
      <c r="M277" s="136"/>
    </row>
    <row r="278" spans="1:13" ht="24.95" customHeight="1" thickBot="1">
      <c r="A278" s="118"/>
      <c r="B278" s="119"/>
      <c r="C278" s="119"/>
      <c r="D278" s="120"/>
      <c r="E278" s="24"/>
      <c r="F278" s="121"/>
      <c r="G278" s="120"/>
      <c r="H278" s="121"/>
      <c r="I278" s="120"/>
      <c r="J278" s="121"/>
      <c r="K278" s="120"/>
      <c r="L278" s="121"/>
      <c r="M278" s="122"/>
    </row>
    <row r="279" spans="1:13" ht="24" customHeight="1" thickTop="1" thickBot="1">
      <c r="A279" s="66" t="s">
        <v>19</v>
      </c>
      <c r="B279" s="67"/>
      <c r="C279" s="67"/>
      <c r="D279" s="67"/>
      <c r="E279" s="67"/>
      <c r="F279" s="67"/>
      <c r="G279" s="67"/>
      <c r="H279" s="67"/>
      <c r="I279" s="67"/>
      <c r="J279" s="67"/>
      <c r="K279" s="67"/>
      <c r="L279" s="67"/>
      <c r="M279" s="68"/>
    </row>
    <row r="280" spans="1:13" ht="35.25" customHeight="1" thickBot="1">
      <c r="A280" s="75" t="s">
        <v>20</v>
      </c>
      <c r="B280" s="76"/>
      <c r="C280" s="76"/>
      <c r="D280" s="77"/>
      <c r="E280" s="14" t="s">
        <v>11</v>
      </c>
      <c r="F280" s="75" t="s">
        <v>39</v>
      </c>
      <c r="G280" s="77"/>
      <c r="H280" s="75" t="s">
        <v>21</v>
      </c>
      <c r="I280" s="77"/>
      <c r="J280" s="78" t="s">
        <v>22</v>
      </c>
      <c r="K280" s="79"/>
      <c r="L280" s="75" t="s">
        <v>15</v>
      </c>
      <c r="M280" s="77"/>
    </row>
    <row r="281" spans="1:13" ht="24" customHeight="1" thickBot="1">
      <c r="A281" s="96"/>
      <c r="B281" s="97"/>
      <c r="C281" s="97"/>
      <c r="D281" s="98"/>
      <c r="E281" s="47"/>
      <c r="F281" s="58"/>
      <c r="G281" s="59"/>
      <c r="H281" s="58"/>
      <c r="I281" s="59"/>
      <c r="J281" s="56"/>
      <c r="K281" s="57"/>
      <c r="L281" s="58"/>
      <c r="M281" s="59"/>
    </row>
    <row r="282" spans="1:13" ht="24" customHeight="1" thickBot="1">
      <c r="A282" s="96"/>
      <c r="B282" s="97"/>
      <c r="C282" s="97"/>
      <c r="D282" s="98"/>
      <c r="E282" s="47"/>
      <c r="F282" s="58"/>
      <c r="G282" s="59"/>
      <c r="H282" s="58"/>
      <c r="I282" s="59"/>
      <c r="J282" s="56"/>
      <c r="K282" s="57"/>
      <c r="L282" s="58"/>
      <c r="M282" s="59"/>
    </row>
    <row r="283" spans="1:13" ht="24" customHeight="1" thickBot="1">
      <c r="A283" s="60" t="s">
        <v>23</v>
      </c>
      <c r="B283" s="61"/>
      <c r="C283" s="61"/>
      <c r="D283" s="61"/>
      <c r="E283" s="61"/>
      <c r="F283" s="61"/>
      <c r="G283" s="61"/>
      <c r="H283" s="61"/>
      <c r="I283" s="61"/>
      <c r="J283" s="61"/>
      <c r="K283" s="61"/>
      <c r="L283" s="61"/>
      <c r="M283" s="62"/>
    </row>
    <row r="284" spans="1:13" ht="35.25" customHeight="1" thickBot="1">
      <c r="A284" s="75" t="s">
        <v>24</v>
      </c>
      <c r="B284" s="77"/>
      <c r="C284" s="75" t="s">
        <v>25</v>
      </c>
      <c r="D284" s="77"/>
      <c r="E284" s="75" t="s">
        <v>26</v>
      </c>
      <c r="F284" s="76"/>
      <c r="G284" s="77"/>
      <c r="H284" s="75" t="s">
        <v>27</v>
      </c>
      <c r="I284" s="77"/>
      <c r="J284" s="78" t="s">
        <v>21</v>
      </c>
      <c r="K284" s="79"/>
      <c r="L284" s="75" t="s">
        <v>22</v>
      </c>
      <c r="M284" s="77"/>
    </row>
    <row r="285" spans="1:13" s="18" customFormat="1" ht="24.75" customHeight="1" thickBot="1">
      <c r="A285" s="99"/>
      <c r="B285" s="98"/>
      <c r="C285" s="56"/>
      <c r="D285" s="57"/>
      <c r="E285" s="56"/>
      <c r="F285" s="100"/>
      <c r="G285" s="57"/>
      <c r="H285" s="56"/>
      <c r="I285" s="57"/>
      <c r="J285" s="56"/>
      <c r="K285" s="57"/>
      <c r="L285" s="56"/>
      <c r="M285" s="57"/>
    </row>
    <row r="286" spans="1:13" s="18" customFormat="1" ht="24.75" customHeight="1" thickBot="1">
      <c r="A286" s="99"/>
      <c r="B286" s="98"/>
      <c r="C286" s="56"/>
      <c r="D286" s="57"/>
      <c r="E286" s="56"/>
      <c r="F286" s="100"/>
      <c r="G286" s="57"/>
      <c r="H286" s="56"/>
      <c r="I286" s="57"/>
      <c r="J286" s="56"/>
      <c r="K286" s="57"/>
      <c r="L286" s="56"/>
      <c r="M286" s="57"/>
    </row>
    <row r="287" spans="1:13" ht="33" customHeight="1" thickBot="1">
      <c r="A287" s="112" t="s">
        <v>40</v>
      </c>
      <c r="B287" s="113"/>
      <c r="C287" s="113"/>
      <c r="D287" s="113"/>
      <c r="E287" s="113"/>
      <c r="F287" s="113"/>
      <c r="G287" s="113"/>
      <c r="H287" s="113"/>
      <c r="I287" s="113"/>
      <c r="J287" s="113"/>
      <c r="K287" s="113"/>
      <c r="L287" s="113"/>
      <c r="M287" s="114"/>
    </row>
    <row r="288" spans="1:13" ht="16.5" customHeight="1">
      <c r="A288" s="115" t="s">
        <v>41</v>
      </c>
      <c r="B288" s="116"/>
      <c r="C288" s="116"/>
      <c r="D288" s="116"/>
      <c r="E288" s="116"/>
      <c r="F288" s="116"/>
      <c r="G288" s="116"/>
      <c r="H288" s="116"/>
      <c r="I288" s="116"/>
      <c r="J288" s="116"/>
      <c r="K288" s="116"/>
      <c r="L288" s="116"/>
      <c r="M288" s="117"/>
    </row>
    <row r="289" spans="1:13" ht="16.5" customHeight="1">
      <c r="A289" s="90" t="s">
        <v>28</v>
      </c>
      <c r="B289" s="91"/>
      <c r="C289" s="91"/>
      <c r="D289" s="91"/>
      <c r="E289" s="91"/>
      <c r="F289" s="91"/>
      <c r="G289" s="91"/>
      <c r="H289" s="91"/>
      <c r="I289" s="91"/>
      <c r="J289" s="91"/>
      <c r="K289" s="91"/>
      <c r="L289" s="91"/>
      <c r="M289" s="92"/>
    </row>
    <row r="290" spans="1:13" s="1" customFormat="1" ht="16.5" customHeight="1">
      <c r="A290" s="93" t="s">
        <v>56</v>
      </c>
      <c r="B290" s="94"/>
      <c r="C290" s="94"/>
      <c r="D290" s="94"/>
      <c r="E290" s="94"/>
      <c r="F290" s="94"/>
      <c r="G290" s="94"/>
      <c r="H290" s="94"/>
      <c r="I290" s="94"/>
      <c r="J290" s="94"/>
      <c r="K290" s="94"/>
      <c r="L290" s="94"/>
      <c r="M290" s="95"/>
    </row>
    <row r="291" spans="1:13" s="1" customFormat="1" ht="16.5" customHeight="1">
      <c r="A291" s="93" t="s">
        <v>57</v>
      </c>
      <c r="B291" s="94"/>
      <c r="C291" s="94"/>
      <c r="D291" s="94"/>
      <c r="E291" s="94"/>
      <c r="F291" s="94"/>
      <c r="G291" s="94"/>
      <c r="H291" s="94"/>
      <c r="I291" s="94"/>
      <c r="J291" s="94"/>
      <c r="K291" s="94"/>
      <c r="L291" s="94"/>
      <c r="M291" s="95"/>
    </row>
    <row r="292" spans="1:13" s="1" customFormat="1" ht="16.5" customHeight="1">
      <c r="A292" s="93" t="s">
        <v>58</v>
      </c>
      <c r="B292" s="94"/>
      <c r="C292" s="94"/>
      <c r="D292" s="94"/>
      <c r="E292" s="94"/>
      <c r="F292" s="94"/>
      <c r="G292" s="94"/>
      <c r="H292" s="94"/>
      <c r="I292" s="94"/>
      <c r="J292" s="94"/>
      <c r="K292" s="94"/>
      <c r="L292" s="94"/>
      <c r="M292" s="95"/>
    </row>
    <row r="293" spans="1:13" s="1" customFormat="1" ht="16.5" customHeight="1">
      <c r="A293" s="93" t="s">
        <v>59</v>
      </c>
      <c r="B293" s="94"/>
      <c r="C293" s="94"/>
      <c r="D293" s="94"/>
      <c r="E293" s="94"/>
      <c r="F293" s="94"/>
      <c r="G293" s="94"/>
      <c r="H293" s="94"/>
      <c r="I293" s="94"/>
      <c r="J293" s="94"/>
      <c r="K293" s="94"/>
      <c r="L293" s="94"/>
      <c r="M293" s="95"/>
    </row>
    <row r="294" spans="1:13" ht="16.5" customHeight="1">
      <c r="A294" s="106" t="s">
        <v>29</v>
      </c>
      <c r="B294" s="107"/>
      <c r="C294" s="107"/>
      <c r="D294" s="107"/>
      <c r="E294" s="107"/>
      <c r="F294" s="107"/>
      <c r="G294" s="107"/>
      <c r="H294" s="107"/>
      <c r="I294" s="107"/>
      <c r="J294" s="107"/>
      <c r="K294" s="107"/>
      <c r="L294" s="107"/>
      <c r="M294" s="108"/>
    </row>
    <row r="295" spans="1:13" ht="9.75" customHeight="1" thickBot="1">
      <c r="A295" s="109"/>
      <c r="B295" s="110"/>
      <c r="C295" s="110"/>
      <c r="D295" s="110"/>
      <c r="E295" s="110"/>
      <c r="F295" s="110"/>
      <c r="G295" s="110"/>
      <c r="H295" s="110"/>
      <c r="I295" s="110"/>
      <c r="J295" s="110"/>
      <c r="K295" s="110"/>
      <c r="L295" s="110"/>
      <c r="M295" s="111"/>
    </row>
    <row r="296" spans="1:13" ht="18.75" customHeight="1" thickBot="1">
      <c r="A296" s="72" t="s">
        <v>30</v>
      </c>
      <c r="B296" s="73"/>
      <c r="C296" s="73"/>
      <c r="D296" s="73"/>
      <c r="E296" s="73"/>
      <c r="F296" s="73"/>
      <c r="G296" s="73"/>
      <c r="H296" s="73"/>
      <c r="I296" s="73"/>
      <c r="J296" s="73"/>
      <c r="K296" s="73"/>
      <c r="L296" s="73"/>
      <c r="M296" s="74"/>
    </row>
    <row r="297" spans="1:13" ht="24" customHeight="1" thickBot="1">
      <c r="A297" s="72" t="s">
        <v>31</v>
      </c>
      <c r="B297" s="73"/>
      <c r="C297" s="73"/>
      <c r="D297" s="73"/>
      <c r="E297" s="73"/>
      <c r="F297" s="73"/>
      <c r="G297" s="73"/>
      <c r="H297" s="73"/>
      <c r="I297" s="73"/>
      <c r="J297" s="73"/>
      <c r="K297" s="73"/>
      <c r="L297" s="73"/>
      <c r="M297" s="74"/>
    </row>
    <row r="298" spans="1:13" ht="24" customHeight="1" thickBot="1">
      <c r="A298" s="72" t="s">
        <v>62</v>
      </c>
      <c r="B298" s="73"/>
      <c r="C298" s="73"/>
      <c r="D298" s="73"/>
      <c r="E298" s="73"/>
      <c r="F298" s="73"/>
      <c r="G298" s="73"/>
      <c r="H298" s="73"/>
      <c r="I298" s="73"/>
      <c r="J298" s="73"/>
      <c r="K298" s="73"/>
      <c r="L298" s="73"/>
      <c r="M298" s="74"/>
    </row>
    <row r="299" spans="1:13" ht="24" customHeight="1" thickBot="1">
      <c r="A299" s="60" t="s">
        <v>46</v>
      </c>
      <c r="B299" s="61"/>
      <c r="C299" s="61"/>
      <c r="D299" s="61"/>
      <c r="E299" s="61"/>
      <c r="F299" s="61"/>
      <c r="G299" s="61"/>
      <c r="H299" s="61"/>
      <c r="I299" s="61"/>
      <c r="J299" s="61"/>
      <c r="K299" s="61"/>
      <c r="L299" s="61"/>
      <c r="M299" s="62"/>
    </row>
    <row r="300" spans="1:13" ht="11.1" customHeight="1">
      <c r="A300" s="103" t="s">
        <v>47</v>
      </c>
      <c r="B300" s="103"/>
      <c r="C300" s="103"/>
      <c r="D300" s="103"/>
      <c r="E300" s="103"/>
      <c r="F300" s="103"/>
      <c r="G300" s="103"/>
      <c r="H300" s="103"/>
      <c r="I300" s="103"/>
      <c r="J300" s="103"/>
      <c r="K300" s="103"/>
      <c r="L300" s="103"/>
      <c r="M300" s="103"/>
    </row>
    <row r="301" spans="1:13" ht="11.1" customHeight="1">
      <c r="A301" s="104" t="s">
        <v>48</v>
      </c>
      <c r="B301" s="104"/>
      <c r="C301" s="104"/>
      <c r="D301" s="104"/>
      <c r="E301" s="104"/>
      <c r="F301" s="104"/>
      <c r="G301" s="104"/>
      <c r="H301" s="104"/>
      <c r="I301" s="104"/>
      <c r="J301" s="104"/>
      <c r="K301" s="104"/>
      <c r="L301" s="104"/>
      <c r="M301" s="104"/>
    </row>
    <row r="302" spans="1:13" ht="11.1" customHeight="1">
      <c r="A302" s="105" t="s">
        <v>49</v>
      </c>
      <c r="B302" s="105"/>
      <c r="C302" s="105"/>
      <c r="D302" s="105"/>
      <c r="E302" s="105"/>
      <c r="F302" s="105"/>
      <c r="G302" s="105"/>
      <c r="H302" s="105"/>
      <c r="I302" s="105"/>
      <c r="J302" s="105"/>
      <c r="K302" s="105"/>
      <c r="L302" s="105"/>
      <c r="M302" s="105"/>
    </row>
    <row r="303" spans="1:13" ht="11.1" customHeight="1">
      <c r="A303" s="105" t="s">
        <v>50</v>
      </c>
      <c r="B303" s="105"/>
      <c r="C303" s="105"/>
      <c r="D303" s="105"/>
      <c r="E303" s="105"/>
      <c r="F303" s="105"/>
      <c r="G303" s="105"/>
      <c r="H303" s="105"/>
      <c r="I303" s="105"/>
      <c r="J303" s="105"/>
      <c r="K303" s="105"/>
      <c r="L303" s="105"/>
      <c r="M303" s="105"/>
    </row>
    <row r="304" spans="1:13" ht="11.1" customHeight="1">
      <c r="A304" s="104" t="s">
        <v>51</v>
      </c>
      <c r="B304" s="104"/>
      <c r="C304" s="104"/>
      <c r="D304" s="104"/>
      <c r="E304" s="104"/>
      <c r="F304" s="104"/>
      <c r="G304" s="104"/>
      <c r="H304" s="104"/>
      <c r="I304" s="104"/>
      <c r="J304" s="104"/>
      <c r="K304" s="104"/>
      <c r="L304" s="104"/>
      <c r="M304" s="104"/>
    </row>
    <row r="305" spans="1:15" ht="11.1" customHeight="1">
      <c r="A305" s="104" t="s">
        <v>52</v>
      </c>
      <c r="B305" s="104"/>
      <c r="C305" s="104"/>
      <c r="D305" s="104"/>
      <c r="E305" s="104"/>
      <c r="F305" s="104"/>
      <c r="G305" s="104"/>
      <c r="H305" s="104"/>
      <c r="I305" s="104"/>
      <c r="J305" s="104"/>
      <c r="K305" s="104"/>
      <c r="L305" s="104"/>
      <c r="M305" s="104"/>
    </row>
    <row r="306" spans="1:15" ht="11.1" customHeight="1">
      <c r="A306" s="104" t="s">
        <v>53</v>
      </c>
      <c r="B306" s="104"/>
      <c r="C306" s="104"/>
      <c r="D306" s="104"/>
      <c r="E306" s="104"/>
      <c r="F306" s="104"/>
      <c r="G306" s="104"/>
      <c r="H306" s="104"/>
      <c r="I306" s="104"/>
      <c r="J306" s="104"/>
      <c r="K306" s="104"/>
      <c r="L306" s="104"/>
      <c r="M306" s="104"/>
    </row>
    <row r="307" spans="1:15" ht="11.1" customHeight="1">
      <c r="A307" s="101" t="s">
        <v>54</v>
      </c>
      <c r="B307" s="101"/>
      <c r="C307" s="101"/>
      <c r="D307" s="101"/>
      <c r="E307" s="101"/>
      <c r="F307" s="101"/>
      <c r="G307" s="101"/>
      <c r="H307" s="101"/>
      <c r="I307" s="101"/>
      <c r="J307" s="101"/>
      <c r="K307" s="101"/>
      <c r="L307" s="101"/>
      <c r="M307" s="101"/>
    </row>
    <row r="308" spans="1:15" ht="11.1" customHeight="1">
      <c r="A308" s="101" t="s">
        <v>55</v>
      </c>
      <c r="B308" s="101"/>
      <c r="C308" s="101"/>
      <c r="D308" s="101"/>
      <c r="E308" s="101"/>
      <c r="F308" s="101"/>
      <c r="G308" s="101"/>
      <c r="H308" s="101"/>
      <c r="I308" s="101"/>
      <c r="J308" s="101"/>
      <c r="K308" s="101"/>
      <c r="L308" s="101"/>
      <c r="M308" s="101"/>
    </row>
    <row r="309" spans="1:15" ht="19.5" customHeight="1">
      <c r="A309" s="69" t="s">
        <v>0</v>
      </c>
      <c r="B309" s="69"/>
      <c r="C309" s="69"/>
      <c r="D309" s="69"/>
      <c r="E309" s="69"/>
      <c r="F309" s="69"/>
      <c r="G309" s="69"/>
      <c r="H309" s="69"/>
      <c r="I309" s="69"/>
      <c r="J309" s="69"/>
      <c r="K309" s="69"/>
      <c r="L309" s="69"/>
      <c r="M309" s="69"/>
    </row>
    <row r="310" spans="1:15" ht="20.100000000000001" customHeight="1">
      <c r="A310" s="4" t="s">
        <v>32</v>
      </c>
      <c r="B310" s="5">
        <f>+B266+1</f>
        <v>43</v>
      </c>
      <c r="C310" s="48"/>
      <c r="D310" s="48"/>
      <c r="E310" s="48"/>
      <c r="F310" s="48"/>
      <c r="G310" s="48"/>
      <c r="H310" s="48"/>
      <c r="I310" s="48"/>
      <c r="J310" s="48"/>
      <c r="K310" s="48"/>
      <c r="L310" s="48"/>
      <c r="M310" s="48"/>
    </row>
    <row r="311" spans="1:15" ht="24" customHeight="1" thickBot="1">
      <c r="A311" s="4" t="s">
        <v>33</v>
      </c>
      <c r="H311" s="70" t="s">
        <v>34</v>
      </c>
      <c r="I311" s="70"/>
      <c r="J311" s="70"/>
      <c r="K311" s="102">
        <f>+K267+1</f>
        <v>45969</v>
      </c>
      <c r="L311" s="102"/>
      <c r="M311" s="102"/>
      <c r="O311" s="7"/>
    </row>
    <row r="312" spans="1:15" ht="33.75" customHeight="1" thickBot="1">
      <c r="A312" s="80" t="s">
        <v>1</v>
      </c>
      <c r="B312" s="81"/>
      <c r="C312" s="82"/>
      <c r="D312" s="86" t="str">
        <f>+D268</f>
        <v>光明國中B與C區5樓老舊廁所整修工程</v>
      </c>
      <c r="E312" s="87"/>
      <c r="F312" s="87"/>
      <c r="G312" s="88"/>
      <c r="H312" s="80" t="s">
        <v>2</v>
      </c>
      <c r="I312" s="81"/>
      <c r="J312" s="82"/>
      <c r="K312" s="80" t="s">
        <v>35</v>
      </c>
      <c r="L312" s="81"/>
      <c r="M312" s="82"/>
    </row>
    <row r="313" spans="1:15" ht="33.75" customHeight="1" thickBot="1">
      <c r="A313" s="8" t="s">
        <v>3</v>
      </c>
      <c r="B313" s="45">
        <f>+B269</f>
        <v>142</v>
      </c>
      <c r="C313" s="10" t="s">
        <v>36</v>
      </c>
      <c r="D313" s="80" t="s">
        <v>4</v>
      </c>
      <c r="E313" s="89"/>
      <c r="F313" s="46">
        <f>+F269+1</f>
        <v>43</v>
      </c>
      <c r="G313" s="12" t="s">
        <v>36</v>
      </c>
      <c r="H313" s="13" t="s">
        <v>5</v>
      </c>
      <c r="I313" s="45">
        <f>+B313-F313</f>
        <v>99</v>
      </c>
      <c r="J313" s="10" t="s">
        <v>36</v>
      </c>
      <c r="K313" s="80" t="s">
        <v>6</v>
      </c>
      <c r="L313" s="82"/>
      <c r="M313" s="13">
        <f>+M269</f>
        <v>12</v>
      </c>
    </row>
    <row r="314" spans="1:15" ht="24" customHeight="1" thickBot="1">
      <c r="A314" s="80" t="s">
        <v>7</v>
      </c>
      <c r="B314" s="81"/>
      <c r="C314" s="82"/>
      <c r="D314" s="80" t="str">
        <f>+D270</f>
        <v>114.9.27</v>
      </c>
      <c r="E314" s="81"/>
      <c r="F314" s="81"/>
      <c r="G314" s="82"/>
      <c r="H314" s="80" t="s">
        <v>8</v>
      </c>
      <c r="I314" s="81"/>
      <c r="J314" s="82"/>
      <c r="K314" s="80" t="str">
        <f>+K270</f>
        <v>115.2.15</v>
      </c>
      <c r="L314" s="81"/>
      <c r="M314" s="82"/>
    </row>
    <row r="315" spans="1:15" ht="24" customHeight="1" thickBot="1">
      <c r="A315" s="80" t="s">
        <v>37</v>
      </c>
      <c r="B315" s="81"/>
      <c r="C315" s="82"/>
      <c r="D315" s="83">
        <v>3.2000000000000001E-2</v>
      </c>
      <c r="E315" s="84"/>
      <c r="F315" s="84"/>
      <c r="G315" s="85"/>
      <c r="H315" s="80" t="s">
        <v>38</v>
      </c>
      <c r="I315" s="81"/>
      <c r="J315" s="82"/>
      <c r="K315" s="83">
        <f>+K271</f>
        <v>5.8000000000000003E-2</v>
      </c>
      <c r="L315" s="84"/>
      <c r="M315" s="85"/>
    </row>
    <row r="316" spans="1:15" ht="24" customHeight="1" thickBot="1">
      <c r="A316" s="72" t="s">
        <v>9</v>
      </c>
      <c r="B316" s="73"/>
      <c r="C316" s="73"/>
      <c r="D316" s="73"/>
      <c r="E316" s="73"/>
      <c r="F316" s="73"/>
      <c r="G316" s="73"/>
      <c r="H316" s="73"/>
      <c r="I316" s="73"/>
      <c r="J316" s="73"/>
      <c r="K316" s="73"/>
      <c r="L316" s="73"/>
      <c r="M316" s="74"/>
    </row>
    <row r="317" spans="1:15" ht="35.25" customHeight="1" thickBot="1">
      <c r="A317" s="75" t="s">
        <v>10</v>
      </c>
      <c r="B317" s="76"/>
      <c r="C317" s="76"/>
      <c r="D317" s="77"/>
      <c r="E317" s="14" t="s">
        <v>11</v>
      </c>
      <c r="F317" s="75" t="s">
        <v>12</v>
      </c>
      <c r="G317" s="77"/>
      <c r="H317" s="75" t="s">
        <v>13</v>
      </c>
      <c r="I317" s="77"/>
      <c r="J317" s="78" t="s">
        <v>14</v>
      </c>
      <c r="K317" s="79"/>
      <c r="L317" s="75" t="s">
        <v>15</v>
      </c>
      <c r="M317" s="77"/>
    </row>
    <row r="318" spans="1:15" ht="27.95" customHeight="1" thickBot="1">
      <c r="A318" s="141"/>
      <c r="B318" s="142"/>
      <c r="C318" s="142"/>
      <c r="D318" s="143"/>
      <c r="E318" s="2"/>
      <c r="F318" s="56"/>
      <c r="G318" s="57"/>
      <c r="H318" s="56"/>
      <c r="I318" s="57"/>
      <c r="J318" s="56"/>
      <c r="K318" s="57"/>
      <c r="L318" s="58"/>
      <c r="M318" s="59"/>
    </row>
    <row r="319" spans="1:15" ht="27.95" customHeight="1" thickBot="1">
      <c r="A319" s="141"/>
      <c r="B319" s="142"/>
      <c r="C319" s="142"/>
      <c r="D319" s="143"/>
      <c r="E319" s="15"/>
      <c r="F319" s="56"/>
      <c r="G319" s="57"/>
      <c r="H319" s="56"/>
      <c r="I319" s="57"/>
      <c r="J319" s="56"/>
      <c r="K319" s="57"/>
      <c r="L319" s="58"/>
      <c r="M319" s="59"/>
    </row>
    <row r="320" spans="1:15" ht="24.95" customHeight="1" thickTop="1" thickBot="1">
      <c r="A320" s="130" t="s">
        <v>16</v>
      </c>
      <c r="B320" s="67"/>
      <c r="C320" s="67"/>
      <c r="D320" s="68"/>
      <c r="E320" s="47"/>
      <c r="F320" s="131"/>
      <c r="G320" s="132"/>
      <c r="H320" s="131"/>
      <c r="I320" s="132"/>
      <c r="J320" s="131"/>
      <c r="K320" s="132"/>
      <c r="L320" s="131"/>
      <c r="M320" s="133"/>
    </row>
    <row r="321" spans="1:13" ht="24.95" customHeight="1" thickBot="1">
      <c r="A321" s="134"/>
      <c r="B321" s="135"/>
      <c r="C321" s="135"/>
      <c r="D321" s="59"/>
      <c r="E321" s="47"/>
      <c r="F321" s="58"/>
      <c r="G321" s="59"/>
      <c r="H321" s="58"/>
      <c r="I321" s="59"/>
      <c r="J321" s="58"/>
      <c r="K321" s="59"/>
      <c r="L321" s="58"/>
      <c r="M321" s="136"/>
    </row>
    <row r="322" spans="1:13" ht="24.95" customHeight="1" thickBot="1">
      <c r="A322" s="118"/>
      <c r="B322" s="119"/>
      <c r="C322" s="119"/>
      <c r="D322" s="120"/>
      <c r="E322" s="24"/>
      <c r="F322" s="121"/>
      <c r="G322" s="120"/>
      <c r="H322" s="121"/>
      <c r="I322" s="120"/>
      <c r="J322" s="121"/>
      <c r="K322" s="120"/>
      <c r="L322" s="121"/>
      <c r="M322" s="122"/>
    </row>
    <row r="323" spans="1:13" ht="24" customHeight="1" thickTop="1" thickBot="1">
      <c r="A323" s="66" t="s">
        <v>19</v>
      </c>
      <c r="B323" s="67"/>
      <c r="C323" s="67"/>
      <c r="D323" s="67"/>
      <c r="E323" s="67"/>
      <c r="F323" s="67"/>
      <c r="G323" s="67"/>
      <c r="H323" s="67"/>
      <c r="I323" s="67"/>
      <c r="J323" s="67"/>
      <c r="K323" s="67"/>
      <c r="L323" s="67"/>
      <c r="M323" s="68"/>
    </row>
    <row r="324" spans="1:13" ht="35.25" customHeight="1" thickBot="1">
      <c r="A324" s="75" t="s">
        <v>20</v>
      </c>
      <c r="B324" s="76"/>
      <c r="C324" s="76"/>
      <c r="D324" s="77"/>
      <c r="E324" s="14" t="s">
        <v>11</v>
      </c>
      <c r="F324" s="75" t="s">
        <v>39</v>
      </c>
      <c r="G324" s="77"/>
      <c r="H324" s="75" t="s">
        <v>21</v>
      </c>
      <c r="I324" s="77"/>
      <c r="J324" s="78" t="s">
        <v>22</v>
      </c>
      <c r="K324" s="79"/>
      <c r="L324" s="75" t="s">
        <v>15</v>
      </c>
      <c r="M324" s="77"/>
    </row>
    <row r="325" spans="1:13" ht="24" customHeight="1" thickBot="1">
      <c r="A325" s="96"/>
      <c r="B325" s="97"/>
      <c r="C325" s="97"/>
      <c r="D325" s="98"/>
      <c r="E325" s="47"/>
      <c r="F325" s="58"/>
      <c r="G325" s="59"/>
      <c r="H325" s="58"/>
      <c r="I325" s="59"/>
      <c r="J325" s="56"/>
      <c r="K325" s="57"/>
      <c r="L325" s="58"/>
      <c r="M325" s="59"/>
    </row>
    <row r="326" spans="1:13" ht="24" customHeight="1" thickBot="1">
      <c r="A326" s="96"/>
      <c r="B326" s="97"/>
      <c r="C326" s="97"/>
      <c r="D326" s="98"/>
      <c r="E326" s="47"/>
      <c r="F326" s="58"/>
      <c r="G326" s="59"/>
      <c r="H326" s="58"/>
      <c r="I326" s="59"/>
      <c r="J326" s="56"/>
      <c r="K326" s="57"/>
      <c r="L326" s="58"/>
      <c r="M326" s="59"/>
    </row>
    <row r="327" spans="1:13" ht="24" customHeight="1" thickBot="1">
      <c r="A327" s="60" t="s">
        <v>23</v>
      </c>
      <c r="B327" s="61"/>
      <c r="C327" s="61"/>
      <c r="D327" s="61"/>
      <c r="E327" s="61"/>
      <c r="F327" s="61"/>
      <c r="G327" s="61"/>
      <c r="H327" s="61"/>
      <c r="I327" s="61"/>
      <c r="J327" s="61"/>
      <c r="K327" s="61"/>
      <c r="L327" s="61"/>
      <c r="M327" s="62"/>
    </row>
    <row r="328" spans="1:13" ht="35.25" customHeight="1" thickBot="1">
      <c r="A328" s="75" t="s">
        <v>24</v>
      </c>
      <c r="B328" s="77"/>
      <c r="C328" s="75" t="s">
        <v>25</v>
      </c>
      <c r="D328" s="77"/>
      <c r="E328" s="75" t="s">
        <v>26</v>
      </c>
      <c r="F328" s="76"/>
      <c r="G328" s="77"/>
      <c r="H328" s="75" t="s">
        <v>27</v>
      </c>
      <c r="I328" s="77"/>
      <c r="J328" s="78" t="s">
        <v>21</v>
      </c>
      <c r="K328" s="79"/>
      <c r="L328" s="75" t="s">
        <v>22</v>
      </c>
      <c r="M328" s="77"/>
    </row>
    <row r="329" spans="1:13" s="18" customFormat="1" ht="24.75" customHeight="1" thickBot="1">
      <c r="A329" s="99"/>
      <c r="B329" s="98"/>
      <c r="C329" s="56"/>
      <c r="D329" s="57"/>
      <c r="E329" s="56"/>
      <c r="F329" s="100"/>
      <c r="G329" s="57"/>
      <c r="H329" s="56"/>
      <c r="I329" s="57"/>
      <c r="J329" s="56"/>
      <c r="K329" s="57"/>
      <c r="L329" s="56"/>
      <c r="M329" s="57"/>
    </row>
    <row r="330" spans="1:13" s="18" customFormat="1" ht="25.5" customHeight="1" thickBot="1">
      <c r="A330" s="99"/>
      <c r="B330" s="98"/>
      <c r="C330" s="56"/>
      <c r="D330" s="57"/>
      <c r="E330" s="56"/>
      <c r="F330" s="100"/>
      <c r="G330" s="57"/>
      <c r="H330" s="56"/>
      <c r="I330" s="57"/>
      <c r="J330" s="56"/>
      <c r="K330" s="57"/>
      <c r="L330" s="56"/>
      <c r="M330" s="57"/>
    </row>
    <row r="331" spans="1:13" ht="33" customHeight="1" thickBot="1">
      <c r="A331" s="112" t="s">
        <v>40</v>
      </c>
      <c r="B331" s="113"/>
      <c r="C331" s="113"/>
      <c r="D331" s="113"/>
      <c r="E331" s="113"/>
      <c r="F331" s="113"/>
      <c r="G331" s="113"/>
      <c r="H331" s="113"/>
      <c r="I331" s="113"/>
      <c r="J331" s="113"/>
      <c r="K331" s="113"/>
      <c r="L331" s="113"/>
      <c r="M331" s="114"/>
    </row>
    <row r="332" spans="1:13" ht="16.5" customHeight="1">
      <c r="A332" s="115" t="s">
        <v>41</v>
      </c>
      <c r="B332" s="116"/>
      <c r="C332" s="116"/>
      <c r="D332" s="116"/>
      <c r="E332" s="116"/>
      <c r="F332" s="116"/>
      <c r="G332" s="116"/>
      <c r="H332" s="116"/>
      <c r="I332" s="116"/>
      <c r="J332" s="116"/>
      <c r="K332" s="116"/>
      <c r="L332" s="116"/>
      <c r="M332" s="117"/>
    </row>
    <row r="333" spans="1:13" ht="16.5" customHeight="1">
      <c r="A333" s="90" t="s">
        <v>28</v>
      </c>
      <c r="B333" s="91"/>
      <c r="C333" s="91"/>
      <c r="D333" s="91"/>
      <c r="E333" s="91"/>
      <c r="F333" s="91"/>
      <c r="G333" s="91"/>
      <c r="H333" s="91"/>
      <c r="I333" s="91"/>
      <c r="J333" s="91"/>
      <c r="K333" s="91"/>
      <c r="L333" s="91"/>
      <c r="M333" s="92"/>
    </row>
    <row r="334" spans="1:13" s="1" customFormat="1" ht="16.5" customHeight="1">
      <c r="A334" s="93" t="s">
        <v>56</v>
      </c>
      <c r="B334" s="94"/>
      <c r="C334" s="94"/>
      <c r="D334" s="94"/>
      <c r="E334" s="94"/>
      <c r="F334" s="94"/>
      <c r="G334" s="94"/>
      <c r="H334" s="94"/>
      <c r="I334" s="94"/>
      <c r="J334" s="94"/>
      <c r="K334" s="94"/>
      <c r="L334" s="94"/>
      <c r="M334" s="95"/>
    </row>
    <row r="335" spans="1:13" s="1" customFormat="1" ht="16.5" customHeight="1">
      <c r="A335" s="93" t="s">
        <v>57</v>
      </c>
      <c r="B335" s="94"/>
      <c r="C335" s="94"/>
      <c r="D335" s="94"/>
      <c r="E335" s="94"/>
      <c r="F335" s="94"/>
      <c r="G335" s="94"/>
      <c r="H335" s="94"/>
      <c r="I335" s="94"/>
      <c r="J335" s="94"/>
      <c r="K335" s="94"/>
      <c r="L335" s="94"/>
      <c r="M335" s="95"/>
    </row>
    <row r="336" spans="1:13" s="1" customFormat="1" ht="16.5" customHeight="1">
      <c r="A336" s="93" t="s">
        <v>58</v>
      </c>
      <c r="B336" s="94"/>
      <c r="C336" s="94"/>
      <c r="D336" s="94"/>
      <c r="E336" s="94"/>
      <c r="F336" s="94"/>
      <c r="G336" s="94"/>
      <c r="H336" s="94"/>
      <c r="I336" s="94"/>
      <c r="J336" s="94"/>
      <c r="K336" s="94"/>
      <c r="L336" s="94"/>
      <c r="M336" s="95"/>
    </row>
    <row r="337" spans="1:13" s="1" customFormat="1" ht="16.5" customHeight="1">
      <c r="A337" s="93" t="s">
        <v>59</v>
      </c>
      <c r="B337" s="94"/>
      <c r="C337" s="94"/>
      <c r="D337" s="94"/>
      <c r="E337" s="94"/>
      <c r="F337" s="94"/>
      <c r="G337" s="94"/>
      <c r="H337" s="94"/>
      <c r="I337" s="94"/>
      <c r="J337" s="94"/>
      <c r="K337" s="94"/>
      <c r="L337" s="94"/>
      <c r="M337" s="95"/>
    </row>
    <row r="338" spans="1:13" ht="16.5" customHeight="1">
      <c r="A338" s="106" t="s">
        <v>29</v>
      </c>
      <c r="B338" s="107"/>
      <c r="C338" s="107"/>
      <c r="D338" s="107"/>
      <c r="E338" s="107"/>
      <c r="F338" s="107"/>
      <c r="G338" s="107"/>
      <c r="H338" s="107"/>
      <c r="I338" s="107"/>
      <c r="J338" s="107"/>
      <c r="K338" s="107"/>
      <c r="L338" s="107"/>
      <c r="M338" s="108"/>
    </row>
    <row r="339" spans="1:13" ht="9.75" customHeight="1" thickBot="1">
      <c r="A339" s="109"/>
      <c r="B339" s="110"/>
      <c r="C339" s="110"/>
      <c r="D339" s="110"/>
      <c r="E339" s="110"/>
      <c r="F339" s="110"/>
      <c r="G339" s="110"/>
      <c r="H339" s="110"/>
      <c r="I339" s="110"/>
      <c r="J339" s="110"/>
      <c r="K339" s="110"/>
      <c r="L339" s="110"/>
      <c r="M339" s="111"/>
    </row>
    <row r="340" spans="1:13" ht="18.75" customHeight="1" thickBot="1">
      <c r="A340" s="72" t="s">
        <v>30</v>
      </c>
      <c r="B340" s="73"/>
      <c r="C340" s="73"/>
      <c r="D340" s="73"/>
      <c r="E340" s="73"/>
      <c r="F340" s="73"/>
      <c r="G340" s="73"/>
      <c r="H340" s="73"/>
      <c r="I340" s="73"/>
      <c r="J340" s="73"/>
      <c r="K340" s="73"/>
      <c r="L340" s="73"/>
      <c r="M340" s="74"/>
    </row>
    <row r="341" spans="1:13" ht="24" customHeight="1" thickBot="1">
      <c r="A341" s="72" t="s">
        <v>31</v>
      </c>
      <c r="B341" s="73"/>
      <c r="C341" s="73"/>
      <c r="D341" s="73"/>
      <c r="E341" s="73"/>
      <c r="F341" s="73"/>
      <c r="G341" s="73"/>
      <c r="H341" s="73"/>
      <c r="I341" s="73"/>
      <c r="J341" s="73"/>
      <c r="K341" s="73"/>
      <c r="L341" s="73"/>
      <c r="M341" s="74"/>
    </row>
    <row r="342" spans="1:13" ht="24" customHeight="1" thickBot="1">
      <c r="A342" s="72" t="s">
        <v>62</v>
      </c>
      <c r="B342" s="73"/>
      <c r="C342" s="73"/>
      <c r="D342" s="73"/>
      <c r="E342" s="73"/>
      <c r="F342" s="73"/>
      <c r="G342" s="73"/>
      <c r="H342" s="73"/>
      <c r="I342" s="73"/>
      <c r="J342" s="73"/>
      <c r="K342" s="73"/>
      <c r="L342" s="73"/>
      <c r="M342" s="74"/>
    </row>
    <row r="343" spans="1:13" ht="24" customHeight="1" thickBot="1">
      <c r="A343" s="60" t="s">
        <v>46</v>
      </c>
      <c r="B343" s="61"/>
      <c r="C343" s="61"/>
      <c r="D343" s="61"/>
      <c r="E343" s="61"/>
      <c r="F343" s="61"/>
      <c r="G343" s="61"/>
      <c r="H343" s="61"/>
      <c r="I343" s="61"/>
      <c r="J343" s="61"/>
      <c r="K343" s="61"/>
      <c r="L343" s="61"/>
      <c r="M343" s="62"/>
    </row>
    <row r="344" spans="1:13" ht="11.1" customHeight="1">
      <c r="A344" s="103" t="s">
        <v>47</v>
      </c>
      <c r="B344" s="103"/>
      <c r="C344" s="103"/>
      <c r="D344" s="103"/>
      <c r="E344" s="103"/>
      <c r="F344" s="103"/>
      <c r="G344" s="103"/>
      <c r="H344" s="103"/>
      <c r="I344" s="103"/>
      <c r="J344" s="103"/>
      <c r="K344" s="103"/>
      <c r="L344" s="103"/>
      <c r="M344" s="103"/>
    </row>
    <row r="345" spans="1:13" ht="11.1" customHeight="1">
      <c r="A345" s="104" t="s">
        <v>48</v>
      </c>
      <c r="B345" s="104"/>
      <c r="C345" s="104"/>
      <c r="D345" s="104"/>
      <c r="E345" s="104"/>
      <c r="F345" s="104"/>
      <c r="G345" s="104"/>
      <c r="H345" s="104"/>
      <c r="I345" s="104"/>
      <c r="J345" s="104"/>
      <c r="K345" s="104"/>
      <c r="L345" s="104"/>
      <c r="M345" s="104"/>
    </row>
    <row r="346" spans="1:13" ht="11.1" customHeight="1">
      <c r="A346" s="105" t="s">
        <v>49</v>
      </c>
      <c r="B346" s="105"/>
      <c r="C346" s="105"/>
      <c r="D346" s="105"/>
      <c r="E346" s="105"/>
      <c r="F346" s="105"/>
      <c r="G346" s="105"/>
      <c r="H346" s="105"/>
      <c r="I346" s="105"/>
      <c r="J346" s="105"/>
      <c r="K346" s="105"/>
      <c r="L346" s="105"/>
      <c r="M346" s="105"/>
    </row>
    <row r="347" spans="1:13" ht="11.1" customHeight="1">
      <c r="A347" s="105" t="s">
        <v>50</v>
      </c>
      <c r="B347" s="105"/>
      <c r="C347" s="105"/>
      <c r="D347" s="105"/>
      <c r="E347" s="105"/>
      <c r="F347" s="105"/>
      <c r="G347" s="105"/>
      <c r="H347" s="105"/>
      <c r="I347" s="105"/>
      <c r="J347" s="105"/>
      <c r="K347" s="105"/>
      <c r="L347" s="105"/>
      <c r="M347" s="105"/>
    </row>
    <row r="348" spans="1:13" ht="11.1" customHeight="1">
      <c r="A348" s="104" t="s">
        <v>51</v>
      </c>
      <c r="B348" s="104"/>
      <c r="C348" s="104"/>
      <c r="D348" s="104"/>
      <c r="E348" s="104"/>
      <c r="F348" s="104"/>
      <c r="G348" s="104"/>
      <c r="H348" s="104"/>
      <c r="I348" s="104"/>
      <c r="J348" s="104"/>
      <c r="K348" s="104"/>
      <c r="L348" s="104"/>
      <c r="M348" s="104"/>
    </row>
    <row r="349" spans="1:13" ht="11.1" customHeight="1">
      <c r="A349" s="104" t="s">
        <v>52</v>
      </c>
      <c r="B349" s="104"/>
      <c r="C349" s="104"/>
      <c r="D349" s="104"/>
      <c r="E349" s="104"/>
      <c r="F349" s="104"/>
      <c r="G349" s="104"/>
      <c r="H349" s="104"/>
      <c r="I349" s="104"/>
      <c r="J349" s="104"/>
      <c r="K349" s="104"/>
      <c r="L349" s="104"/>
      <c r="M349" s="104"/>
    </row>
    <row r="350" spans="1:13" ht="11.1" customHeight="1">
      <c r="A350" s="104" t="s">
        <v>53</v>
      </c>
      <c r="B350" s="104"/>
      <c r="C350" s="104"/>
      <c r="D350" s="104"/>
      <c r="E350" s="104"/>
      <c r="F350" s="104"/>
      <c r="G350" s="104"/>
      <c r="H350" s="104"/>
      <c r="I350" s="104"/>
      <c r="J350" s="104"/>
      <c r="K350" s="104"/>
      <c r="L350" s="104"/>
      <c r="M350" s="104"/>
    </row>
    <row r="351" spans="1:13" ht="11.1" customHeight="1">
      <c r="A351" s="101" t="s">
        <v>54</v>
      </c>
      <c r="B351" s="101"/>
      <c r="C351" s="101"/>
      <c r="D351" s="101"/>
      <c r="E351" s="101"/>
      <c r="F351" s="101"/>
      <c r="G351" s="101"/>
      <c r="H351" s="101"/>
      <c r="I351" s="101"/>
      <c r="J351" s="101"/>
      <c r="K351" s="101"/>
      <c r="L351" s="101"/>
      <c r="M351" s="101"/>
    </row>
    <row r="352" spans="1:13" ht="11.1" customHeight="1">
      <c r="A352" s="101" t="s">
        <v>55</v>
      </c>
      <c r="B352" s="101"/>
      <c r="C352" s="101"/>
      <c r="D352" s="101"/>
      <c r="E352" s="101"/>
      <c r="F352" s="101"/>
      <c r="G352" s="101"/>
      <c r="H352" s="101"/>
      <c r="I352" s="101"/>
      <c r="J352" s="101"/>
      <c r="K352" s="101"/>
      <c r="L352" s="101"/>
      <c r="M352" s="101"/>
    </row>
    <row r="353" spans="1:15" ht="19.5" customHeight="1">
      <c r="A353" s="69" t="s">
        <v>0</v>
      </c>
      <c r="B353" s="69"/>
      <c r="C353" s="69"/>
      <c r="D353" s="69"/>
      <c r="E353" s="69"/>
      <c r="F353" s="69"/>
      <c r="G353" s="69"/>
      <c r="H353" s="69"/>
      <c r="I353" s="69"/>
      <c r="J353" s="69"/>
      <c r="K353" s="69"/>
      <c r="L353" s="69"/>
      <c r="M353" s="69"/>
    </row>
    <row r="354" spans="1:15" ht="20.100000000000001" customHeight="1">
      <c r="A354" s="4" t="s">
        <v>32</v>
      </c>
      <c r="B354" s="5">
        <f>+B310+1</f>
        <v>44</v>
      </c>
      <c r="C354" s="48"/>
      <c r="D354" s="48"/>
      <c r="E354" s="48"/>
      <c r="F354" s="48"/>
      <c r="G354" s="48"/>
      <c r="H354" s="48"/>
      <c r="I354" s="48"/>
      <c r="J354" s="48"/>
      <c r="K354" s="48"/>
      <c r="L354" s="48"/>
      <c r="M354" s="48"/>
    </row>
    <row r="355" spans="1:15" ht="24" customHeight="1" thickBot="1">
      <c r="A355" s="4" t="s">
        <v>33</v>
      </c>
      <c r="H355" s="70" t="s">
        <v>34</v>
      </c>
      <c r="I355" s="70"/>
      <c r="J355" s="70"/>
      <c r="K355" s="102">
        <f>+K311+1</f>
        <v>45970</v>
      </c>
      <c r="L355" s="102"/>
      <c r="M355" s="102"/>
      <c r="O355" s="7"/>
    </row>
    <row r="356" spans="1:15" ht="33.75" customHeight="1" thickBot="1">
      <c r="A356" s="80" t="s">
        <v>1</v>
      </c>
      <c r="B356" s="81"/>
      <c r="C356" s="82"/>
      <c r="D356" s="86" t="str">
        <f>+D312</f>
        <v>光明國中B與C區5樓老舊廁所整修工程</v>
      </c>
      <c r="E356" s="87"/>
      <c r="F356" s="87"/>
      <c r="G356" s="88"/>
      <c r="H356" s="80" t="s">
        <v>2</v>
      </c>
      <c r="I356" s="81"/>
      <c r="J356" s="82"/>
      <c r="K356" s="80" t="s">
        <v>35</v>
      </c>
      <c r="L356" s="81"/>
      <c r="M356" s="82"/>
    </row>
    <row r="357" spans="1:15" ht="33.75" customHeight="1" thickBot="1">
      <c r="A357" s="8" t="s">
        <v>3</v>
      </c>
      <c r="B357" s="45">
        <f>+B313</f>
        <v>142</v>
      </c>
      <c r="C357" s="10" t="s">
        <v>36</v>
      </c>
      <c r="D357" s="80" t="s">
        <v>4</v>
      </c>
      <c r="E357" s="89"/>
      <c r="F357" s="46">
        <f>+F313+1</f>
        <v>44</v>
      </c>
      <c r="G357" s="12" t="s">
        <v>36</v>
      </c>
      <c r="H357" s="13" t="s">
        <v>5</v>
      </c>
      <c r="I357" s="45">
        <f>+B357-F357</f>
        <v>98</v>
      </c>
      <c r="J357" s="10" t="s">
        <v>36</v>
      </c>
      <c r="K357" s="80" t="s">
        <v>6</v>
      </c>
      <c r="L357" s="82"/>
      <c r="M357" s="13">
        <f>+M313</f>
        <v>12</v>
      </c>
    </row>
    <row r="358" spans="1:15" ht="24" customHeight="1" thickBot="1">
      <c r="A358" s="80" t="s">
        <v>7</v>
      </c>
      <c r="B358" s="81"/>
      <c r="C358" s="82"/>
      <c r="D358" s="80" t="str">
        <f>+D314</f>
        <v>114.9.27</v>
      </c>
      <c r="E358" s="81"/>
      <c r="F358" s="81"/>
      <c r="G358" s="82"/>
      <c r="H358" s="80" t="s">
        <v>8</v>
      </c>
      <c r="I358" s="81"/>
      <c r="J358" s="82"/>
      <c r="K358" s="80" t="str">
        <f>+K314</f>
        <v>115.2.15</v>
      </c>
      <c r="L358" s="81"/>
      <c r="M358" s="82"/>
    </row>
    <row r="359" spans="1:15" ht="24" customHeight="1" thickBot="1">
      <c r="A359" s="80" t="s">
        <v>37</v>
      </c>
      <c r="B359" s="81"/>
      <c r="C359" s="82"/>
      <c r="D359" s="83">
        <v>3.4000000000000002E-2</v>
      </c>
      <c r="E359" s="84"/>
      <c r="F359" s="84"/>
      <c r="G359" s="85"/>
      <c r="H359" s="80" t="s">
        <v>38</v>
      </c>
      <c r="I359" s="81"/>
      <c r="J359" s="82"/>
      <c r="K359" s="83">
        <f>+K315</f>
        <v>5.8000000000000003E-2</v>
      </c>
      <c r="L359" s="84"/>
      <c r="M359" s="85"/>
    </row>
    <row r="360" spans="1:15" ht="24" customHeight="1" thickBot="1">
      <c r="A360" s="72" t="s">
        <v>9</v>
      </c>
      <c r="B360" s="73"/>
      <c r="C360" s="73"/>
      <c r="D360" s="73"/>
      <c r="E360" s="73"/>
      <c r="F360" s="73"/>
      <c r="G360" s="73"/>
      <c r="H360" s="73"/>
      <c r="I360" s="73"/>
      <c r="J360" s="73"/>
      <c r="K360" s="73"/>
      <c r="L360" s="73"/>
      <c r="M360" s="74"/>
    </row>
    <row r="361" spans="1:15" ht="35.25" customHeight="1" thickBot="1">
      <c r="A361" s="75" t="s">
        <v>10</v>
      </c>
      <c r="B361" s="76"/>
      <c r="C361" s="76"/>
      <c r="D361" s="77"/>
      <c r="E361" s="14" t="s">
        <v>11</v>
      </c>
      <c r="F361" s="75" t="s">
        <v>12</v>
      </c>
      <c r="G361" s="77"/>
      <c r="H361" s="75" t="s">
        <v>13</v>
      </c>
      <c r="I361" s="77"/>
      <c r="J361" s="78" t="s">
        <v>61</v>
      </c>
      <c r="K361" s="79"/>
      <c r="L361" s="75" t="s">
        <v>15</v>
      </c>
      <c r="M361" s="77"/>
    </row>
    <row r="362" spans="1:15" ht="27.95" customHeight="1" thickBot="1">
      <c r="A362" s="141"/>
      <c r="B362" s="142"/>
      <c r="C362" s="142"/>
      <c r="D362" s="143"/>
      <c r="E362" s="2"/>
      <c r="F362" s="56"/>
      <c r="G362" s="57"/>
      <c r="H362" s="56"/>
      <c r="I362" s="57"/>
      <c r="J362" s="56"/>
      <c r="K362" s="57"/>
      <c r="L362" s="58"/>
      <c r="M362" s="59"/>
    </row>
    <row r="363" spans="1:15" ht="27.95" customHeight="1" thickBot="1">
      <c r="A363" s="141"/>
      <c r="B363" s="142"/>
      <c r="C363" s="142"/>
      <c r="D363" s="143"/>
      <c r="E363" s="15"/>
      <c r="F363" s="56"/>
      <c r="G363" s="57"/>
      <c r="H363" s="56"/>
      <c r="I363" s="57"/>
      <c r="J363" s="56"/>
      <c r="K363" s="57"/>
      <c r="L363" s="58"/>
      <c r="M363" s="59"/>
    </row>
    <row r="364" spans="1:15" ht="24.95" customHeight="1" thickTop="1" thickBot="1">
      <c r="A364" s="130" t="s">
        <v>16</v>
      </c>
      <c r="B364" s="67"/>
      <c r="C364" s="67"/>
      <c r="D364" s="68"/>
      <c r="E364" s="47"/>
      <c r="F364" s="131"/>
      <c r="G364" s="132"/>
      <c r="H364" s="131"/>
      <c r="I364" s="132"/>
      <c r="J364" s="131"/>
      <c r="K364" s="132"/>
      <c r="L364" s="131"/>
      <c r="M364" s="133"/>
    </row>
    <row r="365" spans="1:15" ht="24.95" customHeight="1" thickBot="1">
      <c r="A365" s="134" t="s">
        <v>17</v>
      </c>
      <c r="B365" s="135"/>
      <c r="C365" s="135"/>
      <c r="D365" s="59"/>
      <c r="E365" s="47"/>
      <c r="F365" s="58"/>
      <c r="G365" s="59"/>
      <c r="H365" s="58"/>
      <c r="I365" s="59"/>
      <c r="J365" s="58"/>
      <c r="K365" s="59"/>
      <c r="L365" s="58"/>
      <c r="M365" s="136"/>
    </row>
    <row r="366" spans="1:15" ht="24.95" customHeight="1" thickBot="1">
      <c r="A366" s="118" t="s">
        <v>18</v>
      </c>
      <c r="B366" s="119"/>
      <c r="C366" s="119"/>
      <c r="D366" s="120"/>
      <c r="E366" s="24"/>
      <c r="F366" s="121"/>
      <c r="G366" s="120"/>
      <c r="H366" s="121"/>
      <c r="I366" s="120"/>
      <c r="J366" s="121"/>
      <c r="K366" s="120"/>
      <c r="L366" s="121"/>
      <c r="M366" s="122"/>
    </row>
    <row r="367" spans="1:15" ht="24" customHeight="1" thickTop="1" thickBot="1">
      <c r="A367" s="66" t="s">
        <v>19</v>
      </c>
      <c r="B367" s="67"/>
      <c r="C367" s="67"/>
      <c r="D367" s="67"/>
      <c r="E367" s="67"/>
      <c r="F367" s="67"/>
      <c r="G367" s="67"/>
      <c r="H367" s="67"/>
      <c r="I367" s="67"/>
      <c r="J367" s="67"/>
      <c r="K367" s="67"/>
      <c r="L367" s="67"/>
      <c r="M367" s="68"/>
    </row>
    <row r="368" spans="1:15" ht="35.25" customHeight="1" thickBot="1">
      <c r="A368" s="75" t="s">
        <v>20</v>
      </c>
      <c r="B368" s="76"/>
      <c r="C368" s="76"/>
      <c r="D368" s="77"/>
      <c r="E368" s="14" t="s">
        <v>11</v>
      </c>
      <c r="F368" s="75" t="s">
        <v>39</v>
      </c>
      <c r="G368" s="77"/>
      <c r="H368" s="75" t="s">
        <v>21</v>
      </c>
      <c r="I368" s="77"/>
      <c r="J368" s="78" t="s">
        <v>22</v>
      </c>
      <c r="K368" s="79"/>
      <c r="L368" s="75" t="s">
        <v>15</v>
      </c>
      <c r="M368" s="77"/>
    </row>
    <row r="369" spans="1:13" ht="24" customHeight="1" thickBot="1">
      <c r="A369" s="96"/>
      <c r="B369" s="97"/>
      <c r="C369" s="97"/>
      <c r="D369" s="98"/>
      <c r="E369" s="47"/>
      <c r="F369" s="58"/>
      <c r="G369" s="59"/>
      <c r="H369" s="58"/>
      <c r="I369" s="59"/>
      <c r="J369" s="56"/>
      <c r="K369" s="57"/>
      <c r="L369" s="58"/>
      <c r="M369" s="59"/>
    </row>
    <row r="370" spans="1:13" ht="24" customHeight="1" thickBot="1">
      <c r="A370" s="96"/>
      <c r="B370" s="97"/>
      <c r="C370" s="97"/>
      <c r="D370" s="98"/>
      <c r="E370" s="47"/>
      <c r="F370" s="58"/>
      <c r="G370" s="59"/>
      <c r="H370" s="58"/>
      <c r="I370" s="59"/>
      <c r="J370" s="56"/>
      <c r="K370" s="57"/>
      <c r="L370" s="58"/>
      <c r="M370" s="59"/>
    </row>
    <row r="371" spans="1:13" ht="24" customHeight="1" thickBot="1">
      <c r="A371" s="60" t="s">
        <v>23</v>
      </c>
      <c r="B371" s="61"/>
      <c r="C371" s="61"/>
      <c r="D371" s="61"/>
      <c r="E371" s="61"/>
      <c r="F371" s="61"/>
      <c r="G371" s="61"/>
      <c r="H371" s="61"/>
      <c r="I371" s="61"/>
      <c r="J371" s="61"/>
      <c r="K371" s="61"/>
      <c r="L371" s="61"/>
      <c r="M371" s="62"/>
    </row>
    <row r="372" spans="1:13" ht="35.25" customHeight="1" thickBot="1">
      <c r="A372" s="75" t="s">
        <v>24</v>
      </c>
      <c r="B372" s="77"/>
      <c r="C372" s="75" t="s">
        <v>25</v>
      </c>
      <c r="D372" s="77"/>
      <c r="E372" s="75" t="s">
        <v>26</v>
      </c>
      <c r="F372" s="76"/>
      <c r="G372" s="77"/>
      <c r="H372" s="75" t="s">
        <v>27</v>
      </c>
      <c r="I372" s="77"/>
      <c r="J372" s="78" t="s">
        <v>21</v>
      </c>
      <c r="K372" s="79"/>
      <c r="L372" s="75" t="s">
        <v>22</v>
      </c>
      <c r="M372" s="77"/>
    </row>
    <row r="373" spans="1:13" s="18" customFormat="1" ht="24.75" customHeight="1" thickBot="1">
      <c r="A373" s="99"/>
      <c r="B373" s="98"/>
      <c r="C373" s="56"/>
      <c r="D373" s="57"/>
      <c r="E373" s="56"/>
      <c r="F373" s="100"/>
      <c r="G373" s="57"/>
      <c r="H373" s="56"/>
      <c r="I373" s="57"/>
      <c r="J373" s="56"/>
      <c r="K373" s="57"/>
      <c r="L373" s="56"/>
      <c r="M373" s="57"/>
    </row>
    <row r="374" spans="1:13" s="18" customFormat="1" ht="25.5" customHeight="1" thickBot="1">
      <c r="A374" s="99"/>
      <c r="B374" s="98"/>
      <c r="C374" s="56"/>
      <c r="D374" s="57"/>
      <c r="E374" s="56"/>
      <c r="F374" s="100"/>
      <c r="G374" s="57"/>
      <c r="H374" s="56"/>
      <c r="I374" s="57"/>
      <c r="J374" s="56"/>
      <c r="K374" s="57"/>
      <c r="L374" s="56"/>
      <c r="M374" s="57"/>
    </row>
    <row r="375" spans="1:13" ht="33" customHeight="1" thickBot="1">
      <c r="A375" s="112" t="s">
        <v>60</v>
      </c>
      <c r="B375" s="113"/>
      <c r="C375" s="113"/>
      <c r="D375" s="113"/>
      <c r="E375" s="113"/>
      <c r="F375" s="113"/>
      <c r="G375" s="113"/>
      <c r="H375" s="113"/>
      <c r="I375" s="113"/>
      <c r="J375" s="113"/>
      <c r="K375" s="113"/>
      <c r="L375" s="113"/>
      <c r="M375" s="114"/>
    </row>
    <row r="376" spans="1:13" ht="16.5" customHeight="1">
      <c r="A376" s="115" t="s">
        <v>41</v>
      </c>
      <c r="B376" s="116"/>
      <c r="C376" s="116"/>
      <c r="D376" s="116"/>
      <c r="E376" s="116"/>
      <c r="F376" s="116"/>
      <c r="G376" s="116"/>
      <c r="H376" s="116"/>
      <c r="I376" s="116"/>
      <c r="J376" s="116"/>
      <c r="K376" s="116"/>
      <c r="L376" s="116"/>
      <c r="M376" s="117"/>
    </row>
    <row r="377" spans="1:13" ht="16.5" customHeight="1">
      <c r="A377" s="90" t="s">
        <v>28</v>
      </c>
      <c r="B377" s="91"/>
      <c r="C377" s="91"/>
      <c r="D377" s="91"/>
      <c r="E377" s="91"/>
      <c r="F377" s="91"/>
      <c r="G377" s="91"/>
      <c r="H377" s="91"/>
      <c r="I377" s="91"/>
      <c r="J377" s="91"/>
      <c r="K377" s="91"/>
      <c r="L377" s="91"/>
      <c r="M377" s="92"/>
    </row>
    <row r="378" spans="1:13" ht="16.5" customHeight="1">
      <c r="A378" s="106" t="s">
        <v>42</v>
      </c>
      <c r="B378" s="107"/>
      <c r="C378" s="107"/>
      <c r="D378" s="107"/>
      <c r="E378" s="107"/>
      <c r="F378" s="107"/>
      <c r="G378" s="107"/>
      <c r="H378" s="107"/>
      <c r="I378" s="107"/>
      <c r="J378" s="107"/>
      <c r="K378" s="107"/>
      <c r="L378" s="107"/>
      <c r="M378" s="108"/>
    </row>
    <row r="379" spans="1:13" ht="16.5" customHeight="1">
      <c r="A379" s="106" t="s">
        <v>43</v>
      </c>
      <c r="B379" s="107"/>
      <c r="C379" s="107"/>
      <c r="D379" s="107"/>
      <c r="E379" s="107"/>
      <c r="F379" s="107"/>
      <c r="G379" s="107"/>
      <c r="H379" s="107"/>
      <c r="I379" s="107"/>
      <c r="J379" s="107"/>
      <c r="K379" s="107"/>
      <c r="L379" s="107"/>
      <c r="M379" s="108"/>
    </row>
    <row r="380" spans="1:13" ht="16.5" customHeight="1">
      <c r="A380" s="106" t="s">
        <v>44</v>
      </c>
      <c r="B380" s="107"/>
      <c r="C380" s="107"/>
      <c r="D380" s="107"/>
      <c r="E380" s="107"/>
      <c r="F380" s="107"/>
      <c r="G380" s="107"/>
      <c r="H380" s="107"/>
      <c r="I380" s="107"/>
      <c r="J380" s="107"/>
      <c r="K380" s="107"/>
      <c r="L380" s="107"/>
      <c r="M380" s="108"/>
    </row>
    <row r="381" spans="1:13" ht="16.5" customHeight="1">
      <c r="A381" s="106" t="s">
        <v>45</v>
      </c>
      <c r="B381" s="107"/>
      <c r="C381" s="107"/>
      <c r="D381" s="107"/>
      <c r="E381" s="107"/>
      <c r="F381" s="107"/>
      <c r="G381" s="107"/>
      <c r="H381" s="107"/>
      <c r="I381" s="107"/>
      <c r="J381" s="107"/>
      <c r="K381" s="107"/>
      <c r="L381" s="107"/>
      <c r="M381" s="108"/>
    </row>
    <row r="382" spans="1:13" ht="16.5" customHeight="1">
      <c r="A382" s="106" t="s">
        <v>29</v>
      </c>
      <c r="B382" s="107"/>
      <c r="C382" s="107"/>
      <c r="D382" s="107"/>
      <c r="E382" s="107"/>
      <c r="F382" s="107"/>
      <c r="G382" s="107"/>
      <c r="H382" s="107"/>
      <c r="I382" s="107"/>
      <c r="J382" s="107"/>
      <c r="K382" s="107"/>
      <c r="L382" s="107"/>
      <c r="M382" s="108"/>
    </row>
    <row r="383" spans="1:13" ht="9.75" customHeight="1" thickBot="1">
      <c r="A383" s="109"/>
      <c r="B383" s="110"/>
      <c r="C383" s="110"/>
      <c r="D383" s="110"/>
      <c r="E383" s="110"/>
      <c r="F383" s="110"/>
      <c r="G383" s="110"/>
      <c r="H383" s="110"/>
      <c r="I383" s="110"/>
      <c r="J383" s="110"/>
      <c r="K383" s="110"/>
      <c r="L383" s="110"/>
      <c r="M383" s="111"/>
    </row>
    <row r="384" spans="1:13" ht="18.75" customHeight="1" thickBot="1">
      <c r="A384" s="72" t="s">
        <v>30</v>
      </c>
      <c r="B384" s="73"/>
      <c r="C384" s="73"/>
      <c r="D384" s="73"/>
      <c r="E384" s="73"/>
      <c r="F384" s="73"/>
      <c r="G384" s="73"/>
      <c r="H384" s="73"/>
      <c r="I384" s="73"/>
      <c r="J384" s="73"/>
      <c r="K384" s="73"/>
      <c r="L384" s="73"/>
      <c r="M384" s="74"/>
    </row>
    <row r="385" spans="1:15" ht="24" customHeight="1" thickBot="1">
      <c r="A385" s="72" t="s">
        <v>31</v>
      </c>
      <c r="B385" s="73"/>
      <c r="C385" s="73"/>
      <c r="D385" s="73"/>
      <c r="E385" s="73"/>
      <c r="F385" s="73"/>
      <c r="G385" s="73"/>
      <c r="H385" s="73"/>
      <c r="I385" s="73"/>
      <c r="J385" s="73"/>
      <c r="K385" s="73"/>
      <c r="L385" s="73"/>
      <c r="M385" s="74"/>
    </row>
    <row r="386" spans="1:15" ht="24" customHeight="1" thickBot="1">
      <c r="A386" s="72" t="s">
        <v>99</v>
      </c>
      <c r="B386" s="73"/>
      <c r="C386" s="73"/>
      <c r="D386" s="73"/>
      <c r="E386" s="73"/>
      <c r="F386" s="73"/>
      <c r="G386" s="73"/>
      <c r="H386" s="73"/>
      <c r="I386" s="73"/>
      <c r="J386" s="73"/>
      <c r="K386" s="73"/>
      <c r="L386" s="73"/>
      <c r="M386" s="74"/>
    </row>
    <row r="387" spans="1:15" ht="24" customHeight="1" thickBot="1">
      <c r="A387" s="60" t="s">
        <v>46</v>
      </c>
      <c r="B387" s="61"/>
      <c r="C387" s="61"/>
      <c r="D387" s="61"/>
      <c r="E387" s="61"/>
      <c r="F387" s="61"/>
      <c r="G387" s="61"/>
      <c r="H387" s="61"/>
      <c r="I387" s="61"/>
      <c r="J387" s="61"/>
      <c r="K387" s="61"/>
      <c r="L387" s="61"/>
      <c r="M387" s="62"/>
    </row>
    <row r="388" spans="1:15" ht="11.1" customHeight="1">
      <c r="A388" s="103" t="s">
        <v>47</v>
      </c>
      <c r="B388" s="103"/>
      <c r="C388" s="103"/>
      <c r="D388" s="103"/>
      <c r="E388" s="103"/>
      <c r="F388" s="103"/>
      <c r="G388" s="103"/>
      <c r="H388" s="103"/>
      <c r="I388" s="103"/>
      <c r="J388" s="103"/>
      <c r="K388" s="103"/>
      <c r="L388" s="103"/>
      <c r="M388" s="103"/>
    </row>
    <row r="389" spans="1:15" ht="11.1" customHeight="1">
      <c r="A389" s="104" t="s">
        <v>48</v>
      </c>
      <c r="B389" s="104"/>
      <c r="C389" s="104"/>
      <c r="D389" s="104"/>
      <c r="E389" s="104"/>
      <c r="F389" s="104"/>
      <c r="G389" s="104"/>
      <c r="H389" s="104"/>
      <c r="I389" s="104"/>
      <c r="J389" s="104"/>
      <c r="K389" s="104"/>
      <c r="L389" s="104"/>
      <c r="M389" s="104"/>
    </row>
    <row r="390" spans="1:15" ht="11.1" customHeight="1">
      <c r="A390" s="105" t="s">
        <v>49</v>
      </c>
      <c r="B390" s="105"/>
      <c r="C390" s="105"/>
      <c r="D390" s="105"/>
      <c r="E390" s="105"/>
      <c r="F390" s="105"/>
      <c r="G390" s="105"/>
      <c r="H390" s="105"/>
      <c r="I390" s="105"/>
      <c r="J390" s="105"/>
      <c r="K390" s="105"/>
      <c r="L390" s="105"/>
      <c r="M390" s="105"/>
    </row>
    <row r="391" spans="1:15" ht="11.1" customHeight="1">
      <c r="A391" s="105" t="s">
        <v>50</v>
      </c>
      <c r="B391" s="105"/>
      <c r="C391" s="105"/>
      <c r="D391" s="105"/>
      <c r="E391" s="105"/>
      <c r="F391" s="105"/>
      <c r="G391" s="105"/>
      <c r="H391" s="105"/>
      <c r="I391" s="105"/>
      <c r="J391" s="105"/>
      <c r="K391" s="105"/>
      <c r="L391" s="105"/>
      <c r="M391" s="105"/>
    </row>
    <row r="392" spans="1:15" ht="11.1" customHeight="1">
      <c r="A392" s="104" t="s">
        <v>51</v>
      </c>
      <c r="B392" s="104"/>
      <c r="C392" s="104"/>
      <c r="D392" s="104"/>
      <c r="E392" s="104"/>
      <c r="F392" s="104"/>
      <c r="G392" s="104"/>
      <c r="H392" s="104"/>
      <c r="I392" s="104"/>
      <c r="J392" s="104"/>
      <c r="K392" s="104"/>
      <c r="L392" s="104"/>
      <c r="M392" s="104"/>
    </row>
    <row r="393" spans="1:15" ht="11.1" customHeight="1">
      <c r="A393" s="104" t="s">
        <v>52</v>
      </c>
      <c r="B393" s="104"/>
      <c r="C393" s="104"/>
      <c r="D393" s="104"/>
      <c r="E393" s="104"/>
      <c r="F393" s="104"/>
      <c r="G393" s="104"/>
      <c r="H393" s="104"/>
      <c r="I393" s="104"/>
      <c r="J393" s="104"/>
      <c r="K393" s="104"/>
      <c r="L393" s="104"/>
      <c r="M393" s="104"/>
    </row>
    <row r="394" spans="1:15" ht="11.1" customHeight="1">
      <c r="A394" s="104" t="s">
        <v>53</v>
      </c>
      <c r="B394" s="104"/>
      <c r="C394" s="104"/>
      <c r="D394" s="104"/>
      <c r="E394" s="104"/>
      <c r="F394" s="104"/>
      <c r="G394" s="104"/>
      <c r="H394" s="104"/>
      <c r="I394" s="104"/>
      <c r="J394" s="104"/>
      <c r="K394" s="104"/>
      <c r="L394" s="104"/>
      <c r="M394" s="104"/>
    </row>
    <row r="395" spans="1:15" ht="11.1" customHeight="1">
      <c r="A395" s="101" t="s">
        <v>54</v>
      </c>
      <c r="B395" s="101"/>
      <c r="C395" s="101"/>
      <c r="D395" s="101"/>
      <c r="E395" s="101"/>
      <c r="F395" s="101"/>
      <c r="G395" s="101"/>
      <c r="H395" s="101"/>
      <c r="I395" s="101"/>
      <c r="J395" s="101"/>
      <c r="K395" s="101"/>
      <c r="L395" s="101"/>
      <c r="M395" s="101"/>
    </row>
    <row r="396" spans="1:15" ht="11.1" customHeight="1">
      <c r="A396" s="101" t="s">
        <v>55</v>
      </c>
      <c r="B396" s="101"/>
      <c r="C396" s="101"/>
      <c r="D396" s="101"/>
      <c r="E396" s="101"/>
      <c r="F396" s="101"/>
      <c r="G396" s="101"/>
      <c r="H396" s="101"/>
      <c r="I396" s="101"/>
      <c r="J396" s="101"/>
      <c r="K396" s="101"/>
      <c r="L396" s="101"/>
      <c r="M396" s="101"/>
    </row>
    <row r="397" spans="1:15" ht="19.5" customHeight="1">
      <c r="A397" s="69" t="s">
        <v>0</v>
      </c>
      <c r="B397" s="69"/>
      <c r="C397" s="69"/>
      <c r="D397" s="69"/>
      <c r="E397" s="69"/>
      <c r="F397" s="69"/>
      <c r="G397" s="69"/>
      <c r="H397" s="69"/>
      <c r="I397" s="69"/>
      <c r="J397" s="69"/>
      <c r="K397" s="69"/>
      <c r="L397" s="69"/>
      <c r="M397" s="69"/>
    </row>
    <row r="398" spans="1:15" ht="20.100000000000001" customHeight="1">
      <c r="A398" s="4" t="s">
        <v>32</v>
      </c>
      <c r="B398" s="5">
        <f>+B354+1</f>
        <v>45</v>
      </c>
      <c r="C398" s="48"/>
      <c r="D398" s="48"/>
      <c r="E398" s="48"/>
      <c r="F398" s="48"/>
      <c r="G398" s="48"/>
      <c r="H398" s="48"/>
      <c r="I398" s="48"/>
      <c r="J398" s="48"/>
      <c r="K398" s="48"/>
      <c r="L398" s="48"/>
      <c r="M398" s="48"/>
    </row>
    <row r="399" spans="1:15" ht="24" customHeight="1" thickBot="1">
      <c r="A399" s="4" t="s">
        <v>33</v>
      </c>
      <c r="H399" s="70" t="s">
        <v>34</v>
      </c>
      <c r="I399" s="70"/>
      <c r="J399" s="70"/>
      <c r="K399" s="102">
        <f>+K355+1</f>
        <v>45971</v>
      </c>
      <c r="L399" s="102"/>
      <c r="M399" s="102"/>
      <c r="O399" s="7"/>
    </row>
    <row r="400" spans="1:15" ht="33.75" customHeight="1" thickBot="1">
      <c r="A400" s="80" t="s">
        <v>1</v>
      </c>
      <c r="B400" s="81"/>
      <c r="C400" s="82"/>
      <c r="D400" s="86" t="str">
        <f>+D356</f>
        <v>光明國中B與C區5樓老舊廁所整修工程</v>
      </c>
      <c r="E400" s="87"/>
      <c r="F400" s="87"/>
      <c r="G400" s="88"/>
      <c r="H400" s="80" t="s">
        <v>2</v>
      </c>
      <c r="I400" s="81"/>
      <c r="J400" s="82"/>
      <c r="K400" s="80" t="s">
        <v>35</v>
      </c>
      <c r="L400" s="81"/>
      <c r="M400" s="82"/>
    </row>
    <row r="401" spans="1:13" ht="33.75" customHeight="1" thickBot="1">
      <c r="A401" s="8" t="s">
        <v>3</v>
      </c>
      <c r="B401" s="45">
        <f>+B357</f>
        <v>142</v>
      </c>
      <c r="C401" s="10" t="s">
        <v>36</v>
      </c>
      <c r="D401" s="80" t="s">
        <v>4</v>
      </c>
      <c r="E401" s="89"/>
      <c r="F401" s="46">
        <f>+F357+1</f>
        <v>45</v>
      </c>
      <c r="G401" s="12" t="s">
        <v>36</v>
      </c>
      <c r="H401" s="13" t="s">
        <v>5</v>
      </c>
      <c r="I401" s="45">
        <f>+B401-F401</f>
        <v>97</v>
      </c>
      <c r="J401" s="10" t="s">
        <v>36</v>
      </c>
      <c r="K401" s="80" t="s">
        <v>6</v>
      </c>
      <c r="L401" s="82"/>
      <c r="M401" s="13">
        <f>+M357</f>
        <v>12</v>
      </c>
    </row>
    <row r="402" spans="1:13" ht="24" customHeight="1" thickBot="1">
      <c r="A402" s="80" t="s">
        <v>7</v>
      </c>
      <c r="B402" s="81"/>
      <c r="C402" s="82"/>
      <c r="D402" s="80" t="str">
        <f>+D358</f>
        <v>114.9.27</v>
      </c>
      <c r="E402" s="81"/>
      <c r="F402" s="81"/>
      <c r="G402" s="82"/>
      <c r="H402" s="80" t="s">
        <v>8</v>
      </c>
      <c r="I402" s="81"/>
      <c r="J402" s="82"/>
      <c r="K402" s="80" t="str">
        <f>+K358</f>
        <v>115.2.15</v>
      </c>
      <c r="L402" s="81"/>
      <c r="M402" s="82"/>
    </row>
    <row r="403" spans="1:13" ht="24" customHeight="1" thickBot="1">
      <c r="A403" s="80" t="s">
        <v>37</v>
      </c>
      <c r="B403" s="81"/>
      <c r="C403" s="82"/>
      <c r="D403" s="83">
        <v>3.5999999999999997E-2</v>
      </c>
      <c r="E403" s="84"/>
      <c r="F403" s="84"/>
      <c r="G403" s="85"/>
      <c r="H403" s="80" t="s">
        <v>38</v>
      </c>
      <c r="I403" s="81"/>
      <c r="J403" s="82"/>
      <c r="K403" s="83">
        <f>+K359</f>
        <v>5.8000000000000003E-2</v>
      </c>
      <c r="L403" s="84"/>
      <c r="M403" s="85"/>
    </row>
    <row r="404" spans="1:13" ht="24" customHeight="1" thickBot="1">
      <c r="A404" s="72" t="s">
        <v>9</v>
      </c>
      <c r="B404" s="73"/>
      <c r="C404" s="73"/>
      <c r="D404" s="73"/>
      <c r="E404" s="73"/>
      <c r="F404" s="73"/>
      <c r="G404" s="73"/>
      <c r="H404" s="73"/>
      <c r="I404" s="73"/>
      <c r="J404" s="73"/>
      <c r="K404" s="73"/>
      <c r="L404" s="73"/>
      <c r="M404" s="74"/>
    </row>
    <row r="405" spans="1:13" ht="33.75" customHeight="1" thickBot="1">
      <c r="A405" s="75" t="s">
        <v>10</v>
      </c>
      <c r="B405" s="76"/>
      <c r="C405" s="76"/>
      <c r="D405" s="77"/>
      <c r="E405" s="14" t="s">
        <v>11</v>
      </c>
      <c r="F405" s="75" t="s">
        <v>12</v>
      </c>
      <c r="G405" s="77"/>
      <c r="H405" s="75" t="s">
        <v>13</v>
      </c>
      <c r="I405" s="77"/>
      <c r="J405" s="78" t="s">
        <v>14</v>
      </c>
      <c r="K405" s="79"/>
      <c r="L405" s="75" t="s">
        <v>15</v>
      </c>
      <c r="M405" s="77"/>
    </row>
    <row r="406" spans="1:13" ht="27.95" customHeight="1" thickBot="1">
      <c r="A406" s="141"/>
      <c r="B406" s="142"/>
      <c r="C406" s="142"/>
      <c r="D406" s="143"/>
      <c r="E406" s="2"/>
      <c r="F406" s="56"/>
      <c r="G406" s="57"/>
      <c r="H406" s="56"/>
      <c r="I406" s="57"/>
      <c r="J406" s="56"/>
      <c r="K406" s="57"/>
      <c r="L406" s="58"/>
      <c r="M406" s="59"/>
    </row>
    <row r="407" spans="1:13" ht="27.95" customHeight="1" thickBot="1">
      <c r="A407" s="141"/>
      <c r="B407" s="142"/>
      <c r="C407" s="142"/>
      <c r="D407" s="143"/>
      <c r="E407" s="15"/>
      <c r="F407" s="56"/>
      <c r="G407" s="57"/>
      <c r="H407" s="56"/>
      <c r="I407" s="57"/>
      <c r="J407" s="56"/>
      <c r="K407" s="57"/>
      <c r="L407" s="58"/>
      <c r="M407" s="59"/>
    </row>
    <row r="408" spans="1:13" ht="24.95" customHeight="1" thickTop="1" thickBot="1">
      <c r="A408" s="130" t="s">
        <v>16</v>
      </c>
      <c r="B408" s="67"/>
      <c r="C408" s="67"/>
      <c r="D408" s="68"/>
      <c r="E408" s="47"/>
      <c r="F408" s="131"/>
      <c r="G408" s="132"/>
      <c r="H408" s="131"/>
      <c r="I408" s="132"/>
      <c r="J408" s="131"/>
      <c r="K408" s="132"/>
      <c r="L408" s="131"/>
      <c r="M408" s="133"/>
    </row>
    <row r="409" spans="1:13" ht="24.95" customHeight="1" thickBot="1">
      <c r="A409" s="134" t="s">
        <v>17</v>
      </c>
      <c r="B409" s="135"/>
      <c r="C409" s="135"/>
      <c r="D409" s="59"/>
      <c r="E409" s="47"/>
      <c r="F409" s="58"/>
      <c r="G409" s="59"/>
      <c r="H409" s="58"/>
      <c r="I409" s="59"/>
      <c r="J409" s="58"/>
      <c r="K409" s="59"/>
      <c r="L409" s="58"/>
      <c r="M409" s="136"/>
    </row>
    <row r="410" spans="1:13" ht="24.95" customHeight="1" thickBot="1">
      <c r="A410" s="118" t="s">
        <v>18</v>
      </c>
      <c r="B410" s="119"/>
      <c r="C410" s="119"/>
      <c r="D410" s="120"/>
      <c r="E410" s="24"/>
      <c r="F410" s="121"/>
      <c r="G410" s="120"/>
      <c r="H410" s="121"/>
      <c r="I410" s="120"/>
      <c r="J410" s="121"/>
      <c r="K410" s="120"/>
      <c r="L410" s="121"/>
      <c r="M410" s="122"/>
    </row>
    <row r="411" spans="1:13" ht="24" customHeight="1" thickTop="1" thickBot="1">
      <c r="A411" s="66" t="s">
        <v>19</v>
      </c>
      <c r="B411" s="67"/>
      <c r="C411" s="67"/>
      <c r="D411" s="67"/>
      <c r="E411" s="67"/>
      <c r="F411" s="67"/>
      <c r="G411" s="67"/>
      <c r="H411" s="67"/>
      <c r="I411" s="67"/>
      <c r="J411" s="67"/>
      <c r="K411" s="67"/>
      <c r="L411" s="67"/>
      <c r="M411" s="68"/>
    </row>
    <row r="412" spans="1:13" ht="31.5" customHeight="1" thickBot="1">
      <c r="A412" s="75" t="s">
        <v>20</v>
      </c>
      <c r="B412" s="76"/>
      <c r="C412" s="76"/>
      <c r="D412" s="77"/>
      <c r="E412" s="14" t="s">
        <v>11</v>
      </c>
      <c r="F412" s="75" t="s">
        <v>39</v>
      </c>
      <c r="G412" s="77"/>
      <c r="H412" s="75" t="s">
        <v>21</v>
      </c>
      <c r="I412" s="77"/>
      <c r="J412" s="78" t="s">
        <v>22</v>
      </c>
      <c r="K412" s="79"/>
      <c r="L412" s="75" t="s">
        <v>15</v>
      </c>
      <c r="M412" s="77"/>
    </row>
    <row r="413" spans="1:13" ht="24" customHeight="1" thickBot="1">
      <c r="A413" s="96"/>
      <c r="B413" s="97"/>
      <c r="C413" s="97"/>
      <c r="D413" s="98"/>
      <c r="E413" s="47"/>
      <c r="F413" s="58"/>
      <c r="G413" s="59"/>
      <c r="H413" s="58"/>
      <c r="I413" s="59"/>
      <c r="J413" s="56"/>
      <c r="K413" s="57"/>
      <c r="L413" s="58"/>
      <c r="M413" s="59"/>
    </row>
    <row r="414" spans="1:13" ht="24" customHeight="1" thickBot="1">
      <c r="A414" s="96"/>
      <c r="B414" s="97"/>
      <c r="C414" s="97"/>
      <c r="D414" s="98"/>
      <c r="E414" s="47"/>
      <c r="F414" s="58"/>
      <c r="G414" s="59"/>
      <c r="H414" s="58"/>
      <c r="I414" s="59"/>
      <c r="J414" s="56"/>
      <c r="K414" s="57"/>
      <c r="L414" s="58"/>
      <c r="M414" s="59"/>
    </row>
    <row r="415" spans="1:13" ht="24" customHeight="1" thickBot="1">
      <c r="A415" s="60" t="s">
        <v>23</v>
      </c>
      <c r="B415" s="61"/>
      <c r="C415" s="61"/>
      <c r="D415" s="61"/>
      <c r="E415" s="61"/>
      <c r="F415" s="61"/>
      <c r="G415" s="61"/>
      <c r="H415" s="61"/>
      <c r="I415" s="61"/>
      <c r="J415" s="61"/>
      <c r="K415" s="61"/>
      <c r="L415" s="61"/>
      <c r="M415" s="62"/>
    </row>
    <row r="416" spans="1:13" ht="40.5" customHeight="1" thickBot="1">
      <c r="A416" s="75" t="s">
        <v>24</v>
      </c>
      <c r="B416" s="77"/>
      <c r="C416" s="75" t="s">
        <v>25</v>
      </c>
      <c r="D416" s="77"/>
      <c r="E416" s="75" t="s">
        <v>26</v>
      </c>
      <c r="F416" s="76"/>
      <c r="G416" s="77"/>
      <c r="H416" s="75" t="s">
        <v>27</v>
      </c>
      <c r="I416" s="77"/>
      <c r="J416" s="78" t="s">
        <v>21</v>
      </c>
      <c r="K416" s="79"/>
      <c r="L416" s="75" t="s">
        <v>22</v>
      </c>
      <c r="M416" s="77"/>
    </row>
    <row r="417" spans="1:13" s="18" customFormat="1" ht="24.75" customHeight="1" thickBot="1">
      <c r="A417" s="99"/>
      <c r="B417" s="98"/>
      <c r="C417" s="56"/>
      <c r="D417" s="57"/>
      <c r="E417" s="56"/>
      <c r="F417" s="100"/>
      <c r="G417" s="57"/>
      <c r="H417" s="56"/>
      <c r="I417" s="57"/>
      <c r="J417" s="56"/>
      <c r="K417" s="57"/>
      <c r="L417" s="56"/>
      <c r="M417" s="57"/>
    </row>
    <row r="418" spans="1:13" s="18" customFormat="1" ht="25.5" customHeight="1" thickBot="1">
      <c r="A418" s="99"/>
      <c r="B418" s="98"/>
      <c r="C418" s="56"/>
      <c r="D418" s="57"/>
      <c r="E418" s="56"/>
      <c r="F418" s="100"/>
      <c r="G418" s="57"/>
      <c r="H418" s="56"/>
      <c r="I418" s="57"/>
      <c r="J418" s="56"/>
      <c r="K418" s="57"/>
      <c r="L418" s="56"/>
      <c r="M418" s="57"/>
    </row>
    <row r="419" spans="1:13" ht="33" customHeight="1" thickBot="1">
      <c r="A419" s="112" t="s">
        <v>40</v>
      </c>
      <c r="B419" s="113"/>
      <c r="C419" s="113"/>
      <c r="D419" s="113"/>
      <c r="E419" s="113"/>
      <c r="F419" s="113"/>
      <c r="G419" s="113"/>
      <c r="H419" s="113"/>
      <c r="I419" s="113"/>
      <c r="J419" s="113"/>
      <c r="K419" s="113"/>
      <c r="L419" s="113"/>
      <c r="M419" s="114"/>
    </row>
    <row r="420" spans="1:13" ht="16.5" customHeight="1">
      <c r="A420" s="115" t="s">
        <v>41</v>
      </c>
      <c r="B420" s="116"/>
      <c r="C420" s="116"/>
      <c r="D420" s="116"/>
      <c r="E420" s="116"/>
      <c r="F420" s="116"/>
      <c r="G420" s="116"/>
      <c r="H420" s="116"/>
      <c r="I420" s="116"/>
      <c r="J420" s="116"/>
      <c r="K420" s="116"/>
      <c r="L420" s="116"/>
      <c r="M420" s="117"/>
    </row>
    <row r="421" spans="1:13" ht="16.5" customHeight="1">
      <c r="A421" s="90" t="s">
        <v>28</v>
      </c>
      <c r="B421" s="91"/>
      <c r="C421" s="91"/>
      <c r="D421" s="91"/>
      <c r="E421" s="91"/>
      <c r="F421" s="91"/>
      <c r="G421" s="91"/>
      <c r="H421" s="91"/>
      <c r="I421" s="91"/>
      <c r="J421" s="91"/>
      <c r="K421" s="91"/>
      <c r="L421" s="91"/>
      <c r="M421" s="92"/>
    </row>
    <row r="422" spans="1:13" s="1" customFormat="1" ht="16.5" customHeight="1">
      <c r="A422" s="93" t="s">
        <v>56</v>
      </c>
      <c r="B422" s="94"/>
      <c r="C422" s="94"/>
      <c r="D422" s="94"/>
      <c r="E422" s="94"/>
      <c r="F422" s="94"/>
      <c r="G422" s="94"/>
      <c r="H422" s="94"/>
      <c r="I422" s="94"/>
      <c r="J422" s="94"/>
      <c r="K422" s="94"/>
      <c r="L422" s="94"/>
      <c r="M422" s="95"/>
    </row>
    <row r="423" spans="1:13" s="1" customFormat="1" ht="16.5" customHeight="1">
      <c r="A423" s="93" t="s">
        <v>57</v>
      </c>
      <c r="B423" s="94"/>
      <c r="C423" s="94"/>
      <c r="D423" s="94"/>
      <c r="E423" s="94"/>
      <c r="F423" s="94"/>
      <c r="G423" s="94"/>
      <c r="H423" s="94"/>
      <c r="I423" s="94"/>
      <c r="J423" s="94"/>
      <c r="K423" s="94"/>
      <c r="L423" s="94"/>
      <c r="M423" s="95"/>
    </row>
    <row r="424" spans="1:13" s="1" customFormat="1" ht="16.5" customHeight="1">
      <c r="A424" s="93" t="s">
        <v>58</v>
      </c>
      <c r="B424" s="94"/>
      <c r="C424" s="94"/>
      <c r="D424" s="94"/>
      <c r="E424" s="94"/>
      <c r="F424" s="94"/>
      <c r="G424" s="94"/>
      <c r="H424" s="94"/>
      <c r="I424" s="94"/>
      <c r="J424" s="94"/>
      <c r="K424" s="94"/>
      <c r="L424" s="94"/>
      <c r="M424" s="95"/>
    </row>
    <row r="425" spans="1:13" s="1" customFormat="1" ht="16.5" customHeight="1">
      <c r="A425" s="93" t="s">
        <v>59</v>
      </c>
      <c r="B425" s="94"/>
      <c r="C425" s="94"/>
      <c r="D425" s="94"/>
      <c r="E425" s="94"/>
      <c r="F425" s="94"/>
      <c r="G425" s="94"/>
      <c r="H425" s="94"/>
      <c r="I425" s="94"/>
      <c r="J425" s="94"/>
      <c r="K425" s="94"/>
      <c r="L425" s="94"/>
      <c r="M425" s="95"/>
    </row>
    <row r="426" spans="1:13" ht="16.5" customHeight="1">
      <c r="A426" s="106" t="s">
        <v>29</v>
      </c>
      <c r="B426" s="107"/>
      <c r="C426" s="107"/>
      <c r="D426" s="107"/>
      <c r="E426" s="107"/>
      <c r="F426" s="107"/>
      <c r="G426" s="107"/>
      <c r="H426" s="107"/>
      <c r="I426" s="107"/>
      <c r="J426" s="107"/>
      <c r="K426" s="107"/>
      <c r="L426" s="107"/>
      <c r="M426" s="108"/>
    </row>
    <row r="427" spans="1:13" ht="8.25" customHeight="1" thickBot="1">
      <c r="A427" s="109"/>
      <c r="B427" s="110"/>
      <c r="C427" s="110"/>
      <c r="D427" s="110"/>
      <c r="E427" s="110"/>
      <c r="F427" s="110"/>
      <c r="G427" s="110"/>
      <c r="H427" s="110"/>
      <c r="I427" s="110"/>
      <c r="J427" s="110"/>
      <c r="K427" s="110"/>
      <c r="L427" s="110"/>
      <c r="M427" s="111"/>
    </row>
    <row r="428" spans="1:13" ht="18.75" customHeight="1" thickBot="1">
      <c r="A428" s="72" t="s">
        <v>30</v>
      </c>
      <c r="B428" s="73"/>
      <c r="C428" s="73"/>
      <c r="D428" s="73"/>
      <c r="E428" s="73"/>
      <c r="F428" s="73"/>
      <c r="G428" s="73"/>
      <c r="H428" s="73"/>
      <c r="I428" s="73"/>
      <c r="J428" s="73"/>
      <c r="K428" s="73"/>
      <c r="L428" s="73"/>
      <c r="M428" s="74"/>
    </row>
    <row r="429" spans="1:13" ht="24" customHeight="1" thickBot="1">
      <c r="A429" s="72" t="s">
        <v>31</v>
      </c>
      <c r="B429" s="73"/>
      <c r="C429" s="73"/>
      <c r="D429" s="73"/>
      <c r="E429" s="73"/>
      <c r="F429" s="73"/>
      <c r="G429" s="73"/>
      <c r="H429" s="73"/>
      <c r="I429" s="73"/>
      <c r="J429" s="73"/>
      <c r="K429" s="73"/>
      <c r="L429" s="73"/>
      <c r="M429" s="74"/>
    </row>
    <row r="430" spans="1:13" ht="24" customHeight="1" thickBot="1">
      <c r="A430" s="72" t="s">
        <v>62</v>
      </c>
      <c r="B430" s="73"/>
      <c r="C430" s="73"/>
      <c r="D430" s="73"/>
      <c r="E430" s="73"/>
      <c r="F430" s="73"/>
      <c r="G430" s="73"/>
      <c r="H430" s="73"/>
      <c r="I430" s="73"/>
      <c r="J430" s="73"/>
      <c r="K430" s="73"/>
      <c r="L430" s="73"/>
      <c r="M430" s="74"/>
    </row>
    <row r="431" spans="1:13" ht="24" customHeight="1" thickBot="1">
      <c r="A431" s="60" t="s">
        <v>46</v>
      </c>
      <c r="B431" s="61"/>
      <c r="C431" s="61"/>
      <c r="D431" s="61"/>
      <c r="E431" s="61"/>
      <c r="F431" s="61"/>
      <c r="G431" s="61"/>
      <c r="H431" s="61"/>
      <c r="I431" s="61"/>
      <c r="J431" s="61"/>
      <c r="K431" s="61"/>
      <c r="L431" s="61"/>
      <c r="M431" s="62"/>
    </row>
    <row r="432" spans="1:13" ht="11.1" customHeight="1">
      <c r="A432" s="103" t="s">
        <v>47</v>
      </c>
      <c r="B432" s="103"/>
      <c r="C432" s="103"/>
      <c r="D432" s="103"/>
      <c r="E432" s="103"/>
      <c r="F432" s="103"/>
      <c r="G432" s="103"/>
      <c r="H432" s="103"/>
      <c r="I432" s="103"/>
      <c r="J432" s="103"/>
      <c r="K432" s="103"/>
      <c r="L432" s="103"/>
      <c r="M432" s="103"/>
    </row>
    <row r="433" spans="1:15" ht="11.1" customHeight="1">
      <c r="A433" s="104" t="s">
        <v>48</v>
      </c>
      <c r="B433" s="104"/>
      <c r="C433" s="104"/>
      <c r="D433" s="104"/>
      <c r="E433" s="104"/>
      <c r="F433" s="104"/>
      <c r="G433" s="104"/>
      <c r="H433" s="104"/>
      <c r="I433" s="104"/>
      <c r="J433" s="104"/>
      <c r="K433" s="104"/>
      <c r="L433" s="104"/>
      <c r="M433" s="104"/>
    </row>
    <row r="434" spans="1:15" ht="11.1" customHeight="1">
      <c r="A434" s="105" t="s">
        <v>49</v>
      </c>
      <c r="B434" s="105"/>
      <c r="C434" s="105"/>
      <c r="D434" s="105"/>
      <c r="E434" s="105"/>
      <c r="F434" s="105"/>
      <c r="G434" s="105"/>
      <c r="H434" s="105"/>
      <c r="I434" s="105"/>
      <c r="J434" s="105"/>
      <c r="K434" s="105"/>
      <c r="L434" s="105"/>
      <c r="M434" s="105"/>
    </row>
    <row r="435" spans="1:15" ht="11.1" customHeight="1">
      <c r="A435" s="105" t="s">
        <v>50</v>
      </c>
      <c r="B435" s="105"/>
      <c r="C435" s="105"/>
      <c r="D435" s="105"/>
      <c r="E435" s="105"/>
      <c r="F435" s="105"/>
      <c r="G435" s="105"/>
      <c r="H435" s="105"/>
      <c r="I435" s="105"/>
      <c r="J435" s="105"/>
      <c r="K435" s="105"/>
      <c r="L435" s="105"/>
      <c r="M435" s="105"/>
    </row>
    <row r="436" spans="1:15" ht="11.1" customHeight="1">
      <c r="A436" s="104" t="s">
        <v>51</v>
      </c>
      <c r="B436" s="104"/>
      <c r="C436" s="104"/>
      <c r="D436" s="104"/>
      <c r="E436" s="104"/>
      <c r="F436" s="104"/>
      <c r="G436" s="104"/>
      <c r="H436" s="104"/>
      <c r="I436" s="104"/>
      <c r="J436" s="104"/>
      <c r="K436" s="104"/>
      <c r="L436" s="104"/>
      <c r="M436" s="104"/>
    </row>
    <row r="437" spans="1:15" ht="11.1" customHeight="1">
      <c r="A437" s="104" t="s">
        <v>52</v>
      </c>
      <c r="B437" s="104"/>
      <c r="C437" s="104"/>
      <c r="D437" s="104"/>
      <c r="E437" s="104"/>
      <c r="F437" s="104"/>
      <c r="G437" s="104"/>
      <c r="H437" s="104"/>
      <c r="I437" s="104"/>
      <c r="J437" s="104"/>
      <c r="K437" s="104"/>
      <c r="L437" s="104"/>
      <c r="M437" s="104"/>
    </row>
    <row r="438" spans="1:15" ht="11.1" customHeight="1">
      <c r="A438" s="104" t="s">
        <v>53</v>
      </c>
      <c r="B438" s="104"/>
      <c r="C438" s="104"/>
      <c r="D438" s="104"/>
      <c r="E438" s="104"/>
      <c r="F438" s="104"/>
      <c r="G438" s="104"/>
      <c r="H438" s="104"/>
      <c r="I438" s="104"/>
      <c r="J438" s="104"/>
      <c r="K438" s="104"/>
      <c r="L438" s="104"/>
      <c r="M438" s="104"/>
    </row>
    <row r="439" spans="1:15" ht="11.1" customHeight="1">
      <c r="A439" s="101" t="s">
        <v>54</v>
      </c>
      <c r="B439" s="101"/>
      <c r="C439" s="101"/>
      <c r="D439" s="101"/>
      <c r="E439" s="101"/>
      <c r="F439" s="101"/>
      <c r="G439" s="101"/>
      <c r="H439" s="101"/>
      <c r="I439" s="101"/>
      <c r="J439" s="101"/>
      <c r="K439" s="101"/>
      <c r="L439" s="101"/>
      <c r="M439" s="101"/>
    </row>
    <row r="440" spans="1:15" ht="11.1" customHeight="1">
      <c r="A440" s="101" t="s">
        <v>55</v>
      </c>
      <c r="B440" s="101"/>
      <c r="C440" s="101"/>
      <c r="D440" s="101"/>
      <c r="E440" s="101"/>
      <c r="F440" s="101"/>
      <c r="G440" s="101"/>
      <c r="H440" s="101"/>
      <c r="I440" s="101"/>
      <c r="J440" s="101"/>
      <c r="K440" s="101"/>
      <c r="L440" s="101"/>
      <c r="M440" s="101"/>
    </row>
    <row r="441" spans="1:15" ht="19.5" customHeight="1">
      <c r="A441" s="69" t="s">
        <v>0</v>
      </c>
      <c r="B441" s="69"/>
      <c r="C441" s="69"/>
      <c r="D441" s="69"/>
      <c r="E441" s="69"/>
      <c r="F441" s="69"/>
      <c r="G441" s="69"/>
      <c r="H441" s="69"/>
      <c r="I441" s="69"/>
      <c r="J441" s="69"/>
      <c r="K441" s="69"/>
      <c r="L441" s="69"/>
      <c r="M441" s="69"/>
    </row>
    <row r="442" spans="1:15" ht="20.100000000000001" customHeight="1">
      <c r="A442" s="4" t="s">
        <v>32</v>
      </c>
      <c r="B442" s="5">
        <f>+B398+1</f>
        <v>46</v>
      </c>
      <c r="C442" s="48"/>
      <c r="D442" s="48"/>
      <c r="E442" s="48"/>
      <c r="F442" s="48"/>
      <c r="G442" s="48"/>
      <c r="H442" s="48"/>
      <c r="I442" s="48"/>
      <c r="J442" s="48"/>
      <c r="K442" s="48"/>
      <c r="L442" s="48"/>
      <c r="M442" s="48"/>
    </row>
    <row r="443" spans="1:15" ht="24" customHeight="1" thickBot="1">
      <c r="A443" s="4" t="s">
        <v>33</v>
      </c>
      <c r="H443" s="70" t="s">
        <v>34</v>
      </c>
      <c r="I443" s="70"/>
      <c r="J443" s="70"/>
      <c r="K443" s="102">
        <f>+K399+1</f>
        <v>45972</v>
      </c>
      <c r="L443" s="102"/>
      <c r="M443" s="102"/>
      <c r="O443" s="7"/>
    </row>
    <row r="444" spans="1:15" ht="33.75" customHeight="1" thickBot="1">
      <c r="A444" s="80" t="s">
        <v>1</v>
      </c>
      <c r="B444" s="81"/>
      <c r="C444" s="82"/>
      <c r="D444" s="86" t="str">
        <f>+D400</f>
        <v>光明國中B與C區5樓老舊廁所整修工程</v>
      </c>
      <c r="E444" s="87"/>
      <c r="F444" s="87"/>
      <c r="G444" s="88"/>
      <c r="H444" s="80" t="s">
        <v>2</v>
      </c>
      <c r="I444" s="81"/>
      <c r="J444" s="82"/>
      <c r="K444" s="80" t="s">
        <v>35</v>
      </c>
      <c r="L444" s="81"/>
      <c r="M444" s="82"/>
    </row>
    <row r="445" spans="1:15" ht="33.75" customHeight="1" thickBot="1">
      <c r="A445" s="8" t="s">
        <v>3</v>
      </c>
      <c r="B445" s="45">
        <f>+B401</f>
        <v>142</v>
      </c>
      <c r="C445" s="10" t="s">
        <v>36</v>
      </c>
      <c r="D445" s="80" t="s">
        <v>4</v>
      </c>
      <c r="E445" s="89"/>
      <c r="F445" s="46">
        <f>+F401+1</f>
        <v>46</v>
      </c>
      <c r="G445" s="12" t="s">
        <v>36</v>
      </c>
      <c r="H445" s="13" t="s">
        <v>5</v>
      </c>
      <c r="I445" s="45">
        <f>+B445-F445</f>
        <v>96</v>
      </c>
      <c r="J445" s="10" t="s">
        <v>36</v>
      </c>
      <c r="K445" s="80" t="s">
        <v>6</v>
      </c>
      <c r="L445" s="82"/>
      <c r="M445" s="13">
        <f>+M401</f>
        <v>12</v>
      </c>
    </row>
    <row r="446" spans="1:15" ht="24" customHeight="1" thickBot="1">
      <c r="A446" s="80" t="s">
        <v>7</v>
      </c>
      <c r="B446" s="81"/>
      <c r="C446" s="82"/>
      <c r="D446" s="80" t="str">
        <f>+D402</f>
        <v>114.9.27</v>
      </c>
      <c r="E446" s="81"/>
      <c r="F446" s="81"/>
      <c r="G446" s="82"/>
      <c r="H446" s="80" t="s">
        <v>8</v>
      </c>
      <c r="I446" s="81"/>
      <c r="J446" s="82"/>
      <c r="K446" s="80" t="str">
        <f>+K402</f>
        <v>115.2.15</v>
      </c>
      <c r="L446" s="81"/>
      <c r="M446" s="82"/>
    </row>
    <row r="447" spans="1:15" ht="24" customHeight="1" thickBot="1">
      <c r="A447" s="80" t="s">
        <v>37</v>
      </c>
      <c r="B447" s="81"/>
      <c r="C447" s="82"/>
      <c r="D447" s="83">
        <v>3.7999999999999999E-2</v>
      </c>
      <c r="E447" s="84"/>
      <c r="F447" s="84"/>
      <c r="G447" s="85"/>
      <c r="H447" s="80" t="s">
        <v>38</v>
      </c>
      <c r="I447" s="81"/>
      <c r="J447" s="82"/>
      <c r="K447" s="83">
        <f>+K403</f>
        <v>5.8000000000000003E-2</v>
      </c>
      <c r="L447" s="84"/>
      <c r="M447" s="85"/>
    </row>
    <row r="448" spans="1:15" ht="24" customHeight="1" thickBot="1">
      <c r="A448" s="72" t="s">
        <v>9</v>
      </c>
      <c r="B448" s="73"/>
      <c r="C448" s="73"/>
      <c r="D448" s="73"/>
      <c r="E448" s="73"/>
      <c r="F448" s="73"/>
      <c r="G448" s="73"/>
      <c r="H448" s="73"/>
      <c r="I448" s="73"/>
      <c r="J448" s="73"/>
      <c r="K448" s="73"/>
      <c r="L448" s="73"/>
      <c r="M448" s="74"/>
    </row>
    <row r="449" spans="1:13" ht="33.75" customHeight="1" thickBot="1">
      <c r="A449" s="75" t="s">
        <v>10</v>
      </c>
      <c r="B449" s="76"/>
      <c r="C449" s="76"/>
      <c r="D449" s="77"/>
      <c r="E449" s="14" t="s">
        <v>11</v>
      </c>
      <c r="F449" s="75" t="s">
        <v>12</v>
      </c>
      <c r="G449" s="77"/>
      <c r="H449" s="75" t="s">
        <v>13</v>
      </c>
      <c r="I449" s="77"/>
      <c r="J449" s="78" t="s">
        <v>14</v>
      </c>
      <c r="K449" s="79"/>
      <c r="L449" s="75" t="s">
        <v>15</v>
      </c>
      <c r="M449" s="77"/>
    </row>
    <row r="450" spans="1:13" ht="27.95" customHeight="1" thickBot="1">
      <c r="A450" s="141"/>
      <c r="B450" s="142"/>
      <c r="C450" s="142"/>
      <c r="D450" s="143"/>
      <c r="E450" s="2"/>
      <c r="F450" s="56"/>
      <c r="G450" s="57"/>
      <c r="H450" s="56"/>
      <c r="I450" s="57"/>
      <c r="J450" s="56"/>
      <c r="K450" s="57"/>
      <c r="L450" s="58"/>
      <c r="M450" s="59"/>
    </row>
    <row r="451" spans="1:13" ht="27.95" customHeight="1" thickBot="1">
      <c r="A451" s="141"/>
      <c r="B451" s="142"/>
      <c r="C451" s="142"/>
      <c r="D451" s="143"/>
      <c r="E451" s="15"/>
      <c r="F451" s="56"/>
      <c r="G451" s="57"/>
      <c r="H451" s="56"/>
      <c r="I451" s="57"/>
      <c r="J451" s="56"/>
      <c r="K451" s="57"/>
      <c r="L451" s="58"/>
      <c r="M451" s="59"/>
    </row>
    <row r="452" spans="1:13" ht="24.95" customHeight="1" thickTop="1" thickBot="1">
      <c r="A452" s="130" t="s">
        <v>16</v>
      </c>
      <c r="B452" s="67"/>
      <c r="C452" s="67"/>
      <c r="D452" s="68"/>
      <c r="E452" s="47"/>
      <c r="F452" s="131"/>
      <c r="G452" s="132"/>
      <c r="H452" s="131"/>
      <c r="I452" s="132"/>
      <c r="J452" s="131"/>
      <c r="K452" s="132"/>
      <c r="L452" s="131"/>
      <c r="M452" s="133"/>
    </row>
    <row r="453" spans="1:13" ht="24.95" customHeight="1" thickBot="1">
      <c r="A453" s="134" t="s">
        <v>17</v>
      </c>
      <c r="B453" s="135"/>
      <c r="C453" s="135"/>
      <c r="D453" s="59"/>
      <c r="E453" s="47"/>
      <c r="F453" s="58"/>
      <c r="G453" s="59"/>
      <c r="H453" s="58"/>
      <c r="I453" s="59"/>
      <c r="J453" s="58"/>
      <c r="K453" s="59"/>
      <c r="L453" s="58"/>
      <c r="M453" s="136"/>
    </row>
    <row r="454" spans="1:13" ht="24.95" customHeight="1" thickBot="1">
      <c r="A454" s="118" t="s">
        <v>18</v>
      </c>
      <c r="B454" s="119"/>
      <c r="C454" s="119"/>
      <c r="D454" s="120"/>
      <c r="E454" s="24"/>
      <c r="F454" s="121"/>
      <c r="G454" s="120"/>
      <c r="H454" s="121"/>
      <c r="I454" s="120"/>
      <c r="J454" s="121"/>
      <c r="K454" s="120"/>
      <c r="L454" s="121"/>
      <c r="M454" s="122"/>
    </row>
    <row r="455" spans="1:13" ht="24" customHeight="1" thickTop="1" thickBot="1">
      <c r="A455" s="66" t="s">
        <v>19</v>
      </c>
      <c r="B455" s="67"/>
      <c r="C455" s="67"/>
      <c r="D455" s="67"/>
      <c r="E455" s="67"/>
      <c r="F455" s="67"/>
      <c r="G455" s="67"/>
      <c r="H455" s="67"/>
      <c r="I455" s="67"/>
      <c r="J455" s="67"/>
      <c r="K455" s="67"/>
      <c r="L455" s="67"/>
      <c r="M455" s="68"/>
    </row>
    <row r="456" spans="1:13" ht="35.25" customHeight="1" thickBot="1">
      <c r="A456" s="75" t="s">
        <v>20</v>
      </c>
      <c r="B456" s="76"/>
      <c r="C456" s="76"/>
      <c r="D456" s="77"/>
      <c r="E456" s="14" t="s">
        <v>11</v>
      </c>
      <c r="F456" s="75" t="s">
        <v>39</v>
      </c>
      <c r="G456" s="77"/>
      <c r="H456" s="75" t="s">
        <v>21</v>
      </c>
      <c r="I456" s="77"/>
      <c r="J456" s="78" t="s">
        <v>22</v>
      </c>
      <c r="K456" s="79"/>
      <c r="L456" s="75" t="s">
        <v>15</v>
      </c>
      <c r="M456" s="77"/>
    </row>
    <row r="457" spans="1:13" ht="24" customHeight="1" thickBot="1">
      <c r="A457" s="96"/>
      <c r="B457" s="97"/>
      <c r="C457" s="97"/>
      <c r="D457" s="98"/>
      <c r="E457" s="47"/>
      <c r="F457" s="58"/>
      <c r="G457" s="59"/>
      <c r="H457" s="58"/>
      <c r="I457" s="59"/>
      <c r="J457" s="56"/>
      <c r="K457" s="57"/>
      <c r="L457" s="58"/>
      <c r="M457" s="59"/>
    </row>
    <row r="458" spans="1:13" ht="24" customHeight="1" thickBot="1">
      <c r="A458" s="96"/>
      <c r="B458" s="97"/>
      <c r="C458" s="97"/>
      <c r="D458" s="98"/>
      <c r="E458" s="47"/>
      <c r="F458" s="58"/>
      <c r="G458" s="59"/>
      <c r="H458" s="58"/>
      <c r="I458" s="59"/>
      <c r="J458" s="56"/>
      <c r="K458" s="57"/>
      <c r="L458" s="58"/>
      <c r="M458" s="59"/>
    </row>
    <row r="459" spans="1:13" ht="24" customHeight="1" thickBot="1">
      <c r="A459" s="60" t="s">
        <v>23</v>
      </c>
      <c r="B459" s="61"/>
      <c r="C459" s="61"/>
      <c r="D459" s="61"/>
      <c r="E459" s="61"/>
      <c r="F459" s="61"/>
      <c r="G459" s="61"/>
      <c r="H459" s="61"/>
      <c r="I459" s="61"/>
      <c r="J459" s="61"/>
      <c r="K459" s="61"/>
      <c r="L459" s="61"/>
      <c r="M459" s="62"/>
    </row>
    <row r="460" spans="1:13" ht="32.25" customHeight="1" thickBot="1">
      <c r="A460" s="75" t="s">
        <v>24</v>
      </c>
      <c r="B460" s="77"/>
      <c r="C460" s="75" t="s">
        <v>25</v>
      </c>
      <c r="D460" s="77"/>
      <c r="E460" s="75" t="s">
        <v>26</v>
      </c>
      <c r="F460" s="76"/>
      <c r="G460" s="77"/>
      <c r="H460" s="75" t="s">
        <v>27</v>
      </c>
      <c r="I460" s="77"/>
      <c r="J460" s="78" t="s">
        <v>21</v>
      </c>
      <c r="K460" s="79"/>
      <c r="L460" s="75" t="s">
        <v>22</v>
      </c>
      <c r="M460" s="77"/>
    </row>
    <row r="461" spans="1:13" s="18" customFormat="1" ht="24.75" customHeight="1" thickBot="1">
      <c r="A461" s="99"/>
      <c r="B461" s="98"/>
      <c r="C461" s="56"/>
      <c r="D461" s="57"/>
      <c r="E461" s="56"/>
      <c r="F461" s="100"/>
      <c r="G461" s="57"/>
      <c r="H461" s="56"/>
      <c r="I461" s="57"/>
      <c r="J461" s="56"/>
      <c r="K461" s="57"/>
      <c r="L461" s="56"/>
      <c r="M461" s="57"/>
    </row>
    <row r="462" spans="1:13" s="18" customFormat="1" ht="25.5" customHeight="1" thickBot="1">
      <c r="A462" s="99"/>
      <c r="B462" s="98"/>
      <c r="C462" s="56"/>
      <c r="D462" s="57"/>
      <c r="E462" s="56"/>
      <c r="F462" s="100"/>
      <c r="G462" s="57"/>
      <c r="H462" s="56"/>
      <c r="I462" s="57"/>
      <c r="J462" s="56"/>
      <c r="K462" s="57"/>
      <c r="L462" s="56"/>
      <c r="M462" s="57"/>
    </row>
    <row r="463" spans="1:13" ht="33" customHeight="1" thickBot="1">
      <c r="A463" s="112" t="s">
        <v>40</v>
      </c>
      <c r="B463" s="113"/>
      <c r="C463" s="113"/>
      <c r="D463" s="113"/>
      <c r="E463" s="113"/>
      <c r="F463" s="113"/>
      <c r="G463" s="113"/>
      <c r="H463" s="113"/>
      <c r="I463" s="113"/>
      <c r="J463" s="113"/>
      <c r="K463" s="113"/>
      <c r="L463" s="113"/>
      <c r="M463" s="114"/>
    </row>
    <row r="464" spans="1:13" ht="16.5" customHeight="1">
      <c r="A464" s="115" t="s">
        <v>41</v>
      </c>
      <c r="B464" s="116"/>
      <c r="C464" s="116"/>
      <c r="D464" s="116"/>
      <c r="E464" s="116"/>
      <c r="F464" s="116"/>
      <c r="G464" s="116"/>
      <c r="H464" s="116"/>
      <c r="I464" s="116"/>
      <c r="J464" s="116"/>
      <c r="K464" s="116"/>
      <c r="L464" s="116"/>
      <c r="M464" s="117"/>
    </row>
    <row r="465" spans="1:13" ht="16.5" customHeight="1">
      <c r="A465" s="90" t="s">
        <v>28</v>
      </c>
      <c r="B465" s="91"/>
      <c r="C465" s="91"/>
      <c r="D465" s="91"/>
      <c r="E465" s="91"/>
      <c r="F465" s="91"/>
      <c r="G465" s="91"/>
      <c r="H465" s="91"/>
      <c r="I465" s="91"/>
      <c r="J465" s="91"/>
      <c r="K465" s="91"/>
      <c r="L465" s="91"/>
      <c r="M465" s="92"/>
    </row>
    <row r="466" spans="1:13" s="1" customFormat="1" ht="16.5" customHeight="1">
      <c r="A466" s="93" t="s">
        <v>56</v>
      </c>
      <c r="B466" s="94"/>
      <c r="C466" s="94"/>
      <c r="D466" s="94"/>
      <c r="E466" s="94"/>
      <c r="F466" s="94"/>
      <c r="G466" s="94"/>
      <c r="H466" s="94"/>
      <c r="I466" s="94"/>
      <c r="J466" s="94"/>
      <c r="K466" s="94"/>
      <c r="L466" s="94"/>
      <c r="M466" s="95"/>
    </row>
    <row r="467" spans="1:13" s="1" customFormat="1" ht="16.5" customHeight="1">
      <c r="A467" s="93" t="s">
        <v>57</v>
      </c>
      <c r="B467" s="94"/>
      <c r="C467" s="94"/>
      <c r="D467" s="94"/>
      <c r="E467" s="94"/>
      <c r="F467" s="94"/>
      <c r="G467" s="94"/>
      <c r="H467" s="94"/>
      <c r="I467" s="94"/>
      <c r="J467" s="94"/>
      <c r="K467" s="94"/>
      <c r="L467" s="94"/>
      <c r="M467" s="95"/>
    </row>
    <row r="468" spans="1:13" s="1" customFormat="1" ht="16.5" customHeight="1">
      <c r="A468" s="93" t="s">
        <v>58</v>
      </c>
      <c r="B468" s="94"/>
      <c r="C468" s="94"/>
      <c r="D468" s="94"/>
      <c r="E468" s="94"/>
      <c r="F468" s="94"/>
      <c r="G468" s="94"/>
      <c r="H468" s="94"/>
      <c r="I468" s="94"/>
      <c r="J468" s="94"/>
      <c r="K468" s="94"/>
      <c r="L468" s="94"/>
      <c r="M468" s="95"/>
    </row>
    <row r="469" spans="1:13" s="1" customFormat="1" ht="16.5" customHeight="1">
      <c r="A469" s="93" t="s">
        <v>59</v>
      </c>
      <c r="B469" s="94"/>
      <c r="C469" s="94"/>
      <c r="D469" s="94"/>
      <c r="E469" s="94"/>
      <c r="F469" s="94"/>
      <c r="G469" s="94"/>
      <c r="H469" s="94"/>
      <c r="I469" s="94"/>
      <c r="J469" s="94"/>
      <c r="K469" s="94"/>
      <c r="L469" s="94"/>
      <c r="M469" s="95"/>
    </row>
    <row r="470" spans="1:13" ht="16.5" customHeight="1">
      <c r="A470" s="106" t="s">
        <v>29</v>
      </c>
      <c r="B470" s="107"/>
      <c r="C470" s="107"/>
      <c r="D470" s="107"/>
      <c r="E470" s="107"/>
      <c r="F470" s="107"/>
      <c r="G470" s="107"/>
      <c r="H470" s="107"/>
      <c r="I470" s="107"/>
      <c r="J470" s="107"/>
      <c r="K470" s="107"/>
      <c r="L470" s="107"/>
      <c r="M470" s="108"/>
    </row>
    <row r="471" spans="1:13" ht="5.25" customHeight="1" thickBot="1">
      <c r="A471" s="109"/>
      <c r="B471" s="110"/>
      <c r="C471" s="110"/>
      <c r="D471" s="110"/>
      <c r="E471" s="110"/>
      <c r="F471" s="110"/>
      <c r="G471" s="110"/>
      <c r="H471" s="110"/>
      <c r="I471" s="110"/>
      <c r="J471" s="110"/>
      <c r="K471" s="110"/>
      <c r="L471" s="110"/>
      <c r="M471" s="111"/>
    </row>
    <row r="472" spans="1:13" ht="18.75" customHeight="1" thickBot="1">
      <c r="A472" s="72" t="s">
        <v>30</v>
      </c>
      <c r="B472" s="73"/>
      <c r="C472" s="73"/>
      <c r="D472" s="73"/>
      <c r="E472" s="73"/>
      <c r="F472" s="73"/>
      <c r="G472" s="73"/>
      <c r="H472" s="73"/>
      <c r="I472" s="73"/>
      <c r="J472" s="73"/>
      <c r="K472" s="73"/>
      <c r="L472" s="73"/>
      <c r="M472" s="74"/>
    </row>
    <row r="473" spans="1:13" ht="24" customHeight="1" thickBot="1">
      <c r="A473" s="72" t="s">
        <v>31</v>
      </c>
      <c r="B473" s="73"/>
      <c r="C473" s="73"/>
      <c r="D473" s="73"/>
      <c r="E473" s="73"/>
      <c r="F473" s="73"/>
      <c r="G473" s="73"/>
      <c r="H473" s="73"/>
      <c r="I473" s="73"/>
      <c r="J473" s="73"/>
      <c r="K473" s="73"/>
      <c r="L473" s="73"/>
      <c r="M473" s="74"/>
    </row>
    <row r="474" spans="1:13" ht="24" customHeight="1" thickBot="1">
      <c r="A474" s="72" t="s">
        <v>62</v>
      </c>
      <c r="B474" s="73"/>
      <c r="C474" s="73"/>
      <c r="D474" s="73"/>
      <c r="E474" s="73"/>
      <c r="F474" s="73"/>
      <c r="G474" s="73"/>
      <c r="H474" s="73"/>
      <c r="I474" s="73"/>
      <c r="J474" s="73"/>
      <c r="K474" s="73"/>
      <c r="L474" s="73"/>
      <c r="M474" s="74"/>
    </row>
    <row r="475" spans="1:13" ht="24" customHeight="1" thickBot="1">
      <c r="A475" s="60" t="s">
        <v>46</v>
      </c>
      <c r="B475" s="61"/>
      <c r="C475" s="61"/>
      <c r="D475" s="61"/>
      <c r="E475" s="61"/>
      <c r="F475" s="61"/>
      <c r="G475" s="61"/>
      <c r="H475" s="61"/>
      <c r="I475" s="61"/>
      <c r="J475" s="61"/>
      <c r="K475" s="61"/>
      <c r="L475" s="61"/>
      <c r="M475" s="62"/>
    </row>
    <row r="476" spans="1:13" ht="11.1" customHeight="1">
      <c r="A476" s="103" t="s">
        <v>47</v>
      </c>
      <c r="B476" s="103"/>
      <c r="C476" s="103"/>
      <c r="D476" s="103"/>
      <c r="E476" s="103"/>
      <c r="F476" s="103"/>
      <c r="G476" s="103"/>
      <c r="H476" s="103"/>
      <c r="I476" s="103"/>
      <c r="J476" s="103"/>
      <c r="K476" s="103"/>
      <c r="L476" s="103"/>
      <c r="M476" s="103"/>
    </row>
    <row r="477" spans="1:13" ht="11.1" customHeight="1">
      <c r="A477" s="104" t="s">
        <v>48</v>
      </c>
      <c r="B477" s="104"/>
      <c r="C477" s="104"/>
      <c r="D477" s="104"/>
      <c r="E477" s="104"/>
      <c r="F477" s="104"/>
      <c r="G477" s="104"/>
      <c r="H477" s="104"/>
      <c r="I477" s="104"/>
      <c r="J477" s="104"/>
      <c r="K477" s="104"/>
      <c r="L477" s="104"/>
      <c r="M477" s="104"/>
    </row>
    <row r="478" spans="1:13" ht="11.1" customHeight="1">
      <c r="A478" s="105" t="s">
        <v>49</v>
      </c>
      <c r="B478" s="105"/>
      <c r="C478" s="105"/>
      <c r="D478" s="105"/>
      <c r="E478" s="105"/>
      <c r="F478" s="105"/>
      <c r="G478" s="105"/>
      <c r="H478" s="105"/>
      <c r="I478" s="105"/>
      <c r="J478" s="105"/>
      <c r="K478" s="105"/>
      <c r="L478" s="105"/>
      <c r="M478" s="105"/>
    </row>
    <row r="479" spans="1:13" ht="11.1" customHeight="1">
      <c r="A479" s="105" t="s">
        <v>50</v>
      </c>
      <c r="B479" s="105"/>
      <c r="C479" s="105"/>
      <c r="D479" s="105"/>
      <c r="E479" s="105"/>
      <c r="F479" s="105"/>
      <c r="G479" s="105"/>
      <c r="H479" s="105"/>
      <c r="I479" s="105"/>
      <c r="J479" s="105"/>
      <c r="K479" s="105"/>
      <c r="L479" s="105"/>
      <c r="M479" s="105"/>
    </row>
    <row r="480" spans="1:13" ht="11.1" customHeight="1">
      <c r="A480" s="104" t="s">
        <v>51</v>
      </c>
      <c r="B480" s="104"/>
      <c r="C480" s="104"/>
      <c r="D480" s="104"/>
      <c r="E480" s="104"/>
      <c r="F480" s="104"/>
      <c r="G480" s="104"/>
      <c r="H480" s="104"/>
      <c r="I480" s="104"/>
      <c r="J480" s="104"/>
      <c r="K480" s="104"/>
      <c r="L480" s="104"/>
      <c r="M480" s="104"/>
    </row>
    <row r="481" spans="1:15" ht="11.1" customHeight="1">
      <c r="A481" s="104" t="s">
        <v>52</v>
      </c>
      <c r="B481" s="104"/>
      <c r="C481" s="104"/>
      <c r="D481" s="104"/>
      <c r="E481" s="104"/>
      <c r="F481" s="104"/>
      <c r="G481" s="104"/>
      <c r="H481" s="104"/>
      <c r="I481" s="104"/>
      <c r="J481" s="104"/>
      <c r="K481" s="104"/>
      <c r="L481" s="104"/>
      <c r="M481" s="104"/>
    </row>
    <row r="482" spans="1:15" ht="11.1" customHeight="1">
      <c r="A482" s="104" t="s">
        <v>53</v>
      </c>
      <c r="B482" s="104"/>
      <c r="C482" s="104"/>
      <c r="D482" s="104"/>
      <c r="E482" s="104"/>
      <c r="F482" s="104"/>
      <c r="G482" s="104"/>
      <c r="H482" s="104"/>
      <c r="I482" s="104"/>
      <c r="J482" s="104"/>
      <c r="K482" s="104"/>
      <c r="L482" s="104"/>
      <c r="M482" s="104"/>
    </row>
    <row r="483" spans="1:15" ht="11.1" customHeight="1">
      <c r="A483" s="101" t="s">
        <v>54</v>
      </c>
      <c r="B483" s="101"/>
      <c r="C483" s="101"/>
      <c r="D483" s="101"/>
      <c r="E483" s="101"/>
      <c r="F483" s="101"/>
      <c r="G483" s="101"/>
      <c r="H483" s="101"/>
      <c r="I483" s="101"/>
      <c r="J483" s="101"/>
      <c r="K483" s="101"/>
      <c r="L483" s="101"/>
      <c r="M483" s="101"/>
    </row>
    <row r="484" spans="1:15" ht="11.1" customHeight="1">
      <c r="A484" s="101" t="s">
        <v>55</v>
      </c>
      <c r="B484" s="101"/>
      <c r="C484" s="101"/>
      <c r="D484" s="101"/>
      <c r="E484" s="101"/>
      <c r="F484" s="101"/>
      <c r="G484" s="101"/>
      <c r="H484" s="101"/>
      <c r="I484" s="101"/>
      <c r="J484" s="101"/>
      <c r="K484" s="101"/>
      <c r="L484" s="101"/>
      <c r="M484" s="101"/>
    </row>
    <row r="485" spans="1:15" ht="19.5" customHeight="1">
      <c r="A485" s="69" t="s">
        <v>0</v>
      </c>
      <c r="B485" s="69"/>
      <c r="C485" s="69"/>
      <c r="D485" s="69"/>
      <c r="E485" s="69"/>
      <c r="F485" s="69"/>
      <c r="G485" s="69"/>
      <c r="H485" s="69"/>
      <c r="I485" s="69"/>
      <c r="J485" s="69"/>
      <c r="K485" s="69"/>
      <c r="L485" s="69"/>
      <c r="M485" s="69"/>
    </row>
    <row r="486" spans="1:15" ht="20.100000000000001" customHeight="1">
      <c r="A486" s="4" t="s">
        <v>32</v>
      </c>
      <c r="B486" s="5">
        <f>+B442+1</f>
        <v>47</v>
      </c>
      <c r="C486" s="48"/>
      <c r="D486" s="48"/>
      <c r="E486" s="48"/>
      <c r="F486" s="48"/>
      <c r="G486" s="48"/>
      <c r="H486" s="48"/>
      <c r="I486" s="48"/>
      <c r="J486" s="48"/>
      <c r="K486" s="48"/>
      <c r="L486" s="48"/>
      <c r="M486" s="48"/>
    </row>
    <row r="487" spans="1:15" ht="24" customHeight="1" thickBot="1">
      <c r="A487" s="4" t="s">
        <v>33</v>
      </c>
      <c r="H487" s="70" t="s">
        <v>34</v>
      </c>
      <c r="I487" s="70"/>
      <c r="J487" s="70"/>
      <c r="K487" s="102">
        <f>+K443+1</f>
        <v>45973</v>
      </c>
      <c r="L487" s="102"/>
      <c r="M487" s="102"/>
      <c r="O487" s="7"/>
    </row>
    <row r="488" spans="1:15" ht="33.75" customHeight="1" thickBot="1">
      <c r="A488" s="80" t="s">
        <v>1</v>
      </c>
      <c r="B488" s="81"/>
      <c r="C488" s="82"/>
      <c r="D488" s="86" t="str">
        <f>+D444</f>
        <v>光明國中B與C區5樓老舊廁所整修工程</v>
      </c>
      <c r="E488" s="87"/>
      <c r="F488" s="87"/>
      <c r="G488" s="88"/>
      <c r="H488" s="80" t="s">
        <v>2</v>
      </c>
      <c r="I488" s="81"/>
      <c r="J488" s="82"/>
      <c r="K488" s="80" t="s">
        <v>35</v>
      </c>
      <c r="L488" s="81"/>
      <c r="M488" s="82"/>
    </row>
    <row r="489" spans="1:15" ht="33.75" customHeight="1" thickBot="1">
      <c r="A489" s="8" t="s">
        <v>3</v>
      </c>
      <c r="B489" s="45">
        <f>+B445</f>
        <v>142</v>
      </c>
      <c r="C489" s="10" t="s">
        <v>36</v>
      </c>
      <c r="D489" s="80" t="s">
        <v>4</v>
      </c>
      <c r="E489" s="89"/>
      <c r="F489" s="46">
        <f>+F445+1</f>
        <v>47</v>
      </c>
      <c r="G489" s="12" t="s">
        <v>36</v>
      </c>
      <c r="H489" s="13" t="s">
        <v>5</v>
      </c>
      <c r="I489" s="45">
        <f>+B489-F489</f>
        <v>95</v>
      </c>
      <c r="J489" s="10" t="s">
        <v>36</v>
      </c>
      <c r="K489" s="80" t="s">
        <v>6</v>
      </c>
      <c r="L489" s="82"/>
      <c r="M489" s="13">
        <f>+M445</f>
        <v>12</v>
      </c>
    </row>
    <row r="490" spans="1:15" ht="24" customHeight="1" thickBot="1">
      <c r="A490" s="80" t="s">
        <v>7</v>
      </c>
      <c r="B490" s="81"/>
      <c r="C490" s="82"/>
      <c r="D490" s="80" t="str">
        <f>+D446</f>
        <v>114.9.27</v>
      </c>
      <c r="E490" s="81"/>
      <c r="F490" s="81"/>
      <c r="G490" s="82"/>
      <c r="H490" s="80" t="s">
        <v>8</v>
      </c>
      <c r="I490" s="81"/>
      <c r="J490" s="82"/>
      <c r="K490" s="80" t="str">
        <f>+K446</f>
        <v>115.2.15</v>
      </c>
      <c r="L490" s="81"/>
      <c r="M490" s="82"/>
    </row>
    <row r="491" spans="1:15" ht="24" customHeight="1" thickBot="1">
      <c r="A491" s="80" t="s">
        <v>37</v>
      </c>
      <c r="B491" s="81"/>
      <c r="C491" s="82"/>
      <c r="D491" s="83">
        <v>0.04</v>
      </c>
      <c r="E491" s="84"/>
      <c r="F491" s="84"/>
      <c r="G491" s="85"/>
      <c r="H491" s="80" t="s">
        <v>38</v>
      </c>
      <c r="I491" s="81"/>
      <c r="J491" s="82"/>
      <c r="K491" s="83">
        <f>+K447</f>
        <v>5.8000000000000003E-2</v>
      </c>
      <c r="L491" s="84"/>
      <c r="M491" s="85"/>
    </row>
    <row r="492" spans="1:15" ht="24" customHeight="1" thickBot="1">
      <c r="A492" s="72" t="s">
        <v>9</v>
      </c>
      <c r="B492" s="73"/>
      <c r="C492" s="73"/>
      <c r="D492" s="73"/>
      <c r="E492" s="73"/>
      <c r="F492" s="73"/>
      <c r="G492" s="73"/>
      <c r="H492" s="73"/>
      <c r="I492" s="73"/>
      <c r="J492" s="73"/>
      <c r="K492" s="73"/>
      <c r="L492" s="73"/>
      <c r="M492" s="74"/>
    </row>
    <row r="493" spans="1:15" ht="35.25" customHeight="1" thickBot="1">
      <c r="A493" s="75" t="s">
        <v>10</v>
      </c>
      <c r="B493" s="76"/>
      <c r="C493" s="76"/>
      <c r="D493" s="77"/>
      <c r="E493" s="14" t="s">
        <v>11</v>
      </c>
      <c r="F493" s="75" t="s">
        <v>12</v>
      </c>
      <c r="G493" s="77"/>
      <c r="H493" s="75" t="s">
        <v>13</v>
      </c>
      <c r="I493" s="77"/>
      <c r="J493" s="78" t="s">
        <v>14</v>
      </c>
      <c r="K493" s="79"/>
      <c r="L493" s="75" t="s">
        <v>15</v>
      </c>
      <c r="M493" s="77"/>
    </row>
    <row r="494" spans="1:15" ht="27.95" customHeight="1" thickBot="1">
      <c r="A494" s="141"/>
      <c r="B494" s="142"/>
      <c r="C494" s="142"/>
      <c r="D494" s="143"/>
      <c r="E494" s="2"/>
      <c r="F494" s="56"/>
      <c r="G494" s="57"/>
      <c r="H494" s="56"/>
      <c r="I494" s="57"/>
      <c r="J494" s="56"/>
      <c r="K494" s="57"/>
      <c r="L494" s="58"/>
      <c r="M494" s="59"/>
    </row>
    <row r="495" spans="1:15" ht="27.95" customHeight="1" thickBot="1">
      <c r="A495" s="141"/>
      <c r="B495" s="142"/>
      <c r="C495" s="142"/>
      <c r="D495" s="143"/>
      <c r="E495" s="15"/>
      <c r="F495" s="56"/>
      <c r="G495" s="57"/>
      <c r="H495" s="56"/>
      <c r="I495" s="57"/>
      <c r="J495" s="56"/>
      <c r="K495" s="57"/>
      <c r="L495" s="58"/>
      <c r="M495" s="59"/>
    </row>
    <row r="496" spans="1:15" ht="24.95" customHeight="1" thickTop="1" thickBot="1">
      <c r="A496" s="130" t="s">
        <v>16</v>
      </c>
      <c r="B496" s="67"/>
      <c r="C496" s="67"/>
      <c r="D496" s="68"/>
      <c r="E496" s="47"/>
      <c r="F496" s="131"/>
      <c r="G496" s="132"/>
      <c r="H496" s="131"/>
      <c r="I496" s="132"/>
      <c r="J496" s="131"/>
      <c r="K496" s="132"/>
      <c r="L496" s="131"/>
      <c r="M496" s="133"/>
    </row>
    <row r="497" spans="1:13" ht="24.95" customHeight="1" thickBot="1">
      <c r="A497" s="134" t="s">
        <v>17</v>
      </c>
      <c r="B497" s="135"/>
      <c r="C497" s="135"/>
      <c r="D497" s="59"/>
      <c r="E497" s="47"/>
      <c r="F497" s="58"/>
      <c r="G497" s="59"/>
      <c r="H497" s="58"/>
      <c r="I497" s="59"/>
      <c r="J497" s="58"/>
      <c r="K497" s="59"/>
      <c r="L497" s="58"/>
      <c r="M497" s="136"/>
    </row>
    <row r="498" spans="1:13" ht="24.95" customHeight="1" thickBot="1">
      <c r="A498" s="118" t="s">
        <v>18</v>
      </c>
      <c r="B498" s="119"/>
      <c r="C498" s="119"/>
      <c r="D498" s="120"/>
      <c r="E498" s="24"/>
      <c r="F498" s="121"/>
      <c r="G498" s="120"/>
      <c r="H498" s="121"/>
      <c r="I498" s="120"/>
      <c r="J498" s="121"/>
      <c r="K498" s="120"/>
      <c r="L498" s="121"/>
      <c r="M498" s="122"/>
    </row>
    <row r="499" spans="1:13" ht="24" customHeight="1" thickTop="1" thickBot="1">
      <c r="A499" s="66" t="s">
        <v>19</v>
      </c>
      <c r="B499" s="67"/>
      <c r="C499" s="67"/>
      <c r="D499" s="67"/>
      <c r="E499" s="67"/>
      <c r="F499" s="67"/>
      <c r="G499" s="67"/>
      <c r="H499" s="67"/>
      <c r="I499" s="67"/>
      <c r="J499" s="67"/>
      <c r="K499" s="67"/>
      <c r="L499" s="67"/>
      <c r="M499" s="68"/>
    </row>
    <row r="500" spans="1:13" ht="35.25" customHeight="1" thickBot="1">
      <c r="A500" s="75" t="s">
        <v>20</v>
      </c>
      <c r="B500" s="76"/>
      <c r="C500" s="76"/>
      <c r="D500" s="77"/>
      <c r="E500" s="14" t="s">
        <v>11</v>
      </c>
      <c r="F500" s="75" t="s">
        <v>39</v>
      </c>
      <c r="G500" s="77"/>
      <c r="H500" s="75" t="s">
        <v>21</v>
      </c>
      <c r="I500" s="77"/>
      <c r="J500" s="78" t="s">
        <v>22</v>
      </c>
      <c r="K500" s="79"/>
      <c r="L500" s="75" t="s">
        <v>15</v>
      </c>
      <c r="M500" s="77"/>
    </row>
    <row r="501" spans="1:13" ht="24" customHeight="1" thickBot="1">
      <c r="A501" s="96"/>
      <c r="B501" s="97"/>
      <c r="C501" s="97"/>
      <c r="D501" s="98"/>
      <c r="E501" s="47"/>
      <c r="F501" s="58"/>
      <c r="G501" s="59"/>
      <c r="H501" s="58"/>
      <c r="I501" s="59"/>
      <c r="J501" s="56"/>
      <c r="K501" s="57"/>
      <c r="L501" s="58"/>
      <c r="M501" s="59"/>
    </row>
    <row r="502" spans="1:13" ht="24" customHeight="1" thickBot="1">
      <c r="A502" s="96"/>
      <c r="B502" s="97"/>
      <c r="C502" s="97"/>
      <c r="D502" s="98"/>
      <c r="E502" s="47"/>
      <c r="F502" s="58"/>
      <c r="G502" s="59"/>
      <c r="H502" s="58"/>
      <c r="I502" s="59"/>
      <c r="J502" s="56"/>
      <c r="K502" s="57"/>
      <c r="L502" s="58"/>
      <c r="M502" s="59"/>
    </row>
    <row r="503" spans="1:13" ht="24" customHeight="1" thickBot="1">
      <c r="A503" s="60" t="s">
        <v>23</v>
      </c>
      <c r="B503" s="61"/>
      <c r="C503" s="61"/>
      <c r="D503" s="61"/>
      <c r="E503" s="61"/>
      <c r="F503" s="61"/>
      <c r="G503" s="61"/>
      <c r="H503" s="61"/>
      <c r="I503" s="61"/>
      <c r="J503" s="61"/>
      <c r="K503" s="61"/>
      <c r="L503" s="61"/>
      <c r="M503" s="62"/>
    </row>
    <row r="504" spans="1:13" ht="35.25" customHeight="1" thickBot="1">
      <c r="A504" s="75" t="s">
        <v>24</v>
      </c>
      <c r="B504" s="77"/>
      <c r="C504" s="75" t="s">
        <v>25</v>
      </c>
      <c r="D504" s="77"/>
      <c r="E504" s="75" t="s">
        <v>26</v>
      </c>
      <c r="F504" s="76"/>
      <c r="G504" s="77"/>
      <c r="H504" s="75" t="s">
        <v>27</v>
      </c>
      <c r="I504" s="77"/>
      <c r="J504" s="78" t="s">
        <v>21</v>
      </c>
      <c r="K504" s="79"/>
      <c r="L504" s="75" t="s">
        <v>22</v>
      </c>
      <c r="M504" s="77"/>
    </row>
    <row r="505" spans="1:13" s="18" customFormat="1" ht="24.75" customHeight="1" thickBot="1">
      <c r="A505" s="99"/>
      <c r="B505" s="98"/>
      <c r="C505" s="56"/>
      <c r="D505" s="57"/>
      <c r="E505" s="56"/>
      <c r="F505" s="100"/>
      <c r="G505" s="57"/>
      <c r="H505" s="56"/>
      <c r="I505" s="57"/>
      <c r="J505" s="56"/>
      <c r="K505" s="57"/>
      <c r="L505" s="56"/>
      <c r="M505" s="57"/>
    </row>
    <row r="506" spans="1:13" s="18" customFormat="1" ht="24.75" customHeight="1" thickBot="1">
      <c r="A506" s="99"/>
      <c r="B506" s="98"/>
      <c r="C506" s="56"/>
      <c r="D506" s="57"/>
      <c r="E506" s="56"/>
      <c r="F506" s="100"/>
      <c r="G506" s="57"/>
      <c r="H506" s="56"/>
      <c r="I506" s="57"/>
      <c r="J506" s="56"/>
      <c r="K506" s="57"/>
      <c r="L506" s="56"/>
      <c r="M506" s="57"/>
    </row>
    <row r="507" spans="1:13" ht="33" customHeight="1" thickBot="1">
      <c r="A507" s="112" t="s">
        <v>40</v>
      </c>
      <c r="B507" s="113"/>
      <c r="C507" s="113"/>
      <c r="D507" s="113"/>
      <c r="E507" s="113"/>
      <c r="F507" s="113"/>
      <c r="G507" s="113"/>
      <c r="H507" s="113"/>
      <c r="I507" s="113"/>
      <c r="J507" s="113"/>
      <c r="K507" s="113"/>
      <c r="L507" s="113"/>
      <c r="M507" s="114"/>
    </row>
    <row r="508" spans="1:13" ht="16.5" customHeight="1">
      <c r="A508" s="115" t="s">
        <v>41</v>
      </c>
      <c r="B508" s="116"/>
      <c r="C508" s="116"/>
      <c r="D508" s="116"/>
      <c r="E508" s="116"/>
      <c r="F508" s="116"/>
      <c r="G508" s="116"/>
      <c r="H508" s="116"/>
      <c r="I508" s="116"/>
      <c r="J508" s="116"/>
      <c r="K508" s="116"/>
      <c r="L508" s="116"/>
      <c r="M508" s="117"/>
    </row>
    <row r="509" spans="1:13" ht="16.5" customHeight="1">
      <c r="A509" s="90" t="s">
        <v>28</v>
      </c>
      <c r="B509" s="91"/>
      <c r="C509" s="91"/>
      <c r="D509" s="91"/>
      <c r="E509" s="91"/>
      <c r="F509" s="91"/>
      <c r="G509" s="91"/>
      <c r="H509" s="91"/>
      <c r="I509" s="91"/>
      <c r="J509" s="91"/>
      <c r="K509" s="91"/>
      <c r="L509" s="91"/>
      <c r="M509" s="92"/>
    </row>
    <row r="510" spans="1:13" s="1" customFormat="1" ht="16.5" customHeight="1">
      <c r="A510" s="93" t="s">
        <v>56</v>
      </c>
      <c r="B510" s="94"/>
      <c r="C510" s="94"/>
      <c r="D510" s="94"/>
      <c r="E510" s="94"/>
      <c r="F510" s="94"/>
      <c r="G510" s="94"/>
      <c r="H510" s="94"/>
      <c r="I510" s="94"/>
      <c r="J510" s="94"/>
      <c r="K510" s="94"/>
      <c r="L510" s="94"/>
      <c r="M510" s="95"/>
    </row>
    <row r="511" spans="1:13" s="1" customFormat="1" ht="16.5" customHeight="1">
      <c r="A511" s="93" t="s">
        <v>57</v>
      </c>
      <c r="B511" s="94"/>
      <c r="C511" s="94"/>
      <c r="D511" s="94"/>
      <c r="E511" s="94"/>
      <c r="F511" s="94"/>
      <c r="G511" s="94"/>
      <c r="H511" s="94"/>
      <c r="I511" s="94"/>
      <c r="J511" s="94"/>
      <c r="K511" s="94"/>
      <c r="L511" s="94"/>
      <c r="M511" s="95"/>
    </row>
    <row r="512" spans="1:13" s="1" customFormat="1" ht="16.5" customHeight="1">
      <c r="A512" s="93" t="s">
        <v>58</v>
      </c>
      <c r="B512" s="94"/>
      <c r="C512" s="94"/>
      <c r="D512" s="94"/>
      <c r="E512" s="94"/>
      <c r="F512" s="94"/>
      <c r="G512" s="94"/>
      <c r="H512" s="94"/>
      <c r="I512" s="94"/>
      <c r="J512" s="94"/>
      <c r="K512" s="94"/>
      <c r="L512" s="94"/>
      <c r="M512" s="95"/>
    </row>
    <row r="513" spans="1:13" s="1" customFormat="1" ht="16.5" customHeight="1">
      <c r="A513" s="93" t="s">
        <v>59</v>
      </c>
      <c r="B513" s="94"/>
      <c r="C513" s="94"/>
      <c r="D513" s="94"/>
      <c r="E513" s="94"/>
      <c r="F513" s="94"/>
      <c r="G513" s="94"/>
      <c r="H513" s="94"/>
      <c r="I513" s="94"/>
      <c r="J513" s="94"/>
      <c r="K513" s="94"/>
      <c r="L513" s="94"/>
      <c r="M513" s="95"/>
    </row>
    <row r="514" spans="1:13" ht="16.5" customHeight="1">
      <c r="A514" s="106" t="s">
        <v>29</v>
      </c>
      <c r="B514" s="107"/>
      <c r="C514" s="107"/>
      <c r="D514" s="107"/>
      <c r="E514" s="107"/>
      <c r="F514" s="107"/>
      <c r="G514" s="107"/>
      <c r="H514" s="107"/>
      <c r="I514" s="107"/>
      <c r="J514" s="107"/>
      <c r="K514" s="107"/>
      <c r="L514" s="107"/>
      <c r="M514" s="108"/>
    </row>
    <row r="515" spans="1:13" ht="9.75" customHeight="1" thickBot="1">
      <c r="A515" s="109"/>
      <c r="B515" s="110"/>
      <c r="C515" s="110"/>
      <c r="D515" s="110"/>
      <c r="E515" s="110"/>
      <c r="F515" s="110"/>
      <c r="G515" s="110"/>
      <c r="H515" s="110"/>
      <c r="I515" s="110"/>
      <c r="J515" s="110"/>
      <c r="K515" s="110"/>
      <c r="L515" s="110"/>
      <c r="M515" s="111"/>
    </row>
    <row r="516" spans="1:13" ht="18.75" customHeight="1" thickBot="1">
      <c r="A516" s="72" t="s">
        <v>30</v>
      </c>
      <c r="B516" s="73"/>
      <c r="C516" s="73"/>
      <c r="D516" s="73"/>
      <c r="E516" s="73"/>
      <c r="F516" s="73"/>
      <c r="G516" s="73"/>
      <c r="H516" s="73"/>
      <c r="I516" s="73"/>
      <c r="J516" s="73"/>
      <c r="K516" s="73"/>
      <c r="L516" s="73"/>
      <c r="M516" s="74"/>
    </row>
    <row r="517" spans="1:13" ht="24" customHeight="1" thickBot="1">
      <c r="A517" s="72" t="s">
        <v>31</v>
      </c>
      <c r="B517" s="73"/>
      <c r="C517" s="73"/>
      <c r="D517" s="73"/>
      <c r="E517" s="73"/>
      <c r="F517" s="73"/>
      <c r="G517" s="73"/>
      <c r="H517" s="73"/>
      <c r="I517" s="73"/>
      <c r="J517" s="73"/>
      <c r="K517" s="73"/>
      <c r="L517" s="73"/>
      <c r="M517" s="74"/>
    </row>
    <row r="518" spans="1:13" ht="24" customHeight="1" thickBot="1">
      <c r="A518" s="72" t="s">
        <v>62</v>
      </c>
      <c r="B518" s="73"/>
      <c r="C518" s="73"/>
      <c r="D518" s="73"/>
      <c r="E518" s="73"/>
      <c r="F518" s="73"/>
      <c r="G518" s="73"/>
      <c r="H518" s="73"/>
      <c r="I518" s="73"/>
      <c r="J518" s="73"/>
      <c r="K518" s="73"/>
      <c r="L518" s="73"/>
      <c r="M518" s="74"/>
    </row>
    <row r="519" spans="1:13" ht="24" customHeight="1" thickBot="1">
      <c r="A519" s="60" t="s">
        <v>46</v>
      </c>
      <c r="B519" s="61"/>
      <c r="C519" s="61"/>
      <c r="D519" s="61"/>
      <c r="E519" s="61"/>
      <c r="F519" s="61"/>
      <c r="G519" s="61"/>
      <c r="H519" s="61"/>
      <c r="I519" s="61"/>
      <c r="J519" s="61"/>
      <c r="K519" s="61"/>
      <c r="L519" s="61"/>
      <c r="M519" s="62"/>
    </row>
    <row r="520" spans="1:13" ht="11.1" customHeight="1">
      <c r="A520" s="103" t="s">
        <v>47</v>
      </c>
      <c r="B520" s="103"/>
      <c r="C520" s="103"/>
      <c r="D520" s="103"/>
      <c r="E520" s="103"/>
      <c r="F520" s="103"/>
      <c r="G520" s="103"/>
      <c r="H520" s="103"/>
      <c r="I520" s="103"/>
      <c r="J520" s="103"/>
      <c r="K520" s="103"/>
      <c r="L520" s="103"/>
      <c r="M520" s="103"/>
    </row>
    <row r="521" spans="1:13" ht="11.1" customHeight="1">
      <c r="A521" s="104" t="s">
        <v>48</v>
      </c>
      <c r="B521" s="104"/>
      <c r="C521" s="104"/>
      <c r="D521" s="104"/>
      <c r="E521" s="104"/>
      <c r="F521" s="104"/>
      <c r="G521" s="104"/>
      <c r="H521" s="104"/>
      <c r="I521" s="104"/>
      <c r="J521" s="104"/>
      <c r="K521" s="104"/>
      <c r="L521" s="104"/>
      <c r="M521" s="104"/>
    </row>
    <row r="522" spans="1:13" ht="11.1" customHeight="1">
      <c r="A522" s="105" t="s">
        <v>49</v>
      </c>
      <c r="B522" s="105"/>
      <c r="C522" s="105"/>
      <c r="D522" s="105"/>
      <c r="E522" s="105"/>
      <c r="F522" s="105"/>
      <c r="G522" s="105"/>
      <c r="H522" s="105"/>
      <c r="I522" s="105"/>
      <c r="J522" s="105"/>
      <c r="K522" s="105"/>
      <c r="L522" s="105"/>
      <c r="M522" s="105"/>
    </row>
    <row r="523" spans="1:13" ht="11.1" customHeight="1">
      <c r="A523" s="105" t="s">
        <v>50</v>
      </c>
      <c r="B523" s="105"/>
      <c r="C523" s="105"/>
      <c r="D523" s="105"/>
      <c r="E523" s="105"/>
      <c r="F523" s="105"/>
      <c r="G523" s="105"/>
      <c r="H523" s="105"/>
      <c r="I523" s="105"/>
      <c r="J523" s="105"/>
      <c r="K523" s="105"/>
      <c r="L523" s="105"/>
      <c r="M523" s="105"/>
    </row>
    <row r="524" spans="1:13" ht="11.1" customHeight="1">
      <c r="A524" s="104" t="s">
        <v>51</v>
      </c>
      <c r="B524" s="104"/>
      <c r="C524" s="104"/>
      <c r="D524" s="104"/>
      <c r="E524" s="104"/>
      <c r="F524" s="104"/>
      <c r="G524" s="104"/>
      <c r="H524" s="104"/>
      <c r="I524" s="104"/>
      <c r="J524" s="104"/>
      <c r="K524" s="104"/>
      <c r="L524" s="104"/>
      <c r="M524" s="104"/>
    </row>
    <row r="525" spans="1:13" ht="11.1" customHeight="1">
      <c r="A525" s="104" t="s">
        <v>52</v>
      </c>
      <c r="B525" s="104"/>
      <c r="C525" s="104"/>
      <c r="D525" s="104"/>
      <c r="E525" s="104"/>
      <c r="F525" s="104"/>
      <c r="G525" s="104"/>
      <c r="H525" s="104"/>
      <c r="I525" s="104"/>
      <c r="J525" s="104"/>
      <c r="K525" s="104"/>
      <c r="L525" s="104"/>
      <c r="M525" s="104"/>
    </row>
    <row r="526" spans="1:13" ht="11.1" customHeight="1">
      <c r="A526" s="104" t="s">
        <v>53</v>
      </c>
      <c r="B526" s="104"/>
      <c r="C526" s="104"/>
      <c r="D526" s="104"/>
      <c r="E526" s="104"/>
      <c r="F526" s="104"/>
      <c r="G526" s="104"/>
      <c r="H526" s="104"/>
      <c r="I526" s="104"/>
      <c r="J526" s="104"/>
      <c r="K526" s="104"/>
      <c r="L526" s="104"/>
      <c r="M526" s="104"/>
    </row>
    <row r="527" spans="1:13" ht="11.1" customHeight="1">
      <c r="A527" s="101" t="s">
        <v>54</v>
      </c>
      <c r="B527" s="101"/>
      <c r="C527" s="101"/>
      <c r="D527" s="101"/>
      <c r="E527" s="101"/>
      <c r="F527" s="101"/>
      <c r="G527" s="101"/>
      <c r="H527" s="101"/>
      <c r="I527" s="101"/>
      <c r="J527" s="101"/>
      <c r="K527" s="101"/>
      <c r="L527" s="101"/>
      <c r="M527" s="101"/>
    </row>
    <row r="528" spans="1:13" ht="11.1" customHeight="1">
      <c r="A528" s="101" t="s">
        <v>55</v>
      </c>
      <c r="B528" s="101"/>
      <c r="C528" s="101"/>
      <c r="D528" s="101"/>
      <c r="E528" s="101"/>
      <c r="F528" s="101"/>
      <c r="G528" s="101"/>
      <c r="H528" s="101"/>
      <c r="I528" s="101"/>
      <c r="J528" s="101"/>
      <c r="K528" s="101"/>
      <c r="L528" s="101"/>
      <c r="M528" s="101"/>
    </row>
    <row r="529" spans="1:15" ht="19.5" customHeight="1">
      <c r="A529" s="69" t="s">
        <v>0</v>
      </c>
      <c r="B529" s="69"/>
      <c r="C529" s="69"/>
      <c r="D529" s="69"/>
      <c r="E529" s="69"/>
      <c r="F529" s="69"/>
      <c r="G529" s="69"/>
      <c r="H529" s="69"/>
      <c r="I529" s="69"/>
      <c r="J529" s="69"/>
      <c r="K529" s="69"/>
      <c r="L529" s="69"/>
      <c r="M529" s="69"/>
    </row>
    <row r="530" spans="1:15" ht="20.100000000000001" customHeight="1">
      <c r="A530" s="4" t="s">
        <v>32</v>
      </c>
      <c r="B530" s="5">
        <f>+B486+1</f>
        <v>48</v>
      </c>
      <c r="C530" s="48"/>
      <c r="D530" s="48"/>
      <c r="E530" s="48"/>
      <c r="F530" s="48"/>
      <c r="G530" s="48"/>
      <c r="H530" s="48"/>
      <c r="I530" s="48"/>
      <c r="J530" s="48"/>
      <c r="K530" s="48"/>
      <c r="L530" s="48"/>
      <c r="M530" s="48"/>
    </row>
    <row r="531" spans="1:15" ht="24" customHeight="1" thickBot="1">
      <c r="A531" s="4" t="s">
        <v>33</v>
      </c>
      <c r="H531" s="70" t="s">
        <v>34</v>
      </c>
      <c r="I531" s="70"/>
      <c r="J531" s="70"/>
      <c r="K531" s="102">
        <f>+K487+1</f>
        <v>45974</v>
      </c>
      <c r="L531" s="102"/>
      <c r="M531" s="102"/>
      <c r="O531" s="7"/>
    </row>
    <row r="532" spans="1:15" ht="33.75" customHeight="1" thickBot="1">
      <c r="A532" s="80" t="s">
        <v>1</v>
      </c>
      <c r="B532" s="81"/>
      <c r="C532" s="82"/>
      <c r="D532" s="86" t="str">
        <f>+D488</f>
        <v>光明國中B與C區5樓老舊廁所整修工程</v>
      </c>
      <c r="E532" s="87"/>
      <c r="F532" s="87"/>
      <c r="G532" s="88"/>
      <c r="H532" s="80" t="s">
        <v>2</v>
      </c>
      <c r="I532" s="81"/>
      <c r="J532" s="82"/>
      <c r="K532" s="80" t="s">
        <v>35</v>
      </c>
      <c r="L532" s="81"/>
      <c r="M532" s="82"/>
    </row>
    <row r="533" spans="1:15" ht="33.75" customHeight="1" thickBot="1">
      <c r="A533" s="8" t="s">
        <v>3</v>
      </c>
      <c r="B533" s="45">
        <f>+B489</f>
        <v>142</v>
      </c>
      <c r="C533" s="10" t="s">
        <v>36</v>
      </c>
      <c r="D533" s="80" t="s">
        <v>4</v>
      </c>
      <c r="E533" s="89"/>
      <c r="F533" s="46">
        <f>+F489+1</f>
        <v>48</v>
      </c>
      <c r="G533" s="12" t="s">
        <v>36</v>
      </c>
      <c r="H533" s="13" t="s">
        <v>5</v>
      </c>
      <c r="I533" s="45">
        <f>+B533-F533</f>
        <v>94</v>
      </c>
      <c r="J533" s="10" t="s">
        <v>36</v>
      </c>
      <c r="K533" s="80" t="s">
        <v>6</v>
      </c>
      <c r="L533" s="82"/>
      <c r="M533" s="13">
        <f>+M489</f>
        <v>12</v>
      </c>
    </row>
    <row r="534" spans="1:15" ht="24" customHeight="1" thickBot="1">
      <c r="A534" s="80" t="s">
        <v>7</v>
      </c>
      <c r="B534" s="81"/>
      <c r="C534" s="82"/>
      <c r="D534" s="80" t="str">
        <f>+D490</f>
        <v>114.9.27</v>
      </c>
      <c r="E534" s="81"/>
      <c r="F534" s="81"/>
      <c r="G534" s="82"/>
      <c r="H534" s="80" t="s">
        <v>8</v>
      </c>
      <c r="I534" s="81"/>
      <c r="J534" s="82"/>
      <c r="K534" s="80" t="str">
        <f>+K490</f>
        <v>115.2.15</v>
      </c>
      <c r="L534" s="81"/>
      <c r="M534" s="82"/>
    </row>
    <row r="535" spans="1:15" ht="24" customHeight="1" thickBot="1">
      <c r="A535" s="80" t="s">
        <v>37</v>
      </c>
      <c r="B535" s="81"/>
      <c r="C535" s="82"/>
      <c r="D535" s="83">
        <v>4.2000000000000003E-2</v>
      </c>
      <c r="E535" s="84"/>
      <c r="F535" s="84"/>
      <c r="G535" s="85"/>
      <c r="H535" s="80" t="s">
        <v>38</v>
      </c>
      <c r="I535" s="81"/>
      <c r="J535" s="82"/>
      <c r="K535" s="83">
        <f>+K491</f>
        <v>5.8000000000000003E-2</v>
      </c>
      <c r="L535" s="84"/>
      <c r="M535" s="85"/>
    </row>
    <row r="536" spans="1:15" ht="24" customHeight="1" thickBot="1">
      <c r="A536" s="72" t="s">
        <v>9</v>
      </c>
      <c r="B536" s="73"/>
      <c r="C536" s="73"/>
      <c r="D536" s="73"/>
      <c r="E536" s="73"/>
      <c r="F536" s="73"/>
      <c r="G536" s="73"/>
      <c r="H536" s="73"/>
      <c r="I536" s="73"/>
      <c r="J536" s="73"/>
      <c r="K536" s="73"/>
      <c r="L536" s="73"/>
      <c r="M536" s="74"/>
    </row>
    <row r="537" spans="1:15" ht="35.25" customHeight="1" thickBot="1">
      <c r="A537" s="75" t="s">
        <v>10</v>
      </c>
      <c r="B537" s="76"/>
      <c r="C537" s="76"/>
      <c r="D537" s="77"/>
      <c r="E537" s="14" t="s">
        <v>11</v>
      </c>
      <c r="F537" s="75" t="s">
        <v>12</v>
      </c>
      <c r="G537" s="77"/>
      <c r="H537" s="75" t="s">
        <v>13</v>
      </c>
      <c r="I537" s="77"/>
      <c r="J537" s="78" t="s">
        <v>14</v>
      </c>
      <c r="K537" s="79"/>
      <c r="L537" s="75" t="s">
        <v>15</v>
      </c>
      <c r="M537" s="77"/>
    </row>
    <row r="538" spans="1:15" ht="27.95" customHeight="1" thickBot="1">
      <c r="A538" s="141"/>
      <c r="B538" s="142"/>
      <c r="C538" s="142"/>
      <c r="D538" s="143"/>
      <c r="E538" s="2"/>
      <c r="F538" s="56"/>
      <c r="G538" s="57"/>
      <c r="H538" s="56"/>
      <c r="I538" s="57"/>
      <c r="J538" s="56"/>
      <c r="K538" s="57"/>
      <c r="L538" s="58"/>
      <c r="M538" s="59"/>
    </row>
    <row r="539" spans="1:15" ht="27.95" customHeight="1" thickBot="1">
      <c r="A539" s="141"/>
      <c r="B539" s="142"/>
      <c r="C539" s="142"/>
      <c r="D539" s="143"/>
      <c r="E539" s="15"/>
      <c r="F539" s="56"/>
      <c r="G539" s="57"/>
      <c r="H539" s="56"/>
      <c r="I539" s="57"/>
      <c r="J539" s="56"/>
      <c r="K539" s="57"/>
      <c r="L539" s="58"/>
      <c r="M539" s="59"/>
    </row>
    <row r="540" spans="1:15" ht="24.95" customHeight="1" thickTop="1" thickBot="1">
      <c r="A540" s="130" t="s">
        <v>16</v>
      </c>
      <c r="B540" s="67"/>
      <c r="C540" s="67"/>
      <c r="D540" s="68"/>
      <c r="E540" s="47"/>
      <c r="F540" s="131"/>
      <c r="G540" s="132"/>
      <c r="H540" s="131"/>
      <c r="I540" s="132"/>
      <c r="J540" s="131"/>
      <c r="K540" s="132"/>
      <c r="L540" s="131"/>
      <c r="M540" s="133"/>
    </row>
    <row r="541" spans="1:15" ht="24.95" customHeight="1" thickBot="1">
      <c r="A541" s="134" t="s">
        <v>17</v>
      </c>
      <c r="B541" s="135"/>
      <c r="C541" s="135"/>
      <c r="D541" s="59"/>
      <c r="E541" s="47"/>
      <c r="F541" s="58"/>
      <c r="G541" s="59"/>
      <c r="H541" s="58"/>
      <c r="I541" s="59"/>
      <c r="J541" s="58"/>
      <c r="K541" s="59"/>
      <c r="L541" s="58"/>
      <c r="M541" s="136"/>
    </row>
    <row r="542" spans="1:15" ht="24.95" customHeight="1" thickBot="1">
      <c r="A542" s="118" t="s">
        <v>18</v>
      </c>
      <c r="B542" s="119"/>
      <c r="C542" s="119"/>
      <c r="D542" s="120"/>
      <c r="E542" s="24"/>
      <c r="F542" s="121"/>
      <c r="G542" s="120"/>
      <c r="H542" s="121"/>
      <c r="I542" s="120"/>
      <c r="J542" s="121"/>
      <c r="K542" s="120"/>
      <c r="L542" s="121"/>
      <c r="M542" s="122"/>
    </row>
    <row r="543" spans="1:15" ht="24" customHeight="1" thickTop="1" thickBot="1">
      <c r="A543" s="66" t="s">
        <v>19</v>
      </c>
      <c r="B543" s="67"/>
      <c r="C543" s="67"/>
      <c r="D543" s="67"/>
      <c r="E543" s="67"/>
      <c r="F543" s="67"/>
      <c r="G543" s="67"/>
      <c r="H543" s="67"/>
      <c r="I543" s="67"/>
      <c r="J543" s="67"/>
      <c r="K543" s="67"/>
      <c r="L543" s="67"/>
      <c r="M543" s="68"/>
    </row>
    <row r="544" spans="1:15" ht="35.25" customHeight="1" thickBot="1">
      <c r="A544" s="75" t="s">
        <v>20</v>
      </c>
      <c r="B544" s="76"/>
      <c r="C544" s="76"/>
      <c r="D544" s="77"/>
      <c r="E544" s="14" t="s">
        <v>11</v>
      </c>
      <c r="F544" s="75" t="s">
        <v>39</v>
      </c>
      <c r="G544" s="77"/>
      <c r="H544" s="75" t="s">
        <v>21</v>
      </c>
      <c r="I544" s="77"/>
      <c r="J544" s="78" t="s">
        <v>22</v>
      </c>
      <c r="K544" s="79"/>
      <c r="L544" s="75" t="s">
        <v>15</v>
      </c>
      <c r="M544" s="77"/>
    </row>
    <row r="545" spans="1:13" ht="24" customHeight="1" thickBot="1">
      <c r="A545" s="96"/>
      <c r="B545" s="97"/>
      <c r="C545" s="97"/>
      <c r="D545" s="98"/>
      <c r="E545" s="47"/>
      <c r="F545" s="58"/>
      <c r="G545" s="59"/>
      <c r="H545" s="58"/>
      <c r="I545" s="59"/>
      <c r="J545" s="56"/>
      <c r="K545" s="57"/>
      <c r="L545" s="58"/>
      <c r="M545" s="59"/>
    </row>
    <row r="546" spans="1:13" ht="24" customHeight="1" thickBot="1">
      <c r="A546" s="96"/>
      <c r="B546" s="97"/>
      <c r="C546" s="97"/>
      <c r="D546" s="98"/>
      <c r="E546" s="47"/>
      <c r="F546" s="58"/>
      <c r="G546" s="59"/>
      <c r="H546" s="58"/>
      <c r="I546" s="59"/>
      <c r="J546" s="56"/>
      <c r="K546" s="57"/>
      <c r="L546" s="58"/>
      <c r="M546" s="59"/>
    </row>
    <row r="547" spans="1:13" ht="24" customHeight="1" thickBot="1">
      <c r="A547" s="60" t="s">
        <v>23</v>
      </c>
      <c r="B547" s="61"/>
      <c r="C547" s="61"/>
      <c r="D547" s="61"/>
      <c r="E547" s="61"/>
      <c r="F547" s="61"/>
      <c r="G547" s="61"/>
      <c r="H547" s="61"/>
      <c r="I547" s="61"/>
      <c r="J547" s="61"/>
      <c r="K547" s="61"/>
      <c r="L547" s="61"/>
      <c r="M547" s="62"/>
    </row>
    <row r="548" spans="1:13" ht="35.25" customHeight="1" thickBot="1">
      <c r="A548" s="75" t="s">
        <v>24</v>
      </c>
      <c r="B548" s="77"/>
      <c r="C548" s="75" t="s">
        <v>25</v>
      </c>
      <c r="D548" s="77"/>
      <c r="E548" s="75" t="s">
        <v>26</v>
      </c>
      <c r="F548" s="76"/>
      <c r="G548" s="77"/>
      <c r="H548" s="75" t="s">
        <v>27</v>
      </c>
      <c r="I548" s="77"/>
      <c r="J548" s="78" t="s">
        <v>21</v>
      </c>
      <c r="K548" s="79"/>
      <c r="L548" s="75" t="s">
        <v>22</v>
      </c>
      <c r="M548" s="77"/>
    </row>
    <row r="549" spans="1:13" s="18" customFormat="1" ht="24.75" customHeight="1" thickBot="1">
      <c r="A549" s="99"/>
      <c r="B549" s="98"/>
      <c r="C549" s="56"/>
      <c r="D549" s="57"/>
      <c r="E549" s="56"/>
      <c r="F549" s="100"/>
      <c r="G549" s="57"/>
      <c r="H549" s="56"/>
      <c r="I549" s="57"/>
      <c r="J549" s="56"/>
      <c r="K549" s="57"/>
      <c r="L549" s="56"/>
      <c r="M549" s="57"/>
    </row>
    <row r="550" spans="1:13" s="18" customFormat="1" ht="24.75" customHeight="1" thickBot="1">
      <c r="A550" s="99"/>
      <c r="B550" s="98"/>
      <c r="C550" s="56"/>
      <c r="D550" s="57"/>
      <c r="E550" s="56"/>
      <c r="F550" s="100"/>
      <c r="G550" s="57"/>
      <c r="H550" s="56"/>
      <c r="I550" s="57"/>
      <c r="J550" s="56"/>
      <c r="K550" s="57"/>
      <c r="L550" s="56"/>
      <c r="M550" s="57"/>
    </row>
    <row r="551" spans="1:13" ht="33" customHeight="1" thickBot="1">
      <c r="A551" s="112" t="s">
        <v>40</v>
      </c>
      <c r="B551" s="113"/>
      <c r="C551" s="113"/>
      <c r="D551" s="113"/>
      <c r="E551" s="113"/>
      <c r="F551" s="113"/>
      <c r="G551" s="113"/>
      <c r="H551" s="113"/>
      <c r="I551" s="113"/>
      <c r="J551" s="113"/>
      <c r="K551" s="113"/>
      <c r="L551" s="113"/>
      <c r="M551" s="114"/>
    </row>
    <row r="552" spans="1:13" ht="16.5" customHeight="1">
      <c r="A552" s="115" t="s">
        <v>41</v>
      </c>
      <c r="B552" s="116"/>
      <c r="C552" s="116"/>
      <c r="D552" s="116"/>
      <c r="E552" s="116"/>
      <c r="F552" s="116"/>
      <c r="G552" s="116"/>
      <c r="H552" s="116"/>
      <c r="I552" s="116"/>
      <c r="J552" s="116"/>
      <c r="K552" s="116"/>
      <c r="L552" s="116"/>
      <c r="M552" s="117"/>
    </row>
    <row r="553" spans="1:13" ht="16.5" customHeight="1">
      <c r="A553" s="90" t="s">
        <v>28</v>
      </c>
      <c r="B553" s="91"/>
      <c r="C553" s="91"/>
      <c r="D553" s="91"/>
      <c r="E553" s="91"/>
      <c r="F553" s="91"/>
      <c r="G553" s="91"/>
      <c r="H553" s="91"/>
      <c r="I553" s="91"/>
      <c r="J553" s="91"/>
      <c r="K553" s="91"/>
      <c r="L553" s="91"/>
      <c r="M553" s="92"/>
    </row>
    <row r="554" spans="1:13" s="1" customFormat="1" ht="16.5" customHeight="1">
      <c r="A554" s="93" t="s">
        <v>56</v>
      </c>
      <c r="B554" s="94"/>
      <c r="C554" s="94"/>
      <c r="D554" s="94"/>
      <c r="E554" s="94"/>
      <c r="F554" s="94"/>
      <c r="G554" s="94"/>
      <c r="H554" s="94"/>
      <c r="I554" s="94"/>
      <c r="J554" s="94"/>
      <c r="K554" s="94"/>
      <c r="L554" s="94"/>
      <c r="M554" s="95"/>
    </row>
    <row r="555" spans="1:13" s="1" customFormat="1" ht="16.5" customHeight="1">
      <c r="A555" s="93" t="s">
        <v>57</v>
      </c>
      <c r="B555" s="94"/>
      <c r="C555" s="94"/>
      <c r="D555" s="94"/>
      <c r="E555" s="94"/>
      <c r="F555" s="94"/>
      <c r="G555" s="94"/>
      <c r="H555" s="94"/>
      <c r="I555" s="94"/>
      <c r="J555" s="94"/>
      <c r="K555" s="94"/>
      <c r="L555" s="94"/>
      <c r="M555" s="95"/>
    </row>
    <row r="556" spans="1:13" s="1" customFormat="1" ht="16.5" customHeight="1">
      <c r="A556" s="93" t="s">
        <v>58</v>
      </c>
      <c r="B556" s="94"/>
      <c r="C556" s="94"/>
      <c r="D556" s="94"/>
      <c r="E556" s="94"/>
      <c r="F556" s="94"/>
      <c r="G556" s="94"/>
      <c r="H556" s="94"/>
      <c r="I556" s="94"/>
      <c r="J556" s="94"/>
      <c r="K556" s="94"/>
      <c r="L556" s="94"/>
      <c r="M556" s="95"/>
    </row>
    <row r="557" spans="1:13" s="1" customFormat="1" ht="16.5" customHeight="1">
      <c r="A557" s="93" t="s">
        <v>59</v>
      </c>
      <c r="B557" s="94"/>
      <c r="C557" s="94"/>
      <c r="D557" s="94"/>
      <c r="E557" s="94"/>
      <c r="F557" s="94"/>
      <c r="G557" s="94"/>
      <c r="H557" s="94"/>
      <c r="I557" s="94"/>
      <c r="J557" s="94"/>
      <c r="K557" s="94"/>
      <c r="L557" s="94"/>
      <c r="M557" s="95"/>
    </row>
    <row r="558" spans="1:13" ht="16.5" customHeight="1">
      <c r="A558" s="106" t="s">
        <v>29</v>
      </c>
      <c r="B558" s="107"/>
      <c r="C558" s="107"/>
      <c r="D558" s="107"/>
      <c r="E558" s="107"/>
      <c r="F558" s="107"/>
      <c r="G558" s="107"/>
      <c r="H558" s="107"/>
      <c r="I558" s="107"/>
      <c r="J558" s="107"/>
      <c r="K558" s="107"/>
      <c r="L558" s="107"/>
      <c r="M558" s="108"/>
    </row>
    <row r="559" spans="1:13" ht="9.75" customHeight="1" thickBot="1">
      <c r="A559" s="109"/>
      <c r="B559" s="110"/>
      <c r="C559" s="110"/>
      <c r="D559" s="110"/>
      <c r="E559" s="110"/>
      <c r="F559" s="110"/>
      <c r="G559" s="110"/>
      <c r="H559" s="110"/>
      <c r="I559" s="110"/>
      <c r="J559" s="110"/>
      <c r="K559" s="110"/>
      <c r="L559" s="110"/>
      <c r="M559" s="111"/>
    </row>
    <row r="560" spans="1:13" ht="18.75" customHeight="1" thickBot="1">
      <c r="A560" s="72" t="s">
        <v>30</v>
      </c>
      <c r="B560" s="73"/>
      <c r="C560" s="73"/>
      <c r="D560" s="73"/>
      <c r="E560" s="73"/>
      <c r="F560" s="73"/>
      <c r="G560" s="73"/>
      <c r="H560" s="73"/>
      <c r="I560" s="73"/>
      <c r="J560" s="73"/>
      <c r="K560" s="73"/>
      <c r="L560" s="73"/>
      <c r="M560" s="74"/>
    </row>
    <row r="561" spans="1:15" ht="24" customHeight="1" thickBot="1">
      <c r="A561" s="72" t="s">
        <v>31</v>
      </c>
      <c r="B561" s="73"/>
      <c r="C561" s="73"/>
      <c r="D561" s="73"/>
      <c r="E561" s="73"/>
      <c r="F561" s="73"/>
      <c r="G561" s="73"/>
      <c r="H561" s="73"/>
      <c r="I561" s="73"/>
      <c r="J561" s="73"/>
      <c r="K561" s="73"/>
      <c r="L561" s="73"/>
      <c r="M561" s="74"/>
    </row>
    <row r="562" spans="1:15" ht="24" customHeight="1" thickBot="1">
      <c r="A562" s="72" t="s">
        <v>62</v>
      </c>
      <c r="B562" s="73"/>
      <c r="C562" s="73"/>
      <c r="D562" s="73"/>
      <c r="E562" s="73"/>
      <c r="F562" s="73"/>
      <c r="G562" s="73"/>
      <c r="H562" s="73"/>
      <c r="I562" s="73"/>
      <c r="J562" s="73"/>
      <c r="K562" s="73"/>
      <c r="L562" s="73"/>
      <c r="M562" s="74"/>
    </row>
    <row r="563" spans="1:15" ht="24" customHeight="1" thickBot="1">
      <c r="A563" s="60" t="s">
        <v>46</v>
      </c>
      <c r="B563" s="61"/>
      <c r="C563" s="61"/>
      <c r="D563" s="61"/>
      <c r="E563" s="61"/>
      <c r="F563" s="61"/>
      <c r="G563" s="61"/>
      <c r="H563" s="61"/>
      <c r="I563" s="61"/>
      <c r="J563" s="61"/>
      <c r="K563" s="61"/>
      <c r="L563" s="61"/>
      <c r="M563" s="62"/>
    </row>
    <row r="564" spans="1:15" ht="11.1" customHeight="1">
      <c r="A564" s="103" t="s">
        <v>47</v>
      </c>
      <c r="B564" s="103"/>
      <c r="C564" s="103"/>
      <c r="D564" s="103"/>
      <c r="E564" s="103"/>
      <c r="F564" s="103"/>
      <c r="G564" s="103"/>
      <c r="H564" s="103"/>
      <c r="I564" s="103"/>
      <c r="J564" s="103"/>
      <c r="K564" s="103"/>
      <c r="L564" s="103"/>
      <c r="M564" s="103"/>
    </row>
    <row r="565" spans="1:15" ht="11.1" customHeight="1">
      <c r="A565" s="104" t="s">
        <v>48</v>
      </c>
      <c r="B565" s="104"/>
      <c r="C565" s="104"/>
      <c r="D565" s="104"/>
      <c r="E565" s="104"/>
      <c r="F565" s="104"/>
      <c r="G565" s="104"/>
      <c r="H565" s="104"/>
      <c r="I565" s="104"/>
      <c r="J565" s="104"/>
      <c r="K565" s="104"/>
      <c r="L565" s="104"/>
      <c r="M565" s="104"/>
    </row>
    <row r="566" spans="1:15" ht="11.1" customHeight="1">
      <c r="A566" s="105" t="s">
        <v>49</v>
      </c>
      <c r="B566" s="105"/>
      <c r="C566" s="105"/>
      <c r="D566" s="105"/>
      <c r="E566" s="105"/>
      <c r="F566" s="105"/>
      <c r="G566" s="105"/>
      <c r="H566" s="105"/>
      <c r="I566" s="105"/>
      <c r="J566" s="105"/>
      <c r="K566" s="105"/>
      <c r="L566" s="105"/>
      <c r="M566" s="105"/>
    </row>
    <row r="567" spans="1:15" ht="11.1" customHeight="1">
      <c r="A567" s="105" t="s">
        <v>50</v>
      </c>
      <c r="B567" s="105"/>
      <c r="C567" s="105"/>
      <c r="D567" s="105"/>
      <c r="E567" s="105"/>
      <c r="F567" s="105"/>
      <c r="G567" s="105"/>
      <c r="H567" s="105"/>
      <c r="I567" s="105"/>
      <c r="J567" s="105"/>
      <c r="K567" s="105"/>
      <c r="L567" s="105"/>
      <c r="M567" s="105"/>
    </row>
    <row r="568" spans="1:15" ht="11.1" customHeight="1">
      <c r="A568" s="104" t="s">
        <v>51</v>
      </c>
      <c r="B568" s="104"/>
      <c r="C568" s="104"/>
      <c r="D568" s="104"/>
      <c r="E568" s="104"/>
      <c r="F568" s="104"/>
      <c r="G568" s="104"/>
      <c r="H568" s="104"/>
      <c r="I568" s="104"/>
      <c r="J568" s="104"/>
      <c r="K568" s="104"/>
      <c r="L568" s="104"/>
      <c r="M568" s="104"/>
    </row>
    <row r="569" spans="1:15" ht="11.1" customHeight="1">
      <c r="A569" s="104" t="s">
        <v>52</v>
      </c>
      <c r="B569" s="104"/>
      <c r="C569" s="104"/>
      <c r="D569" s="104"/>
      <c r="E569" s="104"/>
      <c r="F569" s="104"/>
      <c r="G569" s="104"/>
      <c r="H569" s="104"/>
      <c r="I569" s="104"/>
      <c r="J569" s="104"/>
      <c r="K569" s="104"/>
      <c r="L569" s="104"/>
      <c r="M569" s="104"/>
    </row>
    <row r="570" spans="1:15" ht="11.1" customHeight="1">
      <c r="A570" s="104" t="s">
        <v>53</v>
      </c>
      <c r="B570" s="104"/>
      <c r="C570" s="104"/>
      <c r="D570" s="104"/>
      <c r="E570" s="104"/>
      <c r="F570" s="104"/>
      <c r="G570" s="104"/>
      <c r="H570" s="104"/>
      <c r="I570" s="104"/>
      <c r="J570" s="104"/>
      <c r="K570" s="104"/>
      <c r="L570" s="104"/>
      <c r="M570" s="104"/>
    </row>
    <row r="571" spans="1:15" ht="11.1" customHeight="1">
      <c r="A571" s="101" t="s">
        <v>54</v>
      </c>
      <c r="B571" s="101"/>
      <c r="C571" s="101"/>
      <c r="D571" s="101"/>
      <c r="E571" s="101"/>
      <c r="F571" s="101"/>
      <c r="G571" s="101"/>
      <c r="H571" s="101"/>
      <c r="I571" s="101"/>
      <c r="J571" s="101"/>
      <c r="K571" s="101"/>
      <c r="L571" s="101"/>
      <c r="M571" s="101"/>
    </row>
    <row r="572" spans="1:15" ht="11.1" customHeight="1">
      <c r="A572" s="101" t="s">
        <v>55</v>
      </c>
      <c r="B572" s="101"/>
      <c r="C572" s="101"/>
      <c r="D572" s="101"/>
      <c r="E572" s="101"/>
      <c r="F572" s="101"/>
      <c r="G572" s="101"/>
      <c r="H572" s="101"/>
      <c r="I572" s="101"/>
      <c r="J572" s="101"/>
      <c r="K572" s="101"/>
      <c r="L572" s="101"/>
      <c r="M572" s="101"/>
    </row>
    <row r="573" spans="1:15" ht="19.5" customHeight="1">
      <c r="A573" s="69" t="s">
        <v>0</v>
      </c>
      <c r="B573" s="69"/>
      <c r="C573" s="69"/>
      <c r="D573" s="69"/>
      <c r="E573" s="69"/>
      <c r="F573" s="69"/>
      <c r="G573" s="69"/>
      <c r="H573" s="69"/>
      <c r="I573" s="69"/>
      <c r="J573" s="69"/>
      <c r="K573" s="69"/>
      <c r="L573" s="69"/>
      <c r="M573" s="69"/>
    </row>
    <row r="574" spans="1:15" ht="20.100000000000001" customHeight="1">
      <c r="A574" s="4" t="s">
        <v>32</v>
      </c>
      <c r="B574" s="5">
        <f>+B530+1</f>
        <v>49</v>
      </c>
      <c r="C574" s="48"/>
      <c r="D574" s="48"/>
      <c r="E574" s="48"/>
      <c r="F574" s="48"/>
      <c r="G574" s="48"/>
      <c r="H574" s="48"/>
      <c r="I574" s="48"/>
      <c r="J574" s="48"/>
      <c r="K574" s="48"/>
      <c r="L574" s="48"/>
      <c r="M574" s="48"/>
    </row>
    <row r="575" spans="1:15" ht="24" customHeight="1" thickBot="1">
      <c r="A575" s="4" t="s">
        <v>33</v>
      </c>
      <c r="H575" s="70" t="s">
        <v>34</v>
      </c>
      <c r="I575" s="70"/>
      <c r="J575" s="70"/>
      <c r="K575" s="102">
        <f>+K531+1</f>
        <v>45975</v>
      </c>
      <c r="L575" s="102"/>
      <c r="M575" s="102"/>
      <c r="O575" s="7"/>
    </row>
    <row r="576" spans="1:15" ht="33.75" customHeight="1" thickBot="1">
      <c r="A576" s="80" t="s">
        <v>1</v>
      </c>
      <c r="B576" s="81"/>
      <c r="C576" s="82"/>
      <c r="D576" s="86" t="str">
        <f>+D532</f>
        <v>光明國中B與C區5樓老舊廁所整修工程</v>
      </c>
      <c r="E576" s="87"/>
      <c r="F576" s="87"/>
      <c r="G576" s="88"/>
      <c r="H576" s="80" t="s">
        <v>2</v>
      </c>
      <c r="I576" s="81"/>
      <c r="J576" s="82"/>
      <c r="K576" s="80" t="s">
        <v>35</v>
      </c>
      <c r="L576" s="81"/>
      <c r="M576" s="82"/>
    </row>
    <row r="577" spans="1:13" ht="33.75" customHeight="1" thickBot="1">
      <c r="A577" s="8" t="s">
        <v>3</v>
      </c>
      <c r="B577" s="45">
        <f>+B533</f>
        <v>142</v>
      </c>
      <c r="C577" s="10" t="s">
        <v>36</v>
      </c>
      <c r="D577" s="80" t="s">
        <v>4</v>
      </c>
      <c r="E577" s="89"/>
      <c r="F577" s="46">
        <f>+F533+1</f>
        <v>49</v>
      </c>
      <c r="G577" s="12" t="s">
        <v>36</v>
      </c>
      <c r="H577" s="13" t="s">
        <v>5</v>
      </c>
      <c r="I577" s="45">
        <f>+B577-F577</f>
        <v>93</v>
      </c>
      <c r="J577" s="10" t="s">
        <v>36</v>
      </c>
      <c r="K577" s="80" t="s">
        <v>6</v>
      </c>
      <c r="L577" s="82"/>
      <c r="M577" s="13">
        <f>+M533</f>
        <v>12</v>
      </c>
    </row>
    <row r="578" spans="1:13" ht="24" customHeight="1" thickBot="1">
      <c r="A578" s="80" t="s">
        <v>7</v>
      </c>
      <c r="B578" s="81"/>
      <c r="C578" s="82"/>
      <c r="D578" s="80" t="str">
        <f>+D534</f>
        <v>114.9.27</v>
      </c>
      <c r="E578" s="81"/>
      <c r="F578" s="81"/>
      <c r="G578" s="82"/>
      <c r="H578" s="80" t="s">
        <v>8</v>
      </c>
      <c r="I578" s="81"/>
      <c r="J578" s="82"/>
      <c r="K578" s="80" t="str">
        <f>+K534</f>
        <v>115.2.15</v>
      </c>
      <c r="L578" s="81"/>
      <c r="M578" s="82"/>
    </row>
    <row r="579" spans="1:13" ht="24" customHeight="1" thickBot="1">
      <c r="A579" s="80" t="s">
        <v>37</v>
      </c>
      <c r="B579" s="81"/>
      <c r="C579" s="82"/>
      <c r="D579" s="83">
        <v>4.3999999999999997E-2</v>
      </c>
      <c r="E579" s="84"/>
      <c r="F579" s="84"/>
      <c r="G579" s="85"/>
      <c r="H579" s="80" t="s">
        <v>38</v>
      </c>
      <c r="I579" s="81"/>
      <c r="J579" s="82"/>
      <c r="K579" s="83">
        <f>+K535</f>
        <v>5.8000000000000003E-2</v>
      </c>
      <c r="L579" s="84"/>
      <c r="M579" s="85"/>
    </row>
    <row r="580" spans="1:13" ht="24" customHeight="1" thickBot="1">
      <c r="A580" s="72" t="s">
        <v>9</v>
      </c>
      <c r="B580" s="73"/>
      <c r="C580" s="73"/>
      <c r="D580" s="73"/>
      <c r="E580" s="73"/>
      <c r="F580" s="73"/>
      <c r="G580" s="73"/>
      <c r="H580" s="73"/>
      <c r="I580" s="73"/>
      <c r="J580" s="73"/>
      <c r="K580" s="73"/>
      <c r="L580" s="73"/>
      <c r="M580" s="74"/>
    </row>
    <row r="581" spans="1:13" ht="35.25" customHeight="1" thickBot="1">
      <c r="A581" s="75" t="s">
        <v>10</v>
      </c>
      <c r="B581" s="76"/>
      <c r="C581" s="76"/>
      <c r="D581" s="77"/>
      <c r="E581" s="14" t="s">
        <v>11</v>
      </c>
      <c r="F581" s="75" t="s">
        <v>12</v>
      </c>
      <c r="G581" s="77"/>
      <c r="H581" s="75" t="s">
        <v>13</v>
      </c>
      <c r="I581" s="77"/>
      <c r="J581" s="78" t="s">
        <v>14</v>
      </c>
      <c r="K581" s="79"/>
      <c r="L581" s="75" t="s">
        <v>15</v>
      </c>
      <c r="M581" s="77"/>
    </row>
    <row r="582" spans="1:13" ht="27.95" customHeight="1" thickBot="1">
      <c r="A582" s="141"/>
      <c r="B582" s="142"/>
      <c r="C582" s="142"/>
      <c r="D582" s="143"/>
      <c r="E582" s="2"/>
      <c r="F582" s="56"/>
      <c r="G582" s="57"/>
      <c r="H582" s="56"/>
      <c r="I582" s="57"/>
      <c r="J582" s="56"/>
      <c r="K582" s="57"/>
      <c r="L582" s="58"/>
      <c r="M582" s="59"/>
    </row>
    <row r="583" spans="1:13" ht="27.95" customHeight="1" thickBot="1">
      <c r="A583" s="141"/>
      <c r="B583" s="142"/>
      <c r="C583" s="142"/>
      <c r="D583" s="143"/>
      <c r="E583" s="15"/>
      <c r="F583" s="56"/>
      <c r="G583" s="57"/>
      <c r="H583" s="56"/>
      <c r="I583" s="57"/>
      <c r="J583" s="56"/>
      <c r="K583" s="57"/>
      <c r="L583" s="58"/>
      <c r="M583" s="59"/>
    </row>
    <row r="584" spans="1:13" ht="24.95" customHeight="1" thickTop="1" thickBot="1">
      <c r="A584" s="130" t="s">
        <v>16</v>
      </c>
      <c r="B584" s="67"/>
      <c r="C584" s="67"/>
      <c r="D584" s="68"/>
      <c r="E584" s="47"/>
      <c r="F584" s="131"/>
      <c r="G584" s="132"/>
      <c r="H584" s="131"/>
      <c r="I584" s="132"/>
      <c r="J584" s="131"/>
      <c r="K584" s="132"/>
      <c r="L584" s="131"/>
      <c r="M584" s="133"/>
    </row>
    <row r="585" spans="1:13" ht="24.95" customHeight="1" thickBot="1">
      <c r="A585" s="134" t="s">
        <v>17</v>
      </c>
      <c r="B585" s="135"/>
      <c r="C585" s="135"/>
      <c r="D585" s="59"/>
      <c r="E585" s="47"/>
      <c r="F585" s="58"/>
      <c r="G585" s="59"/>
      <c r="H585" s="58"/>
      <c r="I585" s="59"/>
      <c r="J585" s="58"/>
      <c r="K585" s="59"/>
      <c r="L585" s="58"/>
      <c r="M585" s="136"/>
    </row>
    <row r="586" spans="1:13" ht="24.95" customHeight="1" thickBot="1">
      <c r="A586" s="118" t="s">
        <v>18</v>
      </c>
      <c r="B586" s="119"/>
      <c r="C586" s="119"/>
      <c r="D586" s="120"/>
      <c r="E586" s="24"/>
      <c r="F586" s="121"/>
      <c r="G586" s="120"/>
      <c r="H586" s="121"/>
      <c r="I586" s="120"/>
      <c r="J586" s="121"/>
      <c r="K586" s="120"/>
      <c r="L586" s="121"/>
      <c r="M586" s="122"/>
    </row>
    <row r="587" spans="1:13" ht="24" customHeight="1" thickTop="1" thickBot="1">
      <c r="A587" s="66" t="s">
        <v>19</v>
      </c>
      <c r="B587" s="67"/>
      <c r="C587" s="67"/>
      <c r="D587" s="67"/>
      <c r="E587" s="67"/>
      <c r="F587" s="67"/>
      <c r="G587" s="67"/>
      <c r="H587" s="67"/>
      <c r="I587" s="67"/>
      <c r="J587" s="67"/>
      <c r="K587" s="67"/>
      <c r="L587" s="67"/>
      <c r="M587" s="68"/>
    </row>
    <row r="588" spans="1:13" ht="35.25" customHeight="1" thickBot="1">
      <c r="A588" s="75" t="s">
        <v>20</v>
      </c>
      <c r="B588" s="76"/>
      <c r="C588" s="76"/>
      <c r="D588" s="77"/>
      <c r="E588" s="14" t="s">
        <v>11</v>
      </c>
      <c r="F588" s="75" t="s">
        <v>39</v>
      </c>
      <c r="G588" s="77"/>
      <c r="H588" s="75" t="s">
        <v>21</v>
      </c>
      <c r="I588" s="77"/>
      <c r="J588" s="78" t="s">
        <v>22</v>
      </c>
      <c r="K588" s="79"/>
      <c r="L588" s="75" t="s">
        <v>15</v>
      </c>
      <c r="M588" s="77"/>
    </row>
    <row r="589" spans="1:13" ht="24" customHeight="1" thickBot="1">
      <c r="A589" s="96"/>
      <c r="B589" s="97"/>
      <c r="C589" s="97"/>
      <c r="D589" s="98"/>
      <c r="E589" s="47"/>
      <c r="F589" s="58"/>
      <c r="G589" s="59"/>
      <c r="H589" s="58"/>
      <c r="I589" s="59"/>
      <c r="J589" s="56"/>
      <c r="K589" s="57"/>
      <c r="L589" s="58"/>
      <c r="M589" s="59"/>
    </row>
    <row r="590" spans="1:13" ht="24" customHeight="1" thickBot="1">
      <c r="A590" s="96"/>
      <c r="B590" s="97"/>
      <c r="C590" s="97"/>
      <c r="D590" s="98"/>
      <c r="E590" s="47"/>
      <c r="F590" s="58"/>
      <c r="G590" s="59"/>
      <c r="H590" s="58"/>
      <c r="I590" s="59"/>
      <c r="J590" s="56"/>
      <c r="K590" s="57"/>
      <c r="L590" s="58"/>
      <c r="M590" s="59"/>
    </row>
    <row r="591" spans="1:13" ht="24" customHeight="1" thickBot="1">
      <c r="A591" s="60" t="s">
        <v>23</v>
      </c>
      <c r="B591" s="61"/>
      <c r="C591" s="61"/>
      <c r="D591" s="61"/>
      <c r="E591" s="61"/>
      <c r="F591" s="61"/>
      <c r="G591" s="61"/>
      <c r="H591" s="61"/>
      <c r="I591" s="61"/>
      <c r="J591" s="61"/>
      <c r="K591" s="61"/>
      <c r="L591" s="61"/>
      <c r="M591" s="62"/>
    </row>
    <row r="592" spans="1:13" ht="35.25" customHeight="1" thickBot="1">
      <c r="A592" s="75" t="s">
        <v>24</v>
      </c>
      <c r="B592" s="77"/>
      <c r="C592" s="75" t="s">
        <v>25</v>
      </c>
      <c r="D592" s="77"/>
      <c r="E592" s="75" t="s">
        <v>26</v>
      </c>
      <c r="F592" s="76"/>
      <c r="G592" s="77"/>
      <c r="H592" s="75" t="s">
        <v>27</v>
      </c>
      <c r="I592" s="77"/>
      <c r="J592" s="78" t="s">
        <v>21</v>
      </c>
      <c r="K592" s="79"/>
      <c r="L592" s="75" t="s">
        <v>22</v>
      </c>
      <c r="M592" s="77"/>
    </row>
    <row r="593" spans="1:13" s="18" customFormat="1" ht="24.75" customHeight="1" thickBot="1">
      <c r="A593" s="99"/>
      <c r="B593" s="98"/>
      <c r="C593" s="56"/>
      <c r="D593" s="57"/>
      <c r="E593" s="56"/>
      <c r="F593" s="100"/>
      <c r="G593" s="57"/>
      <c r="H593" s="56"/>
      <c r="I593" s="57"/>
      <c r="J593" s="56"/>
      <c r="K593" s="57"/>
      <c r="L593" s="56"/>
      <c r="M593" s="57"/>
    </row>
    <row r="594" spans="1:13" s="18" customFormat="1" ht="24.75" customHeight="1" thickBot="1">
      <c r="A594" s="99"/>
      <c r="B594" s="98"/>
      <c r="C594" s="56"/>
      <c r="D594" s="57"/>
      <c r="E594" s="56"/>
      <c r="F594" s="100"/>
      <c r="G594" s="57"/>
      <c r="H594" s="56"/>
      <c r="I594" s="57"/>
      <c r="J594" s="56"/>
      <c r="K594" s="57"/>
      <c r="L594" s="56"/>
      <c r="M594" s="57"/>
    </row>
    <row r="595" spans="1:13" ht="33" customHeight="1" thickBot="1">
      <c r="A595" s="112" t="s">
        <v>40</v>
      </c>
      <c r="B595" s="113"/>
      <c r="C595" s="113"/>
      <c r="D595" s="113"/>
      <c r="E595" s="113"/>
      <c r="F595" s="113"/>
      <c r="G595" s="113"/>
      <c r="H595" s="113"/>
      <c r="I595" s="113"/>
      <c r="J595" s="113"/>
      <c r="K595" s="113"/>
      <c r="L595" s="113"/>
      <c r="M595" s="114"/>
    </row>
    <row r="596" spans="1:13" ht="16.5" customHeight="1">
      <c r="A596" s="115" t="s">
        <v>41</v>
      </c>
      <c r="B596" s="116"/>
      <c r="C596" s="116"/>
      <c r="D596" s="116"/>
      <c r="E596" s="116"/>
      <c r="F596" s="116"/>
      <c r="G596" s="116"/>
      <c r="H596" s="116"/>
      <c r="I596" s="116"/>
      <c r="J596" s="116"/>
      <c r="K596" s="116"/>
      <c r="L596" s="116"/>
      <c r="M596" s="117"/>
    </row>
    <row r="597" spans="1:13" ht="16.5" customHeight="1">
      <c r="A597" s="90" t="s">
        <v>28</v>
      </c>
      <c r="B597" s="91"/>
      <c r="C597" s="91"/>
      <c r="D597" s="91"/>
      <c r="E597" s="91"/>
      <c r="F597" s="91"/>
      <c r="G597" s="91"/>
      <c r="H597" s="91"/>
      <c r="I597" s="91"/>
      <c r="J597" s="91"/>
      <c r="K597" s="91"/>
      <c r="L597" s="91"/>
      <c r="M597" s="92"/>
    </row>
    <row r="598" spans="1:13" s="1" customFormat="1" ht="16.5" customHeight="1">
      <c r="A598" s="93" t="s">
        <v>56</v>
      </c>
      <c r="B598" s="94"/>
      <c r="C598" s="94"/>
      <c r="D598" s="94"/>
      <c r="E598" s="94"/>
      <c r="F598" s="94"/>
      <c r="G598" s="94"/>
      <c r="H598" s="94"/>
      <c r="I598" s="94"/>
      <c r="J598" s="94"/>
      <c r="K598" s="94"/>
      <c r="L598" s="94"/>
      <c r="M598" s="95"/>
    </row>
    <row r="599" spans="1:13" s="1" customFormat="1" ht="16.5" customHeight="1">
      <c r="A599" s="93" t="s">
        <v>57</v>
      </c>
      <c r="B599" s="94"/>
      <c r="C599" s="94"/>
      <c r="D599" s="94"/>
      <c r="E599" s="94"/>
      <c r="F599" s="94"/>
      <c r="G599" s="94"/>
      <c r="H599" s="94"/>
      <c r="I599" s="94"/>
      <c r="J599" s="94"/>
      <c r="K599" s="94"/>
      <c r="L599" s="94"/>
      <c r="M599" s="95"/>
    </row>
    <row r="600" spans="1:13" s="1" customFormat="1" ht="16.5" customHeight="1">
      <c r="A600" s="93" t="s">
        <v>58</v>
      </c>
      <c r="B600" s="94"/>
      <c r="C600" s="94"/>
      <c r="D600" s="94"/>
      <c r="E600" s="94"/>
      <c r="F600" s="94"/>
      <c r="G600" s="94"/>
      <c r="H600" s="94"/>
      <c r="I600" s="94"/>
      <c r="J600" s="94"/>
      <c r="K600" s="94"/>
      <c r="L600" s="94"/>
      <c r="M600" s="95"/>
    </row>
    <row r="601" spans="1:13" s="1" customFormat="1" ht="16.5" customHeight="1">
      <c r="A601" s="93" t="s">
        <v>59</v>
      </c>
      <c r="B601" s="94"/>
      <c r="C601" s="94"/>
      <c r="D601" s="94"/>
      <c r="E601" s="94"/>
      <c r="F601" s="94"/>
      <c r="G601" s="94"/>
      <c r="H601" s="94"/>
      <c r="I601" s="94"/>
      <c r="J601" s="94"/>
      <c r="K601" s="94"/>
      <c r="L601" s="94"/>
      <c r="M601" s="95"/>
    </row>
    <row r="602" spans="1:13" ht="16.5" customHeight="1">
      <c r="A602" s="106" t="s">
        <v>29</v>
      </c>
      <c r="B602" s="107"/>
      <c r="C602" s="107"/>
      <c r="D602" s="107"/>
      <c r="E602" s="107"/>
      <c r="F602" s="107"/>
      <c r="G602" s="107"/>
      <c r="H602" s="107"/>
      <c r="I602" s="107"/>
      <c r="J602" s="107"/>
      <c r="K602" s="107"/>
      <c r="L602" s="107"/>
      <c r="M602" s="108"/>
    </row>
    <row r="603" spans="1:13" ht="9.75" customHeight="1" thickBot="1">
      <c r="A603" s="109"/>
      <c r="B603" s="110"/>
      <c r="C603" s="110"/>
      <c r="D603" s="110"/>
      <c r="E603" s="110"/>
      <c r="F603" s="110"/>
      <c r="G603" s="110"/>
      <c r="H603" s="110"/>
      <c r="I603" s="110"/>
      <c r="J603" s="110"/>
      <c r="K603" s="110"/>
      <c r="L603" s="110"/>
      <c r="M603" s="111"/>
    </row>
    <row r="604" spans="1:13" ht="18.75" customHeight="1" thickBot="1">
      <c r="A604" s="72" t="s">
        <v>30</v>
      </c>
      <c r="B604" s="73"/>
      <c r="C604" s="73"/>
      <c r="D604" s="73"/>
      <c r="E604" s="73"/>
      <c r="F604" s="73"/>
      <c r="G604" s="73"/>
      <c r="H604" s="73"/>
      <c r="I604" s="73"/>
      <c r="J604" s="73"/>
      <c r="K604" s="73"/>
      <c r="L604" s="73"/>
      <c r="M604" s="74"/>
    </row>
    <row r="605" spans="1:13" ht="24" customHeight="1" thickBot="1">
      <c r="A605" s="72" t="s">
        <v>31</v>
      </c>
      <c r="B605" s="73"/>
      <c r="C605" s="73"/>
      <c r="D605" s="73"/>
      <c r="E605" s="73"/>
      <c r="F605" s="73"/>
      <c r="G605" s="73"/>
      <c r="H605" s="73"/>
      <c r="I605" s="73"/>
      <c r="J605" s="73"/>
      <c r="K605" s="73"/>
      <c r="L605" s="73"/>
      <c r="M605" s="74"/>
    </row>
    <row r="606" spans="1:13" ht="24" customHeight="1" thickBot="1">
      <c r="A606" s="72" t="s">
        <v>62</v>
      </c>
      <c r="B606" s="73"/>
      <c r="C606" s="73"/>
      <c r="D606" s="73"/>
      <c r="E606" s="73"/>
      <c r="F606" s="73"/>
      <c r="G606" s="73"/>
      <c r="H606" s="73"/>
      <c r="I606" s="73"/>
      <c r="J606" s="73"/>
      <c r="K606" s="73"/>
      <c r="L606" s="73"/>
      <c r="M606" s="74"/>
    </row>
    <row r="607" spans="1:13" ht="24" customHeight="1" thickBot="1">
      <c r="A607" s="60" t="s">
        <v>46</v>
      </c>
      <c r="B607" s="61"/>
      <c r="C607" s="61"/>
      <c r="D607" s="61"/>
      <c r="E607" s="61"/>
      <c r="F607" s="61"/>
      <c r="G607" s="61"/>
      <c r="H607" s="61"/>
      <c r="I607" s="61"/>
      <c r="J607" s="61"/>
      <c r="K607" s="61"/>
      <c r="L607" s="61"/>
      <c r="M607" s="62"/>
    </row>
    <row r="608" spans="1:13" ht="11.1" customHeight="1">
      <c r="A608" s="103" t="s">
        <v>47</v>
      </c>
      <c r="B608" s="103"/>
      <c r="C608" s="103"/>
      <c r="D608" s="103"/>
      <c r="E608" s="103"/>
      <c r="F608" s="103"/>
      <c r="G608" s="103"/>
      <c r="H608" s="103"/>
      <c r="I608" s="103"/>
      <c r="J608" s="103"/>
      <c r="K608" s="103"/>
      <c r="L608" s="103"/>
      <c r="M608" s="103"/>
    </row>
    <row r="609" spans="1:15" ht="11.1" customHeight="1">
      <c r="A609" s="104" t="s">
        <v>48</v>
      </c>
      <c r="B609" s="104"/>
      <c r="C609" s="104"/>
      <c r="D609" s="104"/>
      <c r="E609" s="104"/>
      <c r="F609" s="104"/>
      <c r="G609" s="104"/>
      <c r="H609" s="104"/>
      <c r="I609" s="104"/>
      <c r="J609" s="104"/>
      <c r="K609" s="104"/>
      <c r="L609" s="104"/>
      <c r="M609" s="104"/>
    </row>
    <row r="610" spans="1:15" ht="11.1" customHeight="1">
      <c r="A610" s="105" t="s">
        <v>49</v>
      </c>
      <c r="B610" s="105"/>
      <c r="C610" s="105"/>
      <c r="D610" s="105"/>
      <c r="E610" s="105"/>
      <c r="F610" s="105"/>
      <c r="G610" s="105"/>
      <c r="H610" s="105"/>
      <c r="I610" s="105"/>
      <c r="J610" s="105"/>
      <c r="K610" s="105"/>
      <c r="L610" s="105"/>
      <c r="M610" s="105"/>
    </row>
    <row r="611" spans="1:15" ht="11.1" customHeight="1">
      <c r="A611" s="105" t="s">
        <v>50</v>
      </c>
      <c r="B611" s="105"/>
      <c r="C611" s="105"/>
      <c r="D611" s="105"/>
      <c r="E611" s="105"/>
      <c r="F611" s="105"/>
      <c r="G611" s="105"/>
      <c r="H611" s="105"/>
      <c r="I611" s="105"/>
      <c r="J611" s="105"/>
      <c r="K611" s="105"/>
      <c r="L611" s="105"/>
      <c r="M611" s="105"/>
    </row>
    <row r="612" spans="1:15" ht="11.1" customHeight="1">
      <c r="A612" s="104" t="s">
        <v>51</v>
      </c>
      <c r="B612" s="104"/>
      <c r="C612" s="104"/>
      <c r="D612" s="104"/>
      <c r="E612" s="104"/>
      <c r="F612" s="104"/>
      <c r="G612" s="104"/>
      <c r="H612" s="104"/>
      <c r="I612" s="104"/>
      <c r="J612" s="104"/>
      <c r="K612" s="104"/>
      <c r="L612" s="104"/>
      <c r="M612" s="104"/>
    </row>
    <row r="613" spans="1:15" ht="11.1" customHeight="1">
      <c r="A613" s="104" t="s">
        <v>52</v>
      </c>
      <c r="B613" s="104"/>
      <c r="C613" s="104"/>
      <c r="D613" s="104"/>
      <c r="E613" s="104"/>
      <c r="F613" s="104"/>
      <c r="G613" s="104"/>
      <c r="H613" s="104"/>
      <c r="I613" s="104"/>
      <c r="J613" s="104"/>
      <c r="K613" s="104"/>
      <c r="L613" s="104"/>
      <c r="M613" s="104"/>
    </row>
    <row r="614" spans="1:15" ht="11.1" customHeight="1">
      <c r="A614" s="104" t="s">
        <v>53</v>
      </c>
      <c r="B614" s="104"/>
      <c r="C614" s="104"/>
      <c r="D614" s="104"/>
      <c r="E614" s="104"/>
      <c r="F614" s="104"/>
      <c r="G614" s="104"/>
      <c r="H614" s="104"/>
      <c r="I614" s="104"/>
      <c r="J614" s="104"/>
      <c r="K614" s="104"/>
      <c r="L614" s="104"/>
      <c r="M614" s="104"/>
    </row>
    <row r="615" spans="1:15" ht="11.1" customHeight="1">
      <c r="A615" s="101" t="s">
        <v>54</v>
      </c>
      <c r="B615" s="101"/>
      <c r="C615" s="101"/>
      <c r="D615" s="101"/>
      <c r="E615" s="101"/>
      <c r="F615" s="101"/>
      <c r="G615" s="101"/>
      <c r="H615" s="101"/>
      <c r="I615" s="101"/>
      <c r="J615" s="101"/>
      <c r="K615" s="101"/>
      <c r="L615" s="101"/>
      <c r="M615" s="101"/>
    </row>
    <row r="616" spans="1:15" ht="11.1" customHeight="1">
      <c r="A616" s="101" t="s">
        <v>55</v>
      </c>
      <c r="B616" s="101"/>
      <c r="C616" s="101"/>
      <c r="D616" s="101"/>
      <c r="E616" s="101"/>
      <c r="F616" s="101"/>
      <c r="G616" s="101"/>
      <c r="H616" s="101"/>
      <c r="I616" s="101"/>
      <c r="J616" s="101"/>
      <c r="K616" s="101"/>
      <c r="L616" s="101"/>
      <c r="M616" s="101"/>
    </row>
    <row r="617" spans="1:15" ht="19.5" customHeight="1">
      <c r="A617" s="69" t="s">
        <v>0</v>
      </c>
      <c r="B617" s="69"/>
      <c r="C617" s="69"/>
      <c r="D617" s="69"/>
      <c r="E617" s="69"/>
      <c r="F617" s="69"/>
      <c r="G617" s="69"/>
      <c r="H617" s="69"/>
      <c r="I617" s="69"/>
      <c r="J617" s="69"/>
      <c r="K617" s="69"/>
      <c r="L617" s="69"/>
      <c r="M617" s="69"/>
    </row>
    <row r="618" spans="1:15" ht="20.100000000000001" customHeight="1">
      <c r="A618" s="4" t="s">
        <v>32</v>
      </c>
      <c r="B618" s="5">
        <f>+B574+1</f>
        <v>50</v>
      </c>
      <c r="C618" s="48"/>
      <c r="D618" s="48"/>
      <c r="E618" s="48"/>
      <c r="F618" s="48"/>
      <c r="G618" s="48"/>
      <c r="H618" s="48"/>
      <c r="I618" s="48"/>
      <c r="J618" s="48"/>
      <c r="K618" s="48"/>
      <c r="L618" s="48"/>
      <c r="M618" s="48"/>
    </row>
    <row r="619" spans="1:15" ht="24" customHeight="1" thickBot="1">
      <c r="A619" s="4" t="s">
        <v>33</v>
      </c>
      <c r="H619" s="70" t="s">
        <v>34</v>
      </c>
      <c r="I619" s="70"/>
      <c r="J619" s="70"/>
      <c r="K619" s="102">
        <f>+K575+1</f>
        <v>45976</v>
      </c>
      <c r="L619" s="102"/>
      <c r="M619" s="102"/>
      <c r="O619" s="7"/>
    </row>
    <row r="620" spans="1:15" ht="33.75" customHeight="1" thickBot="1">
      <c r="A620" s="80" t="s">
        <v>1</v>
      </c>
      <c r="B620" s="81"/>
      <c r="C620" s="82"/>
      <c r="D620" s="86" t="str">
        <f>+D576</f>
        <v>光明國中B與C區5樓老舊廁所整修工程</v>
      </c>
      <c r="E620" s="87"/>
      <c r="F620" s="87"/>
      <c r="G620" s="88"/>
      <c r="H620" s="80" t="s">
        <v>2</v>
      </c>
      <c r="I620" s="81"/>
      <c r="J620" s="82"/>
      <c r="K620" s="80" t="s">
        <v>35</v>
      </c>
      <c r="L620" s="81"/>
      <c r="M620" s="82"/>
    </row>
    <row r="621" spans="1:15" ht="33.75" customHeight="1" thickBot="1">
      <c r="A621" s="8" t="s">
        <v>3</v>
      </c>
      <c r="B621" s="45">
        <f>+B577</f>
        <v>142</v>
      </c>
      <c r="C621" s="10" t="s">
        <v>36</v>
      </c>
      <c r="D621" s="80" t="s">
        <v>4</v>
      </c>
      <c r="E621" s="89"/>
      <c r="F621" s="46">
        <f>+F577+1</f>
        <v>50</v>
      </c>
      <c r="G621" s="12" t="s">
        <v>36</v>
      </c>
      <c r="H621" s="13" t="s">
        <v>5</v>
      </c>
      <c r="I621" s="45">
        <f>+B621-F621</f>
        <v>92</v>
      </c>
      <c r="J621" s="10" t="s">
        <v>36</v>
      </c>
      <c r="K621" s="80" t="s">
        <v>6</v>
      </c>
      <c r="L621" s="82"/>
      <c r="M621" s="13">
        <f>+M577</f>
        <v>12</v>
      </c>
    </row>
    <row r="622" spans="1:15" ht="24" customHeight="1" thickBot="1">
      <c r="A622" s="80" t="s">
        <v>7</v>
      </c>
      <c r="B622" s="81"/>
      <c r="C622" s="82"/>
      <c r="D622" s="80" t="str">
        <f>+D578</f>
        <v>114.9.27</v>
      </c>
      <c r="E622" s="81"/>
      <c r="F622" s="81"/>
      <c r="G622" s="82"/>
      <c r="H622" s="80" t="s">
        <v>8</v>
      </c>
      <c r="I622" s="81"/>
      <c r="J622" s="82"/>
      <c r="K622" s="80" t="str">
        <f>+K578</f>
        <v>115.2.15</v>
      </c>
      <c r="L622" s="81"/>
      <c r="M622" s="82"/>
    </row>
    <row r="623" spans="1:15" ht="24" customHeight="1" thickBot="1">
      <c r="A623" s="80" t="s">
        <v>37</v>
      </c>
      <c r="B623" s="81"/>
      <c r="C623" s="82"/>
      <c r="D623" s="83">
        <v>4.5999999999999999E-2</v>
      </c>
      <c r="E623" s="84"/>
      <c r="F623" s="84"/>
      <c r="G623" s="85"/>
      <c r="H623" s="80" t="s">
        <v>38</v>
      </c>
      <c r="I623" s="81"/>
      <c r="J623" s="82"/>
      <c r="K623" s="83">
        <f>+K579</f>
        <v>5.8000000000000003E-2</v>
      </c>
      <c r="L623" s="84"/>
      <c r="M623" s="85"/>
    </row>
    <row r="624" spans="1:15" ht="24" customHeight="1" thickBot="1">
      <c r="A624" s="72" t="s">
        <v>9</v>
      </c>
      <c r="B624" s="73"/>
      <c r="C624" s="73"/>
      <c r="D624" s="73"/>
      <c r="E624" s="73"/>
      <c r="F624" s="73"/>
      <c r="G624" s="73"/>
      <c r="H624" s="73"/>
      <c r="I624" s="73"/>
      <c r="J624" s="73"/>
      <c r="K624" s="73"/>
      <c r="L624" s="73"/>
      <c r="M624" s="74"/>
    </row>
    <row r="625" spans="1:13" ht="35.25" customHeight="1" thickBot="1">
      <c r="A625" s="75" t="s">
        <v>10</v>
      </c>
      <c r="B625" s="76"/>
      <c r="C625" s="76"/>
      <c r="D625" s="77"/>
      <c r="E625" s="14" t="s">
        <v>11</v>
      </c>
      <c r="F625" s="75" t="s">
        <v>12</v>
      </c>
      <c r="G625" s="77"/>
      <c r="H625" s="75" t="s">
        <v>13</v>
      </c>
      <c r="I625" s="77"/>
      <c r="J625" s="78" t="s">
        <v>14</v>
      </c>
      <c r="K625" s="79"/>
      <c r="L625" s="75" t="s">
        <v>15</v>
      </c>
      <c r="M625" s="77"/>
    </row>
    <row r="626" spans="1:13" ht="27.95" customHeight="1" thickBot="1">
      <c r="A626" s="141"/>
      <c r="B626" s="142"/>
      <c r="C626" s="142"/>
      <c r="D626" s="143"/>
      <c r="E626" s="2"/>
      <c r="F626" s="56"/>
      <c r="G626" s="57"/>
      <c r="H626" s="56"/>
      <c r="I626" s="57"/>
      <c r="J626" s="56"/>
      <c r="K626" s="57"/>
      <c r="L626" s="58"/>
      <c r="M626" s="59"/>
    </row>
    <row r="627" spans="1:13" ht="27.95" customHeight="1" thickBot="1">
      <c r="A627" s="141"/>
      <c r="B627" s="142"/>
      <c r="C627" s="142"/>
      <c r="D627" s="143"/>
      <c r="E627" s="15"/>
      <c r="F627" s="56"/>
      <c r="G627" s="57"/>
      <c r="H627" s="56"/>
      <c r="I627" s="57"/>
      <c r="J627" s="56"/>
      <c r="K627" s="57"/>
      <c r="L627" s="58"/>
      <c r="M627" s="59"/>
    </row>
    <row r="628" spans="1:13" ht="24.95" customHeight="1" thickTop="1" thickBot="1">
      <c r="A628" s="130" t="s">
        <v>16</v>
      </c>
      <c r="B628" s="67"/>
      <c r="C628" s="67"/>
      <c r="D628" s="68"/>
      <c r="E628" s="47"/>
      <c r="F628" s="131"/>
      <c r="G628" s="132"/>
      <c r="H628" s="131"/>
      <c r="I628" s="132"/>
      <c r="J628" s="131"/>
      <c r="K628" s="132"/>
      <c r="L628" s="131"/>
      <c r="M628" s="133"/>
    </row>
    <row r="629" spans="1:13" ht="24.95" customHeight="1" thickBot="1">
      <c r="A629" s="134" t="s">
        <v>17</v>
      </c>
      <c r="B629" s="135"/>
      <c r="C629" s="135"/>
      <c r="D629" s="59"/>
      <c r="E629" s="47"/>
      <c r="F629" s="58"/>
      <c r="G629" s="59"/>
      <c r="H629" s="58"/>
      <c r="I629" s="59"/>
      <c r="J629" s="58"/>
      <c r="K629" s="59"/>
      <c r="L629" s="58"/>
      <c r="M629" s="136"/>
    </row>
    <row r="630" spans="1:13" ht="24.95" customHeight="1" thickBot="1">
      <c r="A630" s="118" t="s">
        <v>18</v>
      </c>
      <c r="B630" s="119"/>
      <c r="C630" s="119"/>
      <c r="D630" s="120"/>
      <c r="E630" s="24"/>
      <c r="F630" s="121"/>
      <c r="G630" s="120"/>
      <c r="H630" s="121"/>
      <c r="I630" s="120"/>
      <c r="J630" s="121"/>
      <c r="K630" s="120"/>
      <c r="L630" s="121"/>
      <c r="M630" s="122"/>
    </row>
    <row r="631" spans="1:13" ht="24" customHeight="1" thickTop="1" thickBot="1">
      <c r="A631" s="66" t="s">
        <v>19</v>
      </c>
      <c r="B631" s="67"/>
      <c r="C631" s="67"/>
      <c r="D631" s="67"/>
      <c r="E631" s="67"/>
      <c r="F631" s="67"/>
      <c r="G631" s="67"/>
      <c r="H631" s="67"/>
      <c r="I631" s="67"/>
      <c r="J631" s="67"/>
      <c r="K631" s="67"/>
      <c r="L631" s="67"/>
      <c r="M631" s="68"/>
    </row>
    <row r="632" spans="1:13" ht="35.25" customHeight="1" thickBot="1">
      <c r="A632" s="75" t="s">
        <v>20</v>
      </c>
      <c r="B632" s="76"/>
      <c r="C632" s="76"/>
      <c r="D632" s="77"/>
      <c r="E632" s="14" t="s">
        <v>11</v>
      </c>
      <c r="F632" s="75" t="s">
        <v>39</v>
      </c>
      <c r="G632" s="77"/>
      <c r="H632" s="75" t="s">
        <v>21</v>
      </c>
      <c r="I632" s="77"/>
      <c r="J632" s="78" t="s">
        <v>22</v>
      </c>
      <c r="K632" s="79"/>
      <c r="L632" s="75" t="s">
        <v>15</v>
      </c>
      <c r="M632" s="77"/>
    </row>
    <row r="633" spans="1:13" ht="24" customHeight="1" thickBot="1">
      <c r="A633" s="96"/>
      <c r="B633" s="97"/>
      <c r="C633" s="97"/>
      <c r="D633" s="98"/>
      <c r="E633" s="47"/>
      <c r="F633" s="58"/>
      <c r="G633" s="59"/>
      <c r="H633" s="58"/>
      <c r="I633" s="59"/>
      <c r="J633" s="56"/>
      <c r="K633" s="57"/>
      <c r="L633" s="58"/>
      <c r="M633" s="59"/>
    </row>
    <row r="634" spans="1:13" ht="24" customHeight="1" thickBot="1">
      <c r="A634" s="96"/>
      <c r="B634" s="97"/>
      <c r="C634" s="97"/>
      <c r="D634" s="98"/>
      <c r="E634" s="47"/>
      <c r="F634" s="58"/>
      <c r="G634" s="59"/>
      <c r="H634" s="58"/>
      <c r="I634" s="59"/>
      <c r="J634" s="56"/>
      <c r="K634" s="57"/>
      <c r="L634" s="58"/>
      <c r="M634" s="59"/>
    </row>
    <row r="635" spans="1:13" ht="24" customHeight="1" thickBot="1">
      <c r="A635" s="60" t="s">
        <v>23</v>
      </c>
      <c r="B635" s="61"/>
      <c r="C635" s="61"/>
      <c r="D635" s="61"/>
      <c r="E635" s="61"/>
      <c r="F635" s="61"/>
      <c r="G635" s="61"/>
      <c r="H635" s="61"/>
      <c r="I635" s="61"/>
      <c r="J635" s="61"/>
      <c r="K635" s="61"/>
      <c r="L635" s="61"/>
      <c r="M635" s="62"/>
    </row>
    <row r="636" spans="1:13" ht="35.25" customHeight="1" thickBot="1">
      <c r="A636" s="75" t="s">
        <v>24</v>
      </c>
      <c r="B636" s="77"/>
      <c r="C636" s="75" t="s">
        <v>25</v>
      </c>
      <c r="D636" s="77"/>
      <c r="E636" s="75" t="s">
        <v>26</v>
      </c>
      <c r="F636" s="76"/>
      <c r="G636" s="77"/>
      <c r="H636" s="75" t="s">
        <v>27</v>
      </c>
      <c r="I636" s="77"/>
      <c r="J636" s="78" t="s">
        <v>21</v>
      </c>
      <c r="K636" s="79"/>
      <c r="L636" s="75" t="s">
        <v>22</v>
      </c>
      <c r="M636" s="77"/>
    </row>
    <row r="637" spans="1:13" s="18" customFormat="1" ht="24.75" customHeight="1" thickBot="1">
      <c r="A637" s="99"/>
      <c r="B637" s="98"/>
      <c r="C637" s="56"/>
      <c r="D637" s="57"/>
      <c r="E637" s="56"/>
      <c r="F637" s="100"/>
      <c r="G637" s="57"/>
      <c r="H637" s="56"/>
      <c r="I637" s="57"/>
      <c r="J637" s="56"/>
      <c r="K637" s="57"/>
      <c r="L637" s="56"/>
      <c r="M637" s="57"/>
    </row>
    <row r="638" spans="1:13" s="18" customFormat="1" ht="24.75" customHeight="1" thickBot="1">
      <c r="A638" s="99"/>
      <c r="B638" s="98"/>
      <c r="C638" s="56"/>
      <c r="D638" s="57"/>
      <c r="E638" s="56"/>
      <c r="F638" s="100"/>
      <c r="G638" s="57"/>
      <c r="H638" s="56"/>
      <c r="I638" s="57"/>
      <c r="J638" s="56"/>
      <c r="K638" s="57"/>
      <c r="L638" s="56"/>
      <c r="M638" s="57"/>
    </row>
    <row r="639" spans="1:13" ht="33" customHeight="1" thickBot="1">
      <c r="A639" s="112" t="s">
        <v>40</v>
      </c>
      <c r="B639" s="113"/>
      <c r="C639" s="113"/>
      <c r="D639" s="113"/>
      <c r="E639" s="113"/>
      <c r="F639" s="113"/>
      <c r="G639" s="113"/>
      <c r="H639" s="113"/>
      <c r="I639" s="113"/>
      <c r="J639" s="113"/>
      <c r="K639" s="113"/>
      <c r="L639" s="113"/>
      <c r="M639" s="114"/>
    </row>
    <row r="640" spans="1:13" ht="16.5" customHeight="1">
      <c r="A640" s="115" t="s">
        <v>41</v>
      </c>
      <c r="B640" s="116"/>
      <c r="C640" s="116"/>
      <c r="D640" s="116"/>
      <c r="E640" s="116"/>
      <c r="F640" s="116"/>
      <c r="G640" s="116"/>
      <c r="H640" s="116"/>
      <c r="I640" s="116"/>
      <c r="J640" s="116"/>
      <c r="K640" s="116"/>
      <c r="L640" s="116"/>
      <c r="M640" s="117"/>
    </row>
    <row r="641" spans="1:13" ht="16.5" customHeight="1">
      <c r="A641" s="90" t="s">
        <v>28</v>
      </c>
      <c r="B641" s="91"/>
      <c r="C641" s="91"/>
      <c r="D641" s="91"/>
      <c r="E641" s="91"/>
      <c r="F641" s="91"/>
      <c r="G641" s="91"/>
      <c r="H641" s="91"/>
      <c r="I641" s="91"/>
      <c r="J641" s="91"/>
      <c r="K641" s="91"/>
      <c r="L641" s="91"/>
      <c r="M641" s="92"/>
    </row>
    <row r="642" spans="1:13" s="1" customFormat="1" ht="16.5" customHeight="1">
      <c r="A642" s="93" t="s">
        <v>56</v>
      </c>
      <c r="B642" s="94"/>
      <c r="C642" s="94"/>
      <c r="D642" s="94"/>
      <c r="E642" s="94"/>
      <c r="F642" s="94"/>
      <c r="G642" s="94"/>
      <c r="H642" s="94"/>
      <c r="I642" s="94"/>
      <c r="J642" s="94"/>
      <c r="K642" s="94"/>
      <c r="L642" s="94"/>
      <c r="M642" s="95"/>
    </row>
    <row r="643" spans="1:13" s="1" customFormat="1" ht="16.5" customHeight="1">
      <c r="A643" s="93" t="s">
        <v>57</v>
      </c>
      <c r="B643" s="94"/>
      <c r="C643" s="94"/>
      <c r="D643" s="94"/>
      <c r="E643" s="94"/>
      <c r="F643" s="94"/>
      <c r="G643" s="94"/>
      <c r="H643" s="94"/>
      <c r="I643" s="94"/>
      <c r="J643" s="94"/>
      <c r="K643" s="94"/>
      <c r="L643" s="94"/>
      <c r="M643" s="95"/>
    </row>
    <row r="644" spans="1:13" s="1" customFormat="1" ht="16.5" customHeight="1">
      <c r="A644" s="93" t="s">
        <v>58</v>
      </c>
      <c r="B644" s="94"/>
      <c r="C644" s="94"/>
      <c r="D644" s="94"/>
      <c r="E644" s="94"/>
      <c r="F644" s="94"/>
      <c r="G644" s="94"/>
      <c r="H644" s="94"/>
      <c r="I644" s="94"/>
      <c r="J644" s="94"/>
      <c r="K644" s="94"/>
      <c r="L644" s="94"/>
      <c r="M644" s="95"/>
    </row>
    <row r="645" spans="1:13" s="1" customFormat="1" ht="16.5" customHeight="1">
      <c r="A645" s="93" t="s">
        <v>59</v>
      </c>
      <c r="B645" s="94"/>
      <c r="C645" s="94"/>
      <c r="D645" s="94"/>
      <c r="E645" s="94"/>
      <c r="F645" s="94"/>
      <c r="G645" s="94"/>
      <c r="H645" s="94"/>
      <c r="I645" s="94"/>
      <c r="J645" s="94"/>
      <c r="K645" s="94"/>
      <c r="L645" s="94"/>
      <c r="M645" s="95"/>
    </row>
    <row r="646" spans="1:13" ht="16.5" customHeight="1">
      <c r="A646" s="106" t="s">
        <v>29</v>
      </c>
      <c r="B646" s="107"/>
      <c r="C646" s="107"/>
      <c r="D646" s="107"/>
      <c r="E646" s="107"/>
      <c r="F646" s="107"/>
      <c r="G646" s="107"/>
      <c r="H646" s="107"/>
      <c r="I646" s="107"/>
      <c r="J646" s="107"/>
      <c r="K646" s="107"/>
      <c r="L646" s="107"/>
      <c r="M646" s="108"/>
    </row>
    <row r="647" spans="1:13" ht="9.75" customHeight="1" thickBot="1">
      <c r="A647" s="109"/>
      <c r="B647" s="110"/>
      <c r="C647" s="110"/>
      <c r="D647" s="110"/>
      <c r="E647" s="110"/>
      <c r="F647" s="110"/>
      <c r="G647" s="110"/>
      <c r="H647" s="110"/>
      <c r="I647" s="110"/>
      <c r="J647" s="110"/>
      <c r="K647" s="110"/>
      <c r="L647" s="110"/>
      <c r="M647" s="111"/>
    </row>
    <row r="648" spans="1:13" ht="18.75" customHeight="1" thickBot="1">
      <c r="A648" s="72" t="s">
        <v>30</v>
      </c>
      <c r="B648" s="73"/>
      <c r="C648" s="73"/>
      <c r="D648" s="73"/>
      <c r="E648" s="73"/>
      <c r="F648" s="73"/>
      <c r="G648" s="73"/>
      <c r="H648" s="73"/>
      <c r="I648" s="73"/>
      <c r="J648" s="73"/>
      <c r="K648" s="73"/>
      <c r="L648" s="73"/>
      <c r="M648" s="74"/>
    </row>
    <row r="649" spans="1:13" ht="24" customHeight="1" thickBot="1">
      <c r="A649" s="72" t="s">
        <v>31</v>
      </c>
      <c r="B649" s="73"/>
      <c r="C649" s="73"/>
      <c r="D649" s="73"/>
      <c r="E649" s="73"/>
      <c r="F649" s="73"/>
      <c r="G649" s="73"/>
      <c r="H649" s="73"/>
      <c r="I649" s="73"/>
      <c r="J649" s="73"/>
      <c r="K649" s="73"/>
      <c r="L649" s="73"/>
      <c r="M649" s="74"/>
    </row>
    <row r="650" spans="1:13" ht="24" customHeight="1" thickBot="1">
      <c r="A650" s="72" t="s">
        <v>62</v>
      </c>
      <c r="B650" s="73"/>
      <c r="C650" s="73"/>
      <c r="D650" s="73"/>
      <c r="E650" s="73"/>
      <c r="F650" s="73"/>
      <c r="G650" s="73"/>
      <c r="H650" s="73"/>
      <c r="I650" s="73"/>
      <c r="J650" s="73"/>
      <c r="K650" s="73"/>
      <c r="L650" s="73"/>
      <c r="M650" s="74"/>
    </row>
    <row r="651" spans="1:13" ht="24" customHeight="1" thickBot="1">
      <c r="A651" s="60" t="s">
        <v>46</v>
      </c>
      <c r="B651" s="61"/>
      <c r="C651" s="61"/>
      <c r="D651" s="61"/>
      <c r="E651" s="61"/>
      <c r="F651" s="61"/>
      <c r="G651" s="61"/>
      <c r="H651" s="61"/>
      <c r="I651" s="61"/>
      <c r="J651" s="61"/>
      <c r="K651" s="61"/>
      <c r="L651" s="61"/>
      <c r="M651" s="62"/>
    </row>
    <row r="652" spans="1:13" ht="11.1" customHeight="1">
      <c r="A652" s="103" t="s">
        <v>47</v>
      </c>
      <c r="B652" s="103"/>
      <c r="C652" s="103"/>
      <c r="D652" s="103"/>
      <c r="E652" s="103"/>
      <c r="F652" s="103"/>
      <c r="G652" s="103"/>
      <c r="H652" s="103"/>
      <c r="I652" s="103"/>
      <c r="J652" s="103"/>
      <c r="K652" s="103"/>
      <c r="L652" s="103"/>
      <c r="M652" s="103"/>
    </row>
    <row r="653" spans="1:13" ht="11.1" customHeight="1">
      <c r="A653" s="104" t="s">
        <v>48</v>
      </c>
      <c r="B653" s="104"/>
      <c r="C653" s="104"/>
      <c r="D653" s="104"/>
      <c r="E653" s="104"/>
      <c r="F653" s="104"/>
      <c r="G653" s="104"/>
      <c r="H653" s="104"/>
      <c r="I653" s="104"/>
      <c r="J653" s="104"/>
      <c r="K653" s="104"/>
      <c r="L653" s="104"/>
      <c r="M653" s="104"/>
    </row>
    <row r="654" spans="1:13" ht="11.1" customHeight="1">
      <c r="A654" s="105" t="s">
        <v>49</v>
      </c>
      <c r="B654" s="105"/>
      <c r="C654" s="105"/>
      <c r="D654" s="105"/>
      <c r="E654" s="105"/>
      <c r="F654" s="105"/>
      <c r="G654" s="105"/>
      <c r="H654" s="105"/>
      <c r="I654" s="105"/>
      <c r="J654" s="105"/>
      <c r="K654" s="105"/>
      <c r="L654" s="105"/>
      <c r="M654" s="105"/>
    </row>
    <row r="655" spans="1:13" ht="11.1" customHeight="1">
      <c r="A655" s="105" t="s">
        <v>50</v>
      </c>
      <c r="B655" s="105"/>
      <c r="C655" s="105"/>
      <c r="D655" s="105"/>
      <c r="E655" s="105"/>
      <c r="F655" s="105"/>
      <c r="G655" s="105"/>
      <c r="H655" s="105"/>
      <c r="I655" s="105"/>
      <c r="J655" s="105"/>
      <c r="K655" s="105"/>
      <c r="L655" s="105"/>
      <c r="M655" s="105"/>
    </row>
    <row r="656" spans="1:13" ht="11.1" customHeight="1">
      <c r="A656" s="104" t="s">
        <v>51</v>
      </c>
      <c r="B656" s="104"/>
      <c r="C656" s="104"/>
      <c r="D656" s="104"/>
      <c r="E656" s="104"/>
      <c r="F656" s="104"/>
      <c r="G656" s="104"/>
      <c r="H656" s="104"/>
      <c r="I656" s="104"/>
      <c r="J656" s="104"/>
      <c r="K656" s="104"/>
      <c r="L656" s="104"/>
      <c r="M656" s="104"/>
    </row>
    <row r="657" spans="1:15" ht="11.1" customHeight="1">
      <c r="A657" s="104" t="s">
        <v>52</v>
      </c>
      <c r="B657" s="104"/>
      <c r="C657" s="104"/>
      <c r="D657" s="104"/>
      <c r="E657" s="104"/>
      <c r="F657" s="104"/>
      <c r="G657" s="104"/>
      <c r="H657" s="104"/>
      <c r="I657" s="104"/>
      <c r="J657" s="104"/>
      <c r="K657" s="104"/>
      <c r="L657" s="104"/>
      <c r="M657" s="104"/>
    </row>
    <row r="658" spans="1:15" ht="11.1" customHeight="1">
      <c r="A658" s="104" t="s">
        <v>53</v>
      </c>
      <c r="B658" s="104"/>
      <c r="C658" s="104"/>
      <c r="D658" s="104"/>
      <c r="E658" s="104"/>
      <c r="F658" s="104"/>
      <c r="G658" s="104"/>
      <c r="H658" s="104"/>
      <c r="I658" s="104"/>
      <c r="J658" s="104"/>
      <c r="K658" s="104"/>
      <c r="L658" s="104"/>
      <c r="M658" s="104"/>
    </row>
    <row r="659" spans="1:15" ht="11.1" customHeight="1">
      <c r="A659" s="101" t="s">
        <v>54</v>
      </c>
      <c r="B659" s="101"/>
      <c r="C659" s="101"/>
      <c r="D659" s="101"/>
      <c r="E659" s="101"/>
      <c r="F659" s="101"/>
      <c r="G659" s="101"/>
      <c r="H659" s="101"/>
      <c r="I659" s="101"/>
      <c r="J659" s="101"/>
      <c r="K659" s="101"/>
      <c r="L659" s="101"/>
      <c r="M659" s="101"/>
    </row>
    <row r="660" spans="1:15" ht="11.1" customHeight="1">
      <c r="A660" s="101" t="s">
        <v>55</v>
      </c>
      <c r="B660" s="101"/>
      <c r="C660" s="101"/>
      <c r="D660" s="101"/>
      <c r="E660" s="101"/>
      <c r="F660" s="101"/>
      <c r="G660" s="101"/>
      <c r="H660" s="101"/>
      <c r="I660" s="101"/>
      <c r="J660" s="101"/>
      <c r="K660" s="101"/>
      <c r="L660" s="101"/>
      <c r="M660" s="101"/>
    </row>
    <row r="661" spans="1:15" ht="19.5" customHeight="1">
      <c r="A661" s="69" t="s">
        <v>0</v>
      </c>
      <c r="B661" s="69"/>
      <c r="C661" s="69"/>
      <c r="D661" s="69"/>
      <c r="E661" s="69"/>
      <c r="F661" s="69"/>
      <c r="G661" s="69"/>
      <c r="H661" s="69"/>
      <c r="I661" s="69"/>
      <c r="J661" s="69"/>
      <c r="K661" s="69"/>
      <c r="L661" s="69"/>
      <c r="M661" s="69"/>
    </row>
    <row r="662" spans="1:15" ht="20.100000000000001" customHeight="1">
      <c r="A662" s="4" t="s">
        <v>32</v>
      </c>
      <c r="B662" s="5">
        <f>+B618+1</f>
        <v>51</v>
      </c>
      <c r="C662" s="48"/>
      <c r="D662" s="48"/>
      <c r="E662" s="48"/>
      <c r="F662" s="48"/>
      <c r="G662" s="48"/>
      <c r="H662" s="48"/>
      <c r="I662" s="48"/>
      <c r="J662" s="48"/>
      <c r="K662" s="48"/>
      <c r="L662" s="48"/>
      <c r="M662" s="48"/>
    </row>
    <row r="663" spans="1:15" ht="24" customHeight="1" thickBot="1">
      <c r="A663" s="4" t="s">
        <v>33</v>
      </c>
      <c r="H663" s="70" t="s">
        <v>34</v>
      </c>
      <c r="I663" s="70"/>
      <c r="J663" s="70"/>
      <c r="K663" s="102">
        <f>+K619+1</f>
        <v>45977</v>
      </c>
      <c r="L663" s="102"/>
      <c r="M663" s="102"/>
      <c r="O663" s="7"/>
    </row>
    <row r="664" spans="1:15" ht="33.75" customHeight="1" thickBot="1">
      <c r="A664" s="80" t="s">
        <v>1</v>
      </c>
      <c r="B664" s="81"/>
      <c r="C664" s="82"/>
      <c r="D664" s="86" t="str">
        <f>+D620</f>
        <v>光明國中B與C區5樓老舊廁所整修工程</v>
      </c>
      <c r="E664" s="87"/>
      <c r="F664" s="87"/>
      <c r="G664" s="88"/>
      <c r="H664" s="80" t="s">
        <v>2</v>
      </c>
      <c r="I664" s="81"/>
      <c r="J664" s="82"/>
      <c r="K664" s="80" t="s">
        <v>35</v>
      </c>
      <c r="L664" s="81"/>
      <c r="M664" s="82"/>
    </row>
    <row r="665" spans="1:15" ht="33.75" customHeight="1" thickBot="1">
      <c r="A665" s="8" t="s">
        <v>3</v>
      </c>
      <c r="B665" s="45">
        <f>+B621</f>
        <v>142</v>
      </c>
      <c r="C665" s="10" t="s">
        <v>36</v>
      </c>
      <c r="D665" s="80" t="s">
        <v>4</v>
      </c>
      <c r="E665" s="89"/>
      <c r="F665" s="46">
        <f>+F621+1</f>
        <v>51</v>
      </c>
      <c r="G665" s="12" t="s">
        <v>36</v>
      </c>
      <c r="H665" s="13" t="s">
        <v>5</v>
      </c>
      <c r="I665" s="45">
        <f>+B665-F665</f>
        <v>91</v>
      </c>
      <c r="J665" s="10" t="s">
        <v>36</v>
      </c>
      <c r="K665" s="80" t="s">
        <v>6</v>
      </c>
      <c r="L665" s="82"/>
      <c r="M665" s="13">
        <f>+M621</f>
        <v>12</v>
      </c>
    </row>
    <row r="666" spans="1:15" ht="24" customHeight="1" thickBot="1">
      <c r="A666" s="80" t="s">
        <v>7</v>
      </c>
      <c r="B666" s="81"/>
      <c r="C666" s="82"/>
      <c r="D666" s="80" t="str">
        <f>+D622</f>
        <v>114.9.27</v>
      </c>
      <c r="E666" s="81"/>
      <c r="F666" s="81"/>
      <c r="G666" s="82"/>
      <c r="H666" s="80" t="s">
        <v>8</v>
      </c>
      <c r="I666" s="81"/>
      <c r="J666" s="82"/>
      <c r="K666" s="80" t="str">
        <f>+K622</f>
        <v>115.2.15</v>
      </c>
      <c r="L666" s="81"/>
      <c r="M666" s="82"/>
    </row>
    <row r="667" spans="1:15" ht="24" customHeight="1" thickBot="1">
      <c r="A667" s="80" t="s">
        <v>37</v>
      </c>
      <c r="B667" s="81"/>
      <c r="C667" s="82"/>
      <c r="D667" s="83">
        <v>4.8000000000000001E-2</v>
      </c>
      <c r="E667" s="84"/>
      <c r="F667" s="84"/>
      <c r="G667" s="85"/>
      <c r="H667" s="80" t="s">
        <v>38</v>
      </c>
      <c r="I667" s="81"/>
      <c r="J667" s="82"/>
      <c r="K667" s="83">
        <f>+K623</f>
        <v>5.8000000000000003E-2</v>
      </c>
      <c r="L667" s="84"/>
      <c r="M667" s="85"/>
    </row>
    <row r="668" spans="1:15" ht="24" customHeight="1" thickBot="1">
      <c r="A668" s="72" t="s">
        <v>9</v>
      </c>
      <c r="B668" s="73"/>
      <c r="C668" s="73"/>
      <c r="D668" s="73"/>
      <c r="E668" s="73"/>
      <c r="F668" s="73"/>
      <c r="G668" s="73"/>
      <c r="H668" s="73"/>
      <c r="I668" s="73"/>
      <c r="J668" s="73"/>
      <c r="K668" s="73"/>
      <c r="L668" s="73"/>
      <c r="M668" s="74"/>
    </row>
    <row r="669" spans="1:15" ht="35.25" customHeight="1" thickBot="1">
      <c r="A669" s="75" t="s">
        <v>10</v>
      </c>
      <c r="B669" s="76"/>
      <c r="C669" s="76"/>
      <c r="D669" s="77"/>
      <c r="E669" s="14" t="s">
        <v>11</v>
      </c>
      <c r="F669" s="75" t="s">
        <v>12</v>
      </c>
      <c r="G669" s="77"/>
      <c r="H669" s="75" t="s">
        <v>13</v>
      </c>
      <c r="I669" s="77"/>
      <c r="J669" s="78" t="s">
        <v>14</v>
      </c>
      <c r="K669" s="79"/>
      <c r="L669" s="75" t="s">
        <v>15</v>
      </c>
      <c r="M669" s="77"/>
    </row>
    <row r="670" spans="1:15" ht="27.95" customHeight="1" thickBot="1">
      <c r="A670" s="141"/>
      <c r="B670" s="142"/>
      <c r="C670" s="142"/>
      <c r="D670" s="143"/>
      <c r="E670" s="2"/>
      <c r="F670" s="56"/>
      <c r="G670" s="57"/>
      <c r="H670" s="56"/>
      <c r="I670" s="57"/>
      <c r="J670" s="56"/>
      <c r="K670" s="57"/>
      <c r="L670" s="58"/>
      <c r="M670" s="59"/>
    </row>
    <row r="671" spans="1:15" ht="27.95" customHeight="1" thickBot="1">
      <c r="A671" s="141"/>
      <c r="B671" s="142"/>
      <c r="C671" s="142"/>
      <c r="D671" s="143"/>
      <c r="E671" s="15"/>
      <c r="F671" s="56"/>
      <c r="G671" s="57"/>
      <c r="H671" s="56"/>
      <c r="I671" s="57"/>
      <c r="J671" s="56"/>
      <c r="K671" s="57"/>
      <c r="L671" s="58"/>
      <c r="M671" s="59"/>
    </row>
    <row r="672" spans="1:15" ht="24.95" customHeight="1" thickTop="1" thickBot="1">
      <c r="A672" s="130" t="s">
        <v>16</v>
      </c>
      <c r="B672" s="67"/>
      <c r="C672" s="67"/>
      <c r="D672" s="68"/>
      <c r="E672" s="47"/>
      <c r="F672" s="131"/>
      <c r="G672" s="132"/>
      <c r="H672" s="131"/>
      <c r="I672" s="132"/>
      <c r="J672" s="131"/>
      <c r="K672" s="132"/>
      <c r="L672" s="131"/>
      <c r="M672" s="133"/>
    </row>
    <row r="673" spans="1:13" ht="24.95" customHeight="1" thickBot="1">
      <c r="A673" s="134" t="s">
        <v>17</v>
      </c>
      <c r="B673" s="135"/>
      <c r="C673" s="135"/>
      <c r="D673" s="59"/>
      <c r="E673" s="47"/>
      <c r="F673" s="58"/>
      <c r="G673" s="59"/>
      <c r="H673" s="58"/>
      <c r="I673" s="59"/>
      <c r="J673" s="58"/>
      <c r="K673" s="59"/>
      <c r="L673" s="58"/>
      <c r="M673" s="136"/>
    </row>
    <row r="674" spans="1:13" ht="24.95" customHeight="1" thickBot="1">
      <c r="A674" s="118" t="s">
        <v>18</v>
      </c>
      <c r="B674" s="119"/>
      <c r="C674" s="119"/>
      <c r="D674" s="120"/>
      <c r="E674" s="24"/>
      <c r="F674" s="121"/>
      <c r="G674" s="120"/>
      <c r="H674" s="121"/>
      <c r="I674" s="120"/>
      <c r="J674" s="121"/>
      <c r="K674" s="120"/>
      <c r="L674" s="121"/>
      <c r="M674" s="122"/>
    </row>
    <row r="675" spans="1:13" ht="24" customHeight="1" thickTop="1" thickBot="1">
      <c r="A675" s="66" t="s">
        <v>19</v>
      </c>
      <c r="B675" s="67"/>
      <c r="C675" s="67"/>
      <c r="D675" s="67"/>
      <c r="E675" s="67"/>
      <c r="F675" s="67"/>
      <c r="G675" s="67"/>
      <c r="H675" s="67"/>
      <c r="I675" s="67"/>
      <c r="J675" s="67"/>
      <c r="K675" s="67"/>
      <c r="L675" s="67"/>
      <c r="M675" s="68"/>
    </row>
    <row r="676" spans="1:13" ht="35.25" customHeight="1" thickBot="1">
      <c r="A676" s="75" t="s">
        <v>20</v>
      </c>
      <c r="B676" s="76"/>
      <c r="C676" s="76"/>
      <c r="D676" s="77"/>
      <c r="E676" s="14" t="s">
        <v>11</v>
      </c>
      <c r="F676" s="75" t="s">
        <v>39</v>
      </c>
      <c r="G676" s="77"/>
      <c r="H676" s="75" t="s">
        <v>21</v>
      </c>
      <c r="I676" s="77"/>
      <c r="J676" s="78" t="s">
        <v>22</v>
      </c>
      <c r="K676" s="79"/>
      <c r="L676" s="75" t="s">
        <v>15</v>
      </c>
      <c r="M676" s="77"/>
    </row>
    <row r="677" spans="1:13" ht="24" customHeight="1" thickBot="1">
      <c r="A677" s="96"/>
      <c r="B677" s="97"/>
      <c r="C677" s="97"/>
      <c r="D677" s="98"/>
      <c r="E677" s="47"/>
      <c r="F677" s="58"/>
      <c r="G677" s="59"/>
      <c r="H677" s="58"/>
      <c r="I677" s="59"/>
      <c r="J677" s="56"/>
      <c r="K677" s="57"/>
      <c r="L677" s="58"/>
      <c r="M677" s="59"/>
    </row>
    <row r="678" spans="1:13" ht="24" customHeight="1" thickBot="1">
      <c r="A678" s="96"/>
      <c r="B678" s="97"/>
      <c r="C678" s="97"/>
      <c r="D678" s="98"/>
      <c r="E678" s="47"/>
      <c r="F678" s="58"/>
      <c r="G678" s="59"/>
      <c r="H678" s="58"/>
      <c r="I678" s="59"/>
      <c r="J678" s="56"/>
      <c r="K678" s="57"/>
      <c r="L678" s="58"/>
      <c r="M678" s="59"/>
    </row>
    <row r="679" spans="1:13" ht="24" customHeight="1" thickBot="1">
      <c r="A679" s="60" t="s">
        <v>23</v>
      </c>
      <c r="B679" s="61"/>
      <c r="C679" s="61"/>
      <c r="D679" s="61"/>
      <c r="E679" s="61"/>
      <c r="F679" s="61"/>
      <c r="G679" s="61"/>
      <c r="H679" s="61"/>
      <c r="I679" s="61"/>
      <c r="J679" s="61"/>
      <c r="K679" s="61"/>
      <c r="L679" s="61"/>
      <c r="M679" s="62"/>
    </row>
    <row r="680" spans="1:13" ht="35.25" customHeight="1" thickBot="1">
      <c r="A680" s="75" t="s">
        <v>24</v>
      </c>
      <c r="B680" s="77"/>
      <c r="C680" s="75" t="s">
        <v>25</v>
      </c>
      <c r="D680" s="77"/>
      <c r="E680" s="75" t="s">
        <v>26</v>
      </c>
      <c r="F680" s="76"/>
      <c r="G680" s="77"/>
      <c r="H680" s="75" t="s">
        <v>27</v>
      </c>
      <c r="I680" s="77"/>
      <c r="J680" s="78" t="s">
        <v>21</v>
      </c>
      <c r="K680" s="79"/>
      <c r="L680" s="75" t="s">
        <v>22</v>
      </c>
      <c r="M680" s="77"/>
    </row>
    <row r="681" spans="1:13" s="18" customFormat="1" ht="24.75" customHeight="1" thickBot="1">
      <c r="A681" s="99"/>
      <c r="B681" s="98"/>
      <c r="C681" s="56"/>
      <c r="D681" s="57"/>
      <c r="E681" s="56"/>
      <c r="F681" s="100"/>
      <c r="G681" s="57"/>
      <c r="H681" s="56"/>
      <c r="I681" s="57"/>
      <c r="J681" s="56"/>
      <c r="K681" s="57"/>
      <c r="L681" s="56"/>
      <c r="M681" s="57"/>
    </row>
    <row r="682" spans="1:13" s="18" customFormat="1" ht="24.75" customHeight="1" thickBot="1">
      <c r="A682" s="99"/>
      <c r="B682" s="98"/>
      <c r="C682" s="56"/>
      <c r="D682" s="57"/>
      <c r="E682" s="56"/>
      <c r="F682" s="100"/>
      <c r="G682" s="57"/>
      <c r="H682" s="56"/>
      <c r="I682" s="57"/>
      <c r="J682" s="56"/>
      <c r="K682" s="57"/>
      <c r="L682" s="56"/>
      <c r="M682" s="57"/>
    </row>
    <row r="683" spans="1:13" ht="33" customHeight="1" thickBot="1">
      <c r="A683" s="112" t="s">
        <v>40</v>
      </c>
      <c r="B683" s="113"/>
      <c r="C683" s="113"/>
      <c r="D683" s="113"/>
      <c r="E683" s="113"/>
      <c r="F683" s="113"/>
      <c r="G683" s="113"/>
      <c r="H683" s="113"/>
      <c r="I683" s="113"/>
      <c r="J683" s="113"/>
      <c r="K683" s="113"/>
      <c r="L683" s="113"/>
      <c r="M683" s="114"/>
    </row>
    <row r="684" spans="1:13" ht="16.5" customHeight="1">
      <c r="A684" s="115" t="s">
        <v>41</v>
      </c>
      <c r="B684" s="116"/>
      <c r="C684" s="116"/>
      <c r="D684" s="116"/>
      <c r="E684" s="116"/>
      <c r="F684" s="116"/>
      <c r="G684" s="116"/>
      <c r="H684" s="116"/>
      <c r="I684" s="116"/>
      <c r="J684" s="116"/>
      <c r="K684" s="116"/>
      <c r="L684" s="116"/>
      <c r="M684" s="117"/>
    </row>
    <row r="685" spans="1:13" ht="16.5" customHeight="1">
      <c r="A685" s="90" t="s">
        <v>28</v>
      </c>
      <c r="B685" s="91"/>
      <c r="C685" s="91"/>
      <c r="D685" s="91"/>
      <c r="E685" s="91"/>
      <c r="F685" s="91"/>
      <c r="G685" s="91"/>
      <c r="H685" s="91"/>
      <c r="I685" s="91"/>
      <c r="J685" s="91"/>
      <c r="K685" s="91"/>
      <c r="L685" s="91"/>
      <c r="M685" s="92"/>
    </row>
    <row r="686" spans="1:13" s="1" customFormat="1" ht="16.5" customHeight="1">
      <c r="A686" s="93" t="s">
        <v>56</v>
      </c>
      <c r="B686" s="94"/>
      <c r="C686" s="94"/>
      <c r="D686" s="94"/>
      <c r="E686" s="94"/>
      <c r="F686" s="94"/>
      <c r="G686" s="94"/>
      <c r="H686" s="94"/>
      <c r="I686" s="94"/>
      <c r="J686" s="94"/>
      <c r="K686" s="94"/>
      <c r="L686" s="94"/>
      <c r="M686" s="95"/>
    </row>
    <row r="687" spans="1:13" s="1" customFormat="1" ht="16.5" customHeight="1">
      <c r="A687" s="93" t="s">
        <v>57</v>
      </c>
      <c r="B687" s="94"/>
      <c r="C687" s="94"/>
      <c r="D687" s="94"/>
      <c r="E687" s="94"/>
      <c r="F687" s="94"/>
      <c r="G687" s="94"/>
      <c r="H687" s="94"/>
      <c r="I687" s="94"/>
      <c r="J687" s="94"/>
      <c r="K687" s="94"/>
      <c r="L687" s="94"/>
      <c r="M687" s="95"/>
    </row>
    <row r="688" spans="1:13" s="1" customFormat="1" ht="16.5" customHeight="1">
      <c r="A688" s="93" t="s">
        <v>58</v>
      </c>
      <c r="B688" s="94"/>
      <c r="C688" s="94"/>
      <c r="D688" s="94"/>
      <c r="E688" s="94"/>
      <c r="F688" s="94"/>
      <c r="G688" s="94"/>
      <c r="H688" s="94"/>
      <c r="I688" s="94"/>
      <c r="J688" s="94"/>
      <c r="K688" s="94"/>
      <c r="L688" s="94"/>
      <c r="M688" s="95"/>
    </row>
    <row r="689" spans="1:13" s="1" customFormat="1" ht="16.5" customHeight="1">
      <c r="A689" s="93" t="s">
        <v>59</v>
      </c>
      <c r="B689" s="94"/>
      <c r="C689" s="94"/>
      <c r="D689" s="94"/>
      <c r="E689" s="94"/>
      <c r="F689" s="94"/>
      <c r="G689" s="94"/>
      <c r="H689" s="94"/>
      <c r="I689" s="94"/>
      <c r="J689" s="94"/>
      <c r="K689" s="94"/>
      <c r="L689" s="94"/>
      <c r="M689" s="95"/>
    </row>
    <row r="690" spans="1:13" ht="16.5" customHeight="1">
      <c r="A690" s="106" t="s">
        <v>29</v>
      </c>
      <c r="B690" s="107"/>
      <c r="C690" s="107"/>
      <c r="D690" s="107"/>
      <c r="E690" s="107"/>
      <c r="F690" s="107"/>
      <c r="G690" s="107"/>
      <c r="H690" s="107"/>
      <c r="I690" s="107"/>
      <c r="J690" s="107"/>
      <c r="K690" s="107"/>
      <c r="L690" s="107"/>
      <c r="M690" s="108"/>
    </row>
    <row r="691" spans="1:13" ht="9.75" customHeight="1" thickBot="1">
      <c r="A691" s="109"/>
      <c r="B691" s="110"/>
      <c r="C691" s="110"/>
      <c r="D691" s="110"/>
      <c r="E691" s="110"/>
      <c r="F691" s="110"/>
      <c r="G691" s="110"/>
      <c r="H691" s="110"/>
      <c r="I691" s="110"/>
      <c r="J691" s="110"/>
      <c r="K691" s="110"/>
      <c r="L691" s="110"/>
      <c r="M691" s="111"/>
    </row>
    <row r="692" spans="1:13" ht="18.75" customHeight="1" thickBot="1">
      <c r="A692" s="72" t="s">
        <v>30</v>
      </c>
      <c r="B692" s="73"/>
      <c r="C692" s="73"/>
      <c r="D692" s="73"/>
      <c r="E692" s="73"/>
      <c r="F692" s="73"/>
      <c r="G692" s="73"/>
      <c r="H692" s="73"/>
      <c r="I692" s="73"/>
      <c r="J692" s="73"/>
      <c r="K692" s="73"/>
      <c r="L692" s="73"/>
      <c r="M692" s="74"/>
    </row>
    <row r="693" spans="1:13" ht="24" customHeight="1" thickBot="1">
      <c r="A693" s="72" t="s">
        <v>31</v>
      </c>
      <c r="B693" s="73"/>
      <c r="C693" s="73"/>
      <c r="D693" s="73"/>
      <c r="E693" s="73"/>
      <c r="F693" s="73"/>
      <c r="G693" s="73"/>
      <c r="H693" s="73"/>
      <c r="I693" s="73"/>
      <c r="J693" s="73"/>
      <c r="K693" s="73"/>
      <c r="L693" s="73"/>
      <c r="M693" s="74"/>
    </row>
    <row r="694" spans="1:13" ht="24" customHeight="1" thickBot="1">
      <c r="A694" s="72" t="s">
        <v>62</v>
      </c>
      <c r="B694" s="73"/>
      <c r="C694" s="73"/>
      <c r="D694" s="73"/>
      <c r="E694" s="73"/>
      <c r="F694" s="73"/>
      <c r="G694" s="73"/>
      <c r="H694" s="73"/>
      <c r="I694" s="73"/>
      <c r="J694" s="73"/>
      <c r="K694" s="73"/>
      <c r="L694" s="73"/>
      <c r="M694" s="74"/>
    </row>
    <row r="695" spans="1:13" ht="24" customHeight="1" thickBot="1">
      <c r="A695" s="60" t="s">
        <v>46</v>
      </c>
      <c r="B695" s="61"/>
      <c r="C695" s="61"/>
      <c r="D695" s="61"/>
      <c r="E695" s="61"/>
      <c r="F695" s="61"/>
      <c r="G695" s="61"/>
      <c r="H695" s="61"/>
      <c r="I695" s="61"/>
      <c r="J695" s="61"/>
      <c r="K695" s="61"/>
      <c r="L695" s="61"/>
      <c r="M695" s="62"/>
    </row>
    <row r="696" spans="1:13" ht="11.1" customHeight="1">
      <c r="A696" s="103" t="s">
        <v>47</v>
      </c>
      <c r="B696" s="103"/>
      <c r="C696" s="103"/>
      <c r="D696" s="103"/>
      <c r="E696" s="103"/>
      <c r="F696" s="103"/>
      <c r="G696" s="103"/>
      <c r="H696" s="103"/>
      <c r="I696" s="103"/>
      <c r="J696" s="103"/>
      <c r="K696" s="103"/>
      <c r="L696" s="103"/>
      <c r="M696" s="103"/>
    </row>
    <row r="697" spans="1:13" ht="11.1" customHeight="1">
      <c r="A697" s="104" t="s">
        <v>48</v>
      </c>
      <c r="B697" s="104"/>
      <c r="C697" s="104"/>
      <c r="D697" s="104"/>
      <c r="E697" s="104"/>
      <c r="F697" s="104"/>
      <c r="G697" s="104"/>
      <c r="H697" s="104"/>
      <c r="I697" s="104"/>
      <c r="J697" s="104"/>
      <c r="K697" s="104"/>
      <c r="L697" s="104"/>
      <c r="M697" s="104"/>
    </row>
    <row r="698" spans="1:13" ht="11.1" customHeight="1">
      <c r="A698" s="105" t="s">
        <v>49</v>
      </c>
      <c r="B698" s="105"/>
      <c r="C698" s="105"/>
      <c r="D698" s="105"/>
      <c r="E698" s="105"/>
      <c r="F698" s="105"/>
      <c r="G698" s="105"/>
      <c r="H698" s="105"/>
      <c r="I698" s="105"/>
      <c r="J698" s="105"/>
      <c r="K698" s="105"/>
      <c r="L698" s="105"/>
      <c r="M698" s="105"/>
    </row>
    <row r="699" spans="1:13" ht="11.1" customHeight="1">
      <c r="A699" s="105" t="s">
        <v>50</v>
      </c>
      <c r="B699" s="105"/>
      <c r="C699" s="105"/>
      <c r="D699" s="105"/>
      <c r="E699" s="105"/>
      <c r="F699" s="105"/>
      <c r="G699" s="105"/>
      <c r="H699" s="105"/>
      <c r="I699" s="105"/>
      <c r="J699" s="105"/>
      <c r="K699" s="105"/>
      <c r="L699" s="105"/>
      <c r="M699" s="105"/>
    </row>
    <row r="700" spans="1:13" ht="11.1" customHeight="1">
      <c r="A700" s="104" t="s">
        <v>51</v>
      </c>
      <c r="B700" s="104"/>
      <c r="C700" s="104"/>
      <c r="D700" s="104"/>
      <c r="E700" s="104"/>
      <c r="F700" s="104"/>
      <c r="G700" s="104"/>
      <c r="H700" s="104"/>
      <c r="I700" s="104"/>
      <c r="J700" s="104"/>
      <c r="K700" s="104"/>
      <c r="L700" s="104"/>
      <c r="M700" s="104"/>
    </row>
    <row r="701" spans="1:13" ht="11.1" customHeight="1">
      <c r="A701" s="104" t="s">
        <v>52</v>
      </c>
      <c r="B701" s="104"/>
      <c r="C701" s="104"/>
      <c r="D701" s="104"/>
      <c r="E701" s="104"/>
      <c r="F701" s="104"/>
      <c r="G701" s="104"/>
      <c r="H701" s="104"/>
      <c r="I701" s="104"/>
      <c r="J701" s="104"/>
      <c r="K701" s="104"/>
      <c r="L701" s="104"/>
      <c r="M701" s="104"/>
    </row>
    <row r="702" spans="1:13" ht="11.1" customHeight="1">
      <c r="A702" s="104" t="s">
        <v>53</v>
      </c>
      <c r="B702" s="104"/>
      <c r="C702" s="104"/>
      <c r="D702" s="104"/>
      <c r="E702" s="104"/>
      <c r="F702" s="104"/>
      <c r="G702" s="104"/>
      <c r="H702" s="104"/>
      <c r="I702" s="104"/>
      <c r="J702" s="104"/>
      <c r="K702" s="104"/>
      <c r="L702" s="104"/>
      <c r="M702" s="104"/>
    </row>
    <row r="703" spans="1:13" ht="11.1" customHeight="1">
      <c r="A703" s="101" t="s">
        <v>54</v>
      </c>
      <c r="B703" s="101"/>
      <c r="C703" s="101"/>
      <c r="D703" s="101"/>
      <c r="E703" s="101"/>
      <c r="F703" s="101"/>
      <c r="G703" s="101"/>
      <c r="H703" s="101"/>
      <c r="I703" s="101"/>
      <c r="J703" s="101"/>
      <c r="K703" s="101"/>
      <c r="L703" s="101"/>
      <c r="M703" s="101"/>
    </row>
    <row r="704" spans="1:13" ht="11.1" customHeight="1">
      <c r="A704" s="101" t="s">
        <v>55</v>
      </c>
      <c r="B704" s="101"/>
      <c r="C704" s="101"/>
      <c r="D704" s="101"/>
      <c r="E704" s="101"/>
      <c r="F704" s="101"/>
      <c r="G704" s="101"/>
      <c r="H704" s="101"/>
      <c r="I704" s="101"/>
      <c r="J704" s="101"/>
      <c r="K704" s="101"/>
      <c r="L704" s="101"/>
      <c r="M704" s="101"/>
    </row>
    <row r="705" spans="1:15" ht="19.5" customHeight="1">
      <c r="A705" s="69" t="s">
        <v>0</v>
      </c>
      <c r="B705" s="69"/>
      <c r="C705" s="69"/>
      <c r="D705" s="69"/>
      <c r="E705" s="69"/>
      <c r="F705" s="69"/>
      <c r="G705" s="69"/>
      <c r="H705" s="69"/>
      <c r="I705" s="69"/>
      <c r="J705" s="69"/>
      <c r="K705" s="69"/>
      <c r="L705" s="69"/>
      <c r="M705" s="69"/>
    </row>
    <row r="706" spans="1:15" ht="20.100000000000001" customHeight="1">
      <c r="A706" s="4" t="s">
        <v>32</v>
      </c>
      <c r="B706" s="5">
        <f>+B662+1</f>
        <v>52</v>
      </c>
      <c r="C706" s="48"/>
      <c r="D706" s="48"/>
      <c r="E706" s="48"/>
      <c r="F706" s="48"/>
      <c r="G706" s="48"/>
      <c r="H706" s="48"/>
      <c r="I706" s="48"/>
      <c r="J706" s="48"/>
      <c r="K706" s="48"/>
      <c r="L706" s="48"/>
      <c r="M706" s="48"/>
    </row>
    <row r="707" spans="1:15" ht="24" customHeight="1" thickBot="1">
      <c r="A707" s="4" t="s">
        <v>33</v>
      </c>
      <c r="H707" s="70" t="s">
        <v>34</v>
      </c>
      <c r="I707" s="70"/>
      <c r="J707" s="70"/>
      <c r="K707" s="102">
        <f>+K663+1</f>
        <v>45978</v>
      </c>
      <c r="L707" s="102"/>
      <c r="M707" s="102"/>
      <c r="O707" s="7"/>
    </row>
    <row r="708" spans="1:15" ht="33.75" customHeight="1" thickBot="1">
      <c r="A708" s="80" t="s">
        <v>1</v>
      </c>
      <c r="B708" s="81"/>
      <c r="C708" s="82"/>
      <c r="D708" s="86" t="str">
        <f>+D664</f>
        <v>光明國中B與C區5樓老舊廁所整修工程</v>
      </c>
      <c r="E708" s="87"/>
      <c r="F708" s="87"/>
      <c r="G708" s="88"/>
      <c r="H708" s="80" t="s">
        <v>2</v>
      </c>
      <c r="I708" s="81"/>
      <c r="J708" s="82"/>
      <c r="K708" s="80" t="s">
        <v>35</v>
      </c>
      <c r="L708" s="81"/>
      <c r="M708" s="82"/>
    </row>
    <row r="709" spans="1:15" ht="33.75" customHeight="1" thickBot="1">
      <c r="A709" s="8" t="s">
        <v>3</v>
      </c>
      <c r="B709" s="45">
        <f>+B665</f>
        <v>142</v>
      </c>
      <c r="C709" s="10" t="s">
        <v>36</v>
      </c>
      <c r="D709" s="80" t="s">
        <v>4</v>
      </c>
      <c r="E709" s="89"/>
      <c r="F709" s="46">
        <f>+F665+1</f>
        <v>52</v>
      </c>
      <c r="G709" s="12" t="s">
        <v>36</v>
      </c>
      <c r="H709" s="13" t="s">
        <v>5</v>
      </c>
      <c r="I709" s="45">
        <f>+B709-F709</f>
        <v>90</v>
      </c>
      <c r="J709" s="10" t="s">
        <v>36</v>
      </c>
      <c r="K709" s="80" t="s">
        <v>6</v>
      </c>
      <c r="L709" s="82"/>
      <c r="M709" s="13">
        <f>+M665</f>
        <v>12</v>
      </c>
    </row>
    <row r="710" spans="1:15" ht="24" customHeight="1" thickBot="1">
      <c r="A710" s="80" t="s">
        <v>7</v>
      </c>
      <c r="B710" s="81"/>
      <c r="C710" s="82"/>
      <c r="D710" s="80" t="str">
        <f>+D666</f>
        <v>114.9.27</v>
      </c>
      <c r="E710" s="81"/>
      <c r="F710" s="81"/>
      <c r="G710" s="82"/>
      <c r="H710" s="80" t="s">
        <v>8</v>
      </c>
      <c r="I710" s="81"/>
      <c r="J710" s="82"/>
      <c r="K710" s="80" t="str">
        <f>+K666</f>
        <v>115.2.15</v>
      </c>
      <c r="L710" s="81"/>
      <c r="M710" s="82"/>
    </row>
    <row r="711" spans="1:15" ht="24" customHeight="1" thickBot="1">
      <c r="A711" s="80" t="s">
        <v>37</v>
      </c>
      <c r="B711" s="81"/>
      <c r="C711" s="82"/>
      <c r="D711" s="83">
        <v>0.05</v>
      </c>
      <c r="E711" s="84"/>
      <c r="F711" s="84"/>
      <c r="G711" s="85"/>
      <c r="H711" s="80" t="s">
        <v>38</v>
      </c>
      <c r="I711" s="81"/>
      <c r="J711" s="82"/>
      <c r="K711" s="83">
        <f>+K667</f>
        <v>5.8000000000000003E-2</v>
      </c>
      <c r="L711" s="84"/>
      <c r="M711" s="85"/>
    </row>
    <row r="712" spans="1:15" ht="24" customHeight="1" thickBot="1">
      <c r="A712" s="72" t="s">
        <v>9</v>
      </c>
      <c r="B712" s="73"/>
      <c r="C712" s="73"/>
      <c r="D712" s="73"/>
      <c r="E712" s="73"/>
      <c r="F712" s="73"/>
      <c r="G712" s="73"/>
      <c r="H712" s="73"/>
      <c r="I712" s="73"/>
      <c r="J712" s="73"/>
      <c r="K712" s="73"/>
      <c r="L712" s="73"/>
      <c r="M712" s="74"/>
    </row>
    <row r="713" spans="1:15" ht="35.25" customHeight="1" thickBot="1">
      <c r="A713" s="75" t="s">
        <v>10</v>
      </c>
      <c r="B713" s="76"/>
      <c r="C713" s="76"/>
      <c r="D713" s="77"/>
      <c r="E713" s="14" t="s">
        <v>11</v>
      </c>
      <c r="F713" s="75" t="s">
        <v>12</v>
      </c>
      <c r="G713" s="77"/>
      <c r="H713" s="75" t="s">
        <v>13</v>
      </c>
      <c r="I713" s="77"/>
      <c r="J713" s="78" t="s">
        <v>14</v>
      </c>
      <c r="K713" s="79"/>
      <c r="L713" s="75" t="s">
        <v>15</v>
      </c>
      <c r="M713" s="77"/>
    </row>
    <row r="714" spans="1:15" ht="27.95" customHeight="1" thickBot="1">
      <c r="A714" s="141"/>
      <c r="B714" s="142"/>
      <c r="C714" s="142"/>
      <c r="D714" s="143"/>
      <c r="E714" s="2"/>
      <c r="F714" s="56"/>
      <c r="G714" s="57"/>
      <c r="H714" s="56"/>
      <c r="I714" s="57"/>
      <c r="J714" s="56"/>
      <c r="K714" s="57"/>
      <c r="L714" s="58"/>
      <c r="M714" s="59"/>
    </row>
    <row r="715" spans="1:15" ht="27.95" customHeight="1" thickBot="1">
      <c r="A715" s="141"/>
      <c r="B715" s="142"/>
      <c r="C715" s="142"/>
      <c r="D715" s="143"/>
      <c r="E715" s="15"/>
      <c r="F715" s="56"/>
      <c r="G715" s="57"/>
      <c r="H715" s="56"/>
      <c r="I715" s="57"/>
      <c r="J715" s="56"/>
      <c r="K715" s="57"/>
      <c r="L715" s="58"/>
      <c r="M715" s="59"/>
    </row>
    <row r="716" spans="1:15" ht="24.95" customHeight="1" thickTop="1" thickBot="1">
      <c r="A716" s="130" t="s">
        <v>16</v>
      </c>
      <c r="B716" s="67"/>
      <c r="C716" s="67"/>
      <c r="D716" s="68"/>
      <c r="E716" s="47"/>
      <c r="F716" s="131"/>
      <c r="G716" s="132"/>
      <c r="H716" s="131"/>
      <c r="I716" s="132"/>
      <c r="J716" s="131"/>
      <c r="K716" s="132"/>
      <c r="L716" s="131"/>
      <c r="M716" s="133"/>
    </row>
    <row r="717" spans="1:15" ht="24.95" customHeight="1" thickBot="1">
      <c r="A717" s="134" t="s">
        <v>17</v>
      </c>
      <c r="B717" s="135"/>
      <c r="C717" s="135"/>
      <c r="D717" s="59"/>
      <c r="E717" s="47"/>
      <c r="F717" s="58"/>
      <c r="G717" s="59"/>
      <c r="H717" s="58"/>
      <c r="I717" s="59"/>
      <c r="J717" s="58"/>
      <c r="K717" s="59"/>
      <c r="L717" s="58"/>
      <c r="M717" s="136"/>
    </row>
    <row r="718" spans="1:15" ht="24.95" customHeight="1" thickBot="1">
      <c r="A718" s="118" t="s">
        <v>18</v>
      </c>
      <c r="B718" s="119"/>
      <c r="C718" s="119"/>
      <c r="D718" s="120"/>
      <c r="E718" s="24"/>
      <c r="F718" s="121"/>
      <c r="G718" s="120"/>
      <c r="H718" s="121"/>
      <c r="I718" s="120"/>
      <c r="J718" s="121"/>
      <c r="K718" s="120"/>
      <c r="L718" s="121"/>
      <c r="M718" s="122"/>
    </row>
    <row r="719" spans="1:15" ht="24" customHeight="1" thickTop="1" thickBot="1">
      <c r="A719" s="66" t="s">
        <v>19</v>
      </c>
      <c r="B719" s="67"/>
      <c r="C719" s="67"/>
      <c r="D719" s="67"/>
      <c r="E719" s="67"/>
      <c r="F719" s="67"/>
      <c r="G719" s="67"/>
      <c r="H719" s="67"/>
      <c r="I719" s="67"/>
      <c r="J719" s="67"/>
      <c r="K719" s="67"/>
      <c r="L719" s="67"/>
      <c r="M719" s="68"/>
    </row>
    <row r="720" spans="1:15" ht="35.25" customHeight="1" thickBot="1">
      <c r="A720" s="75" t="s">
        <v>20</v>
      </c>
      <c r="B720" s="76"/>
      <c r="C720" s="76"/>
      <c r="D720" s="77"/>
      <c r="E720" s="14" t="s">
        <v>11</v>
      </c>
      <c r="F720" s="75" t="s">
        <v>39</v>
      </c>
      <c r="G720" s="77"/>
      <c r="H720" s="75" t="s">
        <v>21</v>
      </c>
      <c r="I720" s="77"/>
      <c r="J720" s="78" t="s">
        <v>22</v>
      </c>
      <c r="K720" s="79"/>
      <c r="L720" s="75" t="s">
        <v>15</v>
      </c>
      <c r="M720" s="77"/>
    </row>
    <row r="721" spans="1:13" ht="24" customHeight="1" thickBot="1">
      <c r="A721" s="96"/>
      <c r="B721" s="97"/>
      <c r="C721" s="97"/>
      <c r="D721" s="98"/>
      <c r="E721" s="47"/>
      <c r="F721" s="58"/>
      <c r="G721" s="59"/>
      <c r="H721" s="58"/>
      <c r="I721" s="59"/>
      <c r="J721" s="56"/>
      <c r="K721" s="57"/>
      <c r="L721" s="58"/>
      <c r="M721" s="59"/>
    </row>
    <row r="722" spans="1:13" ht="24" customHeight="1" thickBot="1">
      <c r="A722" s="96"/>
      <c r="B722" s="97"/>
      <c r="C722" s="97"/>
      <c r="D722" s="98"/>
      <c r="E722" s="47"/>
      <c r="F722" s="58"/>
      <c r="G722" s="59"/>
      <c r="H722" s="58"/>
      <c r="I722" s="59"/>
      <c r="J722" s="56"/>
      <c r="K722" s="57"/>
      <c r="L722" s="58"/>
      <c r="M722" s="59"/>
    </row>
    <row r="723" spans="1:13" ht="24" customHeight="1" thickBot="1">
      <c r="A723" s="60" t="s">
        <v>23</v>
      </c>
      <c r="B723" s="61"/>
      <c r="C723" s="61"/>
      <c r="D723" s="61"/>
      <c r="E723" s="61"/>
      <c r="F723" s="61"/>
      <c r="G723" s="61"/>
      <c r="H723" s="61"/>
      <c r="I723" s="61"/>
      <c r="J723" s="61"/>
      <c r="K723" s="61"/>
      <c r="L723" s="61"/>
      <c r="M723" s="62"/>
    </row>
    <row r="724" spans="1:13" ht="35.25" customHeight="1" thickBot="1">
      <c r="A724" s="75" t="s">
        <v>24</v>
      </c>
      <c r="B724" s="77"/>
      <c r="C724" s="75" t="s">
        <v>25</v>
      </c>
      <c r="D724" s="77"/>
      <c r="E724" s="75" t="s">
        <v>26</v>
      </c>
      <c r="F724" s="76"/>
      <c r="G724" s="77"/>
      <c r="H724" s="75" t="s">
        <v>27</v>
      </c>
      <c r="I724" s="77"/>
      <c r="J724" s="78" t="s">
        <v>21</v>
      </c>
      <c r="K724" s="79"/>
      <c r="L724" s="75" t="s">
        <v>22</v>
      </c>
      <c r="M724" s="77"/>
    </row>
    <row r="725" spans="1:13" s="18" customFormat="1" ht="24.75" customHeight="1" thickBot="1">
      <c r="A725" s="99"/>
      <c r="B725" s="98"/>
      <c r="C725" s="56"/>
      <c r="D725" s="57"/>
      <c r="E725" s="56"/>
      <c r="F725" s="100"/>
      <c r="G725" s="57"/>
      <c r="H725" s="56"/>
      <c r="I725" s="57"/>
      <c r="J725" s="56"/>
      <c r="K725" s="57"/>
      <c r="L725" s="56"/>
      <c r="M725" s="57"/>
    </row>
    <row r="726" spans="1:13" s="18" customFormat="1" ht="24.75" customHeight="1" thickBot="1">
      <c r="A726" s="99"/>
      <c r="B726" s="98"/>
      <c r="C726" s="56"/>
      <c r="D726" s="57"/>
      <c r="E726" s="56"/>
      <c r="F726" s="100"/>
      <c r="G726" s="57"/>
      <c r="H726" s="56"/>
      <c r="I726" s="57"/>
      <c r="J726" s="56"/>
      <c r="K726" s="57"/>
      <c r="L726" s="56"/>
      <c r="M726" s="57"/>
    </row>
    <row r="727" spans="1:13" ht="33" customHeight="1" thickBot="1">
      <c r="A727" s="112" t="s">
        <v>40</v>
      </c>
      <c r="B727" s="113"/>
      <c r="C727" s="113"/>
      <c r="D727" s="113"/>
      <c r="E727" s="113"/>
      <c r="F727" s="113"/>
      <c r="G727" s="113"/>
      <c r="H727" s="113"/>
      <c r="I727" s="113"/>
      <c r="J727" s="113"/>
      <c r="K727" s="113"/>
      <c r="L727" s="113"/>
      <c r="M727" s="114"/>
    </row>
    <row r="728" spans="1:13" ht="16.5" customHeight="1">
      <c r="A728" s="115" t="s">
        <v>41</v>
      </c>
      <c r="B728" s="116"/>
      <c r="C728" s="116"/>
      <c r="D728" s="116"/>
      <c r="E728" s="116"/>
      <c r="F728" s="116"/>
      <c r="G728" s="116"/>
      <c r="H728" s="116"/>
      <c r="I728" s="116"/>
      <c r="J728" s="116"/>
      <c r="K728" s="116"/>
      <c r="L728" s="116"/>
      <c r="M728" s="117"/>
    </row>
    <row r="729" spans="1:13" ht="16.5" customHeight="1">
      <c r="A729" s="90" t="s">
        <v>28</v>
      </c>
      <c r="B729" s="91"/>
      <c r="C729" s="91"/>
      <c r="D729" s="91"/>
      <c r="E729" s="91"/>
      <c r="F729" s="91"/>
      <c r="G729" s="91"/>
      <c r="H729" s="91"/>
      <c r="I729" s="91"/>
      <c r="J729" s="91"/>
      <c r="K729" s="91"/>
      <c r="L729" s="91"/>
      <c r="M729" s="92"/>
    </row>
    <row r="730" spans="1:13" s="1" customFormat="1" ht="16.5" customHeight="1">
      <c r="A730" s="93" t="s">
        <v>56</v>
      </c>
      <c r="B730" s="94"/>
      <c r="C730" s="94"/>
      <c r="D730" s="94"/>
      <c r="E730" s="94"/>
      <c r="F730" s="94"/>
      <c r="G730" s="94"/>
      <c r="H730" s="94"/>
      <c r="I730" s="94"/>
      <c r="J730" s="94"/>
      <c r="K730" s="94"/>
      <c r="L730" s="94"/>
      <c r="M730" s="95"/>
    </row>
    <row r="731" spans="1:13" s="1" customFormat="1" ht="16.5" customHeight="1">
      <c r="A731" s="93" t="s">
        <v>57</v>
      </c>
      <c r="B731" s="94"/>
      <c r="C731" s="94"/>
      <c r="D731" s="94"/>
      <c r="E731" s="94"/>
      <c r="F731" s="94"/>
      <c r="G731" s="94"/>
      <c r="H731" s="94"/>
      <c r="I731" s="94"/>
      <c r="J731" s="94"/>
      <c r="K731" s="94"/>
      <c r="L731" s="94"/>
      <c r="M731" s="95"/>
    </row>
    <row r="732" spans="1:13" s="1" customFormat="1" ht="16.5" customHeight="1">
      <c r="A732" s="93" t="s">
        <v>58</v>
      </c>
      <c r="B732" s="94"/>
      <c r="C732" s="94"/>
      <c r="D732" s="94"/>
      <c r="E732" s="94"/>
      <c r="F732" s="94"/>
      <c r="G732" s="94"/>
      <c r="H732" s="94"/>
      <c r="I732" s="94"/>
      <c r="J732" s="94"/>
      <c r="K732" s="94"/>
      <c r="L732" s="94"/>
      <c r="M732" s="95"/>
    </row>
    <row r="733" spans="1:13" s="1" customFormat="1" ht="16.5" customHeight="1">
      <c r="A733" s="93" t="s">
        <v>59</v>
      </c>
      <c r="B733" s="94"/>
      <c r="C733" s="94"/>
      <c r="D733" s="94"/>
      <c r="E733" s="94"/>
      <c r="F733" s="94"/>
      <c r="G733" s="94"/>
      <c r="H733" s="94"/>
      <c r="I733" s="94"/>
      <c r="J733" s="94"/>
      <c r="K733" s="94"/>
      <c r="L733" s="94"/>
      <c r="M733" s="95"/>
    </row>
    <row r="734" spans="1:13" ht="16.5" customHeight="1">
      <c r="A734" s="106" t="s">
        <v>29</v>
      </c>
      <c r="B734" s="107"/>
      <c r="C734" s="107"/>
      <c r="D734" s="107"/>
      <c r="E734" s="107"/>
      <c r="F734" s="107"/>
      <c r="G734" s="107"/>
      <c r="H734" s="107"/>
      <c r="I734" s="107"/>
      <c r="J734" s="107"/>
      <c r="K734" s="107"/>
      <c r="L734" s="107"/>
      <c r="M734" s="108"/>
    </row>
    <row r="735" spans="1:13" ht="9.75" customHeight="1" thickBot="1">
      <c r="A735" s="109"/>
      <c r="B735" s="110"/>
      <c r="C735" s="110"/>
      <c r="D735" s="110"/>
      <c r="E735" s="110"/>
      <c r="F735" s="110"/>
      <c r="G735" s="110"/>
      <c r="H735" s="110"/>
      <c r="I735" s="110"/>
      <c r="J735" s="110"/>
      <c r="K735" s="110"/>
      <c r="L735" s="110"/>
      <c r="M735" s="111"/>
    </row>
    <row r="736" spans="1:13" ht="18.75" customHeight="1" thickBot="1">
      <c r="A736" s="72" t="s">
        <v>30</v>
      </c>
      <c r="B736" s="73"/>
      <c r="C736" s="73"/>
      <c r="D736" s="73"/>
      <c r="E736" s="73"/>
      <c r="F736" s="73"/>
      <c r="G736" s="73"/>
      <c r="H736" s="73"/>
      <c r="I736" s="73"/>
      <c r="J736" s="73"/>
      <c r="K736" s="73"/>
      <c r="L736" s="73"/>
      <c r="M736" s="74"/>
    </row>
    <row r="737" spans="1:15" ht="24" customHeight="1" thickBot="1">
      <c r="A737" s="72" t="s">
        <v>31</v>
      </c>
      <c r="B737" s="73"/>
      <c r="C737" s="73"/>
      <c r="D737" s="73"/>
      <c r="E737" s="73"/>
      <c r="F737" s="73"/>
      <c r="G737" s="73"/>
      <c r="H737" s="73"/>
      <c r="I737" s="73"/>
      <c r="J737" s="73"/>
      <c r="K737" s="73"/>
      <c r="L737" s="73"/>
      <c r="M737" s="74"/>
    </row>
    <row r="738" spans="1:15" ht="24" customHeight="1" thickBot="1">
      <c r="A738" s="72" t="s">
        <v>62</v>
      </c>
      <c r="B738" s="73"/>
      <c r="C738" s="73"/>
      <c r="D738" s="73"/>
      <c r="E738" s="73"/>
      <c r="F738" s="73"/>
      <c r="G738" s="73"/>
      <c r="H738" s="73"/>
      <c r="I738" s="73"/>
      <c r="J738" s="73"/>
      <c r="K738" s="73"/>
      <c r="L738" s="73"/>
      <c r="M738" s="74"/>
    </row>
    <row r="739" spans="1:15" ht="24" customHeight="1" thickBot="1">
      <c r="A739" s="60" t="s">
        <v>46</v>
      </c>
      <c r="B739" s="61"/>
      <c r="C739" s="61"/>
      <c r="D739" s="61"/>
      <c r="E739" s="61"/>
      <c r="F739" s="61"/>
      <c r="G739" s="61"/>
      <c r="H739" s="61"/>
      <c r="I739" s="61"/>
      <c r="J739" s="61"/>
      <c r="K739" s="61"/>
      <c r="L739" s="61"/>
      <c r="M739" s="62"/>
    </row>
    <row r="740" spans="1:15" ht="11.1" customHeight="1">
      <c r="A740" s="103" t="s">
        <v>47</v>
      </c>
      <c r="B740" s="103"/>
      <c r="C740" s="103"/>
      <c r="D740" s="103"/>
      <c r="E740" s="103"/>
      <c r="F740" s="103"/>
      <c r="G740" s="103"/>
      <c r="H740" s="103"/>
      <c r="I740" s="103"/>
      <c r="J740" s="103"/>
      <c r="K740" s="103"/>
      <c r="L740" s="103"/>
      <c r="M740" s="103"/>
    </row>
    <row r="741" spans="1:15" ht="11.1" customHeight="1">
      <c r="A741" s="104" t="s">
        <v>48</v>
      </c>
      <c r="B741" s="104"/>
      <c r="C741" s="104"/>
      <c r="D741" s="104"/>
      <c r="E741" s="104"/>
      <c r="F741" s="104"/>
      <c r="G741" s="104"/>
      <c r="H741" s="104"/>
      <c r="I741" s="104"/>
      <c r="J741" s="104"/>
      <c r="K741" s="104"/>
      <c r="L741" s="104"/>
      <c r="M741" s="104"/>
    </row>
    <row r="742" spans="1:15" ht="11.1" customHeight="1">
      <c r="A742" s="105" t="s">
        <v>49</v>
      </c>
      <c r="B742" s="105"/>
      <c r="C742" s="105"/>
      <c r="D742" s="105"/>
      <c r="E742" s="105"/>
      <c r="F742" s="105"/>
      <c r="G742" s="105"/>
      <c r="H742" s="105"/>
      <c r="I742" s="105"/>
      <c r="J742" s="105"/>
      <c r="K742" s="105"/>
      <c r="L742" s="105"/>
      <c r="M742" s="105"/>
    </row>
    <row r="743" spans="1:15" ht="11.1" customHeight="1">
      <c r="A743" s="105" t="s">
        <v>50</v>
      </c>
      <c r="B743" s="105"/>
      <c r="C743" s="105"/>
      <c r="D743" s="105"/>
      <c r="E743" s="105"/>
      <c r="F743" s="105"/>
      <c r="G743" s="105"/>
      <c r="H743" s="105"/>
      <c r="I743" s="105"/>
      <c r="J743" s="105"/>
      <c r="K743" s="105"/>
      <c r="L743" s="105"/>
      <c r="M743" s="105"/>
    </row>
    <row r="744" spans="1:15" ht="11.1" customHeight="1">
      <c r="A744" s="104" t="s">
        <v>51</v>
      </c>
      <c r="B744" s="104"/>
      <c r="C744" s="104"/>
      <c r="D744" s="104"/>
      <c r="E744" s="104"/>
      <c r="F744" s="104"/>
      <c r="G744" s="104"/>
      <c r="H744" s="104"/>
      <c r="I744" s="104"/>
      <c r="J744" s="104"/>
      <c r="K744" s="104"/>
      <c r="L744" s="104"/>
      <c r="M744" s="104"/>
    </row>
    <row r="745" spans="1:15" ht="11.1" customHeight="1">
      <c r="A745" s="104" t="s">
        <v>52</v>
      </c>
      <c r="B745" s="104"/>
      <c r="C745" s="104"/>
      <c r="D745" s="104"/>
      <c r="E745" s="104"/>
      <c r="F745" s="104"/>
      <c r="G745" s="104"/>
      <c r="H745" s="104"/>
      <c r="I745" s="104"/>
      <c r="J745" s="104"/>
      <c r="K745" s="104"/>
      <c r="L745" s="104"/>
      <c r="M745" s="104"/>
    </row>
    <row r="746" spans="1:15" ht="11.1" customHeight="1">
      <c r="A746" s="104" t="s">
        <v>53</v>
      </c>
      <c r="B746" s="104"/>
      <c r="C746" s="104"/>
      <c r="D746" s="104"/>
      <c r="E746" s="104"/>
      <c r="F746" s="104"/>
      <c r="G746" s="104"/>
      <c r="H746" s="104"/>
      <c r="I746" s="104"/>
      <c r="J746" s="104"/>
      <c r="K746" s="104"/>
      <c r="L746" s="104"/>
      <c r="M746" s="104"/>
    </row>
    <row r="747" spans="1:15" ht="11.1" customHeight="1">
      <c r="A747" s="101" t="s">
        <v>54</v>
      </c>
      <c r="B747" s="101"/>
      <c r="C747" s="101"/>
      <c r="D747" s="101"/>
      <c r="E747" s="101"/>
      <c r="F747" s="101"/>
      <c r="G747" s="101"/>
      <c r="H747" s="101"/>
      <c r="I747" s="101"/>
      <c r="J747" s="101"/>
      <c r="K747" s="101"/>
      <c r="L747" s="101"/>
      <c r="M747" s="101"/>
    </row>
    <row r="748" spans="1:15" ht="11.1" customHeight="1">
      <c r="A748" s="101" t="s">
        <v>55</v>
      </c>
      <c r="B748" s="101"/>
      <c r="C748" s="101"/>
      <c r="D748" s="101"/>
      <c r="E748" s="101"/>
      <c r="F748" s="101"/>
      <c r="G748" s="101"/>
      <c r="H748" s="101"/>
      <c r="I748" s="101"/>
      <c r="J748" s="101"/>
      <c r="K748" s="101"/>
      <c r="L748" s="101"/>
      <c r="M748" s="101"/>
    </row>
    <row r="749" spans="1:15" ht="19.5" customHeight="1">
      <c r="A749" s="69" t="s">
        <v>0</v>
      </c>
      <c r="B749" s="69"/>
      <c r="C749" s="69"/>
      <c r="D749" s="69"/>
      <c r="E749" s="69"/>
      <c r="F749" s="69"/>
      <c r="G749" s="69"/>
      <c r="H749" s="69"/>
      <c r="I749" s="69"/>
      <c r="J749" s="69"/>
      <c r="K749" s="69"/>
      <c r="L749" s="69"/>
      <c r="M749" s="69"/>
    </row>
    <row r="750" spans="1:15" ht="20.100000000000001" customHeight="1">
      <c r="A750" s="4" t="s">
        <v>32</v>
      </c>
      <c r="B750" s="5">
        <f>+B706+1</f>
        <v>53</v>
      </c>
      <c r="C750" s="48"/>
      <c r="D750" s="48"/>
      <c r="E750" s="48"/>
      <c r="F750" s="48"/>
      <c r="G750" s="48"/>
      <c r="H750" s="48"/>
      <c r="I750" s="48"/>
      <c r="J750" s="48"/>
      <c r="K750" s="48"/>
      <c r="L750" s="48"/>
      <c r="M750" s="48"/>
    </row>
    <row r="751" spans="1:15" ht="24" customHeight="1" thickBot="1">
      <c r="A751" s="4" t="s">
        <v>33</v>
      </c>
      <c r="H751" s="70" t="s">
        <v>34</v>
      </c>
      <c r="I751" s="70"/>
      <c r="J751" s="70"/>
      <c r="K751" s="102">
        <f>+K707+1</f>
        <v>45979</v>
      </c>
      <c r="L751" s="102"/>
      <c r="M751" s="102"/>
      <c r="O751" s="7"/>
    </row>
    <row r="752" spans="1:15" ht="33.75" customHeight="1" thickBot="1">
      <c r="A752" s="80" t="s">
        <v>1</v>
      </c>
      <c r="B752" s="81"/>
      <c r="C752" s="82"/>
      <c r="D752" s="86" t="str">
        <f>+D708</f>
        <v>光明國中B與C區5樓老舊廁所整修工程</v>
      </c>
      <c r="E752" s="87"/>
      <c r="F752" s="87"/>
      <c r="G752" s="88"/>
      <c r="H752" s="80" t="s">
        <v>2</v>
      </c>
      <c r="I752" s="81"/>
      <c r="J752" s="82"/>
      <c r="K752" s="80" t="s">
        <v>35</v>
      </c>
      <c r="L752" s="81"/>
      <c r="M752" s="82"/>
    </row>
    <row r="753" spans="1:13" ht="33.75" customHeight="1" thickBot="1">
      <c r="A753" s="8" t="s">
        <v>3</v>
      </c>
      <c r="B753" s="45">
        <f>+B709</f>
        <v>142</v>
      </c>
      <c r="C753" s="10" t="s">
        <v>36</v>
      </c>
      <c r="D753" s="80" t="s">
        <v>4</v>
      </c>
      <c r="E753" s="89"/>
      <c r="F753" s="46">
        <f>+F709+1</f>
        <v>53</v>
      </c>
      <c r="G753" s="12" t="s">
        <v>36</v>
      </c>
      <c r="H753" s="13" t="s">
        <v>5</v>
      </c>
      <c r="I753" s="45">
        <f>+B753-F753</f>
        <v>89</v>
      </c>
      <c r="J753" s="10" t="s">
        <v>36</v>
      </c>
      <c r="K753" s="80" t="s">
        <v>6</v>
      </c>
      <c r="L753" s="82"/>
      <c r="M753" s="13">
        <f>+M709</f>
        <v>12</v>
      </c>
    </row>
    <row r="754" spans="1:13" ht="24" customHeight="1" thickBot="1">
      <c r="A754" s="80" t="s">
        <v>7</v>
      </c>
      <c r="B754" s="81"/>
      <c r="C754" s="82"/>
      <c r="D754" s="80" t="str">
        <f>+D710</f>
        <v>114.9.27</v>
      </c>
      <c r="E754" s="81"/>
      <c r="F754" s="81"/>
      <c r="G754" s="82"/>
      <c r="H754" s="80" t="s">
        <v>8</v>
      </c>
      <c r="I754" s="81"/>
      <c r="J754" s="82"/>
      <c r="K754" s="80" t="str">
        <f>+K710</f>
        <v>115.2.15</v>
      </c>
      <c r="L754" s="81"/>
      <c r="M754" s="82"/>
    </row>
    <row r="755" spans="1:13" ht="24" customHeight="1" thickBot="1">
      <c r="A755" s="80" t="s">
        <v>37</v>
      </c>
      <c r="B755" s="81"/>
      <c r="C755" s="82"/>
      <c r="D755" s="83">
        <v>5.1999999999999998E-2</v>
      </c>
      <c r="E755" s="84"/>
      <c r="F755" s="84"/>
      <c r="G755" s="85"/>
      <c r="H755" s="80" t="s">
        <v>38</v>
      </c>
      <c r="I755" s="81"/>
      <c r="J755" s="82"/>
      <c r="K755" s="83">
        <f>+K711</f>
        <v>5.8000000000000003E-2</v>
      </c>
      <c r="L755" s="84"/>
      <c r="M755" s="85"/>
    </row>
    <row r="756" spans="1:13" ht="24" customHeight="1" thickBot="1">
      <c r="A756" s="72" t="s">
        <v>9</v>
      </c>
      <c r="B756" s="73"/>
      <c r="C756" s="73"/>
      <c r="D756" s="73"/>
      <c r="E756" s="73"/>
      <c r="F756" s="73"/>
      <c r="G756" s="73"/>
      <c r="H756" s="73"/>
      <c r="I756" s="73"/>
      <c r="J756" s="73"/>
      <c r="K756" s="73"/>
      <c r="L756" s="73"/>
      <c r="M756" s="74"/>
    </row>
    <row r="757" spans="1:13" ht="35.25" customHeight="1" thickBot="1">
      <c r="A757" s="75" t="s">
        <v>10</v>
      </c>
      <c r="B757" s="76"/>
      <c r="C757" s="76"/>
      <c r="D757" s="77"/>
      <c r="E757" s="14" t="s">
        <v>11</v>
      </c>
      <c r="F757" s="75" t="s">
        <v>12</v>
      </c>
      <c r="G757" s="77"/>
      <c r="H757" s="75" t="s">
        <v>13</v>
      </c>
      <c r="I757" s="77"/>
      <c r="J757" s="78" t="s">
        <v>14</v>
      </c>
      <c r="K757" s="79"/>
      <c r="L757" s="75" t="s">
        <v>15</v>
      </c>
      <c r="M757" s="77"/>
    </row>
    <row r="758" spans="1:13" ht="27.95" customHeight="1" thickBot="1">
      <c r="A758" s="141"/>
      <c r="B758" s="142"/>
      <c r="C758" s="142"/>
      <c r="D758" s="143"/>
      <c r="E758" s="2"/>
      <c r="F758" s="56"/>
      <c r="G758" s="57"/>
      <c r="H758" s="56"/>
      <c r="I758" s="57"/>
      <c r="J758" s="56"/>
      <c r="K758" s="57"/>
      <c r="L758" s="58"/>
      <c r="M758" s="59"/>
    </row>
    <row r="759" spans="1:13" ht="27.95" customHeight="1" thickBot="1">
      <c r="A759" s="141"/>
      <c r="B759" s="142"/>
      <c r="C759" s="142"/>
      <c r="D759" s="143"/>
      <c r="E759" s="15"/>
      <c r="F759" s="56"/>
      <c r="G759" s="57"/>
      <c r="H759" s="56"/>
      <c r="I759" s="57"/>
      <c r="J759" s="56"/>
      <c r="K759" s="57"/>
      <c r="L759" s="58"/>
      <c r="M759" s="59"/>
    </row>
    <row r="760" spans="1:13" ht="24.95" customHeight="1" thickTop="1" thickBot="1">
      <c r="A760" s="130" t="s">
        <v>16</v>
      </c>
      <c r="B760" s="67"/>
      <c r="C760" s="67"/>
      <c r="D760" s="68"/>
      <c r="E760" s="47"/>
      <c r="F760" s="131"/>
      <c r="G760" s="132"/>
      <c r="H760" s="131"/>
      <c r="I760" s="132"/>
      <c r="J760" s="131"/>
      <c r="K760" s="132"/>
      <c r="L760" s="131"/>
      <c r="M760" s="133"/>
    </row>
    <row r="761" spans="1:13" ht="24.95" customHeight="1" thickBot="1">
      <c r="A761" s="134" t="s">
        <v>17</v>
      </c>
      <c r="B761" s="135"/>
      <c r="C761" s="135"/>
      <c r="D761" s="59"/>
      <c r="E761" s="47"/>
      <c r="F761" s="58"/>
      <c r="G761" s="59"/>
      <c r="H761" s="58"/>
      <c r="I761" s="59"/>
      <c r="J761" s="58"/>
      <c r="K761" s="59"/>
      <c r="L761" s="58"/>
      <c r="M761" s="136"/>
    </row>
    <row r="762" spans="1:13" ht="24.95" customHeight="1" thickBot="1">
      <c r="A762" s="118" t="s">
        <v>18</v>
      </c>
      <c r="B762" s="119"/>
      <c r="C762" s="119"/>
      <c r="D762" s="120"/>
      <c r="E762" s="24"/>
      <c r="F762" s="121"/>
      <c r="G762" s="120"/>
      <c r="H762" s="121"/>
      <c r="I762" s="120"/>
      <c r="J762" s="121"/>
      <c r="K762" s="120"/>
      <c r="L762" s="121"/>
      <c r="M762" s="122"/>
    </row>
    <row r="763" spans="1:13" ht="24" customHeight="1" thickTop="1" thickBot="1">
      <c r="A763" s="66" t="s">
        <v>19</v>
      </c>
      <c r="B763" s="67"/>
      <c r="C763" s="67"/>
      <c r="D763" s="67"/>
      <c r="E763" s="67"/>
      <c r="F763" s="67"/>
      <c r="G763" s="67"/>
      <c r="H763" s="67"/>
      <c r="I763" s="67"/>
      <c r="J763" s="67"/>
      <c r="K763" s="67"/>
      <c r="L763" s="67"/>
      <c r="M763" s="68"/>
    </row>
    <row r="764" spans="1:13" ht="35.25" customHeight="1" thickBot="1">
      <c r="A764" s="75" t="s">
        <v>20</v>
      </c>
      <c r="B764" s="76"/>
      <c r="C764" s="76"/>
      <c r="D764" s="77"/>
      <c r="E764" s="14" t="s">
        <v>11</v>
      </c>
      <c r="F764" s="75" t="s">
        <v>39</v>
      </c>
      <c r="G764" s="77"/>
      <c r="H764" s="75" t="s">
        <v>21</v>
      </c>
      <c r="I764" s="77"/>
      <c r="J764" s="78" t="s">
        <v>22</v>
      </c>
      <c r="K764" s="79"/>
      <c r="L764" s="75" t="s">
        <v>15</v>
      </c>
      <c r="M764" s="77"/>
    </row>
    <row r="765" spans="1:13" ht="24" customHeight="1" thickBot="1">
      <c r="A765" s="96"/>
      <c r="B765" s="97"/>
      <c r="C765" s="97"/>
      <c r="D765" s="98"/>
      <c r="E765" s="47"/>
      <c r="F765" s="58"/>
      <c r="G765" s="59"/>
      <c r="H765" s="58"/>
      <c r="I765" s="59"/>
      <c r="J765" s="56"/>
      <c r="K765" s="57"/>
      <c r="L765" s="58"/>
      <c r="M765" s="59"/>
    </row>
    <row r="766" spans="1:13" ht="24" customHeight="1" thickBot="1">
      <c r="A766" s="96"/>
      <c r="B766" s="97"/>
      <c r="C766" s="97"/>
      <c r="D766" s="98"/>
      <c r="E766" s="47"/>
      <c r="F766" s="58"/>
      <c r="G766" s="59"/>
      <c r="H766" s="58"/>
      <c r="I766" s="59"/>
      <c r="J766" s="56"/>
      <c r="K766" s="57"/>
      <c r="L766" s="58"/>
      <c r="M766" s="59"/>
    </row>
    <row r="767" spans="1:13" ht="24" customHeight="1" thickBot="1">
      <c r="A767" s="60" t="s">
        <v>23</v>
      </c>
      <c r="B767" s="61"/>
      <c r="C767" s="61"/>
      <c r="D767" s="61"/>
      <c r="E767" s="61"/>
      <c r="F767" s="61"/>
      <c r="G767" s="61"/>
      <c r="H767" s="61"/>
      <c r="I767" s="61"/>
      <c r="J767" s="61"/>
      <c r="K767" s="61"/>
      <c r="L767" s="61"/>
      <c r="M767" s="62"/>
    </row>
    <row r="768" spans="1:13" ht="35.25" customHeight="1" thickBot="1">
      <c r="A768" s="75" t="s">
        <v>24</v>
      </c>
      <c r="B768" s="77"/>
      <c r="C768" s="75" t="s">
        <v>25</v>
      </c>
      <c r="D768" s="77"/>
      <c r="E768" s="75" t="s">
        <v>26</v>
      </c>
      <c r="F768" s="76"/>
      <c r="G768" s="77"/>
      <c r="H768" s="75" t="s">
        <v>27</v>
      </c>
      <c r="I768" s="77"/>
      <c r="J768" s="78" t="s">
        <v>21</v>
      </c>
      <c r="K768" s="79"/>
      <c r="L768" s="75" t="s">
        <v>22</v>
      </c>
      <c r="M768" s="77"/>
    </row>
    <row r="769" spans="1:13" s="18" customFormat="1" ht="24.75" customHeight="1" thickBot="1">
      <c r="A769" s="99"/>
      <c r="B769" s="98"/>
      <c r="C769" s="56"/>
      <c r="D769" s="57"/>
      <c r="E769" s="56"/>
      <c r="F769" s="100"/>
      <c r="G769" s="57"/>
      <c r="H769" s="56"/>
      <c r="I769" s="57"/>
      <c r="J769" s="56"/>
      <c r="K769" s="57"/>
      <c r="L769" s="56"/>
      <c r="M769" s="57"/>
    </row>
    <row r="770" spans="1:13" s="18" customFormat="1" ht="24.75" customHeight="1" thickBot="1">
      <c r="A770" s="99"/>
      <c r="B770" s="98"/>
      <c r="C770" s="56"/>
      <c r="D770" s="57"/>
      <c r="E770" s="56"/>
      <c r="F770" s="100"/>
      <c r="G770" s="57"/>
      <c r="H770" s="56"/>
      <c r="I770" s="57"/>
      <c r="J770" s="56"/>
      <c r="K770" s="57"/>
      <c r="L770" s="56"/>
      <c r="M770" s="57"/>
    </row>
    <row r="771" spans="1:13" ht="33" customHeight="1" thickBot="1">
      <c r="A771" s="112" t="s">
        <v>40</v>
      </c>
      <c r="B771" s="113"/>
      <c r="C771" s="113"/>
      <c r="D771" s="113"/>
      <c r="E771" s="113"/>
      <c r="F771" s="113"/>
      <c r="G771" s="113"/>
      <c r="H771" s="113"/>
      <c r="I771" s="113"/>
      <c r="J771" s="113"/>
      <c r="K771" s="113"/>
      <c r="L771" s="113"/>
      <c r="M771" s="114"/>
    </row>
    <row r="772" spans="1:13" ht="16.5" customHeight="1">
      <c r="A772" s="115" t="s">
        <v>41</v>
      </c>
      <c r="B772" s="116"/>
      <c r="C772" s="116"/>
      <c r="D772" s="116"/>
      <c r="E772" s="116"/>
      <c r="F772" s="116"/>
      <c r="G772" s="116"/>
      <c r="H772" s="116"/>
      <c r="I772" s="116"/>
      <c r="J772" s="116"/>
      <c r="K772" s="116"/>
      <c r="L772" s="116"/>
      <c r="M772" s="117"/>
    </row>
    <row r="773" spans="1:13" ht="16.5" customHeight="1">
      <c r="A773" s="90" t="s">
        <v>28</v>
      </c>
      <c r="B773" s="91"/>
      <c r="C773" s="91"/>
      <c r="D773" s="91"/>
      <c r="E773" s="91"/>
      <c r="F773" s="91"/>
      <c r="G773" s="91"/>
      <c r="H773" s="91"/>
      <c r="I773" s="91"/>
      <c r="J773" s="91"/>
      <c r="K773" s="91"/>
      <c r="L773" s="91"/>
      <c r="M773" s="92"/>
    </row>
    <row r="774" spans="1:13" s="1" customFormat="1" ht="16.5" customHeight="1">
      <c r="A774" s="93" t="s">
        <v>56</v>
      </c>
      <c r="B774" s="94"/>
      <c r="C774" s="94"/>
      <c r="D774" s="94"/>
      <c r="E774" s="94"/>
      <c r="F774" s="94"/>
      <c r="G774" s="94"/>
      <c r="H774" s="94"/>
      <c r="I774" s="94"/>
      <c r="J774" s="94"/>
      <c r="K774" s="94"/>
      <c r="L774" s="94"/>
      <c r="M774" s="95"/>
    </row>
    <row r="775" spans="1:13" s="1" customFormat="1" ht="16.5" customHeight="1">
      <c r="A775" s="93" t="s">
        <v>57</v>
      </c>
      <c r="B775" s="94"/>
      <c r="C775" s="94"/>
      <c r="D775" s="94"/>
      <c r="E775" s="94"/>
      <c r="F775" s="94"/>
      <c r="G775" s="94"/>
      <c r="H775" s="94"/>
      <c r="I775" s="94"/>
      <c r="J775" s="94"/>
      <c r="K775" s="94"/>
      <c r="L775" s="94"/>
      <c r="M775" s="95"/>
    </row>
    <row r="776" spans="1:13" s="1" customFormat="1" ht="16.5" customHeight="1">
      <c r="A776" s="93" t="s">
        <v>58</v>
      </c>
      <c r="B776" s="94"/>
      <c r="C776" s="94"/>
      <c r="D776" s="94"/>
      <c r="E776" s="94"/>
      <c r="F776" s="94"/>
      <c r="G776" s="94"/>
      <c r="H776" s="94"/>
      <c r="I776" s="94"/>
      <c r="J776" s="94"/>
      <c r="K776" s="94"/>
      <c r="L776" s="94"/>
      <c r="M776" s="95"/>
    </row>
    <row r="777" spans="1:13" s="1" customFormat="1" ht="16.5" customHeight="1">
      <c r="A777" s="93" t="s">
        <v>59</v>
      </c>
      <c r="B777" s="94"/>
      <c r="C777" s="94"/>
      <c r="D777" s="94"/>
      <c r="E777" s="94"/>
      <c r="F777" s="94"/>
      <c r="G777" s="94"/>
      <c r="H777" s="94"/>
      <c r="I777" s="94"/>
      <c r="J777" s="94"/>
      <c r="K777" s="94"/>
      <c r="L777" s="94"/>
      <c r="M777" s="95"/>
    </row>
    <row r="778" spans="1:13" ht="16.5" customHeight="1">
      <c r="A778" s="106" t="s">
        <v>29</v>
      </c>
      <c r="B778" s="107"/>
      <c r="C778" s="107"/>
      <c r="D778" s="107"/>
      <c r="E778" s="107"/>
      <c r="F778" s="107"/>
      <c r="G778" s="107"/>
      <c r="H778" s="107"/>
      <c r="I778" s="107"/>
      <c r="J778" s="107"/>
      <c r="K778" s="107"/>
      <c r="L778" s="107"/>
      <c r="M778" s="108"/>
    </row>
    <row r="779" spans="1:13" ht="9.75" customHeight="1" thickBot="1">
      <c r="A779" s="109"/>
      <c r="B779" s="110"/>
      <c r="C779" s="110"/>
      <c r="D779" s="110"/>
      <c r="E779" s="110"/>
      <c r="F779" s="110"/>
      <c r="G779" s="110"/>
      <c r="H779" s="110"/>
      <c r="I779" s="110"/>
      <c r="J779" s="110"/>
      <c r="K779" s="110"/>
      <c r="L779" s="110"/>
      <c r="M779" s="111"/>
    </row>
    <row r="780" spans="1:13" ht="18.75" customHeight="1" thickBot="1">
      <c r="A780" s="72" t="s">
        <v>30</v>
      </c>
      <c r="B780" s="73"/>
      <c r="C780" s="73"/>
      <c r="D780" s="73"/>
      <c r="E780" s="73"/>
      <c r="F780" s="73"/>
      <c r="G780" s="73"/>
      <c r="H780" s="73"/>
      <c r="I780" s="73"/>
      <c r="J780" s="73"/>
      <c r="K780" s="73"/>
      <c r="L780" s="73"/>
      <c r="M780" s="74"/>
    </row>
    <row r="781" spans="1:13" ht="24" customHeight="1" thickBot="1">
      <c r="A781" s="72" t="s">
        <v>31</v>
      </c>
      <c r="B781" s="73"/>
      <c r="C781" s="73"/>
      <c r="D781" s="73"/>
      <c r="E781" s="73"/>
      <c r="F781" s="73"/>
      <c r="G781" s="73"/>
      <c r="H781" s="73"/>
      <c r="I781" s="73"/>
      <c r="J781" s="73"/>
      <c r="K781" s="73"/>
      <c r="L781" s="73"/>
      <c r="M781" s="74"/>
    </row>
    <row r="782" spans="1:13" ht="24" customHeight="1" thickBot="1">
      <c r="A782" s="72" t="s">
        <v>62</v>
      </c>
      <c r="B782" s="73"/>
      <c r="C782" s="73"/>
      <c r="D782" s="73"/>
      <c r="E782" s="73"/>
      <c r="F782" s="73"/>
      <c r="G782" s="73"/>
      <c r="H782" s="73"/>
      <c r="I782" s="73"/>
      <c r="J782" s="73"/>
      <c r="K782" s="73"/>
      <c r="L782" s="73"/>
      <c r="M782" s="74"/>
    </row>
    <row r="783" spans="1:13" ht="24" customHeight="1" thickBot="1">
      <c r="A783" s="60" t="s">
        <v>46</v>
      </c>
      <c r="B783" s="61"/>
      <c r="C783" s="61"/>
      <c r="D783" s="61"/>
      <c r="E783" s="61"/>
      <c r="F783" s="61"/>
      <c r="G783" s="61"/>
      <c r="H783" s="61"/>
      <c r="I783" s="61"/>
      <c r="J783" s="61"/>
      <c r="K783" s="61"/>
      <c r="L783" s="61"/>
      <c r="M783" s="62"/>
    </row>
    <row r="784" spans="1:13" ht="11.1" customHeight="1">
      <c r="A784" s="103" t="s">
        <v>47</v>
      </c>
      <c r="B784" s="103"/>
      <c r="C784" s="103"/>
      <c r="D784" s="103"/>
      <c r="E784" s="103"/>
      <c r="F784" s="103"/>
      <c r="G784" s="103"/>
      <c r="H784" s="103"/>
      <c r="I784" s="103"/>
      <c r="J784" s="103"/>
      <c r="K784" s="103"/>
      <c r="L784" s="103"/>
      <c r="M784" s="103"/>
    </row>
    <row r="785" spans="1:15" ht="11.1" customHeight="1">
      <c r="A785" s="104" t="s">
        <v>48</v>
      </c>
      <c r="B785" s="104"/>
      <c r="C785" s="104"/>
      <c r="D785" s="104"/>
      <c r="E785" s="104"/>
      <c r="F785" s="104"/>
      <c r="G785" s="104"/>
      <c r="H785" s="104"/>
      <c r="I785" s="104"/>
      <c r="J785" s="104"/>
      <c r="K785" s="104"/>
      <c r="L785" s="104"/>
      <c r="M785" s="104"/>
    </row>
    <row r="786" spans="1:15" ht="11.1" customHeight="1">
      <c r="A786" s="105" t="s">
        <v>49</v>
      </c>
      <c r="B786" s="105"/>
      <c r="C786" s="105"/>
      <c r="D786" s="105"/>
      <c r="E786" s="105"/>
      <c r="F786" s="105"/>
      <c r="G786" s="105"/>
      <c r="H786" s="105"/>
      <c r="I786" s="105"/>
      <c r="J786" s="105"/>
      <c r="K786" s="105"/>
      <c r="L786" s="105"/>
      <c r="M786" s="105"/>
    </row>
    <row r="787" spans="1:15" ht="11.1" customHeight="1">
      <c r="A787" s="105" t="s">
        <v>50</v>
      </c>
      <c r="B787" s="105"/>
      <c r="C787" s="105"/>
      <c r="D787" s="105"/>
      <c r="E787" s="105"/>
      <c r="F787" s="105"/>
      <c r="G787" s="105"/>
      <c r="H787" s="105"/>
      <c r="I787" s="105"/>
      <c r="J787" s="105"/>
      <c r="K787" s="105"/>
      <c r="L787" s="105"/>
      <c r="M787" s="105"/>
    </row>
    <row r="788" spans="1:15" ht="11.1" customHeight="1">
      <c r="A788" s="104" t="s">
        <v>51</v>
      </c>
      <c r="B788" s="104"/>
      <c r="C788" s="104"/>
      <c r="D788" s="104"/>
      <c r="E788" s="104"/>
      <c r="F788" s="104"/>
      <c r="G788" s="104"/>
      <c r="H788" s="104"/>
      <c r="I788" s="104"/>
      <c r="J788" s="104"/>
      <c r="K788" s="104"/>
      <c r="L788" s="104"/>
      <c r="M788" s="104"/>
    </row>
    <row r="789" spans="1:15" ht="11.1" customHeight="1">
      <c r="A789" s="104" t="s">
        <v>52</v>
      </c>
      <c r="B789" s="104"/>
      <c r="C789" s="104"/>
      <c r="D789" s="104"/>
      <c r="E789" s="104"/>
      <c r="F789" s="104"/>
      <c r="G789" s="104"/>
      <c r="H789" s="104"/>
      <c r="I789" s="104"/>
      <c r="J789" s="104"/>
      <c r="K789" s="104"/>
      <c r="L789" s="104"/>
      <c r="M789" s="104"/>
    </row>
    <row r="790" spans="1:15" ht="11.1" customHeight="1">
      <c r="A790" s="104" t="s">
        <v>53</v>
      </c>
      <c r="B790" s="104"/>
      <c r="C790" s="104"/>
      <c r="D790" s="104"/>
      <c r="E790" s="104"/>
      <c r="F790" s="104"/>
      <c r="G790" s="104"/>
      <c r="H790" s="104"/>
      <c r="I790" s="104"/>
      <c r="J790" s="104"/>
      <c r="K790" s="104"/>
      <c r="L790" s="104"/>
      <c r="M790" s="104"/>
    </row>
    <row r="791" spans="1:15" ht="11.1" customHeight="1">
      <c r="A791" s="101" t="s">
        <v>54</v>
      </c>
      <c r="B791" s="101"/>
      <c r="C791" s="101"/>
      <c r="D791" s="101"/>
      <c r="E791" s="101"/>
      <c r="F791" s="101"/>
      <c r="G791" s="101"/>
      <c r="H791" s="101"/>
      <c r="I791" s="101"/>
      <c r="J791" s="101"/>
      <c r="K791" s="101"/>
      <c r="L791" s="101"/>
      <c r="M791" s="101"/>
    </row>
    <row r="792" spans="1:15" ht="11.1" customHeight="1">
      <c r="A792" s="101" t="s">
        <v>55</v>
      </c>
      <c r="B792" s="101"/>
      <c r="C792" s="101"/>
      <c r="D792" s="101"/>
      <c r="E792" s="101"/>
      <c r="F792" s="101"/>
      <c r="G792" s="101"/>
      <c r="H792" s="101"/>
      <c r="I792" s="101"/>
      <c r="J792" s="101"/>
      <c r="K792" s="101"/>
      <c r="L792" s="101"/>
      <c r="M792" s="101"/>
    </row>
    <row r="793" spans="1:15" ht="19.5" customHeight="1">
      <c r="A793" s="69" t="s">
        <v>0</v>
      </c>
      <c r="B793" s="69"/>
      <c r="C793" s="69"/>
      <c r="D793" s="69"/>
      <c r="E793" s="69"/>
      <c r="F793" s="69"/>
      <c r="G793" s="69"/>
      <c r="H793" s="69"/>
      <c r="I793" s="69"/>
      <c r="J793" s="69"/>
      <c r="K793" s="69"/>
      <c r="L793" s="69"/>
      <c r="M793" s="69"/>
    </row>
    <row r="794" spans="1:15" ht="20.100000000000001" customHeight="1">
      <c r="A794" s="4" t="s">
        <v>32</v>
      </c>
      <c r="B794" s="5">
        <f>+B750+1</f>
        <v>54</v>
      </c>
      <c r="C794" s="48"/>
      <c r="D794" s="48"/>
      <c r="E794" s="48"/>
      <c r="F794" s="48"/>
      <c r="G794" s="48"/>
      <c r="H794" s="48"/>
      <c r="I794" s="48"/>
      <c r="J794" s="48"/>
      <c r="K794" s="48"/>
      <c r="L794" s="48"/>
      <c r="M794" s="48"/>
    </row>
    <row r="795" spans="1:15" ht="24" customHeight="1" thickBot="1">
      <c r="A795" s="4" t="s">
        <v>33</v>
      </c>
      <c r="H795" s="70" t="s">
        <v>34</v>
      </c>
      <c r="I795" s="70"/>
      <c r="J795" s="70"/>
      <c r="K795" s="102">
        <f>+K751+1</f>
        <v>45980</v>
      </c>
      <c r="L795" s="102"/>
      <c r="M795" s="102"/>
      <c r="O795" s="7"/>
    </row>
    <row r="796" spans="1:15" ht="33.75" customHeight="1" thickBot="1">
      <c r="A796" s="80" t="s">
        <v>1</v>
      </c>
      <c r="B796" s="81"/>
      <c r="C796" s="82"/>
      <c r="D796" s="86" t="str">
        <f>+D752</f>
        <v>光明國中B與C區5樓老舊廁所整修工程</v>
      </c>
      <c r="E796" s="87"/>
      <c r="F796" s="87"/>
      <c r="G796" s="88"/>
      <c r="H796" s="80" t="s">
        <v>2</v>
      </c>
      <c r="I796" s="81"/>
      <c r="J796" s="82"/>
      <c r="K796" s="80" t="s">
        <v>35</v>
      </c>
      <c r="L796" s="81"/>
      <c r="M796" s="82"/>
    </row>
    <row r="797" spans="1:15" ht="33.75" customHeight="1" thickBot="1">
      <c r="A797" s="8" t="s">
        <v>3</v>
      </c>
      <c r="B797" s="45">
        <f>+B753</f>
        <v>142</v>
      </c>
      <c r="C797" s="10" t="s">
        <v>36</v>
      </c>
      <c r="D797" s="80" t="s">
        <v>4</v>
      </c>
      <c r="E797" s="89"/>
      <c r="F797" s="46">
        <f>+F753+1</f>
        <v>54</v>
      </c>
      <c r="G797" s="12" t="s">
        <v>36</v>
      </c>
      <c r="H797" s="13" t="s">
        <v>5</v>
      </c>
      <c r="I797" s="45">
        <f>+B797-F797</f>
        <v>88</v>
      </c>
      <c r="J797" s="10" t="s">
        <v>36</v>
      </c>
      <c r="K797" s="80" t="s">
        <v>6</v>
      </c>
      <c r="L797" s="82"/>
      <c r="M797" s="13">
        <f>+M753</f>
        <v>12</v>
      </c>
    </row>
    <row r="798" spans="1:15" ht="24" customHeight="1" thickBot="1">
      <c r="A798" s="80" t="s">
        <v>7</v>
      </c>
      <c r="B798" s="81"/>
      <c r="C798" s="82"/>
      <c r="D798" s="80" t="str">
        <f>+D754</f>
        <v>114.9.27</v>
      </c>
      <c r="E798" s="81"/>
      <c r="F798" s="81"/>
      <c r="G798" s="82"/>
      <c r="H798" s="80" t="s">
        <v>8</v>
      </c>
      <c r="I798" s="81"/>
      <c r="J798" s="82"/>
      <c r="K798" s="80" t="str">
        <f>+K754</f>
        <v>115.2.15</v>
      </c>
      <c r="L798" s="81"/>
      <c r="M798" s="82"/>
    </row>
    <row r="799" spans="1:15" ht="24" customHeight="1" thickBot="1">
      <c r="A799" s="80" t="s">
        <v>37</v>
      </c>
      <c r="B799" s="81"/>
      <c r="C799" s="82"/>
      <c r="D799" s="83">
        <v>5.3999999999999999E-2</v>
      </c>
      <c r="E799" s="84"/>
      <c r="F799" s="84"/>
      <c r="G799" s="85"/>
      <c r="H799" s="80" t="s">
        <v>38</v>
      </c>
      <c r="I799" s="81"/>
      <c r="J799" s="82"/>
      <c r="K799" s="83">
        <f>+K755</f>
        <v>5.8000000000000003E-2</v>
      </c>
      <c r="L799" s="84"/>
      <c r="M799" s="85"/>
    </row>
    <row r="800" spans="1:15" ht="24" customHeight="1" thickBot="1">
      <c r="A800" s="72" t="s">
        <v>9</v>
      </c>
      <c r="B800" s="73"/>
      <c r="C800" s="73"/>
      <c r="D800" s="73"/>
      <c r="E800" s="73"/>
      <c r="F800" s="73"/>
      <c r="G800" s="73"/>
      <c r="H800" s="73"/>
      <c r="I800" s="73"/>
      <c r="J800" s="73"/>
      <c r="K800" s="73"/>
      <c r="L800" s="73"/>
      <c r="M800" s="74"/>
    </row>
    <row r="801" spans="1:13" ht="35.25" customHeight="1" thickBot="1">
      <c r="A801" s="75" t="s">
        <v>10</v>
      </c>
      <c r="B801" s="76"/>
      <c r="C801" s="76"/>
      <c r="D801" s="77"/>
      <c r="E801" s="14" t="s">
        <v>11</v>
      </c>
      <c r="F801" s="75" t="s">
        <v>12</v>
      </c>
      <c r="G801" s="77"/>
      <c r="H801" s="75" t="s">
        <v>13</v>
      </c>
      <c r="I801" s="77"/>
      <c r="J801" s="78" t="s">
        <v>14</v>
      </c>
      <c r="K801" s="79"/>
      <c r="L801" s="75" t="s">
        <v>15</v>
      </c>
      <c r="M801" s="77"/>
    </row>
    <row r="802" spans="1:13" ht="27.95" customHeight="1" thickBot="1">
      <c r="A802" s="141"/>
      <c r="B802" s="142"/>
      <c r="C802" s="142"/>
      <c r="D802" s="143"/>
      <c r="E802" s="2"/>
      <c r="F802" s="56"/>
      <c r="G802" s="57"/>
      <c r="H802" s="56"/>
      <c r="I802" s="57"/>
      <c r="J802" s="56"/>
      <c r="K802" s="57"/>
      <c r="L802" s="58"/>
      <c r="M802" s="59"/>
    </row>
    <row r="803" spans="1:13" ht="27.95" customHeight="1" thickBot="1">
      <c r="A803" s="141"/>
      <c r="B803" s="142"/>
      <c r="C803" s="142"/>
      <c r="D803" s="143"/>
      <c r="E803" s="15"/>
      <c r="F803" s="56"/>
      <c r="G803" s="57"/>
      <c r="H803" s="56"/>
      <c r="I803" s="57"/>
      <c r="J803" s="56"/>
      <c r="K803" s="57"/>
      <c r="L803" s="58"/>
      <c r="M803" s="59"/>
    </row>
    <row r="804" spans="1:13" ht="24.95" customHeight="1" thickTop="1" thickBot="1">
      <c r="A804" s="130" t="s">
        <v>16</v>
      </c>
      <c r="B804" s="67"/>
      <c r="C804" s="67"/>
      <c r="D804" s="68"/>
      <c r="E804" s="47"/>
      <c r="F804" s="131"/>
      <c r="G804" s="132"/>
      <c r="H804" s="131"/>
      <c r="I804" s="132"/>
      <c r="J804" s="131"/>
      <c r="K804" s="132"/>
      <c r="L804" s="131"/>
      <c r="M804" s="133"/>
    </row>
    <row r="805" spans="1:13" ht="24.95" customHeight="1" thickBot="1">
      <c r="A805" s="134" t="s">
        <v>17</v>
      </c>
      <c r="B805" s="135"/>
      <c r="C805" s="135"/>
      <c r="D805" s="59"/>
      <c r="E805" s="47"/>
      <c r="F805" s="58"/>
      <c r="G805" s="59"/>
      <c r="H805" s="58"/>
      <c r="I805" s="59"/>
      <c r="J805" s="58"/>
      <c r="K805" s="59"/>
      <c r="L805" s="58"/>
      <c r="M805" s="136"/>
    </row>
    <row r="806" spans="1:13" ht="24.95" customHeight="1" thickBot="1">
      <c r="A806" s="118" t="s">
        <v>18</v>
      </c>
      <c r="B806" s="119"/>
      <c r="C806" s="119"/>
      <c r="D806" s="120"/>
      <c r="E806" s="24"/>
      <c r="F806" s="121"/>
      <c r="G806" s="120"/>
      <c r="H806" s="121"/>
      <c r="I806" s="120"/>
      <c r="J806" s="121"/>
      <c r="K806" s="120"/>
      <c r="L806" s="121"/>
      <c r="M806" s="122"/>
    </row>
    <row r="807" spans="1:13" ht="24" customHeight="1" thickTop="1" thickBot="1">
      <c r="A807" s="66" t="s">
        <v>19</v>
      </c>
      <c r="B807" s="67"/>
      <c r="C807" s="67"/>
      <c r="D807" s="67"/>
      <c r="E807" s="67"/>
      <c r="F807" s="67"/>
      <c r="G807" s="67"/>
      <c r="H807" s="67"/>
      <c r="I807" s="67"/>
      <c r="J807" s="67"/>
      <c r="K807" s="67"/>
      <c r="L807" s="67"/>
      <c r="M807" s="68"/>
    </row>
    <row r="808" spans="1:13" ht="35.25" customHeight="1" thickBot="1">
      <c r="A808" s="75" t="s">
        <v>20</v>
      </c>
      <c r="B808" s="76"/>
      <c r="C808" s="76"/>
      <c r="D808" s="77"/>
      <c r="E808" s="14" t="s">
        <v>11</v>
      </c>
      <c r="F808" s="75" t="s">
        <v>39</v>
      </c>
      <c r="G808" s="77"/>
      <c r="H808" s="75" t="s">
        <v>21</v>
      </c>
      <c r="I808" s="77"/>
      <c r="J808" s="78" t="s">
        <v>22</v>
      </c>
      <c r="K808" s="79"/>
      <c r="L808" s="75" t="s">
        <v>15</v>
      </c>
      <c r="M808" s="77"/>
    </row>
    <row r="809" spans="1:13" ht="24" customHeight="1" thickBot="1">
      <c r="A809" s="96"/>
      <c r="B809" s="97"/>
      <c r="C809" s="97"/>
      <c r="D809" s="98"/>
      <c r="E809" s="47"/>
      <c r="F809" s="58"/>
      <c r="G809" s="59"/>
      <c r="H809" s="58"/>
      <c r="I809" s="59"/>
      <c r="J809" s="56"/>
      <c r="K809" s="57"/>
      <c r="L809" s="58"/>
      <c r="M809" s="59"/>
    </row>
    <row r="810" spans="1:13" ht="24" customHeight="1" thickBot="1">
      <c r="A810" s="96"/>
      <c r="B810" s="97"/>
      <c r="C810" s="97"/>
      <c r="D810" s="98"/>
      <c r="E810" s="47"/>
      <c r="F810" s="58"/>
      <c r="G810" s="59"/>
      <c r="H810" s="58"/>
      <c r="I810" s="59"/>
      <c r="J810" s="56"/>
      <c r="K810" s="57"/>
      <c r="L810" s="58"/>
      <c r="M810" s="59"/>
    </row>
    <row r="811" spans="1:13" ht="24" customHeight="1" thickBot="1">
      <c r="A811" s="60" t="s">
        <v>23</v>
      </c>
      <c r="B811" s="61"/>
      <c r="C811" s="61"/>
      <c r="D811" s="61"/>
      <c r="E811" s="61"/>
      <c r="F811" s="61"/>
      <c r="G811" s="61"/>
      <c r="H811" s="61"/>
      <c r="I811" s="61"/>
      <c r="J811" s="61"/>
      <c r="K811" s="61"/>
      <c r="L811" s="61"/>
      <c r="M811" s="62"/>
    </row>
    <row r="812" spans="1:13" ht="35.25" customHeight="1" thickBot="1">
      <c r="A812" s="75" t="s">
        <v>24</v>
      </c>
      <c r="B812" s="77"/>
      <c r="C812" s="75" t="s">
        <v>25</v>
      </c>
      <c r="D812" s="77"/>
      <c r="E812" s="75" t="s">
        <v>26</v>
      </c>
      <c r="F812" s="76"/>
      <c r="G812" s="77"/>
      <c r="H812" s="75" t="s">
        <v>27</v>
      </c>
      <c r="I812" s="77"/>
      <c r="J812" s="78" t="s">
        <v>21</v>
      </c>
      <c r="K812" s="79"/>
      <c r="L812" s="75" t="s">
        <v>22</v>
      </c>
      <c r="M812" s="77"/>
    </row>
    <row r="813" spans="1:13" s="18" customFormat="1" ht="24.75" customHeight="1" thickBot="1">
      <c r="A813" s="99"/>
      <c r="B813" s="98"/>
      <c r="C813" s="56"/>
      <c r="D813" s="57"/>
      <c r="E813" s="56"/>
      <c r="F813" s="100"/>
      <c r="G813" s="57"/>
      <c r="H813" s="56"/>
      <c r="I813" s="57"/>
      <c r="J813" s="56"/>
      <c r="K813" s="57"/>
      <c r="L813" s="56"/>
      <c r="M813" s="57"/>
    </row>
    <row r="814" spans="1:13" s="18" customFormat="1" ht="24.75" customHeight="1" thickBot="1">
      <c r="A814" s="99"/>
      <c r="B814" s="98"/>
      <c r="C814" s="56"/>
      <c r="D814" s="57"/>
      <c r="E814" s="56"/>
      <c r="F814" s="100"/>
      <c r="G814" s="57"/>
      <c r="H814" s="56"/>
      <c r="I814" s="57"/>
      <c r="J814" s="56"/>
      <c r="K814" s="57"/>
      <c r="L814" s="56"/>
      <c r="M814" s="57"/>
    </row>
    <row r="815" spans="1:13" ht="33" customHeight="1" thickBot="1">
      <c r="A815" s="112" t="s">
        <v>40</v>
      </c>
      <c r="B815" s="113"/>
      <c r="C815" s="113"/>
      <c r="D815" s="113"/>
      <c r="E815" s="113"/>
      <c r="F815" s="113"/>
      <c r="G815" s="113"/>
      <c r="H815" s="113"/>
      <c r="I815" s="113"/>
      <c r="J815" s="113"/>
      <c r="K815" s="113"/>
      <c r="L815" s="113"/>
      <c r="M815" s="114"/>
    </row>
    <row r="816" spans="1:13" ht="16.5" customHeight="1">
      <c r="A816" s="115" t="s">
        <v>41</v>
      </c>
      <c r="B816" s="116"/>
      <c r="C816" s="116"/>
      <c r="D816" s="116"/>
      <c r="E816" s="116"/>
      <c r="F816" s="116"/>
      <c r="G816" s="116"/>
      <c r="H816" s="116"/>
      <c r="I816" s="116"/>
      <c r="J816" s="116"/>
      <c r="K816" s="116"/>
      <c r="L816" s="116"/>
      <c r="M816" s="117"/>
    </row>
    <row r="817" spans="1:13" ht="16.5" customHeight="1">
      <c r="A817" s="90" t="s">
        <v>28</v>
      </c>
      <c r="B817" s="91"/>
      <c r="C817" s="91"/>
      <c r="D817" s="91"/>
      <c r="E817" s="91"/>
      <c r="F817" s="91"/>
      <c r="G817" s="91"/>
      <c r="H817" s="91"/>
      <c r="I817" s="91"/>
      <c r="J817" s="91"/>
      <c r="K817" s="91"/>
      <c r="L817" s="91"/>
      <c r="M817" s="92"/>
    </row>
    <row r="818" spans="1:13" s="1" customFormat="1" ht="16.5" customHeight="1">
      <c r="A818" s="93" t="s">
        <v>56</v>
      </c>
      <c r="B818" s="94"/>
      <c r="C818" s="94"/>
      <c r="D818" s="94"/>
      <c r="E818" s="94"/>
      <c r="F818" s="94"/>
      <c r="G818" s="94"/>
      <c r="H818" s="94"/>
      <c r="I818" s="94"/>
      <c r="J818" s="94"/>
      <c r="K818" s="94"/>
      <c r="L818" s="94"/>
      <c r="M818" s="95"/>
    </row>
    <row r="819" spans="1:13" s="1" customFormat="1" ht="16.5" customHeight="1">
      <c r="A819" s="93" t="s">
        <v>57</v>
      </c>
      <c r="B819" s="94"/>
      <c r="C819" s="94"/>
      <c r="D819" s="94"/>
      <c r="E819" s="94"/>
      <c r="F819" s="94"/>
      <c r="G819" s="94"/>
      <c r="H819" s="94"/>
      <c r="I819" s="94"/>
      <c r="J819" s="94"/>
      <c r="K819" s="94"/>
      <c r="L819" s="94"/>
      <c r="M819" s="95"/>
    </row>
    <row r="820" spans="1:13" s="1" customFormat="1" ht="16.5" customHeight="1">
      <c r="A820" s="93" t="s">
        <v>58</v>
      </c>
      <c r="B820" s="94"/>
      <c r="C820" s="94"/>
      <c r="D820" s="94"/>
      <c r="E820" s="94"/>
      <c r="F820" s="94"/>
      <c r="G820" s="94"/>
      <c r="H820" s="94"/>
      <c r="I820" s="94"/>
      <c r="J820" s="94"/>
      <c r="K820" s="94"/>
      <c r="L820" s="94"/>
      <c r="M820" s="95"/>
    </row>
    <row r="821" spans="1:13" s="1" customFormat="1" ht="16.5" customHeight="1">
      <c r="A821" s="93" t="s">
        <v>59</v>
      </c>
      <c r="B821" s="94"/>
      <c r="C821" s="94"/>
      <c r="D821" s="94"/>
      <c r="E821" s="94"/>
      <c r="F821" s="94"/>
      <c r="G821" s="94"/>
      <c r="H821" s="94"/>
      <c r="I821" s="94"/>
      <c r="J821" s="94"/>
      <c r="K821" s="94"/>
      <c r="L821" s="94"/>
      <c r="M821" s="95"/>
    </row>
    <row r="822" spans="1:13" ht="16.5" customHeight="1">
      <c r="A822" s="106" t="s">
        <v>29</v>
      </c>
      <c r="B822" s="107"/>
      <c r="C822" s="107"/>
      <c r="D822" s="107"/>
      <c r="E822" s="107"/>
      <c r="F822" s="107"/>
      <c r="G822" s="107"/>
      <c r="H822" s="107"/>
      <c r="I822" s="107"/>
      <c r="J822" s="107"/>
      <c r="K822" s="107"/>
      <c r="L822" s="107"/>
      <c r="M822" s="108"/>
    </row>
    <row r="823" spans="1:13" ht="9.75" customHeight="1" thickBot="1">
      <c r="A823" s="109"/>
      <c r="B823" s="110"/>
      <c r="C823" s="110"/>
      <c r="D823" s="110"/>
      <c r="E823" s="110"/>
      <c r="F823" s="110"/>
      <c r="G823" s="110"/>
      <c r="H823" s="110"/>
      <c r="I823" s="110"/>
      <c r="J823" s="110"/>
      <c r="K823" s="110"/>
      <c r="L823" s="110"/>
      <c r="M823" s="111"/>
    </row>
    <row r="824" spans="1:13" ht="18.75" customHeight="1" thickBot="1">
      <c r="A824" s="72" t="s">
        <v>30</v>
      </c>
      <c r="B824" s="73"/>
      <c r="C824" s="73"/>
      <c r="D824" s="73"/>
      <c r="E824" s="73"/>
      <c r="F824" s="73"/>
      <c r="G824" s="73"/>
      <c r="H824" s="73"/>
      <c r="I824" s="73"/>
      <c r="J824" s="73"/>
      <c r="K824" s="73"/>
      <c r="L824" s="73"/>
      <c r="M824" s="74"/>
    </row>
    <row r="825" spans="1:13" ht="24" customHeight="1" thickBot="1">
      <c r="A825" s="72" t="s">
        <v>31</v>
      </c>
      <c r="B825" s="73"/>
      <c r="C825" s="73"/>
      <c r="D825" s="73"/>
      <c r="E825" s="73"/>
      <c r="F825" s="73"/>
      <c r="G825" s="73"/>
      <c r="H825" s="73"/>
      <c r="I825" s="73"/>
      <c r="J825" s="73"/>
      <c r="K825" s="73"/>
      <c r="L825" s="73"/>
      <c r="M825" s="74"/>
    </row>
    <row r="826" spans="1:13" ht="24" customHeight="1" thickBot="1">
      <c r="A826" s="72" t="s">
        <v>62</v>
      </c>
      <c r="B826" s="73"/>
      <c r="C826" s="73"/>
      <c r="D826" s="73"/>
      <c r="E826" s="73"/>
      <c r="F826" s="73"/>
      <c r="G826" s="73"/>
      <c r="H826" s="73"/>
      <c r="I826" s="73"/>
      <c r="J826" s="73"/>
      <c r="K826" s="73"/>
      <c r="L826" s="73"/>
      <c r="M826" s="74"/>
    </row>
    <row r="827" spans="1:13" ht="24" customHeight="1" thickBot="1">
      <c r="A827" s="60" t="s">
        <v>46</v>
      </c>
      <c r="B827" s="61"/>
      <c r="C827" s="61"/>
      <c r="D827" s="61"/>
      <c r="E827" s="61"/>
      <c r="F827" s="61"/>
      <c r="G827" s="61"/>
      <c r="H827" s="61"/>
      <c r="I827" s="61"/>
      <c r="J827" s="61"/>
      <c r="K827" s="61"/>
      <c r="L827" s="61"/>
      <c r="M827" s="62"/>
    </row>
    <row r="828" spans="1:13" ht="11.1" customHeight="1">
      <c r="A828" s="103" t="s">
        <v>47</v>
      </c>
      <c r="B828" s="103"/>
      <c r="C828" s="103"/>
      <c r="D828" s="103"/>
      <c r="E828" s="103"/>
      <c r="F828" s="103"/>
      <c r="G828" s="103"/>
      <c r="H828" s="103"/>
      <c r="I828" s="103"/>
      <c r="J828" s="103"/>
      <c r="K828" s="103"/>
      <c r="L828" s="103"/>
      <c r="M828" s="103"/>
    </row>
    <row r="829" spans="1:13" ht="11.1" customHeight="1">
      <c r="A829" s="104" t="s">
        <v>48</v>
      </c>
      <c r="B829" s="104"/>
      <c r="C829" s="104"/>
      <c r="D829" s="104"/>
      <c r="E829" s="104"/>
      <c r="F829" s="104"/>
      <c r="G829" s="104"/>
      <c r="H829" s="104"/>
      <c r="I829" s="104"/>
      <c r="J829" s="104"/>
      <c r="K829" s="104"/>
      <c r="L829" s="104"/>
      <c r="M829" s="104"/>
    </row>
    <row r="830" spans="1:13" ht="11.1" customHeight="1">
      <c r="A830" s="105" t="s">
        <v>49</v>
      </c>
      <c r="B830" s="105"/>
      <c r="C830" s="105"/>
      <c r="D830" s="105"/>
      <c r="E830" s="105"/>
      <c r="F830" s="105"/>
      <c r="G830" s="105"/>
      <c r="H830" s="105"/>
      <c r="I830" s="105"/>
      <c r="J830" s="105"/>
      <c r="K830" s="105"/>
      <c r="L830" s="105"/>
      <c r="M830" s="105"/>
    </row>
    <row r="831" spans="1:13" ht="11.1" customHeight="1">
      <c r="A831" s="105" t="s">
        <v>50</v>
      </c>
      <c r="B831" s="105"/>
      <c r="C831" s="105"/>
      <c r="D831" s="105"/>
      <c r="E831" s="105"/>
      <c r="F831" s="105"/>
      <c r="G831" s="105"/>
      <c r="H831" s="105"/>
      <c r="I831" s="105"/>
      <c r="J831" s="105"/>
      <c r="K831" s="105"/>
      <c r="L831" s="105"/>
      <c r="M831" s="105"/>
    </row>
    <row r="832" spans="1:13" ht="11.1" customHeight="1">
      <c r="A832" s="104" t="s">
        <v>51</v>
      </c>
      <c r="B832" s="104"/>
      <c r="C832" s="104"/>
      <c r="D832" s="104"/>
      <c r="E832" s="104"/>
      <c r="F832" s="104"/>
      <c r="G832" s="104"/>
      <c r="H832" s="104"/>
      <c r="I832" s="104"/>
      <c r="J832" s="104"/>
      <c r="K832" s="104"/>
      <c r="L832" s="104"/>
      <c r="M832" s="104"/>
    </row>
    <row r="833" spans="1:15" ht="11.1" customHeight="1">
      <c r="A833" s="104" t="s">
        <v>52</v>
      </c>
      <c r="B833" s="104"/>
      <c r="C833" s="104"/>
      <c r="D833" s="104"/>
      <c r="E833" s="104"/>
      <c r="F833" s="104"/>
      <c r="G833" s="104"/>
      <c r="H833" s="104"/>
      <c r="I833" s="104"/>
      <c r="J833" s="104"/>
      <c r="K833" s="104"/>
      <c r="L833" s="104"/>
      <c r="M833" s="104"/>
    </row>
    <row r="834" spans="1:15" ht="11.1" customHeight="1">
      <c r="A834" s="104" t="s">
        <v>53</v>
      </c>
      <c r="B834" s="104"/>
      <c r="C834" s="104"/>
      <c r="D834" s="104"/>
      <c r="E834" s="104"/>
      <c r="F834" s="104"/>
      <c r="G834" s="104"/>
      <c r="H834" s="104"/>
      <c r="I834" s="104"/>
      <c r="J834" s="104"/>
      <c r="K834" s="104"/>
      <c r="L834" s="104"/>
      <c r="M834" s="104"/>
    </row>
    <row r="835" spans="1:15" ht="11.1" customHeight="1">
      <c r="A835" s="101" t="s">
        <v>54</v>
      </c>
      <c r="B835" s="101"/>
      <c r="C835" s="101"/>
      <c r="D835" s="101"/>
      <c r="E835" s="101"/>
      <c r="F835" s="101"/>
      <c r="G835" s="101"/>
      <c r="H835" s="101"/>
      <c r="I835" s="101"/>
      <c r="J835" s="101"/>
      <c r="K835" s="101"/>
      <c r="L835" s="101"/>
      <c r="M835" s="101"/>
    </row>
    <row r="836" spans="1:15" ht="11.1" customHeight="1">
      <c r="A836" s="101" t="s">
        <v>55</v>
      </c>
      <c r="B836" s="101"/>
      <c r="C836" s="101"/>
      <c r="D836" s="101"/>
      <c r="E836" s="101"/>
      <c r="F836" s="101"/>
      <c r="G836" s="101"/>
      <c r="H836" s="101"/>
      <c r="I836" s="101"/>
      <c r="J836" s="101"/>
      <c r="K836" s="101"/>
      <c r="L836" s="101"/>
      <c r="M836" s="101"/>
    </row>
    <row r="837" spans="1:15" ht="19.5" customHeight="1">
      <c r="A837" s="69" t="s">
        <v>0</v>
      </c>
      <c r="B837" s="69"/>
      <c r="C837" s="69"/>
      <c r="D837" s="69"/>
      <c r="E837" s="69"/>
      <c r="F837" s="69"/>
      <c r="G837" s="69"/>
      <c r="H837" s="69"/>
      <c r="I837" s="69"/>
      <c r="J837" s="69"/>
      <c r="K837" s="69"/>
      <c r="L837" s="69"/>
      <c r="M837" s="69"/>
    </row>
    <row r="838" spans="1:15" ht="20.100000000000001" customHeight="1">
      <c r="A838" s="4" t="s">
        <v>32</v>
      </c>
      <c r="B838" s="5">
        <f>+B794+1</f>
        <v>55</v>
      </c>
      <c r="C838" s="48"/>
      <c r="D838" s="48"/>
      <c r="E838" s="48"/>
      <c r="F838" s="48"/>
      <c r="G838" s="48"/>
      <c r="H838" s="48"/>
      <c r="I838" s="48"/>
      <c r="J838" s="48"/>
      <c r="K838" s="48"/>
      <c r="L838" s="48"/>
      <c r="M838" s="48"/>
    </row>
    <row r="839" spans="1:15" ht="24" customHeight="1" thickBot="1">
      <c r="A839" s="4" t="s">
        <v>33</v>
      </c>
      <c r="H839" s="70" t="s">
        <v>34</v>
      </c>
      <c r="I839" s="70"/>
      <c r="J839" s="70"/>
      <c r="K839" s="102">
        <f>+K795+1</f>
        <v>45981</v>
      </c>
      <c r="L839" s="102"/>
      <c r="M839" s="102"/>
      <c r="O839" s="7"/>
    </row>
    <row r="840" spans="1:15" ht="33.75" customHeight="1" thickBot="1">
      <c r="A840" s="80" t="s">
        <v>1</v>
      </c>
      <c r="B840" s="81"/>
      <c r="C840" s="82"/>
      <c r="D840" s="86" t="str">
        <f>+D796</f>
        <v>光明國中B與C區5樓老舊廁所整修工程</v>
      </c>
      <c r="E840" s="87"/>
      <c r="F840" s="87"/>
      <c r="G840" s="88"/>
      <c r="H840" s="80" t="s">
        <v>2</v>
      </c>
      <c r="I840" s="81"/>
      <c r="J840" s="82"/>
      <c r="K840" s="80" t="s">
        <v>35</v>
      </c>
      <c r="L840" s="81"/>
      <c r="M840" s="82"/>
    </row>
    <row r="841" spans="1:15" ht="33.75" customHeight="1" thickBot="1">
      <c r="A841" s="8" t="s">
        <v>3</v>
      </c>
      <c r="B841" s="45">
        <f>+B797</f>
        <v>142</v>
      </c>
      <c r="C841" s="10" t="s">
        <v>36</v>
      </c>
      <c r="D841" s="80" t="s">
        <v>4</v>
      </c>
      <c r="E841" s="89"/>
      <c r="F841" s="46">
        <f>+F797+1</f>
        <v>55</v>
      </c>
      <c r="G841" s="12" t="s">
        <v>36</v>
      </c>
      <c r="H841" s="13" t="s">
        <v>5</v>
      </c>
      <c r="I841" s="45">
        <f>+B841-F841</f>
        <v>87</v>
      </c>
      <c r="J841" s="10" t="s">
        <v>36</v>
      </c>
      <c r="K841" s="80" t="s">
        <v>6</v>
      </c>
      <c r="L841" s="82"/>
      <c r="M841" s="13">
        <f>+M797</f>
        <v>12</v>
      </c>
    </row>
    <row r="842" spans="1:15" ht="24" customHeight="1" thickBot="1">
      <c r="A842" s="80" t="s">
        <v>7</v>
      </c>
      <c r="B842" s="81"/>
      <c r="C842" s="82"/>
      <c r="D842" s="80" t="str">
        <f>+D798</f>
        <v>114.9.27</v>
      </c>
      <c r="E842" s="81"/>
      <c r="F842" s="81"/>
      <c r="G842" s="82"/>
      <c r="H842" s="80" t="s">
        <v>8</v>
      </c>
      <c r="I842" s="81"/>
      <c r="J842" s="82"/>
      <c r="K842" s="80" t="str">
        <f>+K798</f>
        <v>115.2.15</v>
      </c>
      <c r="L842" s="81"/>
      <c r="M842" s="82"/>
    </row>
    <row r="843" spans="1:15" ht="24" customHeight="1" thickBot="1">
      <c r="A843" s="80" t="s">
        <v>37</v>
      </c>
      <c r="B843" s="81"/>
      <c r="C843" s="82"/>
      <c r="D843" s="83">
        <v>5.6000000000000001E-2</v>
      </c>
      <c r="E843" s="84"/>
      <c r="F843" s="84"/>
      <c r="G843" s="85"/>
      <c r="H843" s="80" t="s">
        <v>38</v>
      </c>
      <c r="I843" s="81"/>
      <c r="J843" s="82"/>
      <c r="K843" s="83">
        <f>+K799</f>
        <v>5.8000000000000003E-2</v>
      </c>
      <c r="L843" s="84"/>
      <c r="M843" s="85"/>
    </row>
    <row r="844" spans="1:15" ht="24" customHeight="1" thickBot="1">
      <c r="A844" s="72" t="s">
        <v>9</v>
      </c>
      <c r="B844" s="73"/>
      <c r="C844" s="73"/>
      <c r="D844" s="73"/>
      <c r="E844" s="73"/>
      <c r="F844" s="73"/>
      <c r="G844" s="73"/>
      <c r="H844" s="73"/>
      <c r="I844" s="73"/>
      <c r="J844" s="73"/>
      <c r="K844" s="73"/>
      <c r="L844" s="73"/>
      <c r="M844" s="74"/>
    </row>
    <row r="845" spans="1:15" ht="35.25" customHeight="1" thickBot="1">
      <c r="A845" s="75" t="s">
        <v>10</v>
      </c>
      <c r="B845" s="76"/>
      <c r="C845" s="76"/>
      <c r="D845" s="77"/>
      <c r="E845" s="14" t="s">
        <v>11</v>
      </c>
      <c r="F845" s="75" t="s">
        <v>12</v>
      </c>
      <c r="G845" s="77"/>
      <c r="H845" s="75" t="s">
        <v>13</v>
      </c>
      <c r="I845" s="77"/>
      <c r="J845" s="78" t="s">
        <v>14</v>
      </c>
      <c r="K845" s="79"/>
      <c r="L845" s="75" t="s">
        <v>15</v>
      </c>
      <c r="M845" s="77"/>
    </row>
    <row r="846" spans="1:15" ht="27.95" customHeight="1" thickBot="1">
      <c r="A846" s="141"/>
      <c r="B846" s="142"/>
      <c r="C846" s="142"/>
      <c r="D846" s="143"/>
      <c r="E846" s="2"/>
      <c r="F846" s="56"/>
      <c r="G846" s="57"/>
      <c r="H846" s="56"/>
      <c r="I846" s="57"/>
      <c r="J846" s="56"/>
      <c r="K846" s="57"/>
      <c r="L846" s="58"/>
      <c r="M846" s="59"/>
    </row>
    <row r="847" spans="1:15" ht="27.95" customHeight="1" thickBot="1">
      <c r="A847" s="141"/>
      <c r="B847" s="142"/>
      <c r="C847" s="142"/>
      <c r="D847" s="143"/>
      <c r="E847" s="15"/>
      <c r="F847" s="56"/>
      <c r="G847" s="57"/>
      <c r="H847" s="56"/>
      <c r="I847" s="57"/>
      <c r="J847" s="56"/>
      <c r="K847" s="57"/>
      <c r="L847" s="58"/>
      <c r="M847" s="59"/>
    </row>
    <row r="848" spans="1:15" ht="24.95" customHeight="1" thickTop="1" thickBot="1">
      <c r="A848" s="130" t="s">
        <v>16</v>
      </c>
      <c r="B848" s="67"/>
      <c r="C848" s="67"/>
      <c r="D848" s="68"/>
      <c r="E848" s="47"/>
      <c r="F848" s="131"/>
      <c r="G848" s="132"/>
      <c r="H848" s="131"/>
      <c r="I848" s="132"/>
      <c r="J848" s="131"/>
      <c r="K848" s="132"/>
      <c r="L848" s="131"/>
      <c r="M848" s="133"/>
    </row>
    <row r="849" spans="1:13" ht="24.95" customHeight="1" thickBot="1">
      <c r="A849" s="134" t="s">
        <v>17</v>
      </c>
      <c r="B849" s="135"/>
      <c r="C849" s="135"/>
      <c r="D849" s="59"/>
      <c r="E849" s="47"/>
      <c r="F849" s="58"/>
      <c r="G849" s="59"/>
      <c r="H849" s="58"/>
      <c r="I849" s="59"/>
      <c r="J849" s="58"/>
      <c r="K849" s="59"/>
      <c r="L849" s="58"/>
      <c r="M849" s="136"/>
    </row>
    <row r="850" spans="1:13" ht="24.95" customHeight="1" thickBot="1">
      <c r="A850" s="118" t="s">
        <v>18</v>
      </c>
      <c r="B850" s="119"/>
      <c r="C850" s="119"/>
      <c r="D850" s="120"/>
      <c r="E850" s="24"/>
      <c r="F850" s="121"/>
      <c r="G850" s="120"/>
      <c r="H850" s="121"/>
      <c r="I850" s="120"/>
      <c r="J850" s="121"/>
      <c r="K850" s="120"/>
      <c r="L850" s="121"/>
      <c r="M850" s="122"/>
    </row>
    <row r="851" spans="1:13" ht="24" customHeight="1" thickTop="1" thickBot="1">
      <c r="A851" s="66" t="s">
        <v>19</v>
      </c>
      <c r="B851" s="67"/>
      <c r="C851" s="67"/>
      <c r="D851" s="67"/>
      <c r="E851" s="67"/>
      <c r="F851" s="67"/>
      <c r="G851" s="67"/>
      <c r="H851" s="67"/>
      <c r="I851" s="67"/>
      <c r="J851" s="67"/>
      <c r="K851" s="67"/>
      <c r="L851" s="67"/>
      <c r="M851" s="68"/>
    </row>
    <row r="852" spans="1:13" ht="35.25" customHeight="1" thickBot="1">
      <c r="A852" s="75" t="s">
        <v>20</v>
      </c>
      <c r="B852" s="76"/>
      <c r="C852" s="76"/>
      <c r="D852" s="77"/>
      <c r="E852" s="14" t="s">
        <v>11</v>
      </c>
      <c r="F852" s="75" t="s">
        <v>39</v>
      </c>
      <c r="G852" s="77"/>
      <c r="H852" s="75" t="s">
        <v>21</v>
      </c>
      <c r="I852" s="77"/>
      <c r="J852" s="78" t="s">
        <v>22</v>
      </c>
      <c r="K852" s="79"/>
      <c r="L852" s="75" t="s">
        <v>15</v>
      </c>
      <c r="M852" s="77"/>
    </row>
    <row r="853" spans="1:13" ht="24" customHeight="1" thickBot="1">
      <c r="A853" s="96"/>
      <c r="B853" s="97"/>
      <c r="C853" s="97"/>
      <c r="D853" s="98"/>
      <c r="E853" s="47"/>
      <c r="F853" s="58"/>
      <c r="G853" s="59"/>
      <c r="H853" s="58"/>
      <c r="I853" s="59"/>
      <c r="J853" s="56"/>
      <c r="K853" s="57"/>
      <c r="L853" s="58"/>
      <c r="M853" s="59"/>
    </row>
    <row r="854" spans="1:13" ht="24" customHeight="1" thickBot="1">
      <c r="A854" s="96"/>
      <c r="B854" s="97"/>
      <c r="C854" s="97"/>
      <c r="D854" s="98"/>
      <c r="E854" s="47"/>
      <c r="F854" s="58"/>
      <c r="G854" s="59"/>
      <c r="H854" s="58"/>
      <c r="I854" s="59"/>
      <c r="J854" s="56"/>
      <c r="K854" s="57"/>
      <c r="L854" s="58"/>
      <c r="M854" s="59"/>
    </row>
    <row r="855" spans="1:13" ht="24" customHeight="1" thickBot="1">
      <c r="A855" s="60" t="s">
        <v>23</v>
      </c>
      <c r="B855" s="61"/>
      <c r="C855" s="61"/>
      <c r="D855" s="61"/>
      <c r="E855" s="61"/>
      <c r="F855" s="61"/>
      <c r="G855" s="61"/>
      <c r="H855" s="61"/>
      <c r="I855" s="61"/>
      <c r="J855" s="61"/>
      <c r="K855" s="61"/>
      <c r="L855" s="61"/>
      <c r="M855" s="62"/>
    </row>
    <row r="856" spans="1:13" ht="35.25" customHeight="1" thickBot="1">
      <c r="A856" s="75" t="s">
        <v>24</v>
      </c>
      <c r="B856" s="77"/>
      <c r="C856" s="75" t="s">
        <v>25</v>
      </c>
      <c r="D856" s="77"/>
      <c r="E856" s="75" t="s">
        <v>26</v>
      </c>
      <c r="F856" s="76"/>
      <c r="G856" s="77"/>
      <c r="H856" s="75" t="s">
        <v>27</v>
      </c>
      <c r="I856" s="77"/>
      <c r="J856" s="78" t="s">
        <v>21</v>
      </c>
      <c r="K856" s="79"/>
      <c r="L856" s="75" t="s">
        <v>22</v>
      </c>
      <c r="M856" s="77"/>
    </row>
    <row r="857" spans="1:13" s="18" customFormat="1" ht="24.75" customHeight="1" thickBot="1">
      <c r="A857" s="99"/>
      <c r="B857" s="98"/>
      <c r="C857" s="56"/>
      <c r="D857" s="57"/>
      <c r="E857" s="56"/>
      <c r="F857" s="100"/>
      <c r="G857" s="57"/>
      <c r="H857" s="56"/>
      <c r="I857" s="57"/>
      <c r="J857" s="56"/>
      <c r="K857" s="57"/>
      <c r="L857" s="56"/>
      <c r="M857" s="57"/>
    </row>
    <row r="858" spans="1:13" s="18" customFormat="1" ht="24.75" customHeight="1" thickBot="1">
      <c r="A858" s="99"/>
      <c r="B858" s="98"/>
      <c r="C858" s="56"/>
      <c r="D858" s="57"/>
      <c r="E858" s="56"/>
      <c r="F858" s="100"/>
      <c r="G858" s="57"/>
      <c r="H858" s="56"/>
      <c r="I858" s="57"/>
      <c r="J858" s="56"/>
      <c r="K858" s="57"/>
      <c r="L858" s="56"/>
      <c r="M858" s="57"/>
    </row>
    <row r="859" spans="1:13" ht="33" customHeight="1" thickBot="1">
      <c r="A859" s="112" t="s">
        <v>40</v>
      </c>
      <c r="B859" s="113"/>
      <c r="C859" s="113"/>
      <c r="D859" s="113"/>
      <c r="E859" s="113"/>
      <c r="F859" s="113"/>
      <c r="G859" s="113"/>
      <c r="H859" s="113"/>
      <c r="I859" s="113"/>
      <c r="J859" s="113"/>
      <c r="K859" s="113"/>
      <c r="L859" s="113"/>
      <c r="M859" s="114"/>
    </row>
    <row r="860" spans="1:13" ht="16.5" customHeight="1">
      <c r="A860" s="115" t="s">
        <v>41</v>
      </c>
      <c r="B860" s="116"/>
      <c r="C860" s="116"/>
      <c r="D860" s="116"/>
      <c r="E860" s="116"/>
      <c r="F860" s="116"/>
      <c r="G860" s="116"/>
      <c r="H860" s="116"/>
      <c r="I860" s="116"/>
      <c r="J860" s="116"/>
      <c r="K860" s="116"/>
      <c r="L860" s="116"/>
      <c r="M860" s="117"/>
    </row>
    <row r="861" spans="1:13" ht="16.5" customHeight="1">
      <c r="A861" s="90" t="s">
        <v>28</v>
      </c>
      <c r="B861" s="91"/>
      <c r="C861" s="91"/>
      <c r="D861" s="91"/>
      <c r="E861" s="91"/>
      <c r="F861" s="91"/>
      <c r="G861" s="91"/>
      <c r="H861" s="91"/>
      <c r="I861" s="91"/>
      <c r="J861" s="91"/>
      <c r="K861" s="91"/>
      <c r="L861" s="91"/>
      <c r="M861" s="92"/>
    </row>
    <row r="862" spans="1:13" s="1" customFormat="1" ht="16.5" customHeight="1">
      <c r="A862" s="93" t="s">
        <v>56</v>
      </c>
      <c r="B862" s="94"/>
      <c r="C862" s="94"/>
      <c r="D862" s="94"/>
      <c r="E862" s="94"/>
      <c r="F862" s="94"/>
      <c r="G862" s="94"/>
      <c r="H862" s="94"/>
      <c r="I862" s="94"/>
      <c r="J862" s="94"/>
      <c r="K862" s="94"/>
      <c r="L862" s="94"/>
      <c r="M862" s="95"/>
    </row>
    <row r="863" spans="1:13" s="1" customFormat="1" ht="16.5" customHeight="1">
      <c r="A863" s="93" t="s">
        <v>57</v>
      </c>
      <c r="B863" s="94"/>
      <c r="C863" s="94"/>
      <c r="D863" s="94"/>
      <c r="E863" s="94"/>
      <c r="F863" s="94"/>
      <c r="G863" s="94"/>
      <c r="H863" s="94"/>
      <c r="I863" s="94"/>
      <c r="J863" s="94"/>
      <c r="K863" s="94"/>
      <c r="L863" s="94"/>
      <c r="M863" s="95"/>
    </row>
    <row r="864" spans="1:13" s="1" customFormat="1" ht="16.5" customHeight="1">
      <c r="A864" s="93" t="s">
        <v>58</v>
      </c>
      <c r="B864" s="94"/>
      <c r="C864" s="94"/>
      <c r="D864" s="94"/>
      <c r="E864" s="94"/>
      <c r="F864" s="94"/>
      <c r="G864" s="94"/>
      <c r="H864" s="94"/>
      <c r="I864" s="94"/>
      <c r="J864" s="94"/>
      <c r="K864" s="94"/>
      <c r="L864" s="94"/>
      <c r="M864" s="95"/>
    </row>
    <row r="865" spans="1:13" s="1" customFormat="1" ht="16.5" customHeight="1">
      <c r="A865" s="93" t="s">
        <v>59</v>
      </c>
      <c r="B865" s="94"/>
      <c r="C865" s="94"/>
      <c r="D865" s="94"/>
      <c r="E865" s="94"/>
      <c r="F865" s="94"/>
      <c r="G865" s="94"/>
      <c r="H865" s="94"/>
      <c r="I865" s="94"/>
      <c r="J865" s="94"/>
      <c r="K865" s="94"/>
      <c r="L865" s="94"/>
      <c r="M865" s="95"/>
    </row>
    <row r="866" spans="1:13" ht="16.5" customHeight="1">
      <c r="A866" s="106" t="s">
        <v>29</v>
      </c>
      <c r="B866" s="107"/>
      <c r="C866" s="107"/>
      <c r="D866" s="107"/>
      <c r="E866" s="107"/>
      <c r="F866" s="107"/>
      <c r="G866" s="107"/>
      <c r="H866" s="107"/>
      <c r="I866" s="107"/>
      <c r="J866" s="107"/>
      <c r="K866" s="107"/>
      <c r="L866" s="107"/>
      <c r="M866" s="108"/>
    </row>
    <row r="867" spans="1:13" ht="9.75" customHeight="1" thickBot="1">
      <c r="A867" s="109"/>
      <c r="B867" s="110"/>
      <c r="C867" s="110"/>
      <c r="D867" s="110"/>
      <c r="E867" s="110"/>
      <c r="F867" s="110"/>
      <c r="G867" s="110"/>
      <c r="H867" s="110"/>
      <c r="I867" s="110"/>
      <c r="J867" s="110"/>
      <c r="K867" s="110"/>
      <c r="L867" s="110"/>
      <c r="M867" s="111"/>
    </row>
    <row r="868" spans="1:13" ht="18.75" customHeight="1" thickBot="1">
      <c r="A868" s="72" t="s">
        <v>30</v>
      </c>
      <c r="B868" s="73"/>
      <c r="C868" s="73"/>
      <c r="D868" s="73"/>
      <c r="E868" s="73"/>
      <c r="F868" s="73"/>
      <c r="G868" s="73"/>
      <c r="H868" s="73"/>
      <c r="I868" s="73"/>
      <c r="J868" s="73"/>
      <c r="K868" s="73"/>
      <c r="L868" s="73"/>
      <c r="M868" s="74"/>
    </row>
    <row r="869" spans="1:13" ht="24" customHeight="1" thickBot="1">
      <c r="A869" s="72" t="s">
        <v>31</v>
      </c>
      <c r="B869" s="73"/>
      <c r="C869" s="73"/>
      <c r="D869" s="73"/>
      <c r="E869" s="73"/>
      <c r="F869" s="73"/>
      <c r="G869" s="73"/>
      <c r="H869" s="73"/>
      <c r="I869" s="73"/>
      <c r="J869" s="73"/>
      <c r="K869" s="73"/>
      <c r="L869" s="73"/>
      <c r="M869" s="74"/>
    </row>
    <row r="870" spans="1:13" ht="24" customHeight="1" thickBot="1">
      <c r="A870" s="72" t="s">
        <v>62</v>
      </c>
      <c r="B870" s="73"/>
      <c r="C870" s="73"/>
      <c r="D870" s="73"/>
      <c r="E870" s="73"/>
      <c r="F870" s="73"/>
      <c r="G870" s="73"/>
      <c r="H870" s="73"/>
      <c r="I870" s="73"/>
      <c r="J870" s="73"/>
      <c r="K870" s="73"/>
      <c r="L870" s="73"/>
      <c r="M870" s="74"/>
    </row>
    <row r="871" spans="1:13" ht="24" customHeight="1" thickBot="1">
      <c r="A871" s="60" t="s">
        <v>46</v>
      </c>
      <c r="B871" s="61"/>
      <c r="C871" s="61"/>
      <c r="D871" s="61"/>
      <c r="E871" s="61"/>
      <c r="F871" s="61"/>
      <c r="G871" s="61"/>
      <c r="H871" s="61"/>
      <c r="I871" s="61"/>
      <c r="J871" s="61"/>
      <c r="K871" s="61"/>
      <c r="L871" s="61"/>
      <c r="M871" s="62"/>
    </row>
    <row r="872" spans="1:13" ht="11.1" customHeight="1">
      <c r="A872" s="103" t="s">
        <v>47</v>
      </c>
      <c r="B872" s="103"/>
      <c r="C872" s="103"/>
      <c r="D872" s="103"/>
      <c r="E872" s="103"/>
      <c r="F872" s="103"/>
      <c r="G872" s="103"/>
      <c r="H872" s="103"/>
      <c r="I872" s="103"/>
      <c r="J872" s="103"/>
      <c r="K872" s="103"/>
      <c r="L872" s="103"/>
      <c r="M872" s="103"/>
    </row>
    <row r="873" spans="1:13" ht="11.1" customHeight="1">
      <c r="A873" s="104" t="s">
        <v>48</v>
      </c>
      <c r="B873" s="104"/>
      <c r="C873" s="104"/>
      <c r="D873" s="104"/>
      <c r="E873" s="104"/>
      <c r="F873" s="104"/>
      <c r="G873" s="104"/>
      <c r="H873" s="104"/>
      <c r="I873" s="104"/>
      <c r="J873" s="104"/>
      <c r="K873" s="104"/>
      <c r="L873" s="104"/>
      <c r="M873" s="104"/>
    </row>
    <row r="874" spans="1:13" ht="11.1" customHeight="1">
      <c r="A874" s="105" t="s">
        <v>49</v>
      </c>
      <c r="B874" s="105"/>
      <c r="C874" s="105"/>
      <c r="D874" s="105"/>
      <c r="E874" s="105"/>
      <c r="F874" s="105"/>
      <c r="G874" s="105"/>
      <c r="H874" s="105"/>
      <c r="I874" s="105"/>
      <c r="J874" s="105"/>
      <c r="K874" s="105"/>
      <c r="L874" s="105"/>
      <c r="M874" s="105"/>
    </row>
    <row r="875" spans="1:13" ht="11.1" customHeight="1">
      <c r="A875" s="105" t="s">
        <v>50</v>
      </c>
      <c r="B875" s="105"/>
      <c r="C875" s="105"/>
      <c r="D875" s="105"/>
      <c r="E875" s="105"/>
      <c r="F875" s="105"/>
      <c r="G875" s="105"/>
      <c r="H875" s="105"/>
      <c r="I875" s="105"/>
      <c r="J875" s="105"/>
      <c r="K875" s="105"/>
      <c r="L875" s="105"/>
      <c r="M875" s="105"/>
    </row>
    <row r="876" spans="1:13" ht="11.1" customHeight="1">
      <c r="A876" s="104" t="s">
        <v>51</v>
      </c>
      <c r="B876" s="104"/>
      <c r="C876" s="104"/>
      <c r="D876" s="104"/>
      <c r="E876" s="104"/>
      <c r="F876" s="104"/>
      <c r="G876" s="104"/>
      <c r="H876" s="104"/>
      <c r="I876" s="104"/>
      <c r="J876" s="104"/>
      <c r="K876" s="104"/>
      <c r="L876" s="104"/>
      <c r="M876" s="104"/>
    </row>
    <row r="877" spans="1:13" ht="11.1" customHeight="1">
      <c r="A877" s="104" t="s">
        <v>52</v>
      </c>
      <c r="B877" s="104"/>
      <c r="C877" s="104"/>
      <c r="D877" s="104"/>
      <c r="E877" s="104"/>
      <c r="F877" s="104"/>
      <c r="G877" s="104"/>
      <c r="H877" s="104"/>
      <c r="I877" s="104"/>
      <c r="J877" s="104"/>
      <c r="K877" s="104"/>
      <c r="L877" s="104"/>
      <c r="M877" s="104"/>
    </row>
    <row r="878" spans="1:13" ht="11.1" customHeight="1">
      <c r="A878" s="104" t="s">
        <v>53</v>
      </c>
      <c r="B878" s="104"/>
      <c r="C878" s="104"/>
      <c r="D878" s="104"/>
      <c r="E878" s="104"/>
      <c r="F878" s="104"/>
      <c r="G878" s="104"/>
      <c r="H878" s="104"/>
      <c r="I878" s="104"/>
      <c r="J878" s="104"/>
      <c r="K878" s="104"/>
      <c r="L878" s="104"/>
      <c r="M878" s="104"/>
    </row>
    <row r="879" spans="1:13" ht="11.1" customHeight="1">
      <c r="A879" s="101" t="s">
        <v>54</v>
      </c>
      <c r="B879" s="101"/>
      <c r="C879" s="101"/>
      <c r="D879" s="101"/>
      <c r="E879" s="101"/>
      <c r="F879" s="101"/>
      <c r="G879" s="101"/>
      <c r="H879" s="101"/>
      <c r="I879" s="101"/>
      <c r="J879" s="101"/>
      <c r="K879" s="101"/>
      <c r="L879" s="101"/>
      <c r="M879" s="101"/>
    </row>
    <row r="880" spans="1:13" ht="11.1" customHeight="1">
      <c r="A880" s="101" t="s">
        <v>55</v>
      </c>
      <c r="B880" s="101"/>
      <c r="C880" s="101"/>
      <c r="D880" s="101"/>
      <c r="E880" s="101"/>
      <c r="F880" s="101"/>
      <c r="G880" s="101"/>
      <c r="H880" s="101"/>
      <c r="I880" s="101"/>
      <c r="J880" s="101"/>
      <c r="K880" s="101"/>
      <c r="L880" s="101"/>
      <c r="M880" s="101"/>
    </row>
    <row r="881" spans="1:15" ht="19.5" customHeight="1">
      <c r="A881" s="69" t="s">
        <v>0</v>
      </c>
      <c r="B881" s="69"/>
      <c r="C881" s="69"/>
      <c r="D881" s="69"/>
      <c r="E881" s="69"/>
      <c r="F881" s="69"/>
      <c r="G881" s="69"/>
      <c r="H881" s="69"/>
      <c r="I881" s="69"/>
      <c r="J881" s="69"/>
      <c r="K881" s="69"/>
      <c r="L881" s="69"/>
      <c r="M881" s="69"/>
    </row>
    <row r="882" spans="1:15" ht="20.100000000000001" customHeight="1">
      <c r="A882" s="4" t="s">
        <v>32</v>
      </c>
      <c r="B882" s="5">
        <f>+B838+1</f>
        <v>56</v>
      </c>
      <c r="C882" s="48"/>
      <c r="D882" s="48"/>
      <c r="E882" s="48"/>
      <c r="F882" s="48"/>
      <c r="G882" s="48"/>
      <c r="H882" s="48"/>
      <c r="I882" s="48"/>
      <c r="J882" s="48"/>
      <c r="K882" s="48"/>
      <c r="L882" s="48"/>
      <c r="M882" s="48"/>
    </row>
    <row r="883" spans="1:15" ht="24" customHeight="1" thickBot="1">
      <c r="A883" s="4" t="s">
        <v>33</v>
      </c>
      <c r="H883" s="70" t="s">
        <v>34</v>
      </c>
      <c r="I883" s="70"/>
      <c r="J883" s="70"/>
      <c r="K883" s="102">
        <f>+K839+1</f>
        <v>45982</v>
      </c>
      <c r="L883" s="102"/>
      <c r="M883" s="102"/>
      <c r="O883" s="7"/>
    </row>
    <row r="884" spans="1:15" ht="33.75" customHeight="1" thickBot="1">
      <c r="A884" s="80" t="s">
        <v>1</v>
      </c>
      <c r="B884" s="81"/>
      <c r="C884" s="82"/>
      <c r="D884" s="86" t="str">
        <f>+D840</f>
        <v>光明國中B與C區5樓老舊廁所整修工程</v>
      </c>
      <c r="E884" s="87"/>
      <c r="F884" s="87"/>
      <c r="G884" s="88"/>
      <c r="H884" s="80" t="s">
        <v>2</v>
      </c>
      <c r="I884" s="81"/>
      <c r="J884" s="82"/>
      <c r="K884" s="80" t="s">
        <v>35</v>
      </c>
      <c r="L884" s="81"/>
      <c r="M884" s="82"/>
    </row>
    <row r="885" spans="1:15" ht="33.75" customHeight="1" thickBot="1">
      <c r="A885" s="8" t="s">
        <v>3</v>
      </c>
      <c r="B885" s="45">
        <f>+B841</f>
        <v>142</v>
      </c>
      <c r="C885" s="10" t="s">
        <v>36</v>
      </c>
      <c r="D885" s="80" t="s">
        <v>4</v>
      </c>
      <c r="E885" s="89"/>
      <c r="F885" s="46">
        <f>+F841+1</f>
        <v>56</v>
      </c>
      <c r="G885" s="12" t="s">
        <v>36</v>
      </c>
      <c r="H885" s="13" t="s">
        <v>5</v>
      </c>
      <c r="I885" s="45">
        <f>+B885-F885</f>
        <v>86</v>
      </c>
      <c r="J885" s="10" t="s">
        <v>36</v>
      </c>
      <c r="K885" s="80" t="s">
        <v>6</v>
      </c>
      <c r="L885" s="82"/>
      <c r="M885" s="13">
        <f>+M841</f>
        <v>12</v>
      </c>
    </row>
    <row r="886" spans="1:15" ht="24" customHeight="1" thickBot="1">
      <c r="A886" s="80" t="s">
        <v>7</v>
      </c>
      <c r="B886" s="81"/>
      <c r="C886" s="82"/>
      <c r="D886" s="80" t="str">
        <f>+D842</f>
        <v>114.9.27</v>
      </c>
      <c r="E886" s="81"/>
      <c r="F886" s="81"/>
      <c r="G886" s="82"/>
      <c r="H886" s="80" t="s">
        <v>8</v>
      </c>
      <c r="I886" s="81"/>
      <c r="J886" s="82"/>
      <c r="K886" s="80" t="str">
        <f>+K842</f>
        <v>115.2.15</v>
      </c>
      <c r="L886" s="81"/>
      <c r="M886" s="82"/>
    </row>
    <row r="887" spans="1:15" ht="24" customHeight="1" thickBot="1">
      <c r="A887" s="80" t="s">
        <v>37</v>
      </c>
      <c r="B887" s="81"/>
      <c r="C887" s="82"/>
      <c r="D887" s="83">
        <v>5.8000000000000003E-2</v>
      </c>
      <c r="E887" s="84"/>
      <c r="F887" s="84"/>
      <c r="G887" s="85"/>
      <c r="H887" s="80" t="s">
        <v>38</v>
      </c>
      <c r="I887" s="81"/>
      <c r="J887" s="82"/>
      <c r="K887" s="83">
        <f>+K843</f>
        <v>5.8000000000000003E-2</v>
      </c>
      <c r="L887" s="84"/>
      <c r="M887" s="85"/>
    </row>
    <row r="888" spans="1:15" ht="24" customHeight="1" thickBot="1">
      <c r="A888" s="72" t="s">
        <v>9</v>
      </c>
      <c r="B888" s="73"/>
      <c r="C888" s="73"/>
      <c r="D888" s="73"/>
      <c r="E888" s="73"/>
      <c r="F888" s="73"/>
      <c r="G888" s="73"/>
      <c r="H888" s="73"/>
      <c r="I888" s="73"/>
      <c r="J888" s="73"/>
      <c r="K888" s="73"/>
      <c r="L888" s="73"/>
      <c r="M888" s="74"/>
    </row>
    <row r="889" spans="1:15" ht="35.25" customHeight="1" thickBot="1">
      <c r="A889" s="75" t="s">
        <v>10</v>
      </c>
      <c r="B889" s="76"/>
      <c r="C889" s="76"/>
      <c r="D889" s="77"/>
      <c r="E889" s="14" t="s">
        <v>11</v>
      </c>
      <c r="F889" s="75" t="s">
        <v>12</v>
      </c>
      <c r="G889" s="77"/>
      <c r="H889" s="75" t="s">
        <v>13</v>
      </c>
      <c r="I889" s="77"/>
      <c r="J889" s="78" t="s">
        <v>14</v>
      </c>
      <c r="K889" s="79"/>
      <c r="L889" s="75" t="s">
        <v>15</v>
      </c>
      <c r="M889" s="77"/>
    </row>
    <row r="890" spans="1:15" ht="27.95" customHeight="1" thickBot="1">
      <c r="A890" s="141"/>
      <c r="B890" s="142"/>
      <c r="C890" s="142"/>
      <c r="D890" s="143"/>
      <c r="E890" s="2"/>
      <c r="F890" s="56"/>
      <c r="G890" s="57"/>
      <c r="H890" s="56"/>
      <c r="I890" s="57"/>
      <c r="J890" s="56"/>
      <c r="K890" s="57"/>
      <c r="L890" s="58"/>
      <c r="M890" s="59"/>
    </row>
    <row r="891" spans="1:15" ht="27.95" customHeight="1" thickBot="1">
      <c r="A891" s="141"/>
      <c r="B891" s="142"/>
      <c r="C891" s="142"/>
      <c r="D891" s="143"/>
      <c r="E891" s="15"/>
      <c r="F891" s="56"/>
      <c r="G891" s="57"/>
      <c r="H891" s="56"/>
      <c r="I891" s="57"/>
      <c r="J891" s="56"/>
      <c r="K891" s="57"/>
      <c r="L891" s="58"/>
      <c r="M891" s="59"/>
    </row>
    <row r="892" spans="1:15" ht="24.95" customHeight="1" thickTop="1" thickBot="1">
      <c r="A892" s="130" t="s">
        <v>16</v>
      </c>
      <c r="B892" s="67"/>
      <c r="C892" s="67"/>
      <c r="D892" s="68"/>
      <c r="E892" s="47"/>
      <c r="F892" s="131"/>
      <c r="G892" s="132"/>
      <c r="H892" s="131"/>
      <c r="I892" s="132"/>
      <c r="J892" s="131"/>
      <c r="K892" s="132"/>
      <c r="L892" s="131"/>
      <c r="M892" s="133"/>
    </row>
    <row r="893" spans="1:15" ht="24.95" customHeight="1" thickBot="1">
      <c r="A893" s="134" t="s">
        <v>17</v>
      </c>
      <c r="B893" s="135"/>
      <c r="C893" s="135"/>
      <c r="D893" s="59"/>
      <c r="E893" s="47"/>
      <c r="F893" s="58"/>
      <c r="G893" s="59"/>
      <c r="H893" s="58"/>
      <c r="I893" s="59"/>
      <c r="J893" s="58"/>
      <c r="K893" s="59"/>
      <c r="L893" s="58"/>
      <c r="M893" s="136"/>
    </row>
    <row r="894" spans="1:15" ht="24.95" customHeight="1" thickBot="1">
      <c r="A894" s="118" t="s">
        <v>18</v>
      </c>
      <c r="B894" s="119"/>
      <c r="C894" s="119"/>
      <c r="D894" s="120"/>
      <c r="E894" s="24"/>
      <c r="F894" s="121"/>
      <c r="G894" s="120"/>
      <c r="H894" s="121"/>
      <c r="I894" s="120"/>
      <c r="J894" s="121"/>
      <c r="K894" s="120"/>
      <c r="L894" s="121"/>
      <c r="M894" s="122"/>
    </row>
    <row r="895" spans="1:15" ht="24" customHeight="1" thickTop="1" thickBot="1">
      <c r="A895" s="66" t="s">
        <v>19</v>
      </c>
      <c r="B895" s="67"/>
      <c r="C895" s="67"/>
      <c r="D895" s="67"/>
      <c r="E895" s="67"/>
      <c r="F895" s="67"/>
      <c r="G895" s="67"/>
      <c r="H895" s="67"/>
      <c r="I895" s="67"/>
      <c r="J895" s="67"/>
      <c r="K895" s="67"/>
      <c r="L895" s="67"/>
      <c r="M895" s="68"/>
    </row>
    <row r="896" spans="1:15" ht="35.25" customHeight="1" thickBot="1">
      <c r="A896" s="75" t="s">
        <v>20</v>
      </c>
      <c r="B896" s="76"/>
      <c r="C896" s="76"/>
      <c r="D896" s="77"/>
      <c r="E896" s="14" t="s">
        <v>11</v>
      </c>
      <c r="F896" s="75" t="s">
        <v>39</v>
      </c>
      <c r="G896" s="77"/>
      <c r="H896" s="75" t="s">
        <v>21</v>
      </c>
      <c r="I896" s="77"/>
      <c r="J896" s="78" t="s">
        <v>22</v>
      </c>
      <c r="K896" s="79"/>
      <c r="L896" s="75" t="s">
        <v>15</v>
      </c>
      <c r="M896" s="77"/>
    </row>
    <row r="897" spans="1:13" ht="24" customHeight="1" thickBot="1">
      <c r="A897" s="96"/>
      <c r="B897" s="97"/>
      <c r="C897" s="97"/>
      <c r="D897" s="98"/>
      <c r="E897" s="47"/>
      <c r="F897" s="58"/>
      <c r="G897" s="59"/>
      <c r="H897" s="58"/>
      <c r="I897" s="59"/>
      <c r="J897" s="56"/>
      <c r="K897" s="57"/>
      <c r="L897" s="58"/>
      <c r="M897" s="59"/>
    </row>
    <row r="898" spans="1:13" ht="24" customHeight="1" thickBot="1">
      <c r="A898" s="96"/>
      <c r="B898" s="97"/>
      <c r="C898" s="97"/>
      <c r="D898" s="98"/>
      <c r="E898" s="47"/>
      <c r="F898" s="58"/>
      <c r="G898" s="59"/>
      <c r="H898" s="58"/>
      <c r="I898" s="59"/>
      <c r="J898" s="56"/>
      <c r="K898" s="57"/>
      <c r="L898" s="58"/>
      <c r="M898" s="59"/>
    </row>
    <row r="899" spans="1:13" ht="24" customHeight="1" thickBot="1">
      <c r="A899" s="60" t="s">
        <v>23</v>
      </c>
      <c r="B899" s="61"/>
      <c r="C899" s="61"/>
      <c r="D899" s="61"/>
      <c r="E899" s="61"/>
      <c r="F899" s="61"/>
      <c r="G899" s="61"/>
      <c r="H899" s="61"/>
      <c r="I899" s="61"/>
      <c r="J899" s="61"/>
      <c r="K899" s="61"/>
      <c r="L899" s="61"/>
      <c r="M899" s="62"/>
    </row>
    <row r="900" spans="1:13" ht="35.25" customHeight="1" thickBot="1">
      <c r="A900" s="75" t="s">
        <v>24</v>
      </c>
      <c r="B900" s="77"/>
      <c r="C900" s="75" t="s">
        <v>25</v>
      </c>
      <c r="D900" s="77"/>
      <c r="E900" s="75" t="s">
        <v>26</v>
      </c>
      <c r="F900" s="76"/>
      <c r="G900" s="77"/>
      <c r="H900" s="75" t="s">
        <v>27</v>
      </c>
      <c r="I900" s="77"/>
      <c r="J900" s="78" t="s">
        <v>21</v>
      </c>
      <c r="K900" s="79"/>
      <c r="L900" s="75" t="s">
        <v>22</v>
      </c>
      <c r="M900" s="77"/>
    </row>
    <row r="901" spans="1:13" s="18" customFormat="1" ht="24.75" customHeight="1" thickBot="1">
      <c r="A901" s="99"/>
      <c r="B901" s="98"/>
      <c r="C901" s="56"/>
      <c r="D901" s="57"/>
      <c r="E901" s="56"/>
      <c r="F901" s="100"/>
      <c r="G901" s="57"/>
      <c r="H901" s="56"/>
      <c r="I901" s="57"/>
      <c r="J901" s="56"/>
      <c r="K901" s="57"/>
      <c r="L901" s="56"/>
      <c r="M901" s="57"/>
    </row>
    <row r="902" spans="1:13" s="18" customFormat="1" ht="24.75" customHeight="1" thickBot="1">
      <c r="A902" s="99"/>
      <c r="B902" s="98"/>
      <c r="C902" s="56"/>
      <c r="D902" s="57"/>
      <c r="E902" s="56"/>
      <c r="F902" s="100"/>
      <c r="G902" s="57"/>
      <c r="H902" s="56"/>
      <c r="I902" s="57"/>
      <c r="J902" s="56"/>
      <c r="K902" s="57"/>
      <c r="L902" s="56"/>
      <c r="M902" s="57"/>
    </row>
    <row r="903" spans="1:13" ht="33" customHeight="1" thickBot="1">
      <c r="A903" s="112" t="s">
        <v>40</v>
      </c>
      <c r="B903" s="113"/>
      <c r="C903" s="113"/>
      <c r="D903" s="113"/>
      <c r="E903" s="113"/>
      <c r="F903" s="113"/>
      <c r="G903" s="113"/>
      <c r="H903" s="113"/>
      <c r="I903" s="113"/>
      <c r="J903" s="113"/>
      <c r="K903" s="113"/>
      <c r="L903" s="113"/>
      <c r="M903" s="114"/>
    </row>
    <row r="904" spans="1:13" ht="16.5" customHeight="1">
      <c r="A904" s="115" t="s">
        <v>41</v>
      </c>
      <c r="B904" s="116"/>
      <c r="C904" s="116"/>
      <c r="D904" s="116"/>
      <c r="E904" s="116"/>
      <c r="F904" s="116"/>
      <c r="G904" s="116"/>
      <c r="H904" s="116"/>
      <c r="I904" s="116"/>
      <c r="J904" s="116"/>
      <c r="K904" s="116"/>
      <c r="L904" s="116"/>
      <c r="M904" s="117"/>
    </row>
    <row r="905" spans="1:13" ht="16.5" customHeight="1">
      <c r="A905" s="90" t="s">
        <v>28</v>
      </c>
      <c r="B905" s="91"/>
      <c r="C905" s="91"/>
      <c r="D905" s="91"/>
      <c r="E905" s="91"/>
      <c r="F905" s="91"/>
      <c r="G905" s="91"/>
      <c r="H905" s="91"/>
      <c r="I905" s="91"/>
      <c r="J905" s="91"/>
      <c r="K905" s="91"/>
      <c r="L905" s="91"/>
      <c r="M905" s="92"/>
    </row>
    <row r="906" spans="1:13" s="1" customFormat="1" ht="16.5" customHeight="1">
      <c r="A906" s="93" t="s">
        <v>56</v>
      </c>
      <c r="B906" s="94"/>
      <c r="C906" s="94"/>
      <c r="D906" s="94"/>
      <c r="E906" s="94"/>
      <c r="F906" s="94"/>
      <c r="G906" s="94"/>
      <c r="H906" s="94"/>
      <c r="I906" s="94"/>
      <c r="J906" s="94"/>
      <c r="K906" s="94"/>
      <c r="L906" s="94"/>
      <c r="M906" s="95"/>
    </row>
    <row r="907" spans="1:13" s="1" customFormat="1" ht="16.5" customHeight="1">
      <c r="A907" s="93" t="s">
        <v>57</v>
      </c>
      <c r="B907" s="94"/>
      <c r="C907" s="94"/>
      <c r="D907" s="94"/>
      <c r="E907" s="94"/>
      <c r="F907" s="94"/>
      <c r="G907" s="94"/>
      <c r="H907" s="94"/>
      <c r="I907" s="94"/>
      <c r="J907" s="94"/>
      <c r="K907" s="94"/>
      <c r="L907" s="94"/>
      <c r="M907" s="95"/>
    </row>
    <row r="908" spans="1:13" s="1" customFormat="1" ht="16.5" customHeight="1">
      <c r="A908" s="93" t="s">
        <v>58</v>
      </c>
      <c r="B908" s="94"/>
      <c r="C908" s="94"/>
      <c r="D908" s="94"/>
      <c r="E908" s="94"/>
      <c r="F908" s="94"/>
      <c r="G908" s="94"/>
      <c r="H908" s="94"/>
      <c r="I908" s="94"/>
      <c r="J908" s="94"/>
      <c r="K908" s="94"/>
      <c r="L908" s="94"/>
      <c r="M908" s="95"/>
    </row>
    <row r="909" spans="1:13" s="1" customFormat="1" ht="16.5" customHeight="1">
      <c r="A909" s="93" t="s">
        <v>59</v>
      </c>
      <c r="B909" s="94"/>
      <c r="C909" s="94"/>
      <c r="D909" s="94"/>
      <c r="E909" s="94"/>
      <c r="F909" s="94"/>
      <c r="G909" s="94"/>
      <c r="H909" s="94"/>
      <c r="I909" s="94"/>
      <c r="J909" s="94"/>
      <c r="K909" s="94"/>
      <c r="L909" s="94"/>
      <c r="M909" s="95"/>
    </row>
    <row r="910" spans="1:13" ht="16.5" customHeight="1">
      <c r="A910" s="106" t="s">
        <v>29</v>
      </c>
      <c r="B910" s="107"/>
      <c r="C910" s="107"/>
      <c r="D910" s="107"/>
      <c r="E910" s="107"/>
      <c r="F910" s="107"/>
      <c r="G910" s="107"/>
      <c r="H910" s="107"/>
      <c r="I910" s="107"/>
      <c r="J910" s="107"/>
      <c r="K910" s="107"/>
      <c r="L910" s="107"/>
      <c r="M910" s="108"/>
    </row>
    <row r="911" spans="1:13" ht="9.75" customHeight="1" thickBot="1">
      <c r="A911" s="109"/>
      <c r="B911" s="110"/>
      <c r="C911" s="110"/>
      <c r="D911" s="110"/>
      <c r="E911" s="110"/>
      <c r="F911" s="110"/>
      <c r="G911" s="110"/>
      <c r="H911" s="110"/>
      <c r="I911" s="110"/>
      <c r="J911" s="110"/>
      <c r="K911" s="110"/>
      <c r="L911" s="110"/>
      <c r="M911" s="111"/>
    </row>
    <row r="912" spans="1:13" ht="18.75" customHeight="1" thickBot="1">
      <c r="A912" s="72" t="s">
        <v>30</v>
      </c>
      <c r="B912" s="73"/>
      <c r="C912" s="73"/>
      <c r="D912" s="73"/>
      <c r="E912" s="73"/>
      <c r="F912" s="73"/>
      <c r="G912" s="73"/>
      <c r="H912" s="73"/>
      <c r="I912" s="73"/>
      <c r="J912" s="73"/>
      <c r="K912" s="73"/>
      <c r="L912" s="73"/>
      <c r="M912" s="74"/>
    </row>
    <row r="913" spans="1:15" ht="24" customHeight="1" thickBot="1">
      <c r="A913" s="72" t="s">
        <v>31</v>
      </c>
      <c r="B913" s="73"/>
      <c r="C913" s="73"/>
      <c r="D913" s="73"/>
      <c r="E913" s="73"/>
      <c r="F913" s="73"/>
      <c r="G913" s="73"/>
      <c r="H913" s="73"/>
      <c r="I913" s="73"/>
      <c r="J913" s="73"/>
      <c r="K913" s="73"/>
      <c r="L913" s="73"/>
      <c r="M913" s="74"/>
    </row>
    <row r="914" spans="1:15" ht="24" customHeight="1" thickBot="1">
      <c r="A914" s="72" t="s">
        <v>62</v>
      </c>
      <c r="B914" s="73"/>
      <c r="C914" s="73"/>
      <c r="D914" s="73"/>
      <c r="E914" s="73"/>
      <c r="F914" s="73"/>
      <c r="G914" s="73"/>
      <c r="H914" s="73"/>
      <c r="I914" s="73"/>
      <c r="J914" s="73"/>
      <c r="K914" s="73"/>
      <c r="L914" s="73"/>
      <c r="M914" s="74"/>
    </row>
    <row r="915" spans="1:15" ht="24" customHeight="1" thickBot="1">
      <c r="A915" s="60" t="s">
        <v>46</v>
      </c>
      <c r="B915" s="61"/>
      <c r="C915" s="61"/>
      <c r="D915" s="61"/>
      <c r="E915" s="61"/>
      <c r="F915" s="61"/>
      <c r="G915" s="61"/>
      <c r="H915" s="61"/>
      <c r="I915" s="61"/>
      <c r="J915" s="61"/>
      <c r="K915" s="61"/>
      <c r="L915" s="61"/>
      <c r="M915" s="62"/>
    </row>
    <row r="916" spans="1:15" ht="11.1" customHeight="1">
      <c r="A916" s="103" t="s">
        <v>47</v>
      </c>
      <c r="B916" s="103"/>
      <c r="C916" s="103"/>
      <c r="D916" s="103"/>
      <c r="E916" s="103"/>
      <c r="F916" s="103"/>
      <c r="G916" s="103"/>
      <c r="H916" s="103"/>
      <c r="I916" s="103"/>
      <c r="J916" s="103"/>
      <c r="K916" s="103"/>
      <c r="L916" s="103"/>
      <c r="M916" s="103"/>
    </row>
    <row r="917" spans="1:15" ht="11.1" customHeight="1">
      <c r="A917" s="104" t="s">
        <v>48</v>
      </c>
      <c r="B917" s="104"/>
      <c r="C917" s="104"/>
      <c r="D917" s="104"/>
      <c r="E917" s="104"/>
      <c r="F917" s="104"/>
      <c r="G917" s="104"/>
      <c r="H917" s="104"/>
      <c r="I917" s="104"/>
      <c r="J917" s="104"/>
      <c r="K917" s="104"/>
      <c r="L917" s="104"/>
      <c r="M917" s="104"/>
    </row>
    <row r="918" spans="1:15" ht="11.1" customHeight="1">
      <c r="A918" s="105" t="s">
        <v>49</v>
      </c>
      <c r="B918" s="105"/>
      <c r="C918" s="105"/>
      <c r="D918" s="105"/>
      <c r="E918" s="105"/>
      <c r="F918" s="105"/>
      <c r="G918" s="105"/>
      <c r="H918" s="105"/>
      <c r="I918" s="105"/>
      <c r="J918" s="105"/>
      <c r="K918" s="105"/>
      <c r="L918" s="105"/>
      <c r="M918" s="105"/>
    </row>
    <row r="919" spans="1:15" ht="11.1" customHeight="1">
      <c r="A919" s="105" t="s">
        <v>50</v>
      </c>
      <c r="B919" s="105"/>
      <c r="C919" s="105"/>
      <c r="D919" s="105"/>
      <c r="E919" s="105"/>
      <c r="F919" s="105"/>
      <c r="G919" s="105"/>
      <c r="H919" s="105"/>
      <c r="I919" s="105"/>
      <c r="J919" s="105"/>
      <c r="K919" s="105"/>
      <c r="L919" s="105"/>
      <c r="M919" s="105"/>
    </row>
    <row r="920" spans="1:15" ht="11.1" customHeight="1">
      <c r="A920" s="104" t="s">
        <v>51</v>
      </c>
      <c r="B920" s="104"/>
      <c r="C920" s="104"/>
      <c r="D920" s="104"/>
      <c r="E920" s="104"/>
      <c r="F920" s="104"/>
      <c r="G920" s="104"/>
      <c r="H920" s="104"/>
      <c r="I920" s="104"/>
      <c r="J920" s="104"/>
      <c r="K920" s="104"/>
      <c r="L920" s="104"/>
      <c r="M920" s="104"/>
    </row>
    <row r="921" spans="1:15" ht="11.1" customHeight="1">
      <c r="A921" s="104" t="s">
        <v>52</v>
      </c>
      <c r="B921" s="104"/>
      <c r="C921" s="104"/>
      <c r="D921" s="104"/>
      <c r="E921" s="104"/>
      <c r="F921" s="104"/>
      <c r="G921" s="104"/>
      <c r="H921" s="104"/>
      <c r="I921" s="104"/>
      <c r="J921" s="104"/>
      <c r="K921" s="104"/>
      <c r="L921" s="104"/>
      <c r="M921" s="104"/>
    </row>
    <row r="922" spans="1:15" ht="11.1" customHeight="1">
      <c r="A922" s="104" t="s">
        <v>53</v>
      </c>
      <c r="B922" s="104"/>
      <c r="C922" s="104"/>
      <c r="D922" s="104"/>
      <c r="E922" s="104"/>
      <c r="F922" s="104"/>
      <c r="G922" s="104"/>
      <c r="H922" s="104"/>
      <c r="I922" s="104"/>
      <c r="J922" s="104"/>
      <c r="K922" s="104"/>
      <c r="L922" s="104"/>
      <c r="M922" s="104"/>
    </row>
    <row r="923" spans="1:15" ht="11.1" customHeight="1">
      <c r="A923" s="101" t="s">
        <v>54</v>
      </c>
      <c r="B923" s="101"/>
      <c r="C923" s="101"/>
      <c r="D923" s="101"/>
      <c r="E923" s="101"/>
      <c r="F923" s="101"/>
      <c r="G923" s="101"/>
      <c r="H923" s="101"/>
      <c r="I923" s="101"/>
      <c r="J923" s="101"/>
      <c r="K923" s="101"/>
      <c r="L923" s="101"/>
      <c r="M923" s="101"/>
    </row>
    <row r="924" spans="1:15" ht="11.1" customHeight="1">
      <c r="A924" s="101" t="s">
        <v>55</v>
      </c>
      <c r="B924" s="101"/>
      <c r="C924" s="101"/>
      <c r="D924" s="101"/>
      <c r="E924" s="101"/>
      <c r="F924" s="101"/>
      <c r="G924" s="101"/>
      <c r="H924" s="101"/>
      <c r="I924" s="101"/>
      <c r="J924" s="101"/>
      <c r="K924" s="101"/>
      <c r="L924" s="101"/>
      <c r="M924" s="101"/>
    </row>
    <row r="925" spans="1:15" ht="19.5" customHeight="1">
      <c r="A925" s="69" t="s">
        <v>0</v>
      </c>
      <c r="B925" s="69"/>
      <c r="C925" s="69"/>
      <c r="D925" s="69"/>
      <c r="E925" s="69"/>
      <c r="F925" s="69"/>
      <c r="G925" s="69"/>
      <c r="H925" s="69"/>
      <c r="I925" s="69"/>
      <c r="J925" s="69"/>
      <c r="K925" s="69"/>
      <c r="L925" s="69"/>
      <c r="M925" s="69"/>
    </row>
    <row r="926" spans="1:15" ht="20.100000000000001" customHeight="1">
      <c r="A926" s="4" t="s">
        <v>32</v>
      </c>
      <c r="B926" s="5">
        <f>+B882+1</f>
        <v>57</v>
      </c>
      <c r="C926" s="48"/>
      <c r="D926" s="48"/>
      <c r="E926" s="48"/>
      <c r="F926" s="48"/>
      <c r="G926" s="48"/>
      <c r="H926" s="48"/>
      <c r="I926" s="48"/>
      <c r="J926" s="48"/>
      <c r="K926" s="48"/>
      <c r="L926" s="48"/>
      <c r="M926" s="48"/>
    </row>
    <row r="927" spans="1:15" ht="24" customHeight="1" thickBot="1">
      <c r="A927" s="4" t="s">
        <v>33</v>
      </c>
      <c r="H927" s="70" t="s">
        <v>34</v>
      </c>
      <c r="I927" s="70"/>
      <c r="J927" s="70"/>
      <c r="K927" s="102">
        <f>+K883+1</f>
        <v>45983</v>
      </c>
      <c r="L927" s="102"/>
      <c r="M927" s="102"/>
      <c r="O927" s="7"/>
    </row>
    <row r="928" spans="1:15" ht="33.75" customHeight="1" thickBot="1">
      <c r="A928" s="80" t="s">
        <v>1</v>
      </c>
      <c r="B928" s="81"/>
      <c r="C928" s="82"/>
      <c r="D928" s="86" t="str">
        <f>+D884</f>
        <v>光明國中B與C區5樓老舊廁所整修工程</v>
      </c>
      <c r="E928" s="87"/>
      <c r="F928" s="87"/>
      <c r="G928" s="88"/>
      <c r="H928" s="80" t="s">
        <v>2</v>
      </c>
      <c r="I928" s="81"/>
      <c r="J928" s="82"/>
      <c r="K928" s="80" t="s">
        <v>35</v>
      </c>
      <c r="L928" s="81"/>
      <c r="M928" s="82"/>
    </row>
    <row r="929" spans="1:13" ht="33.75" customHeight="1" thickBot="1">
      <c r="A929" s="8" t="s">
        <v>3</v>
      </c>
      <c r="B929" s="45">
        <f>+B885</f>
        <v>142</v>
      </c>
      <c r="C929" s="10" t="s">
        <v>36</v>
      </c>
      <c r="D929" s="80" t="s">
        <v>4</v>
      </c>
      <c r="E929" s="89"/>
      <c r="F929" s="46">
        <f>+F885+1</f>
        <v>57</v>
      </c>
      <c r="G929" s="12" t="s">
        <v>36</v>
      </c>
      <c r="H929" s="13" t="s">
        <v>5</v>
      </c>
      <c r="I929" s="45">
        <f>+B929-F929</f>
        <v>85</v>
      </c>
      <c r="J929" s="10" t="s">
        <v>36</v>
      </c>
      <c r="K929" s="80" t="s">
        <v>6</v>
      </c>
      <c r="L929" s="82"/>
      <c r="M929" s="13">
        <f>+M885</f>
        <v>12</v>
      </c>
    </row>
    <row r="930" spans="1:13" ht="24" customHeight="1" thickBot="1">
      <c r="A930" s="80" t="s">
        <v>7</v>
      </c>
      <c r="B930" s="81"/>
      <c r="C930" s="82"/>
      <c r="D930" s="80" t="str">
        <f>+D886</f>
        <v>114.9.27</v>
      </c>
      <c r="E930" s="81"/>
      <c r="F930" s="81"/>
      <c r="G930" s="82"/>
      <c r="H930" s="80" t="s">
        <v>8</v>
      </c>
      <c r="I930" s="81"/>
      <c r="J930" s="82"/>
      <c r="K930" s="80" t="str">
        <f>+K886</f>
        <v>115.2.15</v>
      </c>
      <c r="L930" s="81"/>
      <c r="M930" s="82"/>
    </row>
    <row r="931" spans="1:13" ht="24" customHeight="1" thickBot="1">
      <c r="A931" s="80" t="s">
        <v>37</v>
      </c>
      <c r="B931" s="81"/>
      <c r="C931" s="82"/>
      <c r="D931" s="83">
        <v>0.06</v>
      </c>
      <c r="E931" s="84"/>
      <c r="F931" s="84"/>
      <c r="G931" s="85"/>
      <c r="H931" s="80" t="s">
        <v>38</v>
      </c>
      <c r="I931" s="81"/>
      <c r="J931" s="82"/>
      <c r="K931" s="83">
        <f>+K887</f>
        <v>5.8000000000000003E-2</v>
      </c>
      <c r="L931" s="84"/>
      <c r="M931" s="85"/>
    </row>
    <row r="932" spans="1:13" ht="24" customHeight="1" thickBot="1">
      <c r="A932" s="72" t="s">
        <v>9</v>
      </c>
      <c r="B932" s="73"/>
      <c r="C932" s="73"/>
      <c r="D932" s="73"/>
      <c r="E932" s="73"/>
      <c r="F932" s="73"/>
      <c r="G932" s="73"/>
      <c r="H932" s="73"/>
      <c r="I932" s="73"/>
      <c r="J932" s="73"/>
      <c r="K932" s="73"/>
      <c r="L932" s="73"/>
      <c r="M932" s="74"/>
    </row>
    <row r="933" spans="1:13" ht="35.25" customHeight="1" thickBot="1">
      <c r="A933" s="75" t="s">
        <v>10</v>
      </c>
      <c r="B933" s="76"/>
      <c r="C933" s="76"/>
      <c r="D933" s="77"/>
      <c r="E933" s="14" t="s">
        <v>11</v>
      </c>
      <c r="F933" s="75" t="s">
        <v>12</v>
      </c>
      <c r="G933" s="77"/>
      <c r="H933" s="75" t="s">
        <v>13</v>
      </c>
      <c r="I933" s="77"/>
      <c r="J933" s="78" t="s">
        <v>14</v>
      </c>
      <c r="K933" s="79"/>
      <c r="L933" s="75" t="s">
        <v>15</v>
      </c>
      <c r="M933" s="77"/>
    </row>
    <row r="934" spans="1:13" ht="27.95" customHeight="1" thickBot="1">
      <c r="A934" s="141"/>
      <c r="B934" s="142"/>
      <c r="C934" s="142"/>
      <c r="D934" s="143"/>
      <c r="E934" s="2"/>
      <c r="F934" s="56"/>
      <c r="G934" s="57"/>
      <c r="H934" s="56"/>
      <c r="I934" s="57"/>
      <c r="J934" s="56"/>
      <c r="K934" s="57"/>
      <c r="L934" s="58"/>
      <c r="M934" s="59"/>
    </row>
    <row r="935" spans="1:13" ht="27.95" customHeight="1" thickBot="1">
      <c r="A935" s="141"/>
      <c r="B935" s="142"/>
      <c r="C935" s="142"/>
      <c r="D935" s="143"/>
      <c r="E935" s="15"/>
      <c r="F935" s="56"/>
      <c r="G935" s="57"/>
      <c r="H935" s="56"/>
      <c r="I935" s="57"/>
      <c r="J935" s="56"/>
      <c r="K935" s="57"/>
      <c r="L935" s="58"/>
      <c r="M935" s="59"/>
    </row>
    <row r="936" spans="1:13" ht="24.95" customHeight="1" thickTop="1" thickBot="1">
      <c r="A936" s="130" t="s">
        <v>16</v>
      </c>
      <c r="B936" s="67"/>
      <c r="C936" s="67"/>
      <c r="D936" s="68"/>
      <c r="E936" s="47"/>
      <c r="F936" s="131"/>
      <c r="G936" s="132"/>
      <c r="H936" s="131"/>
      <c r="I936" s="132"/>
      <c r="J936" s="131"/>
      <c r="K936" s="132"/>
      <c r="L936" s="131"/>
      <c r="M936" s="133"/>
    </row>
    <row r="937" spans="1:13" ht="24.95" customHeight="1" thickBot="1">
      <c r="A937" s="134" t="s">
        <v>17</v>
      </c>
      <c r="B937" s="135"/>
      <c r="C937" s="135"/>
      <c r="D937" s="59"/>
      <c r="E937" s="47"/>
      <c r="F937" s="58"/>
      <c r="G937" s="59"/>
      <c r="H937" s="58"/>
      <c r="I937" s="59"/>
      <c r="J937" s="58"/>
      <c r="K937" s="59"/>
      <c r="L937" s="58"/>
      <c r="M937" s="136"/>
    </row>
    <row r="938" spans="1:13" ht="24.95" customHeight="1" thickBot="1">
      <c r="A938" s="118" t="s">
        <v>18</v>
      </c>
      <c r="B938" s="119"/>
      <c r="C938" s="119"/>
      <c r="D938" s="120"/>
      <c r="E938" s="24"/>
      <c r="F938" s="121"/>
      <c r="G938" s="120"/>
      <c r="H938" s="121"/>
      <c r="I938" s="120"/>
      <c r="J938" s="121"/>
      <c r="K938" s="120"/>
      <c r="L938" s="121"/>
      <c r="M938" s="122"/>
    </row>
    <row r="939" spans="1:13" ht="24" customHeight="1" thickTop="1" thickBot="1">
      <c r="A939" s="66" t="s">
        <v>19</v>
      </c>
      <c r="B939" s="67"/>
      <c r="C939" s="67"/>
      <c r="D939" s="67"/>
      <c r="E939" s="67"/>
      <c r="F939" s="67"/>
      <c r="G939" s="67"/>
      <c r="H939" s="67"/>
      <c r="I939" s="67"/>
      <c r="J939" s="67"/>
      <c r="K939" s="67"/>
      <c r="L939" s="67"/>
      <c r="M939" s="68"/>
    </row>
    <row r="940" spans="1:13" ht="35.25" customHeight="1" thickBot="1">
      <c r="A940" s="75" t="s">
        <v>20</v>
      </c>
      <c r="B940" s="76"/>
      <c r="C940" s="76"/>
      <c r="D940" s="77"/>
      <c r="E940" s="14" t="s">
        <v>11</v>
      </c>
      <c r="F940" s="75" t="s">
        <v>39</v>
      </c>
      <c r="G940" s="77"/>
      <c r="H940" s="75" t="s">
        <v>21</v>
      </c>
      <c r="I940" s="77"/>
      <c r="J940" s="78" t="s">
        <v>22</v>
      </c>
      <c r="K940" s="79"/>
      <c r="L940" s="75" t="s">
        <v>15</v>
      </c>
      <c r="M940" s="77"/>
    </row>
    <row r="941" spans="1:13" ht="24" customHeight="1" thickBot="1">
      <c r="A941" s="96"/>
      <c r="B941" s="97"/>
      <c r="C941" s="97"/>
      <c r="D941" s="98"/>
      <c r="E941" s="47"/>
      <c r="F941" s="58"/>
      <c r="G941" s="59"/>
      <c r="H941" s="58"/>
      <c r="I941" s="59"/>
      <c r="J941" s="56"/>
      <c r="K941" s="57"/>
      <c r="L941" s="58"/>
      <c r="M941" s="59"/>
    </row>
    <row r="942" spans="1:13" ht="24" customHeight="1" thickBot="1">
      <c r="A942" s="96"/>
      <c r="B942" s="97"/>
      <c r="C942" s="97"/>
      <c r="D942" s="98"/>
      <c r="E942" s="47"/>
      <c r="F942" s="58"/>
      <c r="G942" s="59"/>
      <c r="H942" s="58"/>
      <c r="I942" s="59"/>
      <c r="J942" s="56"/>
      <c r="K942" s="57"/>
      <c r="L942" s="58"/>
      <c r="M942" s="59"/>
    </row>
    <row r="943" spans="1:13" ht="24" customHeight="1" thickBot="1">
      <c r="A943" s="60" t="s">
        <v>23</v>
      </c>
      <c r="B943" s="61"/>
      <c r="C943" s="61"/>
      <c r="D943" s="61"/>
      <c r="E943" s="61"/>
      <c r="F943" s="61"/>
      <c r="G943" s="61"/>
      <c r="H943" s="61"/>
      <c r="I943" s="61"/>
      <c r="J943" s="61"/>
      <c r="K943" s="61"/>
      <c r="L943" s="61"/>
      <c r="M943" s="62"/>
    </row>
    <row r="944" spans="1:13" ht="35.25" customHeight="1" thickBot="1">
      <c r="A944" s="75" t="s">
        <v>24</v>
      </c>
      <c r="B944" s="77"/>
      <c r="C944" s="75" t="s">
        <v>25</v>
      </c>
      <c r="D944" s="77"/>
      <c r="E944" s="75" t="s">
        <v>26</v>
      </c>
      <c r="F944" s="76"/>
      <c r="G944" s="77"/>
      <c r="H944" s="75" t="s">
        <v>27</v>
      </c>
      <c r="I944" s="77"/>
      <c r="J944" s="78" t="s">
        <v>21</v>
      </c>
      <c r="K944" s="79"/>
      <c r="L944" s="75" t="s">
        <v>22</v>
      </c>
      <c r="M944" s="77"/>
    </row>
    <row r="945" spans="1:13" s="18" customFormat="1" ht="24.75" customHeight="1" thickBot="1">
      <c r="A945" s="99"/>
      <c r="B945" s="98"/>
      <c r="C945" s="56"/>
      <c r="D945" s="57"/>
      <c r="E945" s="56"/>
      <c r="F945" s="100"/>
      <c r="G945" s="57"/>
      <c r="H945" s="56"/>
      <c r="I945" s="57"/>
      <c r="J945" s="56"/>
      <c r="K945" s="57"/>
      <c r="L945" s="56"/>
      <c r="M945" s="57"/>
    </row>
    <row r="946" spans="1:13" s="18" customFormat="1" ht="24.75" customHeight="1" thickBot="1">
      <c r="A946" s="99"/>
      <c r="B946" s="98"/>
      <c r="C946" s="56"/>
      <c r="D946" s="57"/>
      <c r="E946" s="56"/>
      <c r="F946" s="100"/>
      <c r="G946" s="57"/>
      <c r="H946" s="56"/>
      <c r="I946" s="57"/>
      <c r="J946" s="56"/>
      <c r="K946" s="57"/>
      <c r="L946" s="56"/>
      <c r="M946" s="57"/>
    </row>
    <row r="947" spans="1:13" ht="33" customHeight="1" thickBot="1">
      <c r="A947" s="112" t="s">
        <v>40</v>
      </c>
      <c r="B947" s="113"/>
      <c r="C947" s="113"/>
      <c r="D947" s="113"/>
      <c r="E947" s="113"/>
      <c r="F947" s="113"/>
      <c r="G947" s="113"/>
      <c r="H947" s="113"/>
      <c r="I947" s="113"/>
      <c r="J947" s="113"/>
      <c r="K947" s="113"/>
      <c r="L947" s="113"/>
      <c r="M947" s="114"/>
    </row>
    <row r="948" spans="1:13" ht="16.5" customHeight="1">
      <c r="A948" s="115" t="s">
        <v>41</v>
      </c>
      <c r="B948" s="116"/>
      <c r="C948" s="116"/>
      <c r="D948" s="116"/>
      <c r="E948" s="116"/>
      <c r="F948" s="116"/>
      <c r="G948" s="116"/>
      <c r="H948" s="116"/>
      <c r="I948" s="116"/>
      <c r="J948" s="116"/>
      <c r="K948" s="116"/>
      <c r="L948" s="116"/>
      <c r="M948" s="117"/>
    </row>
    <row r="949" spans="1:13" ht="16.5" customHeight="1">
      <c r="A949" s="90" t="s">
        <v>28</v>
      </c>
      <c r="B949" s="91"/>
      <c r="C949" s="91"/>
      <c r="D949" s="91"/>
      <c r="E949" s="91"/>
      <c r="F949" s="91"/>
      <c r="G949" s="91"/>
      <c r="H949" s="91"/>
      <c r="I949" s="91"/>
      <c r="J949" s="91"/>
      <c r="K949" s="91"/>
      <c r="L949" s="91"/>
      <c r="M949" s="92"/>
    </row>
    <row r="950" spans="1:13" s="1" customFormat="1" ht="16.5" customHeight="1">
      <c r="A950" s="93" t="s">
        <v>56</v>
      </c>
      <c r="B950" s="94"/>
      <c r="C950" s="94"/>
      <c r="D950" s="94"/>
      <c r="E950" s="94"/>
      <c r="F950" s="94"/>
      <c r="G950" s="94"/>
      <c r="H950" s="94"/>
      <c r="I950" s="94"/>
      <c r="J950" s="94"/>
      <c r="K950" s="94"/>
      <c r="L950" s="94"/>
      <c r="M950" s="95"/>
    </row>
    <row r="951" spans="1:13" s="1" customFormat="1" ht="16.5" customHeight="1">
      <c r="A951" s="93" t="s">
        <v>57</v>
      </c>
      <c r="B951" s="94"/>
      <c r="C951" s="94"/>
      <c r="D951" s="94"/>
      <c r="E951" s="94"/>
      <c r="F951" s="94"/>
      <c r="G951" s="94"/>
      <c r="H951" s="94"/>
      <c r="I951" s="94"/>
      <c r="J951" s="94"/>
      <c r="K951" s="94"/>
      <c r="L951" s="94"/>
      <c r="M951" s="95"/>
    </row>
    <row r="952" spans="1:13" s="1" customFormat="1" ht="16.5" customHeight="1">
      <c r="A952" s="93" t="s">
        <v>58</v>
      </c>
      <c r="B952" s="94"/>
      <c r="C952" s="94"/>
      <c r="D952" s="94"/>
      <c r="E952" s="94"/>
      <c r="F952" s="94"/>
      <c r="G952" s="94"/>
      <c r="H952" s="94"/>
      <c r="I952" s="94"/>
      <c r="J952" s="94"/>
      <c r="K952" s="94"/>
      <c r="L952" s="94"/>
      <c r="M952" s="95"/>
    </row>
    <row r="953" spans="1:13" s="1" customFormat="1" ht="16.5" customHeight="1">
      <c r="A953" s="93" t="s">
        <v>59</v>
      </c>
      <c r="B953" s="94"/>
      <c r="C953" s="94"/>
      <c r="D953" s="94"/>
      <c r="E953" s="94"/>
      <c r="F953" s="94"/>
      <c r="G953" s="94"/>
      <c r="H953" s="94"/>
      <c r="I953" s="94"/>
      <c r="J953" s="94"/>
      <c r="K953" s="94"/>
      <c r="L953" s="94"/>
      <c r="M953" s="95"/>
    </row>
    <row r="954" spans="1:13" ht="16.5" customHeight="1">
      <c r="A954" s="106" t="s">
        <v>29</v>
      </c>
      <c r="B954" s="107"/>
      <c r="C954" s="107"/>
      <c r="D954" s="107"/>
      <c r="E954" s="107"/>
      <c r="F954" s="107"/>
      <c r="G954" s="107"/>
      <c r="H954" s="107"/>
      <c r="I954" s="107"/>
      <c r="J954" s="107"/>
      <c r="K954" s="107"/>
      <c r="L954" s="107"/>
      <c r="M954" s="108"/>
    </row>
    <row r="955" spans="1:13" ht="9.75" customHeight="1" thickBot="1">
      <c r="A955" s="109"/>
      <c r="B955" s="110"/>
      <c r="C955" s="110"/>
      <c r="D955" s="110"/>
      <c r="E955" s="110"/>
      <c r="F955" s="110"/>
      <c r="G955" s="110"/>
      <c r="H955" s="110"/>
      <c r="I955" s="110"/>
      <c r="J955" s="110"/>
      <c r="K955" s="110"/>
      <c r="L955" s="110"/>
      <c r="M955" s="111"/>
    </row>
    <row r="956" spans="1:13" ht="18.75" customHeight="1" thickBot="1">
      <c r="A956" s="72" t="s">
        <v>30</v>
      </c>
      <c r="B956" s="73"/>
      <c r="C956" s="73"/>
      <c r="D956" s="73"/>
      <c r="E956" s="73"/>
      <c r="F956" s="73"/>
      <c r="G956" s="73"/>
      <c r="H956" s="73"/>
      <c r="I956" s="73"/>
      <c r="J956" s="73"/>
      <c r="K956" s="73"/>
      <c r="L956" s="73"/>
      <c r="M956" s="74"/>
    </row>
    <row r="957" spans="1:13" ht="24" customHeight="1" thickBot="1">
      <c r="A957" s="72" t="s">
        <v>31</v>
      </c>
      <c r="B957" s="73"/>
      <c r="C957" s="73"/>
      <c r="D957" s="73"/>
      <c r="E957" s="73"/>
      <c r="F957" s="73"/>
      <c r="G957" s="73"/>
      <c r="H957" s="73"/>
      <c r="I957" s="73"/>
      <c r="J957" s="73"/>
      <c r="K957" s="73"/>
      <c r="L957" s="73"/>
      <c r="M957" s="74"/>
    </row>
    <row r="958" spans="1:13" ht="24" customHeight="1" thickBot="1">
      <c r="A958" s="72" t="s">
        <v>62</v>
      </c>
      <c r="B958" s="73"/>
      <c r="C958" s="73"/>
      <c r="D958" s="73"/>
      <c r="E958" s="73"/>
      <c r="F958" s="73"/>
      <c r="G958" s="73"/>
      <c r="H958" s="73"/>
      <c r="I958" s="73"/>
      <c r="J958" s="73"/>
      <c r="K958" s="73"/>
      <c r="L958" s="73"/>
      <c r="M958" s="74"/>
    </row>
    <row r="959" spans="1:13" ht="24" customHeight="1" thickBot="1">
      <c r="A959" s="60" t="s">
        <v>46</v>
      </c>
      <c r="B959" s="61"/>
      <c r="C959" s="61"/>
      <c r="D959" s="61"/>
      <c r="E959" s="61"/>
      <c r="F959" s="61"/>
      <c r="G959" s="61"/>
      <c r="H959" s="61"/>
      <c r="I959" s="61"/>
      <c r="J959" s="61"/>
      <c r="K959" s="61"/>
      <c r="L959" s="61"/>
      <c r="M959" s="62"/>
    </row>
    <row r="960" spans="1:13" ht="11.1" customHeight="1">
      <c r="A960" s="103" t="s">
        <v>47</v>
      </c>
      <c r="B960" s="103"/>
      <c r="C960" s="103"/>
      <c r="D960" s="103"/>
      <c r="E960" s="103"/>
      <c r="F960" s="103"/>
      <c r="G960" s="103"/>
      <c r="H960" s="103"/>
      <c r="I960" s="103"/>
      <c r="J960" s="103"/>
      <c r="K960" s="103"/>
      <c r="L960" s="103"/>
      <c r="M960" s="103"/>
    </row>
    <row r="961" spans="1:15" ht="11.1" customHeight="1">
      <c r="A961" s="104" t="s">
        <v>48</v>
      </c>
      <c r="B961" s="104"/>
      <c r="C961" s="104"/>
      <c r="D961" s="104"/>
      <c r="E961" s="104"/>
      <c r="F961" s="104"/>
      <c r="G961" s="104"/>
      <c r="H961" s="104"/>
      <c r="I961" s="104"/>
      <c r="J961" s="104"/>
      <c r="K961" s="104"/>
      <c r="L961" s="104"/>
      <c r="M961" s="104"/>
    </row>
    <row r="962" spans="1:15" ht="11.1" customHeight="1">
      <c r="A962" s="105" t="s">
        <v>49</v>
      </c>
      <c r="B962" s="105"/>
      <c r="C962" s="105"/>
      <c r="D962" s="105"/>
      <c r="E962" s="105"/>
      <c r="F962" s="105"/>
      <c r="G962" s="105"/>
      <c r="H962" s="105"/>
      <c r="I962" s="105"/>
      <c r="J962" s="105"/>
      <c r="K962" s="105"/>
      <c r="L962" s="105"/>
      <c r="M962" s="105"/>
    </row>
    <row r="963" spans="1:15" ht="11.1" customHeight="1">
      <c r="A963" s="105" t="s">
        <v>50</v>
      </c>
      <c r="B963" s="105"/>
      <c r="C963" s="105"/>
      <c r="D963" s="105"/>
      <c r="E963" s="105"/>
      <c r="F963" s="105"/>
      <c r="G963" s="105"/>
      <c r="H963" s="105"/>
      <c r="I963" s="105"/>
      <c r="J963" s="105"/>
      <c r="K963" s="105"/>
      <c r="L963" s="105"/>
      <c r="M963" s="105"/>
    </row>
    <row r="964" spans="1:15" ht="11.1" customHeight="1">
      <c r="A964" s="104" t="s">
        <v>51</v>
      </c>
      <c r="B964" s="104"/>
      <c r="C964" s="104"/>
      <c r="D964" s="104"/>
      <c r="E964" s="104"/>
      <c r="F964" s="104"/>
      <c r="G964" s="104"/>
      <c r="H964" s="104"/>
      <c r="I964" s="104"/>
      <c r="J964" s="104"/>
      <c r="K964" s="104"/>
      <c r="L964" s="104"/>
      <c r="M964" s="104"/>
    </row>
    <row r="965" spans="1:15" ht="11.1" customHeight="1">
      <c r="A965" s="104" t="s">
        <v>52</v>
      </c>
      <c r="B965" s="104"/>
      <c r="C965" s="104"/>
      <c r="D965" s="104"/>
      <c r="E965" s="104"/>
      <c r="F965" s="104"/>
      <c r="G965" s="104"/>
      <c r="H965" s="104"/>
      <c r="I965" s="104"/>
      <c r="J965" s="104"/>
      <c r="K965" s="104"/>
      <c r="L965" s="104"/>
      <c r="M965" s="104"/>
    </row>
    <row r="966" spans="1:15" ht="11.1" customHeight="1">
      <c r="A966" s="104" t="s">
        <v>53</v>
      </c>
      <c r="B966" s="104"/>
      <c r="C966" s="104"/>
      <c r="D966" s="104"/>
      <c r="E966" s="104"/>
      <c r="F966" s="104"/>
      <c r="G966" s="104"/>
      <c r="H966" s="104"/>
      <c r="I966" s="104"/>
      <c r="J966" s="104"/>
      <c r="K966" s="104"/>
      <c r="L966" s="104"/>
      <c r="M966" s="104"/>
    </row>
    <row r="967" spans="1:15" ht="11.1" customHeight="1">
      <c r="A967" s="101" t="s">
        <v>54</v>
      </c>
      <c r="B967" s="101"/>
      <c r="C967" s="101"/>
      <c r="D967" s="101"/>
      <c r="E967" s="101"/>
      <c r="F967" s="101"/>
      <c r="G967" s="101"/>
      <c r="H967" s="101"/>
      <c r="I967" s="101"/>
      <c r="J967" s="101"/>
      <c r="K967" s="101"/>
      <c r="L967" s="101"/>
      <c r="M967" s="101"/>
    </row>
    <row r="968" spans="1:15" ht="11.1" customHeight="1">
      <c r="A968" s="101" t="s">
        <v>55</v>
      </c>
      <c r="B968" s="101"/>
      <c r="C968" s="101"/>
      <c r="D968" s="101"/>
      <c r="E968" s="101"/>
      <c r="F968" s="101"/>
      <c r="G968" s="101"/>
      <c r="H968" s="101"/>
      <c r="I968" s="101"/>
      <c r="J968" s="101"/>
      <c r="K968" s="101"/>
      <c r="L968" s="101"/>
      <c r="M968" s="101"/>
    </row>
    <row r="969" spans="1:15" ht="19.5" customHeight="1">
      <c r="A969" s="69" t="s">
        <v>0</v>
      </c>
      <c r="B969" s="69"/>
      <c r="C969" s="69"/>
      <c r="D969" s="69"/>
      <c r="E969" s="69"/>
      <c r="F969" s="69"/>
      <c r="G969" s="69"/>
      <c r="H969" s="69"/>
      <c r="I969" s="69"/>
      <c r="J969" s="69"/>
      <c r="K969" s="69"/>
      <c r="L969" s="69"/>
      <c r="M969" s="69"/>
    </row>
    <row r="970" spans="1:15" ht="20.100000000000001" customHeight="1">
      <c r="A970" s="4" t="s">
        <v>32</v>
      </c>
      <c r="B970" s="5">
        <f>+B926+1</f>
        <v>58</v>
      </c>
      <c r="C970" s="48"/>
      <c r="D970" s="48"/>
      <c r="E970" s="48"/>
      <c r="F970" s="48"/>
      <c r="G970" s="48"/>
      <c r="H970" s="48"/>
      <c r="I970" s="48"/>
      <c r="J970" s="48"/>
      <c r="K970" s="48"/>
      <c r="L970" s="48"/>
      <c r="M970" s="48"/>
    </row>
    <row r="971" spans="1:15" ht="24" customHeight="1" thickBot="1">
      <c r="A971" s="4" t="s">
        <v>33</v>
      </c>
      <c r="H971" s="70" t="s">
        <v>34</v>
      </c>
      <c r="I971" s="70"/>
      <c r="J971" s="70"/>
      <c r="K971" s="102">
        <f>+K927+1</f>
        <v>45984</v>
      </c>
      <c r="L971" s="102"/>
      <c r="M971" s="102"/>
      <c r="O971" s="7"/>
    </row>
    <row r="972" spans="1:15" ht="33.75" customHeight="1" thickBot="1">
      <c r="A972" s="80" t="s">
        <v>1</v>
      </c>
      <c r="B972" s="81"/>
      <c r="C972" s="82"/>
      <c r="D972" s="86" t="str">
        <f>+D928</f>
        <v>光明國中B與C區5樓老舊廁所整修工程</v>
      </c>
      <c r="E972" s="87"/>
      <c r="F972" s="87"/>
      <c r="G972" s="88"/>
      <c r="H972" s="80" t="s">
        <v>2</v>
      </c>
      <c r="I972" s="81"/>
      <c r="J972" s="82"/>
      <c r="K972" s="80" t="s">
        <v>35</v>
      </c>
      <c r="L972" s="81"/>
      <c r="M972" s="82"/>
    </row>
    <row r="973" spans="1:15" ht="33.75" customHeight="1" thickBot="1">
      <c r="A973" s="8" t="s">
        <v>3</v>
      </c>
      <c r="B973" s="45">
        <f>+B929</f>
        <v>142</v>
      </c>
      <c r="C973" s="10" t="s">
        <v>36</v>
      </c>
      <c r="D973" s="80" t="s">
        <v>4</v>
      </c>
      <c r="E973" s="89"/>
      <c r="F973" s="46">
        <f>+F929+1</f>
        <v>58</v>
      </c>
      <c r="G973" s="12" t="s">
        <v>36</v>
      </c>
      <c r="H973" s="13" t="s">
        <v>5</v>
      </c>
      <c r="I973" s="45">
        <f>+B973-F973</f>
        <v>84</v>
      </c>
      <c r="J973" s="10" t="s">
        <v>36</v>
      </c>
      <c r="K973" s="80" t="s">
        <v>6</v>
      </c>
      <c r="L973" s="82"/>
      <c r="M973" s="13">
        <f>+M929</f>
        <v>12</v>
      </c>
    </row>
    <row r="974" spans="1:15" ht="24" customHeight="1" thickBot="1">
      <c r="A974" s="80" t="s">
        <v>7</v>
      </c>
      <c r="B974" s="81"/>
      <c r="C974" s="82"/>
      <c r="D974" s="80" t="str">
        <f>+D930</f>
        <v>114.9.27</v>
      </c>
      <c r="E974" s="81"/>
      <c r="F974" s="81"/>
      <c r="G974" s="82"/>
      <c r="H974" s="80" t="s">
        <v>8</v>
      </c>
      <c r="I974" s="81"/>
      <c r="J974" s="82"/>
      <c r="K974" s="80" t="str">
        <f>+K930</f>
        <v>115.2.15</v>
      </c>
      <c r="L974" s="81"/>
      <c r="M974" s="82"/>
    </row>
    <row r="975" spans="1:15" ht="24" customHeight="1" thickBot="1">
      <c r="A975" s="80" t="s">
        <v>37</v>
      </c>
      <c r="B975" s="81"/>
      <c r="C975" s="82"/>
      <c r="D975" s="83">
        <v>6.6000000000000003E-2</v>
      </c>
      <c r="E975" s="84"/>
      <c r="F975" s="84"/>
      <c r="G975" s="85"/>
      <c r="H975" s="80" t="s">
        <v>38</v>
      </c>
      <c r="I975" s="81"/>
      <c r="J975" s="82"/>
      <c r="K975" s="83">
        <f>+K931</f>
        <v>5.8000000000000003E-2</v>
      </c>
      <c r="L975" s="84"/>
      <c r="M975" s="85"/>
    </row>
    <row r="976" spans="1:15" ht="24" customHeight="1" thickBot="1">
      <c r="A976" s="72" t="s">
        <v>9</v>
      </c>
      <c r="B976" s="73"/>
      <c r="C976" s="73"/>
      <c r="D976" s="73"/>
      <c r="E976" s="73"/>
      <c r="F976" s="73"/>
      <c r="G976" s="73"/>
      <c r="H976" s="73"/>
      <c r="I976" s="73"/>
      <c r="J976" s="73"/>
      <c r="K976" s="73"/>
      <c r="L976" s="73"/>
      <c r="M976" s="74"/>
    </row>
    <row r="977" spans="1:13" ht="35.25" customHeight="1" thickBot="1">
      <c r="A977" s="75" t="s">
        <v>10</v>
      </c>
      <c r="B977" s="76"/>
      <c r="C977" s="76"/>
      <c r="D977" s="77"/>
      <c r="E977" s="14" t="s">
        <v>11</v>
      </c>
      <c r="F977" s="75" t="s">
        <v>12</v>
      </c>
      <c r="G977" s="77"/>
      <c r="H977" s="75" t="s">
        <v>13</v>
      </c>
      <c r="I977" s="77"/>
      <c r="J977" s="78" t="s">
        <v>14</v>
      </c>
      <c r="K977" s="79"/>
      <c r="L977" s="75" t="s">
        <v>15</v>
      </c>
      <c r="M977" s="77"/>
    </row>
    <row r="978" spans="1:13" ht="27.95" customHeight="1" thickBot="1">
      <c r="A978" s="141"/>
      <c r="B978" s="142"/>
      <c r="C978" s="142"/>
      <c r="D978" s="143"/>
      <c r="E978" s="2"/>
      <c r="F978" s="56"/>
      <c r="G978" s="57"/>
      <c r="H978" s="56"/>
      <c r="I978" s="57"/>
      <c r="J978" s="56"/>
      <c r="K978" s="57"/>
      <c r="L978" s="58"/>
      <c r="M978" s="59"/>
    </row>
    <row r="979" spans="1:13" ht="27.95" customHeight="1" thickBot="1">
      <c r="A979" s="141"/>
      <c r="B979" s="142"/>
      <c r="C979" s="142"/>
      <c r="D979" s="143"/>
      <c r="E979" s="15"/>
      <c r="F979" s="56"/>
      <c r="G979" s="57"/>
      <c r="H979" s="56"/>
      <c r="I979" s="57"/>
      <c r="J979" s="56"/>
      <c r="K979" s="57"/>
      <c r="L979" s="58"/>
      <c r="M979" s="59"/>
    </row>
    <row r="980" spans="1:13" ht="24.95" customHeight="1" thickTop="1" thickBot="1">
      <c r="A980" s="130" t="s">
        <v>16</v>
      </c>
      <c r="B980" s="67"/>
      <c r="C980" s="67"/>
      <c r="D980" s="68"/>
      <c r="E980" s="47"/>
      <c r="F980" s="131"/>
      <c r="G980" s="132"/>
      <c r="H980" s="131"/>
      <c r="I980" s="132"/>
      <c r="J980" s="131"/>
      <c r="K980" s="132"/>
      <c r="L980" s="131"/>
      <c r="M980" s="133"/>
    </row>
    <row r="981" spans="1:13" ht="24.95" customHeight="1" thickBot="1">
      <c r="A981" s="134" t="s">
        <v>17</v>
      </c>
      <c r="B981" s="135"/>
      <c r="C981" s="135"/>
      <c r="D981" s="59"/>
      <c r="E981" s="47"/>
      <c r="F981" s="58"/>
      <c r="G981" s="59"/>
      <c r="H981" s="58"/>
      <c r="I981" s="59"/>
      <c r="J981" s="58"/>
      <c r="K981" s="59"/>
      <c r="L981" s="58"/>
      <c r="M981" s="136"/>
    </row>
    <row r="982" spans="1:13" ht="24.95" customHeight="1" thickBot="1">
      <c r="A982" s="118" t="s">
        <v>18</v>
      </c>
      <c r="B982" s="119"/>
      <c r="C982" s="119"/>
      <c r="D982" s="120"/>
      <c r="E982" s="24"/>
      <c r="F982" s="121"/>
      <c r="G982" s="120"/>
      <c r="H982" s="121"/>
      <c r="I982" s="120"/>
      <c r="J982" s="121"/>
      <c r="K982" s="120"/>
      <c r="L982" s="121"/>
      <c r="M982" s="122"/>
    </row>
    <row r="983" spans="1:13" ht="24" customHeight="1" thickTop="1" thickBot="1">
      <c r="A983" s="66" t="s">
        <v>19</v>
      </c>
      <c r="B983" s="67"/>
      <c r="C983" s="67"/>
      <c r="D983" s="67"/>
      <c r="E983" s="67"/>
      <c r="F983" s="67"/>
      <c r="G983" s="67"/>
      <c r="H983" s="67"/>
      <c r="I983" s="67"/>
      <c r="J983" s="67"/>
      <c r="K983" s="67"/>
      <c r="L983" s="67"/>
      <c r="M983" s="68"/>
    </row>
    <row r="984" spans="1:13" ht="35.25" customHeight="1" thickBot="1">
      <c r="A984" s="75" t="s">
        <v>20</v>
      </c>
      <c r="B984" s="76"/>
      <c r="C984" s="76"/>
      <c r="D984" s="77"/>
      <c r="E984" s="14" t="s">
        <v>11</v>
      </c>
      <c r="F984" s="75" t="s">
        <v>39</v>
      </c>
      <c r="G984" s="77"/>
      <c r="H984" s="75" t="s">
        <v>21</v>
      </c>
      <c r="I984" s="77"/>
      <c r="J984" s="78" t="s">
        <v>22</v>
      </c>
      <c r="K984" s="79"/>
      <c r="L984" s="75" t="s">
        <v>15</v>
      </c>
      <c r="M984" s="77"/>
    </row>
    <row r="985" spans="1:13" ht="24" customHeight="1" thickBot="1">
      <c r="A985" s="96"/>
      <c r="B985" s="97"/>
      <c r="C985" s="97"/>
      <c r="D985" s="98"/>
      <c r="E985" s="47"/>
      <c r="F985" s="58"/>
      <c r="G985" s="59"/>
      <c r="H985" s="58"/>
      <c r="I985" s="59"/>
      <c r="J985" s="56"/>
      <c r="K985" s="57"/>
      <c r="L985" s="58"/>
      <c r="M985" s="59"/>
    </row>
    <row r="986" spans="1:13" ht="24" customHeight="1" thickBot="1">
      <c r="A986" s="96"/>
      <c r="B986" s="97"/>
      <c r="C986" s="97"/>
      <c r="D986" s="98"/>
      <c r="E986" s="47"/>
      <c r="F986" s="58"/>
      <c r="G986" s="59"/>
      <c r="H986" s="58"/>
      <c r="I986" s="59"/>
      <c r="J986" s="56"/>
      <c r="K986" s="57"/>
      <c r="L986" s="58"/>
      <c r="M986" s="59"/>
    </row>
    <row r="987" spans="1:13" ht="24" customHeight="1" thickBot="1">
      <c r="A987" s="60" t="s">
        <v>23</v>
      </c>
      <c r="B987" s="61"/>
      <c r="C987" s="61"/>
      <c r="D987" s="61"/>
      <c r="E987" s="61"/>
      <c r="F987" s="61"/>
      <c r="G987" s="61"/>
      <c r="H987" s="61"/>
      <c r="I987" s="61"/>
      <c r="J987" s="61"/>
      <c r="K987" s="61"/>
      <c r="L987" s="61"/>
      <c r="M987" s="62"/>
    </row>
    <row r="988" spans="1:13" ht="35.25" customHeight="1" thickBot="1">
      <c r="A988" s="75" t="s">
        <v>24</v>
      </c>
      <c r="B988" s="77"/>
      <c r="C988" s="75" t="s">
        <v>25</v>
      </c>
      <c r="D988" s="77"/>
      <c r="E988" s="75" t="s">
        <v>26</v>
      </c>
      <c r="F988" s="76"/>
      <c r="G988" s="77"/>
      <c r="H988" s="75" t="s">
        <v>27</v>
      </c>
      <c r="I988" s="77"/>
      <c r="J988" s="78" t="s">
        <v>21</v>
      </c>
      <c r="K988" s="79"/>
      <c r="L988" s="75" t="s">
        <v>22</v>
      </c>
      <c r="M988" s="77"/>
    </row>
    <row r="989" spans="1:13" s="18" customFormat="1" ht="24.75" customHeight="1" thickBot="1">
      <c r="A989" s="99"/>
      <c r="B989" s="98"/>
      <c r="C989" s="56"/>
      <c r="D989" s="57"/>
      <c r="E989" s="56"/>
      <c r="F989" s="100"/>
      <c r="G989" s="57"/>
      <c r="H989" s="56"/>
      <c r="I989" s="57"/>
      <c r="J989" s="56"/>
      <c r="K989" s="57"/>
      <c r="L989" s="56"/>
      <c r="M989" s="57"/>
    </row>
    <row r="990" spans="1:13" s="18" customFormat="1" ht="24.75" customHeight="1" thickBot="1">
      <c r="A990" s="99"/>
      <c r="B990" s="98"/>
      <c r="C990" s="56"/>
      <c r="D990" s="57"/>
      <c r="E990" s="56"/>
      <c r="F990" s="100"/>
      <c r="G990" s="57"/>
      <c r="H990" s="56"/>
      <c r="I990" s="57"/>
      <c r="J990" s="56"/>
      <c r="K990" s="57"/>
      <c r="L990" s="56"/>
      <c r="M990" s="57"/>
    </row>
    <row r="991" spans="1:13" ht="33" customHeight="1" thickBot="1">
      <c r="A991" s="112" t="s">
        <v>40</v>
      </c>
      <c r="B991" s="113"/>
      <c r="C991" s="113"/>
      <c r="D991" s="113"/>
      <c r="E991" s="113"/>
      <c r="F991" s="113"/>
      <c r="G991" s="113"/>
      <c r="H991" s="113"/>
      <c r="I991" s="113"/>
      <c r="J991" s="113"/>
      <c r="K991" s="113"/>
      <c r="L991" s="113"/>
      <c r="M991" s="114"/>
    </row>
    <row r="992" spans="1:13" ht="16.5" customHeight="1">
      <c r="A992" s="115" t="s">
        <v>41</v>
      </c>
      <c r="B992" s="116"/>
      <c r="C992" s="116"/>
      <c r="D992" s="116"/>
      <c r="E992" s="116"/>
      <c r="F992" s="116"/>
      <c r="G992" s="116"/>
      <c r="H992" s="116"/>
      <c r="I992" s="116"/>
      <c r="J992" s="116"/>
      <c r="K992" s="116"/>
      <c r="L992" s="116"/>
      <c r="M992" s="117"/>
    </row>
    <row r="993" spans="1:13" ht="16.5" customHeight="1">
      <c r="A993" s="90" t="s">
        <v>28</v>
      </c>
      <c r="B993" s="91"/>
      <c r="C993" s="91"/>
      <c r="D993" s="91"/>
      <c r="E993" s="91"/>
      <c r="F993" s="91"/>
      <c r="G993" s="91"/>
      <c r="H993" s="91"/>
      <c r="I993" s="91"/>
      <c r="J993" s="91"/>
      <c r="K993" s="91"/>
      <c r="L993" s="91"/>
      <c r="M993" s="92"/>
    </row>
    <row r="994" spans="1:13" s="1" customFormat="1" ht="16.5" customHeight="1">
      <c r="A994" s="93" t="s">
        <v>56</v>
      </c>
      <c r="B994" s="94"/>
      <c r="C994" s="94"/>
      <c r="D994" s="94"/>
      <c r="E994" s="94"/>
      <c r="F994" s="94"/>
      <c r="G994" s="94"/>
      <c r="H994" s="94"/>
      <c r="I994" s="94"/>
      <c r="J994" s="94"/>
      <c r="K994" s="94"/>
      <c r="L994" s="94"/>
      <c r="M994" s="95"/>
    </row>
    <row r="995" spans="1:13" s="1" customFormat="1" ht="16.5" customHeight="1">
      <c r="A995" s="93" t="s">
        <v>57</v>
      </c>
      <c r="B995" s="94"/>
      <c r="C995" s="94"/>
      <c r="D995" s="94"/>
      <c r="E995" s="94"/>
      <c r="F995" s="94"/>
      <c r="G995" s="94"/>
      <c r="H995" s="94"/>
      <c r="I995" s="94"/>
      <c r="J995" s="94"/>
      <c r="K995" s="94"/>
      <c r="L995" s="94"/>
      <c r="M995" s="95"/>
    </row>
    <row r="996" spans="1:13" s="1" customFormat="1" ht="16.5" customHeight="1">
      <c r="A996" s="93" t="s">
        <v>58</v>
      </c>
      <c r="B996" s="94"/>
      <c r="C996" s="94"/>
      <c r="D996" s="94"/>
      <c r="E996" s="94"/>
      <c r="F996" s="94"/>
      <c r="G996" s="94"/>
      <c r="H996" s="94"/>
      <c r="I996" s="94"/>
      <c r="J996" s="94"/>
      <c r="K996" s="94"/>
      <c r="L996" s="94"/>
      <c r="M996" s="95"/>
    </row>
    <row r="997" spans="1:13" s="1" customFormat="1" ht="16.5" customHeight="1">
      <c r="A997" s="93" t="s">
        <v>59</v>
      </c>
      <c r="B997" s="94"/>
      <c r="C997" s="94"/>
      <c r="D997" s="94"/>
      <c r="E997" s="94"/>
      <c r="F997" s="94"/>
      <c r="G997" s="94"/>
      <c r="H997" s="94"/>
      <c r="I997" s="94"/>
      <c r="J997" s="94"/>
      <c r="K997" s="94"/>
      <c r="L997" s="94"/>
      <c r="M997" s="95"/>
    </row>
    <row r="998" spans="1:13" ht="16.5" customHeight="1">
      <c r="A998" s="106" t="s">
        <v>29</v>
      </c>
      <c r="B998" s="107"/>
      <c r="C998" s="107"/>
      <c r="D998" s="107"/>
      <c r="E998" s="107"/>
      <c r="F998" s="107"/>
      <c r="G998" s="107"/>
      <c r="H998" s="107"/>
      <c r="I998" s="107"/>
      <c r="J998" s="107"/>
      <c r="K998" s="107"/>
      <c r="L998" s="107"/>
      <c r="M998" s="108"/>
    </row>
    <row r="999" spans="1:13" ht="9.75" customHeight="1" thickBot="1">
      <c r="A999" s="109"/>
      <c r="B999" s="110"/>
      <c r="C999" s="110"/>
      <c r="D999" s="110"/>
      <c r="E999" s="110"/>
      <c r="F999" s="110"/>
      <c r="G999" s="110"/>
      <c r="H999" s="110"/>
      <c r="I999" s="110"/>
      <c r="J999" s="110"/>
      <c r="K999" s="110"/>
      <c r="L999" s="110"/>
      <c r="M999" s="111"/>
    </row>
    <row r="1000" spans="1:13" ht="18.75" customHeight="1" thickBot="1">
      <c r="A1000" s="72" t="s">
        <v>30</v>
      </c>
      <c r="B1000" s="73"/>
      <c r="C1000" s="73"/>
      <c r="D1000" s="73"/>
      <c r="E1000" s="73"/>
      <c r="F1000" s="73"/>
      <c r="G1000" s="73"/>
      <c r="H1000" s="73"/>
      <c r="I1000" s="73"/>
      <c r="J1000" s="73"/>
      <c r="K1000" s="73"/>
      <c r="L1000" s="73"/>
      <c r="M1000" s="74"/>
    </row>
    <row r="1001" spans="1:13" ht="24" customHeight="1" thickBot="1">
      <c r="A1001" s="72" t="s">
        <v>31</v>
      </c>
      <c r="B1001" s="73"/>
      <c r="C1001" s="73"/>
      <c r="D1001" s="73"/>
      <c r="E1001" s="73"/>
      <c r="F1001" s="73"/>
      <c r="G1001" s="73"/>
      <c r="H1001" s="73"/>
      <c r="I1001" s="73"/>
      <c r="J1001" s="73"/>
      <c r="K1001" s="73"/>
      <c r="L1001" s="73"/>
      <c r="M1001" s="74"/>
    </row>
    <row r="1002" spans="1:13" ht="24" customHeight="1" thickBot="1">
      <c r="A1002" s="72" t="s">
        <v>62</v>
      </c>
      <c r="B1002" s="73"/>
      <c r="C1002" s="73"/>
      <c r="D1002" s="73"/>
      <c r="E1002" s="73"/>
      <c r="F1002" s="73"/>
      <c r="G1002" s="73"/>
      <c r="H1002" s="73"/>
      <c r="I1002" s="73"/>
      <c r="J1002" s="73"/>
      <c r="K1002" s="73"/>
      <c r="L1002" s="73"/>
      <c r="M1002" s="74"/>
    </row>
    <row r="1003" spans="1:13" ht="24" customHeight="1" thickBot="1">
      <c r="A1003" s="60" t="s">
        <v>46</v>
      </c>
      <c r="B1003" s="61"/>
      <c r="C1003" s="61"/>
      <c r="D1003" s="61"/>
      <c r="E1003" s="61"/>
      <c r="F1003" s="61"/>
      <c r="G1003" s="61"/>
      <c r="H1003" s="61"/>
      <c r="I1003" s="61"/>
      <c r="J1003" s="61"/>
      <c r="K1003" s="61"/>
      <c r="L1003" s="61"/>
      <c r="M1003" s="62"/>
    </row>
    <row r="1004" spans="1:13" ht="11.1" customHeight="1">
      <c r="A1004" s="103" t="s">
        <v>47</v>
      </c>
      <c r="B1004" s="103"/>
      <c r="C1004" s="103"/>
      <c r="D1004" s="103"/>
      <c r="E1004" s="103"/>
      <c r="F1004" s="103"/>
      <c r="G1004" s="103"/>
      <c r="H1004" s="103"/>
      <c r="I1004" s="103"/>
      <c r="J1004" s="103"/>
      <c r="K1004" s="103"/>
      <c r="L1004" s="103"/>
      <c r="M1004" s="103"/>
    </row>
    <row r="1005" spans="1:13" ht="11.1" customHeight="1">
      <c r="A1005" s="104" t="s">
        <v>48</v>
      </c>
      <c r="B1005" s="104"/>
      <c r="C1005" s="104"/>
      <c r="D1005" s="104"/>
      <c r="E1005" s="104"/>
      <c r="F1005" s="104"/>
      <c r="G1005" s="104"/>
      <c r="H1005" s="104"/>
      <c r="I1005" s="104"/>
      <c r="J1005" s="104"/>
      <c r="K1005" s="104"/>
      <c r="L1005" s="104"/>
      <c r="M1005" s="104"/>
    </row>
    <row r="1006" spans="1:13" ht="11.1" customHeight="1">
      <c r="A1006" s="105" t="s">
        <v>49</v>
      </c>
      <c r="B1006" s="105"/>
      <c r="C1006" s="105"/>
      <c r="D1006" s="105"/>
      <c r="E1006" s="105"/>
      <c r="F1006" s="105"/>
      <c r="G1006" s="105"/>
      <c r="H1006" s="105"/>
      <c r="I1006" s="105"/>
      <c r="J1006" s="105"/>
      <c r="K1006" s="105"/>
      <c r="L1006" s="105"/>
      <c r="M1006" s="105"/>
    </row>
    <row r="1007" spans="1:13" ht="11.1" customHeight="1">
      <c r="A1007" s="105" t="s">
        <v>50</v>
      </c>
      <c r="B1007" s="105"/>
      <c r="C1007" s="105"/>
      <c r="D1007" s="105"/>
      <c r="E1007" s="105"/>
      <c r="F1007" s="105"/>
      <c r="G1007" s="105"/>
      <c r="H1007" s="105"/>
      <c r="I1007" s="105"/>
      <c r="J1007" s="105"/>
      <c r="K1007" s="105"/>
      <c r="L1007" s="105"/>
      <c r="M1007" s="105"/>
    </row>
    <row r="1008" spans="1:13" ht="11.1" customHeight="1">
      <c r="A1008" s="104" t="s">
        <v>51</v>
      </c>
      <c r="B1008" s="104"/>
      <c r="C1008" s="104"/>
      <c r="D1008" s="104"/>
      <c r="E1008" s="104"/>
      <c r="F1008" s="104"/>
      <c r="G1008" s="104"/>
      <c r="H1008" s="104"/>
      <c r="I1008" s="104"/>
      <c r="J1008" s="104"/>
      <c r="K1008" s="104"/>
      <c r="L1008" s="104"/>
      <c r="M1008" s="104"/>
    </row>
    <row r="1009" spans="1:15" ht="11.1" customHeight="1">
      <c r="A1009" s="104" t="s">
        <v>52</v>
      </c>
      <c r="B1009" s="104"/>
      <c r="C1009" s="104"/>
      <c r="D1009" s="104"/>
      <c r="E1009" s="104"/>
      <c r="F1009" s="104"/>
      <c r="G1009" s="104"/>
      <c r="H1009" s="104"/>
      <c r="I1009" s="104"/>
      <c r="J1009" s="104"/>
      <c r="K1009" s="104"/>
      <c r="L1009" s="104"/>
      <c r="M1009" s="104"/>
    </row>
    <row r="1010" spans="1:15" ht="11.1" customHeight="1">
      <c r="A1010" s="104" t="s">
        <v>53</v>
      </c>
      <c r="B1010" s="104"/>
      <c r="C1010" s="104"/>
      <c r="D1010" s="104"/>
      <c r="E1010" s="104"/>
      <c r="F1010" s="104"/>
      <c r="G1010" s="104"/>
      <c r="H1010" s="104"/>
      <c r="I1010" s="104"/>
      <c r="J1010" s="104"/>
      <c r="K1010" s="104"/>
      <c r="L1010" s="104"/>
      <c r="M1010" s="104"/>
    </row>
    <row r="1011" spans="1:15" ht="11.1" customHeight="1">
      <c r="A1011" s="101" t="s">
        <v>54</v>
      </c>
      <c r="B1011" s="101"/>
      <c r="C1011" s="101"/>
      <c r="D1011" s="101"/>
      <c r="E1011" s="101"/>
      <c r="F1011" s="101"/>
      <c r="G1011" s="101"/>
      <c r="H1011" s="101"/>
      <c r="I1011" s="101"/>
      <c r="J1011" s="101"/>
      <c r="K1011" s="101"/>
      <c r="L1011" s="101"/>
      <c r="M1011" s="101"/>
    </row>
    <row r="1012" spans="1:15" ht="11.1" customHeight="1">
      <c r="A1012" s="101" t="s">
        <v>55</v>
      </c>
      <c r="B1012" s="101"/>
      <c r="C1012" s="101"/>
      <c r="D1012" s="101"/>
      <c r="E1012" s="101"/>
      <c r="F1012" s="101"/>
      <c r="G1012" s="101"/>
      <c r="H1012" s="101"/>
      <c r="I1012" s="101"/>
      <c r="J1012" s="101"/>
      <c r="K1012" s="101"/>
      <c r="L1012" s="101"/>
      <c r="M1012" s="101"/>
    </row>
    <row r="1013" spans="1:15" ht="19.5" customHeight="1">
      <c r="A1013" s="69" t="s">
        <v>0</v>
      </c>
      <c r="B1013" s="69"/>
      <c r="C1013" s="69"/>
      <c r="D1013" s="69"/>
      <c r="E1013" s="69"/>
      <c r="F1013" s="69"/>
      <c r="G1013" s="69"/>
      <c r="H1013" s="69"/>
      <c r="I1013" s="69"/>
      <c r="J1013" s="69"/>
      <c r="K1013" s="69"/>
      <c r="L1013" s="69"/>
      <c r="M1013" s="69"/>
    </row>
    <row r="1014" spans="1:15" ht="20.100000000000001" customHeight="1">
      <c r="A1014" s="4" t="s">
        <v>32</v>
      </c>
      <c r="B1014" s="5">
        <f>+B970+1</f>
        <v>59</v>
      </c>
      <c r="C1014" s="48"/>
      <c r="D1014" s="48"/>
      <c r="E1014" s="48"/>
      <c r="F1014" s="48"/>
      <c r="G1014" s="48"/>
      <c r="H1014" s="48"/>
      <c r="I1014" s="48"/>
      <c r="J1014" s="48"/>
      <c r="K1014" s="48"/>
      <c r="L1014" s="48"/>
      <c r="M1014" s="48"/>
    </row>
    <row r="1015" spans="1:15" ht="24" customHeight="1" thickBot="1">
      <c r="A1015" s="4" t="s">
        <v>33</v>
      </c>
      <c r="H1015" s="70" t="s">
        <v>34</v>
      </c>
      <c r="I1015" s="70"/>
      <c r="J1015" s="70"/>
      <c r="K1015" s="102">
        <f>+K971+1</f>
        <v>45985</v>
      </c>
      <c r="L1015" s="102"/>
      <c r="M1015" s="102"/>
      <c r="O1015" s="7"/>
    </row>
    <row r="1016" spans="1:15" ht="33.75" customHeight="1" thickBot="1">
      <c r="A1016" s="80" t="s">
        <v>1</v>
      </c>
      <c r="B1016" s="81"/>
      <c r="C1016" s="82"/>
      <c r="D1016" s="86" t="str">
        <f>+D972</f>
        <v>光明國中B與C區5樓老舊廁所整修工程</v>
      </c>
      <c r="E1016" s="87"/>
      <c r="F1016" s="87"/>
      <c r="G1016" s="88"/>
      <c r="H1016" s="80" t="s">
        <v>2</v>
      </c>
      <c r="I1016" s="81"/>
      <c r="J1016" s="82"/>
      <c r="K1016" s="80" t="s">
        <v>35</v>
      </c>
      <c r="L1016" s="81"/>
      <c r="M1016" s="82"/>
    </row>
    <row r="1017" spans="1:15" ht="33.75" customHeight="1" thickBot="1">
      <c r="A1017" s="8" t="s">
        <v>3</v>
      </c>
      <c r="B1017" s="45">
        <f>+B973</f>
        <v>142</v>
      </c>
      <c r="C1017" s="10" t="s">
        <v>36</v>
      </c>
      <c r="D1017" s="80" t="s">
        <v>4</v>
      </c>
      <c r="E1017" s="89"/>
      <c r="F1017" s="46">
        <f>+F973+1</f>
        <v>59</v>
      </c>
      <c r="G1017" s="12" t="s">
        <v>36</v>
      </c>
      <c r="H1017" s="13" t="s">
        <v>5</v>
      </c>
      <c r="I1017" s="45">
        <f>+B1017-F1017</f>
        <v>83</v>
      </c>
      <c r="J1017" s="10" t="s">
        <v>36</v>
      </c>
      <c r="K1017" s="80" t="s">
        <v>6</v>
      </c>
      <c r="L1017" s="82"/>
      <c r="M1017" s="13">
        <f>+M973</f>
        <v>12</v>
      </c>
    </row>
    <row r="1018" spans="1:15" ht="24" customHeight="1" thickBot="1">
      <c r="A1018" s="80" t="s">
        <v>7</v>
      </c>
      <c r="B1018" s="81"/>
      <c r="C1018" s="82"/>
      <c r="D1018" s="80" t="str">
        <f>+D974</f>
        <v>114.9.27</v>
      </c>
      <c r="E1018" s="81"/>
      <c r="F1018" s="81"/>
      <c r="G1018" s="82"/>
      <c r="H1018" s="80" t="s">
        <v>8</v>
      </c>
      <c r="I1018" s="81"/>
      <c r="J1018" s="82"/>
      <c r="K1018" s="80" t="str">
        <f>+K974</f>
        <v>115.2.15</v>
      </c>
      <c r="L1018" s="81"/>
      <c r="M1018" s="82"/>
    </row>
    <row r="1019" spans="1:15" ht="24" customHeight="1" thickBot="1">
      <c r="A1019" s="80" t="s">
        <v>37</v>
      </c>
      <c r="B1019" s="81"/>
      <c r="C1019" s="82"/>
      <c r="D1019" s="83">
        <v>7.1999999999999995E-2</v>
      </c>
      <c r="E1019" s="84"/>
      <c r="F1019" s="84"/>
      <c r="G1019" s="85"/>
      <c r="H1019" s="80" t="s">
        <v>38</v>
      </c>
      <c r="I1019" s="81"/>
      <c r="J1019" s="82"/>
      <c r="K1019" s="83">
        <f>+K975</f>
        <v>5.8000000000000003E-2</v>
      </c>
      <c r="L1019" s="84"/>
      <c r="M1019" s="85"/>
    </row>
    <row r="1020" spans="1:15" ht="24" customHeight="1" thickBot="1">
      <c r="A1020" s="72" t="s">
        <v>9</v>
      </c>
      <c r="B1020" s="73"/>
      <c r="C1020" s="73"/>
      <c r="D1020" s="73"/>
      <c r="E1020" s="73"/>
      <c r="F1020" s="73"/>
      <c r="G1020" s="73"/>
      <c r="H1020" s="73"/>
      <c r="I1020" s="73"/>
      <c r="J1020" s="73"/>
      <c r="K1020" s="73"/>
      <c r="L1020" s="73"/>
      <c r="M1020" s="74"/>
    </row>
    <row r="1021" spans="1:15" ht="35.25" customHeight="1" thickBot="1">
      <c r="A1021" s="75" t="s">
        <v>10</v>
      </c>
      <c r="B1021" s="76"/>
      <c r="C1021" s="76"/>
      <c r="D1021" s="77"/>
      <c r="E1021" s="14" t="s">
        <v>11</v>
      </c>
      <c r="F1021" s="75" t="s">
        <v>12</v>
      </c>
      <c r="G1021" s="77"/>
      <c r="H1021" s="75" t="s">
        <v>13</v>
      </c>
      <c r="I1021" s="77"/>
      <c r="J1021" s="78" t="s">
        <v>14</v>
      </c>
      <c r="K1021" s="79"/>
      <c r="L1021" s="75" t="s">
        <v>15</v>
      </c>
      <c r="M1021" s="77"/>
    </row>
    <row r="1022" spans="1:15" ht="27.95" customHeight="1" thickBot="1">
      <c r="A1022" s="141"/>
      <c r="B1022" s="142"/>
      <c r="C1022" s="142"/>
      <c r="D1022" s="143"/>
      <c r="E1022" s="2"/>
      <c r="F1022" s="56"/>
      <c r="G1022" s="57"/>
      <c r="H1022" s="56"/>
      <c r="I1022" s="57"/>
      <c r="J1022" s="56"/>
      <c r="K1022" s="57"/>
      <c r="L1022" s="58"/>
      <c r="M1022" s="59"/>
    </row>
    <row r="1023" spans="1:15" ht="27.95" customHeight="1" thickBot="1">
      <c r="A1023" s="141"/>
      <c r="B1023" s="142"/>
      <c r="C1023" s="142"/>
      <c r="D1023" s="143"/>
      <c r="E1023" s="15"/>
      <c r="F1023" s="56"/>
      <c r="G1023" s="57"/>
      <c r="H1023" s="56"/>
      <c r="I1023" s="57"/>
      <c r="J1023" s="56"/>
      <c r="K1023" s="57"/>
      <c r="L1023" s="58"/>
      <c r="M1023" s="59"/>
    </row>
    <row r="1024" spans="1:15" ht="24.95" customHeight="1" thickTop="1" thickBot="1">
      <c r="A1024" s="130" t="s">
        <v>16</v>
      </c>
      <c r="B1024" s="67"/>
      <c r="C1024" s="67"/>
      <c r="D1024" s="68"/>
      <c r="E1024" s="47"/>
      <c r="F1024" s="131"/>
      <c r="G1024" s="132"/>
      <c r="H1024" s="131"/>
      <c r="I1024" s="132"/>
      <c r="J1024" s="131"/>
      <c r="K1024" s="132"/>
      <c r="L1024" s="131"/>
      <c r="M1024" s="133"/>
    </row>
    <row r="1025" spans="1:13" ht="24.95" customHeight="1" thickBot="1">
      <c r="A1025" s="134" t="s">
        <v>17</v>
      </c>
      <c r="B1025" s="135"/>
      <c r="C1025" s="135"/>
      <c r="D1025" s="59"/>
      <c r="E1025" s="47"/>
      <c r="F1025" s="58"/>
      <c r="G1025" s="59"/>
      <c r="H1025" s="58"/>
      <c r="I1025" s="59"/>
      <c r="J1025" s="58"/>
      <c r="K1025" s="59"/>
      <c r="L1025" s="58"/>
      <c r="M1025" s="136"/>
    </row>
    <row r="1026" spans="1:13" ht="24.95" customHeight="1" thickBot="1">
      <c r="A1026" s="118" t="s">
        <v>18</v>
      </c>
      <c r="B1026" s="119"/>
      <c r="C1026" s="119"/>
      <c r="D1026" s="120"/>
      <c r="E1026" s="24"/>
      <c r="F1026" s="121"/>
      <c r="G1026" s="120"/>
      <c r="H1026" s="121"/>
      <c r="I1026" s="120"/>
      <c r="J1026" s="121"/>
      <c r="K1026" s="120"/>
      <c r="L1026" s="121"/>
      <c r="M1026" s="122"/>
    </row>
    <row r="1027" spans="1:13" ht="24" customHeight="1" thickTop="1" thickBot="1">
      <c r="A1027" s="66" t="s">
        <v>19</v>
      </c>
      <c r="B1027" s="67"/>
      <c r="C1027" s="67"/>
      <c r="D1027" s="67"/>
      <c r="E1027" s="67"/>
      <c r="F1027" s="67"/>
      <c r="G1027" s="67"/>
      <c r="H1027" s="67"/>
      <c r="I1027" s="67"/>
      <c r="J1027" s="67"/>
      <c r="K1027" s="67"/>
      <c r="L1027" s="67"/>
      <c r="M1027" s="68"/>
    </row>
    <row r="1028" spans="1:13" ht="35.25" customHeight="1" thickBot="1">
      <c r="A1028" s="75" t="s">
        <v>20</v>
      </c>
      <c r="B1028" s="76"/>
      <c r="C1028" s="76"/>
      <c r="D1028" s="77"/>
      <c r="E1028" s="14" t="s">
        <v>11</v>
      </c>
      <c r="F1028" s="75" t="s">
        <v>39</v>
      </c>
      <c r="G1028" s="77"/>
      <c r="H1028" s="75" t="s">
        <v>21</v>
      </c>
      <c r="I1028" s="77"/>
      <c r="J1028" s="78" t="s">
        <v>22</v>
      </c>
      <c r="K1028" s="79"/>
      <c r="L1028" s="75" t="s">
        <v>15</v>
      </c>
      <c r="M1028" s="77"/>
    </row>
    <row r="1029" spans="1:13" ht="24" customHeight="1" thickBot="1">
      <c r="A1029" s="96"/>
      <c r="B1029" s="97"/>
      <c r="C1029" s="97"/>
      <c r="D1029" s="98"/>
      <c r="E1029" s="47"/>
      <c r="F1029" s="58"/>
      <c r="G1029" s="59"/>
      <c r="H1029" s="58"/>
      <c r="I1029" s="59"/>
      <c r="J1029" s="56"/>
      <c r="K1029" s="57"/>
      <c r="L1029" s="58"/>
      <c r="M1029" s="59"/>
    </row>
    <row r="1030" spans="1:13" ht="24" customHeight="1" thickBot="1">
      <c r="A1030" s="96"/>
      <c r="B1030" s="97"/>
      <c r="C1030" s="97"/>
      <c r="D1030" s="98"/>
      <c r="E1030" s="47"/>
      <c r="F1030" s="58"/>
      <c r="G1030" s="59"/>
      <c r="H1030" s="58"/>
      <c r="I1030" s="59"/>
      <c r="J1030" s="56"/>
      <c r="K1030" s="57"/>
      <c r="L1030" s="58"/>
      <c r="M1030" s="59"/>
    </row>
    <row r="1031" spans="1:13" ht="24" customHeight="1" thickBot="1">
      <c r="A1031" s="60" t="s">
        <v>23</v>
      </c>
      <c r="B1031" s="61"/>
      <c r="C1031" s="61"/>
      <c r="D1031" s="61"/>
      <c r="E1031" s="61"/>
      <c r="F1031" s="61"/>
      <c r="G1031" s="61"/>
      <c r="H1031" s="61"/>
      <c r="I1031" s="61"/>
      <c r="J1031" s="61"/>
      <c r="K1031" s="61"/>
      <c r="L1031" s="61"/>
      <c r="M1031" s="62"/>
    </row>
    <row r="1032" spans="1:13" ht="35.25" customHeight="1" thickBot="1">
      <c r="A1032" s="75" t="s">
        <v>24</v>
      </c>
      <c r="B1032" s="77"/>
      <c r="C1032" s="75" t="s">
        <v>25</v>
      </c>
      <c r="D1032" s="77"/>
      <c r="E1032" s="75" t="s">
        <v>26</v>
      </c>
      <c r="F1032" s="76"/>
      <c r="G1032" s="77"/>
      <c r="H1032" s="75" t="s">
        <v>27</v>
      </c>
      <c r="I1032" s="77"/>
      <c r="J1032" s="78" t="s">
        <v>21</v>
      </c>
      <c r="K1032" s="79"/>
      <c r="L1032" s="75" t="s">
        <v>22</v>
      </c>
      <c r="M1032" s="77"/>
    </row>
    <row r="1033" spans="1:13" s="18" customFormat="1" ht="24.75" customHeight="1" thickBot="1">
      <c r="A1033" s="99"/>
      <c r="B1033" s="98"/>
      <c r="C1033" s="56"/>
      <c r="D1033" s="57"/>
      <c r="E1033" s="56"/>
      <c r="F1033" s="100"/>
      <c r="G1033" s="57"/>
      <c r="H1033" s="56"/>
      <c r="I1033" s="57"/>
      <c r="J1033" s="56"/>
      <c r="K1033" s="57"/>
      <c r="L1033" s="56"/>
      <c r="M1033" s="57"/>
    </row>
    <row r="1034" spans="1:13" s="18" customFormat="1" ht="24.75" customHeight="1" thickBot="1">
      <c r="A1034" s="99"/>
      <c r="B1034" s="98"/>
      <c r="C1034" s="56"/>
      <c r="D1034" s="57"/>
      <c r="E1034" s="56"/>
      <c r="F1034" s="100"/>
      <c r="G1034" s="57"/>
      <c r="H1034" s="56"/>
      <c r="I1034" s="57"/>
      <c r="J1034" s="56"/>
      <c r="K1034" s="57"/>
      <c r="L1034" s="56"/>
      <c r="M1034" s="57"/>
    </row>
    <row r="1035" spans="1:13" ht="33" customHeight="1" thickBot="1">
      <c r="A1035" s="112" t="s">
        <v>40</v>
      </c>
      <c r="B1035" s="113"/>
      <c r="C1035" s="113"/>
      <c r="D1035" s="113"/>
      <c r="E1035" s="113"/>
      <c r="F1035" s="113"/>
      <c r="G1035" s="113"/>
      <c r="H1035" s="113"/>
      <c r="I1035" s="113"/>
      <c r="J1035" s="113"/>
      <c r="K1035" s="113"/>
      <c r="L1035" s="113"/>
      <c r="M1035" s="114"/>
    </row>
    <row r="1036" spans="1:13" ht="16.5" customHeight="1">
      <c r="A1036" s="115" t="s">
        <v>41</v>
      </c>
      <c r="B1036" s="116"/>
      <c r="C1036" s="116"/>
      <c r="D1036" s="116"/>
      <c r="E1036" s="116"/>
      <c r="F1036" s="116"/>
      <c r="G1036" s="116"/>
      <c r="H1036" s="116"/>
      <c r="I1036" s="116"/>
      <c r="J1036" s="116"/>
      <c r="K1036" s="116"/>
      <c r="L1036" s="116"/>
      <c r="M1036" s="117"/>
    </row>
    <row r="1037" spans="1:13" ht="16.5" customHeight="1">
      <c r="A1037" s="90" t="s">
        <v>28</v>
      </c>
      <c r="B1037" s="91"/>
      <c r="C1037" s="91"/>
      <c r="D1037" s="91"/>
      <c r="E1037" s="91"/>
      <c r="F1037" s="91"/>
      <c r="G1037" s="91"/>
      <c r="H1037" s="91"/>
      <c r="I1037" s="91"/>
      <c r="J1037" s="91"/>
      <c r="K1037" s="91"/>
      <c r="L1037" s="91"/>
      <c r="M1037" s="92"/>
    </row>
    <row r="1038" spans="1:13" s="1" customFormat="1" ht="16.5" customHeight="1">
      <c r="A1038" s="93" t="s">
        <v>56</v>
      </c>
      <c r="B1038" s="94"/>
      <c r="C1038" s="94"/>
      <c r="D1038" s="94"/>
      <c r="E1038" s="94"/>
      <c r="F1038" s="94"/>
      <c r="G1038" s="94"/>
      <c r="H1038" s="94"/>
      <c r="I1038" s="94"/>
      <c r="J1038" s="94"/>
      <c r="K1038" s="94"/>
      <c r="L1038" s="94"/>
      <c r="M1038" s="95"/>
    </row>
    <row r="1039" spans="1:13" s="1" customFormat="1" ht="16.5" customHeight="1">
      <c r="A1039" s="93" t="s">
        <v>57</v>
      </c>
      <c r="B1039" s="94"/>
      <c r="C1039" s="94"/>
      <c r="D1039" s="94"/>
      <c r="E1039" s="94"/>
      <c r="F1039" s="94"/>
      <c r="G1039" s="94"/>
      <c r="H1039" s="94"/>
      <c r="I1039" s="94"/>
      <c r="J1039" s="94"/>
      <c r="K1039" s="94"/>
      <c r="L1039" s="94"/>
      <c r="M1039" s="95"/>
    </row>
    <row r="1040" spans="1:13" s="1" customFormat="1" ht="16.5" customHeight="1">
      <c r="A1040" s="93" t="s">
        <v>58</v>
      </c>
      <c r="B1040" s="94"/>
      <c r="C1040" s="94"/>
      <c r="D1040" s="94"/>
      <c r="E1040" s="94"/>
      <c r="F1040" s="94"/>
      <c r="G1040" s="94"/>
      <c r="H1040" s="94"/>
      <c r="I1040" s="94"/>
      <c r="J1040" s="94"/>
      <c r="K1040" s="94"/>
      <c r="L1040" s="94"/>
      <c r="M1040" s="95"/>
    </row>
    <row r="1041" spans="1:13" s="1" customFormat="1" ht="16.5" customHeight="1">
      <c r="A1041" s="93" t="s">
        <v>59</v>
      </c>
      <c r="B1041" s="94"/>
      <c r="C1041" s="94"/>
      <c r="D1041" s="94"/>
      <c r="E1041" s="94"/>
      <c r="F1041" s="94"/>
      <c r="G1041" s="94"/>
      <c r="H1041" s="94"/>
      <c r="I1041" s="94"/>
      <c r="J1041" s="94"/>
      <c r="K1041" s="94"/>
      <c r="L1041" s="94"/>
      <c r="M1041" s="95"/>
    </row>
    <row r="1042" spans="1:13" ht="16.5" customHeight="1">
      <c r="A1042" s="106" t="s">
        <v>29</v>
      </c>
      <c r="B1042" s="107"/>
      <c r="C1042" s="107"/>
      <c r="D1042" s="107"/>
      <c r="E1042" s="107"/>
      <c r="F1042" s="107"/>
      <c r="G1042" s="107"/>
      <c r="H1042" s="107"/>
      <c r="I1042" s="107"/>
      <c r="J1042" s="107"/>
      <c r="K1042" s="107"/>
      <c r="L1042" s="107"/>
      <c r="M1042" s="108"/>
    </row>
    <row r="1043" spans="1:13" ht="9.75" customHeight="1" thickBot="1">
      <c r="A1043" s="109"/>
      <c r="B1043" s="110"/>
      <c r="C1043" s="110"/>
      <c r="D1043" s="110"/>
      <c r="E1043" s="110"/>
      <c r="F1043" s="110"/>
      <c r="G1043" s="110"/>
      <c r="H1043" s="110"/>
      <c r="I1043" s="110"/>
      <c r="J1043" s="110"/>
      <c r="K1043" s="110"/>
      <c r="L1043" s="110"/>
      <c r="M1043" s="111"/>
    </row>
    <row r="1044" spans="1:13" ht="18.75" customHeight="1" thickBot="1">
      <c r="A1044" s="72" t="s">
        <v>30</v>
      </c>
      <c r="B1044" s="73"/>
      <c r="C1044" s="73"/>
      <c r="D1044" s="73"/>
      <c r="E1044" s="73"/>
      <c r="F1044" s="73"/>
      <c r="G1044" s="73"/>
      <c r="H1044" s="73"/>
      <c r="I1044" s="73"/>
      <c r="J1044" s="73"/>
      <c r="K1044" s="73"/>
      <c r="L1044" s="73"/>
      <c r="M1044" s="74"/>
    </row>
    <row r="1045" spans="1:13" ht="24" customHeight="1" thickBot="1">
      <c r="A1045" s="72" t="s">
        <v>31</v>
      </c>
      <c r="B1045" s="73"/>
      <c r="C1045" s="73"/>
      <c r="D1045" s="73"/>
      <c r="E1045" s="73"/>
      <c r="F1045" s="73"/>
      <c r="G1045" s="73"/>
      <c r="H1045" s="73"/>
      <c r="I1045" s="73"/>
      <c r="J1045" s="73"/>
      <c r="K1045" s="73"/>
      <c r="L1045" s="73"/>
      <c r="M1045" s="74"/>
    </row>
    <row r="1046" spans="1:13" ht="24" customHeight="1" thickBot="1">
      <c r="A1046" s="72" t="s">
        <v>62</v>
      </c>
      <c r="B1046" s="73"/>
      <c r="C1046" s="73"/>
      <c r="D1046" s="73"/>
      <c r="E1046" s="73"/>
      <c r="F1046" s="73"/>
      <c r="G1046" s="73"/>
      <c r="H1046" s="73"/>
      <c r="I1046" s="73"/>
      <c r="J1046" s="73"/>
      <c r="K1046" s="73"/>
      <c r="L1046" s="73"/>
      <c r="M1046" s="74"/>
    </row>
    <row r="1047" spans="1:13" ht="24" customHeight="1" thickBot="1">
      <c r="A1047" s="60" t="s">
        <v>46</v>
      </c>
      <c r="B1047" s="61"/>
      <c r="C1047" s="61"/>
      <c r="D1047" s="61"/>
      <c r="E1047" s="61"/>
      <c r="F1047" s="61"/>
      <c r="G1047" s="61"/>
      <c r="H1047" s="61"/>
      <c r="I1047" s="61"/>
      <c r="J1047" s="61"/>
      <c r="K1047" s="61"/>
      <c r="L1047" s="61"/>
      <c r="M1047" s="62"/>
    </row>
    <row r="1048" spans="1:13" ht="11.1" customHeight="1">
      <c r="A1048" s="103" t="s">
        <v>47</v>
      </c>
      <c r="B1048" s="103"/>
      <c r="C1048" s="103"/>
      <c r="D1048" s="103"/>
      <c r="E1048" s="103"/>
      <c r="F1048" s="103"/>
      <c r="G1048" s="103"/>
      <c r="H1048" s="103"/>
      <c r="I1048" s="103"/>
      <c r="J1048" s="103"/>
      <c r="K1048" s="103"/>
      <c r="L1048" s="103"/>
      <c r="M1048" s="103"/>
    </row>
    <row r="1049" spans="1:13" ht="11.1" customHeight="1">
      <c r="A1049" s="104" t="s">
        <v>48</v>
      </c>
      <c r="B1049" s="104"/>
      <c r="C1049" s="104"/>
      <c r="D1049" s="104"/>
      <c r="E1049" s="104"/>
      <c r="F1049" s="104"/>
      <c r="G1049" s="104"/>
      <c r="H1049" s="104"/>
      <c r="I1049" s="104"/>
      <c r="J1049" s="104"/>
      <c r="K1049" s="104"/>
      <c r="L1049" s="104"/>
      <c r="M1049" s="104"/>
    </row>
    <row r="1050" spans="1:13" ht="11.1" customHeight="1">
      <c r="A1050" s="105" t="s">
        <v>49</v>
      </c>
      <c r="B1050" s="105"/>
      <c r="C1050" s="105"/>
      <c r="D1050" s="105"/>
      <c r="E1050" s="105"/>
      <c r="F1050" s="105"/>
      <c r="G1050" s="105"/>
      <c r="H1050" s="105"/>
      <c r="I1050" s="105"/>
      <c r="J1050" s="105"/>
      <c r="K1050" s="105"/>
      <c r="L1050" s="105"/>
      <c r="M1050" s="105"/>
    </row>
    <row r="1051" spans="1:13" ht="11.1" customHeight="1">
      <c r="A1051" s="105" t="s">
        <v>50</v>
      </c>
      <c r="B1051" s="105"/>
      <c r="C1051" s="105"/>
      <c r="D1051" s="105"/>
      <c r="E1051" s="105"/>
      <c r="F1051" s="105"/>
      <c r="G1051" s="105"/>
      <c r="H1051" s="105"/>
      <c r="I1051" s="105"/>
      <c r="J1051" s="105"/>
      <c r="K1051" s="105"/>
      <c r="L1051" s="105"/>
      <c r="M1051" s="105"/>
    </row>
    <row r="1052" spans="1:13" ht="11.1" customHeight="1">
      <c r="A1052" s="104" t="s">
        <v>51</v>
      </c>
      <c r="B1052" s="104"/>
      <c r="C1052" s="104"/>
      <c r="D1052" s="104"/>
      <c r="E1052" s="104"/>
      <c r="F1052" s="104"/>
      <c r="G1052" s="104"/>
      <c r="H1052" s="104"/>
      <c r="I1052" s="104"/>
      <c r="J1052" s="104"/>
      <c r="K1052" s="104"/>
      <c r="L1052" s="104"/>
      <c r="M1052" s="104"/>
    </row>
    <row r="1053" spans="1:13" ht="11.1" customHeight="1">
      <c r="A1053" s="104" t="s">
        <v>52</v>
      </c>
      <c r="B1053" s="104"/>
      <c r="C1053" s="104"/>
      <c r="D1053" s="104"/>
      <c r="E1053" s="104"/>
      <c r="F1053" s="104"/>
      <c r="G1053" s="104"/>
      <c r="H1053" s="104"/>
      <c r="I1053" s="104"/>
      <c r="J1053" s="104"/>
      <c r="K1053" s="104"/>
      <c r="L1053" s="104"/>
      <c r="M1053" s="104"/>
    </row>
    <row r="1054" spans="1:13" ht="11.1" customHeight="1">
      <c r="A1054" s="104" t="s">
        <v>53</v>
      </c>
      <c r="B1054" s="104"/>
      <c r="C1054" s="104"/>
      <c r="D1054" s="104"/>
      <c r="E1054" s="104"/>
      <c r="F1054" s="104"/>
      <c r="G1054" s="104"/>
      <c r="H1054" s="104"/>
      <c r="I1054" s="104"/>
      <c r="J1054" s="104"/>
      <c r="K1054" s="104"/>
      <c r="L1054" s="104"/>
      <c r="M1054" s="104"/>
    </row>
    <row r="1055" spans="1:13" ht="11.1" customHeight="1">
      <c r="A1055" s="101" t="s">
        <v>54</v>
      </c>
      <c r="B1055" s="101"/>
      <c r="C1055" s="101"/>
      <c r="D1055" s="101"/>
      <c r="E1055" s="101"/>
      <c r="F1055" s="101"/>
      <c r="G1055" s="101"/>
      <c r="H1055" s="101"/>
      <c r="I1055" s="101"/>
      <c r="J1055" s="101"/>
      <c r="K1055" s="101"/>
      <c r="L1055" s="101"/>
      <c r="M1055" s="101"/>
    </row>
    <row r="1056" spans="1:13" ht="11.1" customHeight="1">
      <c r="A1056" s="101" t="s">
        <v>55</v>
      </c>
      <c r="B1056" s="101"/>
      <c r="C1056" s="101"/>
      <c r="D1056" s="101"/>
      <c r="E1056" s="101"/>
      <c r="F1056" s="101"/>
      <c r="G1056" s="101"/>
      <c r="H1056" s="101"/>
      <c r="I1056" s="101"/>
      <c r="J1056" s="101"/>
      <c r="K1056" s="101"/>
      <c r="L1056" s="101"/>
      <c r="M1056" s="101"/>
    </row>
    <row r="1057" spans="1:15" ht="19.5" customHeight="1">
      <c r="A1057" s="69" t="s">
        <v>0</v>
      </c>
      <c r="B1057" s="69"/>
      <c r="C1057" s="69"/>
      <c r="D1057" s="69"/>
      <c r="E1057" s="69"/>
      <c r="F1057" s="69"/>
      <c r="G1057" s="69"/>
      <c r="H1057" s="69"/>
      <c r="I1057" s="69"/>
      <c r="J1057" s="69"/>
      <c r="K1057" s="69"/>
      <c r="L1057" s="69"/>
      <c r="M1057" s="69"/>
    </row>
    <row r="1058" spans="1:15" ht="20.100000000000001" customHeight="1">
      <c r="A1058" s="4" t="s">
        <v>32</v>
      </c>
      <c r="B1058" s="5">
        <f>+B1014+1</f>
        <v>60</v>
      </c>
      <c r="C1058" s="48"/>
      <c r="D1058" s="48"/>
      <c r="E1058" s="48"/>
      <c r="F1058" s="48"/>
      <c r="G1058" s="48"/>
      <c r="H1058" s="48"/>
      <c r="I1058" s="48"/>
      <c r="J1058" s="48"/>
      <c r="K1058" s="48"/>
      <c r="L1058" s="48"/>
      <c r="M1058" s="48"/>
    </row>
    <row r="1059" spans="1:15" ht="24" customHeight="1" thickBot="1">
      <c r="A1059" s="4" t="s">
        <v>33</v>
      </c>
      <c r="H1059" s="70" t="s">
        <v>34</v>
      </c>
      <c r="I1059" s="70"/>
      <c r="J1059" s="70"/>
      <c r="K1059" s="102">
        <f>+K1015+1</f>
        <v>45986</v>
      </c>
      <c r="L1059" s="102"/>
      <c r="M1059" s="102"/>
      <c r="O1059" s="7"/>
    </row>
    <row r="1060" spans="1:15" ht="33.75" customHeight="1" thickBot="1">
      <c r="A1060" s="80" t="s">
        <v>1</v>
      </c>
      <c r="B1060" s="81"/>
      <c r="C1060" s="82"/>
      <c r="D1060" s="86" t="str">
        <f>+D1016</f>
        <v>光明國中B與C區5樓老舊廁所整修工程</v>
      </c>
      <c r="E1060" s="87"/>
      <c r="F1060" s="87"/>
      <c r="G1060" s="88"/>
      <c r="H1060" s="80" t="s">
        <v>2</v>
      </c>
      <c r="I1060" s="81"/>
      <c r="J1060" s="82"/>
      <c r="K1060" s="80" t="s">
        <v>35</v>
      </c>
      <c r="L1060" s="81"/>
      <c r="M1060" s="82"/>
    </row>
    <row r="1061" spans="1:15" ht="33.75" customHeight="1" thickBot="1">
      <c r="A1061" s="8" t="s">
        <v>3</v>
      </c>
      <c r="B1061" s="45">
        <f>+B1017</f>
        <v>142</v>
      </c>
      <c r="C1061" s="10" t="s">
        <v>36</v>
      </c>
      <c r="D1061" s="80" t="s">
        <v>4</v>
      </c>
      <c r="E1061" s="89"/>
      <c r="F1061" s="46">
        <f>+F1017+1</f>
        <v>60</v>
      </c>
      <c r="G1061" s="12" t="s">
        <v>36</v>
      </c>
      <c r="H1061" s="13" t="s">
        <v>5</v>
      </c>
      <c r="I1061" s="45">
        <f>+B1061-F1061</f>
        <v>82</v>
      </c>
      <c r="J1061" s="10" t="s">
        <v>36</v>
      </c>
      <c r="K1061" s="80" t="s">
        <v>6</v>
      </c>
      <c r="L1061" s="82"/>
      <c r="M1061" s="13">
        <f>+M1017</f>
        <v>12</v>
      </c>
    </row>
    <row r="1062" spans="1:15" ht="24" customHeight="1" thickBot="1">
      <c r="A1062" s="80" t="s">
        <v>7</v>
      </c>
      <c r="B1062" s="81"/>
      <c r="C1062" s="82"/>
      <c r="D1062" s="80" t="str">
        <f>+D1018</f>
        <v>114.9.27</v>
      </c>
      <c r="E1062" s="81"/>
      <c r="F1062" s="81"/>
      <c r="G1062" s="82"/>
      <c r="H1062" s="80" t="s">
        <v>8</v>
      </c>
      <c r="I1062" s="81"/>
      <c r="J1062" s="82"/>
      <c r="K1062" s="80" t="str">
        <f>+K1018</f>
        <v>115.2.15</v>
      </c>
      <c r="L1062" s="81"/>
      <c r="M1062" s="82"/>
    </row>
    <row r="1063" spans="1:15" ht="24" customHeight="1" thickBot="1">
      <c r="A1063" s="80" t="s">
        <v>37</v>
      </c>
      <c r="B1063" s="81"/>
      <c r="C1063" s="82"/>
      <c r="D1063" s="83">
        <v>7.8E-2</v>
      </c>
      <c r="E1063" s="84"/>
      <c r="F1063" s="84"/>
      <c r="G1063" s="85"/>
      <c r="H1063" s="80" t="s">
        <v>38</v>
      </c>
      <c r="I1063" s="81"/>
      <c r="J1063" s="82"/>
      <c r="K1063" s="83">
        <f>+K1019</f>
        <v>5.8000000000000003E-2</v>
      </c>
      <c r="L1063" s="84"/>
      <c r="M1063" s="85"/>
    </row>
    <row r="1064" spans="1:15" ht="24" customHeight="1" thickBot="1">
      <c r="A1064" s="72" t="s">
        <v>9</v>
      </c>
      <c r="B1064" s="73"/>
      <c r="C1064" s="73"/>
      <c r="D1064" s="73"/>
      <c r="E1064" s="73"/>
      <c r="F1064" s="73"/>
      <c r="G1064" s="73"/>
      <c r="H1064" s="73"/>
      <c r="I1064" s="73"/>
      <c r="J1064" s="73"/>
      <c r="K1064" s="73"/>
      <c r="L1064" s="73"/>
      <c r="M1064" s="74"/>
    </row>
    <row r="1065" spans="1:15" ht="35.25" customHeight="1" thickBot="1">
      <c r="A1065" s="75" t="s">
        <v>10</v>
      </c>
      <c r="B1065" s="76"/>
      <c r="C1065" s="76"/>
      <c r="D1065" s="77"/>
      <c r="E1065" s="14" t="s">
        <v>11</v>
      </c>
      <c r="F1065" s="75" t="s">
        <v>12</v>
      </c>
      <c r="G1065" s="77"/>
      <c r="H1065" s="75" t="s">
        <v>13</v>
      </c>
      <c r="I1065" s="77"/>
      <c r="J1065" s="78" t="s">
        <v>14</v>
      </c>
      <c r="K1065" s="79"/>
      <c r="L1065" s="75" t="s">
        <v>15</v>
      </c>
      <c r="M1065" s="77"/>
    </row>
    <row r="1066" spans="1:15" ht="27.95" customHeight="1" thickBot="1">
      <c r="A1066" s="141"/>
      <c r="B1066" s="142"/>
      <c r="C1066" s="142"/>
      <c r="D1066" s="143"/>
      <c r="E1066" s="2"/>
      <c r="F1066" s="56"/>
      <c r="G1066" s="57"/>
      <c r="H1066" s="56"/>
      <c r="I1066" s="57"/>
      <c r="J1066" s="56"/>
      <c r="K1066" s="57"/>
      <c r="L1066" s="58"/>
      <c r="M1066" s="59"/>
    </row>
    <row r="1067" spans="1:15" ht="27.95" customHeight="1" thickBot="1">
      <c r="A1067" s="141"/>
      <c r="B1067" s="142"/>
      <c r="C1067" s="142"/>
      <c r="D1067" s="143"/>
      <c r="E1067" s="15"/>
      <c r="F1067" s="56"/>
      <c r="G1067" s="57"/>
      <c r="H1067" s="56"/>
      <c r="I1067" s="57"/>
      <c r="J1067" s="56"/>
      <c r="K1067" s="57"/>
      <c r="L1067" s="58"/>
      <c r="M1067" s="59"/>
    </row>
    <row r="1068" spans="1:15" ht="24.95" customHeight="1" thickTop="1" thickBot="1">
      <c r="A1068" s="130" t="s">
        <v>16</v>
      </c>
      <c r="B1068" s="67"/>
      <c r="C1068" s="67"/>
      <c r="D1068" s="68"/>
      <c r="E1068" s="47"/>
      <c r="F1068" s="131"/>
      <c r="G1068" s="132"/>
      <c r="H1068" s="131"/>
      <c r="I1068" s="132"/>
      <c r="J1068" s="131"/>
      <c r="K1068" s="132"/>
      <c r="L1068" s="131"/>
      <c r="M1068" s="133"/>
    </row>
    <row r="1069" spans="1:15" ht="24.95" customHeight="1" thickBot="1">
      <c r="A1069" s="134" t="s">
        <v>17</v>
      </c>
      <c r="B1069" s="135"/>
      <c r="C1069" s="135"/>
      <c r="D1069" s="59"/>
      <c r="E1069" s="47"/>
      <c r="F1069" s="58"/>
      <c r="G1069" s="59"/>
      <c r="H1069" s="58"/>
      <c r="I1069" s="59"/>
      <c r="J1069" s="58"/>
      <c r="K1069" s="59"/>
      <c r="L1069" s="58"/>
      <c r="M1069" s="136"/>
    </row>
    <row r="1070" spans="1:15" ht="24.95" customHeight="1" thickBot="1">
      <c r="A1070" s="118" t="s">
        <v>18</v>
      </c>
      <c r="B1070" s="119"/>
      <c r="C1070" s="119"/>
      <c r="D1070" s="120"/>
      <c r="E1070" s="24"/>
      <c r="F1070" s="121"/>
      <c r="G1070" s="120"/>
      <c r="H1070" s="121"/>
      <c r="I1070" s="120"/>
      <c r="J1070" s="121"/>
      <c r="K1070" s="120"/>
      <c r="L1070" s="121"/>
      <c r="M1070" s="122"/>
    </row>
    <row r="1071" spans="1:15" ht="24" customHeight="1" thickTop="1" thickBot="1">
      <c r="A1071" s="66" t="s">
        <v>19</v>
      </c>
      <c r="B1071" s="67"/>
      <c r="C1071" s="67"/>
      <c r="D1071" s="67"/>
      <c r="E1071" s="67"/>
      <c r="F1071" s="67"/>
      <c r="G1071" s="67"/>
      <c r="H1071" s="67"/>
      <c r="I1071" s="67"/>
      <c r="J1071" s="67"/>
      <c r="K1071" s="67"/>
      <c r="L1071" s="67"/>
      <c r="M1071" s="68"/>
    </row>
    <row r="1072" spans="1:15" ht="35.25" customHeight="1" thickBot="1">
      <c r="A1072" s="75" t="s">
        <v>20</v>
      </c>
      <c r="B1072" s="76"/>
      <c r="C1072" s="76"/>
      <c r="D1072" s="77"/>
      <c r="E1072" s="14" t="s">
        <v>11</v>
      </c>
      <c r="F1072" s="75" t="s">
        <v>39</v>
      </c>
      <c r="G1072" s="77"/>
      <c r="H1072" s="75" t="s">
        <v>21</v>
      </c>
      <c r="I1072" s="77"/>
      <c r="J1072" s="78" t="s">
        <v>22</v>
      </c>
      <c r="K1072" s="79"/>
      <c r="L1072" s="75" t="s">
        <v>15</v>
      </c>
      <c r="M1072" s="77"/>
    </row>
    <row r="1073" spans="1:13" ht="24" customHeight="1" thickBot="1">
      <c r="A1073" s="96"/>
      <c r="B1073" s="97"/>
      <c r="C1073" s="97"/>
      <c r="D1073" s="98"/>
      <c r="E1073" s="47"/>
      <c r="F1073" s="58"/>
      <c r="G1073" s="59"/>
      <c r="H1073" s="58"/>
      <c r="I1073" s="59"/>
      <c r="J1073" s="56"/>
      <c r="K1073" s="57"/>
      <c r="L1073" s="58"/>
      <c r="M1073" s="59"/>
    </row>
    <row r="1074" spans="1:13" ht="24" customHeight="1" thickBot="1">
      <c r="A1074" s="96"/>
      <c r="B1074" s="97"/>
      <c r="C1074" s="97"/>
      <c r="D1074" s="98"/>
      <c r="E1074" s="47"/>
      <c r="F1074" s="58"/>
      <c r="G1074" s="59"/>
      <c r="H1074" s="58"/>
      <c r="I1074" s="59"/>
      <c r="J1074" s="56"/>
      <c r="K1074" s="57"/>
      <c r="L1074" s="58"/>
      <c r="M1074" s="59"/>
    </row>
    <row r="1075" spans="1:13" ht="24" customHeight="1" thickBot="1">
      <c r="A1075" s="60" t="s">
        <v>23</v>
      </c>
      <c r="B1075" s="61"/>
      <c r="C1075" s="61"/>
      <c r="D1075" s="61"/>
      <c r="E1075" s="61"/>
      <c r="F1075" s="61"/>
      <c r="G1075" s="61"/>
      <c r="H1075" s="61"/>
      <c r="I1075" s="61"/>
      <c r="J1075" s="61"/>
      <c r="K1075" s="61"/>
      <c r="L1075" s="61"/>
      <c r="M1075" s="62"/>
    </row>
    <row r="1076" spans="1:13" ht="35.25" customHeight="1" thickBot="1">
      <c r="A1076" s="75" t="s">
        <v>24</v>
      </c>
      <c r="B1076" s="77"/>
      <c r="C1076" s="75" t="s">
        <v>25</v>
      </c>
      <c r="D1076" s="77"/>
      <c r="E1076" s="75" t="s">
        <v>26</v>
      </c>
      <c r="F1076" s="76"/>
      <c r="G1076" s="77"/>
      <c r="H1076" s="75" t="s">
        <v>27</v>
      </c>
      <c r="I1076" s="77"/>
      <c r="J1076" s="78" t="s">
        <v>21</v>
      </c>
      <c r="K1076" s="79"/>
      <c r="L1076" s="75" t="s">
        <v>22</v>
      </c>
      <c r="M1076" s="77"/>
    </row>
    <row r="1077" spans="1:13" s="18" customFormat="1" ht="24.75" customHeight="1" thickBot="1">
      <c r="A1077" s="99"/>
      <c r="B1077" s="98"/>
      <c r="C1077" s="56"/>
      <c r="D1077" s="57"/>
      <c r="E1077" s="56"/>
      <c r="F1077" s="100"/>
      <c r="G1077" s="57"/>
      <c r="H1077" s="56"/>
      <c r="I1077" s="57"/>
      <c r="J1077" s="56"/>
      <c r="K1077" s="57"/>
      <c r="L1077" s="56"/>
      <c r="M1077" s="57"/>
    </row>
    <row r="1078" spans="1:13" s="18" customFormat="1" ht="24.75" customHeight="1" thickBot="1">
      <c r="A1078" s="99"/>
      <c r="B1078" s="98"/>
      <c r="C1078" s="56"/>
      <c r="D1078" s="57"/>
      <c r="E1078" s="56"/>
      <c r="F1078" s="100"/>
      <c r="G1078" s="57"/>
      <c r="H1078" s="56"/>
      <c r="I1078" s="57"/>
      <c r="J1078" s="56"/>
      <c r="K1078" s="57"/>
      <c r="L1078" s="56"/>
      <c r="M1078" s="57"/>
    </row>
    <row r="1079" spans="1:13" ht="33" customHeight="1" thickBot="1">
      <c r="A1079" s="112" t="s">
        <v>40</v>
      </c>
      <c r="B1079" s="113"/>
      <c r="C1079" s="113"/>
      <c r="D1079" s="113"/>
      <c r="E1079" s="113"/>
      <c r="F1079" s="113"/>
      <c r="G1079" s="113"/>
      <c r="H1079" s="113"/>
      <c r="I1079" s="113"/>
      <c r="J1079" s="113"/>
      <c r="K1079" s="113"/>
      <c r="L1079" s="113"/>
      <c r="M1079" s="114"/>
    </row>
    <row r="1080" spans="1:13" ht="16.5" customHeight="1">
      <c r="A1080" s="115" t="s">
        <v>41</v>
      </c>
      <c r="B1080" s="116"/>
      <c r="C1080" s="116"/>
      <c r="D1080" s="116"/>
      <c r="E1080" s="116"/>
      <c r="F1080" s="116"/>
      <c r="G1080" s="116"/>
      <c r="H1080" s="116"/>
      <c r="I1080" s="116"/>
      <c r="J1080" s="116"/>
      <c r="K1080" s="116"/>
      <c r="L1080" s="116"/>
      <c r="M1080" s="117"/>
    </row>
    <row r="1081" spans="1:13" ht="16.5" customHeight="1">
      <c r="A1081" s="90" t="s">
        <v>28</v>
      </c>
      <c r="B1081" s="91"/>
      <c r="C1081" s="91"/>
      <c r="D1081" s="91"/>
      <c r="E1081" s="91"/>
      <c r="F1081" s="91"/>
      <c r="G1081" s="91"/>
      <c r="H1081" s="91"/>
      <c r="I1081" s="91"/>
      <c r="J1081" s="91"/>
      <c r="K1081" s="91"/>
      <c r="L1081" s="91"/>
      <c r="M1081" s="92"/>
    </row>
    <row r="1082" spans="1:13" s="1" customFormat="1" ht="16.5" customHeight="1">
      <c r="A1082" s="93" t="s">
        <v>56</v>
      </c>
      <c r="B1082" s="94"/>
      <c r="C1082" s="94"/>
      <c r="D1082" s="94"/>
      <c r="E1082" s="94"/>
      <c r="F1082" s="94"/>
      <c r="G1082" s="94"/>
      <c r="H1082" s="94"/>
      <c r="I1082" s="94"/>
      <c r="J1082" s="94"/>
      <c r="K1082" s="94"/>
      <c r="L1082" s="94"/>
      <c r="M1082" s="95"/>
    </row>
    <row r="1083" spans="1:13" s="1" customFormat="1" ht="16.5" customHeight="1">
      <c r="A1083" s="93" t="s">
        <v>57</v>
      </c>
      <c r="B1083" s="94"/>
      <c r="C1083" s="94"/>
      <c r="D1083" s="94"/>
      <c r="E1083" s="94"/>
      <c r="F1083" s="94"/>
      <c r="G1083" s="94"/>
      <c r="H1083" s="94"/>
      <c r="I1083" s="94"/>
      <c r="J1083" s="94"/>
      <c r="K1083" s="94"/>
      <c r="L1083" s="94"/>
      <c r="M1083" s="95"/>
    </row>
    <row r="1084" spans="1:13" s="1" customFormat="1" ht="16.5" customHeight="1">
      <c r="A1084" s="93" t="s">
        <v>58</v>
      </c>
      <c r="B1084" s="94"/>
      <c r="C1084" s="94"/>
      <c r="D1084" s="94"/>
      <c r="E1084" s="94"/>
      <c r="F1084" s="94"/>
      <c r="G1084" s="94"/>
      <c r="H1084" s="94"/>
      <c r="I1084" s="94"/>
      <c r="J1084" s="94"/>
      <c r="K1084" s="94"/>
      <c r="L1084" s="94"/>
      <c r="M1084" s="95"/>
    </row>
    <row r="1085" spans="1:13" s="1" customFormat="1" ht="16.5" customHeight="1">
      <c r="A1085" s="93" t="s">
        <v>59</v>
      </c>
      <c r="B1085" s="94"/>
      <c r="C1085" s="94"/>
      <c r="D1085" s="94"/>
      <c r="E1085" s="94"/>
      <c r="F1085" s="94"/>
      <c r="G1085" s="94"/>
      <c r="H1085" s="94"/>
      <c r="I1085" s="94"/>
      <c r="J1085" s="94"/>
      <c r="K1085" s="94"/>
      <c r="L1085" s="94"/>
      <c r="M1085" s="95"/>
    </row>
    <row r="1086" spans="1:13" ht="16.5" customHeight="1">
      <c r="A1086" s="106" t="s">
        <v>29</v>
      </c>
      <c r="B1086" s="107"/>
      <c r="C1086" s="107"/>
      <c r="D1086" s="107"/>
      <c r="E1086" s="107"/>
      <c r="F1086" s="107"/>
      <c r="G1086" s="107"/>
      <c r="H1086" s="107"/>
      <c r="I1086" s="107"/>
      <c r="J1086" s="107"/>
      <c r="K1086" s="107"/>
      <c r="L1086" s="107"/>
      <c r="M1086" s="108"/>
    </row>
    <row r="1087" spans="1:13" ht="9.75" customHeight="1" thickBot="1">
      <c r="A1087" s="109"/>
      <c r="B1087" s="110"/>
      <c r="C1087" s="110"/>
      <c r="D1087" s="110"/>
      <c r="E1087" s="110"/>
      <c r="F1087" s="110"/>
      <c r="G1087" s="110"/>
      <c r="H1087" s="110"/>
      <c r="I1087" s="110"/>
      <c r="J1087" s="110"/>
      <c r="K1087" s="110"/>
      <c r="L1087" s="110"/>
      <c r="M1087" s="111"/>
    </row>
    <row r="1088" spans="1:13" ht="18.75" customHeight="1" thickBot="1">
      <c r="A1088" s="72" t="s">
        <v>30</v>
      </c>
      <c r="B1088" s="73"/>
      <c r="C1088" s="73"/>
      <c r="D1088" s="73"/>
      <c r="E1088" s="73"/>
      <c r="F1088" s="73"/>
      <c r="G1088" s="73"/>
      <c r="H1088" s="73"/>
      <c r="I1088" s="73"/>
      <c r="J1088" s="73"/>
      <c r="K1088" s="73"/>
      <c r="L1088" s="73"/>
      <c r="M1088" s="74"/>
    </row>
    <row r="1089" spans="1:15" ht="24" customHeight="1" thickBot="1">
      <c r="A1089" s="72" t="s">
        <v>31</v>
      </c>
      <c r="B1089" s="73"/>
      <c r="C1089" s="73"/>
      <c r="D1089" s="73"/>
      <c r="E1089" s="73"/>
      <c r="F1089" s="73"/>
      <c r="G1089" s="73"/>
      <c r="H1089" s="73"/>
      <c r="I1089" s="73"/>
      <c r="J1089" s="73"/>
      <c r="K1089" s="73"/>
      <c r="L1089" s="73"/>
      <c r="M1089" s="74"/>
    </row>
    <row r="1090" spans="1:15" ht="24" customHeight="1" thickBot="1">
      <c r="A1090" s="72" t="s">
        <v>62</v>
      </c>
      <c r="B1090" s="73"/>
      <c r="C1090" s="73"/>
      <c r="D1090" s="73"/>
      <c r="E1090" s="73"/>
      <c r="F1090" s="73"/>
      <c r="G1090" s="73"/>
      <c r="H1090" s="73"/>
      <c r="I1090" s="73"/>
      <c r="J1090" s="73"/>
      <c r="K1090" s="73"/>
      <c r="L1090" s="73"/>
      <c r="M1090" s="74"/>
    </row>
    <row r="1091" spans="1:15" ht="24" customHeight="1" thickBot="1">
      <c r="A1091" s="60" t="s">
        <v>46</v>
      </c>
      <c r="B1091" s="61"/>
      <c r="C1091" s="61"/>
      <c r="D1091" s="61"/>
      <c r="E1091" s="61"/>
      <c r="F1091" s="61"/>
      <c r="G1091" s="61"/>
      <c r="H1091" s="61"/>
      <c r="I1091" s="61"/>
      <c r="J1091" s="61"/>
      <c r="K1091" s="61"/>
      <c r="L1091" s="61"/>
      <c r="M1091" s="62"/>
    </row>
    <row r="1092" spans="1:15" ht="11.1" customHeight="1">
      <c r="A1092" s="103" t="s">
        <v>47</v>
      </c>
      <c r="B1092" s="103"/>
      <c r="C1092" s="103"/>
      <c r="D1092" s="103"/>
      <c r="E1092" s="103"/>
      <c r="F1092" s="103"/>
      <c r="G1092" s="103"/>
      <c r="H1092" s="103"/>
      <c r="I1092" s="103"/>
      <c r="J1092" s="103"/>
      <c r="K1092" s="103"/>
      <c r="L1092" s="103"/>
      <c r="M1092" s="103"/>
    </row>
    <row r="1093" spans="1:15" ht="11.1" customHeight="1">
      <c r="A1093" s="104" t="s">
        <v>48</v>
      </c>
      <c r="B1093" s="104"/>
      <c r="C1093" s="104"/>
      <c r="D1093" s="104"/>
      <c r="E1093" s="104"/>
      <c r="F1093" s="104"/>
      <c r="G1093" s="104"/>
      <c r="H1093" s="104"/>
      <c r="I1093" s="104"/>
      <c r="J1093" s="104"/>
      <c r="K1093" s="104"/>
      <c r="L1093" s="104"/>
      <c r="M1093" s="104"/>
    </row>
    <row r="1094" spans="1:15" ht="11.1" customHeight="1">
      <c r="A1094" s="105" t="s">
        <v>49</v>
      </c>
      <c r="B1094" s="105"/>
      <c r="C1094" s="105"/>
      <c r="D1094" s="105"/>
      <c r="E1094" s="105"/>
      <c r="F1094" s="105"/>
      <c r="G1094" s="105"/>
      <c r="H1094" s="105"/>
      <c r="I1094" s="105"/>
      <c r="J1094" s="105"/>
      <c r="K1094" s="105"/>
      <c r="L1094" s="105"/>
      <c r="M1094" s="105"/>
    </row>
    <row r="1095" spans="1:15" ht="11.1" customHeight="1">
      <c r="A1095" s="105" t="s">
        <v>50</v>
      </c>
      <c r="B1095" s="105"/>
      <c r="C1095" s="105"/>
      <c r="D1095" s="105"/>
      <c r="E1095" s="105"/>
      <c r="F1095" s="105"/>
      <c r="G1095" s="105"/>
      <c r="H1095" s="105"/>
      <c r="I1095" s="105"/>
      <c r="J1095" s="105"/>
      <c r="K1095" s="105"/>
      <c r="L1095" s="105"/>
      <c r="M1095" s="105"/>
    </row>
    <row r="1096" spans="1:15" ht="11.1" customHeight="1">
      <c r="A1096" s="104" t="s">
        <v>51</v>
      </c>
      <c r="B1096" s="104"/>
      <c r="C1096" s="104"/>
      <c r="D1096" s="104"/>
      <c r="E1096" s="104"/>
      <c r="F1096" s="104"/>
      <c r="G1096" s="104"/>
      <c r="H1096" s="104"/>
      <c r="I1096" s="104"/>
      <c r="J1096" s="104"/>
      <c r="K1096" s="104"/>
      <c r="L1096" s="104"/>
      <c r="M1096" s="104"/>
    </row>
    <row r="1097" spans="1:15" ht="11.1" customHeight="1">
      <c r="A1097" s="104" t="s">
        <v>52</v>
      </c>
      <c r="B1097" s="104"/>
      <c r="C1097" s="104"/>
      <c r="D1097" s="104"/>
      <c r="E1097" s="104"/>
      <c r="F1097" s="104"/>
      <c r="G1097" s="104"/>
      <c r="H1097" s="104"/>
      <c r="I1097" s="104"/>
      <c r="J1097" s="104"/>
      <c r="K1097" s="104"/>
      <c r="L1097" s="104"/>
      <c r="M1097" s="104"/>
    </row>
    <row r="1098" spans="1:15" ht="11.1" customHeight="1">
      <c r="A1098" s="104" t="s">
        <v>53</v>
      </c>
      <c r="B1098" s="104"/>
      <c r="C1098" s="104"/>
      <c r="D1098" s="104"/>
      <c r="E1098" s="104"/>
      <c r="F1098" s="104"/>
      <c r="G1098" s="104"/>
      <c r="H1098" s="104"/>
      <c r="I1098" s="104"/>
      <c r="J1098" s="104"/>
      <c r="K1098" s="104"/>
      <c r="L1098" s="104"/>
      <c r="M1098" s="104"/>
    </row>
    <row r="1099" spans="1:15" ht="11.1" customHeight="1">
      <c r="A1099" s="101" t="s">
        <v>54</v>
      </c>
      <c r="B1099" s="101"/>
      <c r="C1099" s="101"/>
      <c r="D1099" s="101"/>
      <c r="E1099" s="101"/>
      <c r="F1099" s="101"/>
      <c r="G1099" s="101"/>
      <c r="H1099" s="101"/>
      <c r="I1099" s="101"/>
      <c r="J1099" s="101"/>
      <c r="K1099" s="101"/>
      <c r="L1099" s="101"/>
      <c r="M1099" s="101"/>
    </row>
    <row r="1100" spans="1:15" ht="11.1" customHeight="1">
      <c r="A1100" s="101" t="s">
        <v>55</v>
      </c>
      <c r="B1100" s="101"/>
      <c r="C1100" s="101"/>
      <c r="D1100" s="101"/>
      <c r="E1100" s="101"/>
      <c r="F1100" s="101"/>
      <c r="G1100" s="101"/>
      <c r="H1100" s="101"/>
      <c r="I1100" s="101"/>
      <c r="J1100" s="101"/>
      <c r="K1100" s="101"/>
      <c r="L1100" s="101"/>
      <c r="M1100" s="101"/>
    </row>
    <row r="1101" spans="1:15" ht="19.5" customHeight="1">
      <c r="A1101" s="69" t="s">
        <v>0</v>
      </c>
      <c r="B1101" s="69"/>
      <c r="C1101" s="69"/>
      <c r="D1101" s="69"/>
      <c r="E1101" s="69"/>
      <c r="F1101" s="69"/>
      <c r="G1101" s="69"/>
      <c r="H1101" s="69"/>
      <c r="I1101" s="69"/>
      <c r="J1101" s="69"/>
      <c r="K1101" s="69"/>
      <c r="L1101" s="69"/>
      <c r="M1101" s="69"/>
    </row>
    <row r="1102" spans="1:15" ht="20.100000000000001" customHeight="1">
      <c r="A1102" s="4" t="s">
        <v>32</v>
      </c>
      <c r="B1102" s="5">
        <f>+B1058+1</f>
        <v>61</v>
      </c>
      <c r="C1102" s="48"/>
      <c r="D1102" s="48"/>
      <c r="E1102" s="48"/>
      <c r="F1102" s="48"/>
      <c r="G1102" s="48"/>
      <c r="H1102" s="48"/>
      <c r="I1102" s="48"/>
      <c r="J1102" s="48"/>
      <c r="K1102" s="48"/>
      <c r="L1102" s="48"/>
      <c r="M1102" s="48"/>
    </row>
    <row r="1103" spans="1:15" ht="24" customHeight="1" thickBot="1">
      <c r="A1103" s="4" t="s">
        <v>33</v>
      </c>
      <c r="H1103" s="70" t="s">
        <v>34</v>
      </c>
      <c r="I1103" s="70"/>
      <c r="J1103" s="70"/>
      <c r="K1103" s="102">
        <f>+K1059+1</f>
        <v>45987</v>
      </c>
      <c r="L1103" s="102"/>
      <c r="M1103" s="102"/>
      <c r="O1103" s="7"/>
    </row>
    <row r="1104" spans="1:15" ht="33.75" customHeight="1" thickBot="1">
      <c r="A1104" s="80" t="s">
        <v>1</v>
      </c>
      <c r="B1104" s="81"/>
      <c r="C1104" s="82"/>
      <c r="D1104" s="86" t="str">
        <f>+D1060</f>
        <v>光明國中B與C區5樓老舊廁所整修工程</v>
      </c>
      <c r="E1104" s="87"/>
      <c r="F1104" s="87"/>
      <c r="G1104" s="88"/>
      <c r="H1104" s="80" t="s">
        <v>2</v>
      </c>
      <c r="I1104" s="81"/>
      <c r="J1104" s="82"/>
      <c r="K1104" s="80" t="s">
        <v>35</v>
      </c>
      <c r="L1104" s="81"/>
      <c r="M1104" s="82"/>
    </row>
    <row r="1105" spans="1:13" ht="33.75" customHeight="1" thickBot="1">
      <c r="A1105" s="8" t="s">
        <v>3</v>
      </c>
      <c r="B1105" s="45">
        <f>+B1061</f>
        <v>142</v>
      </c>
      <c r="C1105" s="10" t="s">
        <v>36</v>
      </c>
      <c r="D1105" s="80" t="s">
        <v>4</v>
      </c>
      <c r="E1105" s="89"/>
      <c r="F1105" s="46">
        <f>+F1061+1</f>
        <v>61</v>
      </c>
      <c r="G1105" s="12" t="s">
        <v>36</v>
      </c>
      <c r="H1105" s="13" t="s">
        <v>5</v>
      </c>
      <c r="I1105" s="45">
        <f>+B1105-F1105</f>
        <v>81</v>
      </c>
      <c r="J1105" s="10" t="s">
        <v>36</v>
      </c>
      <c r="K1105" s="80" t="s">
        <v>6</v>
      </c>
      <c r="L1105" s="82"/>
      <c r="M1105" s="13">
        <f>+M1061</f>
        <v>12</v>
      </c>
    </row>
    <row r="1106" spans="1:13" ht="24" customHeight="1" thickBot="1">
      <c r="A1106" s="80" t="s">
        <v>7</v>
      </c>
      <c r="B1106" s="81"/>
      <c r="C1106" s="82"/>
      <c r="D1106" s="80" t="str">
        <f>+D1062</f>
        <v>114.9.27</v>
      </c>
      <c r="E1106" s="81"/>
      <c r="F1106" s="81"/>
      <c r="G1106" s="82"/>
      <c r="H1106" s="80" t="s">
        <v>8</v>
      </c>
      <c r="I1106" s="81"/>
      <c r="J1106" s="82"/>
      <c r="K1106" s="80" t="str">
        <f>+K1062</f>
        <v>115.2.15</v>
      </c>
      <c r="L1106" s="81"/>
      <c r="M1106" s="82"/>
    </row>
    <row r="1107" spans="1:13" ht="24" customHeight="1" thickBot="1">
      <c r="A1107" s="80" t="s">
        <v>37</v>
      </c>
      <c r="B1107" s="81"/>
      <c r="C1107" s="82"/>
      <c r="D1107" s="83">
        <v>8.4000000000000005E-2</v>
      </c>
      <c r="E1107" s="84"/>
      <c r="F1107" s="84"/>
      <c r="G1107" s="85"/>
      <c r="H1107" s="80" t="s">
        <v>38</v>
      </c>
      <c r="I1107" s="81"/>
      <c r="J1107" s="82"/>
      <c r="K1107" s="83">
        <f>+K1063</f>
        <v>5.8000000000000003E-2</v>
      </c>
      <c r="L1107" s="84"/>
      <c r="M1107" s="85"/>
    </row>
    <row r="1108" spans="1:13" ht="24" customHeight="1" thickBot="1">
      <c r="A1108" s="72" t="s">
        <v>9</v>
      </c>
      <c r="B1108" s="73"/>
      <c r="C1108" s="73"/>
      <c r="D1108" s="73"/>
      <c r="E1108" s="73"/>
      <c r="F1108" s="73"/>
      <c r="G1108" s="73"/>
      <c r="H1108" s="73"/>
      <c r="I1108" s="73"/>
      <c r="J1108" s="73"/>
      <c r="K1108" s="73"/>
      <c r="L1108" s="73"/>
      <c r="M1108" s="74"/>
    </row>
    <row r="1109" spans="1:13" ht="35.25" customHeight="1" thickBot="1">
      <c r="A1109" s="75" t="s">
        <v>10</v>
      </c>
      <c r="B1109" s="76"/>
      <c r="C1109" s="76"/>
      <c r="D1109" s="77"/>
      <c r="E1109" s="14" t="s">
        <v>11</v>
      </c>
      <c r="F1109" s="75" t="s">
        <v>12</v>
      </c>
      <c r="G1109" s="77"/>
      <c r="H1109" s="75" t="s">
        <v>13</v>
      </c>
      <c r="I1109" s="77"/>
      <c r="J1109" s="78" t="s">
        <v>14</v>
      </c>
      <c r="K1109" s="79"/>
      <c r="L1109" s="75" t="s">
        <v>15</v>
      </c>
      <c r="M1109" s="77"/>
    </row>
    <row r="1110" spans="1:13" ht="27.95" customHeight="1" thickBot="1">
      <c r="A1110" s="141"/>
      <c r="B1110" s="142"/>
      <c r="C1110" s="142"/>
      <c r="D1110" s="143"/>
      <c r="E1110" s="2"/>
      <c r="F1110" s="56"/>
      <c r="G1110" s="57"/>
      <c r="H1110" s="56"/>
      <c r="I1110" s="57"/>
      <c r="J1110" s="56"/>
      <c r="K1110" s="57"/>
      <c r="L1110" s="58"/>
      <c r="M1110" s="59"/>
    </row>
    <row r="1111" spans="1:13" ht="27.95" customHeight="1" thickBot="1">
      <c r="A1111" s="141"/>
      <c r="B1111" s="142"/>
      <c r="C1111" s="142"/>
      <c r="D1111" s="143"/>
      <c r="E1111" s="15"/>
      <c r="F1111" s="56"/>
      <c r="G1111" s="57"/>
      <c r="H1111" s="56"/>
      <c r="I1111" s="57"/>
      <c r="J1111" s="56"/>
      <c r="K1111" s="57"/>
      <c r="L1111" s="58"/>
      <c r="M1111" s="59"/>
    </row>
    <row r="1112" spans="1:13" ht="24.95" customHeight="1" thickTop="1" thickBot="1">
      <c r="A1112" s="130" t="s">
        <v>16</v>
      </c>
      <c r="B1112" s="67"/>
      <c r="C1112" s="67"/>
      <c r="D1112" s="68"/>
      <c r="E1112" s="47"/>
      <c r="F1112" s="131"/>
      <c r="G1112" s="132"/>
      <c r="H1112" s="131"/>
      <c r="I1112" s="132"/>
      <c r="J1112" s="131"/>
      <c r="K1112" s="132"/>
      <c r="L1112" s="131"/>
      <c r="M1112" s="133"/>
    </row>
    <row r="1113" spans="1:13" ht="24.95" customHeight="1" thickBot="1">
      <c r="A1113" s="134" t="s">
        <v>17</v>
      </c>
      <c r="B1113" s="135"/>
      <c r="C1113" s="135"/>
      <c r="D1113" s="59"/>
      <c r="E1113" s="47"/>
      <c r="F1113" s="58"/>
      <c r="G1113" s="59"/>
      <c r="H1113" s="58"/>
      <c r="I1113" s="59"/>
      <c r="J1113" s="58"/>
      <c r="K1113" s="59"/>
      <c r="L1113" s="58"/>
      <c r="M1113" s="136"/>
    </row>
    <row r="1114" spans="1:13" ht="24.95" customHeight="1" thickBot="1">
      <c r="A1114" s="118" t="s">
        <v>18</v>
      </c>
      <c r="B1114" s="119"/>
      <c r="C1114" s="119"/>
      <c r="D1114" s="120"/>
      <c r="E1114" s="24"/>
      <c r="F1114" s="121"/>
      <c r="G1114" s="120"/>
      <c r="H1114" s="121"/>
      <c r="I1114" s="120"/>
      <c r="J1114" s="121"/>
      <c r="K1114" s="120"/>
      <c r="L1114" s="121"/>
      <c r="M1114" s="122"/>
    </row>
    <row r="1115" spans="1:13" ht="24" customHeight="1" thickTop="1" thickBot="1">
      <c r="A1115" s="66" t="s">
        <v>19</v>
      </c>
      <c r="B1115" s="67"/>
      <c r="C1115" s="67"/>
      <c r="D1115" s="67"/>
      <c r="E1115" s="67"/>
      <c r="F1115" s="67"/>
      <c r="G1115" s="67"/>
      <c r="H1115" s="67"/>
      <c r="I1115" s="67"/>
      <c r="J1115" s="67"/>
      <c r="K1115" s="67"/>
      <c r="L1115" s="67"/>
      <c r="M1115" s="68"/>
    </row>
    <row r="1116" spans="1:13" ht="35.25" customHeight="1" thickBot="1">
      <c r="A1116" s="75" t="s">
        <v>20</v>
      </c>
      <c r="B1116" s="76"/>
      <c r="C1116" s="76"/>
      <c r="D1116" s="77"/>
      <c r="E1116" s="14" t="s">
        <v>11</v>
      </c>
      <c r="F1116" s="75" t="s">
        <v>39</v>
      </c>
      <c r="G1116" s="77"/>
      <c r="H1116" s="75" t="s">
        <v>21</v>
      </c>
      <c r="I1116" s="77"/>
      <c r="J1116" s="78" t="s">
        <v>22</v>
      </c>
      <c r="K1116" s="79"/>
      <c r="L1116" s="75" t="s">
        <v>15</v>
      </c>
      <c r="M1116" s="77"/>
    </row>
    <row r="1117" spans="1:13" ht="24" customHeight="1" thickBot="1">
      <c r="A1117" s="96"/>
      <c r="B1117" s="97"/>
      <c r="C1117" s="97"/>
      <c r="D1117" s="98"/>
      <c r="E1117" s="47"/>
      <c r="F1117" s="58"/>
      <c r="G1117" s="59"/>
      <c r="H1117" s="58"/>
      <c r="I1117" s="59"/>
      <c r="J1117" s="56"/>
      <c r="K1117" s="57"/>
      <c r="L1117" s="58"/>
      <c r="M1117" s="59"/>
    </row>
    <row r="1118" spans="1:13" ht="24" customHeight="1" thickBot="1">
      <c r="A1118" s="96"/>
      <c r="B1118" s="97"/>
      <c r="C1118" s="97"/>
      <c r="D1118" s="98"/>
      <c r="E1118" s="47"/>
      <c r="F1118" s="58"/>
      <c r="G1118" s="59"/>
      <c r="H1118" s="58"/>
      <c r="I1118" s="59"/>
      <c r="J1118" s="56"/>
      <c r="K1118" s="57"/>
      <c r="L1118" s="58"/>
      <c r="M1118" s="59"/>
    </row>
    <row r="1119" spans="1:13" ht="24" customHeight="1" thickBot="1">
      <c r="A1119" s="60" t="s">
        <v>23</v>
      </c>
      <c r="B1119" s="61"/>
      <c r="C1119" s="61"/>
      <c r="D1119" s="61"/>
      <c r="E1119" s="61"/>
      <c r="F1119" s="61"/>
      <c r="G1119" s="61"/>
      <c r="H1119" s="61"/>
      <c r="I1119" s="61"/>
      <c r="J1119" s="61"/>
      <c r="K1119" s="61"/>
      <c r="L1119" s="61"/>
      <c r="M1119" s="62"/>
    </row>
    <row r="1120" spans="1:13" ht="35.25" customHeight="1" thickBot="1">
      <c r="A1120" s="75" t="s">
        <v>24</v>
      </c>
      <c r="B1120" s="77"/>
      <c r="C1120" s="75" t="s">
        <v>25</v>
      </c>
      <c r="D1120" s="77"/>
      <c r="E1120" s="75" t="s">
        <v>26</v>
      </c>
      <c r="F1120" s="76"/>
      <c r="G1120" s="77"/>
      <c r="H1120" s="75" t="s">
        <v>27</v>
      </c>
      <c r="I1120" s="77"/>
      <c r="J1120" s="78" t="s">
        <v>21</v>
      </c>
      <c r="K1120" s="79"/>
      <c r="L1120" s="75" t="s">
        <v>22</v>
      </c>
      <c r="M1120" s="77"/>
    </row>
    <row r="1121" spans="1:13" s="18" customFormat="1" ht="24.75" customHeight="1" thickBot="1">
      <c r="A1121" s="99"/>
      <c r="B1121" s="98"/>
      <c r="C1121" s="56"/>
      <c r="D1121" s="57"/>
      <c r="E1121" s="56"/>
      <c r="F1121" s="100"/>
      <c r="G1121" s="57"/>
      <c r="H1121" s="56"/>
      <c r="I1121" s="57"/>
      <c r="J1121" s="56"/>
      <c r="K1121" s="57"/>
      <c r="L1121" s="56"/>
      <c r="M1121" s="57"/>
    </row>
    <row r="1122" spans="1:13" s="18" customFormat="1" ht="24.75" customHeight="1" thickBot="1">
      <c r="A1122" s="99"/>
      <c r="B1122" s="98"/>
      <c r="C1122" s="56"/>
      <c r="D1122" s="57"/>
      <c r="E1122" s="56"/>
      <c r="F1122" s="100"/>
      <c r="G1122" s="57"/>
      <c r="H1122" s="56"/>
      <c r="I1122" s="57"/>
      <c r="J1122" s="56"/>
      <c r="K1122" s="57"/>
      <c r="L1122" s="56"/>
      <c r="M1122" s="57"/>
    </row>
    <row r="1123" spans="1:13" ht="33" customHeight="1" thickBot="1">
      <c r="A1123" s="112" t="s">
        <v>40</v>
      </c>
      <c r="B1123" s="113"/>
      <c r="C1123" s="113"/>
      <c r="D1123" s="113"/>
      <c r="E1123" s="113"/>
      <c r="F1123" s="113"/>
      <c r="G1123" s="113"/>
      <c r="H1123" s="113"/>
      <c r="I1123" s="113"/>
      <c r="J1123" s="113"/>
      <c r="K1123" s="113"/>
      <c r="L1123" s="113"/>
      <c r="M1123" s="114"/>
    </row>
    <row r="1124" spans="1:13" ht="16.5" customHeight="1">
      <c r="A1124" s="115" t="s">
        <v>41</v>
      </c>
      <c r="B1124" s="116"/>
      <c r="C1124" s="116"/>
      <c r="D1124" s="116"/>
      <c r="E1124" s="116"/>
      <c r="F1124" s="116"/>
      <c r="G1124" s="116"/>
      <c r="H1124" s="116"/>
      <c r="I1124" s="116"/>
      <c r="J1124" s="116"/>
      <c r="K1124" s="116"/>
      <c r="L1124" s="116"/>
      <c r="M1124" s="117"/>
    </row>
    <row r="1125" spans="1:13" ht="16.5" customHeight="1">
      <c r="A1125" s="90" t="s">
        <v>28</v>
      </c>
      <c r="B1125" s="91"/>
      <c r="C1125" s="91"/>
      <c r="D1125" s="91"/>
      <c r="E1125" s="91"/>
      <c r="F1125" s="91"/>
      <c r="G1125" s="91"/>
      <c r="H1125" s="91"/>
      <c r="I1125" s="91"/>
      <c r="J1125" s="91"/>
      <c r="K1125" s="91"/>
      <c r="L1125" s="91"/>
      <c r="M1125" s="92"/>
    </row>
    <row r="1126" spans="1:13" s="1" customFormat="1" ht="16.5" customHeight="1">
      <c r="A1126" s="93" t="s">
        <v>56</v>
      </c>
      <c r="B1126" s="94"/>
      <c r="C1126" s="94"/>
      <c r="D1126" s="94"/>
      <c r="E1126" s="94"/>
      <c r="F1126" s="94"/>
      <c r="G1126" s="94"/>
      <c r="H1126" s="94"/>
      <c r="I1126" s="94"/>
      <c r="J1126" s="94"/>
      <c r="K1126" s="94"/>
      <c r="L1126" s="94"/>
      <c r="M1126" s="95"/>
    </row>
    <row r="1127" spans="1:13" s="1" customFormat="1" ht="16.5" customHeight="1">
      <c r="A1127" s="93" t="s">
        <v>57</v>
      </c>
      <c r="B1127" s="94"/>
      <c r="C1127" s="94"/>
      <c r="D1127" s="94"/>
      <c r="E1127" s="94"/>
      <c r="F1127" s="94"/>
      <c r="G1127" s="94"/>
      <c r="H1127" s="94"/>
      <c r="I1127" s="94"/>
      <c r="J1127" s="94"/>
      <c r="K1127" s="94"/>
      <c r="L1127" s="94"/>
      <c r="M1127" s="95"/>
    </row>
    <row r="1128" spans="1:13" s="1" customFormat="1" ht="16.5" customHeight="1">
      <c r="A1128" s="93" t="s">
        <v>58</v>
      </c>
      <c r="B1128" s="94"/>
      <c r="C1128" s="94"/>
      <c r="D1128" s="94"/>
      <c r="E1128" s="94"/>
      <c r="F1128" s="94"/>
      <c r="G1128" s="94"/>
      <c r="H1128" s="94"/>
      <c r="I1128" s="94"/>
      <c r="J1128" s="94"/>
      <c r="K1128" s="94"/>
      <c r="L1128" s="94"/>
      <c r="M1128" s="95"/>
    </row>
    <row r="1129" spans="1:13" s="1" customFormat="1" ht="16.5" customHeight="1">
      <c r="A1129" s="93" t="s">
        <v>59</v>
      </c>
      <c r="B1129" s="94"/>
      <c r="C1129" s="94"/>
      <c r="D1129" s="94"/>
      <c r="E1129" s="94"/>
      <c r="F1129" s="94"/>
      <c r="G1129" s="94"/>
      <c r="H1129" s="94"/>
      <c r="I1129" s="94"/>
      <c r="J1129" s="94"/>
      <c r="K1129" s="94"/>
      <c r="L1129" s="94"/>
      <c r="M1129" s="95"/>
    </row>
    <row r="1130" spans="1:13" ht="16.5" customHeight="1">
      <c r="A1130" s="106" t="s">
        <v>29</v>
      </c>
      <c r="B1130" s="107"/>
      <c r="C1130" s="107"/>
      <c r="D1130" s="107"/>
      <c r="E1130" s="107"/>
      <c r="F1130" s="107"/>
      <c r="G1130" s="107"/>
      <c r="H1130" s="107"/>
      <c r="I1130" s="107"/>
      <c r="J1130" s="107"/>
      <c r="K1130" s="107"/>
      <c r="L1130" s="107"/>
      <c r="M1130" s="108"/>
    </row>
    <row r="1131" spans="1:13" ht="9.75" customHeight="1" thickBot="1">
      <c r="A1131" s="109"/>
      <c r="B1131" s="110"/>
      <c r="C1131" s="110"/>
      <c r="D1131" s="110"/>
      <c r="E1131" s="110"/>
      <c r="F1131" s="110"/>
      <c r="G1131" s="110"/>
      <c r="H1131" s="110"/>
      <c r="I1131" s="110"/>
      <c r="J1131" s="110"/>
      <c r="K1131" s="110"/>
      <c r="L1131" s="110"/>
      <c r="M1131" s="111"/>
    </row>
    <row r="1132" spans="1:13" ht="18.75" customHeight="1" thickBot="1">
      <c r="A1132" s="72" t="s">
        <v>30</v>
      </c>
      <c r="B1132" s="73"/>
      <c r="C1132" s="73"/>
      <c r="D1132" s="73"/>
      <c r="E1132" s="73"/>
      <c r="F1132" s="73"/>
      <c r="G1132" s="73"/>
      <c r="H1132" s="73"/>
      <c r="I1132" s="73"/>
      <c r="J1132" s="73"/>
      <c r="K1132" s="73"/>
      <c r="L1132" s="73"/>
      <c r="M1132" s="74"/>
    </row>
    <row r="1133" spans="1:13" ht="24" customHeight="1" thickBot="1">
      <c r="A1133" s="72" t="s">
        <v>31</v>
      </c>
      <c r="B1133" s="73"/>
      <c r="C1133" s="73"/>
      <c r="D1133" s="73"/>
      <c r="E1133" s="73"/>
      <c r="F1133" s="73"/>
      <c r="G1133" s="73"/>
      <c r="H1133" s="73"/>
      <c r="I1133" s="73"/>
      <c r="J1133" s="73"/>
      <c r="K1133" s="73"/>
      <c r="L1133" s="73"/>
      <c r="M1133" s="74"/>
    </row>
    <row r="1134" spans="1:13" ht="24" customHeight="1" thickBot="1">
      <c r="A1134" s="72" t="s">
        <v>62</v>
      </c>
      <c r="B1134" s="73"/>
      <c r="C1134" s="73"/>
      <c r="D1134" s="73"/>
      <c r="E1134" s="73"/>
      <c r="F1134" s="73"/>
      <c r="G1134" s="73"/>
      <c r="H1134" s="73"/>
      <c r="I1134" s="73"/>
      <c r="J1134" s="73"/>
      <c r="K1134" s="73"/>
      <c r="L1134" s="73"/>
      <c r="M1134" s="74"/>
    </row>
    <row r="1135" spans="1:13" ht="24" customHeight="1" thickBot="1">
      <c r="A1135" s="60" t="s">
        <v>46</v>
      </c>
      <c r="B1135" s="61"/>
      <c r="C1135" s="61"/>
      <c r="D1135" s="61"/>
      <c r="E1135" s="61"/>
      <c r="F1135" s="61"/>
      <c r="G1135" s="61"/>
      <c r="H1135" s="61"/>
      <c r="I1135" s="61"/>
      <c r="J1135" s="61"/>
      <c r="K1135" s="61"/>
      <c r="L1135" s="61"/>
      <c r="M1135" s="62"/>
    </row>
    <row r="1136" spans="1:13" ht="11.1" customHeight="1">
      <c r="A1136" s="103" t="s">
        <v>47</v>
      </c>
      <c r="B1136" s="103"/>
      <c r="C1136" s="103"/>
      <c r="D1136" s="103"/>
      <c r="E1136" s="103"/>
      <c r="F1136" s="103"/>
      <c r="G1136" s="103"/>
      <c r="H1136" s="103"/>
      <c r="I1136" s="103"/>
      <c r="J1136" s="103"/>
      <c r="K1136" s="103"/>
      <c r="L1136" s="103"/>
      <c r="M1136" s="103"/>
    </row>
    <row r="1137" spans="1:15" ht="11.1" customHeight="1">
      <c r="A1137" s="104" t="s">
        <v>48</v>
      </c>
      <c r="B1137" s="104"/>
      <c r="C1137" s="104"/>
      <c r="D1137" s="104"/>
      <c r="E1137" s="104"/>
      <c r="F1137" s="104"/>
      <c r="G1137" s="104"/>
      <c r="H1137" s="104"/>
      <c r="I1137" s="104"/>
      <c r="J1137" s="104"/>
      <c r="K1137" s="104"/>
      <c r="L1137" s="104"/>
      <c r="M1137" s="104"/>
    </row>
    <row r="1138" spans="1:15" ht="11.1" customHeight="1">
      <c r="A1138" s="105" t="s">
        <v>49</v>
      </c>
      <c r="B1138" s="105"/>
      <c r="C1138" s="105"/>
      <c r="D1138" s="105"/>
      <c r="E1138" s="105"/>
      <c r="F1138" s="105"/>
      <c r="G1138" s="105"/>
      <c r="H1138" s="105"/>
      <c r="I1138" s="105"/>
      <c r="J1138" s="105"/>
      <c r="K1138" s="105"/>
      <c r="L1138" s="105"/>
      <c r="M1138" s="105"/>
    </row>
    <row r="1139" spans="1:15" ht="11.1" customHeight="1">
      <c r="A1139" s="105" t="s">
        <v>50</v>
      </c>
      <c r="B1139" s="105"/>
      <c r="C1139" s="105"/>
      <c r="D1139" s="105"/>
      <c r="E1139" s="105"/>
      <c r="F1139" s="105"/>
      <c r="G1139" s="105"/>
      <c r="H1139" s="105"/>
      <c r="I1139" s="105"/>
      <c r="J1139" s="105"/>
      <c r="K1139" s="105"/>
      <c r="L1139" s="105"/>
      <c r="M1139" s="105"/>
    </row>
    <row r="1140" spans="1:15" ht="11.1" customHeight="1">
      <c r="A1140" s="104" t="s">
        <v>51</v>
      </c>
      <c r="B1140" s="104"/>
      <c r="C1140" s="104"/>
      <c r="D1140" s="104"/>
      <c r="E1140" s="104"/>
      <c r="F1140" s="104"/>
      <c r="G1140" s="104"/>
      <c r="H1140" s="104"/>
      <c r="I1140" s="104"/>
      <c r="J1140" s="104"/>
      <c r="K1140" s="104"/>
      <c r="L1140" s="104"/>
      <c r="M1140" s="104"/>
    </row>
    <row r="1141" spans="1:15" ht="11.1" customHeight="1">
      <c r="A1141" s="104" t="s">
        <v>52</v>
      </c>
      <c r="B1141" s="104"/>
      <c r="C1141" s="104"/>
      <c r="D1141" s="104"/>
      <c r="E1141" s="104"/>
      <c r="F1141" s="104"/>
      <c r="G1141" s="104"/>
      <c r="H1141" s="104"/>
      <c r="I1141" s="104"/>
      <c r="J1141" s="104"/>
      <c r="K1141" s="104"/>
      <c r="L1141" s="104"/>
      <c r="M1141" s="104"/>
    </row>
    <row r="1142" spans="1:15" ht="11.1" customHeight="1">
      <c r="A1142" s="104" t="s">
        <v>53</v>
      </c>
      <c r="B1142" s="104"/>
      <c r="C1142" s="104"/>
      <c r="D1142" s="104"/>
      <c r="E1142" s="104"/>
      <c r="F1142" s="104"/>
      <c r="G1142" s="104"/>
      <c r="H1142" s="104"/>
      <c r="I1142" s="104"/>
      <c r="J1142" s="104"/>
      <c r="K1142" s="104"/>
      <c r="L1142" s="104"/>
      <c r="M1142" s="104"/>
    </row>
    <row r="1143" spans="1:15" ht="11.1" customHeight="1">
      <c r="A1143" s="101" t="s">
        <v>54</v>
      </c>
      <c r="B1143" s="101"/>
      <c r="C1143" s="101"/>
      <c r="D1143" s="101"/>
      <c r="E1143" s="101"/>
      <c r="F1143" s="101"/>
      <c r="G1143" s="101"/>
      <c r="H1143" s="101"/>
      <c r="I1143" s="101"/>
      <c r="J1143" s="101"/>
      <c r="K1143" s="101"/>
      <c r="L1143" s="101"/>
      <c r="M1143" s="101"/>
    </row>
    <row r="1144" spans="1:15" ht="11.1" customHeight="1">
      <c r="A1144" s="101" t="s">
        <v>55</v>
      </c>
      <c r="B1144" s="101"/>
      <c r="C1144" s="101"/>
      <c r="D1144" s="101"/>
      <c r="E1144" s="101"/>
      <c r="F1144" s="101"/>
      <c r="G1144" s="101"/>
      <c r="H1144" s="101"/>
      <c r="I1144" s="101"/>
      <c r="J1144" s="101"/>
      <c r="K1144" s="101"/>
      <c r="L1144" s="101"/>
      <c r="M1144" s="101"/>
    </row>
    <row r="1145" spans="1:15" ht="19.5" customHeight="1">
      <c r="A1145" s="69" t="s">
        <v>0</v>
      </c>
      <c r="B1145" s="69"/>
      <c r="C1145" s="69"/>
      <c r="D1145" s="69"/>
      <c r="E1145" s="69"/>
      <c r="F1145" s="69"/>
      <c r="G1145" s="69"/>
      <c r="H1145" s="69"/>
      <c r="I1145" s="69"/>
      <c r="J1145" s="69"/>
      <c r="K1145" s="69"/>
      <c r="L1145" s="69"/>
      <c r="M1145" s="69"/>
    </row>
    <row r="1146" spans="1:15" ht="20.100000000000001" customHeight="1">
      <c r="A1146" s="4" t="s">
        <v>32</v>
      </c>
      <c r="B1146" s="5">
        <f>+B1102+1</f>
        <v>62</v>
      </c>
      <c r="C1146" s="48"/>
      <c r="D1146" s="48"/>
      <c r="E1146" s="48"/>
      <c r="F1146" s="48"/>
      <c r="G1146" s="48"/>
      <c r="H1146" s="48"/>
      <c r="I1146" s="48"/>
      <c r="J1146" s="48"/>
      <c r="K1146" s="48"/>
      <c r="L1146" s="48"/>
      <c r="M1146" s="48"/>
    </row>
    <row r="1147" spans="1:15" ht="24" customHeight="1" thickBot="1">
      <c r="A1147" s="4" t="s">
        <v>33</v>
      </c>
      <c r="H1147" s="70" t="s">
        <v>34</v>
      </c>
      <c r="I1147" s="70"/>
      <c r="J1147" s="70"/>
      <c r="K1147" s="102">
        <f>+K1103+1</f>
        <v>45988</v>
      </c>
      <c r="L1147" s="102"/>
      <c r="M1147" s="102"/>
      <c r="O1147" s="7"/>
    </row>
    <row r="1148" spans="1:15" ht="33.75" customHeight="1" thickBot="1">
      <c r="A1148" s="80" t="s">
        <v>1</v>
      </c>
      <c r="B1148" s="81"/>
      <c r="C1148" s="82"/>
      <c r="D1148" s="86" t="str">
        <f>+D1104</f>
        <v>光明國中B與C區5樓老舊廁所整修工程</v>
      </c>
      <c r="E1148" s="87"/>
      <c r="F1148" s="87"/>
      <c r="G1148" s="88"/>
      <c r="H1148" s="80" t="s">
        <v>2</v>
      </c>
      <c r="I1148" s="81"/>
      <c r="J1148" s="82"/>
      <c r="K1148" s="80" t="s">
        <v>35</v>
      </c>
      <c r="L1148" s="81"/>
      <c r="M1148" s="82"/>
    </row>
    <row r="1149" spans="1:15" ht="33.75" customHeight="1" thickBot="1">
      <c r="A1149" s="8" t="s">
        <v>3</v>
      </c>
      <c r="B1149" s="45">
        <f>+B1105</f>
        <v>142</v>
      </c>
      <c r="C1149" s="10" t="s">
        <v>36</v>
      </c>
      <c r="D1149" s="80" t="s">
        <v>4</v>
      </c>
      <c r="E1149" s="89"/>
      <c r="F1149" s="46">
        <f>+F1105+1</f>
        <v>62</v>
      </c>
      <c r="G1149" s="12" t="s">
        <v>36</v>
      </c>
      <c r="H1149" s="13" t="s">
        <v>5</v>
      </c>
      <c r="I1149" s="45">
        <f>+B1149-F1149</f>
        <v>80</v>
      </c>
      <c r="J1149" s="10" t="s">
        <v>36</v>
      </c>
      <c r="K1149" s="80" t="s">
        <v>6</v>
      </c>
      <c r="L1149" s="82"/>
      <c r="M1149" s="13">
        <f>+M1105</f>
        <v>12</v>
      </c>
    </row>
    <row r="1150" spans="1:15" ht="24" customHeight="1" thickBot="1">
      <c r="A1150" s="80" t="s">
        <v>7</v>
      </c>
      <c r="B1150" s="81"/>
      <c r="C1150" s="82"/>
      <c r="D1150" s="80" t="str">
        <f>+D1106</f>
        <v>114.9.27</v>
      </c>
      <c r="E1150" s="81"/>
      <c r="F1150" s="81"/>
      <c r="G1150" s="82"/>
      <c r="H1150" s="80" t="s">
        <v>8</v>
      </c>
      <c r="I1150" s="81"/>
      <c r="J1150" s="82"/>
      <c r="K1150" s="80" t="str">
        <f>+K1106</f>
        <v>115.2.15</v>
      </c>
      <c r="L1150" s="81"/>
      <c r="M1150" s="82"/>
    </row>
    <row r="1151" spans="1:15" ht="24" customHeight="1" thickBot="1">
      <c r="A1151" s="80" t="s">
        <v>37</v>
      </c>
      <c r="B1151" s="81"/>
      <c r="C1151" s="82"/>
      <c r="D1151" s="83">
        <v>0.09</v>
      </c>
      <c r="E1151" s="84"/>
      <c r="F1151" s="84"/>
      <c r="G1151" s="85"/>
      <c r="H1151" s="80" t="s">
        <v>38</v>
      </c>
      <c r="I1151" s="81"/>
      <c r="J1151" s="82"/>
      <c r="K1151" s="83">
        <f>+K1107</f>
        <v>5.8000000000000003E-2</v>
      </c>
      <c r="L1151" s="84"/>
      <c r="M1151" s="85"/>
    </row>
    <row r="1152" spans="1:15" ht="24" customHeight="1" thickBot="1">
      <c r="A1152" s="72" t="s">
        <v>9</v>
      </c>
      <c r="B1152" s="73"/>
      <c r="C1152" s="73"/>
      <c r="D1152" s="73"/>
      <c r="E1152" s="73"/>
      <c r="F1152" s="73"/>
      <c r="G1152" s="73"/>
      <c r="H1152" s="73"/>
      <c r="I1152" s="73"/>
      <c r="J1152" s="73"/>
      <c r="K1152" s="73"/>
      <c r="L1152" s="73"/>
      <c r="M1152" s="74"/>
    </row>
    <row r="1153" spans="1:13" ht="35.25" customHeight="1" thickBot="1">
      <c r="A1153" s="75" t="s">
        <v>10</v>
      </c>
      <c r="B1153" s="76"/>
      <c r="C1153" s="76"/>
      <c r="D1153" s="77"/>
      <c r="E1153" s="14" t="s">
        <v>11</v>
      </c>
      <c r="F1153" s="75" t="s">
        <v>12</v>
      </c>
      <c r="G1153" s="77"/>
      <c r="H1153" s="75" t="s">
        <v>13</v>
      </c>
      <c r="I1153" s="77"/>
      <c r="J1153" s="78" t="s">
        <v>14</v>
      </c>
      <c r="K1153" s="79"/>
      <c r="L1153" s="75" t="s">
        <v>15</v>
      </c>
      <c r="M1153" s="77"/>
    </row>
    <row r="1154" spans="1:13" ht="27.95" customHeight="1" thickBot="1">
      <c r="A1154" s="141"/>
      <c r="B1154" s="142"/>
      <c r="C1154" s="142"/>
      <c r="D1154" s="143"/>
      <c r="E1154" s="2"/>
      <c r="F1154" s="56"/>
      <c r="G1154" s="57"/>
      <c r="H1154" s="56"/>
      <c r="I1154" s="57"/>
      <c r="J1154" s="56"/>
      <c r="K1154" s="57"/>
      <c r="L1154" s="58"/>
      <c r="M1154" s="59"/>
    </row>
    <row r="1155" spans="1:13" ht="27.95" customHeight="1" thickBot="1">
      <c r="A1155" s="141"/>
      <c r="B1155" s="142"/>
      <c r="C1155" s="142"/>
      <c r="D1155" s="143"/>
      <c r="E1155" s="15"/>
      <c r="F1155" s="56"/>
      <c r="G1155" s="57"/>
      <c r="H1155" s="56"/>
      <c r="I1155" s="57"/>
      <c r="J1155" s="56"/>
      <c r="K1155" s="57"/>
      <c r="L1155" s="58"/>
      <c r="M1155" s="59"/>
    </row>
    <row r="1156" spans="1:13" ht="24.95" customHeight="1" thickTop="1" thickBot="1">
      <c r="A1156" s="130" t="s">
        <v>16</v>
      </c>
      <c r="B1156" s="67"/>
      <c r="C1156" s="67"/>
      <c r="D1156" s="68"/>
      <c r="E1156" s="47"/>
      <c r="F1156" s="131"/>
      <c r="G1156" s="132"/>
      <c r="H1156" s="131"/>
      <c r="I1156" s="132"/>
      <c r="J1156" s="131"/>
      <c r="K1156" s="132"/>
      <c r="L1156" s="131"/>
      <c r="M1156" s="133"/>
    </row>
    <row r="1157" spans="1:13" ht="24.95" customHeight="1" thickBot="1">
      <c r="A1157" s="134" t="s">
        <v>17</v>
      </c>
      <c r="B1157" s="135"/>
      <c r="C1157" s="135"/>
      <c r="D1157" s="59"/>
      <c r="E1157" s="47"/>
      <c r="F1157" s="58"/>
      <c r="G1157" s="59"/>
      <c r="H1157" s="58"/>
      <c r="I1157" s="59"/>
      <c r="J1157" s="58"/>
      <c r="K1157" s="59"/>
      <c r="L1157" s="58"/>
      <c r="M1157" s="136"/>
    </row>
    <row r="1158" spans="1:13" ht="24.95" customHeight="1" thickBot="1">
      <c r="A1158" s="118" t="s">
        <v>18</v>
      </c>
      <c r="B1158" s="119"/>
      <c r="C1158" s="119"/>
      <c r="D1158" s="120"/>
      <c r="E1158" s="24"/>
      <c r="F1158" s="121"/>
      <c r="G1158" s="120"/>
      <c r="H1158" s="121"/>
      <c r="I1158" s="120"/>
      <c r="J1158" s="121"/>
      <c r="K1158" s="120"/>
      <c r="L1158" s="121"/>
      <c r="M1158" s="122"/>
    </row>
    <row r="1159" spans="1:13" ht="24" customHeight="1" thickTop="1" thickBot="1">
      <c r="A1159" s="66" t="s">
        <v>19</v>
      </c>
      <c r="B1159" s="67"/>
      <c r="C1159" s="67"/>
      <c r="D1159" s="67"/>
      <c r="E1159" s="67"/>
      <c r="F1159" s="67"/>
      <c r="G1159" s="67"/>
      <c r="H1159" s="67"/>
      <c r="I1159" s="67"/>
      <c r="J1159" s="67"/>
      <c r="K1159" s="67"/>
      <c r="L1159" s="67"/>
      <c r="M1159" s="68"/>
    </row>
    <row r="1160" spans="1:13" ht="35.25" customHeight="1" thickBot="1">
      <c r="A1160" s="75" t="s">
        <v>20</v>
      </c>
      <c r="B1160" s="76"/>
      <c r="C1160" s="76"/>
      <c r="D1160" s="77"/>
      <c r="E1160" s="14" t="s">
        <v>11</v>
      </c>
      <c r="F1160" s="75" t="s">
        <v>39</v>
      </c>
      <c r="G1160" s="77"/>
      <c r="H1160" s="75" t="s">
        <v>21</v>
      </c>
      <c r="I1160" s="77"/>
      <c r="J1160" s="78" t="s">
        <v>22</v>
      </c>
      <c r="K1160" s="79"/>
      <c r="L1160" s="75" t="s">
        <v>15</v>
      </c>
      <c r="M1160" s="77"/>
    </row>
    <row r="1161" spans="1:13" ht="24" customHeight="1" thickBot="1">
      <c r="A1161" s="96"/>
      <c r="B1161" s="97"/>
      <c r="C1161" s="97"/>
      <c r="D1161" s="98"/>
      <c r="E1161" s="47"/>
      <c r="F1161" s="58"/>
      <c r="G1161" s="59"/>
      <c r="H1161" s="58"/>
      <c r="I1161" s="59"/>
      <c r="J1161" s="56"/>
      <c r="K1161" s="57"/>
      <c r="L1161" s="58"/>
      <c r="M1161" s="59"/>
    </row>
    <row r="1162" spans="1:13" ht="24" customHeight="1" thickBot="1">
      <c r="A1162" s="96"/>
      <c r="B1162" s="97"/>
      <c r="C1162" s="97"/>
      <c r="D1162" s="98"/>
      <c r="E1162" s="47"/>
      <c r="F1162" s="58"/>
      <c r="G1162" s="59"/>
      <c r="H1162" s="58"/>
      <c r="I1162" s="59"/>
      <c r="J1162" s="56"/>
      <c r="K1162" s="57"/>
      <c r="L1162" s="58"/>
      <c r="M1162" s="59"/>
    </row>
    <row r="1163" spans="1:13" ht="24" customHeight="1" thickBot="1">
      <c r="A1163" s="60" t="s">
        <v>23</v>
      </c>
      <c r="B1163" s="61"/>
      <c r="C1163" s="61"/>
      <c r="D1163" s="61"/>
      <c r="E1163" s="61"/>
      <c r="F1163" s="61"/>
      <c r="G1163" s="61"/>
      <c r="H1163" s="61"/>
      <c r="I1163" s="61"/>
      <c r="J1163" s="61"/>
      <c r="K1163" s="61"/>
      <c r="L1163" s="61"/>
      <c r="M1163" s="62"/>
    </row>
    <row r="1164" spans="1:13" ht="35.25" customHeight="1" thickBot="1">
      <c r="A1164" s="75" t="s">
        <v>24</v>
      </c>
      <c r="B1164" s="77"/>
      <c r="C1164" s="75" t="s">
        <v>25</v>
      </c>
      <c r="D1164" s="77"/>
      <c r="E1164" s="75" t="s">
        <v>26</v>
      </c>
      <c r="F1164" s="76"/>
      <c r="G1164" s="77"/>
      <c r="H1164" s="75" t="s">
        <v>27</v>
      </c>
      <c r="I1164" s="77"/>
      <c r="J1164" s="78" t="s">
        <v>21</v>
      </c>
      <c r="K1164" s="79"/>
      <c r="L1164" s="75" t="s">
        <v>22</v>
      </c>
      <c r="M1164" s="77"/>
    </row>
    <row r="1165" spans="1:13" s="18" customFormat="1" ht="24.75" customHeight="1" thickBot="1">
      <c r="A1165" s="99"/>
      <c r="B1165" s="98"/>
      <c r="C1165" s="56"/>
      <c r="D1165" s="57"/>
      <c r="E1165" s="56"/>
      <c r="F1165" s="100"/>
      <c r="G1165" s="57"/>
      <c r="H1165" s="56"/>
      <c r="I1165" s="57"/>
      <c r="J1165" s="56"/>
      <c r="K1165" s="57"/>
      <c r="L1165" s="56"/>
      <c r="M1165" s="57"/>
    </row>
    <row r="1166" spans="1:13" s="18" customFormat="1" ht="24.75" customHeight="1" thickBot="1">
      <c r="A1166" s="99"/>
      <c r="B1166" s="98"/>
      <c r="C1166" s="56"/>
      <c r="D1166" s="57"/>
      <c r="E1166" s="56"/>
      <c r="F1166" s="100"/>
      <c r="G1166" s="57"/>
      <c r="H1166" s="56"/>
      <c r="I1166" s="57"/>
      <c r="J1166" s="56"/>
      <c r="K1166" s="57"/>
      <c r="L1166" s="56"/>
      <c r="M1166" s="57"/>
    </row>
    <row r="1167" spans="1:13" ht="33" customHeight="1" thickBot="1">
      <c r="A1167" s="112" t="s">
        <v>40</v>
      </c>
      <c r="B1167" s="113"/>
      <c r="C1167" s="113"/>
      <c r="D1167" s="113"/>
      <c r="E1167" s="113"/>
      <c r="F1167" s="113"/>
      <c r="G1167" s="113"/>
      <c r="H1167" s="113"/>
      <c r="I1167" s="113"/>
      <c r="J1167" s="113"/>
      <c r="K1167" s="113"/>
      <c r="L1167" s="113"/>
      <c r="M1167" s="114"/>
    </row>
    <row r="1168" spans="1:13" ht="16.5" customHeight="1">
      <c r="A1168" s="115" t="s">
        <v>41</v>
      </c>
      <c r="B1168" s="116"/>
      <c r="C1168" s="116"/>
      <c r="D1168" s="116"/>
      <c r="E1168" s="116"/>
      <c r="F1168" s="116"/>
      <c r="G1168" s="116"/>
      <c r="H1168" s="116"/>
      <c r="I1168" s="116"/>
      <c r="J1168" s="116"/>
      <c r="K1168" s="116"/>
      <c r="L1168" s="116"/>
      <c r="M1168" s="117"/>
    </row>
    <row r="1169" spans="1:13" ht="16.5" customHeight="1">
      <c r="A1169" s="90" t="s">
        <v>28</v>
      </c>
      <c r="B1169" s="91"/>
      <c r="C1169" s="91"/>
      <c r="D1169" s="91"/>
      <c r="E1169" s="91"/>
      <c r="F1169" s="91"/>
      <c r="G1169" s="91"/>
      <c r="H1169" s="91"/>
      <c r="I1169" s="91"/>
      <c r="J1169" s="91"/>
      <c r="K1169" s="91"/>
      <c r="L1169" s="91"/>
      <c r="M1169" s="92"/>
    </row>
    <row r="1170" spans="1:13" s="1" customFormat="1" ht="16.5" customHeight="1">
      <c r="A1170" s="93" t="s">
        <v>56</v>
      </c>
      <c r="B1170" s="94"/>
      <c r="C1170" s="94"/>
      <c r="D1170" s="94"/>
      <c r="E1170" s="94"/>
      <c r="F1170" s="94"/>
      <c r="G1170" s="94"/>
      <c r="H1170" s="94"/>
      <c r="I1170" s="94"/>
      <c r="J1170" s="94"/>
      <c r="K1170" s="94"/>
      <c r="L1170" s="94"/>
      <c r="M1170" s="95"/>
    </row>
    <row r="1171" spans="1:13" s="1" customFormat="1" ht="16.5" customHeight="1">
      <c r="A1171" s="93" t="s">
        <v>57</v>
      </c>
      <c r="B1171" s="94"/>
      <c r="C1171" s="94"/>
      <c r="D1171" s="94"/>
      <c r="E1171" s="94"/>
      <c r="F1171" s="94"/>
      <c r="G1171" s="94"/>
      <c r="H1171" s="94"/>
      <c r="I1171" s="94"/>
      <c r="J1171" s="94"/>
      <c r="K1171" s="94"/>
      <c r="L1171" s="94"/>
      <c r="M1171" s="95"/>
    </row>
    <row r="1172" spans="1:13" s="1" customFormat="1" ht="16.5" customHeight="1">
      <c r="A1172" s="93" t="s">
        <v>58</v>
      </c>
      <c r="B1172" s="94"/>
      <c r="C1172" s="94"/>
      <c r="D1172" s="94"/>
      <c r="E1172" s="94"/>
      <c r="F1172" s="94"/>
      <c r="G1172" s="94"/>
      <c r="H1172" s="94"/>
      <c r="I1172" s="94"/>
      <c r="J1172" s="94"/>
      <c r="K1172" s="94"/>
      <c r="L1172" s="94"/>
      <c r="M1172" s="95"/>
    </row>
    <row r="1173" spans="1:13" s="1" customFormat="1" ht="16.5" customHeight="1">
      <c r="A1173" s="93" t="s">
        <v>59</v>
      </c>
      <c r="B1173" s="94"/>
      <c r="C1173" s="94"/>
      <c r="D1173" s="94"/>
      <c r="E1173" s="94"/>
      <c r="F1173" s="94"/>
      <c r="G1173" s="94"/>
      <c r="H1173" s="94"/>
      <c r="I1173" s="94"/>
      <c r="J1173" s="94"/>
      <c r="K1173" s="94"/>
      <c r="L1173" s="94"/>
      <c r="M1173" s="95"/>
    </row>
    <row r="1174" spans="1:13" ht="16.5" customHeight="1">
      <c r="A1174" s="106" t="s">
        <v>29</v>
      </c>
      <c r="B1174" s="107"/>
      <c r="C1174" s="107"/>
      <c r="D1174" s="107"/>
      <c r="E1174" s="107"/>
      <c r="F1174" s="107"/>
      <c r="G1174" s="107"/>
      <c r="H1174" s="107"/>
      <c r="I1174" s="107"/>
      <c r="J1174" s="107"/>
      <c r="K1174" s="107"/>
      <c r="L1174" s="107"/>
      <c r="M1174" s="108"/>
    </row>
    <row r="1175" spans="1:13" ht="9.75" customHeight="1" thickBot="1">
      <c r="A1175" s="109"/>
      <c r="B1175" s="110"/>
      <c r="C1175" s="110"/>
      <c r="D1175" s="110"/>
      <c r="E1175" s="110"/>
      <c r="F1175" s="110"/>
      <c r="G1175" s="110"/>
      <c r="H1175" s="110"/>
      <c r="I1175" s="110"/>
      <c r="J1175" s="110"/>
      <c r="K1175" s="110"/>
      <c r="L1175" s="110"/>
      <c r="M1175" s="111"/>
    </row>
    <row r="1176" spans="1:13" ht="18.75" customHeight="1" thickBot="1">
      <c r="A1176" s="72" t="s">
        <v>30</v>
      </c>
      <c r="B1176" s="73"/>
      <c r="C1176" s="73"/>
      <c r="D1176" s="73"/>
      <c r="E1176" s="73"/>
      <c r="F1176" s="73"/>
      <c r="G1176" s="73"/>
      <c r="H1176" s="73"/>
      <c r="I1176" s="73"/>
      <c r="J1176" s="73"/>
      <c r="K1176" s="73"/>
      <c r="L1176" s="73"/>
      <c r="M1176" s="74"/>
    </row>
    <row r="1177" spans="1:13" ht="24" customHeight="1" thickBot="1">
      <c r="A1177" s="72" t="s">
        <v>31</v>
      </c>
      <c r="B1177" s="73"/>
      <c r="C1177" s="73"/>
      <c r="D1177" s="73"/>
      <c r="E1177" s="73"/>
      <c r="F1177" s="73"/>
      <c r="G1177" s="73"/>
      <c r="H1177" s="73"/>
      <c r="I1177" s="73"/>
      <c r="J1177" s="73"/>
      <c r="K1177" s="73"/>
      <c r="L1177" s="73"/>
      <c r="M1177" s="74"/>
    </row>
    <row r="1178" spans="1:13" ht="24" customHeight="1" thickBot="1">
      <c r="A1178" s="72" t="s">
        <v>62</v>
      </c>
      <c r="B1178" s="73"/>
      <c r="C1178" s="73"/>
      <c r="D1178" s="73"/>
      <c r="E1178" s="73"/>
      <c r="F1178" s="73"/>
      <c r="G1178" s="73"/>
      <c r="H1178" s="73"/>
      <c r="I1178" s="73"/>
      <c r="J1178" s="73"/>
      <c r="K1178" s="73"/>
      <c r="L1178" s="73"/>
      <c r="M1178" s="74"/>
    </row>
    <row r="1179" spans="1:13" ht="24" customHeight="1" thickBot="1">
      <c r="A1179" s="60" t="s">
        <v>46</v>
      </c>
      <c r="B1179" s="61"/>
      <c r="C1179" s="61"/>
      <c r="D1179" s="61"/>
      <c r="E1179" s="61"/>
      <c r="F1179" s="61"/>
      <c r="G1179" s="61"/>
      <c r="H1179" s="61"/>
      <c r="I1179" s="61"/>
      <c r="J1179" s="61"/>
      <c r="K1179" s="61"/>
      <c r="L1179" s="61"/>
      <c r="M1179" s="62"/>
    </row>
    <row r="1180" spans="1:13" ht="11.1" customHeight="1">
      <c r="A1180" s="103" t="s">
        <v>47</v>
      </c>
      <c r="B1180" s="103"/>
      <c r="C1180" s="103"/>
      <c r="D1180" s="103"/>
      <c r="E1180" s="103"/>
      <c r="F1180" s="103"/>
      <c r="G1180" s="103"/>
      <c r="H1180" s="103"/>
      <c r="I1180" s="103"/>
      <c r="J1180" s="103"/>
      <c r="K1180" s="103"/>
      <c r="L1180" s="103"/>
      <c r="M1180" s="103"/>
    </row>
    <row r="1181" spans="1:13" ht="11.1" customHeight="1">
      <c r="A1181" s="104" t="s">
        <v>48</v>
      </c>
      <c r="B1181" s="104"/>
      <c r="C1181" s="104"/>
      <c r="D1181" s="104"/>
      <c r="E1181" s="104"/>
      <c r="F1181" s="104"/>
      <c r="G1181" s="104"/>
      <c r="H1181" s="104"/>
      <c r="I1181" s="104"/>
      <c r="J1181" s="104"/>
      <c r="K1181" s="104"/>
      <c r="L1181" s="104"/>
      <c r="M1181" s="104"/>
    </row>
    <row r="1182" spans="1:13" ht="11.1" customHeight="1">
      <c r="A1182" s="105" t="s">
        <v>49</v>
      </c>
      <c r="B1182" s="105"/>
      <c r="C1182" s="105"/>
      <c r="D1182" s="105"/>
      <c r="E1182" s="105"/>
      <c r="F1182" s="105"/>
      <c r="G1182" s="105"/>
      <c r="H1182" s="105"/>
      <c r="I1182" s="105"/>
      <c r="J1182" s="105"/>
      <c r="K1182" s="105"/>
      <c r="L1182" s="105"/>
      <c r="M1182" s="105"/>
    </row>
    <row r="1183" spans="1:13" ht="11.1" customHeight="1">
      <c r="A1183" s="105" t="s">
        <v>50</v>
      </c>
      <c r="B1183" s="105"/>
      <c r="C1183" s="105"/>
      <c r="D1183" s="105"/>
      <c r="E1183" s="105"/>
      <c r="F1183" s="105"/>
      <c r="G1183" s="105"/>
      <c r="H1183" s="105"/>
      <c r="I1183" s="105"/>
      <c r="J1183" s="105"/>
      <c r="K1183" s="105"/>
      <c r="L1183" s="105"/>
      <c r="M1183" s="105"/>
    </row>
    <row r="1184" spans="1:13" ht="11.1" customHeight="1">
      <c r="A1184" s="104" t="s">
        <v>51</v>
      </c>
      <c r="B1184" s="104"/>
      <c r="C1184" s="104"/>
      <c r="D1184" s="104"/>
      <c r="E1184" s="104"/>
      <c r="F1184" s="104"/>
      <c r="G1184" s="104"/>
      <c r="H1184" s="104"/>
      <c r="I1184" s="104"/>
      <c r="J1184" s="104"/>
      <c r="K1184" s="104"/>
      <c r="L1184" s="104"/>
      <c r="M1184" s="104"/>
    </row>
    <row r="1185" spans="1:15" ht="11.1" customHeight="1">
      <c r="A1185" s="104" t="s">
        <v>52</v>
      </c>
      <c r="B1185" s="104"/>
      <c r="C1185" s="104"/>
      <c r="D1185" s="104"/>
      <c r="E1185" s="104"/>
      <c r="F1185" s="104"/>
      <c r="G1185" s="104"/>
      <c r="H1185" s="104"/>
      <c r="I1185" s="104"/>
      <c r="J1185" s="104"/>
      <c r="K1185" s="104"/>
      <c r="L1185" s="104"/>
      <c r="M1185" s="104"/>
    </row>
    <row r="1186" spans="1:15" ht="11.1" customHeight="1">
      <c r="A1186" s="104" t="s">
        <v>53</v>
      </c>
      <c r="B1186" s="104"/>
      <c r="C1186" s="104"/>
      <c r="D1186" s="104"/>
      <c r="E1186" s="104"/>
      <c r="F1186" s="104"/>
      <c r="G1186" s="104"/>
      <c r="H1186" s="104"/>
      <c r="I1186" s="104"/>
      <c r="J1186" s="104"/>
      <c r="K1186" s="104"/>
      <c r="L1186" s="104"/>
      <c r="M1186" s="104"/>
    </row>
    <row r="1187" spans="1:15" ht="11.1" customHeight="1">
      <c r="A1187" s="101" t="s">
        <v>54</v>
      </c>
      <c r="B1187" s="101"/>
      <c r="C1187" s="101"/>
      <c r="D1187" s="101"/>
      <c r="E1187" s="101"/>
      <c r="F1187" s="101"/>
      <c r="G1187" s="101"/>
      <c r="H1187" s="101"/>
      <c r="I1187" s="101"/>
      <c r="J1187" s="101"/>
      <c r="K1187" s="101"/>
      <c r="L1187" s="101"/>
      <c r="M1187" s="101"/>
    </row>
    <row r="1188" spans="1:15" ht="11.1" customHeight="1">
      <c r="A1188" s="101" t="s">
        <v>55</v>
      </c>
      <c r="B1188" s="101"/>
      <c r="C1188" s="101"/>
      <c r="D1188" s="101"/>
      <c r="E1188" s="101"/>
      <c r="F1188" s="101"/>
      <c r="G1188" s="101"/>
      <c r="H1188" s="101"/>
      <c r="I1188" s="101"/>
      <c r="J1188" s="101"/>
      <c r="K1188" s="101"/>
      <c r="L1188" s="101"/>
      <c r="M1188" s="101"/>
    </row>
    <row r="1189" spans="1:15" ht="19.5" customHeight="1">
      <c r="A1189" s="69" t="s">
        <v>0</v>
      </c>
      <c r="B1189" s="69"/>
      <c r="C1189" s="69"/>
      <c r="D1189" s="69"/>
      <c r="E1189" s="69"/>
      <c r="F1189" s="69"/>
      <c r="G1189" s="69"/>
      <c r="H1189" s="69"/>
      <c r="I1189" s="69"/>
      <c r="J1189" s="69"/>
      <c r="K1189" s="69"/>
      <c r="L1189" s="69"/>
      <c r="M1189" s="69"/>
    </row>
    <row r="1190" spans="1:15" ht="20.100000000000001" customHeight="1">
      <c r="A1190" s="4" t="s">
        <v>32</v>
      </c>
      <c r="B1190" s="5">
        <f>+B1146+1</f>
        <v>63</v>
      </c>
      <c r="C1190" s="48"/>
      <c r="D1190" s="48"/>
      <c r="E1190" s="48"/>
      <c r="F1190" s="48"/>
      <c r="G1190" s="48"/>
      <c r="H1190" s="48"/>
      <c r="I1190" s="48"/>
      <c r="J1190" s="48"/>
      <c r="K1190" s="48"/>
      <c r="L1190" s="48"/>
      <c r="M1190" s="48"/>
    </row>
    <row r="1191" spans="1:15" ht="24" customHeight="1" thickBot="1">
      <c r="A1191" s="4" t="s">
        <v>33</v>
      </c>
      <c r="H1191" s="70" t="s">
        <v>34</v>
      </c>
      <c r="I1191" s="70"/>
      <c r="J1191" s="70"/>
      <c r="K1191" s="102">
        <f>+K1147+1</f>
        <v>45989</v>
      </c>
      <c r="L1191" s="102"/>
      <c r="M1191" s="102"/>
      <c r="O1191" s="7"/>
    </row>
    <row r="1192" spans="1:15" ht="33.75" customHeight="1" thickBot="1">
      <c r="A1192" s="80" t="s">
        <v>1</v>
      </c>
      <c r="B1192" s="81"/>
      <c r="C1192" s="82"/>
      <c r="D1192" s="86" t="str">
        <f>+D1148</f>
        <v>光明國中B與C區5樓老舊廁所整修工程</v>
      </c>
      <c r="E1192" s="87"/>
      <c r="F1192" s="87"/>
      <c r="G1192" s="88"/>
      <c r="H1192" s="80" t="s">
        <v>2</v>
      </c>
      <c r="I1192" s="81"/>
      <c r="J1192" s="82"/>
      <c r="K1192" s="80" t="s">
        <v>35</v>
      </c>
      <c r="L1192" s="81"/>
      <c r="M1192" s="82"/>
    </row>
    <row r="1193" spans="1:15" ht="33.75" customHeight="1" thickBot="1">
      <c r="A1193" s="8" t="s">
        <v>3</v>
      </c>
      <c r="B1193" s="45">
        <f>+B1149</f>
        <v>142</v>
      </c>
      <c r="C1193" s="10" t="s">
        <v>36</v>
      </c>
      <c r="D1193" s="80" t="s">
        <v>4</v>
      </c>
      <c r="E1193" s="89"/>
      <c r="F1193" s="46">
        <f>+F1149+1</f>
        <v>63</v>
      </c>
      <c r="G1193" s="12" t="s">
        <v>36</v>
      </c>
      <c r="H1193" s="13" t="s">
        <v>5</v>
      </c>
      <c r="I1193" s="45">
        <f>+B1193-F1193</f>
        <v>79</v>
      </c>
      <c r="J1193" s="10" t="s">
        <v>36</v>
      </c>
      <c r="K1193" s="80" t="s">
        <v>6</v>
      </c>
      <c r="L1193" s="82"/>
      <c r="M1193" s="13">
        <f>+M1149</f>
        <v>12</v>
      </c>
    </row>
    <row r="1194" spans="1:15" ht="24" customHeight="1" thickBot="1">
      <c r="A1194" s="80" t="s">
        <v>7</v>
      </c>
      <c r="B1194" s="81"/>
      <c r="C1194" s="82"/>
      <c r="D1194" s="80" t="str">
        <f>+D1150</f>
        <v>114.9.27</v>
      </c>
      <c r="E1194" s="81"/>
      <c r="F1194" s="81"/>
      <c r="G1194" s="82"/>
      <c r="H1194" s="80" t="s">
        <v>8</v>
      </c>
      <c r="I1194" s="81"/>
      <c r="J1194" s="82"/>
      <c r="K1194" s="80" t="str">
        <f>+K1150</f>
        <v>115.2.15</v>
      </c>
      <c r="L1194" s="81"/>
      <c r="M1194" s="82"/>
    </row>
    <row r="1195" spans="1:15" ht="24" customHeight="1" thickBot="1">
      <c r="A1195" s="80" t="s">
        <v>37</v>
      </c>
      <c r="B1195" s="81"/>
      <c r="C1195" s="82"/>
      <c r="D1195" s="83">
        <v>9.6000000000000002E-2</v>
      </c>
      <c r="E1195" s="84"/>
      <c r="F1195" s="84"/>
      <c r="G1195" s="85"/>
      <c r="H1195" s="80" t="s">
        <v>38</v>
      </c>
      <c r="I1195" s="81"/>
      <c r="J1195" s="82"/>
      <c r="K1195" s="83">
        <f>+K1151</f>
        <v>5.8000000000000003E-2</v>
      </c>
      <c r="L1195" s="84"/>
      <c r="M1195" s="85"/>
    </row>
    <row r="1196" spans="1:15" ht="24" customHeight="1" thickBot="1">
      <c r="A1196" s="72" t="s">
        <v>9</v>
      </c>
      <c r="B1196" s="73"/>
      <c r="C1196" s="73"/>
      <c r="D1196" s="73"/>
      <c r="E1196" s="73"/>
      <c r="F1196" s="73"/>
      <c r="G1196" s="73"/>
      <c r="H1196" s="73"/>
      <c r="I1196" s="73"/>
      <c r="J1196" s="73"/>
      <c r="K1196" s="73"/>
      <c r="L1196" s="73"/>
      <c r="M1196" s="74"/>
    </row>
    <row r="1197" spans="1:15" ht="35.25" customHeight="1" thickBot="1">
      <c r="A1197" s="75" t="s">
        <v>10</v>
      </c>
      <c r="B1197" s="76"/>
      <c r="C1197" s="76"/>
      <c r="D1197" s="77"/>
      <c r="E1197" s="14" t="s">
        <v>11</v>
      </c>
      <c r="F1197" s="75" t="s">
        <v>12</v>
      </c>
      <c r="G1197" s="77"/>
      <c r="H1197" s="75" t="s">
        <v>13</v>
      </c>
      <c r="I1197" s="77"/>
      <c r="J1197" s="78" t="s">
        <v>14</v>
      </c>
      <c r="K1197" s="79"/>
      <c r="L1197" s="75" t="s">
        <v>15</v>
      </c>
      <c r="M1197" s="77"/>
    </row>
    <row r="1198" spans="1:15" ht="27.95" customHeight="1" thickBot="1">
      <c r="A1198" s="141"/>
      <c r="B1198" s="142"/>
      <c r="C1198" s="142"/>
      <c r="D1198" s="143"/>
      <c r="E1198" s="2"/>
      <c r="F1198" s="56"/>
      <c r="G1198" s="57"/>
      <c r="H1198" s="56"/>
      <c r="I1198" s="57"/>
      <c r="J1198" s="56"/>
      <c r="K1198" s="57"/>
      <c r="L1198" s="58"/>
      <c r="M1198" s="59"/>
    </row>
    <row r="1199" spans="1:15" ht="27.95" customHeight="1" thickBot="1">
      <c r="A1199" s="141"/>
      <c r="B1199" s="142"/>
      <c r="C1199" s="142"/>
      <c r="D1199" s="143"/>
      <c r="E1199" s="15"/>
      <c r="F1199" s="56"/>
      <c r="G1199" s="57"/>
      <c r="H1199" s="56"/>
      <c r="I1199" s="57"/>
      <c r="J1199" s="56"/>
      <c r="K1199" s="57"/>
      <c r="L1199" s="58"/>
      <c r="M1199" s="59"/>
    </row>
    <row r="1200" spans="1:15" ht="24.95" customHeight="1" thickTop="1" thickBot="1">
      <c r="A1200" s="130" t="s">
        <v>16</v>
      </c>
      <c r="B1200" s="67"/>
      <c r="C1200" s="67"/>
      <c r="D1200" s="68"/>
      <c r="E1200" s="47"/>
      <c r="F1200" s="131"/>
      <c r="G1200" s="132"/>
      <c r="H1200" s="131"/>
      <c r="I1200" s="132"/>
      <c r="J1200" s="131"/>
      <c r="K1200" s="132"/>
      <c r="L1200" s="131"/>
      <c r="M1200" s="133"/>
    </row>
    <row r="1201" spans="1:13" ht="24.95" customHeight="1" thickBot="1">
      <c r="A1201" s="134" t="s">
        <v>17</v>
      </c>
      <c r="B1201" s="135"/>
      <c r="C1201" s="135"/>
      <c r="D1201" s="59"/>
      <c r="E1201" s="47"/>
      <c r="F1201" s="58"/>
      <c r="G1201" s="59"/>
      <c r="H1201" s="58"/>
      <c r="I1201" s="59"/>
      <c r="J1201" s="58"/>
      <c r="K1201" s="59"/>
      <c r="L1201" s="58"/>
      <c r="M1201" s="136"/>
    </row>
    <row r="1202" spans="1:13" ht="24.95" customHeight="1" thickBot="1">
      <c r="A1202" s="118" t="s">
        <v>18</v>
      </c>
      <c r="B1202" s="119"/>
      <c r="C1202" s="119"/>
      <c r="D1202" s="120"/>
      <c r="E1202" s="24"/>
      <c r="F1202" s="121"/>
      <c r="G1202" s="120"/>
      <c r="H1202" s="121"/>
      <c r="I1202" s="120"/>
      <c r="J1202" s="121"/>
      <c r="K1202" s="120"/>
      <c r="L1202" s="121"/>
      <c r="M1202" s="122"/>
    </row>
    <row r="1203" spans="1:13" ht="24" customHeight="1" thickTop="1" thickBot="1">
      <c r="A1203" s="66" t="s">
        <v>19</v>
      </c>
      <c r="B1203" s="67"/>
      <c r="C1203" s="67"/>
      <c r="D1203" s="67"/>
      <c r="E1203" s="67"/>
      <c r="F1203" s="67"/>
      <c r="G1203" s="67"/>
      <c r="H1203" s="67"/>
      <c r="I1203" s="67"/>
      <c r="J1203" s="67"/>
      <c r="K1203" s="67"/>
      <c r="L1203" s="67"/>
      <c r="M1203" s="68"/>
    </row>
    <row r="1204" spans="1:13" ht="35.25" customHeight="1" thickBot="1">
      <c r="A1204" s="75" t="s">
        <v>20</v>
      </c>
      <c r="B1204" s="76"/>
      <c r="C1204" s="76"/>
      <c r="D1204" s="77"/>
      <c r="E1204" s="14" t="s">
        <v>11</v>
      </c>
      <c r="F1204" s="75" t="s">
        <v>39</v>
      </c>
      <c r="G1204" s="77"/>
      <c r="H1204" s="75" t="s">
        <v>21</v>
      </c>
      <c r="I1204" s="77"/>
      <c r="J1204" s="78" t="s">
        <v>22</v>
      </c>
      <c r="K1204" s="79"/>
      <c r="L1204" s="75" t="s">
        <v>15</v>
      </c>
      <c r="M1204" s="77"/>
    </row>
    <row r="1205" spans="1:13" ht="24" customHeight="1" thickBot="1">
      <c r="A1205" s="96"/>
      <c r="B1205" s="97"/>
      <c r="C1205" s="97"/>
      <c r="D1205" s="98"/>
      <c r="E1205" s="47"/>
      <c r="F1205" s="58"/>
      <c r="G1205" s="59"/>
      <c r="H1205" s="58"/>
      <c r="I1205" s="59"/>
      <c r="J1205" s="56"/>
      <c r="K1205" s="57"/>
      <c r="L1205" s="58"/>
      <c r="M1205" s="59"/>
    </row>
    <row r="1206" spans="1:13" ht="24" customHeight="1" thickBot="1">
      <c r="A1206" s="96"/>
      <c r="B1206" s="97"/>
      <c r="C1206" s="97"/>
      <c r="D1206" s="98"/>
      <c r="E1206" s="47"/>
      <c r="F1206" s="58"/>
      <c r="G1206" s="59"/>
      <c r="H1206" s="58"/>
      <c r="I1206" s="59"/>
      <c r="J1206" s="56"/>
      <c r="K1206" s="57"/>
      <c r="L1206" s="58"/>
      <c r="M1206" s="59"/>
    </row>
    <row r="1207" spans="1:13" ht="24" customHeight="1" thickBot="1">
      <c r="A1207" s="60" t="s">
        <v>23</v>
      </c>
      <c r="B1207" s="61"/>
      <c r="C1207" s="61"/>
      <c r="D1207" s="61"/>
      <c r="E1207" s="61"/>
      <c r="F1207" s="61"/>
      <c r="G1207" s="61"/>
      <c r="H1207" s="61"/>
      <c r="I1207" s="61"/>
      <c r="J1207" s="61"/>
      <c r="K1207" s="61"/>
      <c r="L1207" s="61"/>
      <c r="M1207" s="62"/>
    </row>
    <row r="1208" spans="1:13" ht="35.25" customHeight="1" thickBot="1">
      <c r="A1208" s="75" t="s">
        <v>24</v>
      </c>
      <c r="B1208" s="77"/>
      <c r="C1208" s="75" t="s">
        <v>25</v>
      </c>
      <c r="D1208" s="77"/>
      <c r="E1208" s="75" t="s">
        <v>26</v>
      </c>
      <c r="F1208" s="76"/>
      <c r="G1208" s="77"/>
      <c r="H1208" s="75" t="s">
        <v>27</v>
      </c>
      <c r="I1208" s="77"/>
      <c r="J1208" s="78" t="s">
        <v>21</v>
      </c>
      <c r="K1208" s="79"/>
      <c r="L1208" s="75" t="s">
        <v>22</v>
      </c>
      <c r="M1208" s="77"/>
    </row>
    <row r="1209" spans="1:13" s="18" customFormat="1" ht="24.75" customHeight="1" thickBot="1">
      <c r="A1209" s="99"/>
      <c r="B1209" s="98"/>
      <c r="C1209" s="56"/>
      <c r="D1209" s="57"/>
      <c r="E1209" s="56"/>
      <c r="F1209" s="100"/>
      <c r="G1209" s="57"/>
      <c r="H1209" s="56"/>
      <c r="I1209" s="57"/>
      <c r="J1209" s="56"/>
      <c r="K1209" s="57"/>
      <c r="L1209" s="56"/>
      <c r="M1209" s="57"/>
    </row>
    <row r="1210" spans="1:13" s="18" customFormat="1" ht="24.75" customHeight="1" thickBot="1">
      <c r="A1210" s="99"/>
      <c r="B1210" s="98"/>
      <c r="C1210" s="56"/>
      <c r="D1210" s="57"/>
      <c r="E1210" s="56"/>
      <c r="F1210" s="100"/>
      <c r="G1210" s="57"/>
      <c r="H1210" s="56"/>
      <c r="I1210" s="57"/>
      <c r="J1210" s="56"/>
      <c r="K1210" s="57"/>
      <c r="L1210" s="56"/>
      <c r="M1210" s="57"/>
    </row>
    <row r="1211" spans="1:13" ht="33" customHeight="1" thickBot="1">
      <c r="A1211" s="112" t="s">
        <v>40</v>
      </c>
      <c r="B1211" s="113"/>
      <c r="C1211" s="113"/>
      <c r="D1211" s="113"/>
      <c r="E1211" s="113"/>
      <c r="F1211" s="113"/>
      <c r="G1211" s="113"/>
      <c r="H1211" s="113"/>
      <c r="I1211" s="113"/>
      <c r="J1211" s="113"/>
      <c r="K1211" s="113"/>
      <c r="L1211" s="113"/>
      <c r="M1211" s="114"/>
    </row>
    <row r="1212" spans="1:13" ht="16.5" customHeight="1">
      <c r="A1212" s="115" t="s">
        <v>41</v>
      </c>
      <c r="B1212" s="116"/>
      <c r="C1212" s="116"/>
      <c r="D1212" s="116"/>
      <c r="E1212" s="116"/>
      <c r="F1212" s="116"/>
      <c r="G1212" s="116"/>
      <c r="H1212" s="116"/>
      <c r="I1212" s="116"/>
      <c r="J1212" s="116"/>
      <c r="K1212" s="116"/>
      <c r="L1212" s="116"/>
      <c r="M1212" s="117"/>
    </row>
    <row r="1213" spans="1:13" ht="16.5" customHeight="1">
      <c r="A1213" s="90" t="s">
        <v>28</v>
      </c>
      <c r="B1213" s="91"/>
      <c r="C1213" s="91"/>
      <c r="D1213" s="91"/>
      <c r="E1213" s="91"/>
      <c r="F1213" s="91"/>
      <c r="G1213" s="91"/>
      <c r="H1213" s="91"/>
      <c r="I1213" s="91"/>
      <c r="J1213" s="91"/>
      <c r="K1213" s="91"/>
      <c r="L1213" s="91"/>
      <c r="M1213" s="92"/>
    </row>
    <row r="1214" spans="1:13" s="1" customFormat="1" ht="16.5" customHeight="1">
      <c r="A1214" s="93" t="s">
        <v>56</v>
      </c>
      <c r="B1214" s="94"/>
      <c r="C1214" s="94"/>
      <c r="D1214" s="94"/>
      <c r="E1214" s="94"/>
      <c r="F1214" s="94"/>
      <c r="G1214" s="94"/>
      <c r="H1214" s="94"/>
      <c r="I1214" s="94"/>
      <c r="J1214" s="94"/>
      <c r="K1214" s="94"/>
      <c r="L1214" s="94"/>
      <c r="M1214" s="95"/>
    </row>
    <row r="1215" spans="1:13" s="1" customFormat="1" ht="16.5" customHeight="1">
      <c r="A1215" s="93" t="s">
        <v>57</v>
      </c>
      <c r="B1215" s="94"/>
      <c r="C1215" s="94"/>
      <c r="D1215" s="94"/>
      <c r="E1215" s="94"/>
      <c r="F1215" s="94"/>
      <c r="G1215" s="94"/>
      <c r="H1215" s="94"/>
      <c r="I1215" s="94"/>
      <c r="J1215" s="94"/>
      <c r="K1215" s="94"/>
      <c r="L1215" s="94"/>
      <c r="M1215" s="95"/>
    </row>
    <row r="1216" spans="1:13" s="1" customFormat="1" ht="16.5" customHeight="1">
      <c r="A1216" s="93" t="s">
        <v>58</v>
      </c>
      <c r="B1216" s="94"/>
      <c r="C1216" s="94"/>
      <c r="D1216" s="94"/>
      <c r="E1216" s="94"/>
      <c r="F1216" s="94"/>
      <c r="G1216" s="94"/>
      <c r="H1216" s="94"/>
      <c r="I1216" s="94"/>
      <c r="J1216" s="94"/>
      <c r="K1216" s="94"/>
      <c r="L1216" s="94"/>
      <c r="M1216" s="95"/>
    </row>
    <row r="1217" spans="1:13" s="1" customFormat="1" ht="16.5" customHeight="1">
      <c r="A1217" s="93" t="s">
        <v>59</v>
      </c>
      <c r="B1217" s="94"/>
      <c r="C1217" s="94"/>
      <c r="D1217" s="94"/>
      <c r="E1217" s="94"/>
      <c r="F1217" s="94"/>
      <c r="G1217" s="94"/>
      <c r="H1217" s="94"/>
      <c r="I1217" s="94"/>
      <c r="J1217" s="94"/>
      <c r="K1217" s="94"/>
      <c r="L1217" s="94"/>
      <c r="M1217" s="95"/>
    </row>
    <row r="1218" spans="1:13" ht="16.5" customHeight="1">
      <c r="A1218" s="106" t="s">
        <v>29</v>
      </c>
      <c r="B1218" s="107"/>
      <c r="C1218" s="107"/>
      <c r="D1218" s="107"/>
      <c r="E1218" s="107"/>
      <c r="F1218" s="107"/>
      <c r="G1218" s="107"/>
      <c r="H1218" s="107"/>
      <c r="I1218" s="107"/>
      <c r="J1218" s="107"/>
      <c r="K1218" s="107"/>
      <c r="L1218" s="107"/>
      <c r="M1218" s="108"/>
    </row>
    <row r="1219" spans="1:13" ht="9.75" customHeight="1" thickBot="1">
      <c r="A1219" s="109"/>
      <c r="B1219" s="110"/>
      <c r="C1219" s="110"/>
      <c r="D1219" s="110"/>
      <c r="E1219" s="110"/>
      <c r="F1219" s="110"/>
      <c r="G1219" s="110"/>
      <c r="H1219" s="110"/>
      <c r="I1219" s="110"/>
      <c r="J1219" s="110"/>
      <c r="K1219" s="110"/>
      <c r="L1219" s="110"/>
      <c r="M1219" s="111"/>
    </row>
    <row r="1220" spans="1:13" ht="18.75" customHeight="1" thickBot="1">
      <c r="A1220" s="72" t="s">
        <v>30</v>
      </c>
      <c r="B1220" s="73"/>
      <c r="C1220" s="73"/>
      <c r="D1220" s="73"/>
      <c r="E1220" s="73"/>
      <c r="F1220" s="73"/>
      <c r="G1220" s="73"/>
      <c r="H1220" s="73"/>
      <c r="I1220" s="73"/>
      <c r="J1220" s="73"/>
      <c r="K1220" s="73"/>
      <c r="L1220" s="73"/>
      <c r="M1220" s="74"/>
    </row>
    <row r="1221" spans="1:13" ht="24" customHeight="1" thickBot="1">
      <c r="A1221" s="72" t="s">
        <v>31</v>
      </c>
      <c r="B1221" s="73"/>
      <c r="C1221" s="73"/>
      <c r="D1221" s="73"/>
      <c r="E1221" s="73"/>
      <c r="F1221" s="73"/>
      <c r="G1221" s="73"/>
      <c r="H1221" s="73"/>
      <c r="I1221" s="73"/>
      <c r="J1221" s="73"/>
      <c r="K1221" s="73"/>
      <c r="L1221" s="73"/>
      <c r="M1221" s="74"/>
    </row>
    <row r="1222" spans="1:13" ht="24" customHeight="1" thickBot="1">
      <c r="A1222" s="72" t="s">
        <v>62</v>
      </c>
      <c r="B1222" s="73"/>
      <c r="C1222" s="73"/>
      <c r="D1222" s="73"/>
      <c r="E1222" s="73"/>
      <c r="F1222" s="73"/>
      <c r="G1222" s="73"/>
      <c r="H1222" s="73"/>
      <c r="I1222" s="73"/>
      <c r="J1222" s="73"/>
      <c r="K1222" s="73"/>
      <c r="L1222" s="73"/>
      <c r="M1222" s="74"/>
    </row>
    <row r="1223" spans="1:13" ht="24" customHeight="1" thickBot="1">
      <c r="A1223" s="60" t="s">
        <v>46</v>
      </c>
      <c r="B1223" s="61"/>
      <c r="C1223" s="61"/>
      <c r="D1223" s="61"/>
      <c r="E1223" s="61"/>
      <c r="F1223" s="61"/>
      <c r="G1223" s="61"/>
      <c r="H1223" s="61"/>
      <c r="I1223" s="61"/>
      <c r="J1223" s="61"/>
      <c r="K1223" s="61"/>
      <c r="L1223" s="61"/>
      <c r="M1223" s="62"/>
    </row>
    <row r="1224" spans="1:13" ht="11.1" customHeight="1">
      <c r="A1224" s="103" t="s">
        <v>47</v>
      </c>
      <c r="B1224" s="103"/>
      <c r="C1224" s="103"/>
      <c r="D1224" s="103"/>
      <c r="E1224" s="103"/>
      <c r="F1224" s="103"/>
      <c r="G1224" s="103"/>
      <c r="H1224" s="103"/>
      <c r="I1224" s="103"/>
      <c r="J1224" s="103"/>
      <c r="K1224" s="103"/>
      <c r="L1224" s="103"/>
      <c r="M1224" s="103"/>
    </row>
    <row r="1225" spans="1:13" ht="11.1" customHeight="1">
      <c r="A1225" s="104" t="s">
        <v>48</v>
      </c>
      <c r="B1225" s="104"/>
      <c r="C1225" s="104"/>
      <c r="D1225" s="104"/>
      <c r="E1225" s="104"/>
      <c r="F1225" s="104"/>
      <c r="G1225" s="104"/>
      <c r="H1225" s="104"/>
      <c r="I1225" s="104"/>
      <c r="J1225" s="104"/>
      <c r="K1225" s="104"/>
      <c r="L1225" s="104"/>
      <c r="M1225" s="104"/>
    </row>
    <row r="1226" spans="1:13" ht="11.1" customHeight="1">
      <c r="A1226" s="105" t="s">
        <v>49</v>
      </c>
      <c r="B1226" s="105"/>
      <c r="C1226" s="105"/>
      <c r="D1226" s="105"/>
      <c r="E1226" s="105"/>
      <c r="F1226" s="105"/>
      <c r="G1226" s="105"/>
      <c r="H1226" s="105"/>
      <c r="I1226" s="105"/>
      <c r="J1226" s="105"/>
      <c r="K1226" s="105"/>
      <c r="L1226" s="105"/>
      <c r="M1226" s="105"/>
    </row>
    <row r="1227" spans="1:13" ht="11.1" customHeight="1">
      <c r="A1227" s="105" t="s">
        <v>50</v>
      </c>
      <c r="B1227" s="105"/>
      <c r="C1227" s="105"/>
      <c r="D1227" s="105"/>
      <c r="E1227" s="105"/>
      <c r="F1227" s="105"/>
      <c r="G1227" s="105"/>
      <c r="H1227" s="105"/>
      <c r="I1227" s="105"/>
      <c r="J1227" s="105"/>
      <c r="K1227" s="105"/>
      <c r="L1227" s="105"/>
      <c r="M1227" s="105"/>
    </row>
    <row r="1228" spans="1:13" ht="11.1" customHeight="1">
      <c r="A1228" s="104" t="s">
        <v>51</v>
      </c>
      <c r="B1228" s="104"/>
      <c r="C1228" s="104"/>
      <c r="D1228" s="104"/>
      <c r="E1228" s="104"/>
      <c r="F1228" s="104"/>
      <c r="G1228" s="104"/>
      <c r="H1228" s="104"/>
      <c r="I1228" s="104"/>
      <c r="J1228" s="104"/>
      <c r="K1228" s="104"/>
      <c r="L1228" s="104"/>
      <c r="M1228" s="104"/>
    </row>
    <row r="1229" spans="1:13" ht="11.1" customHeight="1">
      <c r="A1229" s="104" t="s">
        <v>52</v>
      </c>
      <c r="B1229" s="104"/>
      <c r="C1229" s="104"/>
      <c r="D1229" s="104"/>
      <c r="E1229" s="104"/>
      <c r="F1229" s="104"/>
      <c r="G1229" s="104"/>
      <c r="H1229" s="104"/>
      <c r="I1229" s="104"/>
      <c r="J1229" s="104"/>
      <c r="K1229" s="104"/>
      <c r="L1229" s="104"/>
      <c r="M1229" s="104"/>
    </row>
    <row r="1230" spans="1:13" ht="11.1" customHeight="1">
      <c r="A1230" s="104" t="s">
        <v>53</v>
      </c>
      <c r="B1230" s="104"/>
      <c r="C1230" s="104"/>
      <c r="D1230" s="104"/>
      <c r="E1230" s="104"/>
      <c r="F1230" s="104"/>
      <c r="G1230" s="104"/>
      <c r="H1230" s="104"/>
      <c r="I1230" s="104"/>
      <c r="J1230" s="104"/>
      <c r="K1230" s="104"/>
      <c r="L1230" s="104"/>
      <c r="M1230" s="104"/>
    </row>
    <row r="1231" spans="1:13" ht="11.1" customHeight="1">
      <c r="A1231" s="101" t="s">
        <v>54</v>
      </c>
      <c r="B1231" s="101"/>
      <c r="C1231" s="101"/>
      <c r="D1231" s="101"/>
      <c r="E1231" s="101"/>
      <c r="F1231" s="101"/>
      <c r="G1231" s="101"/>
      <c r="H1231" s="101"/>
      <c r="I1231" s="101"/>
      <c r="J1231" s="101"/>
      <c r="K1231" s="101"/>
      <c r="L1231" s="101"/>
      <c r="M1231" s="101"/>
    </row>
    <row r="1232" spans="1:13" ht="11.1" customHeight="1">
      <c r="A1232" s="101" t="s">
        <v>55</v>
      </c>
      <c r="B1232" s="101"/>
      <c r="C1232" s="101"/>
      <c r="D1232" s="101"/>
      <c r="E1232" s="101"/>
      <c r="F1232" s="101"/>
      <c r="G1232" s="101"/>
      <c r="H1232" s="101"/>
      <c r="I1232" s="101"/>
      <c r="J1232" s="101"/>
      <c r="K1232" s="101"/>
      <c r="L1232" s="101"/>
      <c r="M1232" s="101"/>
    </row>
    <row r="1233" spans="1:15" ht="19.5" customHeight="1">
      <c r="A1233" s="69" t="s">
        <v>0</v>
      </c>
      <c r="B1233" s="69"/>
      <c r="C1233" s="69"/>
      <c r="D1233" s="69"/>
      <c r="E1233" s="69"/>
      <c r="F1233" s="69"/>
      <c r="G1233" s="69"/>
      <c r="H1233" s="69"/>
      <c r="I1233" s="69"/>
      <c r="J1233" s="69"/>
      <c r="K1233" s="69"/>
      <c r="L1233" s="69"/>
      <c r="M1233" s="69"/>
    </row>
    <row r="1234" spans="1:15" ht="20.100000000000001" customHeight="1">
      <c r="A1234" s="4" t="s">
        <v>32</v>
      </c>
      <c r="B1234" s="5">
        <f>+B1190+1</f>
        <v>64</v>
      </c>
      <c r="C1234" s="48"/>
      <c r="D1234" s="48"/>
      <c r="E1234" s="48"/>
      <c r="F1234" s="48"/>
      <c r="G1234" s="48"/>
      <c r="H1234" s="48"/>
      <c r="I1234" s="48"/>
      <c r="J1234" s="48"/>
      <c r="K1234" s="48"/>
      <c r="L1234" s="48"/>
      <c r="M1234" s="48"/>
    </row>
    <row r="1235" spans="1:15" ht="24" customHeight="1" thickBot="1">
      <c r="A1235" s="4" t="s">
        <v>33</v>
      </c>
      <c r="H1235" s="70" t="s">
        <v>34</v>
      </c>
      <c r="I1235" s="70"/>
      <c r="J1235" s="70"/>
      <c r="K1235" s="102">
        <f>+K1191+1</f>
        <v>45990</v>
      </c>
      <c r="L1235" s="102"/>
      <c r="M1235" s="102"/>
      <c r="O1235" s="7"/>
    </row>
    <row r="1236" spans="1:15" ht="33.75" customHeight="1" thickBot="1">
      <c r="A1236" s="80" t="s">
        <v>1</v>
      </c>
      <c r="B1236" s="81"/>
      <c r="C1236" s="82"/>
      <c r="D1236" s="86" t="str">
        <f>+D1192</f>
        <v>光明國中B與C區5樓老舊廁所整修工程</v>
      </c>
      <c r="E1236" s="87"/>
      <c r="F1236" s="87"/>
      <c r="G1236" s="88"/>
      <c r="H1236" s="80" t="s">
        <v>2</v>
      </c>
      <c r="I1236" s="81"/>
      <c r="J1236" s="82"/>
      <c r="K1236" s="80" t="s">
        <v>35</v>
      </c>
      <c r="L1236" s="81"/>
      <c r="M1236" s="82"/>
    </row>
    <row r="1237" spans="1:15" ht="33.75" customHeight="1" thickBot="1">
      <c r="A1237" s="8" t="s">
        <v>3</v>
      </c>
      <c r="B1237" s="45">
        <f>+B1193</f>
        <v>142</v>
      </c>
      <c r="C1237" s="10" t="s">
        <v>36</v>
      </c>
      <c r="D1237" s="80" t="s">
        <v>4</v>
      </c>
      <c r="E1237" s="89"/>
      <c r="F1237" s="46">
        <f>+F1193+1</f>
        <v>64</v>
      </c>
      <c r="G1237" s="12" t="s">
        <v>36</v>
      </c>
      <c r="H1237" s="13" t="s">
        <v>5</v>
      </c>
      <c r="I1237" s="45">
        <f>+B1237-F1237</f>
        <v>78</v>
      </c>
      <c r="J1237" s="10" t="s">
        <v>36</v>
      </c>
      <c r="K1237" s="80" t="s">
        <v>6</v>
      </c>
      <c r="L1237" s="82"/>
      <c r="M1237" s="13">
        <f>+M1193</f>
        <v>12</v>
      </c>
    </row>
    <row r="1238" spans="1:15" ht="24" customHeight="1" thickBot="1">
      <c r="A1238" s="80" t="s">
        <v>7</v>
      </c>
      <c r="B1238" s="81"/>
      <c r="C1238" s="82"/>
      <c r="D1238" s="80" t="str">
        <f>+D1194</f>
        <v>114.9.27</v>
      </c>
      <c r="E1238" s="81"/>
      <c r="F1238" s="81"/>
      <c r="G1238" s="82"/>
      <c r="H1238" s="80" t="s">
        <v>8</v>
      </c>
      <c r="I1238" s="81"/>
      <c r="J1238" s="82"/>
      <c r="K1238" s="80" t="str">
        <f>+K1194</f>
        <v>115.2.15</v>
      </c>
      <c r="L1238" s="81"/>
      <c r="M1238" s="82"/>
    </row>
    <row r="1239" spans="1:15" ht="24" customHeight="1" thickBot="1">
      <c r="A1239" s="80" t="s">
        <v>37</v>
      </c>
      <c r="B1239" s="81"/>
      <c r="C1239" s="82"/>
      <c r="D1239" s="83">
        <v>0.10199999999999999</v>
      </c>
      <c r="E1239" s="84"/>
      <c r="F1239" s="84"/>
      <c r="G1239" s="85"/>
      <c r="H1239" s="80" t="s">
        <v>38</v>
      </c>
      <c r="I1239" s="81"/>
      <c r="J1239" s="82"/>
      <c r="K1239" s="83">
        <f>+K1195</f>
        <v>5.8000000000000003E-2</v>
      </c>
      <c r="L1239" s="84"/>
      <c r="M1239" s="85"/>
    </row>
    <row r="1240" spans="1:15" ht="24" customHeight="1" thickBot="1">
      <c r="A1240" s="72" t="s">
        <v>9</v>
      </c>
      <c r="B1240" s="73"/>
      <c r="C1240" s="73"/>
      <c r="D1240" s="73"/>
      <c r="E1240" s="73"/>
      <c r="F1240" s="73"/>
      <c r="G1240" s="73"/>
      <c r="H1240" s="73"/>
      <c r="I1240" s="73"/>
      <c r="J1240" s="73"/>
      <c r="K1240" s="73"/>
      <c r="L1240" s="73"/>
      <c r="M1240" s="74"/>
    </row>
    <row r="1241" spans="1:15" ht="35.25" customHeight="1" thickBot="1">
      <c r="A1241" s="75" t="s">
        <v>10</v>
      </c>
      <c r="B1241" s="76"/>
      <c r="C1241" s="76"/>
      <c r="D1241" s="77"/>
      <c r="E1241" s="14" t="s">
        <v>11</v>
      </c>
      <c r="F1241" s="75" t="s">
        <v>12</v>
      </c>
      <c r="G1241" s="77"/>
      <c r="H1241" s="75" t="s">
        <v>13</v>
      </c>
      <c r="I1241" s="77"/>
      <c r="J1241" s="78" t="s">
        <v>14</v>
      </c>
      <c r="K1241" s="79"/>
      <c r="L1241" s="75" t="s">
        <v>15</v>
      </c>
      <c r="M1241" s="77"/>
    </row>
    <row r="1242" spans="1:15" ht="27.95" customHeight="1" thickBot="1">
      <c r="A1242" s="141"/>
      <c r="B1242" s="142"/>
      <c r="C1242" s="142"/>
      <c r="D1242" s="143"/>
      <c r="E1242" s="2"/>
      <c r="F1242" s="56"/>
      <c r="G1242" s="57"/>
      <c r="H1242" s="56"/>
      <c r="I1242" s="57"/>
      <c r="J1242" s="56"/>
      <c r="K1242" s="57"/>
      <c r="L1242" s="58"/>
      <c r="M1242" s="59"/>
    </row>
    <row r="1243" spans="1:15" ht="27.95" customHeight="1" thickBot="1">
      <c r="A1243" s="141"/>
      <c r="B1243" s="142"/>
      <c r="C1243" s="142"/>
      <c r="D1243" s="143"/>
      <c r="E1243" s="15"/>
      <c r="F1243" s="56"/>
      <c r="G1243" s="57"/>
      <c r="H1243" s="56"/>
      <c r="I1243" s="57"/>
      <c r="J1243" s="56"/>
      <c r="K1243" s="57"/>
      <c r="L1243" s="58"/>
      <c r="M1243" s="59"/>
    </row>
    <row r="1244" spans="1:15" ht="24.95" customHeight="1" thickTop="1" thickBot="1">
      <c r="A1244" s="130" t="s">
        <v>16</v>
      </c>
      <c r="B1244" s="67"/>
      <c r="C1244" s="67"/>
      <c r="D1244" s="68"/>
      <c r="E1244" s="47"/>
      <c r="F1244" s="131"/>
      <c r="G1244" s="132"/>
      <c r="H1244" s="131"/>
      <c r="I1244" s="132"/>
      <c r="J1244" s="131"/>
      <c r="K1244" s="132"/>
      <c r="L1244" s="131"/>
      <c r="M1244" s="133"/>
    </row>
    <row r="1245" spans="1:15" ht="24.95" customHeight="1" thickBot="1">
      <c r="A1245" s="134" t="s">
        <v>17</v>
      </c>
      <c r="B1245" s="135"/>
      <c r="C1245" s="135"/>
      <c r="D1245" s="59"/>
      <c r="E1245" s="47"/>
      <c r="F1245" s="58"/>
      <c r="G1245" s="59"/>
      <c r="H1245" s="58"/>
      <c r="I1245" s="59"/>
      <c r="J1245" s="58"/>
      <c r="K1245" s="59"/>
      <c r="L1245" s="58"/>
      <c r="M1245" s="136"/>
    </row>
    <row r="1246" spans="1:15" ht="24.95" customHeight="1" thickBot="1">
      <c r="A1246" s="118" t="s">
        <v>18</v>
      </c>
      <c r="B1246" s="119"/>
      <c r="C1246" s="119"/>
      <c r="D1246" s="120"/>
      <c r="E1246" s="24"/>
      <c r="F1246" s="121"/>
      <c r="G1246" s="120"/>
      <c r="H1246" s="121"/>
      <c r="I1246" s="120"/>
      <c r="J1246" s="121"/>
      <c r="K1246" s="120"/>
      <c r="L1246" s="121"/>
      <c r="M1246" s="122"/>
    </row>
    <row r="1247" spans="1:15" ht="24" customHeight="1" thickTop="1" thickBot="1">
      <c r="A1247" s="66" t="s">
        <v>19</v>
      </c>
      <c r="B1247" s="67"/>
      <c r="C1247" s="67"/>
      <c r="D1247" s="67"/>
      <c r="E1247" s="67"/>
      <c r="F1247" s="67"/>
      <c r="G1247" s="67"/>
      <c r="H1247" s="67"/>
      <c r="I1247" s="67"/>
      <c r="J1247" s="67"/>
      <c r="K1247" s="67"/>
      <c r="L1247" s="67"/>
      <c r="M1247" s="68"/>
    </row>
    <row r="1248" spans="1:15" ht="35.25" customHeight="1" thickBot="1">
      <c r="A1248" s="75" t="s">
        <v>20</v>
      </c>
      <c r="B1248" s="76"/>
      <c r="C1248" s="76"/>
      <c r="D1248" s="77"/>
      <c r="E1248" s="14" t="s">
        <v>11</v>
      </c>
      <c r="F1248" s="75" t="s">
        <v>39</v>
      </c>
      <c r="G1248" s="77"/>
      <c r="H1248" s="75" t="s">
        <v>21</v>
      </c>
      <c r="I1248" s="77"/>
      <c r="J1248" s="78" t="s">
        <v>22</v>
      </c>
      <c r="K1248" s="79"/>
      <c r="L1248" s="75" t="s">
        <v>15</v>
      </c>
      <c r="M1248" s="77"/>
    </row>
    <row r="1249" spans="1:13" ht="24" customHeight="1" thickBot="1">
      <c r="A1249" s="96"/>
      <c r="B1249" s="97"/>
      <c r="C1249" s="97"/>
      <c r="D1249" s="98"/>
      <c r="E1249" s="47"/>
      <c r="F1249" s="58"/>
      <c r="G1249" s="59"/>
      <c r="H1249" s="58"/>
      <c r="I1249" s="59"/>
      <c r="J1249" s="56"/>
      <c r="K1249" s="57"/>
      <c r="L1249" s="58"/>
      <c r="M1249" s="59"/>
    </row>
    <row r="1250" spans="1:13" ht="24" customHeight="1" thickBot="1">
      <c r="A1250" s="96"/>
      <c r="B1250" s="97"/>
      <c r="C1250" s="97"/>
      <c r="D1250" s="98"/>
      <c r="E1250" s="47"/>
      <c r="F1250" s="58"/>
      <c r="G1250" s="59"/>
      <c r="H1250" s="58"/>
      <c r="I1250" s="59"/>
      <c r="J1250" s="56"/>
      <c r="K1250" s="57"/>
      <c r="L1250" s="58"/>
      <c r="M1250" s="59"/>
    </row>
    <row r="1251" spans="1:13" ht="24" customHeight="1" thickBot="1">
      <c r="A1251" s="60" t="s">
        <v>23</v>
      </c>
      <c r="B1251" s="61"/>
      <c r="C1251" s="61"/>
      <c r="D1251" s="61"/>
      <c r="E1251" s="61"/>
      <c r="F1251" s="61"/>
      <c r="G1251" s="61"/>
      <c r="H1251" s="61"/>
      <c r="I1251" s="61"/>
      <c r="J1251" s="61"/>
      <c r="K1251" s="61"/>
      <c r="L1251" s="61"/>
      <c r="M1251" s="62"/>
    </row>
    <row r="1252" spans="1:13" ht="35.25" customHeight="1" thickBot="1">
      <c r="A1252" s="75" t="s">
        <v>24</v>
      </c>
      <c r="B1252" s="77"/>
      <c r="C1252" s="75" t="s">
        <v>25</v>
      </c>
      <c r="D1252" s="77"/>
      <c r="E1252" s="75" t="s">
        <v>26</v>
      </c>
      <c r="F1252" s="76"/>
      <c r="G1252" s="77"/>
      <c r="H1252" s="75" t="s">
        <v>27</v>
      </c>
      <c r="I1252" s="77"/>
      <c r="J1252" s="78" t="s">
        <v>21</v>
      </c>
      <c r="K1252" s="79"/>
      <c r="L1252" s="75" t="s">
        <v>22</v>
      </c>
      <c r="M1252" s="77"/>
    </row>
    <row r="1253" spans="1:13" s="18" customFormat="1" ht="24.75" customHeight="1" thickBot="1">
      <c r="A1253" s="99"/>
      <c r="B1253" s="98"/>
      <c r="C1253" s="56"/>
      <c r="D1253" s="57"/>
      <c r="E1253" s="56"/>
      <c r="F1253" s="100"/>
      <c r="G1253" s="57"/>
      <c r="H1253" s="56"/>
      <c r="I1253" s="57"/>
      <c r="J1253" s="56"/>
      <c r="K1253" s="57"/>
      <c r="L1253" s="56"/>
      <c r="M1253" s="57"/>
    </row>
    <row r="1254" spans="1:13" s="18" customFormat="1" ht="24.75" customHeight="1" thickBot="1">
      <c r="A1254" s="99"/>
      <c r="B1254" s="98"/>
      <c r="C1254" s="56"/>
      <c r="D1254" s="57"/>
      <c r="E1254" s="56"/>
      <c r="F1254" s="100"/>
      <c r="G1254" s="57"/>
      <c r="H1254" s="56"/>
      <c r="I1254" s="57"/>
      <c r="J1254" s="56"/>
      <c r="K1254" s="57"/>
      <c r="L1254" s="56"/>
      <c r="M1254" s="57"/>
    </row>
    <row r="1255" spans="1:13" ht="33" customHeight="1" thickBot="1">
      <c r="A1255" s="112" t="s">
        <v>40</v>
      </c>
      <c r="B1255" s="113"/>
      <c r="C1255" s="113"/>
      <c r="D1255" s="113"/>
      <c r="E1255" s="113"/>
      <c r="F1255" s="113"/>
      <c r="G1255" s="113"/>
      <c r="H1255" s="113"/>
      <c r="I1255" s="113"/>
      <c r="J1255" s="113"/>
      <c r="K1255" s="113"/>
      <c r="L1255" s="113"/>
      <c r="M1255" s="114"/>
    </row>
    <row r="1256" spans="1:13" ht="16.5" customHeight="1">
      <c r="A1256" s="115" t="s">
        <v>41</v>
      </c>
      <c r="B1256" s="116"/>
      <c r="C1256" s="116"/>
      <c r="D1256" s="116"/>
      <c r="E1256" s="116"/>
      <c r="F1256" s="116"/>
      <c r="G1256" s="116"/>
      <c r="H1256" s="116"/>
      <c r="I1256" s="116"/>
      <c r="J1256" s="116"/>
      <c r="K1256" s="116"/>
      <c r="L1256" s="116"/>
      <c r="M1256" s="117"/>
    </row>
    <row r="1257" spans="1:13" ht="16.5" customHeight="1">
      <c r="A1257" s="90" t="s">
        <v>28</v>
      </c>
      <c r="B1257" s="91"/>
      <c r="C1257" s="91"/>
      <c r="D1257" s="91"/>
      <c r="E1257" s="91"/>
      <c r="F1257" s="91"/>
      <c r="G1257" s="91"/>
      <c r="H1257" s="91"/>
      <c r="I1257" s="91"/>
      <c r="J1257" s="91"/>
      <c r="K1257" s="91"/>
      <c r="L1257" s="91"/>
      <c r="M1257" s="92"/>
    </row>
    <row r="1258" spans="1:13" s="1" customFormat="1" ht="16.5" customHeight="1">
      <c r="A1258" s="93" t="s">
        <v>56</v>
      </c>
      <c r="B1258" s="94"/>
      <c r="C1258" s="94"/>
      <c r="D1258" s="94"/>
      <c r="E1258" s="94"/>
      <c r="F1258" s="94"/>
      <c r="G1258" s="94"/>
      <c r="H1258" s="94"/>
      <c r="I1258" s="94"/>
      <c r="J1258" s="94"/>
      <c r="K1258" s="94"/>
      <c r="L1258" s="94"/>
      <c r="M1258" s="95"/>
    </row>
    <row r="1259" spans="1:13" s="1" customFormat="1" ht="16.5" customHeight="1">
      <c r="A1259" s="93" t="s">
        <v>57</v>
      </c>
      <c r="B1259" s="94"/>
      <c r="C1259" s="94"/>
      <c r="D1259" s="94"/>
      <c r="E1259" s="94"/>
      <c r="F1259" s="94"/>
      <c r="G1259" s="94"/>
      <c r="H1259" s="94"/>
      <c r="I1259" s="94"/>
      <c r="J1259" s="94"/>
      <c r="K1259" s="94"/>
      <c r="L1259" s="94"/>
      <c r="M1259" s="95"/>
    </row>
    <row r="1260" spans="1:13" s="1" customFormat="1" ht="16.5" customHeight="1">
      <c r="A1260" s="93" t="s">
        <v>58</v>
      </c>
      <c r="B1260" s="94"/>
      <c r="C1260" s="94"/>
      <c r="D1260" s="94"/>
      <c r="E1260" s="94"/>
      <c r="F1260" s="94"/>
      <c r="G1260" s="94"/>
      <c r="H1260" s="94"/>
      <c r="I1260" s="94"/>
      <c r="J1260" s="94"/>
      <c r="K1260" s="94"/>
      <c r="L1260" s="94"/>
      <c r="M1260" s="95"/>
    </row>
    <row r="1261" spans="1:13" s="1" customFormat="1" ht="16.5" customHeight="1">
      <c r="A1261" s="93" t="s">
        <v>59</v>
      </c>
      <c r="B1261" s="94"/>
      <c r="C1261" s="94"/>
      <c r="D1261" s="94"/>
      <c r="E1261" s="94"/>
      <c r="F1261" s="94"/>
      <c r="G1261" s="94"/>
      <c r="H1261" s="94"/>
      <c r="I1261" s="94"/>
      <c r="J1261" s="94"/>
      <c r="K1261" s="94"/>
      <c r="L1261" s="94"/>
      <c r="M1261" s="95"/>
    </row>
    <row r="1262" spans="1:13" ht="16.5" customHeight="1">
      <c r="A1262" s="106" t="s">
        <v>29</v>
      </c>
      <c r="B1262" s="107"/>
      <c r="C1262" s="107"/>
      <c r="D1262" s="107"/>
      <c r="E1262" s="107"/>
      <c r="F1262" s="107"/>
      <c r="G1262" s="107"/>
      <c r="H1262" s="107"/>
      <c r="I1262" s="107"/>
      <c r="J1262" s="107"/>
      <c r="K1262" s="107"/>
      <c r="L1262" s="107"/>
      <c r="M1262" s="108"/>
    </row>
    <row r="1263" spans="1:13" ht="9.75" customHeight="1" thickBot="1">
      <c r="A1263" s="109"/>
      <c r="B1263" s="110"/>
      <c r="C1263" s="110"/>
      <c r="D1263" s="110"/>
      <c r="E1263" s="110"/>
      <c r="F1263" s="110"/>
      <c r="G1263" s="110"/>
      <c r="H1263" s="110"/>
      <c r="I1263" s="110"/>
      <c r="J1263" s="110"/>
      <c r="K1263" s="110"/>
      <c r="L1263" s="110"/>
      <c r="M1263" s="111"/>
    </row>
    <row r="1264" spans="1:13" ht="18.75" customHeight="1" thickBot="1">
      <c r="A1264" s="72" t="s">
        <v>30</v>
      </c>
      <c r="B1264" s="73"/>
      <c r="C1264" s="73"/>
      <c r="D1264" s="73"/>
      <c r="E1264" s="73"/>
      <c r="F1264" s="73"/>
      <c r="G1264" s="73"/>
      <c r="H1264" s="73"/>
      <c r="I1264" s="73"/>
      <c r="J1264" s="73"/>
      <c r="K1264" s="73"/>
      <c r="L1264" s="73"/>
      <c r="M1264" s="74"/>
    </row>
    <row r="1265" spans="1:15" ht="24" customHeight="1" thickBot="1">
      <c r="A1265" s="72" t="s">
        <v>31</v>
      </c>
      <c r="B1265" s="73"/>
      <c r="C1265" s="73"/>
      <c r="D1265" s="73"/>
      <c r="E1265" s="73"/>
      <c r="F1265" s="73"/>
      <c r="G1265" s="73"/>
      <c r="H1265" s="73"/>
      <c r="I1265" s="73"/>
      <c r="J1265" s="73"/>
      <c r="K1265" s="73"/>
      <c r="L1265" s="73"/>
      <c r="M1265" s="74"/>
    </row>
    <row r="1266" spans="1:15" ht="24" customHeight="1" thickBot="1">
      <c r="A1266" s="72" t="s">
        <v>62</v>
      </c>
      <c r="B1266" s="73"/>
      <c r="C1266" s="73"/>
      <c r="D1266" s="73"/>
      <c r="E1266" s="73"/>
      <c r="F1266" s="73"/>
      <c r="G1266" s="73"/>
      <c r="H1266" s="73"/>
      <c r="I1266" s="73"/>
      <c r="J1266" s="73"/>
      <c r="K1266" s="73"/>
      <c r="L1266" s="73"/>
      <c r="M1266" s="74"/>
    </row>
    <row r="1267" spans="1:15" ht="24" customHeight="1" thickBot="1">
      <c r="A1267" s="60" t="s">
        <v>46</v>
      </c>
      <c r="B1267" s="61"/>
      <c r="C1267" s="61"/>
      <c r="D1267" s="61"/>
      <c r="E1267" s="61"/>
      <c r="F1267" s="61"/>
      <c r="G1267" s="61"/>
      <c r="H1267" s="61"/>
      <c r="I1267" s="61"/>
      <c r="J1267" s="61"/>
      <c r="K1267" s="61"/>
      <c r="L1267" s="61"/>
      <c r="M1267" s="62"/>
    </row>
    <row r="1268" spans="1:15" ht="11.1" customHeight="1">
      <c r="A1268" s="103" t="s">
        <v>47</v>
      </c>
      <c r="B1268" s="103"/>
      <c r="C1268" s="103"/>
      <c r="D1268" s="103"/>
      <c r="E1268" s="103"/>
      <c r="F1268" s="103"/>
      <c r="G1268" s="103"/>
      <c r="H1268" s="103"/>
      <c r="I1268" s="103"/>
      <c r="J1268" s="103"/>
      <c r="K1268" s="103"/>
      <c r="L1268" s="103"/>
      <c r="M1268" s="103"/>
    </row>
    <row r="1269" spans="1:15" ht="11.1" customHeight="1">
      <c r="A1269" s="104" t="s">
        <v>48</v>
      </c>
      <c r="B1269" s="104"/>
      <c r="C1269" s="104"/>
      <c r="D1269" s="104"/>
      <c r="E1269" s="104"/>
      <c r="F1269" s="104"/>
      <c r="G1269" s="104"/>
      <c r="H1269" s="104"/>
      <c r="I1269" s="104"/>
      <c r="J1269" s="104"/>
      <c r="K1269" s="104"/>
      <c r="L1269" s="104"/>
      <c r="M1269" s="104"/>
    </row>
    <row r="1270" spans="1:15" ht="11.1" customHeight="1">
      <c r="A1270" s="105" t="s">
        <v>49</v>
      </c>
      <c r="B1270" s="105"/>
      <c r="C1270" s="105"/>
      <c r="D1270" s="105"/>
      <c r="E1270" s="105"/>
      <c r="F1270" s="105"/>
      <c r="G1270" s="105"/>
      <c r="H1270" s="105"/>
      <c r="I1270" s="105"/>
      <c r="J1270" s="105"/>
      <c r="K1270" s="105"/>
      <c r="L1270" s="105"/>
      <c r="M1270" s="105"/>
    </row>
    <row r="1271" spans="1:15" ht="11.1" customHeight="1">
      <c r="A1271" s="105" t="s">
        <v>50</v>
      </c>
      <c r="B1271" s="105"/>
      <c r="C1271" s="105"/>
      <c r="D1271" s="105"/>
      <c r="E1271" s="105"/>
      <c r="F1271" s="105"/>
      <c r="G1271" s="105"/>
      <c r="H1271" s="105"/>
      <c r="I1271" s="105"/>
      <c r="J1271" s="105"/>
      <c r="K1271" s="105"/>
      <c r="L1271" s="105"/>
      <c r="M1271" s="105"/>
    </row>
    <row r="1272" spans="1:15" ht="11.1" customHeight="1">
      <c r="A1272" s="104" t="s">
        <v>51</v>
      </c>
      <c r="B1272" s="104"/>
      <c r="C1272" s="104"/>
      <c r="D1272" s="104"/>
      <c r="E1272" s="104"/>
      <c r="F1272" s="104"/>
      <c r="G1272" s="104"/>
      <c r="H1272" s="104"/>
      <c r="I1272" s="104"/>
      <c r="J1272" s="104"/>
      <c r="K1272" s="104"/>
      <c r="L1272" s="104"/>
      <c r="M1272" s="104"/>
    </row>
    <row r="1273" spans="1:15" ht="11.1" customHeight="1">
      <c r="A1273" s="104" t="s">
        <v>52</v>
      </c>
      <c r="B1273" s="104"/>
      <c r="C1273" s="104"/>
      <c r="D1273" s="104"/>
      <c r="E1273" s="104"/>
      <c r="F1273" s="104"/>
      <c r="G1273" s="104"/>
      <c r="H1273" s="104"/>
      <c r="I1273" s="104"/>
      <c r="J1273" s="104"/>
      <c r="K1273" s="104"/>
      <c r="L1273" s="104"/>
      <c r="M1273" s="104"/>
    </row>
    <row r="1274" spans="1:15" ht="11.1" customHeight="1">
      <c r="A1274" s="104" t="s">
        <v>53</v>
      </c>
      <c r="B1274" s="104"/>
      <c r="C1274" s="104"/>
      <c r="D1274" s="104"/>
      <c r="E1274" s="104"/>
      <c r="F1274" s="104"/>
      <c r="G1274" s="104"/>
      <c r="H1274" s="104"/>
      <c r="I1274" s="104"/>
      <c r="J1274" s="104"/>
      <c r="K1274" s="104"/>
      <c r="L1274" s="104"/>
      <c r="M1274" s="104"/>
    </row>
    <row r="1275" spans="1:15" ht="11.1" customHeight="1">
      <c r="A1275" s="101" t="s">
        <v>54</v>
      </c>
      <c r="B1275" s="101"/>
      <c r="C1275" s="101"/>
      <c r="D1275" s="101"/>
      <c r="E1275" s="101"/>
      <c r="F1275" s="101"/>
      <c r="G1275" s="101"/>
      <c r="H1275" s="101"/>
      <c r="I1275" s="101"/>
      <c r="J1275" s="101"/>
      <c r="K1275" s="101"/>
      <c r="L1275" s="101"/>
      <c r="M1275" s="101"/>
    </row>
    <row r="1276" spans="1:15" ht="11.1" customHeight="1">
      <c r="A1276" s="101" t="s">
        <v>55</v>
      </c>
      <c r="B1276" s="101"/>
      <c r="C1276" s="101"/>
      <c r="D1276" s="101"/>
      <c r="E1276" s="101"/>
      <c r="F1276" s="101"/>
      <c r="G1276" s="101"/>
      <c r="H1276" s="101"/>
      <c r="I1276" s="101"/>
      <c r="J1276" s="101"/>
      <c r="K1276" s="101"/>
      <c r="L1276" s="101"/>
      <c r="M1276" s="101"/>
    </row>
    <row r="1277" spans="1:15" ht="19.5" customHeight="1">
      <c r="A1277" s="69" t="s">
        <v>0</v>
      </c>
      <c r="B1277" s="69"/>
      <c r="C1277" s="69"/>
      <c r="D1277" s="69"/>
      <c r="E1277" s="69"/>
      <c r="F1277" s="69"/>
      <c r="G1277" s="69"/>
      <c r="H1277" s="69"/>
      <c r="I1277" s="69"/>
      <c r="J1277" s="69"/>
      <c r="K1277" s="69"/>
      <c r="L1277" s="69"/>
      <c r="M1277" s="69"/>
    </row>
    <row r="1278" spans="1:15" ht="20.100000000000001" customHeight="1">
      <c r="A1278" s="4" t="s">
        <v>32</v>
      </c>
      <c r="B1278" s="5">
        <f>+B1234+1</f>
        <v>65</v>
      </c>
      <c r="C1278" s="48"/>
      <c r="D1278" s="48"/>
      <c r="E1278" s="48"/>
      <c r="F1278" s="48"/>
      <c r="G1278" s="48"/>
      <c r="H1278" s="48"/>
      <c r="I1278" s="48"/>
      <c r="J1278" s="48"/>
      <c r="K1278" s="48"/>
      <c r="L1278" s="48"/>
      <c r="M1278" s="48"/>
    </row>
    <row r="1279" spans="1:15" ht="24" customHeight="1" thickBot="1">
      <c r="A1279" s="4" t="s">
        <v>33</v>
      </c>
      <c r="H1279" s="70" t="s">
        <v>34</v>
      </c>
      <c r="I1279" s="70"/>
      <c r="J1279" s="70"/>
      <c r="K1279" s="102">
        <f>+K1235+1</f>
        <v>45991</v>
      </c>
      <c r="L1279" s="102"/>
      <c r="M1279" s="102"/>
      <c r="O1279" s="7"/>
    </row>
    <row r="1280" spans="1:15" ht="33.75" customHeight="1" thickBot="1">
      <c r="A1280" s="80" t="s">
        <v>1</v>
      </c>
      <c r="B1280" s="81"/>
      <c r="C1280" s="82"/>
      <c r="D1280" s="86" t="str">
        <f>+D1236</f>
        <v>光明國中B與C區5樓老舊廁所整修工程</v>
      </c>
      <c r="E1280" s="87"/>
      <c r="F1280" s="87"/>
      <c r="G1280" s="88"/>
      <c r="H1280" s="80" t="s">
        <v>2</v>
      </c>
      <c r="I1280" s="81"/>
      <c r="J1280" s="82"/>
      <c r="K1280" s="80" t="s">
        <v>35</v>
      </c>
      <c r="L1280" s="81"/>
      <c r="M1280" s="82"/>
    </row>
    <row r="1281" spans="1:13" ht="33.75" customHeight="1" thickBot="1">
      <c r="A1281" s="8" t="s">
        <v>3</v>
      </c>
      <c r="B1281" s="45">
        <f>+B1237</f>
        <v>142</v>
      </c>
      <c r="C1281" s="10" t="s">
        <v>36</v>
      </c>
      <c r="D1281" s="80" t="s">
        <v>4</v>
      </c>
      <c r="E1281" s="89"/>
      <c r="F1281" s="46">
        <f>+F1237+1</f>
        <v>65</v>
      </c>
      <c r="G1281" s="12" t="s">
        <v>36</v>
      </c>
      <c r="H1281" s="13" t="s">
        <v>5</v>
      </c>
      <c r="I1281" s="45">
        <f>+B1281-F1281</f>
        <v>77</v>
      </c>
      <c r="J1281" s="10" t="s">
        <v>36</v>
      </c>
      <c r="K1281" s="80" t="s">
        <v>6</v>
      </c>
      <c r="L1281" s="82"/>
      <c r="M1281" s="13">
        <f>+M1237</f>
        <v>12</v>
      </c>
    </row>
    <row r="1282" spans="1:13" ht="24" customHeight="1" thickBot="1">
      <c r="A1282" s="80" t="s">
        <v>7</v>
      </c>
      <c r="B1282" s="81"/>
      <c r="C1282" s="82"/>
      <c r="D1282" s="80" t="str">
        <f>+D1238</f>
        <v>114.9.27</v>
      </c>
      <c r="E1282" s="81"/>
      <c r="F1282" s="81"/>
      <c r="G1282" s="82"/>
      <c r="H1282" s="80" t="s">
        <v>8</v>
      </c>
      <c r="I1282" s="81"/>
      <c r="J1282" s="82"/>
      <c r="K1282" s="80" t="str">
        <f>+K1238</f>
        <v>115.2.15</v>
      </c>
      <c r="L1282" s="81"/>
      <c r="M1282" s="82"/>
    </row>
    <row r="1283" spans="1:13" ht="24" customHeight="1" thickBot="1">
      <c r="A1283" s="80" t="s">
        <v>37</v>
      </c>
      <c r="B1283" s="81"/>
      <c r="C1283" s="82"/>
      <c r="D1283" s="83">
        <v>0.108</v>
      </c>
      <c r="E1283" s="84"/>
      <c r="F1283" s="84"/>
      <c r="G1283" s="85"/>
      <c r="H1283" s="80" t="s">
        <v>38</v>
      </c>
      <c r="I1283" s="81"/>
      <c r="J1283" s="82"/>
      <c r="K1283" s="83">
        <f>+K1239</f>
        <v>5.8000000000000003E-2</v>
      </c>
      <c r="L1283" s="84"/>
      <c r="M1283" s="85"/>
    </row>
    <row r="1284" spans="1:13" ht="24" customHeight="1" thickBot="1">
      <c r="A1284" s="72" t="s">
        <v>9</v>
      </c>
      <c r="B1284" s="73"/>
      <c r="C1284" s="73"/>
      <c r="D1284" s="73"/>
      <c r="E1284" s="73"/>
      <c r="F1284" s="73"/>
      <c r="G1284" s="73"/>
      <c r="H1284" s="73"/>
      <c r="I1284" s="73"/>
      <c r="J1284" s="73"/>
      <c r="K1284" s="73"/>
      <c r="L1284" s="73"/>
      <c r="M1284" s="74"/>
    </row>
    <row r="1285" spans="1:13" ht="35.25" customHeight="1" thickBot="1">
      <c r="A1285" s="75" t="s">
        <v>10</v>
      </c>
      <c r="B1285" s="76"/>
      <c r="C1285" s="76"/>
      <c r="D1285" s="77"/>
      <c r="E1285" s="14" t="s">
        <v>11</v>
      </c>
      <c r="F1285" s="75" t="s">
        <v>12</v>
      </c>
      <c r="G1285" s="77"/>
      <c r="H1285" s="75" t="s">
        <v>13</v>
      </c>
      <c r="I1285" s="77"/>
      <c r="J1285" s="78" t="s">
        <v>14</v>
      </c>
      <c r="K1285" s="79"/>
      <c r="L1285" s="75" t="s">
        <v>15</v>
      </c>
      <c r="M1285" s="77"/>
    </row>
    <row r="1286" spans="1:13" ht="27.95" customHeight="1" thickBot="1">
      <c r="A1286" s="141"/>
      <c r="B1286" s="142"/>
      <c r="C1286" s="142"/>
      <c r="D1286" s="143"/>
      <c r="E1286" s="2"/>
      <c r="F1286" s="56"/>
      <c r="G1286" s="57"/>
      <c r="H1286" s="56"/>
      <c r="I1286" s="57"/>
      <c r="J1286" s="56"/>
      <c r="K1286" s="57"/>
      <c r="L1286" s="58"/>
      <c r="M1286" s="59"/>
    </row>
    <row r="1287" spans="1:13" ht="27.95" customHeight="1" thickBot="1">
      <c r="A1287" s="141"/>
      <c r="B1287" s="142"/>
      <c r="C1287" s="142"/>
      <c r="D1287" s="143"/>
      <c r="E1287" s="15"/>
      <c r="F1287" s="56"/>
      <c r="G1287" s="57"/>
      <c r="H1287" s="56"/>
      <c r="I1287" s="57"/>
      <c r="J1287" s="56"/>
      <c r="K1287" s="57"/>
      <c r="L1287" s="58"/>
      <c r="M1287" s="59"/>
    </row>
    <row r="1288" spans="1:13" ht="24.95" customHeight="1" thickTop="1" thickBot="1">
      <c r="A1288" s="130" t="s">
        <v>16</v>
      </c>
      <c r="B1288" s="67"/>
      <c r="C1288" s="67"/>
      <c r="D1288" s="68"/>
      <c r="E1288" s="47"/>
      <c r="F1288" s="131"/>
      <c r="G1288" s="132"/>
      <c r="H1288" s="131"/>
      <c r="I1288" s="132"/>
      <c r="J1288" s="131"/>
      <c r="K1288" s="132"/>
      <c r="L1288" s="131"/>
      <c r="M1288" s="133"/>
    </row>
    <row r="1289" spans="1:13" ht="24.95" customHeight="1" thickBot="1">
      <c r="A1289" s="134" t="s">
        <v>17</v>
      </c>
      <c r="B1289" s="135"/>
      <c r="C1289" s="135"/>
      <c r="D1289" s="59"/>
      <c r="E1289" s="47"/>
      <c r="F1289" s="58"/>
      <c r="G1289" s="59"/>
      <c r="H1289" s="58"/>
      <c r="I1289" s="59"/>
      <c r="J1289" s="58"/>
      <c r="K1289" s="59"/>
      <c r="L1289" s="58"/>
      <c r="M1289" s="136"/>
    </row>
    <row r="1290" spans="1:13" ht="24.95" customHeight="1" thickBot="1">
      <c r="A1290" s="118" t="s">
        <v>18</v>
      </c>
      <c r="B1290" s="119"/>
      <c r="C1290" s="119"/>
      <c r="D1290" s="120"/>
      <c r="E1290" s="24"/>
      <c r="F1290" s="121"/>
      <c r="G1290" s="120"/>
      <c r="H1290" s="121"/>
      <c r="I1290" s="120"/>
      <c r="J1290" s="121"/>
      <c r="K1290" s="120"/>
      <c r="L1290" s="121"/>
      <c r="M1290" s="122"/>
    </row>
    <row r="1291" spans="1:13" ht="24" customHeight="1" thickTop="1" thickBot="1">
      <c r="A1291" s="66" t="s">
        <v>19</v>
      </c>
      <c r="B1291" s="67"/>
      <c r="C1291" s="67"/>
      <c r="D1291" s="67"/>
      <c r="E1291" s="67"/>
      <c r="F1291" s="67"/>
      <c r="G1291" s="67"/>
      <c r="H1291" s="67"/>
      <c r="I1291" s="67"/>
      <c r="J1291" s="67"/>
      <c r="K1291" s="67"/>
      <c r="L1291" s="67"/>
      <c r="M1291" s="68"/>
    </row>
    <row r="1292" spans="1:13" ht="35.25" customHeight="1" thickBot="1">
      <c r="A1292" s="75" t="s">
        <v>20</v>
      </c>
      <c r="B1292" s="76"/>
      <c r="C1292" s="76"/>
      <c r="D1292" s="77"/>
      <c r="E1292" s="14" t="s">
        <v>11</v>
      </c>
      <c r="F1292" s="75" t="s">
        <v>39</v>
      </c>
      <c r="G1292" s="77"/>
      <c r="H1292" s="75" t="s">
        <v>21</v>
      </c>
      <c r="I1292" s="77"/>
      <c r="J1292" s="78" t="s">
        <v>22</v>
      </c>
      <c r="K1292" s="79"/>
      <c r="L1292" s="75" t="s">
        <v>15</v>
      </c>
      <c r="M1292" s="77"/>
    </row>
    <row r="1293" spans="1:13" ht="24" customHeight="1" thickBot="1">
      <c r="A1293" s="96"/>
      <c r="B1293" s="97"/>
      <c r="C1293" s="97"/>
      <c r="D1293" s="98"/>
      <c r="E1293" s="47"/>
      <c r="F1293" s="58"/>
      <c r="G1293" s="59"/>
      <c r="H1293" s="58"/>
      <c r="I1293" s="59"/>
      <c r="J1293" s="56"/>
      <c r="K1293" s="57"/>
      <c r="L1293" s="58"/>
      <c r="M1293" s="59"/>
    </row>
    <row r="1294" spans="1:13" ht="24" customHeight="1" thickBot="1">
      <c r="A1294" s="96"/>
      <c r="B1294" s="97"/>
      <c r="C1294" s="97"/>
      <c r="D1294" s="98"/>
      <c r="E1294" s="47"/>
      <c r="F1294" s="58"/>
      <c r="G1294" s="59"/>
      <c r="H1294" s="58"/>
      <c r="I1294" s="59"/>
      <c r="J1294" s="56"/>
      <c r="K1294" s="57"/>
      <c r="L1294" s="58"/>
      <c r="M1294" s="59"/>
    </row>
    <row r="1295" spans="1:13" ht="24" customHeight="1" thickBot="1">
      <c r="A1295" s="60" t="s">
        <v>23</v>
      </c>
      <c r="B1295" s="61"/>
      <c r="C1295" s="61"/>
      <c r="D1295" s="61"/>
      <c r="E1295" s="61"/>
      <c r="F1295" s="61"/>
      <c r="G1295" s="61"/>
      <c r="H1295" s="61"/>
      <c r="I1295" s="61"/>
      <c r="J1295" s="61"/>
      <c r="K1295" s="61"/>
      <c r="L1295" s="61"/>
      <c r="M1295" s="62"/>
    </row>
    <row r="1296" spans="1:13" ht="35.25" customHeight="1" thickBot="1">
      <c r="A1296" s="75" t="s">
        <v>24</v>
      </c>
      <c r="B1296" s="77"/>
      <c r="C1296" s="75" t="s">
        <v>25</v>
      </c>
      <c r="D1296" s="77"/>
      <c r="E1296" s="75" t="s">
        <v>26</v>
      </c>
      <c r="F1296" s="76"/>
      <c r="G1296" s="77"/>
      <c r="H1296" s="75" t="s">
        <v>27</v>
      </c>
      <c r="I1296" s="77"/>
      <c r="J1296" s="78" t="s">
        <v>21</v>
      </c>
      <c r="K1296" s="79"/>
      <c r="L1296" s="75" t="s">
        <v>22</v>
      </c>
      <c r="M1296" s="77"/>
    </row>
    <row r="1297" spans="1:13" s="18" customFormat="1" ht="24.75" customHeight="1" thickBot="1">
      <c r="A1297" s="99"/>
      <c r="B1297" s="98"/>
      <c r="C1297" s="56"/>
      <c r="D1297" s="57"/>
      <c r="E1297" s="56"/>
      <c r="F1297" s="100"/>
      <c r="G1297" s="57"/>
      <c r="H1297" s="56"/>
      <c r="I1297" s="57"/>
      <c r="J1297" s="56"/>
      <c r="K1297" s="57"/>
      <c r="L1297" s="56"/>
      <c r="M1297" s="57"/>
    </row>
    <row r="1298" spans="1:13" s="18" customFormat="1" ht="24.75" customHeight="1" thickBot="1">
      <c r="A1298" s="99"/>
      <c r="B1298" s="98"/>
      <c r="C1298" s="56"/>
      <c r="D1298" s="57"/>
      <c r="E1298" s="56"/>
      <c r="F1298" s="100"/>
      <c r="G1298" s="57"/>
      <c r="H1298" s="56"/>
      <c r="I1298" s="57"/>
      <c r="J1298" s="56"/>
      <c r="K1298" s="57"/>
      <c r="L1298" s="56"/>
      <c r="M1298" s="57"/>
    </row>
    <row r="1299" spans="1:13" ht="33" customHeight="1" thickBot="1">
      <c r="A1299" s="112" t="s">
        <v>40</v>
      </c>
      <c r="B1299" s="113"/>
      <c r="C1299" s="113"/>
      <c r="D1299" s="113"/>
      <c r="E1299" s="113"/>
      <c r="F1299" s="113"/>
      <c r="G1299" s="113"/>
      <c r="H1299" s="113"/>
      <c r="I1299" s="113"/>
      <c r="J1299" s="113"/>
      <c r="K1299" s="113"/>
      <c r="L1299" s="113"/>
      <c r="M1299" s="114"/>
    </row>
    <row r="1300" spans="1:13" ht="16.5" customHeight="1">
      <c r="A1300" s="115" t="s">
        <v>41</v>
      </c>
      <c r="B1300" s="116"/>
      <c r="C1300" s="116"/>
      <c r="D1300" s="116"/>
      <c r="E1300" s="116"/>
      <c r="F1300" s="116"/>
      <c r="G1300" s="116"/>
      <c r="H1300" s="116"/>
      <c r="I1300" s="116"/>
      <c r="J1300" s="116"/>
      <c r="K1300" s="116"/>
      <c r="L1300" s="116"/>
      <c r="M1300" s="117"/>
    </row>
    <row r="1301" spans="1:13" ht="16.5" customHeight="1">
      <c r="A1301" s="90" t="s">
        <v>28</v>
      </c>
      <c r="B1301" s="91"/>
      <c r="C1301" s="91"/>
      <c r="D1301" s="91"/>
      <c r="E1301" s="91"/>
      <c r="F1301" s="91"/>
      <c r="G1301" s="91"/>
      <c r="H1301" s="91"/>
      <c r="I1301" s="91"/>
      <c r="J1301" s="91"/>
      <c r="K1301" s="91"/>
      <c r="L1301" s="91"/>
      <c r="M1301" s="92"/>
    </row>
    <row r="1302" spans="1:13" s="1" customFormat="1" ht="16.5" customHeight="1">
      <c r="A1302" s="93" t="s">
        <v>56</v>
      </c>
      <c r="B1302" s="94"/>
      <c r="C1302" s="94"/>
      <c r="D1302" s="94"/>
      <c r="E1302" s="94"/>
      <c r="F1302" s="94"/>
      <c r="G1302" s="94"/>
      <c r="H1302" s="94"/>
      <c r="I1302" s="94"/>
      <c r="J1302" s="94"/>
      <c r="K1302" s="94"/>
      <c r="L1302" s="94"/>
      <c r="M1302" s="95"/>
    </row>
    <row r="1303" spans="1:13" s="1" customFormat="1" ht="16.5" customHeight="1">
      <c r="A1303" s="93" t="s">
        <v>57</v>
      </c>
      <c r="B1303" s="94"/>
      <c r="C1303" s="94"/>
      <c r="D1303" s="94"/>
      <c r="E1303" s="94"/>
      <c r="F1303" s="94"/>
      <c r="G1303" s="94"/>
      <c r="H1303" s="94"/>
      <c r="I1303" s="94"/>
      <c r="J1303" s="94"/>
      <c r="K1303" s="94"/>
      <c r="L1303" s="94"/>
      <c r="M1303" s="95"/>
    </row>
    <row r="1304" spans="1:13" s="1" customFormat="1" ht="16.5" customHeight="1">
      <c r="A1304" s="93" t="s">
        <v>58</v>
      </c>
      <c r="B1304" s="94"/>
      <c r="C1304" s="94"/>
      <c r="D1304" s="94"/>
      <c r="E1304" s="94"/>
      <c r="F1304" s="94"/>
      <c r="G1304" s="94"/>
      <c r="H1304" s="94"/>
      <c r="I1304" s="94"/>
      <c r="J1304" s="94"/>
      <c r="K1304" s="94"/>
      <c r="L1304" s="94"/>
      <c r="M1304" s="95"/>
    </row>
    <row r="1305" spans="1:13" s="1" customFormat="1" ht="16.5" customHeight="1">
      <c r="A1305" s="93" t="s">
        <v>59</v>
      </c>
      <c r="B1305" s="94"/>
      <c r="C1305" s="94"/>
      <c r="D1305" s="94"/>
      <c r="E1305" s="94"/>
      <c r="F1305" s="94"/>
      <c r="G1305" s="94"/>
      <c r="H1305" s="94"/>
      <c r="I1305" s="94"/>
      <c r="J1305" s="94"/>
      <c r="K1305" s="94"/>
      <c r="L1305" s="94"/>
      <c r="M1305" s="95"/>
    </row>
    <row r="1306" spans="1:13" ht="16.5" customHeight="1">
      <c r="A1306" s="106" t="s">
        <v>29</v>
      </c>
      <c r="B1306" s="107"/>
      <c r="C1306" s="107"/>
      <c r="D1306" s="107"/>
      <c r="E1306" s="107"/>
      <c r="F1306" s="107"/>
      <c r="G1306" s="107"/>
      <c r="H1306" s="107"/>
      <c r="I1306" s="107"/>
      <c r="J1306" s="107"/>
      <c r="K1306" s="107"/>
      <c r="L1306" s="107"/>
      <c r="M1306" s="108"/>
    </row>
    <row r="1307" spans="1:13" ht="9.75" customHeight="1" thickBot="1">
      <c r="A1307" s="109"/>
      <c r="B1307" s="110"/>
      <c r="C1307" s="110"/>
      <c r="D1307" s="110"/>
      <c r="E1307" s="110"/>
      <c r="F1307" s="110"/>
      <c r="G1307" s="110"/>
      <c r="H1307" s="110"/>
      <c r="I1307" s="110"/>
      <c r="J1307" s="110"/>
      <c r="K1307" s="110"/>
      <c r="L1307" s="110"/>
      <c r="M1307" s="111"/>
    </row>
    <row r="1308" spans="1:13" ht="18.75" customHeight="1" thickBot="1">
      <c r="A1308" s="72" t="s">
        <v>30</v>
      </c>
      <c r="B1308" s="73"/>
      <c r="C1308" s="73"/>
      <c r="D1308" s="73"/>
      <c r="E1308" s="73"/>
      <c r="F1308" s="73"/>
      <c r="G1308" s="73"/>
      <c r="H1308" s="73"/>
      <c r="I1308" s="73"/>
      <c r="J1308" s="73"/>
      <c r="K1308" s="73"/>
      <c r="L1308" s="73"/>
      <c r="M1308" s="74"/>
    </row>
    <row r="1309" spans="1:13" ht="24" customHeight="1" thickBot="1">
      <c r="A1309" s="72" t="s">
        <v>31</v>
      </c>
      <c r="B1309" s="73"/>
      <c r="C1309" s="73"/>
      <c r="D1309" s="73"/>
      <c r="E1309" s="73"/>
      <c r="F1309" s="73"/>
      <c r="G1309" s="73"/>
      <c r="H1309" s="73"/>
      <c r="I1309" s="73"/>
      <c r="J1309" s="73"/>
      <c r="K1309" s="73"/>
      <c r="L1309" s="73"/>
      <c r="M1309" s="74"/>
    </row>
    <row r="1310" spans="1:13" ht="24" customHeight="1" thickBot="1">
      <c r="A1310" s="72" t="s">
        <v>62</v>
      </c>
      <c r="B1310" s="73"/>
      <c r="C1310" s="73"/>
      <c r="D1310" s="73"/>
      <c r="E1310" s="73"/>
      <c r="F1310" s="73"/>
      <c r="G1310" s="73"/>
      <c r="H1310" s="73"/>
      <c r="I1310" s="73"/>
      <c r="J1310" s="73"/>
      <c r="K1310" s="73"/>
      <c r="L1310" s="73"/>
      <c r="M1310" s="74"/>
    </row>
    <row r="1311" spans="1:13" ht="24" customHeight="1" thickBot="1">
      <c r="A1311" s="60" t="s">
        <v>46</v>
      </c>
      <c r="B1311" s="61"/>
      <c r="C1311" s="61"/>
      <c r="D1311" s="61"/>
      <c r="E1311" s="61"/>
      <c r="F1311" s="61"/>
      <c r="G1311" s="61"/>
      <c r="H1311" s="61"/>
      <c r="I1311" s="61"/>
      <c r="J1311" s="61"/>
      <c r="K1311" s="61"/>
      <c r="L1311" s="61"/>
      <c r="M1311" s="62"/>
    </row>
    <row r="1312" spans="1:13" ht="11.1" customHeight="1">
      <c r="A1312" s="103" t="s">
        <v>47</v>
      </c>
      <c r="B1312" s="103"/>
      <c r="C1312" s="103"/>
      <c r="D1312" s="103"/>
      <c r="E1312" s="103"/>
      <c r="F1312" s="103"/>
      <c r="G1312" s="103"/>
      <c r="H1312" s="103"/>
      <c r="I1312" s="103"/>
      <c r="J1312" s="103"/>
      <c r="K1312" s="103"/>
      <c r="L1312" s="103"/>
      <c r="M1312" s="103"/>
    </row>
    <row r="1313" spans="1:15" ht="11.1" customHeight="1">
      <c r="A1313" s="104" t="s">
        <v>48</v>
      </c>
      <c r="B1313" s="104"/>
      <c r="C1313" s="104"/>
      <c r="D1313" s="104"/>
      <c r="E1313" s="104"/>
      <c r="F1313" s="104"/>
      <c r="G1313" s="104"/>
      <c r="H1313" s="104"/>
      <c r="I1313" s="104"/>
      <c r="J1313" s="104"/>
      <c r="K1313" s="104"/>
      <c r="L1313" s="104"/>
      <c r="M1313" s="104"/>
    </row>
    <row r="1314" spans="1:15" ht="11.1" customHeight="1">
      <c r="A1314" s="105" t="s">
        <v>49</v>
      </c>
      <c r="B1314" s="105"/>
      <c r="C1314" s="105"/>
      <c r="D1314" s="105"/>
      <c r="E1314" s="105"/>
      <c r="F1314" s="105"/>
      <c r="G1314" s="105"/>
      <c r="H1314" s="105"/>
      <c r="I1314" s="105"/>
      <c r="J1314" s="105"/>
      <c r="K1314" s="105"/>
      <c r="L1314" s="105"/>
      <c r="M1314" s="105"/>
    </row>
    <row r="1315" spans="1:15" ht="11.1" customHeight="1">
      <c r="A1315" s="105" t="s">
        <v>50</v>
      </c>
      <c r="B1315" s="105"/>
      <c r="C1315" s="105"/>
      <c r="D1315" s="105"/>
      <c r="E1315" s="105"/>
      <c r="F1315" s="105"/>
      <c r="G1315" s="105"/>
      <c r="H1315" s="105"/>
      <c r="I1315" s="105"/>
      <c r="J1315" s="105"/>
      <c r="K1315" s="105"/>
      <c r="L1315" s="105"/>
      <c r="M1315" s="105"/>
    </row>
    <row r="1316" spans="1:15" ht="11.1" customHeight="1">
      <c r="A1316" s="104" t="s">
        <v>51</v>
      </c>
      <c r="B1316" s="104"/>
      <c r="C1316" s="104"/>
      <c r="D1316" s="104"/>
      <c r="E1316" s="104"/>
      <c r="F1316" s="104"/>
      <c r="G1316" s="104"/>
      <c r="H1316" s="104"/>
      <c r="I1316" s="104"/>
      <c r="J1316" s="104"/>
      <c r="K1316" s="104"/>
      <c r="L1316" s="104"/>
      <c r="M1316" s="104"/>
    </row>
    <row r="1317" spans="1:15" ht="11.1" customHeight="1">
      <c r="A1317" s="104" t="s">
        <v>52</v>
      </c>
      <c r="B1317" s="104"/>
      <c r="C1317" s="104"/>
      <c r="D1317" s="104"/>
      <c r="E1317" s="104"/>
      <c r="F1317" s="104"/>
      <c r="G1317" s="104"/>
      <c r="H1317" s="104"/>
      <c r="I1317" s="104"/>
      <c r="J1317" s="104"/>
      <c r="K1317" s="104"/>
      <c r="L1317" s="104"/>
      <c r="M1317" s="104"/>
    </row>
    <row r="1318" spans="1:15" ht="11.1" customHeight="1">
      <c r="A1318" s="104" t="s">
        <v>53</v>
      </c>
      <c r="B1318" s="104"/>
      <c r="C1318" s="104"/>
      <c r="D1318" s="104"/>
      <c r="E1318" s="104"/>
      <c r="F1318" s="104"/>
      <c r="G1318" s="104"/>
      <c r="H1318" s="104"/>
      <c r="I1318" s="104"/>
      <c r="J1318" s="104"/>
      <c r="K1318" s="104"/>
      <c r="L1318" s="104"/>
      <c r="M1318" s="104"/>
    </row>
    <row r="1319" spans="1:15" ht="11.1" customHeight="1">
      <c r="A1319" s="101" t="s">
        <v>54</v>
      </c>
      <c r="B1319" s="101"/>
      <c r="C1319" s="101"/>
      <c r="D1319" s="101"/>
      <c r="E1319" s="101"/>
      <c r="F1319" s="101"/>
      <c r="G1319" s="101"/>
      <c r="H1319" s="101"/>
      <c r="I1319" s="101"/>
      <c r="J1319" s="101"/>
      <c r="K1319" s="101"/>
      <c r="L1319" s="101"/>
      <c r="M1319" s="101"/>
    </row>
    <row r="1320" spans="1:15" ht="11.1" customHeight="1">
      <c r="A1320" s="101" t="s">
        <v>55</v>
      </c>
      <c r="B1320" s="101"/>
      <c r="C1320" s="101"/>
      <c r="D1320" s="101"/>
      <c r="E1320" s="101"/>
      <c r="F1320" s="101"/>
      <c r="G1320" s="101"/>
      <c r="H1320" s="101"/>
      <c r="I1320" s="101"/>
      <c r="J1320" s="101"/>
      <c r="K1320" s="101"/>
      <c r="L1320" s="101"/>
      <c r="M1320" s="101"/>
    </row>
    <row r="1321" spans="1:15" ht="19.5" customHeight="1">
      <c r="A1321" s="69" t="s">
        <v>0</v>
      </c>
      <c r="B1321" s="69"/>
      <c r="C1321" s="69"/>
      <c r="D1321" s="69"/>
      <c r="E1321" s="69"/>
      <c r="F1321" s="69"/>
      <c r="G1321" s="69"/>
      <c r="H1321" s="69"/>
      <c r="I1321" s="69"/>
      <c r="J1321" s="69"/>
      <c r="K1321" s="69"/>
      <c r="L1321" s="69"/>
      <c r="M1321" s="69"/>
    </row>
    <row r="1322" spans="1:15" ht="20.100000000000001" customHeight="1">
      <c r="A1322" s="4" t="s">
        <v>32</v>
      </c>
      <c r="B1322" s="5">
        <f>+B1278+1</f>
        <v>66</v>
      </c>
      <c r="C1322" s="48"/>
      <c r="D1322" s="48"/>
      <c r="E1322" s="48"/>
      <c r="F1322" s="48"/>
      <c r="G1322" s="48"/>
      <c r="H1322" s="48"/>
      <c r="I1322" s="48"/>
      <c r="J1322" s="48"/>
      <c r="K1322" s="48"/>
      <c r="L1322" s="48"/>
      <c r="M1322" s="48"/>
    </row>
    <row r="1323" spans="1:15" ht="24" customHeight="1" thickBot="1">
      <c r="A1323" s="4" t="s">
        <v>33</v>
      </c>
      <c r="H1323" s="70" t="s">
        <v>34</v>
      </c>
      <c r="I1323" s="70"/>
      <c r="J1323" s="70"/>
      <c r="K1323" s="102">
        <f>+K1279+1</f>
        <v>45992</v>
      </c>
      <c r="L1323" s="102"/>
      <c r="M1323" s="102"/>
      <c r="O1323" s="7"/>
    </row>
    <row r="1324" spans="1:15" ht="33.75" customHeight="1" thickBot="1">
      <c r="A1324" s="80" t="s">
        <v>1</v>
      </c>
      <c r="B1324" s="81"/>
      <c r="C1324" s="82"/>
      <c r="D1324" s="86" t="str">
        <f>+D1280</f>
        <v>光明國中B與C區5樓老舊廁所整修工程</v>
      </c>
      <c r="E1324" s="87"/>
      <c r="F1324" s="87"/>
      <c r="G1324" s="88"/>
      <c r="H1324" s="80" t="s">
        <v>2</v>
      </c>
      <c r="I1324" s="81"/>
      <c r="J1324" s="82"/>
      <c r="K1324" s="80" t="s">
        <v>35</v>
      </c>
      <c r="L1324" s="81"/>
      <c r="M1324" s="82"/>
    </row>
    <row r="1325" spans="1:15" ht="33.75" customHeight="1" thickBot="1">
      <c r="A1325" s="8" t="s">
        <v>3</v>
      </c>
      <c r="B1325" s="45">
        <f>+B1281</f>
        <v>142</v>
      </c>
      <c r="C1325" s="10" t="s">
        <v>36</v>
      </c>
      <c r="D1325" s="80" t="s">
        <v>4</v>
      </c>
      <c r="E1325" s="89"/>
      <c r="F1325" s="46">
        <f>+F1281+1</f>
        <v>66</v>
      </c>
      <c r="G1325" s="12" t="s">
        <v>36</v>
      </c>
      <c r="H1325" s="13" t="s">
        <v>5</v>
      </c>
      <c r="I1325" s="45">
        <f>+B1325-F1325</f>
        <v>76</v>
      </c>
      <c r="J1325" s="10" t="s">
        <v>36</v>
      </c>
      <c r="K1325" s="80" t="s">
        <v>6</v>
      </c>
      <c r="L1325" s="82"/>
      <c r="M1325" s="13">
        <f>+M1281</f>
        <v>12</v>
      </c>
    </row>
    <row r="1326" spans="1:15" ht="24" customHeight="1" thickBot="1">
      <c r="A1326" s="80" t="s">
        <v>7</v>
      </c>
      <c r="B1326" s="81"/>
      <c r="C1326" s="82"/>
      <c r="D1326" s="80" t="str">
        <f>+D1282</f>
        <v>114.9.27</v>
      </c>
      <c r="E1326" s="81"/>
      <c r="F1326" s="81"/>
      <c r="G1326" s="82"/>
      <c r="H1326" s="80" t="s">
        <v>8</v>
      </c>
      <c r="I1326" s="81"/>
      <c r="J1326" s="82"/>
      <c r="K1326" s="80" t="str">
        <f>+K1282</f>
        <v>115.2.15</v>
      </c>
      <c r="L1326" s="81"/>
      <c r="M1326" s="82"/>
    </row>
    <row r="1327" spans="1:15" ht="24" customHeight="1" thickBot="1">
      <c r="A1327" s="80" t="s">
        <v>37</v>
      </c>
      <c r="B1327" s="81"/>
      <c r="C1327" s="82"/>
      <c r="D1327" s="83">
        <v>0.114</v>
      </c>
      <c r="E1327" s="84"/>
      <c r="F1327" s="84"/>
      <c r="G1327" s="85"/>
      <c r="H1327" s="80" t="s">
        <v>38</v>
      </c>
      <c r="I1327" s="81"/>
      <c r="J1327" s="82"/>
      <c r="K1327" s="83">
        <f>+K1283</f>
        <v>5.8000000000000003E-2</v>
      </c>
      <c r="L1327" s="84"/>
      <c r="M1327" s="85"/>
    </row>
    <row r="1328" spans="1:15" ht="24" customHeight="1" thickBot="1">
      <c r="A1328" s="72" t="s">
        <v>9</v>
      </c>
      <c r="B1328" s="73"/>
      <c r="C1328" s="73"/>
      <c r="D1328" s="73"/>
      <c r="E1328" s="73"/>
      <c r="F1328" s="73"/>
      <c r="G1328" s="73"/>
      <c r="H1328" s="73"/>
      <c r="I1328" s="73"/>
      <c r="J1328" s="73"/>
      <c r="K1328" s="73"/>
      <c r="L1328" s="73"/>
      <c r="M1328" s="74"/>
    </row>
    <row r="1329" spans="1:13" ht="35.25" customHeight="1" thickBot="1">
      <c r="A1329" s="75" t="s">
        <v>10</v>
      </c>
      <c r="B1329" s="76"/>
      <c r="C1329" s="76"/>
      <c r="D1329" s="77"/>
      <c r="E1329" s="14" t="s">
        <v>11</v>
      </c>
      <c r="F1329" s="75" t="s">
        <v>12</v>
      </c>
      <c r="G1329" s="77"/>
      <c r="H1329" s="75" t="s">
        <v>13</v>
      </c>
      <c r="I1329" s="77"/>
      <c r="J1329" s="78" t="s">
        <v>14</v>
      </c>
      <c r="K1329" s="79"/>
      <c r="L1329" s="75" t="s">
        <v>15</v>
      </c>
      <c r="M1329" s="77"/>
    </row>
    <row r="1330" spans="1:13" ht="27.95" customHeight="1" thickBot="1">
      <c r="A1330" s="141"/>
      <c r="B1330" s="142"/>
      <c r="C1330" s="142"/>
      <c r="D1330" s="143"/>
      <c r="E1330" s="2"/>
      <c r="F1330" s="56"/>
      <c r="G1330" s="57"/>
      <c r="H1330" s="56"/>
      <c r="I1330" s="57"/>
      <c r="J1330" s="56"/>
      <c r="K1330" s="57"/>
      <c r="L1330" s="58"/>
      <c r="M1330" s="59"/>
    </row>
    <row r="1331" spans="1:13" ht="27.95" customHeight="1" thickBot="1">
      <c r="A1331" s="141"/>
      <c r="B1331" s="142"/>
      <c r="C1331" s="142"/>
      <c r="D1331" s="143"/>
      <c r="E1331" s="15"/>
      <c r="F1331" s="56"/>
      <c r="G1331" s="57"/>
      <c r="H1331" s="56"/>
      <c r="I1331" s="57"/>
      <c r="J1331" s="56"/>
      <c r="K1331" s="57"/>
      <c r="L1331" s="58"/>
      <c r="M1331" s="59"/>
    </row>
    <row r="1332" spans="1:13" ht="24.95" customHeight="1" thickTop="1" thickBot="1">
      <c r="A1332" s="130" t="s">
        <v>16</v>
      </c>
      <c r="B1332" s="67"/>
      <c r="C1332" s="67"/>
      <c r="D1332" s="68"/>
      <c r="E1332" s="47"/>
      <c r="F1332" s="131"/>
      <c r="G1332" s="132"/>
      <c r="H1332" s="131"/>
      <c r="I1332" s="132"/>
      <c r="J1332" s="131"/>
      <c r="K1332" s="132"/>
      <c r="L1332" s="131"/>
      <c r="M1332" s="133"/>
    </row>
    <row r="1333" spans="1:13" ht="24.95" customHeight="1" thickBot="1">
      <c r="A1333" s="134" t="s">
        <v>17</v>
      </c>
      <c r="B1333" s="135"/>
      <c r="C1333" s="135"/>
      <c r="D1333" s="59"/>
      <c r="E1333" s="47"/>
      <c r="F1333" s="58"/>
      <c r="G1333" s="59"/>
      <c r="H1333" s="58"/>
      <c r="I1333" s="59"/>
      <c r="J1333" s="58"/>
      <c r="K1333" s="59"/>
      <c r="L1333" s="58"/>
      <c r="M1333" s="136"/>
    </row>
    <row r="1334" spans="1:13" ht="24.95" customHeight="1" thickBot="1">
      <c r="A1334" s="118" t="s">
        <v>18</v>
      </c>
      <c r="B1334" s="119"/>
      <c r="C1334" s="119"/>
      <c r="D1334" s="120"/>
      <c r="E1334" s="24"/>
      <c r="F1334" s="121"/>
      <c r="G1334" s="120"/>
      <c r="H1334" s="121"/>
      <c r="I1334" s="120"/>
      <c r="J1334" s="121"/>
      <c r="K1334" s="120"/>
      <c r="L1334" s="121"/>
      <c r="M1334" s="122"/>
    </row>
    <row r="1335" spans="1:13" ht="24" customHeight="1" thickTop="1" thickBot="1">
      <c r="A1335" s="66" t="s">
        <v>19</v>
      </c>
      <c r="B1335" s="67"/>
      <c r="C1335" s="67"/>
      <c r="D1335" s="67"/>
      <c r="E1335" s="67"/>
      <c r="F1335" s="67"/>
      <c r="G1335" s="67"/>
      <c r="H1335" s="67"/>
      <c r="I1335" s="67"/>
      <c r="J1335" s="67"/>
      <c r="K1335" s="67"/>
      <c r="L1335" s="67"/>
      <c r="M1335" s="68"/>
    </row>
    <row r="1336" spans="1:13" ht="35.25" customHeight="1" thickBot="1">
      <c r="A1336" s="75" t="s">
        <v>20</v>
      </c>
      <c r="B1336" s="76"/>
      <c r="C1336" s="76"/>
      <c r="D1336" s="77"/>
      <c r="E1336" s="14" t="s">
        <v>11</v>
      </c>
      <c r="F1336" s="75" t="s">
        <v>39</v>
      </c>
      <c r="G1336" s="77"/>
      <c r="H1336" s="75" t="s">
        <v>21</v>
      </c>
      <c r="I1336" s="77"/>
      <c r="J1336" s="78" t="s">
        <v>22</v>
      </c>
      <c r="K1336" s="79"/>
      <c r="L1336" s="75" t="s">
        <v>15</v>
      </c>
      <c r="M1336" s="77"/>
    </row>
    <row r="1337" spans="1:13" ht="24" customHeight="1" thickBot="1">
      <c r="A1337" s="96"/>
      <c r="B1337" s="97"/>
      <c r="C1337" s="97"/>
      <c r="D1337" s="98"/>
      <c r="E1337" s="47"/>
      <c r="F1337" s="58"/>
      <c r="G1337" s="59"/>
      <c r="H1337" s="58"/>
      <c r="I1337" s="59"/>
      <c r="J1337" s="56"/>
      <c r="K1337" s="57"/>
      <c r="L1337" s="58"/>
      <c r="M1337" s="59"/>
    </row>
    <row r="1338" spans="1:13" ht="24" customHeight="1" thickBot="1">
      <c r="A1338" s="96"/>
      <c r="B1338" s="97"/>
      <c r="C1338" s="97"/>
      <c r="D1338" s="98"/>
      <c r="E1338" s="47"/>
      <c r="F1338" s="58"/>
      <c r="G1338" s="59"/>
      <c r="H1338" s="58"/>
      <c r="I1338" s="59"/>
      <c r="J1338" s="56"/>
      <c r="K1338" s="57"/>
      <c r="L1338" s="58"/>
      <c r="M1338" s="59"/>
    </row>
    <row r="1339" spans="1:13" ht="24" customHeight="1" thickBot="1">
      <c r="A1339" s="60" t="s">
        <v>23</v>
      </c>
      <c r="B1339" s="61"/>
      <c r="C1339" s="61"/>
      <c r="D1339" s="61"/>
      <c r="E1339" s="61"/>
      <c r="F1339" s="61"/>
      <c r="G1339" s="61"/>
      <c r="H1339" s="61"/>
      <c r="I1339" s="61"/>
      <c r="J1339" s="61"/>
      <c r="K1339" s="61"/>
      <c r="L1339" s="61"/>
      <c r="M1339" s="62"/>
    </row>
    <row r="1340" spans="1:13" ht="35.25" customHeight="1" thickBot="1">
      <c r="A1340" s="75" t="s">
        <v>24</v>
      </c>
      <c r="B1340" s="77"/>
      <c r="C1340" s="75" t="s">
        <v>25</v>
      </c>
      <c r="D1340" s="77"/>
      <c r="E1340" s="75" t="s">
        <v>26</v>
      </c>
      <c r="F1340" s="76"/>
      <c r="G1340" s="77"/>
      <c r="H1340" s="75" t="s">
        <v>27</v>
      </c>
      <c r="I1340" s="77"/>
      <c r="J1340" s="78" t="s">
        <v>21</v>
      </c>
      <c r="K1340" s="79"/>
      <c r="L1340" s="75" t="s">
        <v>22</v>
      </c>
      <c r="M1340" s="77"/>
    </row>
    <row r="1341" spans="1:13" s="18" customFormat="1" ht="24.75" customHeight="1" thickBot="1">
      <c r="A1341" s="99"/>
      <c r="B1341" s="98"/>
      <c r="C1341" s="56"/>
      <c r="D1341" s="57"/>
      <c r="E1341" s="56"/>
      <c r="F1341" s="100"/>
      <c r="G1341" s="57"/>
      <c r="H1341" s="56"/>
      <c r="I1341" s="57"/>
      <c r="J1341" s="56"/>
      <c r="K1341" s="57"/>
      <c r="L1341" s="56"/>
      <c r="M1341" s="57"/>
    </row>
    <row r="1342" spans="1:13" s="18" customFormat="1" ht="24.75" customHeight="1" thickBot="1">
      <c r="A1342" s="99"/>
      <c r="B1342" s="98"/>
      <c r="C1342" s="56"/>
      <c r="D1342" s="57"/>
      <c r="E1342" s="56"/>
      <c r="F1342" s="100"/>
      <c r="G1342" s="57"/>
      <c r="H1342" s="56"/>
      <c r="I1342" s="57"/>
      <c r="J1342" s="56"/>
      <c r="K1342" s="57"/>
      <c r="L1342" s="56"/>
      <c r="M1342" s="57"/>
    </row>
    <row r="1343" spans="1:13" ht="33" customHeight="1" thickBot="1">
      <c r="A1343" s="112" t="s">
        <v>40</v>
      </c>
      <c r="B1343" s="113"/>
      <c r="C1343" s="113"/>
      <c r="D1343" s="113"/>
      <c r="E1343" s="113"/>
      <c r="F1343" s="113"/>
      <c r="G1343" s="113"/>
      <c r="H1343" s="113"/>
      <c r="I1343" s="113"/>
      <c r="J1343" s="113"/>
      <c r="K1343" s="113"/>
      <c r="L1343" s="113"/>
      <c r="M1343" s="114"/>
    </row>
    <row r="1344" spans="1:13" ht="16.5" customHeight="1">
      <c r="A1344" s="115" t="s">
        <v>41</v>
      </c>
      <c r="B1344" s="116"/>
      <c r="C1344" s="116"/>
      <c r="D1344" s="116"/>
      <c r="E1344" s="116"/>
      <c r="F1344" s="116"/>
      <c r="G1344" s="116"/>
      <c r="H1344" s="116"/>
      <c r="I1344" s="116"/>
      <c r="J1344" s="116"/>
      <c r="K1344" s="116"/>
      <c r="L1344" s="116"/>
      <c r="M1344" s="117"/>
    </row>
    <row r="1345" spans="1:13" ht="16.5" customHeight="1">
      <c r="A1345" s="90" t="s">
        <v>28</v>
      </c>
      <c r="B1345" s="91"/>
      <c r="C1345" s="91"/>
      <c r="D1345" s="91"/>
      <c r="E1345" s="91"/>
      <c r="F1345" s="91"/>
      <c r="G1345" s="91"/>
      <c r="H1345" s="91"/>
      <c r="I1345" s="91"/>
      <c r="J1345" s="91"/>
      <c r="K1345" s="91"/>
      <c r="L1345" s="91"/>
      <c r="M1345" s="92"/>
    </row>
    <row r="1346" spans="1:13" s="1" customFormat="1" ht="16.5" customHeight="1">
      <c r="A1346" s="93" t="s">
        <v>56</v>
      </c>
      <c r="B1346" s="94"/>
      <c r="C1346" s="94"/>
      <c r="D1346" s="94"/>
      <c r="E1346" s="94"/>
      <c r="F1346" s="94"/>
      <c r="G1346" s="94"/>
      <c r="H1346" s="94"/>
      <c r="I1346" s="94"/>
      <c r="J1346" s="94"/>
      <c r="K1346" s="94"/>
      <c r="L1346" s="94"/>
      <c r="M1346" s="95"/>
    </row>
    <row r="1347" spans="1:13" s="1" customFormat="1" ht="16.5" customHeight="1">
      <c r="A1347" s="93" t="s">
        <v>57</v>
      </c>
      <c r="B1347" s="94"/>
      <c r="C1347" s="94"/>
      <c r="D1347" s="94"/>
      <c r="E1347" s="94"/>
      <c r="F1347" s="94"/>
      <c r="G1347" s="94"/>
      <c r="H1347" s="94"/>
      <c r="I1347" s="94"/>
      <c r="J1347" s="94"/>
      <c r="K1347" s="94"/>
      <c r="L1347" s="94"/>
      <c r="M1347" s="95"/>
    </row>
    <row r="1348" spans="1:13" s="1" customFormat="1" ht="16.5" customHeight="1">
      <c r="A1348" s="93" t="s">
        <v>58</v>
      </c>
      <c r="B1348" s="94"/>
      <c r="C1348" s="94"/>
      <c r="D1348" s="94"/>
      <c r="E1348" s="94"/>
      <c r="F1348" s="94"/>
      <c r="G1348" s="94"/>
      <c r="H1348" s="94"/>
      <c r="I1348" s="94"/>
      <c r="J1348" s="94"/>
      <c r="K1348" s="94"/>
      <c r="L1348" s="94"/>
      <c r="M1348" s="95"/>
    </row>
    <row r="1349" spans="1:13" s="1" customFormat="1" ht="16.5" customHeight="1">
      <c r="A1349" s="93" t="s">
        <v>59</v>
      </c>
      <c r="B1349" s="94"/>
      <c r="C1349" s="94"/>
      <c r="D1349" s="94"/>
      <c r="E1349" s="94"/>
      <c r="F1349" s="94"/>
      <c r="G1349" s="94"/>
      <c r="H1349" s="94"/>
      <c r="I1349" s="94"/>
      <c r="J1349" s="94"/>
      <c r="K1349" s="94"/>
      <c r="L1349" s="94"/>
      <c r="M1349" s="95"/>
    </row>
    <row r="1350" spans="1:13" ht="16.5" customHeight="1">
      <c r="A1350" s="106" t="s">
        <v>29</v>
      </c>
      <c r="B1350" s="107"/>
      <c r="C1350" s="107"/>
      <c r="D1350" s="107"/>
      <c r="E1350" s="107"/>
      <c r="F1350" s="107"/>
      <c r="G1350" s="107"/>
      <c r="H1350" s="107"/>
      <c r="I1350" s="107"/>
      <c r="J1350" s="107"/>
      <c r="K1350" s="107"/>
      <c r="L1350" s="107"/>
      <c r="M1350" s="108"/>
    </row>
    <row r="1351" spans="1:13" ht="9.75" customHeight="1" thickBot="1">
      <c r="A1351" s="109"/>
      <c r="B1351" s="110"/>
      <c r="C1351" s="110"/>
      <c r="D1351" s="110"/>
      <c r="E1351" s="110"/>
      <c r="F1351" s="110"/>
      <c r="G1351" s="110"/>
      <c r="H1351" s="110"/>
      <c r="I1351" s="110"/>
      <c r="J1351" s="110"/>
      <c r="K1351" s="110"/>
      <c r="L1351" s="110"/>
      <c r="M1351" s="111"/>
    </row>
    <row r="1352" spans="1:13" ht="18.75" customHeight="1" thickBot="1">
      <c r="A1352" s="72" t="s">
        <v>30</v>
      </c>
      <c r="B1352" s="73"/>
      <c r="C1352" s="73"/>
      <c r="D1352" s="73"/>
      <c r="E1352" s="73"/>
      <c r="F1352" s="73"/>
      <c r="G1352" s="73"/>
      <c r="H1352" s="73"/>
      <c r="I1352" s="73"/>
      <c r="J1352" s="73"/>
      <c r="K1352" s="73"/>
      <c r="L1352" s="73"/>
      <c r="M1352" s="74"/>
    </row>
    <row r="1353" spans="1:13" ht="24" customHeight="1" thickBot="1">
      <c r="A1353" s="72" t="s">
        <v>31</v>
      </c>
      <c r="B1353" s="73"/>
      <c r="C1353" s="73"/>
      <c r="D1353" s="73"/>
      <c r="E1353" s="73"/>
      <c r="F1353" s="73"/>
      <c r="G1353" s="73"/>
      <c r="H1353" s="73"/>
      <c r="I1353" s="73"/>
      <c r="J1353" s="73"/>
      <c r="K1353" s="73"/>
      <c r="L1353" s="73"/>
      <c r="M1353" s="74"/>
    </row>
    <row r="1354" spans="1:13" ht="24" customHeight="1" thickBot="1">
      <c r="A1354" s="72" t="s">
        <v>62</v>
      </c>
      <c r="B1354" s="73"/>
      <c r="C1354" s="73"/>
      <c r="D1354" s="73"/>
      <c r="E1354" s="73"/>
      <c r="F1354" s="73"/>
      <c r="G1354" s="73"/>
      <c r="H1354" s="73"/>
      <c r="I1354" s="73"/>
      <c r="J1354" s="73"/>
      <c r="K1354" s="73"/>
      <c r="L1354" s="73"/>
      <c r="M1354" s="74"/>
    </row>
    <row r="1355" spans="1:13" ht="24" customHeight="1" thickBot="1">
      <c r="A1355" s="60" t="s">
        <v>46</v>
      </c>
      <c r="B1355" s="61"/>
      <c r="C1355" s="61"/>
      <c r="D1355" s="61"/>
      <c r="E1355" s="61"/>
      <c r="F1355" s="61"/>
      <c r="G1355" s="61"/>
      <c r="H1355" s="61"/>
      <c r="I1355" s="61"/>
      <c r="J1355" s="61"/>
      <c r="K1355" s="61"/>
      <c r="L1355" s="61"/>
      <c r="M1355" s="62"/>
    </row>
    <row r="1356" spans="1:13" ht="11.1" customHeight="1">
      <c r="A1356" s="103" t="s">
        <v>47</v>
      </c>
      <c r="B1356" s="103"/>
      <c r="C1356" s="103"/>
      <c r="D1356" s="103"/>
      <c r="E1356" s="103"/>
      <c r="F1356" s="103"/>
      <c r="G1356" s="103"/>
      <c r="H1356" s="103"/>
      <c r="I1356" s="103"/>
      <c r="J1356" s="103"/>
      <c r="K1356" s="103"/>
      <c r="L1356" s="103"/>
      <c r="M1356" s="103"/>
    </row>
    <row r="1357" spans="1:13" ht="11.1" customHeight="1">
      <c r="A1357" s="104" t="s">
        <v>48</v>
      </c>
      <c r="B1357" s="104"/>
      <c r="C1357" s="104"/>
      <c r="D1357" s="104"/>
      <c r="E1357" s="104"/>
      <c r="F1357" s="104"/>
      <c r="G1357" s="104"/>
      <c r="H1357" s="104"/>
      <c r="I1357" s="104"/>
      <c r="J1357" s="104"/>
      <c r="K1357" s="104"/>
      <c r="L1357" s="104"/>
      <c r="M1357" s="104"/>
    </row>
    <row r="1358" spans="1:13" ht="11.1" customHeight="1">
      <c r="A1358" s="105" t="s">
        <v>49</v>
      </c>
      <c r="B1358" s="105"/>
      <c r="C1358" s="105"/>
      <c r="D1358" s="105"/>
      <c r="E1358" s="105"/>
      <c r="F1358" s="105"/>
      <c r="G1358" s="105"/>
      <c r="H1358" s="105"/>
      <c r="I1358" s="105"/>
      <c r="J1358" s="105"/>
      <c r="K1358" s="105"/>
      <c r="L1358" s="105"/>
      <c r="M1358" s="105"/>
    </row>
    <row r="1359" spans="1:13" ht="11.1" customHeight="1">
      <c r="A1359" s="105" t="s">
        <v>50</v>
      </c>
      <c r="B1359" s="105"/>
      <c r="C1359" s="105"/>
      <c r="D1359" s="105"/>
      <c r="E1359" s="105"/>
      <c r="F1359" s="105"/>
      <c r="G1359" s="105"/>
      <c r="H1359" s="105"/>
      <c r="I1359" s="105"/>
      <c r="J1359" s="105"/>
      <c r="K1359" s="105"/>
      <c r="L1359" s="105"/>
      <c r="M1359" s="105"/>
    </row>
    <row r="1360" spans="1:13" ht="11.1" customHeight="1">
      <c r="A1360" s="104" t="s">
        <v>51</v>
      </c>
      <c r="B1360" s="104"/>
      <c r="C1360" s="104"/>
      <c r="D1360" s="104"/>
      <c r="E1360" s="104"/>
      <c r="F1360" s="104"/>
      <c r="G1360" s="104"/>
      <c r="H1360" s="104"/>
      <c r="I1360" s="104"/>
      <c r="J1360" s="104"/>
      <c r="K1360" s="104"/>
      <c r="L1360" s="104"/>
      <c r="M1360" s="104"/>
    </row>
    <row r="1361" spans="1:13" ht="11.1" customHeight="1">
      <c r="A1361" s="104" t="s">
        <v>52</v>
      </c>
      <c r="B1361" s="104"/>
      <c r="C1361" s="104"/>
      <c r="D1361" s="104"/>
      <c r="E1361" s="104"/>
      <c r="F1361" s="104"/>
      <c r="G1361" s="104"/>
      <c r="H1361" s="104"/>
      <c r="I1361" s="104"/>
      <c r="J1361" s="104"/>
      <c r="K1361" s="104"/>
      <c r="L1361" s="104"/>
      <c r="M1361" s="104"/>
    </row>
    <row r="1362" spans="1:13" ht="11.1" customHeight="1">
      <c r="A1362" s="104" t="s">
        <v>53</v>
      </c>
      <c r="B1362" s="104"/>
      <c r="C1362" s="104"/>
      <c r="D1362" s="104"/>
      <c r="E1362" s="104"/>
      <c r="F1362" s="104"/>
      <c r="G1362" s="104"/>
      <c r="H1362" s="104"/>
      <c r="I1362" s="104"/>
      <c r="J1362" s="104"/>
      <c r="K1362" s="104"/>
      <c r="L1362" s="104"/>
      <c r="M1362" s="104"/>
    </row>
    <row r="1363" spans="1:13" ht="11.1" customHeight="1">
      <c r="A1363" s="101" t="s">
        <v>54</v>
      </c>
      <c r="B1363" s="101"/>
      <c r="C1363" s="101"/>
      <c r="D1363" s="101"/>
      <c r="E1363" s="101"/>
      <c r="F1363" s="101"/>
      <c r="G1363" s="101"/>
      <c r="H1363" s="101"/>
      <c r="I1363" s="101"/>
      <c r="J1363" s="101"/>
      <c r="K1363" s="101"/>
      <c r="L1363" s="101"/>
      <c r="M1363" s="101"/>
    </row>
    <row r="1364" spans="1:13" ht="11.1" customHeight="1">
      <c r="A1364" s="101" t="s">
        <v>55</v>
      </c>
      <c r="B1364" s="101"/>
      <c r="C1364" s="101"/>
      <c r="D1364" s="101"/>
      <c r="E1364" s="101"/>
      <c r="F1364" s="101"/>
      <c r="G1364" s="101"/>
      <c r="H1364" s="101"/>
      <c r="I1364" s="101"/>
      <c r="J1364" s="101"/>
      <c r="K1364" s="101"/>
      <c r="L1364" s="101"/>
      <c r="M1364" s="101"/>
    </row>
  </sheetData>
  <mergeCells count="3255">
    <mergeCell ref="A1361:M1361"/>
    <mergeCell ref="A1362:M1362"/>
    <mergeCell ref="A1363:M1363"/>
    <mergeCell ref="A1364:M1364"/>
    <mergeCell ref="A1355:M1355"/>
    <mergeCell ref="A1356:M1356"/>
    <mergeCell ref="A1357:M1357"/>
    <mergeCell ref="A1358:M1358"/>
    <mergeCell ref="A1359:M1359"/>
    <mergeCell ref="A1360:M1360"/>
    <mergeCell ref="A1349:M1349"/>
    <mergeCell ref="A1350:M1350"/>
    <mergeCell ref="A1351:M1351"/>
    <mergeCell ref="A1352:M1352"/>
    <mergeCell ref="A1353:M1353"/>
    <mergeCell ref="A1354:M1354"/>
    <mergeCell ref="A1343:M1343"/>
    <mergeCell ref="A1344:M1344"/>
    <mergeCell ref="A1345:M1345"/>
    <mergeCell ref="A1346:M1346"/>
    <mergeCell ref="A1347:M1347"/>
    <mergeCell ref="A1348:M1348"/>
    <mergeCell ref="A1342:B1342"/>
    <mergeCell ref="C1342:D1342"/>
    <mergeCell ref="E1342:G1342"/>
    <mergeCell ref="H1342:I1342"/>
    <mergeCell ref="J1342:K1342"/>
    <mergeCell ref="L1342:M1342"/>
    <mergeCell ref="A1341:B1341"/>
    <mergeCell ref="C1341:D1341"/>
    <mergeCell ref="E1341:G1341"/>
    <mergeCell ref="H1341:I1341"/>
    <mergeCell ref="J1341:K1341"/>
    <mergeCell ref="L1341:M1341"/>
    <mergeCell ref="A1340:B1340"/>
    <mergeCell ref="C1340:D1340"/>
    <mergeCell ref="E1340:G1340"/>
    <mergeCell ref="H1340:I1340"/>
    <mergeCell ref="J1340:K1340"/>
    <mergeCell ref="L1340:M1340"/>
    <mergeCell ref="A1338:D1338"/>
    <mergeCell ref="F1338:G1338"/>
    <mergeCell ref="H1338:I1338"/>
    <mergeCell ref="J1338:K1338"/>
    <mergeCell ref="L1338:M1338"/>
    <mergeCell ref="A1339:M1339"/>
    <mergeCell ref="A1336:D1336"/>
    <mergeCell ref="F1336:G1336"/>
    <mergeCell ref="H1336:I1336"/>
    <mergeCell ref="J1336:K1336"/>
    <mergeCell ref="L1336:M1336"/>
    <mergeCell ref="A1337:D1337"/>
    <mergeCell ref="F1337:G1337"/>
    <mergeCell ref="H1337:I1337"/>
    <mergeCell ref="J1337:K1337"/>
    <mergeCell ref="L1337:M1337"/>
    <mergeCell ref="A1334:D1334"/>
    <mergeCell ref="F1334:G1334"/>
    <mergeCell ref="H1334:I1334"/>
    <mergeCell ref="J1334:K1334"/>
    <mergeCell ref="L1334:M1334"/>
    <mergeCell ref="A1335:M1335"/>
    <mergeCell ref="A1332:D1332"/>
    <mergeCell ref="F1332:G1332"/>
    <mergeCell ref="H1332:I1332"/>
    <mergeCell ref="J1332:K1332"/>
    <mergeCell ref="L1332:M1332"/>
    <mergeCell ref="A1333:D1333"/>
    <mergeCell ref="F1333:G1333"/>
    <mergeCell ref="H1333:I1333"/>
    <mergeCell ref="J1333:K1333"/>
    <mergeCell ref="L1333:M1333"/>
    <mergeCell ref="A1330:D1330"/>
    <mergeCell ref="F1330:G1330"/>
    <mergeCell ref="H1330:I1330"/>
    <mergeCell ref="J1330:K1330"/>
    <mergeCell ref="L1330:M1330"/>
    <mergeCell ref="A1331:D1331"/>
    <mergeCell ref="F1331:G1331"/>
    <mergeCell ref="H1331:I1331"/>
    <mergeCell ref="J1331:K1331"/>
    <mergeCell ref="L1331:M1331"/>
    <mergeCell ref="A1328:M1328"/>
    <mergeCell ref="A1329:D1329"/>
    <mergeCell ref="F1329:G1329"/>
    <mergeCell ref="H1329:I1329"/>
    <mergeCell ref="J1329:K1329"/>
    <mergeCell ref="L1329:M1329"/>
    <mergeCell ref="A1326:C1326"/>
    <mergeCell ref="D1326:G1326"/>
    <mergeCell ref="H1326:J1326"/>
    <mergeCell ref="K1326:M1326"/>
    <mergeCell ref="A1327:C1327"/>
    <mergeCell ref="D1327:G1327"/>
    <mergeCell ref="H1327:J1327"/>
    <mergeCell ref="K1327:M1327"/>
    <mergeCell ref="A1324:C1324"/>
    <mergeCell ref="D1324:G1324"/>
    <mergeCell ref="H1324:J1324"/>
    <mergeCell ref="K1324:M1324"/>
    <mergeCell ref="D1325:E1325"/>
    <mergeCell ref="K1325:L1325"/>
    <mergeCell ref="A1317:M1317"/>
    <mergeCell ref="A1318:M1318"/>
    <mergeCell ref="A1319:M1319"/>
    <mergeCell ref="A1320:M1320"/>
    <mergeCell ref="A1321:M1321"/>
    <mergeCell ref="H1323:J1323"/>
    <mergeCell ref="K1323:M1323"/>
    <mergeCell ref="A1311:M1311"/>
    <mergeCell ref="A1312:M1312"/>
    <mergeCell ref="A1313:M1313"/>
    <mergeCell ref="A1314:M1314"/>
    <mergeCell ref="A1315:M1315"/>
    <mergeCell ref="A1316:M1316"/>
    <mergeCell ref="A1305:M1305"/>
    <mergeCell ref="A1306:M1306"/>
    <mergeCell ref="A1307:M1307"/>
    <mergeCell ref="A1308:M1308"/>
    <mergeCell ref="A1309:M1309"/>
    <mergeCell ref="A1310:M1310"/>
    <mergeCell ref="A1299:M1299"/>
    <mergeCell ref="A1300:M1300"/>
    <mergeCell ref="A1301:M1301"/>
    <mergeCell ref="A1302:M1302"/>
    <mergeCell ref="A1303:M1303"/>
    <mergeCell ref="A1304:M1304"/>
    <mergeCell ref="A1298:B1298"/>
    <mergeCell ref="C1298:D1298"/>
    <mergeCell ref="E1298:G1298"/>
    <mergeCell ref="H1298:I1298"/>
    <mergeCell ref="J1298:K1298"/>
    <mergeCell ref="L1298:M1298"/>
    <mergeCell ref="A1297:B1297"/>
    <mergeCell ref="C1297:D1297"/>
    <mergeCell ref="E1297:G1297"/>
    <mergeCell ref="H1297:I1297"/>
    <mergeCell ref="J1297:K1297"/>
    <mergeCell ref="L1297:M1297"/>
    <mergeCell ref="A1296:B1296"/>
    <mergeCell ref="C1296:D1296"/>
    <mergeCell ref="E1296:G1296"/>
    <mergeCell ref="H1296:I1296"/>
    <mergeCell ref="J1296:K1296"/>
    <mergeCell ref="L1296:M1296"/>
    <mergeCell ref="A1294:D1294"/>
    <mergeCell ref="F1294:G1294"/>
    <mergeCell ref="H1294:I1294"/>
    <mergeCell ref="J1294:K1294"/>
    <mergeCell ref="L1294:M1294"/>
    <mergeCell ref="A1295:M1295"/>
    <mergeCell ref="A1292:D1292"/>
    <mergeCell ref="F1292:G1292"/>
    <mergeCell ref="H1292:I1292"/>
    <mergeCell ref="J1292:K1292"/>
    <mergeCell ref="L1292:M1292"/>
    <mergeCell ref="A1293:D1293"/>
    <mergeCell ref="F1293:G1293"/>
    <mergeCell ref="H1293:I1293"/>
    <mergeCell ref="J1293:K1293"/>
    <mergeCell ref="L1293:M1293"/>
    <mergeCell ref="A1290:D1290"/>
    <mergeCell ref="F1290:G1290"/>
    <mergeCell ref="H1290:I1290"/>
    <mergeCell ref="J1290:K1290"/>
    <mergeCell ref="L1290:M1290"/>
    <mergeCell ref="A1291:M1291"/>
    <mergeCell ref="A1288:D1288"/>
    <mergeCell ref="F1288:G1288"/>
    <mergeCell ref="H1288:I1288"/>
    <mergeCell ref="J1288:K1288"/>
    <mergeCell ref="L1288:M1288"/>
    <mergeCell ref="A1289:D1289"/>
    <mergeCell ref="F1289:G1289"/>
    <mergeCell ref="H1289:I1289"/>
    <mergeCell ref="J1289:K1289"/>
    <mergeCell ref="L1289:M1289"/>
    <mergeCell ref="A1286:D1286"/>
    <mergeCell ref="F1286:G1286"/>
    <mergeCell ref="H1286:I1286"/>
    <mergeCell ref="J1286:K1286"/>
    <mergeCell ref="L1286:M1286"/>
    <mergeCell ref="A1287:D1287"/>
    <mergeCell ref="F1287:G1287"/>
    <mergeCell ref="H1287:I1287"/>
    <mergeCell ref="J1287:K1287"/>
    <mergeCell ref="L1287:M1287"/>
    <mergeCell ref="A1284:M1284"/>
    <mergeCell ref="A1285:D1285"/>
    <mergeCell ref="F1285:G1285"/>
    <mergeCell ref="H1285:I1285"/>
    <mergeCell ref="J1285:K1285"/>
    <mergeCell ref="L1285:M1285"/>
    <mergeCell ref="A1282:C1282"/>
    <mergeCell ref="D1282:G1282"/>
    <mergeCell ref="H1282:J1282"/>
    <mergeCell ref="K1282:M1282"/>
    <mergeCell ref="A1283:C1283"/>
    <mergeCell ref="D1283:G1283"/>
    <mergeCell ref="H1283:J1283"/>
    <mergeCell ref="K1283:M1283"/>
    <mergeCell ref="A1280:C1280"/>
    <mergeCell ref="D1280:G1280"/>
    <mergeCell ref="H1280:J1280"/>
    <mergeCell ref="K1280:M1280"/>
    <mergeCell ref="D1281:E1281"/>
    <mergeCell ref="K1281:L1281"/>
    <mergeCell ref="A1273:M1273"/>
    <mergeCell ref="A1274:M1274"/>
    <mergeCell ref="A1275:M1275"/>
    <mergeCell ref="A1276:M1276"/>
    <mergeCell ref="A1277:M1277"/>
    <mergeCell ref="H1279:J1279"/>
    <mergeCell ref="K1279:M1279"/>
    <mergeCell ref="A1267:M1267"/>
    <mergeCell ref="A1268:M1268"/>
    <mergeCell ref="A1269:M1269"/>
    <mergeCell ref="A1270:M1270"/>
    <mergeCell ref="A1271:M1271"/>
    <mergeCell ref="A1272:M1272"/>
    <mergeCell ref="A1261:M1261"/>
    <mergeCell ref="A1262:M1262"/>
    <mergeCell ref="A1263:M1263"/>
    <mergeCell ref="A1264:M1264"/>
    <mergeCell ref="A1265:M1265"/>
    <mergeCell ref="A1266:M1266"/>
    <mergeCell ref="A1255:M1255"/>
    <mergeCell ref="A1256:M1256"/>
    <mergeCell ref="A1257:M1257"/>
    <mergeCell ref="A1258:M1258"/>
    <mergeCell ref="A1259:M1259"/>
    <mergeCell ref="A1260:M1260"/>
    <mergeCell ref="A1254:B1254"/>
    <mergeCell ref="C1254:D1254"/>
    <mergeCell ref="E1254:G1254"/>
    <mergeCell ref="H1254:I1254"/>
    <mergeCell ref="J1254:K1254"/>
    <mergeCell ref="L1254:M1254"/>
    <mergeCell ref="A1253:B1253"/>
    <mergeCell ref="C1253:D1253"/>
    <mergeCell ref="E1253:G1253"/>
    <mergeCell ref="H1253:I1253"/>
    <mergeCell ref="J1253:K1253"/>
    <mergeCell ref="L1253:M1253"/>
    <mergeCell ref="A1252:B1252"/>
    <mergeCell ref="C1252:D1252"/>
    <mergeCell ref="E1252:G1252"/>
    <mergeCell ref="H1252:I1252"/>
    <mergeCell ref="J1252:K1252"/>
    <mergeCell ref="L1252:M1252"/>
    <mergeCell ref="A1250:D1250"/>
    <mergeCell ref="F1250:G1250"/>
    <mergeCell ref="H1250:I1250"/>
    <mergeCell ref="J1250:K1250"/>
    <mergeCell ref="L1250:M1250"/>
    <mergeCell ref="A1251:M1251"/>
    <mergeCell ref="A1248:D1248"/>
    <mergeCell ref="F1248:G1248"/>
    <mergeCell ref="H1248:I1248"/>
    <mergeCell ref="J1248:K1248"/>
    <mergeCell ref="L1248:M1248"/>
    <mergeCell ref="A1249:D1249"/>
    <mergeCell ref="F1249:G1249"/>
    <mergeCell ref="H1249:I1249"/>
    <mergeCell ref="J1249:K1249"/>
    <mergeCell ref="L1249:M1249"/>
    <mergeCell ref="A1246:D1246"/>
    <mergeCell ref="F1246:G1246"/>
    <mergeCell ref="H1246:I1246"/>
    <mergeCell ref="J1246:K1246"/>
    <mergeCell ref="L1246:M1246"/>
    <mergeCell ref="A1247:M1247"/>
    <mergeCell ref="A1244:D1244"/>
    <mergeCell ref="F1244:G1244"/>
    <mergeCell ref="H1244:I1244"/>
    <mergeCell ref="J1244:K1244"/>
    <mergeCell ref="L1244:M1244"/>
    <mergeCell ref="A1245:D1245"/>
    <mergeCell ref="F1245:G1245"/>
    <mergeCell ref="H1245:I1245"/>
    <mergeCell ref="J1245:K1245"/>
    <mergeCell ref="L1245:M1245"/>
    <mergeCell ref="A1242:D1242"/>
    <mergeCell ref="F1242:G1242"/>
    <mergeCell ref="H1242:I1242"/>
    <mergeCell ref="J1242:K1242"/>
    <mergeCell ref="L1242:M1242"/>
    <mergeCell ref="A1243:D1243"/>
    <mergeCell ref="F1243:G1243"/>
    <mergeCell ref="H1243:I1243"/>
    <mergeCell ref="J1243:K1243"/>
    <mergeCell ref="L1243:M1243"/>
    <mergeCell ref="A1240:M1240"/>
    <mergeCell ref="A1241:D1241"/>
    <mergeCell ref="F1241:G1241"/>
    <mergeCell ref="H1241:I1241"/>
    <mergeCell ref="J1241:K1241"/>
    <mergeCell ref="L1241:M1241"/>
    <mergeCell ref="A1238:C1238"/>
    <mergeCell ref="D1238:G1238"/>
    <mergeCell ref="H1238:J1238"/>
    <mergeCell ref="K1238:M1238"/>
    <mergeCell ref="A1239:C1239"/>
    <mergeCell ref="D1239:G1239"/>
    <mergeCell ref="H1239:J1239"/>
    <mergeCell ref="K1239:M1239"/>
    <mergeCell ref="A1236:C1236"/>
    <mergeCell ref="D1236:G1236"/>
    <mergeCell ref="H1236:J1236"/>
    <mergeCell ref="K1236:M1236"/>
    <mergeCell ref="D1237:E1237"/>
    <mergeCell ref="K1237:L1237"/>
    <mergeCell ref="A1229:M1229"/>
    <mergeCell ref="A1230:M1230"/>
    <mergeCell ref="A1231:M1231"/>
    <mergeCell ref="A1232:M1232"/>
    <mergeCell ref="A1233:M1233"/>
    <mergeCell ref="H1235:J1235"/>
    <mergeCell ref="K1235:M1235"/>
    <mergeCell ref="A1223:M1223"/>
    <mergeCell ref="A1224:M1224"/>
    <mergeCell ref="A1225:M1225"/>
    <mergeCell ref="A1226:M1226"/>
    <mergeCell ref="A1227:M1227"/>
    <mergeCell ref="A1228:M1228"/>
    <mergeCell ref="A1217:M1217"/>
    <mergeCell ref="A1218:M1218"/>
    <mergeCell ref="A1219:M1219"/>
    <mergeCell ref="A1220:M1220"/>
    <mergeCell ref="A1221:M1221"/>
    <mergeCell ref="A1222:M1222"/>
    <mergeCell ref="A1211:M1211"/>
    <mergeCell ref="A1212:M1212"/>
    <mergeCell ref="A1213:M1213"/>
    <mergeCell ref="A1214:M1214"/>
    <mergeCell ref="A1215:M1215"/>
    <mergeCell ref="A1216:M1216"/>
    <mergeCell ref="A1210:B1210"/>
    <mergeCell ref="C1210:D1210"/>
    <mergeCell ref="E1210:G1210"/>
    <mergeCell ref="H1210:I1210"/>
    <mergeCell ref="J1210:K1210"/>
    <mergeCell ref="L1210:M1210"/>
    <mergeCell ref="A1209:B1209"/>
    <mergeCell ref="C1209:D1209"/>
    <mergeCell ref="E1209:G1209"/>
    <mergeCell ref="H1209:I1209"/>
    <mergeCell ref="J1209:K1209"/>
    <mergeCell ref="L1209:M1209"/>
    <mergeCell ref="A1208:B1208"/>
    <mergeCell ref="C1208:D1208"/>
    <mergeCell ref="E1208:G1208"/>
    <mergeCell ref="H1208:I1208"/>
    <mergeCell ref="J1208:K1208"/>
    <mergeCell ref="L1208:M1208"/>
    <mergeCell ref="A1206:D1206"/>
    <mergeCell ref="F1206:G1206"/>
    <mergeCell ref="H1206:I1206"/>
    <mergeCell ref="J1206:K1206"/>
    <mergeCell ref="L1206:M1206"/>
    <mergeCell ref="A1207:M1207"/>
    <mergeCell ref="A1204:D1204"/>
    <mergeCell ref="F1204:G1204"/>
    <mergeCell ref="H1204:I1204"/>
    <mergeCell ref="J1204:K1204"/>
    <mergeCell ref="L1204:M1204"/>
    <mergeCell ref="A1205:D1205"/>
    <mergeCell ref="F1205:G1205"/>
    <mergeCell ref="H1205:I1205"/>
    <mergeCell ref="J1205:K1205"/>
    <mergeCell ref="L1205:M1205"/>
    <mergeCell ref="A1202:D1202"/>
    <mergeCell ref="F1202:G1202"/>
    <mergeCell ref="H1202:I1202"/>
    <mergeCell ref="J1202:K1202"/>
    <mergeCell ref="L1202:M1202"/>
    <mergeCell ref="A1203:M1203"/>
    <mergeCell ref="A1200:D1200"/>
    <mergeCell ref="F1200:G1200"/>
    <mergeCell ref="H1200:I1200"/>
    <mergeCell ref="J1200:K1200"/>
    <mergeCell ref="L1200:M1200"/>
    <mergeCell ref="A1201:D1201"/>
    <mergeCell ref="F1201:G1201"/>
    <mergeCell ref="H1201:I1201"/>
    <mergeCell ref="J1201:K1201"/>
    <mergeCell ref="L1201:M1201"/>
    <mergeCell ref="A1198:D1198"/>
    <mergeCell ref="F1198:G1198"/>
    <mergeCell ref="H1198:I1198"/>
    <mergeCell ref="J1198:K1198"/>
    <mergeCell ref="L1198:M1198"/>
    <mergeCell ref="A1199:D1199"/>
    <mergeCell ref="F1199:G1199"/>
    <mergeCell ref="H1199:I1199"/>
    <mergeCell ref="J1199:K1199"/>
    <mergeCell ref="L1199:M1199"/>
    <mergeCell ref="A1196:M1196"/>
    <mergeCell ref="A1197:D1197"/>
    <mergeCell ref="F1197:G1197"/>
    <mergeCell ref="H1197:I1197"/>
    <mergeCell ref="J1197:K1197"/>
    <mergeCell ref="L1197:M1197"/>
    <mergeCell ref="A1194:C1194"/>
    <mergeCell ref="D1194:G1194"/>
    <mergeCell ref="H1194:J1194"/>
    <mergeCell ref="K1194:M1194"/>
    <mergeCell ref="A1195:C1195"/>
    <mergeCell ref="D1195:G1195"/>
    <mergeCell ref="H1195:J1195"/>
    <mergeCell ref="K1195:M1195"/>
    <mergeCell ref="A1192:C1192"/>
    <mergeCell ref="D1192:G1192"/>
    <mergeCell ref="H1192:J1192"/>
    <mergeCell ref="K1192:M1192"/>
    <mergeCell ref="D1193:E1193"/>
    <mergeCell ref="K1193:L1193"/>
    <mergeCell ref="A1185:M1185"/>
    <mergeCell ref="A1186:M1186"/>
    <mergeCell ref="A1187:M1187"/>
    <mergeCell ref="A1188:M1188"/>
    <mergeCell ref="A1189:M1189"/>
    <mergeCell ref="H1191:J1191"/>
    <mergeCell ref="K1191:M1191"/>
    <mergeCell ref="A1179:M1179"/>
    <mergeCell ref="A1180:M1180"/>
    <mergeCell ref="A1181:M1181"/>
    <mergeCell ref="A1182:M1182"/>
    <mergeCell ref="A1183:M1183"/>
    <mergeCell ref="A1184:M1184"/>
    <mergeCell ref="A1173:M1173"/>
    <mergeCell ref="A1174:M1174"/>
    <mergeCell ref="A1175:M1175"/>
    <mergeCell ref="A1176:M1176"/>
    <mergeCell ref="A1177:M1177"/>
    <mergeCell ref="A1178:M1178"/>
    <mergeCell ref="A1167:M1167"/>
    <mergeCell ref="A1168:M1168"/>
    <mergeCell ref="A1169:M1169"/>
    <mergeCell ref="A1170:M1170"/>
    <mergeCell ref="A1171:M1171"/>
    <mergeCell ref="A1172:M1172"/>
    <mergeCell ref="A1166:B1166"/>
    <mergeCell ref="C1166:D1166"/>
    <mergeCell ref="E1166:G1166"/>
    <mergeCell ref="H1166:I1166"/>
    <mergeCell ref="J1166:K1166"/>
    <mergeCell ref="L1166:M1166"/>
    <mergeCell ref="A1165:B1165"/>
    <mergeCell ref="C1165:D1165"/>
    <mergeCell ref="E1165:G1165"/>
    <mergeCell ref="H1165:I1165"/>
    <mergeCell ref="J1165:K1165"/>
    <mergeCell ref="L1165:M1165"/>
    <mergeCell ref="A1164:B1164"/>
    <mergeCell ref="C1164:D1164"/>
    <mergeCell ref="E1164:G1164"/>
    <mergeCell ref="H1164:I1164"/>
    <mergeCell ref="J1164:K1164"/>
    <mergeCell ref="L1164:M1164"/>
    <mergeCell ref="A1162:D1162"/>
    <mergeCell ref="F1162:G1162"/>
    <mergeCell ref="H1162:I1162"/>
    <mergeCell ref="J1162:K1162"/>
    <mergeCell ref="L1162:M1162"/>
    <mergeCell ref="A1163:M1163"/>
    <mergeCell ref="A1160:D1160"/>
    <mergeCell ref="F1160:G1160"/>
    <mergeCell ref="H1160:I1160"/>
    <mergeCell ref="J1160:K1160"/>
    <mergeCell ref="L1160:M1160"/>
    <mergeCell ref="A1161:D1161"/>
    <mergeCell ref="F1161:G1161"/>
    <mergeCell ref="H1161:I1161"/>
    <mergeCell ref="J1161:K1161"/>
    <mergeCell ref="L1161:M1161"/>
    <mergeCell ref="A1158:D1158"/>
    <mergeCell ref="F1158:G1158"/>
    <mergeCell ref="H1158:I1158"/>
    <mergeCell ref="J1158:K1158"/>
    <mergeCell ref="L1158:M1158"/>
    <mergeCell ref="A1159:M1159"/>
    <mergeCell ref="A1156:D1156"/>
    <mergeCell ref="F1156:G1156"/>
    <mergeCell ref="H1156:I1156"/>
    <mergeCell ref="J1156:K1156"/>
    <mergeCell ref="L1156:M1156"/>
    <mergeCell ref="A1157:D1157"/>
    <mergeCell ref="F1157:G1157"/>
    <mergeCell ref="H1157:I1157"/>
    <mergeCell ref="J1157:K1157"/>
    <mergeCell ref="L1157:M1157"/>
    <mergeCell ref="A1154:D1154"/>
    <mergeCell ref="F1154:G1154"/>
    <mergeCell ref="H1154:I1154"/>
    <mergeCell ref="J1154:K1154"/>
    <mergeCell ref="L1154:M1154"/>
    <mergeCell ref="A1155:D1155"/>
    <mergeCell ref="F1155:G1155"/>
    <mergeCell ref="H1155:I1155"/>
    <mergeCell ref="J1155:K1155"/>
    <mergeCell ref="L1155:M1155"/>
    <mergeCell ref="A1152:M1152"/>
    <mergeCell ref="A1153:D1153"/>
    <mergeCell ref="F1153:G1153"/>
    <mergeCell ref="H1153:I1153"/>
    <mergeCell ref="J1153:K1153"/>
    <mergeCell ref="L1153:M1153"/>
    <mergeCell ref="A1150:C1150"/>
    <mergeCell ref="D1150:G1150"/>
    <mergeCell ref="H1150:J1150"/>
    <mergeCell ref="K1150:M1150"/>
    <mergeCell ref="A1151:C1151"/>
    <mergeCell ref="D1151:G1151"/>
    <mergeCell ref="H1151:J1151"/>
    <mergeCell ref="K1151:M1151"/>
    <mergeCell ref="A1148:C1148"/>
    <mergeCell ref="D1148:G1148"/>
    <mergeCell ref="H1148:J1148"/>
    <mergeCell ref="K1148:M1148"/>
    <mergeCell ref="D1149:E1149"/>
    <mergeCell ref="K1149:L1149"/>
    <mergeCell ref="A1141:M1141"/>
    <mergeCell ref="A1142:M1142"/>
    <mergeCell ref="A1143:M1143"/>
    <mergeCell ref="A1144:M1144"/>
    <mergeCell ref="A1145:M1145"/>
    <mergeCell ref="H1147:J1147"/>
    <mergeCell ref="K1147:M1147"/>
    <mergeCell ref="A1135:M1135"/>
    <mergeCell ref="A1136:M1136"/>
    <mergeCell ref="A1137:M1137"/>
    <mergeCell ref="A1138:M1138"/>
    <mergeCell ref="A1139:M1139"/>
    <mergeCell ref="A1140:M1140"/>
    <mergeCell ref="A1129:M1129"/>
    <mergeCell ref="A1130:M1130"/>
    <mergeCell ref="A1131:M1131"/>
    <mergeCell ref="A1132:M1132"/>
    <mergeCell ref="A1133:M1133"/>
    <mergeCell ref="A1134:M1134"/>
    <mergeCell ref="A1123:M1123"/>
    <mergeCell ref="A1124:M1124"/>
    <mergeCell ref="A1125:M1125"/>
    <mergeCell ref="A1126:M1126"/>
    <mergeCell ref="A1127:M1127"/>
    <mergeCell ref="A1128:M1128"/>
    <mergeCell ref="A1122:B1122"/>
    <mergeCell ref="C1122:D1122"/>
    <mergeCell ref="E1122:G1122"/>
    <mergeCell ref="H1122:I1122"/>
    <mergeCell ref="J1122:K1122"/>
    <mergeCell ref="L1122:M1122"/>
    <mergeCell ref="A1121:B1121"/>
    <mergeCell ref="C1121:D1121"/>
    <mergeCell ref="E1121:G1121"/>
    <mergeCell ref="H1121:I1121"/>
    <mergeCell ref="J1121:K1121"/>
    <mergeCell ref="L1121:M1121"/>
    <mergeCell ref="A1120:B1120"/>
    <mergeCell ref="C1120:D1120"/>
    <mergeCell ref="E1120:G1120"/>
    <mergeCell ref="H1120:I1120"/>
    <mergeCell ref="J1120:K1120"/>
    <mergeCell ref="L1120:M1120"/>
    <mergeCell ref="A1118:D1118"/>
    <mergeCell ref="F1118:G1118"/>
    <mergeCell ref="H1118:I1118"/>
    <mergeCell ref="J1118:K1118"/>
    <mergeCell ref="L1118:M1118"/>
    <mergeCell ref="A1119:M1119"/>
    <mergeCell ref="A1116:D1116"/>
    <mergeCell ref="F1116:G1116"/>
    <mergeCell ref="H1116:I1116"/>
    <mergeCell ref="J1116:K1116"/>
    <mergeCell ref="L1116:M1116"/>
    <mergeCell ref="A1117:D1117"/>
    <mergeCell ref="F1117:G1117"/>
    <mergeCell ref="H1117:I1117"/>
    <mergeCell ref="J1117:K1117"/>
    <mergeCell ref="L1117:M1117"/>
    <mergeCell ref="A1114:D1114"/>
    <mergeCell ref="F1114:G1114"/>
    <mergeCell ref="H1114:I1114"/>
    <mergeCell ref="J1114:K1114"/>
    <mergeCell ref="L1114:M1114"/>
    <mergeCell ref="A1115:M1115"/>
    <mergeCell ref="A1112:D1112"/>
    <mergeCell ref="F1112:G1112"/>
    <mergeCell ref="H1112:I1112"/>
    <mergeCell ref="J1112:K1112"/>
    <mergeCell ref="L1112:M1112"/>
    <mergeCell ref="A1113:D1113"/>
    <mergeCell ref="F1113:G1113"/>
    <mergeCell ref="H1113:I1113"/>
    <mergeCell ref="J1113:K1113"/>
    <mergeCell ref="L1113:M1113"/>
    <mergeCell ref="A1110:D1110"/>
    <mergeCell ref="F1110:G1110"/>
    <mergeCell ref="H1110:I1110"/>
    <mergeCell ref="J1110:K1110"/>
    <mergeCell ref="L1110:M1110"/>
    <mergeCell ref="A1111:D1111"/>
    <mergeCell ref="F1111:G1111"/>
    <mergeCell ref="H1111:I1111"/>
    <mergeCell ref="J1111:K1111"/>
    <mergeCell ref="L1111:M1111"/>
    <mergeCell ref="A1108:M1108"/>
    <mergeCell ref="A1109:D1109"/>
    <mergeCell ref="F1109:G1109"/>
    <mergeCell ref="H1109:I1109"/>
    <mergeCell ref="J1109:K1109"/>
    <mergeCell ref="L1109:M1109"/>
    <mergeCell ref="A1106:C1106"/>
    <mergeCell ref="D1106:G1106"/>
    <mergeCell ref="H1106:J1106"/>
    <mergeCell ref="K1106:M1106"/>
    <mergeCell ref="A1107:C1107"/>
    <mergeCell ref="D1107:G1107"/>
    <mergeCell ref="H1107:J1107"/>
    <mergeCell ref="K1107:M1107"/>
    <mergeCell ref="A1104:C1104"/>
    <mergeCell ref="D1104:G1104"/>
    <mergeCell ref="H1104:J1104"/>
    <mergeCell ref="K1104:M1104"/>
    <mergeCell ref="D1105:E1105"/>
    <mergeCell ref="K1105:L1105"/>
    <mergeCell ref="A1097:M1097"/>
    <mergeCell ref="A1098:M1098"/>
    <mergeCell ref="A1099:M1099"/>
    <mergeCell ref="A1100:M1100"/>
    <mergeCell ref="A1101:M1101"/>
    <mergeCell ref="H1103:J1103"/>
    <mergeCell ref="K1103:M1103"/>
    <mergeCell ref="A1091:M1091"/>
    <mergeCell ref="A1092:M1092"/>
    <mergeCell ref="A1093:M1093"/>
    <mergeCell ref="A1094:M1094"/>
    <mergeCell ref="A1095:M1095"/>
    <mergeCell ref="A1096:M1096"/>
    <mergeCell ref="A1085:M1085"/>
    <mergeCell ref="A1086:M1086"/>
    <mergeCell ref="A1087:M1087"/>
    <mergeCell ref="A1088:M1088"/>
    <mergeCell ref="A1089:M1089"/>
    <mergeCell ref="A1090:M1090"/>
    <mergeCell ref="A1079:M1079"/>
    <mergeCell ref="A1080:M1080"/>
    <mergeCell ref="A1081:M1081"/>
    <mergeCell ref="A1082:M1082"/>
    <mergeCell ref="A1083:M1083"/>
    <mergeCell ref="A1084:M1084"/>
    <mergeCell ref="A1078:B1078"/>
    <mergeCell ref="C1078:D1078"/>
    <mergeCell ref="E1078:G1078"/>
    <mergeCell ref="H1078:I1078"/>
    <mergeCell ref="J1078:K1078"/>
    <mergeCell ref="L1078:M1078"/>
    <mergeCell ref="A1077:B1077"/>
    <mergeCell ref="C1077:D1077"/>
    <mergeCell ref="E1077:G1077"/>
    <mergeCell ref="H1077:I1077"/>
    <mergeCell ref="J1077:K1077"/>
    <mergeCell ref="L1077:M1077"/>
    <mergeCell ref="A1076:B1076"/>
    <mergeCell ref="C1076:D1076"/>
    <mergeCell ref="E1076:G1076"/>
    <mergeCell ref="H1076:I1076"/>
    <mergeCell ref="J1076:K1076"/>
    <mergeCell ref="L1076:M1076"/>
    <mergeCell ref="A1074:D1074"/>
    <mergeCell ref="F1074:G1074"/>
    <mergeCell ref="H1074:I1074"/>
    <mergeCell ref="J1074:K1074"/>
    <mergeCell ref="L1074:M1074"/>
    <mergeCell ref="A1075:M1075"/>
    <mergeCell ref="A1072:D1072"/>
    <mergeCell ref="F1072:G1072"/>
    <mergeCell ref="H1072:I1072"/>
    <mergeCell ref="J1072:K1072"/>
    <mergeCell ref="L1072:M1072"/>
    <mergeCell ref="A1073:D1073"/>
    <mergeCell ref="F1073:G1073"/>
    <mergeCell ref="H1073:I1073"/>
    <mergeCell ref="J1073:K1073"/>
    <mergeCell ref="L1073:M1073"/>
    <mergeCell ref="A1070:D1070"/>
    <mergeCell ref="F1070:G1070"/>
    <mergeCell ref="H1070:I1070"/>
    <mergeCell ref="J1070:K1070"/>
    <mergeCell ref="L1070:M1070"/>
    <mergeCell ref="A1071:M1071"/>
    <mergeCell ref="A1068:D1068"/>
    <mergeCell ref="F1068:G1068"/>
    <mergeCell ref="H1068:I1068"/>
    <mergeCell ref="J1068:K1068"/>
    <mergeCell ref="L1068:M1068"/>
    <mergeCell ref="A1069:D1069"/>
    <mergeCell ref="F1069:G1069"/>
    <mergeCell ref="H1069:I1069"/>
    <mergeCell ref="J1069:K1069"/>
    <mergeCell ref="L1069:M1069"/>
    <mergeCell ref="A1066:D1066"/>
    <mergeCell ref="F1066:G1066"/>
    <mergeCell ref="H1066:I1066"/>
    <mergeCell ref="J1066:K1066"/>
    <mergeCell ref="L1066:M1066"/>
    <mergeCell ref="A1067:D1067"/>
    <mergeCell ref="F1067:G1067"/>
    <mergeCell ref="H1067:I1067"/>
    <mergeCell ref="J1067:K1067"/>
    <mergeCell ref="L1067:M1067"/>
    <mergeCell ref="A1064:M1064"/>
    <mergeCell ref="A1065:D1065"/>
    <mergeCell ref="F1065:G1065"/>
    <mergeCell ref="H1065:I1065"/>
    <mergeCell ref="J1065:K1065"/>
    <mergeCell ref="L1065:M1065"/>
    <mergeCell ref="A1062:C1062"/>
    <mergeCell ref="D1062:G1062"/>
    <mergeCell ref="H1062:J1062"/>
    <mergeCell ref="K1062:M1062"/>
    <mergeCell ref="A1063:C1063"/>
    <mergeCell ref="D1063:G1063"/>
    <mergeCell ref="H1063:J1063"/>
    <mergeCell ref="K1063:M1063"/>
    <mergeCell ref="A1060:C1060"/>
    <mergeCell ref="D1060:G1060"/>
    <mergeCell ref="H1060:J1060"/>
    <mergeCell ref="K1060:M1060"/>
    <mergeCell ref="D1061:E1061"/>
    <mergeCell ref="K1061:L1061"/>
    <mergeCell ref="A1053:M1053"/>
    <mergeCell ref="A1054:M1054"/>
    <mergeCell ref="A1055:M1055"/>
    <mergeCell ref="A1056:M1056"/>
    <mergeCell ref="A1057:M1057"/>
    <mergeCell ref="H1059:J1059"/>
    <mergeCell ref="K1059:M1059"/>
    <mergeCell ref="A1047:M1047"/>
    <mergeCell ref="A1048:M1048"/>
    <mergeCell ref="A1049:M1049"/>
    <mergeCell ref="A1050:M1050"/>
    <mergeCell ref="A1051:M1051"/>
    <mergeCell ref="A1052:M1052"/>
    <mergeCell ref="A1041:M1041"/>
    <mergeCell ref="A1042:M1042"/>
    <mergeCell ref="A1043:M1043"/>
    <mergeCell ref="A1044:M1044"/>
    <mergeCell ref="A1045:M1045"/>
    <mergeCell ref="A1046:M1046"/>
    <mergeCell ref="A1035:M1035"/>
    <mergeCell ref="A1036:M1036"/>
    <mergeCell ref="A1037:M1037"/>
    <mergeCell ref="A1038:M1038"/>
    <mergeCell ref="A1039:M1039"/>
    <mergeCell ref="A1040:M1040"/>
    <mergeCell ref="A1034:B1034"/>
    <mergeCell ref="C1034:D1034"/>
    <mergeCell ref="E1034:G1034"/>
    <mergeCell ref="H1034:I1034"/>
    <mergeCell ref="J1034:K1034"/>
    <mergeCell ref="L1034:M1034"/>
    <mergeCell ref="A1033:B1033"/>
    <mergeCell ref="C1033:D1033"/>
    <mergeCell ref="E1033:G1033"/>
    <mergeCell ref="H1033:I1033"/>
    <mergeCell ref="J1033:K1033"/>
    <mergeCell ref="L1033:M1033"/>
    <mergeCell ref="A1032:B1032"/>
    <mergeCell ref="C1032:D1032"/>
    <mergeCell ref="E1032:G1032"/>
    <mergeCell ref="H1032:I1032"/>
    <mergeCell ref="J1032:K1032"/>
    <mergeCell ref="L1032:M1032"/>
    <mergeCell ref="A1030:D1030"/>
    <mergeCell ref="F1030:G1030"/>
    <mergeCell ref="H1030:I1030"/>
    <mergeCell ref="J1030:K1030"/>
    <mergeCell ref="L1030:M1030"/>
    <mergeCell ref="A1031:M1031"/>
    <mergeCell ref="A1028:D1028"/>
    <mergeCell ref="F1028:G1028"/>
    <mergeCell ref="H1028:I1028"/>
    <mergeCell ref="J1028:K1028"/>
    <mergeCell ref="L1028:M1028"/>
    <mergeCell ref="A1029:D1029"/>
    <mergeCell ref="F1029:G1029"/>
    <mergeCell ref="H1029:I1029"/>
    <mergeCell ref="J1029:K1029"/>
    <mergeCell ref="L1029:M1029"/>
    <mergeCell ref="A1026:D1026"/>
    <mergeCell ref="F1026:G1026"/>
    <mergeCell ref="H1026:I1026"/>
    <mergeCell ref="J1026:K1026"/>
    <mergeCell ref="L1026:M1026"/>
    <mergeCell ref="A1027:M1027"/>
    <mergeCell ref="A1024:D1024"/>
    <mergeCell ref="F1024:G1024"/>
    <mergeCell ref="H1024:I1024"/>
    <mergeCell ref="J1024:K1024"/>
    <mergeCell ref="L1024:M1024"/>
    <mergeCell ref="A1025:D1025"/>
    <mergeCell ref="F1025:G1025"/>
    <mergeCell ref="H1025:I1025"/>
    <mergeCell ref="J1025:K1025"/>
    <mergeCell ref="L1025:M1025"/>
    <mergeCell ref="A1022:D1022"/>
    <mergeCell ref="F1022:G1022"/>
    <mergeCell ref="H1022:I1022"/>
    <mergeCell ref="J1022:K1022"/>
    <mergeCell ref="L1022:M1022"/>
    <mergeCell ref="A1023:D1023"/>
    <mergeCell ref="F1023:G1023"/>
    <mergeCell ref="H1023:I1023"/>
    <mergeCell ref="J1023:K1023"/>
    <mergeCell ref="L1023:M1023"/>
    <mergeCell ref="A1020:M1020"/>
    <mergeCell ref="A1021:D1021"/>
    <mergeCell ref="F1021:G1021"/>
    <mergeCell ref="H1021:I1021"/>
    <mergeCell ref="J1021:K1021"/>
    <mergeCell ref="L1021:M1021"/>
    <mergeCell ref="A1018:C1018"/>
    <mergeCell ref="D1018:G1018"/>
    <mergeCell ref="H1018:J1018"/>
    <mergeCell ref="K1018:M1018"/>
    <mergeCell ref="A1019:C1019"/>
    <mergeCell ref="D1019:G1019"/>
    <mergeCell ref="H1019:J1019"/>
    <mergeCell ref="K1019:M1019"/>
    <mergeCell ref="A1016:C1016"/>
    <mergeCell ref="D1016:G1016"/>
    <mergeCell ref="H1016:J1016"/>
    <mergeCell ref="K1016:M1016"/>
    <mergeCell ref="D1017:E1017"/>
    <mergeCell ref="K1017:L1017"/>
    <mergeCell ref="A1009:M1009"/>
    <mergeCell ref="A1010:M1010"/>
    <mergeCell ref="A1011:M1011"/>
    <mergeCell ref="A1012:M1012"/>
    <mergeCell ref="A1013:M1013"/>
    <mergeCell ref="H1015:J1015"/>
    <mergeCell ref="K1015:M1015"/>
    <mergeCell ref="A1003:M1003"/>
    <mergeCell ref="A1004:M1004"/>
    <mergeCell ref="A1005:M1005"/>
    <mergeCell ref="A1006:M1006"/>
    <mergeCell ref="A1007:M1007"/>
    <mergeCell ref="A1008:M1008"/>
    <mergeCell ref="A997:M997"/>
    <mergeCell ref="A998:M998"/>
    <mergeCell ref="A999:M999"/>
    <mergeCell ref="A1000:M1000"/>
    <mergeCell ref="A1001:M1001"/>
    <mergeCell ref="A1002:M1002"/>
    <mergeCell ref="A991:M991"/>
    <mergeCell ref="A992:M992"/>
    <mergeCell ref="A993:M993"/>
    <mergeCell ref="A994:M994"/>
    <mergeCell ref="A995:M995"/>
    <mergeCell ref="A996:M996"/>
    <mergeCell ref="A990:B990"/>
    <mergeCell ref="C990:D990"/>
    <mergeCell ref="E990:G990"/>
    <mergeCell ref="H990:I990"/>
    <mergeCell ref="J990:K990"/>
    <mergeCell ref="L990:M990"/>
    <mergeCell ref="A989:B989"/>
    <mergeCell ref="C989:D989"/>
    <mergeCell ref="E989:G989"/>
    <mergeCell ref="H989:I989"/>
    <mergeCell ref="J989:K989"/>
    <mergeCell ref="L989:M989"/>
    <mergeCell ref="A988:B988"/>
    <mergeCell ref="C988:D988"/>
    <mergeCell ref="E988:G988"/>
    <mergeCell ref="H988:I988"/>
    <mergeCell ref="J988:K988"/>
    <mergeCell ref="L988:M988"/>
    <mergeCell ref="A986:D986"/>
    <mergeCell ref="F986:G986"/>
    <mergeCell ref="H986:I986"/>
    <mergeCell ref="J986:K986"/>
    <mergeCell ref="L986:M986"/>
    <mergeCell ref="A987:M987"/>
    <mergeCell ref="A984:D984"/>
    <mergeCell ref="F984:G984"/>
    <mergeCell ref="H984:I984"/>
    <mergeCell ref="J984:K984"/>
    <mergeCell ref="L984:M984"/>
    <mergeCell ref="A985:D985"/>
    <mergeCell ref="F985:G985"/>
    <mergeCell ref="H985:I985"/>
    <mergeCell ref="J985:K985"/>
    <mergeCell ref="L985:M985"/>
    <mergeCell ref="A982:D982"/>
    <mergeCell ref="F982:G982"/>
    <mergeCell ref="H982:I982"/>
    <mergeCell ref="J982:K982"/>
    <mergeCell ref="L982:M982"/>
    <mergeCell ref="A983:M983"/>
    <mergeCell ref="A980:D980"/>
    <mergeCell ref="F980:G980"/>
    <mergeCell ref="H980:I980"/>
    <mergeCell ref="J980:K980"/>
    <mergeCell ref="L980:M980"/>
    <mergeCell ref="A981:D981"/>
    <mergeCell ref="F981:G981"/>
    <mergeCell ref="H981:I981"/>
    <mergeCell ref="J981:K981"/>
    <mergeCell ref="L981:M981"/>
    <mergeCell ref="A978:D978"/>
    <mergeCell ref="F978:G978"/>
    <mergeCell ref="H978:I978"/>
    <mergeCell ref="J978:K978"/>
    <mergeCell ref="L978:M978"/>
    <mergeCell ref="A979:D979"/>
    <mergeCell ref="F979:G979"/>
    <mergeCell ref="H979:I979"/>
    <mergeCell ref="J979:K979"/>
    <mergeCell ref="L979:M979"/>
    <mergeCell ref="A976:M976"/>
    <mergeCell ref="A977:D977"/>
    <mergeCell ref="F977:G977"/>
    <mergeCell ref="H977:I977"/>
    <mergeCell ref="J977:K977"/>
    <mergeCell ref="L977:M977"/>
    <mergeCell ref="A974:C974"/>
    <mergeCell ref="D974:G974"/>
    <mergeCell ref="H974:J974"/>
    <mergeCell ref="K974:M974"/>
    <mergeCell ref="A975:C975"/>
    <mergeCell ref="D975:G975"/>
    <mergeCell ref="H975:J975"/>
    <mergeCell ref="K975:M975"/>
    <mergeCell ref="A972:C972"/>
    <mergeCell ref="D972:G972"/>
    <mergeCell ref="H972:J972"/>
    <mergeCell ref="K972:M972"/>
    <mergeCell ref="D973:E973"/>
    <mergeCell ref="K973:L973"/>
    <mergeCell ref="A965:M965"/>
    <mergeCell ref="A966:M966"/>
    <mergeCell ref="A967:M967"/>
    <mergeCell ref="A968:M968"/>
    <mergeCell ref="A969:M969"/>
    <mergeCell ref="H971:J971"/>
    <mergeCell ref="K971:M971"/>
    <mergeCell ref="A959:M959"/>
    <mergeCell ref="A960:M960"/>
    <mergeCell ref="A961:M961"/>
    <mergeCell ref="A962:M962"/>
    <mergeCell ref="A963:M963"/>
    <mergeCell ref="A964:M964"/>
    <mergeCell ref="A953:M953"/>
    <mergeCell ref="A954:M954"/>
    <mergeCell ref="A955:M955"/>
    <mergeCell ref="A956:M956"/>
    <mergeCell ref="A957:M957"/>
    <mergeCell ref="A958:M958"/>
    <mergeCell ref="A947:M947"/>
    <mergeCell ref="A948:M948"/>
    <mergeCell ref="A949:M949"/>
    <mergeCell ref="A950:M950"/>
    <mergeCell ref="A951:M951"/>
    <mergeCell ref="A952:M952"/>
    <mergeCell ref="A946:B946"/>
    <mergeCell ref="C946:D946"/>
    <mergeCell ref="E946:G946"/>
    <mergeCell ref="H946:I946"/>
    <mergeCell ref="J946:K946"/>
    <mergeCell ref="L946:M946"/>
    <mergeCell ref="A945:B945"/>
    <mergeCell ref="C945:D945"/>
    <mergeCell ref="E945:G945"/>
    <mergeCell ref="H945:I945"/>
    <mergeCell ref="J945:K945"/>
    <mergeCell ref="L945:M945"/>
    <mergeCell ref="A944:B944"/>
    <mergeCell ref="C944:D944"/>
    <mergeCell ref="E944:G944"/>
    <mergeCell ref="H944:I944"/>
    <mergeCell ref="J944:K944"/>
    <mergeCell ref="L944:M944"/>
    <mergeCell ref="A942:D942"/>
    <mergeCell ref="F942:G942"/>
    <mergeCell ref="H942:I942"/>
    <mergeCell ref="J942:K942"/>
    <mergeCell ref="L942:M942"/>
    <mergeCell ref="A943:M943"/>
    <mergeCell ref="A940:D940"/>
    <mergeCell ref="F940:G940"/>
    <mergeCell ref="H940:I940"/>
    <mergeCell ref="J940:K940"/>
    <mergeCell ref="L940:M940"/>
    <mergeCell ref="A941:D941"/>
    <mergeCell ref="F941:G941"/>
    <mergeCell ref="H941:I941"/>
    <mergeCell ref="J941:K941"/>
    <mergeCell ref="L941:M941"/>
    <mergeCell ref="A938:D938"/>
    <mergeCell ref="F938:G938"/>
    <mergeCell ref="H938:I938"/>
    <mergeCell ref="J938:K938"/>
    <mergeCell ref="L938:M938"/>
    <mergeCell ref="A939:M939"/>
    <mergeCell ref="A936:D936"/>
    <mergeCell ref="F936:G936"/>
    <mergeCell ref="H936:I936"/>
    <mergeCell ref="J936:K936"/>
    <mergeCell ref="L936:M936"/>
    <mergeCell ref="A937:D937"/>
    <mergeCell ref="F937:G937"/>
    <mergeCell ref="H937:I937"/>
    <mergeCell ref="J937:K937"/>
    <mergeCell ref="L937:M937"/>
    <mergeCell ref="A934:D934"/>
    <mergeCell ref="F934:G934"/>
    <mergeCell ref="H934:I934"/>
    <mergeCell ref="J934:K934"/>
    <mergeCell ref="L934:M934"/>
    <mergeCell ref="A935:D935"/>
    <mergeCell ref="F935:G935"/>
    <mergeCell ref="H935:I935"/>
    <mergeCell ref="J935:K935"/>
    <mergeCell ref="L935:M935"/>
    <mergeCell ref="A932:M932"/>
    <mergeCell ref="A933:D933"/>
    <mergeCell ref="F933:G933"/>
    <mergeCell ref="H933:I933"/>
    <mergeCell ref="J933:K933"/>
    <mergeCell ref="L933:M933"/>
    <mergeCell ref="A930:C930"/>
    <mergeCell ref="D930:G930"/>
    <mergeCell ref="H930:J930"/>
    <mergeCell ref="K930:M930"/>
    <mergeCell ref="A931:C931"/>
    <mergeCell ref="D931:G931"/>
    <mergeCell ref="H931:J931"/>
    <mergeCell ref="K931:M931"/>
    <mergeCell ref="A928:C928"/>
    <mergeCell ref="D928:G928"/>
    <mergeCell ref="H928:J928"/>
    <mergeCell ref="K928:M928"/>
    <mergeCell ref="D929:E929"/>
    <mergeCell ref="K929:L929"/>
    <mergeCell ref="A921:M921"/>
    <mergeCell ref="A922:M922"/>
    <mergeCell ref="A923:M923"/>
    <mergeCell ref="A924:M924"/>
    <mergeCell ref="A925:M925"/>
    <mergeCell ref="H927:J927"/>
    <mergeCell ref="K927:M927"/>
    <mergeCell ref="A915:M915"/>
    <mergeCell ref="A916:M916"/>
    <mergeCell ref="A917:M917"/>
    <mergeCell ref="A918:M918"/>
    <mergeCell ref="A919:M919"/>
    <mergeCell ref="A920:M920"/>
    <mergeCell ref="A909:M909"/>
    <mergeCell ref="A910:M910"/>
    <mergeCell ref="A911:M911"/>
    <mergeCell ref="A912:M912"/>
    <mergeCell ref="A913:M913"/>
    <mergeCell ref="A914:M914"/>
    <mergeCell ref="A903:M903"/>
    <mergeCell ref="A904:M904"/>
    <mergeCell ref="A905:M905"/>
    <mergeCell ref="A906:M906"/>
    <mergeCell ref="A907:M907"/>
    <mergeCell ref="A908:M908"/>
    <mergeCell ref="A902:B902"/>
    <mergeCell ref="C902:D902"/>
    <mergeCell ref="E902:G902"/>
    <mergeCell ref="H902:I902"/>
    <mergeCell ref="J902:K902"/>
    <mergeCell ref="L902:M902"/>
    <mergeCell ref="A901:B901"/>
    <mergeCell ref="C901:D901"/>
    <mergeCell ref="E901:G901"/>
    <mergeCell ref="H901:I901"/>
    <mergeCell ref="J901:K901"/>
    <mergeCell ref="L901:M901"/>
    <mergeCell ref="A900:B900"/>
    <mergeCell ref="C900:D900"/>
    <mergeCell ref="E900:G900"/>
    <mergeCell ref="H900:I900"/>
    <mergeCell ref="J900:K900"/>
    <mergeCell ref="L900:M900"/>
    <mergeCell ref="A898:D898"/>
    <mergeCell ref="F898:G898"/>
    <mergeCell ref="H898:I898"/>
    <mergeCell ref="J898:K898"/>
    <mergeCell ref="L898:M898"/>
    <mergeCell ref="A899:M899"/>
    <mergeCell ref="A896:D896"/>
    <mergeCell ref="F896:G896"/>
    <mergeCell ref="H896:I896"/>
    <mergeCell ref="J896:K896"/>
    <mergeCell ref="L896:M896"/>
    <mergeCell ref="A897:D897"/>
    <mergeCell ref="F897:G897"/>
    <mergeCell ref="H897:I897"/>
    <mergeCell ref="J897:K897"/>
    <mergeCell ref="L897:M897"/>
    <mergeCell ref="A894:D894"/>
    <mergeCell ref="F894:G894"/>
    <mergeCell ref="H894:I894"/>
    <mergeCell ref="J894:K894"/>
    <mergeCell ref="L894:M894"/>
    <mergeCell ref="A895:M895"/>
    <mergeCell ref="A892:D892"/>
    <mergeCell ref="F892:G892"/>
    <mergeCell ref="H892:I892"/>
    <mergeCell ref="J892:K892"/>
    <mergeCell ref="L892:M892"/>
    <mergeCell ref="A893:D893"/>
    <mergeCell ref="F893:G893"/>
    <mergeCell ref="H893:I893"/>
    <mergeCell ref="J893:K893"/>
    <mergeCell ref="L893:M893"/>
    <mergeCell ref="A890:D890"/>
    <mergeCell ref="F890:G890"/>
    <mergeCell ref="H890:I890"/>
    <mergeCell ref="J890:K890"/>
    <mergeCell ref="L890:M890"/>
    <mergeCell ref="A891:D891"/>
    <mergeCell ref="F891:G891"/>
    <mergeCell ref="H891:I891"/>
    <mergeCell ref="J891:K891"/>
    <mergeCell ref="L891:M891"/>
    <mergeCell ref="A888:M888"/>
    <mergeCell ref="A889:D889"/>
    <mergeCell ref="F889:G889"/>
    <mergeCell ref="H889:I889"/>
    <mergeCell ref="J889:K889"/>
    <mergeCell ref="L889:M889"/>
    <mergeCell ref="A886:C886"/>
    <mergeCell ref="D886:G886"/>
    <mergeCell ref="H886:J886"/>
    <mergeCell ref="K886:M886"/>
    <mergeCell ref="A887:C887"/>
    <mergeCell ref="D887:G887"/>
    <mergeCell ref="H887:J887"/>
    <mergeCell ref="K887:M887"/>
    <mergeCell ref="A884:C884"/>
    <mergeCell ref="D884:G884"/>
    <mergeCell ref="H884:J884"/>
    <mergeCell ref="K884:M884"/>
    <mergeCell ref="D885:E885"/>
    <mergeCell ref="K885:L885"/>
    <mergeCell ref="A877:M877"/>
    <mergeCell ref="A878:M878"/>
    <mergeCell ref="A879:M879"/>
    <mergeCell ref="A880:M880"/>
    <mergeCell ref="A881:M881"/>
    <mergeCell ref="H883:J883"/>
    <mergeCell ref="K883:M883"/>
    <mergeCell ref="A871:M871"/>
    <mergeCell ref="A872:M872"/>
    <mergeCell ref="A873:M873"/>
    <mergeCell ref="A874:M874"/>
    <mergeCell ref="A875:M875"/>
    <mergeCell ref="A876:M876"/>
    <mergeCell ref="A865:M865"/>
    <mergeCell ref="A866:M866"/>
    <mergeCell ref="A867:M867"/>
    <mergeCell ref="A868:M868"/>
    <mergeCell ref="A869:M869"/>
    <mergeCell ref="A870:M870"/>
    <mergeCell ref="A859:M859"/>
    <mergeCell ref="A860:M860"/>
    <mergeCell ref="A861:M861"/>
    <mergeCell ref="A862:M862"/>
    <mergeCell ref="A863:M863"/>
    <mergeCell ref="A864:M864"/>
    <mergeCell ref="A858:B858"/>
    <mergeCell ref="C858:D858"/>
    <mergeCell ref="E858:G858"/>
    <mergeCell ref="H858:I858"/>
    <mergeCell ref="J858:K858"/>
    <mergeCell ref="L858:M858"/>
    <mergeCell ref="A857:B857"/>
    <mergeCell ref="C857:D857"/>
    <mergeCell ref="E857:G857"/>
    <mergeCell ref="H857:I857"/>
    <mergeCell ref="J857:K857"/>
    <mergeCell ref="L857:M857"/>
    <mergeCell ref="A856:B856"/>
    <mergeCell ref="C856:D856"/>
    <mergeCell ref="E856:G856"/>
    <mergeCell ref="H856:I856"/>
    <mergeCell ref="J856:K856"/>
    <mergeCell ref="L856:M856"/>
    <mergeCell ref="A854:D854"/>
    <mergeCell ref="F854:G854"/>
    <mergeCell ref="H854:I854"/>
    <mergeCell ref="J854:K854"/>
    <mergeCell ref="L854:M854"/>
    <mergeCell ref="A855:M855"/>
    <mergeCell ref="A852:D852"/>
    <mergeCell ref="F852:G852"/>
    <mergeCell ref="H852:I852"/>
    <mergeCell ref="J852:K852"/>
    <mergeCell ref="L852:M852"/>
    <mergeCell ref="A853:D853"/>
    <mergeCell ref="F853:G853"/>
    <mergeCell ref="H853:I853"/>
    <mergeCell ref="J853:K853"/>
    <mergeCell ref="L853:M853"/>
    <mergeCell ref="A850:D850"/>
    <mergeCell ref="F850:G850"/>
    <mergeCell ref="H850:I850"/>
    <mergeCell ref="J850:K850"/>
    <mergeCell ref="L850:M850"/>
    <mergeCell ref="A851:M851"/>
    <mergeCell ref="A848:D848"/>
    <mergeCell ref="F848:G848"/>
    <mergeCell ref="H848:I848"/>
    <mergeCell ref="J848:K848"/>
    <mergeCell ref="L848:M848"/>
    <mergeCell ref="A849:D849"/>
    <mergeCell ref="F849:G849"/>
    <mergeCell ref="H849:I849"/>
    <mergeCell ref="J849:K849"/>
    <mergeCell ref="L849:M849"/>
    <mergeCell ref="A846:D846"/>
    <mergeCell ref="F846:G846"/>
    <mergeCell ref="H846:I846"/>
    <mergeCell ref="J846:K846"/>
    <mergeCell ref="L846:M846"/>
    <mergeCell ref="A847:D847"/>
    <mergeCell ref="F847:G847"/>
    <mergeCell ref="H847:I847"/>
    <mergeCell ref="J847:K847"/>
    <mergeCell ref="L847:M847"/>
    <mergeCell ref="A844:M844"/>
    <mergeCell ref="A845:D845"/>
    <mergeCell ref="F845:G845"/>
    <mergeCell ref="H845:I845"/>
    <mergeCell ref="J845:K845"/>
    <mergeCell ref="L845:M845"/>
    <mergeCell ref="A842:C842"/>
    <mergeCell ref="D842:G842"/>
    <mergeCell ref="H842:J842"/>
    <mergeCell ref="K842:M842"/>
    <mergeCell ref="A843:C843"/>
    <mergeCell ref="D843:G843"/>
    <mergeCell ref="H843:J843"/>
    <mergeCell ref="K843:M843"/>
    <mergeCell ref="A840:C840"/>
    <mergeCell ref="D840:G840"/>
    <mergeCell ref="H840:J840"/>
    <mergeCell ref="K840:M840"/>
    <mergeCell ref="D841:E841"/>
    <mergeCell ref="K841:L841"/>
    <mergeCell ref="A833:M833"/>
    <mergeCell ref="A834:M834"/>
    <mergeCell ref="A835:M835"/>
    <mergeCell ref="A836:M836"/>
    <mergeCell ref="A837:M837"/>
    <mergeCell ref="H839:J839"/>
    <mergeCell ref="K839:M839"/>
    <mergeCell ref="A827:M827"/>
    <mergeCell ref="A828:M828"/>
    <mergeCell ref="A829:M829"/>
    <mergeCell ref="A830:M830"/>
    <mergeCell ref="A831:M831"/>
    <mergeCell ref="A832:M832"/>
    <mergeCell ref="A821:M821"/>
    <mergeCell ref="A822:M822"/>
    <mergeCell ref="A823:M823"/>
    <mergeCell ref="A824:M824"/>
    <mergeCell ref="A825:M825"/>
    <mergeCell ref="A826:M826"/>
    <mergeCell ref="A815:M815"/>
    <mergeCell ref="A816:M816"/>
    <mergeCell ref="A817:M817"/>
    <mergeCell ref="A818:M818"/>
    <mergeCell ref="A819:M819"/>
    <mergeCell ref="A820:M820"/>
    <mergeCell ref="A814:B814"/>
    <mergeCell ref="C814:D814"/>
    <mergeCell ref="E814:G814"/>
    <mergeCell ref="H814:I814"/>
    <mergeCell ref="J814:K814"/>
    <mergeCell ref="L814:M814"/>
    <mergeCell ref="A813:B813"/>
    <mergeCell ref="C813:D813"/>
    <mergeCell ref="E813:G813"/>
    <mergeCell ref="H813:I813"/>
    <mergeCell ref="J813:K813"/>
    <mergeCell ref="L813:M813"/>
    <mergeCell ref="A812:B812"/>
    <mergeCell ref="C812:D812"/>
    <mergeCell ref="E812:G812"/>
    <mergeCell ref="H812:I812"/>
    <mergeCell ref="J812:K812"/>
    <mergeCell ref="L812:M812"/>
    <mergeCell ref="A810:D810"/>
    <mergeCell ref="F810:G810"/>
    <mergeCell ref="H810:I810"/>
    <mergeCell ref="J810:K810"/>
    <mergeCell ref="L810:M810"/>
    <mergeCell ref="A811:M811"/>
    <mergeCell ref="A808:D808"/>
    <mergeCell ref="F808:G808"/>
    <mergeCell ref="H808:I808"/>
    <mergeCell ref="J808:K808"/>
    <mergeCell ref="L808:M808"/>
    <mergeCell ref="A809:D809"/>
    <mergeCell ref="F809:G809"/>
    <mergeCell ref="H809:I809"/>
    <mergeCell ref="J809:K809"/>
    <mergeCell ref="L809:M809"/>
    <mergeCell ref="A806:D806"/>
    <mergeCell ref="F806:G806"/>
    <mergeCell ref="H806:I806"/>
    <mergeCell ref="J806:K806"/>
    <mergeCell ref="L806:M806"/>
    <mergeCell ref="A807:M807"/>
    <mergeCell ref="A804:D804"/>
    <mergeCell ref="F804:G804"/>
    <mergeCell ref="H804:I804"/>
    <mergeCell ref="J804:K804"/>
    <mergeCell ref="L804:M804"/>
    <mergeCell ref="A805:D805"/>
    <mergeCell ref="F805:G805"/>
    <mergeCell ref="H805:I805"/>
    <mergeCell ref="J805:K805"/>
    <mergeCell ref="L805:M805"/>
    <mergeCell ref="A802:D802"/>
    <mergeCell ref="F802:G802"/>
    <mergeCell ref="H802:I802"/>
    <mergeCell ref="J802:K802"/>
    <mergeCell ref="L802:M802"/>
    <mergeCell ref="A803:D803"/>
    <mergeCell ref="F803:G803"/>
    <mergeCell ref="H803:I803"/>
    <mergeCell ref="J803:K803"/>
    <mergeCell ref="L803:M803"/>
    <mergeCell ref="A800:M800"/>
    <mergeCell ref="A801:D801"/>
    <mergeCell ref="F801:G801"/>
    <mergeCell ref="H801:I801"/>
    <mergeCell ref="J801:K801"/>
    <mergeCell ref="L801:M801"/>
    <mergeCell ref="A798:C798"/>
    <mergeCell ref="D798:G798"/>
    <mergeCell ref="H798:J798"/>
    <mergeCell ref="K798:M798"/>
    <mergeCell ref="A799:C799"/>
    <mergeCell ref="D799:G799"/>
    <mergeCell ref="H799:J799"/>
    <mergeCell ref="K799:M799"/>
    <mergeCell ref="A796:C796"/>
    <mergeCell ref="D796:G796"/>
    <mergeCell ref="H796:J796"/>
    <mergeCell ref="K796:M796"/>
    <mergeCell ref="D797:E797"/>
    <mergeCell ref="K797:L797"/>
    <mergeCell ref="A789:M789"/>
    <mergeCell ref="A790:M790"/>
    <mergeCell ref="A791:M791"/>
    <mergeCell ref="A792:M792"/>
    <mergeCell ref="A793:M793"/>
    <mergeCell ref="H795:J795"/>
    <mergeCell ref="K795:M795"/>
    <mergeCell ref="A783:M783"/>
    <mergeCell ref="A784:M784"/>
    <mergeCell ref="A785:M785"/>
    <mergeCell ref="A786:M786"/>
    <mergeCell ref="A787:M787"/>
    <mergeCell ref="A788:M788"/>
    <mergeCell ref="A777:M777"/>
    <mergeCell ref="A778:M778"/>
    <mergeCell ref="A779:M779"/>
    <mergeCell ref="A780:M780"/>
    <mergeCell ref="A781:M781"/>
    <mergeCell ref="A782:M782"/>
    <mergeCell ref="A771:M771"/>
    <mergeCell ref="A772:M772"/>
    <mergeCell ref="A773:M773"/>
    <mergeCell ref="A774:M774"/>
    <mergeCell ref="A775:M775"/>
    <mergeCell ref="A776:M776"/>
    <mergeCell ref="A770:B770"/>
    <mergeCell ref="C770:D770"/>
    <mergeCell ref="E770:G770"/>
    <mergeCell ref="H770:I770"/>
    <mergeCell ref="J770:K770"/>
    <mergeCell ref="L770:M770"/>
    <mergeCell ref="A769:B769"/>
    <mergeCell ref="C769:D769"/>
    <mergeCell ref="E769:G769"/>
    <mergeCell ref="H769:I769"/>
    <mergeCell ref="J769:K769"/>
    <mergeCell ref="L769:M769"/>
    <mergeCell ref="A768:B768"/>
    <mergeCell ref="C768:D768"/>
    <mergeCell ref="E768:G768"/>
    <mergeCell ref="H768:I768"/>
    <mergeCell ref="J768:K768"/>
    <mergeCell ref="L768:M768"/>
    <mergeCell ref="A766:D766"/>
    <mergeCell ref="F766:G766"/>
    <mergeCell ref="H766:I766"/>
    <mergeCell ref="J766:K766"/>
    <mergeCell ref="L766:M766"/>
    <mergeCell ref="A767:M767"/>
    <mergeCell ref="A764:D764"/>
    <mergeCell ref="F764:G764"/>
    <mergeCell ref="H764:I764"/>
    <mergeCell ref="J764:K764"/>
    <mergeCell ref="L764:M764"/>
    <mergeCell ref="A765:D765"/>
    <mergeCell ref="F765:G765"/>
    <mergeCell ref="H765:I765"/>
    <mergeCell ref="J765:K765"/>
    <mergeCell ref="L765:M765"/>
    <mergeCell ref="A762:D762"/>
    <mergeCell ref="F762:G762"/>
    <mergeCell ref="H762:I762"/>
    <mergeCell ref="J762:K762"/>
    <mergeCell ref="L762:M762"/>
    <mergeCell ref="A763:M763"/>
    <mergeCell ref="A760:D760"/>
    <mergeCell ref="F760:G760"/>
    <mergeCell ref="H760:I760"/>
    <mergeCell ref="J760:K760"/>
    <mergeCell ref="L760:M760"/>
    <mergeCell ref="A761:D761"/>
    <mergeCell ref="F761:G761"/>
    <mergeCell ref="H761:I761"/>
    <mergeCell ref="J761:K761"/>
    <mergeCell ref="L761:M761"/>
    <mergeCell ref="A758:D758"/>
    <mergeCell ref="F758:G758"/>
    <mergeCell ref="H758:I758"/>
    <mergeCell ref="J758:K758"/>
    <mergeCell ref="L758:M758"/>
    <mergeCell ref="A759:D759"/>
    <mergeCell ref="F759:G759"/>
    <mergeCell ref="H759:I759"/>
    <mergeCell ref="J759:K759"/>
    <mergeCell ref="L759:M759"/>
    <mergeCell ref="A756:M756"/>
    <mergeCell ref="A757:D757"/>
    <mergeCell ref="F757:G757"/>
    <mergeCell ref="H757:I757"/>
    <mergeCell ref="J757:K757"/>
    <mergeCell ref="L757:M757"/>
    <mergeCell ref="A754:C754"/>
    <mergeCell ref="D754:G754"/>
    <mergeCell ref="H754:J754"/>
    <mergeCell ref="K754:M754"/>
    <mergeCell ref="A755:C755"/>
    <mergeCell ref="D755:G755"/>
    <mergeCell ref="H755:J755"/>
    <mergeCell ref="K755:M755"/>
    <mergeCell ref="A752:C752"/>
    <mergeCell ref="D752:G752"/>
    <mergeCell ref="H752:J752"/>
    <mergeCell ref="K752:M752"/>
    <mergeCell ref="D753:E753"/>
    <mergeCell ref="K753:L753"/>
    <mergeCell ref="A745:M745"/>
    <mergeCell ref="A746:M746"/>
    <mergeCell ref="A747:M747"/>
    <mergeCell ref="A748:M748"/>
    <mergeCell ref="A749:M749"/>
    <mergeCell ref="H751:J751"/>
    <mergeCell ref="K751:M751"/>
    <mergeCell ref="A739:M739"/>
    <mergeCell ref="A740:M740"/>
    <mergeCell ref="A741:M741"/>
    <mergeCell ref="A742:M742"/>
    <mergeCell ref="A743:M743"/>
    <mergeCell ref="A744:M744"/>
    <mergeCell ref="A733:M733"/>
    <mergeCell ref="A734:M734"/>
    <mergeCell ref="A735:M735"/>
    <mergeCell ref="A736:M736"/>
    <mergeCell ref="A737:M737"/>
    <mergeCell ref="A738:M738"/>
    <mergeCell ref="A727:M727"/>
    <mergeCell ref="A728:M728"/>
    <mergeCell ref="A729:M729"/>
    <mergeCell ref="A730:M730"/>
    <mergeCell ref="A731:M731"/>
    <mergeCell ref="A732:M732"/>
    <mergeCell ref="A726:B726"/>
    <mergeCell ref="C726:D726"/>
    <mergeCell ref="E726:G726"/>
    <mergeCell ref="H726:I726"/>
    <mergeCell ref="J726:K726"/>
    <mergeCell ref="L726:M726"/>
    <mergeCell ref="A725:B725"/>
    <mergeCell ref="C725:D725"/>
    <mergeCell ref="E725:G725"/>
    <mergeCell ref="H725:I725"/>
    <mergeCell ref="J725:K725"/>
    <mergeCell ref="L725:M725"/>
    <mergeCell ref="A724:B724"/>
    <mergeCell ref="C724:D724"/>
    <mergeCell ref="E724:G724"/>
    <mergeCell ref="H724:I724"/>
    <mergeCell ref="J724:K724"/>
    <mergeCell ref="L724:M724"/>
    <mergeCell ref="A722:D722"/>
    <mergeCell ref="F722:G722"/>
    <mergeCell ref="H722:I722"/>
    <mergeCell ref="J722:K722"/>
    <mergeCell ref="L722:M722"/>
    <mergeCell ref="A723:M723"/>
    <mergeCell ref="A720:D720"/>
    <mergeCell ref="F720:G720"/>
    <mergeCell ref="H720:I720"/>
    <mergeCell ref="J720:K720"/>
    <mergeCell ref="L720:M720"/>
    <mergeCell ref="A721:D721"/>
    <mergeCell ref="F721:G721"/>
    <mergeCell ref="H721:I721"/>
    <mergeCell ref="J721:K721"/>
    <mergeCell ref="L721:M721"/>
    <mergeCell ref="A718:D718"/>
    <mergeCell ref="F718:G718"/>
    <mergeCell ref="H718:I718"/>
    <mergeCell ref="J718:K718"/>
    <mergeCell ref="L718:M718"/>
    <mergeCell ref="A719:M719"/>
    <mergeCell ref="A716:D716"/>
    <mergeCell ref="F716:G716"/>
    <mergeCell ref="H716:I716"/>
    <mergeCell ref="J716:K716"/>
    <mergeCell ref="L716:M716"/>
    <mergeCell ref="A717:D717"/>
    <mergeCell ref="F717:G717"/>
    <mergeCell ref="H717:I717"/>
    <mergeCell ref="J717:K717"/>
    <mergeCell ref="L717:M717"/>
    <mergeCell ref="A714:D714"/>
    <mergeCell ref="F714:G714"/>
    <mergeCell ref="H714:I714"/>
    <mergeCell ref="J714:K714"/>
    <mergeCell ref="L714:M714"/>
    <mergeCell ref="A715:D715"/>
    <mergeCell ref="F715:G715"/>
    <mergeCell ref="H715:I715"/>
    <mergeCell ref="J715:K715"/>
    <mergeCell ref="L715:M715"/>
    <mergeCell ref="A712:M712"/>
    <mergeCell ref="A713:D713"/>
    <mergeCell ref="F713:G713"/>
    <mergeCell ref="H713:I713"/>
    <mergeCell ref="J713:K713"/>
    <mergeCell ref="L713:M713"/>
    <mergeCell ref="A710:C710"/>
    <mergeCell ref="D710:G710"/>
    <mergeCell ref="H710:J710"/>
    <mergeCell ref="K710:M710"/>
    <mergeCell ref="A711:C711"/>
    <mergeCell ref="D711:G711"/>
    <mergeCell ref="H711:J711"/>
    <mergeCell ref="K711:M711"/>
    <mergeCell ref="A708:C708"/>
    <mergeCell ref="D708:G708"/>
    <mergeCell ref="H708:J708"/>
    <mergeCell ref="K708:M708"/>
    <mergeCell ref="D709:E709"/>
    <mergeCell ref="K709:L709"/>
    <mergeCell ref="A701:M701"/>
    <mergeCell ref="A702:M702"/>
    <mergeCell ref="A703:M703"/>
    <mergeCell ref="A704:M704"/>
    <mergeCell ref="A705:M705"/>
    <mergeCell ref="H707:J707"/>
    <mergeCell ref="K707:M707"/>
    <mergeCell ref="A695:M695"/>
    <mergeCell ref="A696:M696"/>
    <mergeCell ref="A697:M697"/>
    <mergeCell ref="A698:M698"/>
    <mergeCell ref="A699:M699"/>
    <mergeCell ref="A700:M700"/>
    <mergeCell ref="A689:M689"/>
    <mergeCell ref="A690:M690"/>
    <mergeCell ref="A691:M691"/>
    <mergeCell ref="A692:M692"/>
    <mergeCell ref="A693:M693"/>
    <mergeCell ref="A694:M694"/>
    <mergeCell ref="A683:M683"/>
    <mergeCell ref="A684:M684"/>
    <mergeCell ref="A685:M685"/>
    <mergeCell ref="A686:M686"/>
    <mergeCell ref="A687:M687"/>
    <mergeCell ref="A688:M688"/>
    <mergeCell ref="A682:B682"/>
    <mergeCell ref="C682:D682"/>
    <mergeCell ref="E682:G682"/>
    <mergeCell ref="H682:I682"/>
    <mergeCell ref="J682:K682"/>
    <mergeCell ref="L682:M682"/>
    <mergeCell ref="A681:B681"/>
    <mergeCell ref="C681:D681"/>
    <mergeCell ref="E681:G681"/>
    <mergeCell ref="H681:I681"/>
    <mergeCell ref="J681:K681"/>
    <mergeCell ref="L681:M681"/>
    <mergeCell ref="A680:B680"/>
    <mergeCell ref="C680:D680"/>
    <mergeCell ref="E680:G680"/>
    <mergeCell ref="H680:I680"/>
    <mergeCell ref="J680:K680"/>
    <mergeCell ref="L680:M680"/>
    <mergeCell ref="A678:D678"/>
    <mergeCell ref="F678:G678"/>
    <mergeCell ref="H678:I678"/>
    <mergeCell ref="J678:K678"/>
    <mergeCell ref="L678:M678"/>
    <mergeCell ref="A679:M679"/>
    <mergeCell ref="A676:D676"/>
    <mergeCell ref="F676:G676"/>
    <mergeCell ref="H676:I676"/>
    <mergeCell ref="J676:K676"/>
    <mergeCell ref="L676:M676"/>
    <mergeCell ref="A677:D677"/>
    <mergeCell ref="F677:G677"/>
    <mergeCell ref="H677:I677"/>
    <mergeCell ref="J677:K677"/>
    <mergeCell ref="L677:M677"/>
    <mergeCell ref="A674:D674"/>
    <mergeCell ref="F674:G674"/>
    <mergeCell ref="H674:I674"/>
    <mergeCell ref="J674:K674"/>
    <mergeCell ref="L674:M674"/>
    <mergeCell ref="A675:M675"/>
    <mergeCell ref="A672:D672"/>
    <mergeCell ref="F672:G672"/>
    <mergeCell ref="H672:I672"/>
    <mergeCell ref="J672:K672"/>
    <mergeCell ref="L672:M672"/>
    <mergeCell ref="A673:D673"/>
    <mergeCell ref="F673:G673"/>
    <mergeCell ref="H673:I673"/>
    <mergeCell ref="J673:K673"/>
    <mergeCell ref="L673:M673"/>
    <mergeCell ref="A670:D670"/>
    <mergeCell ref="F670:G670"/>
    <mergeCell ref="H670:I670"/>
    <mergeCell ref="J670:K670"/>
    <mergeCell ref="L670:M670"/>
    <mergeCell ref="A671:D671"/>
    <mergeCell ref="F671:G671"/>
    <mergeCell ref="H671:I671"/>
    <mergeCell ref="J671:K671"/>
    <mergeCell ref="L671:M671"/>
    <mergeCell ref="A668:M668"/>
    <mergeCell ref="A669:D669"/>
    <mergeCell ref="F669:G669"/>
    <mergeCell ref="H669:I669"/>
    <mergeCell ref="J669:K669"/>
    <mergeCell ref="L669:M669"/>
    <mergeCell ref="A666:C666"/>
    <mergeCell ref="D666:G666"/>
    <mergeCell ref="H666:J666"/>
    <mergeCell ref="K666:M666"/>
    <mergeCell ref="A667:C667"/>
    <mergeCell ref="D667:G667"/>
    <mergeCell ref="H667:J667"/>
    <mergeCell ref="K667:M667"/>
    <mergeCell ref="A664:C664"/>
    <mergeCell ref="D664:G664"/>
    <mergeCell ref="H664:J664"/>
    <mergeCell ref="K664:M664"/>
    <mergeCell ref="D665:E665"/>
    <mergeCell ref="K665:L665"/>
    <mergeCell ref="A657:M657"/>
    <mergeCell ref="A658:M658"/>
    <mergeCell ref="A659:M659"/>
    <mergeCell ref="A660:M660"/>
    <mergeCell ref="A661:M661"/>
    <mergeCell ref="H663:J663"/>
    <mergeCell ref="K663:M663"/>
    <mergeCell ref="A651:M651"/>
    <mergeCell ref="A652:M652"/>
    <mergeCell ref="A653:M653"/>
    <mergeCell ref="A654:M654"/>
    <mergeCell ref="A655:M655"/>
    <mergeCell ref="A656:M656"/>
    <mergeCell ref="A645:M645"/>
    <mergeCell ref="A646:M646"/>
    <mergeCell ref="A647:M647"/>
    <mergeCell ref="A648:M648"/>
    <mergeCell ref="A649:M649"/>
    <mergeCell ref="A650:M650"/>
    <mergeCell ref="A639:M639"/>
    <mergeCell ref="A640:M640"/>
    <mergeCell ref="A641:M641"/>
    <mergeCell ref="A642:M642"/>
    <mergeCell ref="A643:M643"/>
    <mergeCell ref="A644:M644"/>
    <mergeCell ref="A638:B638"/>
    <mergeCell ref="C638:D638"/>
    <mergeCell ref="E638:G638"/>
    <mergeCell ref="H638:I638"/>
    <mergeCell ref="J638:K638"/>
    <mergeCell ref="L638:M638"/>
    <mergeCell ref="A637:B637"/>
    <mergeCell ref="C637:D637"/>
    <mergeCell ref="E637:G637"/>
    <mergeCell ref="H637:I637"/>
    <mergeCell ref="J637:K637"/>
    <mergeCell ref="L637:M637"/>
    <mergeCell ref="A636:B636"/>
    <mergeCell ref="C636:D636"/>
    <mergeCell ref="E636:G636"/>
    <mergeCell ref="H636:I636"/>
    <mergeCell ref="J636:K636"/>
    <mergeCell ref="L636:M636"/>
    <mergeCell ref="A634:D634"/>
    <mergeCell ref="F634:G634"/>
    <mergeCell ref="H634:I634"/>
    <mergeCell ref="J634:K634"/>
    <mergeCell ref="L634:M634"/>
    <mergeCell ref="A635:M635"/>
    <mergeCell ref="A632:D632"/>
    <mergeCell ref="F632:G632"/>
    <mergeCell ref="H632:I632"/>
    <mergeCell ref="J632:K632"/>
    <mergeCell ref="L632:M632"/>
    <mergeCell ref="A633:D633"/>
    <mergeCell ref="F633:G633"/>
    <mergeCell ref="H633:I633"/>
    <mergeCell ref="J633:K633"/>
    <mergeCell ref="L633:M633"/>
    <mergeCell ref="A630:D630"/>
    <mergeCell ref="F630:G630"/>
    <mergeCell ref="H630:I630"/>
    <mergeCell ref="J630:K630"/>
    <mergeCell ref="L630:M630"/>
    <mergeCell ref="A631:M631"/>
    <mergeCell ref="A628:D628"/>
    <mergeCell ref="F628:G628"/>
    <mergeCell ref="H628:I628"/>
    <mergeCell ref="J628:K628"/>
    <mergeCell ref="L628:M628"/>
    <mergeCell ref="A629:D629"/>
    <mergeCell ref="F629:G629"/>
    <mergeCell ref="H629:I629"/>
    <mergeCell ref="J629:K629"/>
    <mergeCell ref="L629:M629"/>
    <mergeCell ref="A626:D626"/>
    <mergeCell ref="F626:G626"/>
    <mergeCell ref="H626:I626"/>
    <mergeCell ref="J626:K626"/>
    <mergeCell ref="L626:M626"/>
    <mergeCell ref="A627:D627"/>
    <mergeCell ref="F627:G627"/>
    <mergeCell ref="H627:I627"/>
    <mergeCell ref="J627:K627"/>
    <mergeCell ref="L627:M627"/>
    <mergeCell ref="A624:M624"/>
    <mergeCell ref="A625:D625"/>
    <mergeCell ref="F625:G625"/>
    <mergeCell ref="H625:I625"/>
    <mergeCell ref="J625:K625"/>
    <mergeCell ref="L625:M625"/>
    <mergeCell ref="A622:C622"/>
    <mergeCell ref="D622:G622"/>
    <mergeCell ref="H622:J622"/>
    <mergeCell ref="K622:M622"/>
    <mergeCell ref="A623:C623"/>
    <mergeCell ref="D623:G623"/>
    <mergeCell ref="H623:J623"/>
    <mergeCell ref="K623:M623"/>
    <mergeCell ref="A620:C620"/>
    <mergeCell ref="D620:G620"/>
    <mergeCell ref="H620:J620"/>
    <mergeCell ref="K620:M620"/>
    <mergeCell ref="D621:E621"/>
    <mergeCell ref="K621:L621"/>
    <mergeCell ref="A613:M613"/>
    <mergeCell ref="A614:M614"/>
    <mergeCell ref="A615:M615"/>
    <mergeCell ref="A616:M616"/>
    <mergeCell ref="A617:M617"/>
    <mergeCell ref="H619:J619"/>
    <mergeCell ref="K619:M619"/>
    <mergeCell ref="A607:M607"/>
    <mergeCell ref="A608:M608"/>
    <mergeCell ref="A609:M609"/>
    <mergeCell ref="A610:M610"/>
    <mergeCell ref="A611:M611"/>
    <mergeCell ref="A612:M612"/>
    <mergeCell ref="A601:M601"/>
    <mergeCell ref="A602:M602"/>
    <mergeCell ref="A603:M603"/>
    <mergeCell ref="A604:M604"/>
    <mergeCell ref="A605:M605"/>
    <mergeCell ref="A606:M606"/>
    <mergeCell ref="A595:M595"/>
    <mergeCell ref="A596:M596"/>
    <mergeCell ref="A597:M597"/>
    <mergeCell ref="A598:M598"/>
    <mergeCell ref="A599:M599"/>
    <mergeCell ref="A600:M600"/>
    <mergeCell ref="A594:B594"/>
    <mergeCell ref="C594:D594"/>
    <mergeCell ref="E594:G594"/>
    <mergeCell ref="H594:I594"/>
    <mergeCell ref="J594:K594"/>
    <mergeCell ref="L594:M594"/>
    <mergeCell ref="A593:B593"/>
    <mergeCell ref="C593:D593"/>
    <mergeCell ref="E593:G593"/>
    <mergeCell ref="H593:I593"/>
    <mergeCell ref="J593:K593"/>
    <mergeCell ref="L593:M593"/>
    <mergeCell ref="A592:B592"/>
    <mergeCell ref="C592:D592"/>
    <mergeCell ref="E592:G592"/>
    <mergeCell ref="H592:I592"/>
    <mergeCell ref="J592:K592"/>
    <mergeCell ref="L592:M592"/>
    <mergeCell ref="A590:D590"/>
    <mergeCell ref="F590:G590"/>
    <mergeCell ref="H590:I590"/>
    <mergeCell ref="J590:K590"/>
    <mergeCell ref="L590:M590"/>
    <mergeCell ref="A591:M591"/>
    <mergeCell ref="A588:D588"/>
    <mergeCell ref="F588:G588"/>
    <mergeCell ref="H588:I588"/>
    <mergeCell ref="J588:K588"/>
    <mergeCell ref="L588:M588"/>
    <mergeCell ref="A589:D589"/>
    <mergeCell ref="F589:G589"/>
    <mergeCell ref="H589:I589"/>
    <mergeCell ref="J589:K589"/>
    <mergeCell ref="L589:M589"/>
    <mergeCell ref="A586:D586"/>
    <mergeCell ref="F586:G586"/>
    <mergeCell ref="H586:I586"/>
    <mergeCell ref="J586:K586"/>
    <mergeCell ref="L586:M586"/>
    <mergeCell ref="A587:M587"/>
    <mergeCell ref="A584:D584"/>
    <mergeCell ref="F584:G584"/>
    <mergeCell ref="H584:I584"/>
    <mergeCell ref="J584:K584"/>
    <mergeCell ref="L584:M584"/>
    <mergeCell ref="A585:D585"/>
    <mergeCell ref="F585:G585"/>
    <mergeCell ref="H585:I585"/>
    <mergeCell ref="J585:K585"/>
    <mergeCell ref="L585:M585"/>
    <mergeCell ref="A582:D582"/>
    <mergeCell ref="F582:G582"/>
    <mergeCell ref="H582:I582"/>
    <mergeCell ref="J582:K582"/>
    <mergeCell ref="L582:M582"/>
    <mergeCell ref="A583:D583"/>
    <mergeCell ref="F583:G583"/>
    <mergeCell ref="H583:I583"/>
    <mergeCell ref="J583:K583"/>
    <mergeCell ref="L583:M583"/>
    <mergeCell ref="A580:M580"/>
    <mergeCell ref="A581:D581"/>
    <mergeCell ref="F581:G581"/>
    <mergeCell ref="H581:I581"/>
    <mergeCell ref="J581:K581"/>
    <mergeCell ref="L581:M581"/>
    <mergeCell ref="A578:C578"/>
    <mergeCell ref="D578:G578"/>
    <mergeCell ref="H578:J578"/>
    <mergeCell ref="K578:M578"/>
    <mergeCell ref="A579:C579"/>
    <mergeCell ref="D579:G579"/>
    <mergeCell ref="H579:J579"/>
    <mergeCell ref="K579:M579"/>
    <mergeCell ref="A576:C576"/>
    <mergeCell ref="D576:G576"/>
    <mergeCell ref="H576:J576"/>
    <mergeCell ref="K576:M576"/>
    <mergeCell ref="D577:E577"/>
    <mergeCell ref="K577:L577"/>
    <mergeCell ref="A569:M569"/>
    <mergeCell ref="A570:M570"/>
    <mergeCell ref="A571:M571"/>
    <mergeCell ref="A572:M572"/>
    <mergeCell ref="A573:M573"/>
    <mergeCell ref="H575:J575"/>
    <mergeCell ref="K575:M575"/>
    <mergeCell ref="A563:M563"/>
    <mergeCell ref="A564:M564"/>
    <mergeCell ref="A565:M565"/>
    <mergeCell ref="A566:M566"/>
    <mergeCell ref="A567:M567"/>
    <mergeCell ref="A568:M568"/>
    <mergeCell ref="A557:M557"/>
    <mergeCell ref="A558:M558"/>
    <mergeCell ref="A559:M559"/>
    <mergeCell ref="A560:M560"/>
    <mergeCell ref="A561:M561"/>
    <mergeCell ref="A562:M562"/>
    <mergeCell ref="A551:M551"/>
    <mergeCell ref="A552:M552"/>
    <mergeCell ref="A553:M553"/>
    <mergeCell ref="A554:M554"/>
    <mergeCell ref="A555:M555"/>
    <mergeCell ref="A556:M556"/>
    <mergeCell ref="A550:B550"/>
    <mergeCell ref="C550:D550"/>
    <mergeCell ref="E550:G550"/>
    <mergeCell ref="H550:I550"/>
    <mergeCell ref="J550:K550"/>
    <mergeCell ref="L550:M550"/>
    <mergeCell ref="A549:B549"/>
    <mergeCell ref="C549:D549"/>
    <mergeCell ref="E549:G549"/>
    <mergeCell ref="H549:I549"/>
    <mergeCell ref="J549:K549"/>
    <mergeCell ref="L549:M549"/>
    <mergeCell ref="A548:B548"/>
    <mergeCell ref="C548:D548"/>
    <mergeCell ref="E548:G548"/>
    <mergeCell ref="H548:I548"/>
    <mergeCell ref="J548:K548"/>
    <mergeCell ref="L548:M548"/>
    <mergeCell ref="A546:D546"/>
    <mergeCell ref="F546:G546"/>
    <mergeCell ref="H546:I546"/>
    <mergeCell ref="J546:K546"/>
    <mergeCell ref="L546:M546"/>
    <mergeCell ref="A547:M547"/>
    <mergeCell ref="A544:D544"/>
    <mergeCell ref="F544:G544"/>
    <mergeCell ref="H544:I544"/>
    <mergeCell ref="J544:K544"/>
    <mergeCell ref="L544:M544"/>
    <mergeCell ref="A545:D545"/>
    <mergeCell ref="F545:G545"/>
    <mergeCell ref="H545:I545"/>
    <mergeCell ref="J545:K545"/>
    <mergeCell ref="L545:M545"/>
    <mergeCell ref="A542:D542"/>
    <mergeCell ref="F542:G542"/>
    <mergeCell ref="H542:I542"/>
    <mergeCell ref="J542:K542"/>
    <mergeCell ref="L542:M542"/>
    <mergeCell ref="A543:M543"/>
    <mergeCell ref="A540:D540"/>
    <mergeCell ref="F540:G540"/>
    <mergeCell ref="H540:I540"/>
    <mergeCell ref="J540:K540"/>
    <mergeCell ref="L540:M540"/>
    <mergeCell ref="A541:D541"/>
    <mergeCell ref="F541:G541"/>
    <mergeCell ref="H541:I541"/>
    <mergeCell ref="J541:K541"/>
    <mergeCell ref="L541:M541"/>
    <mergeCell ref="A538:D538"/>
    <mergeCell ref="F538:G538"/>
    <mergeCell ref="H538:I538"/>
    <mergeCell ref="J538:K538"/>
    <mergeCell ref="L538:M538"/>
    <mergeCell ref="A539:D539"/>
    <mergeCell ref="F539:G539"/>
    <mergeCell ref="H539:I539"/>
    <mergeCell ref="J539:K539"/>
    <mergeCell ref="L539:M539"/>
    <mergeCell ref="A536:M536"/>
    <mergeCell ref="A537:D537"/>
    <mergeCell ref="F537:G537"/>
    <mergeCell ref="H537:I537"/>
    <mergeCell ref="J537:K537"/>
    <mergeCell ref="L537:M537"/>
    <mergeCell ref="A534:C534"/>
    <mergeCell ref="D534:G534"/>
    <mergeCell ref="H534:J534"/>
    <mergeCell ref="K534:M534"/>
    <mergeCell ref="A535:C535"/>
    <mergeCell ref="D535:G535"/>
    <mergeCell ref="H535:J535"/>
    <mergeCell ref="K535:M535"/>
    <mergeCell ref="A532:C532"/>
    <mergeCell ref="D532:G532"/>
    <mergeCell ref="H532:J532"/>
    <mergeCell ref="K532:M532"/>
    <mergeCell ref="D533:E533"/>
    <mergeCell ref="K533:L533"/>
    <mergeCell ref="A525:M525"/>
    <mergeCell ref="A526:M526"/>
    <mergeCell ref="A527:M527"/>
    <mergeCell ref="A528:M528"/>
    <mergeCell ref="A529:M529"/>
    <mergeCell ref="H531:J531"/>
    <mergeCell ref="K531:M531"/>
    <mergeCell ref="A519:M519"/>
    <mergeCell ref="A520:M520"/>
    <mergeCell ref="A521:M521"/>
    <mergeCell ref="A522:M522"/>
    <mergeCell ref="A523:M523"/>
    <mergeCell ref="A524:M524"/>
    <mergeCell ref="A513:M513"/>
    <mergeCell ref="A514:M514"/>
    <mergeCell ref="A515:M515"/>
    <mergeCell ref="A516:M516"/>
    <mergeCell ref="A517:M517"/>
    <mergeCell ref="A518:M518"/>
    <mergeCell ref="A507:M507"/>
    <mergeCell ref="A508:M508"/>
    <mergeCell ref="A509:M509"/>
    <mergeCell ref="A510:M510"/>
    <mergeCell ref="A511:M511"/>
    <mergeCell ref="A512:M512"/>
    <mergeCell ref="A506:B506"/>
    <mergeCell ref="C506:D506"/>
    <mergeCell ref="E506:G506"/>
    <mergeCell ref="H506:I506"/>
    <mergeCell ref="J506:K506"/>
    <mergeCell ref="L506:M506"/>
    <mergeCell ref="A505:B505"/>
    <mergeCell ref="C505:D505"/>
    <mergeCell ref="E505:G505"/>
    <mergeCell ref="H505:I505"/>
    <mergeCell ref="J505:K505"/>
    <mergeCell ref="L505:M505"/>
    <mergeCell ref="A504:B504"/>
    <mergeCell ref="C504:D504"/>
    <mergeCell ref="E504:G504"/>
    <mergeCell ref="H504:I504"/>
    <mergeCell ref="J504:K504"/>
    <mergeCell ref="L504:M504"/>
    <mergeCell ref="A502:D502"/>
    <mergeCell ref="F502:G502"/>
    <mergeCell ref="H502:I502"/>
    <mergeCell ref="J502:K502"/>
    <mergeCell ref="L502:M502"/>
    <mergeCell ref="A503:M503"/>
    <mergeCell ref="A500:D500"/>
    <mergeCell ref="F500:G500"/>
    <mergeCell ref="H500:I500"/>
    <mergeCell ref="J500:K500"/>
    <mergeCell ref="L500:M500"/>
    <mergeCell ref="A501:D501"/>
    <mergeCell ref="F501:G501"/>
    <mergeCell ref="H501:I501"/>
    <mergeCell ref="J501:K501"/>
    <mergeCell ref="L501:M501"/>
    <mergeCell ref="A498:D498"/>
    <mergeCell ref="F498:G498"/>
    <mergeCell ref="H498:I498"/>
    <mergeCell ref="J498:K498"/>
    <mergeCell ref="L498:M498"/>
    <mergeCell ref="A499:M499"/>
    <mergeCell ref="A496:D496"/>
    <mergeCell ref="F496:G496"/>
    <mergeCell ref="H496:I496"/>
    <mergeCell ref="J496:K496"/>
    <mergeCell ref="L496:M496"/>
    <mergeCell ref="A497:D497"/>
    <mergeCell ref="F497:G497"/>
    <mergeCell ref="H497:I497"/>
    <mergeCell ref="J497:K497"/>
    <mergeCell ref="L497:M497"/>
    <mergeCell ref="A494:D494"/>
    <mergeCell ref="F494:G494"/>
    <mergeCell ref="H494:I494"/>
    <mergeCell ref="J494:K494"/>
    <mergeCell ref="L494:M494"/>
    <mergeCell ref="A495:D495"/>
    <mergeCell ref="F495:G495"/>
    <mergeCell ref="H495:I495"/>
    <mergeCell ref="J495:K495"/>
    <mergeCell ref="L495:M495"/>
    <mergeCell ref="A492:M492"/>
    <mergeCell ref="A493:D493"/>
    <mergeCell ref="F493:G493"/>
    <mergeCell ref="H493:I493"/>
    <mergeCell ref="J493:K493"/>
    <mergeCell ref="L493:M493"/>
    <mergeCell ref="A490:C490"/>
    <mergeCell ref="D490:G490"/>
    <mergeCell ref="H490:J490"/>
    <mergeCell ref="K490:M490"/>
    <mergeCell ref="A491:C491"/>
    <mergeCell ref="D491:G491"/>
    <mergeCell ref="H491:J491"/>
    <mergeCell ref="K491:M491"/>
    <mergeCell ref="A488:C488"/>
    <mergeCell ref="D488:G488"/>
    <mergeCell ref="H488:J488"/>
    <mergeCell ref="K488:M488"/>
    <mergeCell ref="D489:E489"/>
    <mergeCell ref="K489:L489"/>
    <mergeCell ref="A481:M481"/>
    <mergeCell ref="A482:M482"/>
    <mergeCell ref="A483:M483"/>
    <mergeCell ref="A484:M484"/>
    <mergeCell ref="A485:M485"/>
    <mergeCell ref="H487:J487"/>
    <mergeCell ref="K487:M487"/>
    <mergeCell ref="A475:M475"/>
    <mergeCell ref="A476:M476"/>
    <mergeCell ref="A477:M477"/>
    <mergeCell ref="A478:M478"/>
    <mergeCell ref="A479:M479"/>
    <mergeCell ref="A480:M480"/>
    <mergeCell ref="A469:M469"/>
    <mergeCell ref="A470:M470"/>
    <mergeCell ref="A471:M471"/>
    <mergeCell ref="A472:M472"/>
    <mergeCell ref="A473:M473"/>
    <mergeCell ref="A474:M474"/>
    <mergeCell ref="A463:M463"/>
    <mergeCell ref="A464:M464"/>
    <mergeCell ref="A465:M465"/>
    <mergeCell ref="A466:M466"/>
    <mergeCell ref="A467:M467"/>
    <mergeCell ref="A468:M468"/>
    <mergeCell ref="A462:B462"/>
    <mergeCell ref="C462:D462"/>
    <mergeCell ref="E462:G462"/>
    <mergeCell ref="H462:I462"/>
    <mergeCell ref="J462:K462"/>
    <mergeCell ref="L462:M462"/>
    <mergeCell ref="A461:B461"/>
    <mergeCell ref="C461:D461"/>
    <mergeCell ref="E461:G461"/>
    <mergeCell ref="H461:I461"/>
    <mergeCell ref="J461:K461"/>
    <mergeCell ref="L461:M461"/>
    <mergeCell ref="A460:B460"/>
    <mergeCell ref="C460:D460"/>
    <mergeCell ref="E460:G460"/>
    <mergeCell ref="H460:I460"/>
    <mergeCell ref="J460:K460"/>
    <mergeCell ref="L460:M460"/>
    <mergeCell ref="A458:D458"/>
    <mergeCell ref="F458:G458"/>
    <mergeCell ref="H458:I458"/>
    <mergeCell ref="J458:K458"/>
    <mergeCell ref="L458:M458"/>
    <mergeCell ref="A459:M459"/>
    <mergeCell ref="A456:D456"/>
    <mergeCell ref="F456:G456"/>
    <mergeCell ref="H456:I456"/>
    <mergeCell ref="J456:K456"/>
    <mergeCell ref="L456:M456"/>
    <mergeCell ref="A457:D457"/>
    <mergeCell ref="F457:G457"/>
    <mergeCell ref="H457:I457"/>
    <mergeCell ref="J457:K457"/>
    <mergeCell ref="L457:M457"/>
    <mergeCell ref="A454:D454"/>
    <mergeCell ref="F454:G454"/>
    <mergeCell ref="H454:I454"/>
    <mergeCell ref="J454:K454"/>
    <mergeCell ref="L454:M454"/>
    <mergeCell ref="A455:M455"/>
    <mergeCell ref="A452:D452"/>
    <mergeCell ref="F452:G452"/>
    <mergeCell ref="H452:I452"/>
    <mergeCell ref="J452:K452"/>
    <mergeCell ref="L452:M452"/>
    <mergeCell ref="A453:D453"/>
    <mergeCell ref="F453:G453"/>
    <mergeCell ref="H453:I453"/>
    <mergeCell ref="J453:K453"/>
    <mergeCell ref="L453:M453"/>
    <mergeCell ref="A450:D450"/>
    <mergeCell ref="F450:G450"/>
    <mergeCell ref="H450:I450"/>
    <mergeCell ref="J450:K450"/>
    <mergeCell ref="L450:M450"/>
    <mergeCell ref="A451:D451"/>
    <mergeCell ref="F451:G451"/>
    <mergeCell ref="H451:I451"/>
    <mergeCell ref="J451:K451"/>
    <mergeCell ref="L451:M451"/>
    <mergeCell ref="A448:M448"/>
    <mergeCell ref="A449:D449"/>
    <mergeCell ref="F449:G449"/>
    <mergeCell ref="H449:I449"/>
    <mergeCell ref="J449:K449"/>
    <mergeCell ref="L449:M449"/>
    <mergeCell ref="A446:C446"/>
    <mergeCell ref="D446:G446"/>
    <mergeCell ref="H446:J446"/>
    <mergeCell ref="K446:M446"/>
    <mergeCell ref="A447:C447"/>
    <mergeCell ref="D447:G447"/>
    <mergeCell ref="H447:J447"/>
    <mergeCell ref="K447:M447"/>
    <mergeCell ref="A444:C444"/>
    <mergeCell ref="D444:G444"/>
    <mergeCell ref="H444:J444"/>
    <mergeCell ref="K444:M444"/>
    <mergeCell ref="D445:E445"/>
    <mergeCell ref="K445:L445"/>
    <mergeCell ref="A437:M437"/>
    <mergeCell ref="A438:M438"/>
    <mergeCell ref="A439:M439"/>
    <mergeCell ref="A440:M440"/>
    <mergeCell ref="A441:M441"/>
    <mergeCell ref="H443:J443"/>
    <mergeCell ref="K443:M443"/>
    <mergeCell ref="A431:M431"/>
    <mergeCell ref="A432:M432"/>
    <mergeCell ref="A433:M433"/>
    <mergeCell ref="A434:M434"/>
    <mergeCell ref="A435:M435"/>
    <mergeCell ref="A436:M436"/>
    <mergeCell ref="A425:M425"/>
    <mergeCell ref="A426:M426"/>
    <mergeCell ref="A427:M427"/>
    <mergeCell ref="A428:M428"/>
    <mergeCell ref="A429:M429"/>
    <mergeCell ref="A430:M430"/>
    <mergeCell ref="A419:M419"/>
    <mergeCell ref="A420:M420"/>
    <mergeCell ref="A421:M421"/>
    <mergeCell ref="A422:M422"/>
    <mergeCell ref="A423:M423"/>
    <mergeCell ref="A424:M424"/>
    <mergeCell ref="A418:B418"/>
    <mergeCell ref="C418:D418"/>
    <mergeCell ref="E418:G418"/>
    <mergeCell ref="H418:I418"/>
    <mergeCell ref="J418:K418"/>
    <mergeCell ref="L418:M418"/>
    <mergeCell ref="A417:B417"/>
    <mergeCell ref="C417:D417"/>
    <mergeCell ref="E417:G417"/>
    <mergeCell ref="H417:I417"/>
    <mergeCell ref="J417:K417"/>
    <mergeCell ref="L417:M417"/>
    <mergeCell ref="A416:B416"/>
    <mergeCell ref="C416:D416"/>
    <mergeCell ref="E416:G416"/>
    <mergeCell ref="H416:I416"/>
    <mergeCell ref="J416:K416"/>
    <mergeCell ref="L416:M416"/>
    <mergeCell ref="A414:D414"/>
    <mergeCell ref="F414:G414"/>
    <mergeCell ref="H414:I414"/>
    <mergeCell ref="J414:K414"/>
    <mergeCell ref="L414:M414"/>
    <mergeCell ref="A415:M415"/>
    <mergeCell ref="A412:D412"/>
    <mergeCell ref="F412:G412"/>
    <mergeCell ref="H412:I412"/>
    <mergeCell ref="J412:K412"/>
    <mergeCell ref="L412:M412"/>
    <mergeCell ref="A413:D413"/>
    <mergeCell ref="F413:G413"/>
    <mergeCell ref="H413:I413"/>
    <mergeCell ref="J413:K413"/>
    <mergeCell ref="L413:M413"/>
    <mergeCell ref="A410:D410"/>
    <mergeCell ref="F410:G410"/>
    <mergeCell ref="H410:I410"/>
    <mergeCell ref="J410:K410"/>
    <mergeCell ref="L410:M410"/>
    <mergeCell ref="A411:M411"/>
    <mergeCell ref="A408:D408"/>
    <mergeCell ref="F408:G408"/>
    <mergeCell ref="H408:I408"/>
    <mergeCell ref="J408:K408"/>
    <mergeCell ref="L408:M408"/>
    <mergeCell ref="A409:D409"/>
    <mergeCell ref="F409:G409"/>
    <mergeCell ref="H409:I409"/>
    <mergeCell ref="J409:K409"/>
    <mergeCell ref="L409:M409"/>
    <mergeCell ref="A406:D406"/>
    <mergeCell ref="F406:G406"/>
    <mergeCell ref="H406:I406"/>
    <mergeCell ref="J406:K406"/>
    <mergeCell ref="L406:M406"/>
    <mergeCell ref="A407:D407"/>
    <mergeCell ref="F407:G407"/>
    <mergeCell ref="H407:I407"/>
    <mergeCell ref="J407:K407"/>
    <mergeCell ref="L407:M407"/>
    <mergeCell ref="A404:M404"/>
    <mergeCell ref="A405:D405"/>
    <mergeCell ref="F405:G405"/>
    <mergeCell ref="H405:I405"/>
    <mergeCell ref="J405:K405"/>
    <mergeCell ref="L405:M405"/>
    <mergeCell ref="A402:C402"/>
    <mergeCell ref="D402:G402"/>
    <mergeCell ref="H402:J402"/>
    <mergeCell ref="K402:M402"/>
    <mergeCell ref="A403:C403"/>
    <mergeCell ref="D403:G403"/>
    <mergeCell ref="H403:J403"/>
    <mergeCell ref="K403:M403"/>
    <mergeCell ref="A400:C400"/>
    <mergeCell ref="D400:G400"/>
    <mergeCell ref="H400:J400"/>
    <mergeCell ref="K400:M400"/>
    <mergeCell ref="D401:E401"/>
    <mergeCell ref="K401:L401"/>
    <mergeCell ref="A393:M393"/>
    <mergeCell ref="A394:M394"/>
    <mergeCell ref="A395:M395"/>
    <mergeCell ref="A396:M396"/>
    <mergeCell ref="A397:M397"/>
    <mergeCell ref="H399:J399"/>
    <mergeCell ref="K399:M399"/>
    <mergeCell ref="A387:M387"/>
    <mergeCell ref="A388:M388"/>
    <mergeCell ref="A389:M389"/>
    <mergeCell ref="A390:M390"/>
    <mergeCell ref="A391:M391"/>
    <mergeCell ref="A392:M392"/>
    <mergeCell ref="A381:M381"/>
    <mergeCell ref="A382:M382"/>
    <mergeCell ref="A383:M383"/>
    <mergeCell ref="A384:M384"/>
    <mergeCell ref="A385:M385"/>
    <mergeCell ref="A386:M386"/>
    <mergeCell ref="A375:M375"/>
    <mergeCell ref="A376:M376"/>
    <mergeCell ref="A377:M377"/>
    <mergeCell ref="A378:M378"/>
    <mergeCell ref="A379:M379"/>
    <mergeCell ref="A380:M380"/>
    <mergeCell ref="A374:B374"/>
    <mergeCell ref="C374:D374"/>
    <mergeCell ref="E374:G374"/>
    <mergeCell ref="H374:I374"/>
    <mergeCell ref="J374:K374"/>
    <mergeCell ref="L374:M374"/>
    <mergeCell ref="A373:B373"/>
    <mergeCell ref="C373:D373"/>
    <mergeCell ref="E373:G373"/>
    <mergeCell ref="H373:I373"/>
    <mergeCell ref="J373:K373"/>
    <mergeCell ref="L373:M373"/>
    <mergeCell ref="A372:B372"/>
    <mergeCell ref="C372:D372"/>
    <mergeCell ref="E372:G372"/>
    <mergeCell ref="H372:I372"/>
    <mergeCell ref="J372:K372"/>
    <mergeCell ref="L372:M372"/>
    <mergeCell ref="A370:D370"/>
    <mergeCell ref="F370:G370"/>
    <mergeCell ref="H370:I370"/>
    <mergeCell ref="J370:K370"/>
    <mergeCell ref="L370:M370"/>
    <mergeCell ref="A371:M371"/>
    <mergeCell ref="A368:D368"/>
    <mergeCell ref="F368:G368"/>
    <mergeCell ref="H368:I368"/>
    <mergeCell ref="J368:K368"/>
    <mergeCell ref="L368:M368"/>
    <mergeCell ref="A369:D369"/>
    <mergeCell ref="F369:G369"/>
    <mergeCell ref="H369:I369"/>
    <mergeCell ref="J369:K369"/>
    <mergeCell ref="L369:M369"/>
    <mergeCell ref="A366:D366"/>
    <mergeCell ref="F366:G366"/>
    <mergeCell ref="H366:I366"/>
    <mergeCell ref="J366:K366"/>
    <mergeCell ref="L366:M366"/>
    <mergeCell ref="A367:M367"/>
    <mergeCell ref="A364:D364"/>
    <mergeCell ref="F364:G364"/>
    <mergeCell ref="H364:I364"/>
    <mergeCell ref="J364:K364"/>
    <mergeCell ref="L364:M364"/>
    <mergeCell ref="A365:D365"/>
    <mergeCell ref="F365:G365"/>
    <mergeCell ref="H365:I365"/>
    <mergeCell ref="J365:K365"/>
    <mergeCell ref="L365:M365"/>
    <mergeCell ref="A362:D362"/>
    <mergeCell ref="F362:G362"/>
    <mergeCell ref="H362:I362"/>
    <mergeCell ref="J362:K362"/>
    <mergeCell ref="L362:M362"/>
    <mergeCell ref="A363:D363"/>
    <mergeCell ref="F363:G363"/>
    <mergeCell ref="H363:I363"/>
    <mergeCell ref="J363:K363"/>
    <mergeCell ref="L363:M363"/>
    <mergeCell ref="A360:M360"/>
    <mergeCell ref="A361:D361"/>
    <mergeCell ref="F361:G361"/>
    <mergeCell ref="H361:I361"/>
    <mergeCell ref="J361:K361"/>
    <mergeCell ref="L361:M361"/>
    <mergeCell ref="A358:C358"/>
    <mergeCell ref="D358:G358"/>
    <mergeCell ref="H358:J358"/>
    <mergeCell ref="K358:M358"/>
    <mergeCell ref="A359:C359"/>
    <mergeCell ref="D359:G359"/>
    <mergeCell ref="H359:J359"/>
    <mergeCell ref="K359:M359"/>
    <mergeCell ref="A356:C356"/>
    <mergeCell ref="D356:G356"/>
    <mergeCell ref="H356:J356"/>
    <mergeCell ref="K356:M356"/>
    <mergeCell ref="D357:E357"/>
    <mergeCell ref="K357:L357"/>
    <mergeCell ref="A349:M349"/>
    <mergeCell ref="A350:M350"/>
    <mergeCell ref="A351:M351"/>
    <mergeCell ref="A352:M352"/>
    <mergeCell ref="A353:M353"/>
    <mergeCell ref="H355:J355"/>
    <mergeCell ref="K355:M355"/>
    <mergeCell ref="A343:M343"/>
    <mergeCell ref="A344:M344"/>
    <mergeCell ref="A345:M345"/>
    <mergeCell ref="A346:M346"/>
    <mergeCell ref="A347:M347"/>
    <mergeCell ref="A348:M348"/>
    <mergeCell ref="A337:M337"/>
    <mergeCell ref="A338:M338"/>
    <mergeCell ref="A339:M339"/>
    <mergeCell ref="A340:M340"/>
    <mergeCell ref="A341:M341"/>
    <mergeCell ref="A342:M342"/>
    <mergeCell ref="A331:M331"/>
    <mergeCell ref="A332:M332"/>
    <mergeCell ref="A333:M333"/>
    <mergeCell ref="A334:M334"/>
    <mergeCell ref="A335:M335"/>
    <mergeCell ref="A336:M336"/>
    <mergeCell ref="A330:B330"/>
    <mergeCell ref="C330:D330"/>
    <mergeCell ref="E330:G330"/>
    <mergeCell ref="H330:I330"/>
    <mergeCell ref="J330:K330"/>
    <mergeCell ref="L330:M330"/>
    <mergeCell ref="A329:B329"/>
    <mergeCell ref="C329:D329"/>
    <mergeCell ref="E329:G329"/>
    <mergeCell ref="H329:I329"/>
    <mergeCell ref="J329:K329"/>
    <mergeCell ref="L329:M329"/>
    <mergeCell ref="A328:B328"/>
    <mergeCell ref="C328:D328"/>
    <mergeCell ref="E328:G328"/>
    <mergeCell ref="H328:I328"/>
    <mergeCell ref="J328:K328"/>
    <mergeCell ref="L328:M328"/>
    <mergeCell ref="A326:D326"/>
    <mergeCell ref="F326:G326"/>
    <mergeCell ref="H326:I326"/>
    <mergeCell ref="J326:K326"/>
    <mergeCell ref="L326:M326"/>
    <mergeCell ref="A327:M327"/>
    <mergeCell ref="A324:D324"/>
    <mergeCell ref="F324:G324"/>
    <mergeCell ref="H324:I324"/>
    <mergeCell ref="J324:K324"/>
    <mergeCell ref="L324:M324"/>
    <mergeCell ref="A325:D325"/>
    <mergeCell ref="F325:G325"/>
    <mergeCell ref="H325:I325"/>
    <mergeCell ref="J325:K325"/>
    <mergeCell ref="L325:M325"/>
    <mergeCell ref="A322:D322"/>
    <mergeCell ref="F322:G322"/>
    <mergeCell ref="H322:I322"/>
    <mergeCell ref="J322:K322"/>
    <mergeCell ref="L322:M322"/>
    <mergeCell ref="A323:M323"/>
    <mergeCell ref="A320:D320"/>
    <mergeCell ref="F320:G320"/>
    <mergeCell ref="H320:I320"/>
    <mergeCell ref="J320:K320"/>
    <mergeCell ref="L320:M320"/>
    <mergeCell ref="A321:D321"/>
    <mergeCell ref="F321:G321"/>
    <mergeCell ref="H321:I321"/>
    <mergeCell ref="J321:K321"/>
    <mergeCell ref="L321:M321"/>
    <mergeCell ref="A318:D318"/>
    <mergeCell ref="F318:G318"/>
    <mergeCell ref="H318:I318"/>
    <mergeCell ref="J318:K318"/>
    <mergeCell ref="L318:M318"/>
    <mergeCell ref="A319:D319"/>
    <mergeCell ref="F319:G319"/>
    <mergeCell ref="H319:I319"/>
    <mergeCell ref="J319:K319"/>
    <mergeCell ref="L319:M319"/>
    <mergeCell ref="A316:M316"/>
    <mergeCell ref="A317:D317"/>
    <mergeCell ref="F317:G317"/>
    <mergeCell ref="H317:I317"/>
    <mergeCell ref="J317:K317"/>
    <mergeCell ref="L317:M317"/>
    <mergeCell ref="A314:C314"/>
    <mergeCell ref="D314:G314"/>
    <mergeCell ref="H314:J314"/>
    <mergeCell ref="K314:M314"/>
    <mergeCell ref="A315:C315"/>
    <mergeCell ref="D315:G315"/>
    <mergeCell ref="H315:J315"/>
    <mergeCell ref="K315:M315"/>
    <mergeCell ref="A312:C312"/>
    <mergeCell ref="D312:G312"/>
    <mergeCell ref="H312:J312"/>
    <mergeCell ref="K312:M312"/>
    <mergeCell ref="D313:E313"/>
    <mergeCell ref="K313:L313"/>
    <mergeCell ref="A305:M305"/>
    <mergeCell ref="A306:M306"/>
    <mergeCell ref="A307:M307"/>
    <mergeCell ref="A308:M308"/>
    <mergeCell ref="A309:M309"/>
    <mergeCell ref="H311:J311"/>
    <mergeCell ref="K311:M311"/>
    <mergeCell ref="A299:M299"/>
    <mergeCell ref="A300:M300"/>
    <mergeCell ref="A301:M301"/>
    <mergeCell ref="A302:M302"/>
    <mergeCell ref="A303:M303"/>
    <mergeCell ref="A304:M304"/>
    <mergeCell ref="A293:M293"/>
    <mergeCell ref="A294:M294"/>
    <mergeCell ref="A295:M295"/>
    <mergeCell ref="A296:M296"/>
    <mergeCell ref="A297:M297"/>
    <mergeCell ref="A298:M298"/>
    <mergeCell ref="A287:M287"/>
    <mergeCell ref="A288:M288"/>
    <mergeCell ref="A289:M289"/>
    <mergeCell ref="A290:M290"/>
    <mergeCell ref="A291:M291"/>
    <mergeCell ref="A292:M292"/>
    <mergeCell ref="A286:B286"/>
    <mergeCell ref="C286:D286"/>
    <mergeCell ref="E286:G286"/>
    <mergeCell ref="H286:I286"/>
    <mergeCell ref="J286:K286"/>
    <mergeCell ref="L286:M286"/>
    <mergeCell ref="A285:B285"/>
    <mergeCell ref="C285:D285"/>
    <mergeCell ref="E285:G285"/>
    <mergeCell ref="H285:I285"/>
    <mergeCell ref="J285:K285"/>
    <mergeCell ref="L285:M285"/>
    <mergeCell ref="A284:B284"/>
    <mergeCell ref="C284:D284"/>
    <mergeCell ref="E284:G284"/>
    <mergeCell ref="H284:I284"/>
    <mergeCell ref="J284:K284"/>
    <mergeCell ref="L284:M284"/>
    <mergeCell ref="A282:D282"/>
    <mergeCell ref="F282:G282"/>
    <mergeCell ref="H282:I282"/>
    <mergeCell ref="J282:K282"/>
    <mergeCell ref="L282:M282"/>
    <mergeCell ref="A283:M283"/>
    <mergeCell ref="A280:D280"/>
    <mergeCell ref="F280:G280"/>
    <mergeCell ref="H280:I280"/>
    <mergeCell ref="J280:K280"/>
    <mergeCell ref="L280:M280"/>
    <mergeCell ref="A281:D281"/>
    <mergeCell ref="F281:G281"/>
    <mergeCell ref="H281:I281"/>
    <mergeCell ref="J281:K281"/>
    <mergeCell ref="L281:M281"/>
    <mergeCell ref="A278:D278"/>
    <mergeCell ref="F278:G278"/>
    <mergeCell ref="H278:I278"/>
    <mergeCell ref="J278:K278"/>
    <mergeCell ref="L278:M278"/>
    <mergeCell ref="A279:M279"/>
    <mergeCell ref="A276:D276"/>
    <mergeCell ref="F276:G276"/>
    <mergeCell ref="H276:I276"/>
    <mergeCell ref="J276:K276"/>
    <mergeCell ref="L276:M276"/>
    <mergeCell ref="A277:D277"/>
    <mergeCell ref="F277:G277"/>
    <mergeCell ref="H277:I277"/>
    <mergeCell ref="J277:K277"/>
    <mergeCell ref="L277:M277"/>
    <mergeCell ref="A274:D274"/>
    <mergeCell ref="F274:G274"/>
    <mergeCell ref="H274:I274"/>
    <mergeCell ref="J274:K274"/>
    <mergeCell ref="L274:M274"/>
    <mergeCell ref="A275:D275"/>
    <mergeCell ref="F275:G275"/>
    <mergeCell ref="H275:I275"/>
    <mergeCell ref="J275:K275"/>
    <mergeCell ref="L275:M275"/>
    <mergeCell ref="A272:M272"/>
    <mergeCell ref="A273:D273"/>
    <mergeCell ref="F273:G273"/>
    <mergeCell ref="H273:I273"/>
    <mergeCell ref="J273:K273"/>
    <mergeCell ref="L273:M273"/>
    <mergeCell ref="A270:C270"/>
    <mergeCell ref="D270:G270"/>
    <mergeCell ref="H270:J270"/>
    <mergeCell ref="K270:M270"/>
    <mergeCell ref="A271:C271"/>
    <mergeCell ref="D271:G271"/>
    <mergeCell ref="H271:J271"/>
    <mergeCell ref="K271:M271"/>
    <mergeCell ref="A268:C268"/>
    <mergeCell ref="D268:G268"/>
    <mergeCell ref="H268:J268"/>
    <mergeCell ref="K268:M268"/>
    <mergeCell ref="D269:E269"/>
    <mergeCell ref="K269:L269"/>
    <mergeCell ref="A261:M261"/>
    <mergeCell ref="A262:M262"/>
    <mergeCell ref="A263:M263"/>
    <mergeCell ref="A264:M264"/>
    <mergeCell ref="A265:M265"/>
    <mergeCell ref="H267:J267"/>
    <mergeCell ref="K267:M267"/>
    <mergeCell ref="A255:M255"/>
    <mergeCell ref="A256:M256"/>
    <mergeCell ref="A257:M257"/>
    <mergeCell ref="A258:M258"/>
    <mergeCell ref="A259:M259"/>
    <mergeCell ref="A260:M260"/>
    <mergeCell ref="A249:M249"/>
    <mergeCell ref="A250:M250"/>
    <mergeCell ref="A251:M251"/>
    <mergeCell ref="A252:M252"/>
    <mergeCell ref="A253:M253"/>
    <mergeCell ref="A254:M254"/>
    <mergeCell ref="A243:M243"/>
    <mergeCell ref="A244:M244"/>
    <mergeCell ref="A245:M245"/>
    <mergeCell ref="A246:M246"/>
    <mergeCell ref="A247:M247"/>
    <mergeCell ref="A248:M248"/>
    <mergeCell ref="A242:B242"/>
    <mergeCell ref="C242:D242"/>
    <mergeCell ref="E242:G242"/>
    <mergeCell ref="H242:I242"/>
    <mergeCell ref="J242:K242"/>
    <mergeCell ref="L242:M242"/>
    <mergeCell ref="A241:B241"/>
    <mergeCell ref="C241:D241"/>
    <mergeCell ref="E241:G241"/>
    <mergeCell ref="H241:I241"/>
    <mergeCell ref="J241:K241"/>
    <mergeCell ref="L241:M241"/>
    <mergeCell ref="A240:B240"/>
    <mergeCell ref="C240:D240"/>
    <mergeCell ref="E240:G240"/>
    <mergeCell ref="H240:I240"/>
    <mergeCell ref="J240:K240"/>
    <mergeCell ref="L240:M240"/>
    <mergeCell ref="A238:D238"/>
    <mergeCell ref="F238:G238"/>
    <mergeCell ref="H238:I238"/>
    <mergeCell ref="J238:K238"/>
    <mergeCell ref="L238:M238"/>
    <mergeCell ref="A239:M239"/>
    <mergeCell ref="A236:D236"/>
    <mergeCell ref="F236:G236"/>
    <mergeCell ref="H236:I236"/>
    <mergeCell ref="J236:K236"/>
    <mergeCell ref="L236:M236"/>
    <mergeCell ref="A237:D237"/>
    <mergeCell ref="F237:G237"/>
    <mergeCell ref="H237:I237"/>
    <mergeCell ref="J237:K237"/>
    <mergeCell ref="L237:M237"/>
    <mergeCell ref="A234:D234"/>
    <mergeCell ref="F234:G234"/>
    <mergeCell ref="H234:I234"/>
    <mergeCell ref="J234:K234"/>
    <mergeCell ref="L234:M234"/>
    <mergeCell ref="A235:M235"/>
    <mergeCell ref="A232:D232"/>
    <mergeCell ref="F232:G232"/>
    <mergeCell ref="H232:I232"/>
    <mergeCell ref="J232:K232"/>
    <mergeCell ref="L232:M232"/>
    <mergeCell ref="A233:D233"/>
    <mergeCell ref="F233:G233"/>
    <mergeCell ref="H233:I233"/>
    <mergeCell ref="J233:K233"/>
    <mergeCell ref="L233:M233"/>
    <mergeCell ref="A230:D230"/>
    <mergeCell ref="F230:G230"/>
    <mergeCell ref="H230:I230"/>
    <mergeCell ref="J230:K230"/>
    <mergeCell ref="L230:M230"/>
    <mergeCell ref="A231:D231"/>
    <mergeCell ref="F231:G231"/>
    <mergeCell ref="H231:I231"/>
    <mergeCell ref="J231:K231"/>
    <mergeCell ref="L231:M231"/>
    <mergeCell ref="A228:M228"/>
    <mergeCell ref="A229:D229"/>
    <mergeCell ref="F229:G229"/>
    <mergeCell ref="H229:I229"/>
    <mergeCell ref="J229:K229"/>
    <mergeCell ref="L229:M229"/>
    <mergeCell ref="A226:C226"/>
    <mergeCell ref="D226:G226"/>
    <mergeCell ref="H226:J226"/>
    <mergeCell ref="K226:M226"/>
    <mergeCell ref="A227:C227"/>
    <mergeCell ref="D227:G227"/>
    <mergeCell ref="H227:J227"/>
    <mergeCell ref="K227:M227"/>
    <mergeCell ref="A224:C224"/>
    <mergeCell ref="D224:G224"/>
    <mergeCell ref="H224:J224"/>
    <mergeCell ref="K224:M224"/>
    <mergeCell ref="D225:E225"/>
    <mergeCell ref="K225:L225"/>
    <mergeCell ref="A217:M217"/>
    <mergeCell ref="A218:M218"/>
    <mergeCell ref="A219:M219"/>
    <mergeCell ref="A220:M220"/>
    <mergeCell ref="A221:M221"/>
    <mergeCell ref="H223:J223"/>
    <mergeCell ref="K223:M223"/>
    <mergeCell ref="A211:M211"/>
    <mergeCell ref="A212:M212"/>
    <mergeCell ref="A213:M213"/>
    <mergeCell ref="A214:M214"/>
    <mergeCell ref="A215:M215"/>
    <mergeCell ref="A216:M216"/>
    <mergeCell ref="A205:M205"/>
    <mergeCell ref="A206:M206"/>
    <mergeCell ref="A207:M207"/>
    <mergeCell ref="A208:M208"/>
    <mergeCell ref="A209:M209"/>
    <mergeCell ref="A210:M210"/>
    <mergeCell ref="A199:M199"/>
    <mergeCell ref="A200:M200"/>
    <mergeCell ref="A201:M201"/>
    <mergeCell ref="A202:M202"/>
    <mergeCell ref="A203:M203"/>
    <mergeCell ref="A204:M204"/>
    <mergeCell ref="A198:B198"/>
    <mergeCell ref="C198:D198"/>
    <mergeCell ref="E198:G198"/>
    <mergeCell ref="H198:I198"/>
    <mergeCell ref="J198:K198"/>
    <mergeCell ref="L198:M198"/>
    <mergeCell ref="A197:B197"/>
    <mergeCell ref="C197:D197"/>
    <mergeCell ref="E197:G197"/>
    <mergeCell ref="H197:I197"/>
    <mergeCell ref="J197:K197"/>
    <mergeCell ref="L197:M197"/>
    <mergeCell ref="A196:B196"/>
    <mergeCell ref="C196:D196"/>
    <mergeCell ref="E196:G196"/>
    <mergeCell ref="H196:I196"/>
    <mergeCell ref="J196:K196"/>
    <mergeCell ref="L196:M196"/>
    <mergeCell ref="A194:D194"/>
    <mergeCell ref="F194:G194"/>
    <mergeCell ref="H194:I194"/>
    <mergeCell ref="J194:K194"/>
    <mergeCell ref="L194:M194"/>
    <mergeCell ref="A195:M195"/>
    <mergeCell ref="A192:D192"/>
    <mergeCell ref="F192:G192"/>
    <mergeCell ref="H192:I192"/>
    <mergeCell ref="J192:K192"/>
    <mergeCell ref="L192:M192"/>
    <mergeCell ref="A193:D193"/>
    <mergeCell ref="F193:G193"/>
    <mergeCell ref="H193:I193"/>
    <mergeCell ref="J193:K193"/>
    <mergeCell ref="L193:M193"/>
    <mergeCell ref="A190:D190"/>
    <mergeCell ref="F190:G190"/>
    <mergeCell ref="H190:I190"/>
    <mergeCell ref="J190:K190"/>
    <mergeCell ref="L190:M190"/>
    <mergeCell ref="A191:M191"/>
    <mergeCell ref="A188:D188"/>
    <mergeCell ref="F188:G188"/>
    <mergeCell ref="H188:I188"/>
    <mergeCell ref="J188:K188"/>
    <mergeCell ref="L188:M188"/>
    <mergeCell ref="A189:D189"/>
    <mergeCell ref="F189:G189"/>
    <mergeCell ref="H189:I189"/>
    <mergeCell ref="J189:K189"/>
    <mergeCell ref="L189:M189"/>
    <mergeCell ref="A186:D186"/>
    <mergeCell ref="F186:G186"/>
    <mergeCell ref="H186:I186"/>
    <mergeCell ref="J186:K186"/>
    <mergeCell ref="L186:M186"/>
    <mergeCell ref="A187:D187"/>
    <mergeCell ref="F187:G187"/>
    <mergeCell ref="H187:I187"/>
    <mergeCell ref="J187:K187"/>
    <mergeCell ref="L187:M187"/>
    <mergeCell ref="A184:M184"/>
    <mergeCell ref="A185:D185"/>
    <mergeCell ref="F185:G185"/>
    <mergeCell ref="H185:I185"/>
    <mergeCell ref="J185:K185"/>
    <mergeCell ref="L185:M185"/>
    <mergeCell ref="A182:C182"/>
    <mergeCell ref="D182:G182"/>
    <mergeCell ref="H182:J182"/>
    <mergeCell ref="K182:M182"/>
    <mergeCell ref="A183:C183"/>
    <mergeCell ref="D183:G183"/>
    <mergeCell ref="H183:J183"/>
    <mergeCell ref="K183:M183"/>
    <mergeCell ref="A180:C180"/>
    <mergeCell ref="D180:G180"/>
    <mergeCell ref="H180:J180"/>
    <mergeCell ref="K180:M180"/>
    <mergeCell ref="D181:E181"/>
    <mergeCell ref="K181:L181"/>
    <mergeCell ref="A173:M173"/>
    <mergeCell ref="A174:M174"/>
    <mergeCell ref="A175:M175"/>
    <mergeCell ref="A176:M176"/>
    <mergeCell ref="A177:M177"/>
    <mergeCell ref="H179:J179"/>
    <mergeCell ref="K179:M179"/>
    <mergeCell ref="A167:M167"/>
    <mergeCell ref="A168:M168"/>
    <mergeCell ref="A169:M169"/>
    <mergeCell ref="A170:M170"/>
    <mergeCell ref="A171:M171"/>
    <mergeCell ref="A172:M172"/>
    <mergeCell ref="A161:M161"/>
    <mergeCell ref="A162:M162"/>
    <mergeCell ref="A163:M163"/>
    <mergeCell ref="A164:M164"/>
    <mergeCell ref="A165:M165"/>
    <mergeCell ref="A166:M166"/>
    <mergeCell ref="A155:M155"/>
    <mergeCell ref="A156:M156"/>
    <mergeCell ref="A157:M157"/>
    <mergeCell ref="A158:M158"/>
    <mergeCell ref="A159:M159"/>
    <mergeCell ref="A160:M160"/>
    <mergeCell ref="A154:B154"/>
    <mergeCell ref="C154:D154"/>
    <mergeCell ref="E154:G154"/>
    <mergeCell ref="H154:I154"/>
    <mergeCell ref="J154:K154"/>
    <mergeCell ref="L154:M154"/>
    <mergeCell ref="A153:B153"/>
    <mergeCell ref="C153:D153"/>
    <mergeCell ref="E153:G153"/>
    <mergeCell ref="H153:I153"/>
    <mergeCell ref="J153:K153"/>
    <mergeCell ref="L153:M153"/>
    <mergeCell ref="A152:B152"/>
    <mergeCell ref="C152:D152"/>
    <mergeCell ref="E152:G152"/>
    <mergeCell ref="H152:I152"/>
    <mergeCell ref="J152:K152"/>
    <mergeCell ref="L152:M152"/>
    <mergeCell ref="A150:D150"/>
    <mergeCell ref="F150:G150"/>
    <mergeCell ref="H150:I150"/>
    <mergeCell ref="J150:K150"/>
    <mergeCell ref="L150:M150"/>
    <mergeCell ref="A151:M151"/>
    <mergeCell ref="A148:D148"/>
    <mergeCell ref="F148:G148"/>
    <mergeCell ref="H148:I148"/>
    <mergeCell ref="J148:K148"/>
    <mergeCell ref="L148:M148"/>
    <mergeCell ref="A149:D149"/>
    <mergeCell ref="F149:G149"/>
    <mergeCell ref="H149:I149"/>
    <mergeCell ref="J149:K149"/>
    <mergeCell ref="L149:M149"/>
    <mergeCell ref="A146:D146"/>
    <mergeCell ref="F146:G146"/>
    <mergeCell ref="H146:I146"/>
    <mergeCell ref="J146:K146"/>
    <mergeCell ref="L146:M146"/>
    <mergeCell ref="A147:M147"/>
    <mergeCell ref="A144:D144"/>
    <mergeCell ref="F144:G144"/>
    <mergeCell ref="H144:I144"/>
    <mergeCell ref="J144:K144"/>
    <mergeCell ref="L144:M144"/>
    <mergeCell ref="A145:D145"/>
    <mergeCell ref="F145:G145"/>
    <mergeCell ref="H145:I145"/>
    <mergeCell ref="J145:K145"/>
    <mergeCell ref="L145:M145"/>
    <mergeCell ref="A142:D142"/>
    <mergeCell ref="F142:G142"/>
    <mergeCell ref="H142:I142"/>
    <mergeCell ref="J142:K142"/>
    <mergeCell ref="L142:M142"/>
    <mergeCell ref="A143:D143"/>
    <mergeCell ref="F143:G143"/>
    <mergeCell ref="H143:I143"/>
    <mergeCell ref="J143:K143"/>
    <mergeCell ref="L143:M143"/>
    <mergeCell ref="A140:M140"/>
    <mergeCell ref="A141:D141"/>
    <mergeCell ref="F141:G141"/>
    <mergeCell ref="H141:I141"/>
    <mergeCell ref="J141:K141"/>
    <mergeCell ref="L141:M141"/>
    <mergeCell ref="A138:C138"/>
    <mergeCell ref="D138:G138"/>
    <mergeCell ref="H138:J138"/>
    <mergeCell ref="K138:M138"/>
    <mergeCell ref="A139:C139"/>
    <mergeCell ref="D139:G139"/>
    <mergeCell ref="H139:J139"/>
    <mergeCell ref="K139:M139"/>
    <mergeCell ref="A136:C136"/>
    <mergeCell ref="D136:G136"/>
    <mergeCell ref="H136:J136"/>
    <mergeCell ref="K136:M136"/>
    <mergeCell ref="D137:E137"/>
    <mergeCell ref="K137:L137"/>
    <mergeCell ref="A129:M129"/>
    <mergeCell ref="A130:M130"/>
    <mergeCell ref="A131:M131"/>
    <mergeCell ref="A132:M132"/>
    <mergeCell ref="A133:M133"/>
    <mergeCell ref="H135:J135"/>
    <mergeCell ref="K135:M135"/>
    <mergeCell ref="A123:M123"/>
    <mergeCell ref="A124:M124"/>
    <mergeCell ref="A125:M125"/>
    <mergeCell ref="A126:M126"/>
    <mergeCell ref="A127:M127"/>
    <mergeCell ref="A128:M128"/>
    <mergeCell ref="A117:M117"/>
    <mergeCell ref="A118:M118"/>
    <mergeCell ref="A119:M119"/>
    <mergeCell ref="A120:M120"/>
    <mergeCell ref="A121:M121"/>
    <mergeCell ref="A122:M122"/>
    <mergeCell ref="A111:M111"/>
    <mergeCell ref="A112:M112"/>
    <mergeCell ref="A113:M113"/>
    <mergeCell ref="A114:M114"/>
    <mergeCell ref="A115:M115"/>
    <mergeCell ref="A116:M116"/>
    <mergeCell ref="A110:B110"/>
    <mergeCell ref="C110:D110"/>
    <mergeCell ref="E110:G110"/>
    <mergeCell ref="H110:I110"/>
    <mergeCell ref="J110:K110"/>
    <mergeCell ref="L110:M110"/>
    <mergeCell ref="A109:B109"/>
    <mergeCell ref="C109:D109"/>
    <mergeCell ref="E109:G109"/>
    <mergeCell ref="H109:I109"/>
    <mergeCell ref="J109:K109"/>
    <mergeCell ref="L109:M109"/>
    <mergeCell ref="A108:B108"/>
    <mergeCell ref="C108:D108"/>
    <mergeCell ref="E108:G108"/>
    <mergeCell ref="H108:I108"/>
    <mergeCell ref="J108:K108"/>
    <mergeCell ref="L108:M108"/>
    <mergeCell ref="A106:D106"/>
    <mergeCell ref="F106:G106"/>
    <mergeCell ref="H106:I106"/>
    <mergeCell ref="J106:K106"/>
    <mergeCell ref="L106:M106"/>
    <mergeCell ref="A107:M107"/>
    <mergeCell ref="A104:D104"/>
    <mergeCell ref="F104:G104"/>
    <mergeCell ref="H104:I104"/>
    <mergeCell ref="J104:K104"/>
    <mergeCell ref="L104:M104"/>
    <mergeCell ref="A105:D105"/>
    <mergeCell ref="F105:G105"/>
    <mergeCell ref="H105:I105"/>
    <mergeCell ref="J105:K105"/>
    <mergeCell ref="L105:M105"/>
    <mergeCell ref="A102:D102"/>
    <mergeCell ref="F102:G102"/>
    <mergeCell ref="H102:I102"/>
    <mergeCell ref="J102:K102"/>
    <mergeCell ref="L102:M102"/>
    <mergeCell ref="A103:M103"/>
    <mergeCell ref="A100:D100"/>
    <mergeCell ref="F100:G100"/>
    <mergeCell ref="H100:I100"/>
    <mergeCell ref="J100:K100"/>
    <mergeCell ref="L100:M100"/>
    <mergeCell ref="A101:D101"/>
    <mergeCell ref="F101:G101"/>
    <mergeCell ref="H101:I101"/>
    <mergeCell ref="J101:K101"/>
    <mergeCell ref="L101:M101"/>
    <mergeCell ref="A98:D98"/>
    <mergeCell ref="F98:G98"/>
    <mergeCell ref="H98:I98"/>
    <mergeCell ref="J98:K98"/>
    <mergeCell ref="L98:M98"/>
    <mergeCell ref="A99:D99"/>
    <mergeCell ref="F99:G99"/>
    <mergeCell ref="H99:I99"/>
    <mergeCell ref="J99:K99"/>
    <mergeCell ref="L99:M99"/>
    <mergeCell ref="A96:M96"/>
    <mergeCell ref="A97:D97"/>
    <mergeCell ref="F97:G97"/>
    <mergeCell ref="H97:I97"/>
    <mergeCell ref="J97:K97"/>
    <mergeCell ref="L97:M97"/>
    <mergeCell ref="A94:C94"/>
    <mergeCell ref="D94:G94"/>
    <mergeCell ref="H94:J94"/>
    <mergeCell ref="K94:M94"/>
    <mergeCell ref="A95:C95"/>
    <mergeCell ref="D95:G95"/>
    <mergeCell ref="H95:J95"/>
    <mergeCell ref="K95:M95"/>
    <mergeCell ref="A92:C92"/>
    <mergeCell ref="D92:G92"/>
    <mergeCell ref="H92:J92"/>
    <mergeCell ref="K92:M92"/>
    <mergeCell ref="D93:E93"/>
    <mergeCell ref="K93:L93"/>
    <mergeCell ref="A85:M85"/>
    <mergeCell ref="A86:M86"/>
    <mergeCell ref="A87:M87"/>
    <mergeCell ref="A88:M88"/>
    <mergeCell ref="A89:M89"/>
    <mergeCell ref="H91:J91"/>
    <mergeCell ref="K91:M91"/>
    <mergeCell ref="A79:M79"/>
    <mergeCell ref="A80:M80"/>
    <mergeCell ref="A81:M81"/>
    <mergeCell ref="A82:M82"/>
    <mergeCell ref="A83:M83"/>
    <mergeCell ref="A84:M84"/>
    <mergeCell ref="A73:M73"/>
    <mergeCell ref="A74:M74"/>
    <mergeCell ref="A75:M75"/>
    <mergeCell ref="A76:M76"/>
    <mergeCell ref="A77:M77"/>
    <mergeCell ref="A78:M78"/>
    <mergeCell ref="A67:M67"/>
    <mergeCell ref="A68:M68"/>
    <mergeCell ref="A69:M69"/>
    <mergeCell ref="A70:M70"/>
    <mergeCell ref="A71:M71"/>
    <mergeCell ref="A72:M72"/>
    <mergeCell ref="A66:B66"/>
    <mergeCell ref="C66:D66"/>
    <mergeCell ref="E66:G66"/>
    <mergeCell ref="H66:I66"/>
    <mergeCell ref="J66:K66"/>
    <mergeCell ref="L66:M66"/>
    <mergeCell ref="A65:B65"/>
    <mergeCell ref="C65:D65"/>
    <mergeCell ref="E65:G65"/>
    <mergeCell ref="H65:I65"/>
    <mergeCell ref="J65:K65"/>
    <mergeCell ref="L65:M65"/>
    <mergeCell ref="A64:B64"/>
    <mergeCell ref="C64:D64"/>
    <mergeCell ref="E64:G64"/>
    <mergeCell ref="H64:I64"/>
    <mergeCell ref="J64:K64"/>
    <mergeCell ref="L64:M64"/>
    <mergeCell ref="A62:D62"/>
    <mergeCell ref="F62:G62"/>
    <mergeCell ref="H62:I62"/>
    <mergeCell ref="J62:K62"/>
    <mergeCell ref="L62:M62"/>
    <mergeCell ref="A63:M63"/>
    <mergeCell ref="A60:D60"/>
    <mergeCell ref="F60:G60"/>
    <mergeCell ref="H60:I60"/>
    <mergeCell ref="J60:K60"/>
    <mergeCell ref="L60:M60"/>
    <mergeCell ref="A61:D61"/>
    <mergeCell ref="F61:G61"/>
    <mergeCell ref="H61:I61"/>
    <mergeCell ref="J61:K61"/>
    <mergeCell ref="L61:M61"/>
    <mergeCell ref="A58:D58"/>
    <mergeCell ref="F58:G58"/>
    <mergeCell ref="H58:I58"/>
    <mergeCell ref="J58:K58"/>
    <mergeCell ref="L58:M58"/>
    <mergeCell ref="A59:M59"/>
    <mergeCell ref="A56:D56"/>
    <mergeCell ref="F56:G56"/>
    <mergeCell ref="H56:I56"/>
    <mergeCell ref="J56:K56"/>
    <mergeCell ref="L56:M56"/>
    <mergeCell ref="A57:D57"/>
    <mergeCell ref="F57:G57"/>
    <mergeCell ref="H57:I57"/>
    <mergeCell ref="J57:K57"/>
    <mergeCell ref="L57:M57"/>
    <mergeCell ref="A54:D54"/>
    <mergeCell ref="F54:G54"/>
    <mergeCell ref="H54:I54"/>
    <mergeCell ref="J54:K54"/>
    <mergeCell ref="L54:M54"/>
    <mergeCell ref="A55:D55"/>
    <mergeCell ref="F55:G55"/>
    <mergeCell ref="H55:I55"/>
    <mergeCell ref="J55:K55"/>
    <mergeCell ref="L55:M55"/>
    <mergeCell ref="A52:M52"/>
    <mergeCell ref="A53:D53"/>
    <mergeCell ref="F53:G53"/>
    <mergeCell ref="H53:I53"/>
    <mergeCell ref="J53:K53"/>
    <mergeCell ref="L53:M53"/>
    <mergeCell ref="A50:C50"/>
    <mergeCell ref="D50:G50"/>
    <mergeCell ref="H50:J50"/>
    <mergeCell ref="K50:M50"/>
    <mergeCell ref="A51:C51"/>
    <mergeCell ref="D51:G51"/>
    <mergeCell ref="H51:J51"/>
    <mergeCell ref="K51:M51"/>
    <mergeCell ref="A48:C48"/>
    <mergeCell ref="D48:G48"/>
    <mergeCell ref="H48:J48"/>
    <mergeCell ref="K48:M48"/>
    <mergeCell ref="D49:E49"/>
    <mergeCell ref="K49:L49"/>
    <mergeCell ref="A41:M41"/>
    <mergeCell ref="A42:M42"/>
    <mergeCell ref="A43:M43"/>
    <mergeCell ref="A44:M44"/>
    <mergeCell ref="A45:M45"/>
    <mergeCell ref="H47:J47"/>
    <mergeCell ref="K47:M47"/>
    <mergeCell ref="A35:M35"/>
    <mergeCell ref="A36:M36"/>
    <mergeCell ref="A37:M37"/>
    <mergeCell ref="A38:M38"/>
    <mergeCell ref="A39:M39"/>
    <mergeCell ref="A40:M40"/>
    <mergeCell ref="A29:M29"/>
    <mergeCell ref="A30:M30"/>
    <mergeCell ref="A31:M31"/>
    <mergeCell ref="A32:M32"/>
    <mergeCell ref="A33:M33"/>
    <mergeCell ref="A34:M34"/>
    <mergeCell ref="A23:M23"/>
    <mergeCell ref="A24:M24"/>
    <mergeCell ref="A25:M25"/>
    <mergeCell ref="A26:M26"/>
    <mergeCell ref="A27:M27"/>
    <mergeCell ref="A28:M28"/>
    <mergeCell ref="A22:B22"/>
    <mergeCell ref="C22:D22"/>
    <mergeCell ref="E22:G22"/>
    <mergeCell ref="H22:I22"/>
    <mergeCell ref="J22:K22"/>
    <mergeCell ref="L22:M22"/>
    <mergeCell ref="A21:B21"/>
    <mergeCell ref="C21:D21"/>
    <mergeCell ref="E21:G21"/>
    <mergeCell ref="H21:I21"/>
    <mergeCell ref="J21:K21"/>
    <mergeCell ref="L21:M21"/>
    <mergeCell ref="A20:B20"/>
    <mergeCell ref="C20:D20"/>
    <mergeCell ref="E20:G20"/>
    <mergeCell ref="H20:I20"/>
    <mergeCell ref="J20:K20"/>
    <mergeCell ref="L20:M20"/>
    <mergeCell ref="A18:D18"/>
    <mergeCell ref="F18:G18"/>
    <mergeCell ref="H18:I18"/>
    <mergeCell ref="J18:K18"/>
    <mergeCell ref="L18:M18"/>
    <mergeCell ref="A19:M19"/>
    <mergeCell ref="A16:D16"/>
    <mergeCell ref="F16:G16"/>
    <mergeCell ref="H16:I16"/>
    <mergeCell ref="J16:K16"/>
    <mergeCell ref="L16:M16"/>
    <mergeCell ref="A17:D17"/>
    <mergeCell ref="F17:G17"/>
    <mergeCell ref="H17:I17"/>
    <mergeCell ref="J17:K17"/>
    <mergeCell ref="L17:M17"/>
    <mergeCell ref="A14:D14"/>
    <mergeCell ref="F14:G14"/>
    <mergeCell ref="H14:I14"/>
    <mergeCell ref="J14:K14"/>
    <mergeCell ref="L14:M14"/>
    <mergeCell ref="A15:M15"/>
    <mergeCell ref="A12:D12"/>
    <mergeCell ref="F12:G12"/>
    <mergeCell ref="H12:I12"/>
    <mergeCell ref="J12:K12"/>
    <mergeCell ref="L12:M12"/>
    <mergeCell ref="A13:D13"/>
    <mergeCell ref="F13:G13"/>
    <mergeCell ref="H13:I13"/>
    <mergeCell ref="J13:K13"/>
    <mergeCell ref="L13:M13"/>
    <mergeCell ref="A10:D10"/>
    <mergeCell ref="F10:G10"/>
    <mergeCell ref="H10:I10"/>
    <mergeCell ref="J10:K10"/>
    <mergeCell ref="L10:M10"/>
    <mergeCell ref="A11:D11"/>
    <mergeCell ref="F11:G11"/>
    <mergeCell ref="H11:I11"/>
    <mergeCell ref="J11:K11"/>
    <mergeCell ref="L11:M11"/>
    <mergeCell ref="A7:C7"/>
    <mergeCell ref="D7:G7"/>
    <mergeCell ref="H7:J7"/>
    <mergeCell ref="K7:M7"/>
    <mergeCell ref="A8:M8"/>
    <mergeCell ref="A9:D9"/>
    <mergeCell ref="F9:G9"/>
    <mergeCell ref="H9:I9"/>
    <mergeCell ref="J9:K9"/>
    <mergeCell ref="L9:M9"/>
    <mergeCell ref="D5:E5"/>
    <mergeCell ref="K5:L5"/>
    <mergeCell ref="A6:C6"/>
    <mergeCell ref="D6:G6"/>
    <mergeCell ref="H6:J6"/>
    <mergeCell ref="K6:M6"/>
    <mergeCell ref="A1:M1"/>
    <mergeCell ref="H3:J3"/>
    <mergeCell ref="K3:M3"/>
    <mergeCell ref="A4:C4"/>
    <mergeCell ref="D4:G4"/>
    <mergeCell ref="H4:J4"/>
    <mergeCell ref="K4:M4"/>
  </mergeCells>
  <phoneticPr fontId="5" type="noConversion"/>
  <printOptions horizontalCentered="1"/>
  <pageMargins left="0.55118110236220474" right="0.31496062992125984" top="0.47244094488188981" bottom="0.11811023622047245" header="0.31496062992125984" footer="0.31496062992125984"/>
  <pageSetup paperSize="9" scale="90" orientation="portrait" horizontalDpi="300" r:id="rId1"/>
</worksheet>
</file>

<file path=xl/worksheets/sheet6.xml><?xml version="1.0" encoding="utf-8"?>
<worksheet xmlns="http://schemas.openxmlformats.org/spreadsheetml/2006/main" xmlns:r="http://schemas.openxmlformats.org/officeDocument/2006/relationships">
  <dimension ref="A1"/>
  <sheetViews>
    <sheetView workbookViewId="0">
      <selection activeCell="K18" sqref="K18"/>
    </sheetView>
  </sheetViews>
  <sheetFormatPr defaultRowHeight="16.5"/>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已命名的範圍</vt:lpstr>
      </vt:variant>
      <vt:variant>
        <vt:i4>5</vt:i4>
      </vt:variant>
    </vt:vector>
  </HeadingPairs>
  <TitlesOfParts>
    <vt:vector size="11" baseType="lpstr">
      <vt:lpstr>9月</vt:lpstr>
      <vt:lpstr>10月</vt:lpstr>
      <vt:lpstr>11月</vt:lpstr>
      <vt:lpstr>12月</vt:lpstr>
      <vt:lpstr>12月 (2)</vt:lpstr>
      <vt:lpstr>Sheet3</vt:lpstr>
      <vt:lpstr>'10月'!Print_Area</vt:lpstr>
      <vt:lpstr>'11月'!Print_Area</vt:lpstr>
      <vt:lpstr>'12月'!Print_Area</vt:lpstr>
      <vt:lpstr>'12月 (2)'!Print_Area</vt:lpstr>
      <vt:lpstr>'9月'!Print_Area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asus-i3</dc:creator>
  <cp:lastModifiedBy>asus-i3</cp:lastModifiedBy>
  <cp:lastPrinted>2025-12-30T05:59:59Z</cp:lastPrinted>
  <dcterms:created xsi:type="dcterms:W3CDTF">2018-09-26T01:54:37Z</dcterms:created>
  <dcterms:modified xsi:type="dcterms:W3CDTF">2025-12-30T06:00:01Z</dcterms:modified>
</cp:coreProperties>
</file>