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SynologyDrive\國謙\02.工程\1.在建工程\林內國中射箭場側網毀損修復災後復建工程\10.文書\施工日誌\"/>
    </mc:Choice>
  </mc:AlternateContent>
  <xr:revisionPtr revIDLastSave="0" documentId="13_ncr:1_{B11BC5AC-CD98-4354-A0CE-CA812E9F5920}" xr6:coauthVersionLast="47" xr6:coauthVersionMax="47" xr10:uidLastSave="{00000000-0000-0000-0000-000000000000}"/>
  <bookViews>
    <workbookView xWindow="-108" yWindow="-108" windowWidth="23256" windowHeight="13896" tabRatio="839" xr2:uid="{00000000-000D-0000-FFFF-FFFF00000000}"/>
  </bookViews>
  <sheets>
    <sheet name="封面" sheetId="136" r:id="rId1"/>
    <sheet name="預定進度表" sheetId="40" r:id="rId2"/>
    <sheet name="日誌" sheetId="129" r:id="rId3"/>
  </sheets>
  <definedNames>
    <definedName name="_xlnm.Print_Area" localSheetId="2">日誌!$A$1:$L$57,日誌!$Q$1:$AB$57,日誌!$AG$1:$AR$57,日誌!$AW$1:$BH$57,日誌!$BM$1:$BX$57,日誌!$CC$1:$CN$57,日誌!$CS$1:$DD$57,日誌!$DI$1:$DT$57,日誌!$DY$1:$EJ$57,日誌!$EO$1:$EZ$57,日誌!$FE$1:$FP$57,日誌!$FU$1:$GF$57,日誌!$GK$1:$GV$57,日誌!$HA$1:$HL$57,日誌!$HQ$1:$IB$57,日誌!$IG$1:$IR$57,日誌!$IW$1:$JH$57,日誌!$JM$1:$JX$57,日誌!$KC$1:$KN$57,日誌!$KS$1:$LD$57,日誌!$LI$1:$LT$57,日誌!$LY$1:$M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V5" i="129" l="1"/>
  <c r="JQ6" i="129"/>
  <c r="JT6" i="129"/>
  <c r="JS12" i="129"/>
  <c r="JM61" i="129"/>
  <c r="JT61" i="129"/>
  <c r="KA65" i="129"/>
  <c r="JW66" i="129"/>
  <c r="KM66" i="129" s="1"/>
  <c r="LC66" i="129" s="1"/>
  <c r="LS66" i="129" s="1"/>
  <c r="MI66" i="129" s="1"/>
  <c r="KA66" i="129"/>
  <c r="KA67" i="129"/>
  <c r="KA68" i="129"/>
  <c r="KA69" i="129"/>
  <c r="JU70" i="129"/>
  <c r="KA70" i="129"/>
  <c r="JU71" i="129"/>
  <c r="KA71" i="129"/>
  <c r="JU72" i="129"/>
  <c r="KA72" i="129"/>
  <c r="JU73" i="129"/>
  <c r="JU74" i="129"/>
  <c r="KA74" i="129"/>
  <c r="KA75" i="129"/>
  <c r="KA76" i="129"/>
  <c r="KA77" i="129"/>
  <c r="KA78" i="129"/>
  <c r="KA79" i="129"/>
  <c r="KA80" i="129"/>
  <c r="KA81" i="129"/>
  <c r="KA82" i="129"/>
  <c r="KA83" i="129"/>
  <c r="KA84" i="129"/>
  <c r="KA85" i="129"/>
  <c r="KA86" i="129"/>
  <c r="KA87" i="129"/>
  <c r="KA88" i="129"/>
  <c r="KA89" i="129"/>
  <c r="KA90" i="129"/>
  <c r="KA91" i="129"/>
  <c r="KA92" i="129"/>
  <c r="KA93" i="129"/>
  <c r="IM11" i="129"/>
  <c r="HW11" i="129"/>
  <c r="ME12" i="129"/>
  <c r="LO12" i="129"/>
  <c r="KY12" i="129"/>
  <c r="KI12" i="129"/>
  <c r="IA27" i="129"/>
  <c r="IQ27" i="129" s="1"/>
  <c r="JG27" i="129" s="1"/>
  <c r="JW27" i="129" s="1"/>
  <c r="JC12" i="129"/>
  <c r="HW12" i="129"/>
  <c r="IM12" i="129"/>
  <c r="D5" i="40"/>
  <c r="E5" i="40" s="1"/>
  <c r="F5" i="40" s="1"/>
  <c r="C5" i="40"/>
  <c r="C4" i="40"/>
  <c r="D4" i="40"/>
  <c r="E4" i="40"/>
  <c r="F4" i="40"/>
  <c r="B4" i="40"/>
  <c r="C3" i="40"/>
  <c r="D3" i="40"/>
  <c r="E3" i="40"/>
  <c r="F3" i="40"/>
  <c r="B3" i="40"/>
  <c r="MM93" i="129"/>
  <c r="MM92" i="129"/>
  <c r="MM91" i="129"/>
  <c r="MM90" i="129"/>
  <c r="MM89" i="129"/>
  <c r="MM88" i="129"/>
  <c r="MM87" i="129"/>
  <c r="MM86" i="129"/>
  <c r="MM85" i="129"/>
  <c r="MM84" i="129"/>
  <c r="MM83" i="129"/>
  <c r="MM82" i="129"/>
  <c r="MM81" i="129"/>
  <c r="MM80" i="129"/>
  <c r="MM79" i="129"/>
  <c r="MM78" i="129"/>
  <c r="MM77" i="129"/>
  <c r="MM76" i="129"/>
  <c r="MM75" i="129"/>
  <c r="MG74" i="129"/>
  <c r="MG73" i="129"/>
  <c r="MM73" i="129" s="1"/>
  <c r="MG72" i="129"/>
  <c r="MM72" i="129" s="1"/>
  <c r="MG71" i="129"/>
  <c r="MM71" i="129" s="1"/>
  <c r="MG70" i="129"/>
  <c r="MM70" i="129" s="1"/>
  <c r="MM69" i="129"/>
  <c r="MM68" i="129"/>
  <c r="MM67" i="129"/>
  <c r="MM66" i="129"/>
  <c r="MM65" i="129"/>
  <c r="MF61" i="129"/>
  <c r="LY61" i="129"/>
  <c r="MC6" i="129"/>
  <c r="MF6" i="129" s="1"/>
  <c r="MH5" i="129"/>
  <c r="LW93" i="129"/>
  <c r="LW92" i="129"/>
  <c r="LW91" i="129"/>
  <c r="LW90" i="129"/>
  <c r="LW89" i="129"/>
  <c r="LW88" i="129"/>
  <c r="LW87" i="129"/>
  <c r="LW86" i="129"/>
  <c r="LW85" i="129"/>
  <c r="LW84" i="129"/>
  <c r="LW83" i="129"/>
  <c r="LW82" i="129"/>
  <c r="LW81" i="129"/>
  <c r="LW80" i="129"/>
  <c r="LW79" i="129"/>
  <c r="LW78" i="129"/>
  <c r="LW77" i="129"/>
  <c r="LW76" i="129"/>
  <c r="LW75" i="129"/>
  <c r="LQ74" i="129"/>
  <c r="LW74" i="129" s="1"/>
  <c r="LQ73" i="129"/>
  <c r="LW73" i="129" s="1"/>
  <c r="LQ72" i="129"/>
  <c r="LW72" i="129" s="1"/>
  <c r="LQ71" i="129"/>
  <c r="LW71" i="129" s="1"/>
  <c r="LQ70" i="129"/>
  <c r="LW70" i="129" s="1"/>
  <c r="LW69" i="129"/>
  <c r="LW68" i="129"/>
  <c r="LW67" i="129"/>
  <c r="LW66" i="129"/>
  <c r="LW65" i="129"/>
  <c r="LP61" i="129"/>
  <c r="LI61" i="129"/>
  <c r="LM6" i="129"/>
  <c r="LP6" i="129" s="1"/>
  <c r="LR5" i="129"/>
  <c r="LG93" i="129"/>
  <c r="LG92" i="129"/>
  <c r="LG91" i="129"/>
  <c r="LG90" i="129"/>
  <c r="LG89" i="129"/>
  <c r="LG88" i="129"/>
  <c r="LG87" i="129"/>
  <c r="LG86" i="129"/>
  <c r="LG85" i="129"/>
  <c r="LG84" i="129"/>
  <c r="LG83" i="129"/>
  <c r="LG82" i="129"/>
  <c r="LG81" i="129"/>
  <c r="LG80" i="129"/>
  <c r="LG79" i="129"/>
  <c r="LG78" i="129"/>
  <c r="LG77" i="129"/>
  <c r="LG76" i="129"/>
  <c r="LG75" i="129"/>
  <c r="LA74" i="129"/>
  <c r="LA73" i="129"/>
  <c r="LG73" i="129" s="1"/>
  <c r="LA72" i="129"/>
  <c r="LG72" i="129" s="1"/>
  <c r="LA71" i="129"/>
  <c r="LG71" i="129" s="1"/>
  <c r="LA70" i="129"/>
  <c r="LG70" i="129" s="1"/>
  <c r="LG69" i="129"/>
  <c r="LG68" i="129"/>
  <c r="LG67" i="129"/>
  <c r="LG66" i="129"/>
  <c r="LG65" i="129"/>
  <c r="KZ61" i="129"/>
  <c r="KS61" i="129"/>
  <c r="KW6" i="129"/>
  <c r="KZ6" i="129" s="1"/>
  <c r="LB5" i="129"/>
  <c r="KQ93" i="129"/>
  <c r="KQ92" i="129"/>
  <c r="KQ91" i="129"/>
  <c r="KQ90" i="129"/>
  <c r="KQ89" i="129"/>
  <c r="KQ88" i="129"/>
  <c r="KQ87" i="129"/>
  <c r="KQ86" i="129"/>
  <c r="KQ85" i="129"/>
  <c r="KQ84" i="129"/>
  <c r="KQ83" i="129"/>
  <c r="KQ82" i="129"/>
  <c r="KQ81" i="129"/>
  <c r="KQ80" i="129"/>
  <c r="KQ79" i="129"/>
  <c r="KQ78" i="129"/>
  <c r="KQ77" i="129"/>
  <c r="KQ76" i="129"/>
  <c r="KQ75" i="129"/>
  <c r="KK74" i="129"/>
  <c r="KK73" i="129"/>
  <c r="KK72" i="129"/>
  <c r="KQ72" i="129" s="1"/>
  <c r="KK71" i="129"/>
  <c r="KQ71" i="129" s="1"/>
  <c r="KK70" i="129"/>
  <c r="KQ69" i="129"/>
  <c r="KQ68" i="129"/>
  <c r="KQ67" i="129"/>
  <c r="KQ66" i="129"/>
  <c r="KQ65" i="129"/>
  <c r="KJ61" i="129"/>
  <c r="KC61" i="129"/>
  <c r="KG6" i="129"/>
  <c r="KJ6" i="129" s="1"/>
  <c r="KL5" i="129"/>
  <c r="JK93" i="129"/>
  <c r="JK92" i="129"/>
  <c r="JK91" i="129"/>
  <c r="JK90" i="129"/>
  <c r="JK89" i="129"/>
  <c r="JK88" i="129"/>
  <c r="JK87" i="129"/>
  <c r="JK86" i="129"/>
  <c r="JK85" i="129"/>
  <c r="JK84" i="129"/>
  <c r="JK83" i="129"/>
  <c r="JK82" i="129"/>
  <c r="JK81" i="129"/>
  <c r="JK80" i="129"/>
  <c r="JK79" i="129"/>
  <c r="JK78" i="129"/>
  <c r="JK77" i="129"/>
  <c r="JK76" i="129"/>
  <c r="JK75" i="129"/>
  <c r="JE74" i="129"/>
  <c r="JK74" i="129" s="1"/>
  <c r="JE73" i="129"/>
  <c r="JE72" i="129"/>
  <c r="JK72" i="129" s="1"/>
  <c r="JE71" i="129"/>
  <c r="JE70" i="129"/>
  <c r="JK70" i="129" s="1"/>
  <c r="JK69" i="129"/>
  <c r="JK68" i="129"/>
  <c r="JK67" i="129"/>
  <c r="JK66" i="129"/>
  <c r="JG66" i="129"/>
  <c r="JK65" i="129"/>
  <c r="JD61" i="129"/>
  <c r="IW61" i="129"/>
  <c r="JA6" i="129"/>
  <c r="JD6" i="129" s="1"/>
  <c r="JF5" i="129"/>
  <c r="T27" i="129"/>
  <c r="AJ27" i="129" s="1"/>
  <c r="AZ27" i="129" s="1"/>
  <c r="BP27" i="129" s="1"/>
  <c r="CF27" i="129" s="1"/>
  <c r="CV27" i="129" s="1"/>
  <c r="DL27" i="129" s="1"/>
  <c r="EB27" i="129" s="1"/>
  <c r="ER27" i="129" s="1"/>
  <c r="FH27" i="129" s="1"/>
  <c r="FX27" i="129" s="1"/>
  <c r="GN27" i="129" s="1"/>
  <c r="HD27" i="129" s="1"/>
  <c r="HT27" i="129" s="1"/>
  <c r="IJ27" i="129" s="1"/>
  <c r="IZ27" i="129" s="1"/>
  <c r="JP27" i="129" s="1"/>
  <c r="KF27" i="129" s="1"/>
  <c r="KV27" i="129" s="1"/>
  <c r="LL27" i="129" s="1"/>
  <c r="MB27" i="129" s="1"/>
  <c r="IU93" i="129"/>
  <c r="IU92" i="129"/>
  <c r="IU91" i="129"/>
  <c r="IU90" i="129"/>
  <c r="IU89" i="129"/>
  <c r="IU88" i="129"/>
  <c r="IU87" i="129"/>
  <c r="IU86" i="129"/>
  <c r="IU85" i="129"/>
  <c r="IU84" i="129"/>
  <c r="IU83" i="129"/>
  <c r="IU82" i="129"/>
  <c r="IU81" i="129"/>
  <c r="IU80" i="129"/>
  <c r="IU79" i="129"/>
  <c r="IU78" i="129"/>
  <c r="IU77" i="129"/>
  <c r="IU76" i="129"/>
  <c r="IU75" i="129"/>
  <c r="IO74" i="129"/>
  <c r="IU74" i="129" s="1"/>
  <c r="IO73" i="129"/>
  <c r="IO72" i="129"/>
  <c r="IU72" i="129" s="1"/>
  <c r="IO71" i="129"/>
  <c r="IU71" i="129" s="1"/>
  <c r="IO70" i="129"/>
  <c r="IU70" i="129" s="1"/>
  <c r="IU69" i="129"/>
  <c r="IU68" i="129"/>
  <c r="IU67" i="129"/>
  <c r="IU66" i="129"/>
  <c r="IU65" i="129"/>
  <c r="IN61" i="129"/>
  <c r="IG61" i="129"/>
  <c r="IK6" i="129"/>
  <c r="IN6" i="129" s="1"/>
  <c r="IP5" i="129"/>
  <c r="IE93" i="129"/>
  <c r="IE92" i="129"/>
  <c r="IE91" i="129"/>
  <c r="IE90" i="129"/>
  <c r="IE89" i="129"/>
  <c r="IE88" i="129"/>
  <c r="IE87" i="129"/>
  <c r="IE86" i="129"/>
  <c r="IE85" i="129"/>
  <c r="IE84" i="129"/>
  <c r="IE83" i="129"/>
  <c r="IE82" i="129"/>
  <c r="IE81" i="129"/>
  <c r="IE80" i="129"/>
  <c r="IE79" i="129"/>
  <c r="IE78" i="129"/>
  <c r="IE77" i="129"/>
  <c r="IE76" i="129"/>
  <c r="IE75" i="129"/>
  <c r="HY74" i="129"/>
  <c r="IE74" i="129"/>
  <c r="HY73" i="129"/>
  <c r="IE73" i="129" s="1"/>
  <c r="HY72" i="129"/>
  <c r="IE72" i="129"/>
  <c r="HY71" i="129"/>
  <c r="IE71" i="129" s="1"/>
  <c r="HY70" i="129"/>
  <c r="IE70" i="129" s="1"/>
  <c r="IE69" i="129"/>
  <c r="IE68" i="129"/>
  <c r="IE67" i="129"/>
  <c r="IE66" i="129"/>
  <c r="IE65" i="129"/>
  <c r="HX61" i="129"/>
  <c r="HQ61" i="129"/>
  <c r="HU6" i="129"/>
  <c r="HX6" i="129" s="1"/>
  <c r="HZ5" i="129"/>
  <c r="HO93" i="129"/>
  <c r="HO92" i="129"/>
  <c r="HO91" i="129"/>
  <c r="HO90" i="129"/>
  <c r="HO89" i="129"/>
  <c r="HO88" i="129"/>
  <c r="HO87" i="129"/>
  <c r="HO86" i="129"/>
  <c r="HO85" i="129"/>
  <c r="HO84" i="129"/>
  <c r="HO83" i="129"/>
  <c r="HO82" i="129"/>
  <c r="HO81" i="129"/>
  <c r="HO80" i="129"/>
  <c r="HO79" i="129"/>
  <c r="HO78" i="129"/>
  <c r="HO77" i="129"/>
  <c r="HO76" i="129"/>
  <c r="HO75" i="129"/>
  <c r="HI74" i="129"/>
  <c r="HO74" i="129" s="1"/>
  <c r="HI73" i="129"/>
  <c r="HO73" i="129" s="1"/>
  <c r="HI72" i="129"/>
  <c r="HO72" i="129"/>
  <c r="HI71" i="129"/>
  <c r="HO71" i="129" s="1"/>
  <c r="HI70" i="129"/>
  <c r="HO70" i="129"/>
  <c r="HO69" i="129"/>
  <c r="HO68" i="129"/>
  <c r="HO67" i="129"/>
  <c r="HO66" i="129"/>
  <c r="HO65" i="129"/>
  <c r="HH61" i="129"/>
  <c r="HA61" i="129"/>
  <c r="HE6" i="129"/>
  <c r="HH6" i="129" s="1"/>
  <c r="HJ5" i="129"/>
  <c r="GY93" i="129"/>
  <c r="GY92" i="129"/>
  <c r="GY91" i="129"/>
  <c r="GY90" i="129"/>
  <c r="GY89" i="129"/>
  <c r="GY88" i="129"/>
  <c r="GY87" i="129"/>
  <c r="GY86" i="129"/>
  <c r="GY85" i="129"/>
  <c r="GY84" i="129"/>
  <c r="GY83" i="129"/>
  <c r="GY82" i="129"/>
  <c r="GY81" i="129"/>
  <c r="GY80" i="129"/>
  <c r="GY79" i="129"/>
  <c r="GY78" i="129"/>
  <c r="GY77" i="129"/>
  <c r="GY76" i="129"/>
  <c r="GY75" i="129"/>
  <c r="GS74" i="129"/>
  <c r="GY74" i="129" s="1"/>
  <c r="GS73" i="129"/>
  <c r="GS72" i="129"/>
  <c r="GS71" i="129"/>
  <c r="GY71" i="129"/>
  <c r="GS70" i="129"/>
  <c r="GY70" i="129" s="1"/>
  <c r="GY69" i="129"/>
  <c r="GY68" i="129"/>
  <c r="GY67" i="129"/>
  <c r="GY66" i="129"/>
  <c r="GY65" i="129"/>
  <c r="GR61" i="129"/>
  <c r="GK61" i="129"/>
  <c r="GO6" i="129"/>
  <c r="GR6" i="129" s="1"/>
  <c r="GT5" i="129"/>
  <c r="GI93" i="129"/>
  <c r="GI92" i="129"/>
  <c r="GI91" i="129"/>
  <c r="GI90" i="129"/>
  <c r="GI89" i="129"/>
  <c r="GI88" i="129"/>
  <c r="GI87" i="129"/>
  <c r="GI86" i="129"/>
  <c r="GI85" i="129"/>
  <c r="GI84" i="129"/>
  <c r="GI83" i="129"/>
  <c r="GI82" i="129"/>
  <c r="GI81" i="129"/>
  <c r="GI80" i="129"/>
  <c r="GI79" i="129"/>
  <c r="GI78" i="129"/>
  <c r="GI77" i="129"/>
  <c r="GI76" i="129"/>
  <c r="GI75" i="129"/>
  <c r="GC74" i="129"/>
  <c r="GI74" i="129" s="1"/>
  <c r="GC73" i="129"/>
  <c r="GI73" i="129" s="1"/>
  <c r="GC72" i="129"/>
  <c r="GI72" i="129" s="1"/>
  <c r="GC71" i="129"/>
  <c r="GI71" i="129"/>
  <c r="GC70" i="129"/>
  <c r="GI70" i="129" s="1"/>
  <c r="GI69" i="129"/>
  <c r="GI68" i="129"/>
  <c r="GI67" i="129"/>
  <c r="GI66" i="129"/>
  <c r="GI65" i="129"/>
  <c r="GB61" i="129"/>
  <c r="FU61" i="129"/>
  <c r="FY6" i="129"/>
  <c r="GB6" i="129"/>
  <c r="GD5" i="129"/>
  <c r="FS93" i="129"/>
  <c r="FS92" i="129"/>
  <c r="FS91" i="129"/>
  <c r="FS90" i="129"/>
  <c r="FS89" i="129"/>
  <c r="FS88" i="129"/>
  <c r="FS87" i="129"/>
  <c r="FS86" i="129"/>
  <c r="FS85" i="129"/>
  <c r="FS84" i="129"/>
  <c r="FS83" i="129"/>
  <c r="FS82" i="129"/>
  <c r="FS81" i="129"/>
  <c r="FS80" i="129"/>
  <c r="FS79" i="129"/>
  <c r="FS78" i="129"/>
  <c r="FS77" i="129"/>
  <c r="FS76" i="129"/>
  <c r="FS75" i="129"/>
  <c r="FM74" i="129"/>
  <c r="FS74" i="129"/>
  <c r="FM73" i="129"/>
  <c r="FS73" i="129"/>
  <c r="FM72" i="129"/>
  <c r="FS72" i="129" s="1"/>
  <c r="FM71" i="129"/>
  <c r="FS71" i="129"/>
  <c r="FM70" i="129"/>
  <c r="FS70" i="129"/>
  <c r="FS69" i="129"/>
  <c r="FS68" i="129"/>
  <c r="FS67" i="129"/>
  <c r="FS66" i="129"/>
  <c r="FS65" i="129"/>
  <c r="FL61" i="129"/>
  <c r="FE61" i="129"/>
  <c r="FI6" i="129"/>
  <c r="FL6" i="129"/>
  <c r="FN5" i="129"/>
  <c r="FC93" i="129"/>
  <c r="FC92" i="129"/>
  <c r="FC91" i="129"/>
  <c r="FC90" i="129"/>
  <c r="FC89" i="129"/>
  <c r="FC88" i="129"/>
  <c r="FC87" i="129"/>
  <c r="FC86" i="129"/>
  <c r="FC85" i="129"/>
  <c r="FC84" i="129"/>
  <c r="FC83" i="129"/>
  <c r="FC82" i="129"/>
  <c r="FC81" i="129"/>
  <c r="FC80" i="129"/>
  <c r="FC79" i="129"/>
  <c r="FC78" i="129"/>
  <c r="FC77" i="129"/>
  <c r="FC76" i="129"/>
  <c r="FC75" i="129"/>
  <c r="EW74" i="129"/>
  <c r="FC74" i="129" s="1"/>
  <c r="EW73" i="129"/>
  <c r="FC73" i="129"/>
  <c r="EW72" i="129"/>
  <c r="FC72" i="129" s="1"/>
  <c r="EW71" i="129"/>
  <c r="FC71" i="129"/>
  <c r="EW70" i="129"/>
  <c r="FC70" i="129" s="1"/>
  <c r="FC69" i="129"/>
  <c r="FC68" i="129"/>
  <c r="FC67" i="129"/>
  <c r="FC66" i="129"/>
  <c r="FC65" i="129"/>
  <c r="EV61" i="129"/>
  <c r="EO61" i="129"/>
  <c r="ES6" i="129"/>
  <c r="EV6" i="129"/>
  <c r="EX5" i="129"/>
  <c r="EM93" i="129"/>
  <c r="EM92" i="129"/>
  <c r="EM91" i="129"/>
  <c r="EM90" i="129"/>
  <c r="EM89" i="129"/>
  <c r="EM88" i="129"/>
  <c r="EM87" i="129"/>
  <c r="EM86" i="129"/>
  <c r="EM85" i="129"/>
  <c r="EM84" i="129"/>
  <c r="EM83" i="129"/>
  <c r="EM82" i="129"/>
  <c r="EM81" i="129"/>
  <c r="EM80" i="129"/>
  <c r="EM79" i="129"/>
  <c r="EM78" i="129"/>
  <c r="EM77" i="129"/>
  <c r="EM76" i="129"/>
  <c r="EM75" i="129"/>
  <c r="EG74" i="129"/>
  <c r="EG73" i="129"/>
  <c r="EM73" i="129" s="1"/>
  <c r="EG72" i="129"/>
  <c r="EM72" i="129" s="1"/>
  <c r="EG71" i="129"/>
  <c r="EM71" i="129"/>
  <c r="EG70" i="129"/>
  <c r="EM70" i="129" s="1"/>
  <c r="EM69" i="129"/>
  <c r="EM68" i="129"/>
  <c r="EM67" i="129"/>
  <c r="EM66" i="129"/>
  <c r="EM65" i="129"/>
  <c r="EF61" i="129"/>
  <c r="DY61" i="129"/>
  <c r="EC6" i="129"/>
  <c r="EF6" i="129"/>
  <c r="EH5" i="129"/>
  <c r="DW93" i="129"/>
  <c r="DW92" i="129"/>
  <c r="DW91" i="129"/>
  <c r="DW90" i="129"/>
  <c r="DW89" i="129"/>
  <c r="DW88" i="129"/>
  <c r="DW87" i="129"/>
  <c r="DW86" i="129"/>
  <c r="DW85" i="129"/>
  <c r="DW84" i="129"/>
  <c r="DW83" i="129"/>
  <c r="DW82" i="129"/>
  <c r="DW81" i="129"/>
  <c r="DW80" i="129"/>
  <c r="DW79" i="129"/>
  <c r="DW78" i="129"/>
  <c r="DW77" i="129"/>
  <c r="DW76" i="129"/>
  <c r="DW75" i="129"/>
  <c r="DQ74" i="129"/>
  <c r="DW74" i="129" s="1"/>
  <c r="DQ73" i="129"/>
  <c r="DQ72" i="129"/>
  <c r="DW72" i="129"/>
  <c r="DQ71" i="129"/>
  <c r="DW71" i="129" s="1"/>
  <c r="DQ70" i="129"/>
  <c r="DW69" i="129"/>
  <c r="DW68" i="129"/>
  <c r="DW67" i="129"/>
  <c r="DW66" i="129"/>
  <c r="DW65" i="129"/>
  <c r="DP61" i="129"/>
  <c r="DI61" i="129"/>
  <c r="DM6" i="129"/>
  <c r="DP6" i="129"/>
  <c r="DR5" i="129"/>
  <c r="DG93" i="129"/>
  <c r="DG92" i="129"/>
  <c r="DG91" i="129"/>
  <c r="DG90" i="129"/>
  <c r="DG89" i="129"/>
  <c r="DG88" i="129"/>
  <c r="DG87" i="129"/>
  <c r="DG86" i="129"/>
  <c r="DG85" i="129"/>
  <c r="DG84" i="129"/>
  <c r="DG83" i="129"/>
  <c r="DG82" i="129"/>
  <c r="DG81" i="129"/>
  <c r="DG80" i="129"/>
  <c r="DG79" i="129"/>
  <c r="DG78" i="129"/>
  <c r="DG77" i="129"/>
  <c r="DG76" i="129"/>
  <c r="DG75" i="129"/>
  <c r="DA74" i="129"/>
  <c r="DG74" i="129" s="1"/>
  <c r="DA73" i="129"/>
  <c r="DG73" i="129"/>
  <c r="DA72" i="129"/>
  <c r="DG72" i="129" s="1"/>
  <c r="DA71" i="129"/>
  <c r="DA70" i="129"/>
  <c r="DG70" i="129" s="1"/>
  <c r="DG69" i="129"/>
  <c r="DG68" i="129"/>
  <c r="DG67" i="129"/>
  <c r="DG66" i="129"/>
  <c r="DG65" i="129"/>
  <c r="CZ61" i="129"/>
  <c r="CS61" i="129"/>
  <c r="CW6" i="129"/>
  <c r="CZ6" i="129"/>
  <c r="DB5" i="129"/>
  <c r="CQ93" i="129"/>
  <c r="CQ92" i="129"/>
  <c r="CQ91" i="129"/>
  <c r="CQ90" i="129"/>
  <c r="CQ89" i="129"/>
  <c r="CQ88" i="129"/>
  <c r="CQ87" i="129"/>
  <c r="CQ86" i="129"/>
  <c r="CQ85" i="129"/>
  <c r="CQ84" i="129"/>
  <c r="CQ83" i="129"/>
  <c r="CQ82" i="129"/>
  <c r="CQ81" i="129"/>
  <c r="CQ80" i="129"/>
  <c r="CQ79" i="129"/>
  <c r="CQ78" i="129"/>
  <c r="CQ77" i="129"/>
  <c r="CQ76" i="129"/>
  <c r="CQ75" i="129"/>
  <c r="CK74" i="129"/>
  <c r="CQ74" i="129" s="1"/>
  <c r="CK73" i="129"/>
  <c r="CQ73" i="129"/>
  <c r="CK72" i="129"/>
  <c r="CQ72" i="129" s="1"/>
  <c r="CK71" i="129"/>
  <c r="CQ71" i="129"/>
  <c r="CK70" i="129"/>
  <c r="CQ70" i="129" s="1"/>
  <c r="CQ69" i="129"/>
  <c r="CQ68" i="129"/>
  <c r="CQ67" i="129"/>
  <c r="CQ66" i="129"/>
  <c r="CQ65" i="129"/>
  <c r="CJ61" i="129"/>
  <c r="CC61" i="129"/>
  <c r="CG6" i="129"/>
  <c r="CJ6" i="129"/>
  <c r="CL5" i="129"/>
  <c r="CA93" i="129"/>
  <c r="CA92" i="129"/>
  <c r="CA91" i="129"/>
  <c r="CA90" i="129"/>
  <c r="CA89" i="129"/>
  <c r="CA88" i="129"/>
  <c r="CA87" i="129"/>
  <c r="CA86" i="129"/>
  <c r="CA85" i="129"/>
  <c r="CA84" i="129"/>
  <c r="CA83" i="129"/>
  <c r="CA82" i="129"/>
  <c r="CA81" i="129"/>
  <c r="CA80" i="129"/>
  <c r="CA79" i="129"/>
  <c r="CA78" i="129"/>
  <c r="CA77" i="129"/>
  <c r="CA76" i="129"/>
  <c r="CA75" i="129"/>
  <c r="BU74" i="129"/>
  <c r="CA74" i="129" s="1"/>
  <c r="BU73" i="129"/>
  <c r="CA73" i="129" s="1"/>
  <c r="BU72" i="129"/>
  <c r="CA72" i="129"/>
  <c r="BU71" i="129"/>
  <c r="CA71" i="129"/>
  <c r="BU70" i="129"/>
  <c r="CA70" i="129" s="1"/>
  <c r="CA69" i="129"/>
  <c r="CA68" i="129"/>
  <c r="CA67" i="129"/>
  <c r="CA66" i="129"/>
  <c r="CA65" i="129"/>
  <c r="BT61" i="129"/>
  <c r="BM61" i="129"/>
  <c r="BQ6" i="129"/>
  <c r="BT6" i="129"/>
  <c r="BV5" i="129"/>
  <c r="BE70" i="129"/>
  <c r="BK70" i="129"/>
  <c r="BE71" i="129"/>
  <c r="BK71" i="129"/>
  <c r="BE72" i="129"/>
  <c r="BE73" i="129"/>
  <c r="BK73" i="129" s="1"/>
  <c r="BE74" i="129"/>
  <c r="BK74" i="129" s="1"/>
  <c r="AO70" i="129"/>
  <c r="AU70" i="129" s="1"/>
  <c r="AO71" i="129"/>
  <c r="AU71" i="129" s="1"/>
  <c r="AO72" i="129"/>
  <c r="AU72" i="129" s="1"/>
  <c r="AO73" i="129"/>
  <c r="AO74" i="129"/>
  <c r="I70" i="129"/>
  <c r="O70" i="129" s="1"/>
  <c r="I71" i="129"/>
  <c r="I72" i="129"/>
  <c r="K72" i="129" s="1"/>
  <c r="I73" i="129"/>
  <c r="K73" i="129" s="1"/>
  <c r="I74" i="129"/>
  <c r="K74" i="129" s="1"/>
  <c r="BK93" i="129"/>
  <c r="BK92" i="129"/>
  <c r="BK91" i="129"/>
  <c r="BK90" i="129"/>
  <c r="BK89" i="129"/>
  <c r="BK88" i="129"/>
  <c r="BK87" i="129"/>
  <c r="BK86" i="129"/>
  <c r="BK85" i="129"/>
  <c r="BK84" i="129"/>
  <c r="BK83" i="129"/>
  <c r="BK82" i="129"/>
  <c r="BK81" i="129"/>
  <c r="BK80" i="129"/>
  <c r="BK79" i="129"/>
  <c r="BK78" i="129"/>
  <c r="BK77" i="129"/>
  <c r="BK76" i="129"/>
  <c r="BK75" i="129"/>
  <c r="BK69" i="129"/>
  <c r="BK68" i="129"/>
  <c r="BK67" i="129"/>
  <c r="BK66" i="129"/>
  <c r="BK65" i="129"/>
  <c r="BD61" i="129"/>
  <c r="AW61" i="129"/>
  <c r="BC11" i="129"/>
  <c r="BA6" i="129"/>
  <c r="BD6" i="129" s="1"/>
  <c r="BF5" i="129"/>
  <c r="AU93" i="129"/>
  <c r="AU92" i="129"/>
  <c r="AU91" i="129"/>
  <c r="AU90" i="129"/>
  <c r="AU89" i="129"/>
  <c r="AU88" i="129"/>
  <c r="AU87" i="129"/>
  <c r="AU86" i="129"/>
  <c r="AU85" i="129"/>
  <c r="AU84" i="129"/>
  <c r="AU83" i="129"/>
  <c r="AU82" i="129"/>
  <c r="AU81" i="129"/>
  <c r="AU80" i="129"/>
  <c r="AU79" i="129"/>
  <c r="AU78" i="129"/>
  <c r="AU77" i="129"/>
  <c r="AU76" i="129"/>
  <c r="AU75" i="129"/>
  <c r="AU69" i="129"/>
  <c r="AU68" i="129"/>
  <c r="AU67" i="129"/>
  <c r="AU66" i="129"/>
  <c r="AU65" i="129"/>
  <c r="AN61" i="129"/>
  <c r="AG61" i="129"/>
  <c r="AM11" i="129"/>
  <c r="AK6" i="129"/>
  <c r="AN6" i="129" s="1"/>
  <c r="AP5" i="129"/>
  <c r="Y74" i="129"/>
  <c r="AE74" i="129" s="1"/>
  <c r="Y73" i="129"/>
  <c r="AE73" i="129" s="1"/>
  <c r="Y72" i="129"/>
  <c r="AE72" i="129" s="1"/>
  <c r="Y71" i="129"/>
  <c r="AE71" i="129" s="1"/>
  <c r="Y70" i="129"/>
  <c r="AE70" i="129" s="1"/>
  <c r="O74" i="129"/>
  <c r="O72" i="129"/>
  <c r="O71" i="129"/>
  <c r="O73" i="129"/>
  <c r="O69" i="129"/>
  <c r="W11" i="129"/>
  <c r="U6" i="129"/>
  <c r="X6" i="129" s="1"/>
  <c r="AE93" i="129"/>
  <c r="AE92" i="129"/>
  <c r="AE91" i="129"/>
  <c r="AE90" i="129"/>
  <c r="AE89" i="129"/>
  <c r="AE88" i="129"/>
  <c r="AE87" i="129"/>
  <c r="AE86" i="129"/>
  <c r="AE85" i="129"/>
  <c r="AE84" i="129"/>
  <c r="AE83" i="129"/>
  <c r="AE82" i="129"/>
  <c r="AE81" i="129"/>
  <c r="AE80" i="129"/>
  <c r="AE79" i="129"/>
  <c r="AE78" i="129"/>
  <c r="AE77" i="129"/>
  <c r="AE76" i="129"/>
  <c r="AE75" i="129"/>
  <c r="AE69" i="129"/>
  <c r="AE68" i="129"/>
  <c r="AE67" i="129"/>
  <c r="AE66" i="129"/>
  <c r="AE65" i="129"/>
  <c r="X61" i="129"/>
  <c r="Q61" i="129"/>
  <c r="Z5" i="129"/>
  <c r="O66" i="129"/>
  <c r="O65" i="129"/>
  <c r="O68" i="129"/>
  <c r="O67" i="129"/>
  <c r="A61" i="129"/>
  <c r="H6" i="129"/>
  <c r="K66" i="129"/>
  <c r="AA66" i="129" s="1"/>
  <c r="AQ66" i="129" s="1"/>
  <c r="BG66" i="129" s="1"/>
  <c r="BW66" i="129" s="1"/>
  <c r="CM66" i="129" s="1"/>
  <c r="DC66" i="129" s="1"/>
  <c r="DS66" i="129" s="1"/>
  <c r="EI66" i="129" s="1"/>
  <c r="EY66" i="129" s="1"/>
  <c r="FO66" i="129" s="1"/>
  <c r="GE66" i="129" s="1"/>
  <c r="GU66" i="129" s="1"/>
  <c r="HK66" i="129" s="1"/>
  <c r="IA66" i="129" s="1"/>
  <c r="IQ66" i="129" s="1"/>
  <c r="K67" i="129"/>
  <c r="AA67" i="129" s="1"/>
  <c r="AQ67" i="129" s="1"/>
  <c r="BG67" i="129" s="1"/>
  <c r="BW67" i="129" s="1"/>
  <c r="CM67" i="129" s="1"/>
  <c r="DC67" i="129" s="1"/>
  <c r="DS67" i="129" s="1"/>
  <c r="EI67" i="129" s="1"/>
  <c r="EY67" i="129" s="1"/>
  <c r="FO67" i="129" s="1"/>
  <c r="GE67" i="129" s="1"/>
  <c r="GU67" i="129" s="1"/>
  <c r="HK67" i="129" s="1"/>
  <c r="IA67" i="129" s="1"/>
  <c r="K68" i="129"/>
  <c r="AA68" i="129" s="1"/>
  <c r="AQ68" i="129" s="1"/>
  <c r="BG68" i="129" s="1"/>
  <c r="BW68" i="129" s="1"/>
  <c r="CM68" i="129" s="1"/>
  <c r="DC68" i="129" s="1"/>
  <c r="DS68" i="129" s="1"/>
  <c r="EI68" i="129" s="1"/>
  <c r="EY68" i="129" s="1"/>
  <c r="FO68" i="129" s="1"/>
  <c r="GE68" i="129" s="1"/>
  <c r="GU68" i="129" s="1"/>
  <c r="HK68" i="129" s="1"/>
  <c r="IA68" i="129" s="1"/>
  <c r="K69" i="129"/>
  <c r="AA69" i="129" s="1"/>
  <c r="AQ69" i="129" s="1"/>
  <c r="BG69" i="129" s="1"/>
  <c r="BW69" i="129" s="1"/>
  <c r="CM69" i="129" s="1"/>
  <c r="DC69" i="129" s="1"/>
  <c r="DS69" i="129" s="1"/>
  <c r="EI69" i="129" s="1"/>
  <c r="EY69" i="129" s="1"/>
  <c r="FO69" i="129" s="1"/>
  <c r="GE69" i="129" s="1"/>
  <c r="GU69" i="129" s="1"/>
  <c r="HK69" i="129" s="1"/>
  <c r="IA69" i="129" s="1"/>
  <c r="IQ69" i="129" s="1"/>
  <c r="JG69" i="129" s="1"/>
  <c r="JW69" i="129" s="1"/>
  <c r="KM69" i="129" s="1"/>
  <c r="LC69" i="129" s="1"/>
  <c r="LS69" i="129" s="1"/>
  <c r="MI69" i="129" s="1"/>
  <c r="K71" i="129"/>
  <c r="K65" i="129"/>
  <c r="AA65" i="129" s="1"/>
  <c r="Z11" i="129" s="1"/>
  <c r="O92" i="129"/>
  <c r="O90" i="129"/>
  <c r="O91" i="129"/>
  <c r="O93" i="129"/>
  <c r="O75" i="129"/>
  <c r="O76" i="129"/>
  <c r="O77" i="129"/>
  <c r="O78" i="129"/>
  <c r="O79" i="129"/>
  <c r="O80" i="129"/>
  <c r="O81" i="129"/>
  <c r="O82" i="129"/>
  <c r="O83" i="129"/>
  <c r="O84" i="129"/>
  <c r="O85" i="129"/>
  <c r="O86" i="129"/>
  <c r="O87" i="129"/>
  <c r="O88" i="129"/>
  <c r="O89" i="129"/>
  <c r="J5" i="129"/>
  <c r="H61" i="129"/>
  <c r="GY72" i="129"/>
  <c r="GY73" i="129"/>
  <c r="DW73" i="129"/>
  <c r="IU73" i="129"/>
  <c r="KA73" i="129" l="1"/>
  <c r="KM27" i="129"/>
  <c r="LC27" i="129" s="1"/>
  <c r="LS27" i="129" s="1"/>
  <c r="MI27" i="129" s="1"/>
  <c r="KM71" i="129"/>
  <c r="LC71" i="129" s="1"/>
  <c r="LS71" i="129" s="1"/>
  <c r="MI71" i="129" s="1"/>
  <c r="AA73" i="129"/>
  <c r="AQ73" i="129" s="1"/>
  <c r="BG73" i="129" s="1"/>
  <c r="BW73" i="129" s="1"/>
  <c r="CM73" i="129" s="1"/>
  <c r="DC73" i="129" s="1"/>
  <c r="DS73" i="129" s="1"/>
  <c r="EI73" i="129" s="1"/>
  <c r="EY73" i="129" s="1"/>
  <c r="FO73" i="129" s="1"/>
  <c r="GE73" i="129" s="1"/>
  <c r="GU73" i="129" s="1"/>
  <c r="HK73" i="129" s="1"/>
  <c r="IA73" i="129" s="1"/>
  <c r="IQ73" i="129" s="1"/>
  <c r="JG73" i="129" s="1"/>
  <c r="JW73" i="129" s="1"/>
  <c r="KM73" i="129" s="1"/>
  <c r="LC73" i="129" s="1"/>
  <c r="LS73" i="129" s="1"/>
  <c r="MI73" i="129" s="1"/>
  <c r="JK71" i="129"/>
  <c r="MM74" i="129"/>
  <c r="KQ70" i="129"/>
  <c r="AA72" i="129"/>
  <c r="AQ72" i="129" s="1"/>
  <c r="BG72" i="129" s="1"/>
  <c r="BW72" i="129" s="1"/>
  <c r="CM72" i="129" s="1"/>
  <c r="DC72" i="129" s="1"/>
  <c r="DS72" i="129" s="1"/>
  <c r="EI72" i="129" s="1"/>
  <c r="EY72" i="129" s="1"/>
  <c r="FO72" i="129" s="1"/>
  <c r="GE72" i="129" s="1"/>
  <c r="GU72" i="129" s="1"/>
  <c r="HK72" i="129" s="1"/>
  <c r="IA72" i="129" s="1"/>
  <c r="IQ72" i="129" s="1"/>
  <c r="JG72" i="129" s="1"/>
  <c r="JW72" i="129" s="1"/>
  <c r="KM72" i="129" s="1"/>
  <c r="LC72" i="129" s="1"/>
  <c r="LS72" i="129" s="1"/>
  <c r="MI72" i="129" s="1"/>
  <c r="LG74" i="129"/>
  <c r="IQ68" i="129"/>
  <c r="IP12" i="129" s="1"/>
  <c r="HZ12" i="129"/>
  <c r="KQ73" i="129"/>
  <c r="KQ74" i="129"/>
  <c r="JK73" i="129"/>
  <c r="O94" i="129"/>
  <c r="HZ11" i="129"/>
  <c r="IQ67" i="129"/>
  <c r="BK72" i="129"/>
  <c r="K70" i="129"/>
  <c r="AA70" i="129" s="1"/>
  <c r="AQ70" i="129" s="1"/>
  <c r="BG70" i="129" s="1"/>
  <c r="BW70" i="129" s="1"/>
  <c r="CM70" i="129" s="1"/>
  <c r="DC70" i="129" s="1"/>
  <c r="DS70" i="129" s="1"/>
  <c r="EI70" i="129" s="1"/>
  <c r="EY70" i="129" s="1"/>
  <c r="FO70" i="129" s="1"/>
  <c r="GE70" i="129" s="1"/>
  <c r="GU70" i="129" s="1"/>
  <c r="HK70" i="129" s="1"/>
  <c r="IA70" i="129" s="1"/>
  <c r="IQ70" i="129" s="1"/>
  <c r="JG70" i="129" s="1"/>
  <c r="JW70" i="129" s="1"/>
  <c r="KM70" i="129" s="1"/>
  <c r="LC70" i="129" s="1"/>
  <c r="LS70" i="129" s="1"/>
  <c r="MI70" i="129" s="1"/>
  <c r="AA74" i="129"/>
  <c r="AQ74" i="129" s="1"/>
  <c r="BG74" i="129" s="1"/>
  <c r="BW74" i="129" s="1"/>
  <c r="CM74" i="129" s="1"/>
  <c r="DC74" i="129" s="1"/>
  <c r="DS74" i="129" s="1"/>
  <c r="EI74" i="129" s="1"/>
  <c r="EY74" i="129" s="1"/>
  <c r="FO74" i="129" s="1"/>
  <c r="GE74" i="129" s="1"/>
  <c r="GU74" i="129" s="1"/>
  <c r="HK74" i="129" s="1"/>
  <c r="IA74" i="129" s="1"/>
  <c r="IQ74" i="129" s="1"/>
  <c r="JG74" i="129" s="1"/>
  <c r="JW74" i="129" s="1"/>
  <c r="KM74" i="129" s="1"/>
  <c r="LC74" i="129" s="1"/>
  <c r="LS74" i="129" s="1"/>
  <c r="MI74" i="129" s="1"/>
  <c r="AU74" i="129"/>
  <c r="AU73" i="129"/>
  <c r="AA71" i="129"/>
  <c r="AQ71" i="129" s="1"/>
  <c r="BG71" i="129" s="1"/>
  <c r="BW71" i="129" s="1"/>
  <c r="CM71" i="129" s="1"/>
  <c r="DC71" i="129" s="1"/>
  <c r="DS71" i="129" s="1"/>
  <c r="EI71" i="129" s="1"/>
  <c r="EY71" i="129" s="1"/>
  <c r="FO71" i="129" s="1"/>
  <c r="GE71" i="129" s="1"/>
  <c r="GU71" i="129" s="1"/>
  <c r="HK71" i="129" s="1"/>
  <c r="IA71" i="129" s="1"/>
  <c r="IQ71" i="129" s="1"/>
  <c r="JG71" i="129" s="1"/>
  <c r="JW71" i="129" s="1"/>
  <c r="DW70" i="129"/>
  <c r="AQ65" i="129"/>
  <c r="DG71" i="129"/>
  <c r="D8" i="129"/>
  <c r="T8" i="129" s="1"/>
  <c r="AJ8" i="129" s="1"/>
  <c r="AZ8" i="129" s="1"/>
  <c r="BP8" i="129" s="1"/>
  <c r="CF8" i="129" s="1"/>
  <c r="CV8" i="129" s="1"/>
  <c r="DL8" i="129" s="1"/>
  <c r="EB8" i="129" s="1"/>
  <c r="ER8" i="129" s="1"/>
  <c r="EM74" i="129"/>
  <c r="FH8" i="129" l="1"/>
  <c r="FX8" i="129" s="1"/>
  <c r="GN8" i="129" s="1"/>
  <c r="HD8" i="129" s="1"/>
  <c r="JG68" i="129"/>
  <c r="JW68" i="129" s="1"/>
  <c r="JV12" i="129" s="1"/>
  <c r="KM68" i="129"/>
  <c r="JF12" i="129"/>
  <c r="IP11" i="129"/>
  <c r="JG67" i="129"/>
  <c r="JW67" i="129" s="1"/>
  <c r="JV11" i="129" s="1"/>
  <c r="AE94" i="129"/>
  <c r="J8" i="129"/>
  <c r="AP11" i="129"/>
  <c r="BG65" i="129"/>
  <c r="HT8" i="129" l="1"/>
  <c r="IJ8" i="129" s="1"/>
  <c r="IZ8" i="129" s="1"/>
  <c r="LC68" i="129"/>
  <c r="KL12" i="129"/>
  <c r="JF11" i="129"/>
  <c r="BF11" i="129"/>
  <c r="BW65" i="129"/>
  <c r="CM65" i="129" s="1"/>
  <c r="DC65" i="129" s="1"/>
  <c r="DS65" i="129" s="1"/>
  <c r="EI65" i="129" s="1"/>
  <c r="EY65" i="129" s="1"/>
  <c r="FO65" i="129" s="1"/>
  <c r="GE65" i="129" s="1"/>
  <c r="GU65" i="129" s="1"/>
  <c r="HK65" i="129" s="1"/>
  <c r="IA65" i="129" s="1"/>
  <c r="IQ65" i="129" s="1"/>
  <c r="JG65" i="129" s="1"/>
  <c r="JW65" i="129" s="1"/>
  <c r="KM65" i="129" s="1"/>
  <c r="LC65" i="129" s="1"/>
  <c r="LS65" i="129" s="1"/>
  <c r="MI65" i="129" s="1"/>
  <c r="Z8" i="129"/>
  <c r="AU94" i="129"/>
  <c r="JP8" i="129" l="1"/>
  <c r="KF8" i="129" s="1"/>
  <c r="KV8" i="129" s="1"/>
  <c r="LL8" i="129" s="1"/>
  <c r="MB8" i="129" s="1"/>
  <c r="LB12" i="129"/>
  <c r="LS68" i="129"/>
  <c r="KM67" i="129"/>
  <c r="BK94" i="129"/>
  <c r="AP8" i="129"/>
  <c r="LR12" i="129" l="1"/>
  <c r="MI68" i="129"/>
  <c r="MH12" i="129" s="1"/>
  <c r="KL11" i="129"/>
  <c r="LC67" i="129"/>
  <c r="BF8" i="129"/>
  <c r="CA94" i="129"/>
  <c r="LS67" i="129" l="1"/>
  <c r="MI67" i="129" s="1"/>
  <c r="MH11" i="129" s="1"/>
  <c r="LB11" i="129"/>
  <c r="CQ94" i="129"/>
  <c r="BV8" i="129"/>
  <c r="LR11" i="129" l="1"/>
  <c r="CL8" i="129"/>
  <c r="DG94" i="129"/>
  <c r="DB8" i="129" l="1"/>
  <c r="DW94" i="129"/>
  <c r="DR8" i="129" l="1"/>
  <c r="EM94" i="129"/>
  <c r="FC94" i="129" l="1"/>
  <c r="EH8" i="129"/>
  <c r="EX8" i="129" l="1"/>
  <c r="FS94" i="129"/>
  <c r="GI94" i="129" l="1"/>
  <c r="FN8" i="129"/>
  <c r="GY94" i="129" l="1"/>
  <c r="GD8" i="129"/>
  <c r="GT8" i="129" l="1"/>
  <c r="HO94" i="129"/>
  <c r="IE94" i="129" l="1"/>
  <c r="HJ8" i="129"/>
  <c r="IU94" i="129" l="1"/>
  <c r="HZ8" i="129"/>
  <c r="IP8" i="129" l="1"/>
  <c r="JK94" i="129"/>
  <c r="KA94" i="129" s="1"/>
  <c r="JV8" i="129" s="1"/>
  <c r="JF8" i="129" l="1"/>
  <c r="KQ94" i="129" l="1"/>
  <c r="KL8" i="129" l="1"/>
  <c r="LG94" i="129"/>
  <c r="LB8" i="129" l="1"/>
  <c r="LW94" i="129"/>
  <c r="LR8" i="129" l="1"/>
  <c r="MM94" i="129"/>
  <c r="MH8" i="129" s="1"/>
</calcChain>
</file>

<file path=xl/sharedStrings.xml><?xml version="1.0" encoding="utf-8"?>
<sst xmlns="http://schemas.openxmlformats.org/spreadsheetml/2006/main" count="2556" uniqueCount="141">
  <si>
    <t>累計</t>
    <phoneticPr fontId="2" type="noConversion"/>
  </si>
  <si>
    <t>天數</t>
    <phoneticPr fontId="2" type="noConversion"/>
  </si>
  <si>
    <t>單日進度</t>
    <phoneticPr fontId="2" type="noConversion"/>
  </si>
  <si>
    <t>天數</t>
    <phoneticPr fontId="2" type="noConversion"/>
  </si>
  <si>
    <t>公共工程施工日誌</t>
    <phoneticPr fontId="2" type="noConversion"/>
  </si>
  <si>
    <t>該期進度</t>
    <phoneticPr fontId="2" type="noConversion"/>
  </si>
  <si>
    <t>備註</t>
    <phoneticPr fontId="2" type="noConversion"/>
  </si>
  <si>
    <t>承攬廠商名稱</t>
    <phoneticPr fontId="2" type="noConversion"/>
  </si>
  <si>
    <t>核定工期</t>
    <phoneticPr fontId="2" type="noConversion"/>
  </si>
  <si>
    <t>天</t>
    <phoneticPr fontId="2" type="noConversion"/>
  </si>
  <si>
    <t>累計工期</t>
    <phoneticPr fontId="2" type="noConversion"/>
  </si>
  <si>
    <t>剩餘工期</t>
    <phoneticPr fontId="2" type="noConversion"/>
  </si>
  <si>
    <t>工期展延天數</t>
    <phoneticPr fontId="2" type="noConversion"/>
  </si>
  <si>
    <t>開工日期</t>
    <phoneticPr fontId="2" type="noConversion"/>
  </si>
  <si>
    <t>預定進度(%)</t>
    <phoneticPr fontId="2" type="noConversion"/>
  </si>
  <si>
    <t>實際進度(%)</t>
    <phoneticPr fontId="2" type="noConversion"/>
  </si>
  <si>
    <t>一、依施工計畫書執行按圖施工概況(含約定之重要施工項目及完成數量等)：</t>
    <phoneticPr fontId="2" type="noConversion"/>
  </si>
  <si>
    <t>施工項目</t>
    <phoneticPr fontId="2" type="noConversion"/>
  </si>
  <si>
    <t>單位</t>
    <phoneticPr fontId="2" type="noConversion"/>
  </si>
  <si>
    <t>契約數量</t>
    <phoneticPr fontId="2" type="noConversion"/>
  </si>
  <si>
    <t>本日完成數量</t>
    <phoneticPr fontId="2" type="noConversion"/>
  </si>
  <si>
    <t>累計完成數量</t>
    <phoneticPr fontId="2" type="noConversion"/>
  </si>
  <si>
    <t>備註</t>
    <phoneticPr fontId="2" type="noConversion"/>
  </si>
  <si>
    <t>營造業專業工程特定施工項目</t>
    <phoneticPr fontId="2" type="noConversion"/>
  </si>
  <si>
    <t>A.</t>
    <phoneticPr fontId="2" type="noConversion"/>
  </si>
  <si>
    <t>B.</t>
    <phoneticPr fontId="2" type="noConversion"/>
  </si>
  <si>
    <t>二、工地材料管理概況(含約定之重要材料使用狀況及數量等)：</t>
    <phoneticPr fontId="2" type="noConversion"/>
  </si>
  <si>
    <t>材料名稱</t>
    <phoneticPr fontId="2" type="noConversion"/>
  </si>
  <si>
    <t>設計數量</t>
    <phoneticPr fontId="2" type="noConversion"/>
  </si>
  <si>
    <t>本日使用數量</t>
    <phoneticPr fontId="2" type="noConversion"/>
  </si>
  <si>
    <t>累計使用數量</t>
    <phoneticPr fontId="2" type="noConversion"/>
  </si>
  <si>
    <t>三、工地人員及機具管理(含約定之出工人數及機具使用情形及數量)：</t>
    <phoneticPr fontId="2" type="noConversion"/>
  </si>
  <si>
    <t>工別</t>
    <phoneticPr fontId="2" type="noConversion"/>
  </si>
  <si>
    <t>本日人數</t>
    <phoneticPr fontId="2" type="noConversion"/>
  </si>
  <si>
    <t>累計人數</t>
    <phoneticPr fontId="2" type="noConversion"/>
  </si>
  <si>
    <t>機具名稱</t>
    <phoneticPr fontId="2" type="noConversion"/>
  </si>
  <si>
    <r>
      <t>四、本日施工項目是否有須依「營造業專業工程特定施工項目應置之技術士種類、比率或人數標準表」規定應設置技術士之專業工程：□有　□無</t>
    </r>
    <r>
      <rPr>
        <sz val="11"/>
        <color indexed="8"/>
        <rFont val="標楷體"/>
        <family val="4"/>
        <charset val="136"/>
      </rPr>
      <t>（此項如勾選"有"，則應填寫後附「公共工程施工日誌之技術士簽章表」）</t>
    </r>
    <phoneticPr fontId="2" type="noConversion"/>
  </si>
  <si>
    <t>六、施工取樣試驗紀錄：</t>
    <phoneticPr fontId="2" type="noConversion"/>
  </si>
  <si>
    <t>七、通知協力廠商辦理事項：</t>
    <phoneticPr fontId="2" type="noConversion"/>
  </si>
  <si>
    <t>填表人（簽名，註5）：</t>
    <phoneticPr fontId="2" type="noConversion"/>
  </si>
  <si>
    <t>第一聯</t>
    <phoneticPr fontId="2" type="noConversion"/>
  </si>
  <si>
    <t>編號：</t>
    <phoneticPr fontId="2" type="noConversion"/>
  </si>
  <si>
    <t>項次</t>
    <phoneticPr fontId="2" type="noConversion"/>
  </si>
  <si>
    <t xml:space="preserve">工程項目 </t>
    <phoneticPr fontId="2" type="noConversion"/>
  </si>
  <si>
    <t>單位</t>
    <phoneticPr fontId="2" type="noConversion"/>
  </si>
  <si>
    <t>本日完成數量</t>
    <phoneticPr fontId="2" type="noConversion"/>
  </si>
  <si>
    <t>累計完成數量</t>
    <phoneticPr fontId="2" type="noConversion"/>
  </si>
  <si>
    <r>
      <t xml:space="preserve">填表人                   </t>
    </r>
    <r>
      <rPr>
        <sz val="9"/>
        <color indexed="8"/>
        <rFont val="標楷體"/>
        <family val="4"/>
        <charset val="136"/>
      </rPr>
      <t xml:space="preserve">(簽名,註3) </t>
    </r>
    <phoneticPr fontId="2" type="noConversion"/>
  </si>
  <si>
    <t>註：1.本施工日誌不得塗改，各機關得依業務性質參酌調整之。</t>
    <phoneticPr fontId="2" type="noConversion"/>
  </si>
  <si>
    <t xml:space="preserve">   2.完成百分率每週六及月底估計乙次，工程開工應先將每項工程項目按其價款估定所估之百分率，則以</t>
    <phoneticPr fontId="2" type="noConversion"/>
  </si>
  <si>
    <t xml:space="preserve">     後估算完成總百分率時較為簡易且不致有誤。 </t>
    <phoneticPr fontId="2" type="noConversion"/>
  </si>
  <si>
    <t xml:space="preserve">   3.本工程依營造業法第三十條規定須置工地主任者，由工地主任簽章；依上開規定免置工地主任者，則</t>
    <phoneticPr fontId="2" type="noConversion"/>
  </si>
  <si>
    <t xml:space="preserve">     由營造業法第三十二條第二項所定之人員簽章。廠商非屬營造業者，由工地負責人簽章。</t>
    <phoneticPr fontId="2" type="noConversion"/>
  </si>
  <si>
    <t xml:space="preserve">    3.契約變更次數應依「修正契約總價表」內容填寫。</t>
    <phoneticPr fontId="2" type="noConversion"/>
  </si>
  <si>
    <t xml:space="preserve">    4.累計預定進度與累計實際進度應於每週六及月底估計填寫一次。</t>
    <phoneticPr fontId="2" type="noConversion"/>
  </si>
  <si>
    <t xml:space="preserve">    5.本工程依營造業法第三十條規定須置工地主任者，由工地主任簽章；依上開規定免置工地主任者，</t>
    <phoneticPr fontId="2" type="noConversion"/>
  </si>
  <si>
    <t xml:space="preserve">      則由營造業法第三十二條第二項所定之人員簽章。廠商非屬營造業者，由工地負責人簽章。</t>
    <phoneticPr fontId="2" type="noConversion"/>
  </si>
  <si>
    <t xml:space="preserve">    6.上開重要事項紀錄包含（１）主辦機關及監造單位指示（２）工地遇緊急異常狀況之通報處理情形</t>
    <phoneticPr fontId="2" type="noConversion"/>
  </si>
  <si>
    <t>　　　（３）本日是否由專任工程人員督察按圖施工、解決施工技術問題等。</t>
    <phoneticPr fontId="2" type="noConversion"/>
  </si>
  <si>
    <t xml:space="preserve">    7.本施工日誌不得塗改，各機關得依業務性質參酌調整之。</t>
    <phoneticPr fontId="2" type="noConversion"/>
  </si>
  <si>
    <t xml:space="preserve">    8.公共工程屬建築物者，應填寫「建築物施工日誌」。</t>
    <phoneticPr fontId="2" type="noConversion"/>
  </si>
  <si>
    <t xml:space="preserve">第二聯　完成工程詳細表　　　　　 </t>
    <phoneticPr fontId="2" type="noConversion"/>
  </si>
  <si>
    <t xml:space="preserve">第1共1頁 </t>
    <phoneticPr fontId="2" type="noConversion"/>
  </si>
  <si>
    <t>契約數量</t>
    <phoneticPr fontId="2" type="noConversion"/>
  </si>
  <si>
    <t>式</t>
  </si>
  <si>
    <t>契約單價</t>
    <phoneticPr fontId="2" type="noConversion"/>
  </si>
  <si>
    <t>完成金額</t>
    <phoneticPr fontId="2" type="noConversion"/>
  </si>
  <si>
    <t xml:space="preserve">本日天氣 </t>
    <phoneticPr fontId="2" type="noConversion"/>
  </si>
  <si>
    <t>完成百分率(註2)：本週完成  0 %；累計完成  0  %</t>
    <phoneticPr fontId="2" type="noConversion"/>
  </si>
  <si>
    <t>工作天</t>
    <phoneticPr fontId="2" type="noConversion"/>
  </si>
  <si>
    <t>預計完工日期</t>
    <phoneticPr fontId="2" type="noConversion"/>
  </si>
  <si>
    <t>註：1.本施工日誌應按日提報，材料名稱應與契約書內單價分析表一致，並依核定之施工計畫書規定填報。本施工日誌分為二聯，填寫一式三份</t>
    <phoneticPr fontId="2" type="noConversion"/>
  </si>
  <si>
    <t xml:space="preserve">      ，廠商及監造單位各留存一份隨時備查，一份送主辦機關。</t>
    <phoneticPr fontId="2" type="noConversion"/>
  </si>
  <si>
    <t xml:space="preserve">    2.如辦理契約變更或工期展延，應填寫修正核定後之契約工期與預定完工日期，且應依修正核定後進度網圖計算累計預定進度及累計實際進</t>
    <phoneticPr fontId="2" type="noConversion"/>
  </si>
  <si>
    <t xml:space="preserve">      度；工程項目依照契約詳細表選擇重要項目填入。</t>
    <phoneticPr fontId="2" type="noConversion"/>
  </si>
  <si>
    <r>
      <t>五、工地職業安全衛生事項之督導、公共環境與安全之維護及其他工地行政事務：　　　　　　　　　　　　　　　　　　　　　　　　　　(一)施工前檢查事項:                                                                                                            1.實施勤前教育(含工地預防災變及危害告知)：□有　□無　　　　　　　　　　　　　　　　　　　　　　　　　　　　　　　　　　2.確認新進勞工是否提報勞工保險(或其他商業保險)資料及安全衛生教育訓練紀錄：　□有　□無　　　　　　     
  □無新進勞工　　　　　　　　　　　　　　　　　　　　　　　　　　　　　　　　　　　　　　　　　　　　　　　　　　　　　　　　　　　　　　　　3.檢查勞工個人防護具：□有　□無　　　　　　　　　　　　　　　　　　　　　　　　　　　　　　　　　　　　　　　　　　　　　　　　　　　(二)其他事項：　　　</t>
    </r>
    <r>
      <rPr>
        <sz val="14"/>
        <color indexed="8"/>
        <rFont val="標楷體"/>
        <family val="4"/>
        <charset val="136"/>
      </rPr>
      <t>　　　　　　　　　　　　　　　　　　　　　　　　　　　　　　　　　　　　　　　　　　　　　　　　　　　　　　　　　　</t>
    </r>
    <phoneticPr fontId="2" type="noConversion"/>
  </si>
  <si>
    <t>M2</t>
    <phoneticPr fontId="2" type="noConversion"/>
  </si>
  <si>
    <t>八、重要事項紀錄：</t>
    <phoneticPr fontId="2" type="noConversion"/>
  </si>
  <si>
    <t>雲林縣立林內國民中學</t>
    <phoneticPr fontId="2" type="noConversion"/>
  </si>
  <si>
    <t>施工日誌</t>
    <phoneticPr fontId="2" type="noConversion"/>
  </si>
  <si>
    <t>114-Danas-E-05-01-011-雲林縣林內鄉林內國中射箭場側網毀損修復災後復建工程</t>
    <phoneticPr fontId="2" type="noConversion"/>
  </si>
  <si>
    <t>國謙營造有限公司</t>
    <phoneticPr fontId="2" type="noConversion"/>
  </si>
  <si>
    <t>填報日期：115年3月11日(星期三)</t>
    <phoneticPr fontId="2" type="noConversion"/>
  </si>
  <si>
    <t xml:space="preserve">上午：晴    　　下午：晴   </t>
    <phoneticPr fontId="2" type="noConversion"/>
  </si>
  <si>
    <t>115年3月11日</t>
    <phoneticPr fontId="2" type="noConversion"/>
  </si>
  <si>
    <t>115年4月29日</t>
    <phoneticPr fontId="2" type="noConversion"/>
  </si>
  <si>
    <t>無施工</t>
    <phoneticPr fontId="2" type="noConversion"/>
  </si>
  <si>
    <t>工程名稱：114-Danas-E-05-01-011-雲林縣林內鄉林內國中射箭場側網毀損修復災後復建工程</t>
    <phoneticPr fontId="2" type="noConversion"/>
  </si>
  <si>
    <t>壹</t>
    <phoneticPr fontId="2" type="noConversion"/>
  </si>
  <si>
    <t>直接工程</t>
    <phoneticPr fontId="2" type="noConversion"/>
  </si>
  <si>
    <t>既有傾斜高網修復</t>
    <phoneticPr fontId="2" type="noConversion"/>
  </si>
  <si>
    <t>M</t>
    <phoneticPr fontId="2" type="noConversion"/>
  </si>
  <si>
    <t>10吋鋼管與3吋鋼管焊接補強</t>
    <phoneticPr fontId="2" type="noConversion"/>
  </si>
  <si>
    <t>處</t>
    <phoneticPr fontId="2" type="noConversion"/>
  </si>
  <si>
    <t>既有3吋鋼管增加斜撐補強</t>
    <phoneticPr fontId="2" type="noConversion"/>
  </si>
  <si>
    <t>組</t>
    <phoneticPr fontId="2" type="noConversion"/>
  </si>
  <si>
    <t>既有10吋鋼管增加斜撐補強</t>
    <phoneticPr fontId="2" type="noConversion"/>
  </si>
  <si>
    <t>工區內草皮復原</t>
    <phoneticPr fontId="2" type="noConversion"/>
  </si>
  <si>
    <t>貳</t>
  </si>
  <si>
    <t>参</t>
  </si>
  <si>
    <t>肆</t>
  </si>
  <si>
    <t>伍</t>
  </si>
  <si>
    <t>陸</t>
  </si>
  <si>
    <t>職業安全衛生管理費與施工環境保護與清潔（壹*0.7%）</t>
  </si>
  <si>
    <t>公共工程品質管制作業費（壹*0.7%）</t>
  </si>
  <si>
    <t>包商管理及利潤費（壹*5%）</t>
  </si>
  <si>
    <t>保險費</t>
  </si>
  <si>
    <t>營業稅（(壹~伍)*5％）</t>
  </si>
  <si>
    <t>既有傾斜高網修復</t>
  </si>
  <si>
    <t>填報日期：115年3月12日(星期四)</t>
    <phoneticPr fontId="2" type="noConversion"/>
  </si>
  <si>
    <t>八、重要事項紀錄：配合校方訓練需求延後一日進場施工</t>
    <phoneticPr fontId="2" type="noConversion"/>
  </si>
  <si>
    <t>填報日期：115年3月13日(星期五)</t>
    <phoneticPr fontId="2" type="noConversion"/>
  </si>
  <si>
    <t>填報日期：115年3月14日(星期六)</t>
    <phoneticPr fontId="2" type="noConversion"/>
  </si>
  <si>
    <t>填報日期：115年3月15日(星期日)</t>
    <phoneticPr fontId="2" type="noConversion"/>
  </si>
  <si>
    <t>八、重要事項紀錄：本日無施工</t>
    <phoneticPr fontId="2" type="noConversion"/>
  </si>
  <si>
    <t>填報日期：115年3月16日(星期一)</t>
    <phoneticPr fontId="2" type="noConversion"/>
  </si>
  <si>
    <t>廠內備料</t>
    <phoneticPr fontId="2" type="noConversion"/>
  </si>
  <si>
    <t>填報日期：115年3月17日(星期二)</t>
    <phoneticPr fontId="2" type="noConversion"/>
  </si>
  <si>
    <t>填報日期：115年3月18日(星期三)</t>
    <phoneticPr fontId="2" type="noConversion"/>
  </si>
  <si>
    <t>填報日期：115年3月19日(星期四)</t>
    <phoneticPr fontId="2" type="noConversion"/>
  </si>
  <si>
    <t>填報日期：115年3月20日(星期五)</t>
    <phoneticPr fontId="2" type="noConversion"/>
  </si>
  <si>
    <t>填報日期：115年3月21日(星期六)</t>
    <phoneticPr fontId="2" type="noConversion"/>
  </si>
  <si>
    <t>填報日期：115年3月22日(星期日)</t>
    <phoneticPr fontId="2" type="noConversion"/>
  </si>
  <si>
    <t>填報日期：115年3月23日(星期一)</t>
    <phoneticPr fontId="2" type="noConversion"/>
  </si>
  <si>
    <t>填報日期：115年3月24日(星期二)</t>
    <phoneticPr fontId="2" type="noConversion"/>
  </si>
  <si>
    <t>填報日期：115年3月25日(星期三)</t>
    <phoneticPr fontId="2" type="noConversion"/>
  </si>
  <si>
    <t>填報日期：115年3月26日(星期四)</t>
    <phoneticPr fontId="2" type="noConversion"/>
  </si>
  <si>
    <t>鐵工</t>
    <phoneticPr fontId="2" type="noConversion"/>
  </si>
  <si>
    <t>怪手</t>
    <phoneticPr fontId="2" type="noConversion"/>
  </si>
  <si>
    <t>填報日期：115年3月27日(星期五)</t>
    <phoneticPr fontId="2" type="noConversion"/>
  </si>
  <si>
    <t>填報日期：115年3月28日(星期六)</t>
    <phoneticPr fontId="2" type="noConversion"/>
  </si>
  <si>
    <t>填報日期：115年3月29日(星期日)</t>
    <phoneticPr fontId="2" type="noConversion"/>
  </si>
  <si>
    <t>1~10</t>
    <phoneticPr fontId="2" type="noConversion"/>
  </si>
  <si>
    <t>11~20</t>
    <phoneticPr fontId="2" type="noConversion"/>
  </si>
  <si>
    <t>21~30</t>
    <phoneticPr fontId="2" type="noConversion"/>
  </si>
  <si>
    <t>31~40</t>
    <phoneticPr fontId="2" type="noConversion"/>
  </si>
  <si>
    <t>41~50</t>
    <phoneticPr fontId="2" type="noConversion"/>
  </si>
  <si>
    <t>填報日期：115年3月30日(星期一)</t>
    <phoneticPr fontId="2" type="noConversion"/>
  </si>
  <si>
    <t>填報日期：115年3月31日(星期二)</t>
    <phoneticPr fontId="2" type="noConversion"/>
  </si>
  <si>
    <t>填報日期：115年4月1日(星期三 )</t>
    <phoneticPr fontId="2" type="noConversion"/>
  </si>
  <si>
    <t xml:space="preserve">  主辦機關：雲林縣立林內國民中學
  監造單位：呂罡銘建築師事務所
  承攬廠商：國謙營造有限公司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</si>
</sst>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#,##0_);[Red]\(#,##0\)"/>
    <numFmt numFmtId="177" formatCode="#,##0_ "/>
    <numFmt numFmtId="178" formatCode="#,##0.0000_);[Red]\(#,##0.0000\)"/>
    <numFmt numFmtId="179" formatCode="#,##0.0_ "/>
    <numFmt numFmtId="180" formatCode="#,##0.0_);[Red]\(#,##0.0\)"/>
  </numFmts>
  <fonts count="2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20"/>
      <name val="標楷體"/>
      <family val="4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hadow/>
      <sz val="7.5"/>
      <name val="標楷體"/>
      <family val="4"/>
      <charset val="136"/>
    </font>
    <font>
      <sz val="10"/>
      <name val="Helv"/>
      <family val="2"/>
    </font>
    <font>
      <sz val="10.5"/>
      <name val="標楷體"/>
      <family val="4"/>
      <charset val="136"/>
    </font>
    <font>
      <sz val="14"/>
      <name val="新細明體"/>
      <family val="1"/>
      <charset val="136"/>
    </font>
    <font>
      <sz val="12"/>
      <color indexed="8"/>
      <name val="標楷體"/>
      <family val="4"/>
      <charset val="136"/>
    </font>
    <font>
      <b/>
      <sz val="10.5"/>
      <name val="標楷體"/>
      <family val="4"/>
      <charset val="136"/>
    </font>
    <font>
      <b/>
      <sz val="10"/>
      <name val="標楷體"/>
      <family val="4"/>
      <charset val="136"/>
    </font>
    <font>
      <sz val="10"/>
      <color indexed="8"/>
      <name val="標楷體"/>
      <family val="4"/>
      <charset val="136"/>
    </font>
    <font>
      <b/>
      <sz val="12"/>
      <color indexed="8"/>
      <name val="標楷體"/>
      <family val="4"/>
      <charset val="136"/>
    </font>
    <font>
      <sz val="14"/>
      <color indexed="8"/>
      <name val="標楷體"/>
      <family val="4"/>
      <charset val="136"/>
    </font>
    <font>
      <sz val="11"/>
      <color indexed="8"/>
      <name val="標楷體"/>
      <family val="4"/>
      <charset val="136"/>
    </font>
    <font>
      <sz val="18"/>
      <name val="標楷體"/>
      <family val="4"/>
      <charset val="136"/>
    </font>
    <font>
      <sz val="9"/>
      <color indexed="8"/>
      <name val="標楷體"/>
      <family val="4"/>
      <charset val="136"/>
    </font>
    <font>
      <b/>
      <sz val="24"/>
      <name val="標楷體"/>
      <family val="4"/>
      <charset val="136"/>
    </font>
    <font>
      <b/>
      <sz val="28"/>
      <name val="標楷體"/>
      <family val="4"/>
      <charset val="136"/>
    </font>
    <font>
      <b/>
      <sz val="26"/>
      <name val="標楷體"/>
      <family val="4"/>
      <charset val="136"/>
    </font>
    <font>
      <b/>
      <sz val="18"/>
      <name val="標楷體"/>
      <family val="4"/>
      <charset val="136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7" fillId="0" borderId="0"/>
    <xf numFmtId="0" fontId="1" fillId="0" borderId="0"/>
    <xf numFmtId="0" fontId="23" fillId="0" borderId="0"/>
    <xf numFmtId="0" fontId="9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188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>
      <alignment vertical="center"/>
    </xf>
    <xf numFmtId="0" fontId="0" fillId="0" borderId="0" xfId="0" applyAlignment="1">
      <alignment vertical="top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4" fillId="0" borderId="8" xfId="0" applyFont="1" applyBorder="1">
      <alignment vertical="center"/>
    </xf>
    <xf numFmtId="0" fontId="10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5" fillId="0" borderId="0" xfId="0" applyFont="1">
      <alignment vertical="center"/>
    </xf>
    <xf numFmtId="0" fontId="10" fillId="0" borderId="9" xfId="0" applyFont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0" borderId="15" xfId="1" applyFont="1" applyBorder="1" applyAlignment="1">
      <alignment vertical="center" shrinkToFit="1"/>
    </xf>
    <xf numFmtId="0" fontId="11" fillId="0" borderId="15" xfId="1" applyFont="1" applyBorder="1" applyAlignment="1">
      <alignment vertical="center" shrinkToFit="1"/>
    </xf>
    <xf numFmtId="176" fontId="10" fillId="0" borderId="16" xfId="0" applyNumberFormat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6" fontId="10" fillId="0" borderId="13" xfId="0" applyNumberFormat="1" applyFont="1" applyBorder="1" applyAlignment="1">
      <alignment horizontal="center" vertical="center"/>
    </xf>
    <xf numFmtId="178" fontId="10" fillId="0" borderId="1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2" fontId="24" fillId="0" borderId="3" xfId="0" applyNumberFormat="1" applyFont="1" applyBorder="1" applyAlignment="1">
      <alignment horizontal="center" vertical="center"/>
    </xf>
    <xf numFmtId="176" fontId="4" fillId="0" borderId="3" xfId="5" applyNumberFormat="1" applyFont="1" applyFill="1" applyBorder="1" applyAlignment="1">
      <alignment horizontal="right" vertical="center"/>
    </xf>
    <xf numFmtId="2" fontId="10" fillId="0" borderId="3" xfId="0" applyNumberFormat="1" applyFont="1" applyBorder="1" applyAlignment="1">
      <alignment horizontal="center" vertical="center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2" fontId="4" fillId="0" borderId="3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7" fillId="0" borderId="19" xfId="0" applyFont="1" applyBorder="1">
      <alignment vertical="center"/>
    </xf>
    <xf numFmtId="0" fontId="5" fillId="0" borderId="19" xfId="0" applyFont="1" applyBorder="1">
      <alignment vertical="center"/>
    </xf>
    <xf numFmtId="0" fontId="4" fillId="0" borderId="19" xfId="0" applyFont="1" applyBorder="1">
      <alignment vertical="center"/>
    </xf>
    <xf numFmtId="0" fontId="6" fillId="0" borderId="19" xfId="0" applyFont="1" applyBorder="1" applyAlignment="1">
      <alignment vertical="top"/>
    </xf>
    <xf numFmtId="0" fontId="4" fillId="0" borderId="19" xfId="0" applyFont="1" applyBorder="1" applyAlignment="1">
      <alignment horizontal="center" vertical="center" wrapText="1"/>
    </xf>
    <xf numFmtId="176" fontId="4" fillId="0" borderId="20" xfId="5" applyNumberFormat="1" applyFont="1" applyFill="1" applyBorder="1" applyAlignment="1">
      <alignment horizontal="right" vertical="center"/>
    </xf>
    <xf numFmtId="10" fontId="4" fillId="0" borderId="19" xfId="7" applyNumberFormat="1" applyFont="1" applyBorder="1">
      <alignment vertical="center"/>
    </xf>
    <xf numFmtId="176" fontId="10" fillId="0" borderId="3" xfId="0" applyNumberFormat="1" applyFont="1" applyBorder="1" applyAlignment="1">
      <alignment horizontal="center" vertical="center"/>
    </xf>
    <xf numFmtId="179" fontId="10" fillId="0" borderId="13" xfId="0" applyNumberFormat="1" applyFont="1" applyBorder="1" applyAlignment="1">
      <alignment horizontal="center" vertical="center"/>
    </xf>
    <xf numFmtId="180" fontId="10" fillId="0" borderId="3" xfId="0" applyNumberFormat="1" applyFont="1" applyBorder="1" applyAlignment="1">
      <alignment horizontal="center" vertical="center"/>
    </xf>
    <xf numFmtId="180" fontId="10" fillId="0" borderId="1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distributed" vertical="center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25" fillId="0" borderId="38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6" fontId="4" fillId="0" borderId="16" xfId="5" applyNumberFormat="1" applyFont="1" applyFill="1" applyBorder="1" applyAlignment="1">
      <alignment horizontal="center" vertical="center"/>
    </xf>
    <xf numFmtId="176" fontId="4" fillId="0" borderId="18" xfId="5" applyNumberFormat="1" applyFont="1" applyFill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9" fontId="10" fillId="0" borderId="15" xfId="7" applyFont="1" applyBorder="1" applyAlignment="1">
      <alignment horizontal="left" vertical="center"/>
    </xf>
    <xf numFmtId="9" fontId="10" fillId="0" borderId="17" xfId="7" applyFont="1" applyBorder="1" applyAlignment="1">
      <alignment horizontal="left" vertical="center"/>
    </xf>
    <xf numFmtId="9" fontId="10" fillId="0" borderId="21" xfId="7" applyFont="1" applyBorder="1" applyAlignment="1">
      <alignment horizontal="left" vertical="center"/>
    </xf>
    <xf numFmtId="10" fontId="10" fillId="0" borderId="16" xfId="7" applyNumberFormat="1" applyFont="1" applyBorder="1" applyAlignment="1">
      <alignment horizontal="center" vertical="center"/>
    </xf>
    <xf numFmtId="10" fontId="10" fillId="0" borderId="17" xfId="7" applyNumberFormat="1" applyFont="1" applyBorder="1" applyAlignment="1">
      <alignment horizontal="center" vertical="center"/>
    </xf>
    <xf numFmtId="10" fontId="10" fillId="0" borderId="21" xfId="7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12" fillId="0" borderId="1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177" fontId="4" fillId="0" borderId="16" xfId="4" applyNumberFormat="1" applyFont="1" applyBorder="1" applyAlignment="1">
      <alignment horizontal="center" vertical="center" shrinkToFit="1"/>
    </xf>
    <xf numFmtId="177" fontId="4" fillId="0" borderId="18" xfId="4" applyNumberFormat="1" applyFont="1" applyBorder="1" applyAlignment="1">
      <alignment horizontal="center" vertical="center" shrinkToFit="1"/>
    </xf>
    <xf numFmtId="176" fontId="10" fillId="0" borderId="16" xfId="0" applyNumberFormat="1" applyFont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 wrapText="1"/>
    </xf>
    <xf numFmtId="178" fontId="10" fillId="0" borderId="16" xfId="0" applyNumberFormat="1" applyFont="1" applyBorder="1" applyAlignment="1">
      <alignment horizontal="center" vertical="center" wrapText="1"/>
    </xf>
    <xf numFmtId="178" fontId="10" fillId="0" borderId="18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176" fontId="4" fillId="0" borderId="16" xfId="2" applyNumberFormat="1" applyFont="1" applyBorder="1" applyAlignment="1">
      <alignment horizontal="center" vertical="center" wrapText="1"/>
    </xf>
    <xf numFmtId="176" fontId="4" fillId="0" borderId="17" xfId="2" applyNumberFormat="1" applyFont="1" applyBorder="1" applyAlignment="1">
      <alignment horizontal="center" vertical="center" wrapText="1"/>
    </xf>
    <xf numFmtId="176" fontId="4" fillId="0" borderId="18" xfId="2" applyNumberFormat="1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4" fillId="0" borderId="17" xfId="3" applyFont="1" applyBorder="1" applyAlignment="1">
      <alignment horizontal="center" vertical="center" wrapText="1"/>
    </xf>
    <xf numFmtId="0" fontId="4" fillId="0" borderId="18" xfId="3" applyFont="1" applyBorder="1" applyAlignment="1">
      <alignment horizontal="center" vertical="center" wrapText="1"/>
    </xf>
    <xf numFmtId="179" fontId="4" fillId="0" borderId="16" xfId="4" applyNumberFormat="1" applyFont="1" applyBorder="1" applyAlignment="1">
      <alignment horizontal="center" vertical="center" shrinkToFit="1"/>
    </xf>
    <xf numFmtId="179" fontId="4" fillId="0" borderId="18" xfId="4" applyNumberFormat="1" applyFont="1" applyBorder="1" applyAlignment="1">
      <alignment horizontal="center" vertical="center" shrinkToFit="1"/>
    </xf>
    <xf numFmtId="176" fontId="5" fillId="0" borderId="16" xfId="2" applyNumberFormat="1" applyFont="1" applyBorder="1" applyAlignment="1">
      <alignment horizontal="center" vertical="center" shrinkToFit="1"/>
    </xf>
    <xf numFmtId="176" fontId="5" fillId="0" borderId="17" xfId="2" applyNumberFormat="1" applyFont="1" applyBorder="1" applyAlignment="1">
      <alignment horizontal="center" vertical="center" shrinkToFit="1"/>
    </xf>
    <xf numFmtId="176" fontId="5" fillId="0" borderId="18" xfId="2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 shrinkToFit="1"/>
    </xf>
    <xf numFmtId="0" fontId="24" fillId="0" borderId="17" xfId="0" applyFont="1" applyBorder="1" applyAlignment="1">
      <alignment horizontal="center" vertical="center" wrapText="1" shrinkToFit="1"/>
    </xf>
    <xf numFmtId="0" fontId="24" fillId="0" borderId="18" xfId="0" applyFont="1" applyBorder="1" applyAlignment="1">
      <alignment horizontal="center" vertical="center" wrapText="1" shrinkToFi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32" xfId="0" applyFont="1" applyBorder="1" applyAlignment="1">
      <alignment horizontal="left" vertical="top" wrapText="1"/>
    </xf>
    <xf numFmtId="0" fontId="10" fillId="0" borderId="33" xfId="0" applyFont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15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37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8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180" fontId="10" fillId="0" borderId="16" xfId="0" applyNumberFormat="1" applyFont="1" applyBorder="1" applyAlignment="1">
      <alignment horizontal="center" vertical="center"/>
    </xf>
    <xf numFmtId="180" fontId="10" fillId="0" borderId="17" xfId="0" applyNumberFormat="1" applyFont="1" applyBorder="1" applyAlignment="1">
      <alignment horizontal="center" vertical="center"/>
    </xf>
    <xf numFmtId="180" fontId="10" fillId="0" borderId="18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80" fontId="4" fillId="0" borderId="16" xfId="4" applyNumberFormat="1" applyFont="1" applyBorder="1" applyAlignment="1">
      <alignment horizontal="center" vertical="center" shrinkToFit="1"/>
    </xf>
    <xf numFmtId="180" fontId="4" fillId="0" borderId="18" xfId="4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left" vertical="top" wrapText="1" indent="7"/>
    </xf>
    <xf numFmtId="0" fontId="22" fillId="0" borderId="0" xfId="0" applyFont="1" applyAlignment="1">
      <alignment horizontal="left" vertical="top" indent="7"/>
    </xf>
  </cellXfs>
  <cellStyles count="9">
    <cellStyle name="一般" xfId="0" builtinId="0"/>
    <cellStyle name="一般_Sheet1" xfId="1" xr:uid="{00000000-0005-0000-0000-000001000000}"/>
    <cellStyle name="一般_太平藝文清單總表(1)" xfId="2" xr:uid="{00000000-0005-0000-0000-000002000000}"/>
    <cellStyle name="一般_和美國小教室及走廊油漆-預算" xfId="3" xr:uid="{00000000-0005-0000-0000-000003000000}"/>
    <cellStyle name="一般_設計預算書-961114" xfId="4" xr:uid="{00000000-0005-0000-0000-000004000000}"/>
    <cellStyle name="千分位" xfId="5" builtinId="3"/>
    <cellStyle name="千分位 2" xfId="6" xr:uid="{00000000-0005-0000-0000-000006000000}"/>
    <cellStyle name="百分比" xfId="7" builtinId="5"/>
    <cellStyle name="樣式 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99059</xdr:rowOff>
    </xdr:from>
    <xdr:to>
      <xdr:col>11</xdr:col>
      <xdr:colOff>388620</xdr:colOff>
      <xdr:row>27</xdr:row>
      <xdr:rowOff>84658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9454D96-8650-403A-B02D-B5807D75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2773679"/>
          <a:ext cx="6522720" cy="2865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60" zoomScaleNormal="100" workbookViewId="0">
      <selection activeCell="A8" sqref="A8:I8"/>
    </sheetView>
  </sheetViews>
  <sheetFormatPr defaultColWidth="9" defaultRowHeight="16.2" x14ac:dyDescent="0.3"/>
  <cols>
    <col min="1" max="16384" width="9" style="5"/>
  </cols>
  <sheetData>
    <row r="1" spans="1:9" ht="33" customHeight="1" x14ac:dyDescent="0.3">
      <c r="A1" s="63" t="s">
        <v>78</v>
      </c>
      <c r="B1" s="63"/>
      <c r="C1" s="63"/>
      <c r="D1" s="63"/>
      <c r="E1" s="63"/>
      <c r="F1" s="63"/>
      <c r="G1" s="63"/>
      <c r="H1" s="63"/>
      <c r="I1" s="63"/>
    </row>
    <row r="2" spans="1:9" ht="39" x14ac:dyDescent="0.3">
      <c r="A2" s="62"/>
      <c r="B2" s="62"/>
      <c r="C2" s="62"/>
      <c r="D2" s="62"/>
      <c r="E2" s="62"/>
      <c r="F2" s="62"/>
      <c r="G2" s="62"/>
      <c r="H2" s="62"/>
      <c r="I2" s="62"/>
    </row>
    <row r="3" spans="1:9" ht="39" x14ac:dyDescent="0.3">
      <c r="A3" s="62"/>
      <c r="B3" s="62"/>
      <c r="C3" s="62"/>
      <c r="D3" s="62"/>
      <c r="E3" s="62"/>
      <c r="F3" s="62"/>
      <c r="G3" s="62"/>
      <c r="H3" s="62"/>
      <c r="I3" s="62"/>
    </row>
    <row r="4" spans="1:9" ht="39" x14ac:dyDescent="0.3">
      <c r="A4" s="62"/>
      <c r="B4" s="62"/>
      <c r="C4" s="62"/>
      <c r="D4" s="62"/>
      <c r="E4" s="62"/>
      <c r="F4" s="62"/>
      <c r="G4" s="62"/>
      <c r="H4" s="62"/>
      <c r="I4" s="62"/>
    </row>
    <row r="5" spans="1:9" ht="69.45" customHeight="1" x14ac:dyDescent="0.3">
      <c r="A5" s="64" t="s">
        <v>80</v>
      </c>
      <c r="B5" s="64"/>
      <c r="C5" s="64"/>
      <c r="D5" s="64"/>
      <c r="E5" s="64"/>
      <c r="F5" s="64"/>
      <c r="G5" s="64"/>
      <c r="H5" s="64"/>
      <c r="I5" s="64"/>
    </row>
    <row r="6" spans="1:9" ht="39" x14ac:dyDescent="0.3">
      <c r="A6" s="62"/>
      <c r="B6" s="62"/>
      <c r="C6" s="62"/>
      <c r="D6" s="62"/>
      <c r="E6" s="62"/>
      <c r="F6" s="62"/>
      <c r="G6" s="62"/>
      <c r="H6" s="62"/>
      <c r="I6" s="62"/>
    </row>
    <row r="7" spans="1:9" ht="39" x14ac:dyDescent="0.3">
      <c r="A7" s="62"/>
      <c r="B7" s="62"/>
      <c r="C7" s="62"/>
      <c r="D7" s="62"/>
      <c r="E7" s="62"/>
      <c r="F7" s="62"/>
      <c r="G7" s="62"/>
      <c r="H7" s="62"/>
      <c r="I7" s="62"/>
    </row>
    <row r="8" spans="1:9" ht="39" x14ac:dyDescent="0.3">
      <c r="A8" s="62"/>
      <c r="B8" s="62"/>
      <c r="C8" s="62"/>
      <c r="D8" s="62"/>
      <c r="E8" s="62"/>
      <c r="F8" s="62"/>
      <c r="G8" s="62"/>
      <c r="H8" s="62"/>
      <c r="I8" s="62"/>
    </row>
    <row r="9" spans="1:9" ht="39" x14ac:dyDescent="0.3">
      <c r="A9" s="62"/>
      <c r="B9" s="62"/>
      <c r="C9" s="62"/>
      <c r="D9" s="62"/>
      <c r="E9" s="62"/>
      <c r="F9" s="62"/>
      <c r="G9" s="62"/>
      <c r="H9" s="62"/>
      <c r="I9" s="62"/>
    </row>
    <row r="10" spans="1:9" ht="36.6" x14ac:dyDescent="0.3">
      <c r="A10" s="65" t="s">
        <v>79</v>
      </c>
      <c r="B10" s="65"/>
      <c r="C10" s="65"/>
      <c r="D10" s="65"/>
      <c r="E10" s="65"/>
      <c r="F10" s="65"/>
      <c r="G10" s="65"/>
      <c r="H10" s="65"/>
      <c r="I10" s="65"/>
    </row>
    <row r="11" spans="1:9" ht="39" x14ac:dyDescent="0.3">
      <c r="A11" s="62"/>
      <c r="B11" s="62"/>
      <c r="C11" s="62"/>
      <c r="D11" s="62"/>
      <c r="E11" s="62"/>
      <c r="F11" s="62"/>
      <c r="G11" s="62"/>
      <c r="H11" s="62"/>
      <c r="I11" s="62"/>
    </row>
    <row r="12" spans="1:9" ht="39" x14ac:dyDescent="0.3">
      <c r="A12" s="62"/>
      <c r="B12" s="62"/>
      <c r="C12" s="62"/>
      <c r="D12" s="62"/>
      <c r="E12" s="62"/>
      <c r="F12" s="62"/>
      <c r="G12" s="62"/>
      <c r="H12" s="62"/>
      <c r="I12" s="62"/>
    </row>
    <row r="13" spans="1:9" ht="39" x14ac:dyDescent="0.3">
      <c r="A13" s="62"/>
      <c r="B13" s="62"/>
      <c r="C13" s="62"/>
      <c r="D13" s="62"/>
      <c r="E13" s="62"/>
      <c r="F13" s="62"/>
      <c r="G13" s="62"/>
      <c r="H13" s="62"/>
      <c r="I13" s="62"/>
    </row>
    <row r="14" spans="1:9" ht="39" x14ac:dyDescent="0.3">
      <c r="A14" s="40"/>
      <c r="B14" s="40"/>
      <c r="C14" s="40"/>
      <c r="D14" s="40"/>
      <c r="E14" s="40"/>
      <c r="F14" s="40"/>
      <c r="G14" s="40"/>
      <c r="H14" s="40"/>
      <c r="I14" s="40"/>
    </row>
    <row r="15" spans="1:9" ht="39" x14ac:dyDescent="0.3">
      <c r="A15" s="40"/>
      <c r="B15" s="40"/>
      <c r="C15" s="40"/>
      <c r="D15" s="40"/>
      <c r="E15" s="40"/>
      <c r="F15" s="40"/>
      <c r="G15" s="40"/>
      <c r="H15" s="40"/>
      <c r="I15" s="40"/>
    </row>
    <row r="16" spans="1:9" ht="39" x14ac:dyDescent="0.3">
      <c r="A16" s="62"/>
      <c r="B16" s="62"/>
      <c r="C16" s="62"/>
      <c r="D16" s="62"/>
      <c r="E16" s="62"/>
      <c r="F16" s="62"/>
      <c r="G16" s="62"/>
      <c r="H16" s="62"/>
      <c r="I16" s="62"/>
    </row>
    <row r="17" spans="1:9" ht="75" customHeight="1" x14ac:dyDescent="0.3">
      <c r="A17" s="186" t="s">
        <v>140</v>
      </c>
      <c r="B17" s="187"/>
      <c r="C17" s="187"/>
      <c r="D17" s="187"/>
      <c r="E17" s="187"/>
      <c r="F17" s="187"/>
      <c r="G17" s="187"/>
      <c r="H17" s="187"/>
      <c r="I17" s="187"/>
    </row>
  </sheetData>
  <mergeCells count="15">
    <mergeCell ref="A13:I13"/>
    <mergeCell ref="A16:I16"/>
    <mergeCell ref="A17:I17"/>
    <mergeCell ref="A7:I7"/>
    <mergeCell ref="A8:I8"/>
    <mergeCell ref="A9:I9"/>
    <mergeCell ref="A10:I10"/>
    <mergeCell ref="A11:I11"/>
    <mergeCell ref="A12:I12"/>
    <mergeCell ref="A6:I6"/>
    <mergeCell ref="A1:I1"/>
    <mergeCell ref="A2:I2"/>
    <mergeCell ref="A3:I3"/>
    <mergeCell ref="A4:I4"/>
    <mergeCell ref="A5:I5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2"/>
  <sheetViews>
    <sheetView workbookViewId="0">
      <selection activeCell="C5" sqref="C5"/>
    </sheetView>
  </sheetViews>
  <sheetFormatPr defaultColWidth="9" defaultRowHeight="16.2" x14ac:dyDescent="0.3"/>
  <cols>
    <col min="1" max="16384" width="9" style="5"/>
  </cols>
  <sheetData>
    <row r="1" spans="1:7" x14ac:dyDescent="0.3">
      <c r="A1" s="5" t="s">
        <v>3</v>
      </c>
      <c r="B1" s="5" t="s">
        <v>132</v>
      </c>
      <c r="C1" s="5" t="s">
        <v>133</v>
      </c>
      <c r="D1" s="5" t="s">
        <v>134</v>
      </c>
      <c r="E1" s="5" t="s">
        <v>135</v>
      </c>
      <c r="F1" s="5" t="s">
        <v>136</v>
      </c>
    </row>
    <row r="2" spans="1:7" x14ac:dyDescent="0.3">
      <c r="A2" s="5" t="s">
        <v>1</v>
      </c>
      <c r="B2" s="5">
        <v>10</v>
      </c>
      <c r="C2" s="5">
        <v>10</v>
      </c>
      <c r="D2" s="5">
        <v>10</v>
      </c>
      <c r="E2" s="5">
        <v>10</v>
      </c>
      <c r="F2" s="5">
        <v>10</v>
      </c>
    </row>
    <row r="3" spans="1:7" x14ac:dyDescent="0.3">
      <c r="A3" s="5" t="s">
        <v>2</v>
      </c>
      <c r="B3" s="50">
        <f>B11/B2</f>
        <v>0.5</v>
      </c>
      <c r="C3" s="50">
        <f t="shared" ref="C3:F3" si="0">C11/C2</f>
        <v>1</v>
      </c>
      <c r="D3" s="50">
        <f t="shared" si="0"/>
        <v>1.7</v>
      </c>
      <c r="E3" s="50">
        <f t="shared" si="0"/>
        <v>3.5</v>
      </c>
      <c r="F3" s="50">
        <f t="shared" si="0"/>
        <v>3.3</v>
      </c>
      <c r="G3" s="50"/>
    </row>
    <row r="4" spans="1:7" x14ac:dyDescent="0.3">
      <c r="A4" s="5" t="s">
        <v>5</v>
      </c>
      <c r="B4" s="5">
        <f>B2*B3</f>
        <v>5</v>
      </c>
      <c r="C4" s="5">
        <f t="shared" ref="C4:F4" si="1">C2*C3</f>
        <v>10</v>
      </c>
      <c r="D4" s="5">
        <f t="shared" si="1"/>
        <v>17</v>
      </c>
      <c r="E4" s="5">
        <f t="shared" si="1"/>
        <v>35</v>
      </c>
      <c r="F4" s="5">
        <f t="shared" si="1"/>
        <v>33</v>
      </c>
    </row>
    <row r="5" spans="1:7" x14ac:dyDescent="0.3">
      <c r="A5" s="5" t="s">
        <v>0</v>
      </c>
      <c r="B5" s="5">
        <v>5</v>
      </c>
      <c r="C5" s="5">
        <f>B5+C4</f>
        <v>15</v>
      </c>
      <c r="D5" s="5">
        <f t="shared" ref="D5:F5" si="2">C5+D4</f>
        <v>32</v>
      </c>
      <c r="E5" s="5">
        <f t="shared" si="2"/>
        <v>67</v>
      </c>
      <c r="F5" s="5">
        <f t="shared" si="2"/>
        <v>100</v>
      </c>
    </row>
    <row r="11" spans="1:7" x14ac:dyDescent="0.3">
      <c r="B11" s="5">
        <v>5</v>
      </c>
      <c r="C11" s="5">
        <v>10</v>
      </c>
      <c r="D11" s="5">
        <v>17</v>
      </c>
      <c r="E11" s="5">
        <v>35</v>
      </c>
      <c r="F11" s="5">
        <v>33</v>
      </c>
    </row>
    <row r="12" spans="1:7" x14ac:dyDescent="0.3">
      <c r="B12" s="5">
        <v>5</v>
      </c>
      <c r="C12" s="5">
        <v>15</v>
      </c>
      <c r="D12" s="5">
        <v>32</v>
      </c>
      <c r="E12" s="5">
        <v>67</v>
      </c>
      <c r="F12" s="5">
        <v>100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N100"/>
  <sheetViews>
    <sheetView view="pageBreakPreview" zoomScale="70" zoomScaleNormal="85" zoomScaleSheetLayoutView="70" workbookViewId="0">
      <selection activeCell="Q32" sqref="Q32:AB34"/>
    </sheetView>
  </sheetViews>
  <sheetFormatPr defaultColWidth="2.5546875" defaultRowHeight="16.2" x14ac:dyDescent="0.3"/>
  <cols>
    <col min="1" max="1" width="14.77734375" style="1" customWidth="1"/>
    <col min="2" max="2" width="4.88671875" style="1" customWidth="1"/>
    <col min="3" max="3" width="6.33203125" style="1" customWidth="1"/>
    <col min="4" max="4" width="13.33203125" style="1" customWidth="1"/>
    <col min="5" max="5" width="8.77734375" style="1" customWidth="1"/>
    <col min="6" max="6" width="7.88671875" style="1" customWidth="1"/>
    <col min="7" max="7" width="9.88671875" style="1" bestFit="1" customWidth="1"/>
    <col min="8" max="9" width="6.77734375" style="1" customWidth="1"/>
    <col min="10" max="10" width="14.77734375" style="1" customWidth="1"/>
    <col min="11" max="11" width="13.88671875" style="1" customWidth="1"/>
    <col min="12" max="12" width="11.44140625" style="1" customWidth="1"/>
    <col min="13" max="13" width="1.77734375" style="6" customWidth="1"/>
    <col min="14" max="14" width="13.109375" style="1" customWidth="1"/>
    <col min="15" max="15" width="14.88671875" style="1" customWidth="1"/>
    <col min="16" max="16" width="2.5546875" style="1" customWidth="1"/>
    <col min="17" max="17" width="14.77734375" style="1" customWidth="1"/>
    <col min="18" max="18" width="4.88671875" style="1" customWidth="1"/>
    <col min="19" max="19" width="6.33203125" style="1" customWidth="1"/>
    <col min="20" max="20" width="13.33203125" style="1" customWidth="1"/>
    <col min="21" max="21" width="8.77734375" style="1" customWidth="1"/>
    <col min="22" max="22" width="7.88671875" style="1" customWidth="1"/>
    <col min="23" max="23" width="9.88671875" style="1" bestFit="1" customWidth="1"/>
    <col min="24" max="25" width="6.77734375" style="1" customWidth="1"/>
    <col min="26" max="26" width="14.77734375" style="1" customWidth="1"/>
    <col min="27" max="27" width="13.88671875" style="1" customWidth="1"/>
    <col min="28" max="28" width="11.44140625" style="1" customWidth="1"/>
    <col min="29" max="29" width="1.77734375" style="6" customWidth="1"/>
    <col min="30" max="30" width="13.109375" style="1" customWidth="1"/>
    <col min="31" max="31" width="14.88671875" style="1" customWidth="1"/>
    <col min="32" max="32" width="2.5546875" style="1" customWidth="1"/>
    <col min="33" max="33" width="14.77734375" style="1" customWidth="1"/>
    <col min="34" max="34" width="4.88671875" style="1" customWidth="1"/>
    <col min="35" max="35" width="6.33203125" style="1" customWidth="1"/>
    <col min="36" max="36" width="13.33203125" style="1" customWidth="1"/>
    <col min="37" max="37" width="8.77734375" style="1" customWidth="1"/>
    <col min="38" max="38" width="7.88671875" style="1" customWidth="1"/>
    <col min="39" max="39" width="9.88671875" style="1" bestFit="1" customWidth="1"/>
    <col min="40" max="41" width="6.77734375" style="1" customWidth="1"/>
    <col min="42" max="42" width="14.77734375" style="1" customWidth="1"/>
    <col min="43" max="43" width="13.88671875" style="1" customWidth="1"/>
    <col min="44" max="44" width="11.44140625" style="1" customWidth="1"/>
    <col min="45" max="45" width="1.77734375" style="6" customWidth="1"/>
    <col min="46" max="46" width="13.109375" style="1" customWidth="1"/>
    <col min="47" max="47" width="14.88671875" style="1" customWidth="1"/>
    <col min="48" max="48" width="2.5546875" style="1" customWidth="1"/>
    <col min="49" max="49" width="14.77734375" style="1" customWidth="1"/>
    <col min="50" max="50" width="4.88671875" style="1" customWidth="1"/>
    <col min="51" max="51" width="6.33203125" style="1" customWidth="1"/>
    <col min="52" max="52" width="13.33203125" style="1" customWidth="1"/>
    <col min="53" max="53" width="8.77734375" style="1" customWidth="1"/>
    <col min="54" max="54" width="7.88671875" style="1" customWidth="1"/>
    <col min="55" max="55" width="9.88671875" style="1" bestFit="1" customWidth="1"/>
    <col min="56" max="57" width="6.77734375" style="1" customWidth="1"/>
    <col min="58" max="58" width="14.77734375" style="1" customWidth="1"/>
    <col min="59" max="59" width="13.88671875" style="1" customWidth="1"/>
    <col min="60" max="60" width="11.44140625" style="1" customWidth="1"/>
    <col min="61" max="61" width="1.77734375" style="6" customWidth="1"/>
    <col min="62" max="62" width="13.109375" style="1" customWidth="1"/>
    <col min="63" max="63" width="14.88671875" style="1" customWidth="1"/>
    <col min="64" max="64" width="2.5546875" style="1" customWidth="1"/>
    <col min="65" max="65" width="14.77734375" style="1" customWidth="1"/>
    <col min="66" max="66" width="4.88671875" style="1" customWidth="1"/>
    <col min="67" max="67" width="6.33203125" style="1" customWidth="1"/>
    <col min="68" max="68" width="13.33203125" style="1" customWidth="1"/>
    <col min="69" max="69" width="8.77734375" style="1" customWidth="1"/>
    <col min="70" max="70" width="7.88671875" style="1" customWidth="1"/>
    <col min="71" max="71" width="9.88671875" style="1" bestFit="1" customWidth="1"/>
    <col min="72" max="73" width="6.77734375" style="1" customWidth="1"/>
    <col min="74" max="74" width="14.77734375" style="1" customWidth="1"/>
    <col min="75" max="75" width="13.88671875" style="1" customWidth="1"/>
    <col min="76" max="76" width="11.44140625" style="1" customWidth="1"/>
    <col min="77" max="77" width="1.77734375" style="6" customWidth="1"/>
    <col min="78" max="78" width="13.109375" style="1" customWidth="1"/>
    <col min="79" max="79" width="14.88671875" style="1" customWidth="1"/>
    <col min="80" max="80" width="2.5546875" style="1" customWidth="1"/>
    <col min="81" max="81" width="14.77734375" style="1" customWidth="1"/>
    <col min="82" max="82" width="4.88671875" style="1" customWidth="1"/>
    <col min="83" max="83" width="6.33203125" style="1" customWidth="1"/>
    <col min="84" max="84" width="13.33203125" style="1" customWidth="1"/>
    <col min="85" max="85" width="8.77734375" style="1" customWidth="1"/>
    <col min="86" max="86" width="7.88671875" style="1" customWidth="1"/>
    <col min="87" max="87" width="9.88671875" style="1" bestFit="1" customWidth="1"/>
    <col min="88" max="89" width="6.77734375" style="1" customWidth="1"/>
    <col min="90" max="90" width="14.77734375" style="1" customWidth="1"/>
    <col min="91" max="91" width="13.88671875" style="1" customWidth="1"/>
    <col min="92" max="92" width="11.44140625" style="1" customWidth="1"/>
    <col min="93" max="93" width="1.77734375" style="6" customWidth="1"/>
    <col min="94" max="94" width="13.109375" style="1" customWidth="1"/>
    <col min="95" max="95" width="14.88671875" style="1" customWidth="1"/>
    <col min="96" max="96" width="2.5546875" style="1" customWidth="1"/>
    <col min="97" max="97" width="14.77734375" style="1" customWidth="1"/>
    <col min="98" max="98" width="4.88671875" style="1" customWidth="1"/>
    <col min="99" max="99" width="6.33203125" style="1" customWidth="1"/>
    <col min="100" max="100" width="13.33203125" style="1" customWidth="1"/>
    <col min="101" max="101" width="8.77734375" style="1" customWidth="1"/>
    <col min="102" max="102" width="7.88671875" style="1" customWidth="1"/>
    <col min="103" max="103" width="9.88671875" style="1" bestFit="1" customWidth="1"/>
    <col min="104" max="105" width="6.77734375" style="1" customWidth="1"/>
    <col min="106" max="106" width="14.77734375" style="1" customWidth="1"/>
    <col min="107" max="107" width="13.88671875" style="1" customWidth="1"/>
    <col min="108" max="108" width="11.44140625" style="1" customWidth="1"/>
    <col min="109" max="109" width="1.77734375" style="6" customWidth="1"/>
    <col min="110" max="110" width="13.109375" style="1" customWidth="1"/>
    <col min="111" max="111" width="14.88671875" style="1" customWidth="1"/>
    <col min="112" max="112" width="2.5546875" style="1" customWidth="1"/>
    <col min="113" max="113" width="14.77734375" style="1" customWidth="1"/>
    <col min="114" max="114" width="4.88671875" style="1" customWidth="1"/>
    <col min="115" max="115" width="6.33203125" style="1" customWidth="1"/>
    <col min="116" max="116" width="13.33203125" style="1" customWidth="1"/>
    <col min="117" max="117" width="8.77734375" style="1" customWidth="1"/>
    <col min="118" max="118" width="7.88671875" style="1" customWidth="1"/>
    <col min="119" max="119" width="9.88671875" style="1" bestFit="1" customWidth="1"/>
    <col min="120" max="121" width="6.77734375" style="1" customWidth="1"/>
    <col min="122" max="122" width="14.77734375" style="1" customWidth="1"/>
    <col min="123" max="123" width="13.88671875" style="1" customWidth="1"/>
    <col min="124" max="124" width="11.44140625" style="1" customWidth="1"/>
    <col min="125" max="125" width="1.77734375" style="6" customWidth="1"/>
    <col min="126" max="126" width="13.109375" style="1" customWidth="1"/>
    <col min="127" max="127" width="14.88671875" style="1" customWidth="1"/>
    <col min="128" max="128" width="2.5546875" style="1" customWidth="1"/>
    <col min="129" max="129" width="14.77734375" style="1" customWidth="1"/>
    <col min="130" max="130" width="4.88671875" style="1" customWidth="1"/>
    <col min="131" max="131" width="6.33203125" style="1" customWidth="1"/>
    <col min="132" max="132" width="13.33203125" style="1" customWidth="1"/>
    <col min="133" max="133" width="8.77734375" style="1" customWidth="1"/>
    <col min="134" max="134" width="7.88671875" style="1" customWidth="1"/>
    <col min="135" max="135" width="9.88671875" style="1" bestFit="1" customWidth="1"/>
    <col min="136" max="137" width="6.77734375" style="1" customWidth="1"/>
    <col min="138" max="138" width="14.77734375" style="1" customWidth="1"/>
    <col min="139" max="139" width="13.88671875" style="1" customWidth="1"/>
    <col min="140" max="140" width="11.44140625" style="1" customWidth="1"/>
    <col min="141" max="141" width="1.77734375" style="6" customWidth="1"/>
    <col min="142" max="142" width="13.109375" style="1" customWidth="1"/>
    <col min="143" max="143" width="14.88671875" style="1" customWidth="1"/>
    <col min="144" max="144" width="2.5546875" style="1" customWidth="1"/>
    <col min="145" max="145" width="14.77734375" style="1" customWidth="1"/>
    <col min="146" max="146" width="4.88671875" style="1" customWidth="1"/>
    <col min="147" max="147" width="6.33203125" style="1" customWidth="1"/>
    <col min="148" max="148" width="13.33203125" style="1" customWidth="1"/>
    <col min="149" max="149" width="8.77734375" style="1" customWidth="1"/>
    <col min="150" max="150" width="7.88671875" style="1" customWidth="1"/>
    <col min="151" max="151" width="9.88671875" style="1" bestFit="1" customWidth="1"/>
    <col min="152" max="153" width="6.77734375" style="1" customWidth="1"/>
    <col min="154" max="154" width="14.77734375" style="1" customWidth="1"/>
    <col min="155" max="155" width="13.88671875" style="1" customWidth="1"/>
    <col min="156" max="156" width="11.44140625" style="1" customWidth="1"/>
    <col min="157" max="157" width="1.77734375" style="6" customWidth="1"/>
    <col min="158" max="158" width="13.109375" style="1" customWidth="1"/>
    <col min="159" max="159" width="14.88671875" style="1" customWidth="1"/>
    <col min="160" max="160" width="2.5546875" style="1" customWidth="1"/>
    <col min="161" max="161" width="14.77734375" style="1" customWidth="1"/>
    <col min="162" max="162" width="4.88671875" style="1" customWidth="1"/>
    <col min="163" max="163" width="6.33203125" style="1" customWidth="1"/>
    <col min="164" max="164" width="13.33203125" style="1" customWidth="1"/>
    <col min="165" max="165" width="8.77734375" style="1" customWidth="1"/>
    <col min="166" max="166" width="7.88671875" style="1" customWidth="1"/>
    <col min="167" max="167" width="9.88671875" style="1" bestFit="1" customWidth="1"/>
    <col min="168" max="169" width="6.77734375" style="1" customWidth="1"/>
    <col min="170" max="170" width="14.77734375" style="1" customWidth="1"/>
    <col min="171" max="171" width="13.88671875" style="1" customWidth="1"/>
    <col min="172" max="172" width="11.44140625" style="1" customWidth="1"/>
    <col min="173" max="173" width="1.77734375" style="6" customWidth="1"/>
    <col min="174" max="174" width="13.109375" style="1" customWidth="1"/>
    <col min="175" max="175" width="14.88671875" style="1" customWidth="1"/>
    <col min="176" max="176" width="2.5546875" style="1" customWidth="1"/>
    <col min="177" max="177" width="14.77734375" style="1" customWidth="1"/>
    <col min="178" max="178" width="4.88671875" style="1" customWidth="1"/>
    <col min="179" max="179" width="6.33203125" style="1" customWidth="1"/>
    <col min="180" max="180" width="13.33203125" style="1" customWidth="1"/>
    <col min="181" max="181" width="8.77734375" style="1" customWidth="1"/>
    <col min="182" max="182" width="7.88671875" style="1" customWidth="1"/>
    <col min="183" max="183" width="9.88671875" style="1" bestFit="1" customWidth="1"/>
    <col min="184" max="185" width="6.77734375" style="1" customWidth="1"/>
    <col min="186" max="186" width="14.77734375" style="1" customWidth="1"/>
    <col min="187" max="187" width="13.88671875" style="1" customWidth="1"/>
    <col min="188" max="188" width="11.44140625" style="1" customWidth="1"/>
    <col min="189" max="189" width="1.77734375" style="6" customWidth="1"/>
    <col min="190" max="190" width="13.109375" style="1" customWidth="1"/>
    <col min="191" max="191" width="14.88671875" style="1" customWidth="1"/>
    <col min="192" max="192" width="2.5546875" style="1" customWidth="1"/>
    <col min="193" max="193" width="14.77734375" style="1" customWidth="1"/>
    <col min="194" max="194" width="4.88671875" style="1" customWidth="1"/>
    <col min="195" max="195" width="6.33203125" style="1" customWidth="1"/>
    <col min="196" max="196" width="13.33203125" style="1" customWidth="1"/>
    <col min="197" max="197" width="8.77734375" style="1" customWidth="1"/>
    <col min="198" max="198" width="7.88671875" style="1" customWidth="1"/>
    <col min="199" max="199" width="9.88671875" style="1" bestFit="1" customWidth="1"/>
    <col min="200" max="201" width="6.77734375" style="1" customWidth="1"/>
    <col min="202" max="202" width="14.77734375" style="1" customWidth="1"/>
    <col min="203" max="203" width="13.88671875" style="1" customWidth="1"/>
    <col min="204" max="204" width="11.44140625" style="1" customWidth="1"/>
    <col min="205" max="205" width="1.77734375" style="6" customWidth="1"/>
    <col min="206" max="206" width="13.109375" style="1" customWidth="1"/>
    <col min="207" max="207" width="14.88671875" style="1" customWidth="1"/>
    <col min="208" max="208" width="2.5546875" style="1" customWidth="1"/>
    <col min="209" max="209" width="14.77734375" style="1" customWidth="1"/>
    <col min="210" max="210" width="4.88671875" style="1" customWidth="1"/>
    <col min="211" max="211" width="6.33203125" style="1" customWidth="1"/>
    <col min="212" max="212" width="13.33203125" style="1" customWidth="1"/>
    <col min="213" max="213" width="8.77734375" style="1" customWidth="1"/>
    <col min="214" max="214" width="7.88671875" style="1" customWidth="1"/>
    <col min="215" max="215" width="9.88671875" style="1" bestFit="1" customWidth="1"/>
    <col min="216" max="217" width="6.77734375" style="1" customWidth="1"/>
    <col min="218" max="218" width="14.77734375" style="1" customWidth="1"/>
    <col min="219" max="219" width="13.88671875" style="1" customWidth="1"/>
    <col min="220" max="220" width="11.44140625" style="1" customWidth="1"/>
    <col min="221" max="221" width="1.77734375" style="6" customWidth="1"/>
    <col min="222" max="222" width="13.109375" style="1" customWidth="1"/>
    <col min="223" max="223" width="14.88671875" style="1" customWidth="1"/>
    <col min="224" max="224" width="2.5546875" style="1" customWidth="1"/>
    <col min="225" max="225" width="14.77734375" style="1" customWidth="1"/>
    <col min="226" max="226" width="4.88671875" style="1" customWidth="1"/>
    <col min="227" max="227" width="6.33203125" style="1" customWidth="1"/>
    <col min="228" max="228" width="13.33203125" style="1" customWidth="1"/>
    <col min="229" max="229" width="8.77734375" style="1" customWidth="1"/>
    <col min="230" max="230" width="7.88671875" style="1" customWidth="1"/>
    <col min="231" max="231" width="9.88671875" style="1" bestFit="1" customWidth="1"/>
    <col min="232" max="233" width="6.77734375" style="1" customWidth="1"/>
    <col min="234" max="234" width="14.77734375" style="1" customWidth="1"/>
    <col min="235" max="235" width="13.88671875" style="1" customWidth="1"/>
    <col min="236" max="236" width="11.44140625" style="1" customWidth="1"/>
    <col min="237" max="237" width="1.77734375" style="6" customWidth="1"/>
    <col min="238" max="238" width="13.109375" style="1" customWidth="1"/>
    <col min="239" max="239" width="14.88671875" style="1" customWidth="1"/>
    <col min="240" max="240" width="2.5546875" style="1" customWidth="1"/>
    <col min="241" max="241" width="14.77734375" style="1" customWidth="1"/>
    <col min="242" max="242" width="4.88671875" style="1" customWidth="1"/>
    <col min="243" max="243" width="6.33203125" style="1" customWidth="1"/>
    <col min="244" max="244" width="13.33203125" style="1" customWidth="1"/>
    <col min="245" max="245" width="8.77734375" style="1" customWidth="1"/>
    <col min="246" max="246" width="7.88671875" style="1" customWidth="1"/>
    <col min="247" max="247" width="9.88671875" style="1" bestFit="1" customWidth="1"/>
    <col min="248" max="249" width="6.77734375" style="1" customWidth="1"/>
    <col min="250" max="250" width="14.77734375" style="1" customWidth="1"/>
    <col min="251" max="251" width="13.88671875" style="1" customWidth="1"/>
    <col min="252" max="252" width="11.44140625" style="1" customWidth="1"/>
    <col min="253" max="253" width="1.77734375" style="6" customWidth="1"/>
    <col min="254" max="254" width="13.109375" style="1" customWidth="1"/>
    <col min="255" max="255" width="14.88671875" style="1" customWidth="1"/>
    <col min="256" max="256" width="2.5546875" style="1"/>
    <col min="257" max="257" width="14.77734375" style="1" customWidth="1"/>
    <col min="258" max="258" width="4.88671875" style="1" customWidth="1"/>
    <col min="259" max="259" width="6.33203125" style="1" customWidth="1"/>
    <col min="260" max="260" width="13.33203125" style="1" customWidth="1"/>
    <col min="261" max="261" width="8.77734375" style="1" customWidth="1"/>
    <col min="262" max="262" width="7.88671875" style="1" customWidth="1"/>
    <col min="263" max="263" width="9.88671875" style="1" bestFit="1" customWidth="1"/>
    <col min="264" max="265" width="6.77734375" style="1" customWidth="1"/>
    <col min="266" max="266" width="14.77734375" style="1" customWidth="1"/>
    <col min="267" max="267" width="13.88671875" style="1" customWidth="1"/>
    <col min="268" max="268" width="11.44140625" style="1" customWidth="1"/>
    <col min="269" max="269" width="1.77734375" style="6" customWidth="1"/>
    <col min="270" max="270" width="13.109375" style="1" customWidth="1"/>
    <col min="271" max="271" width="14.88671875" style="1" customWidth="1"/>
    <col min="272" max="272" width="2.5546875" style="1"/>
    <col min="273" max="273" width="14.77734375" style="1" customWidth="1"/>
    <col min="274" max="274" width="4.88671875" style="1" customWidth="1"/>
    <col min="275" max="275" width="6.33203125" style="1" customWidth="1"/>
    <col min="276" max="276" width="13.33203125" style="1" customWidth="1"/>
    <col min="277" max="277" width="8.77734375" style="1" customWidth="1"/>
    <col min="278" max="278" width="7.88671875" style="1" customWidth="1"/>
    <col min="279" max="279" width="9.88671875" style="1" bestFit="1" customWidth="1"/>
    <col min="280" max="281" width="6.77734375" style="1" customWidth="1"/>
    <col min="282" max="282" width="14.77734375" style="1" customWidth="1"/>
    <col min="283" max="283" width="13.88671875" style="1" customWidth="1"/>
    <col min="284" max="284" width="11.44140625" style="1" customWidth="1"/>
    <col min="285" max="285" width="1.77734375" style="6" customWidth="1"/>
    <col min="286" max="286" width="13.109375" style="1" customWidth="1"/>
    <col min="287" max="287" width="14.88671875" style="1" customWidth="1"/>
    <col min="288" max="288" width="2.5546875" style="1"/>
    <col min="289" max="289" width="14.77734375" style="1" customWidth="1"/>
    <col min="290" max="290" width="4.88671875" style="1" customWidth="1"/>
    <col min="291" max="291" width="6.33203125" style="1" customWidth="1"/>
    <col min="292" max="292" width="13.33203125" style="1" customWidth="1"/>
    <col min="293" max="293" width="8.77734375" style="1" customWidth="1"/>
    <col min="294" max="294" width="7.88671875" style="1" customWidth="1"/>
    <col min="295" max="295" width="9.88671875" style="1" bestFit="1" customWidth="1"/>
    <col min="296" max="297" width="6.77734375" style="1" customWidth="1"/>
    <col min="298" max="298" width="14.77734375" style="1" customWidth="1"/>
    <col min="299" max="299" width="13.88671875" style="1" customWidth="1"/>
    <col min="300" max="300" width="11.44140625" style="1" customWidth="1"/>
    <col min="301" max="301" width="1.77734375" style="6" customWidth="1"/>
    <col min="302" max="302" width="13.109375" style="1" customWidth="1"/>
    <col min="303" max="303" width="14.88671875" style="1" customWidth="1"/>
    <col min="304" max="304" width="2.5546875" style="1"/>
    <col min="305" max="305" width="14.77734375" style="1" customWidth="1"/>
    <col min="306" max="306" width="4.88671875" style="1" customWidth="1"/>
    <col min="307" max="307" width="6.33203125" style="1" customWidth="1"/>
    <col min="308" max="308" width="13.33203125" style="1" customWidth="1"/>
    <col min="309" max="309" width="8.77734375" style="1" customWidth="1"/>
    <col min="310" max="310" width="7.88671875" style="1" customWidth="1"/>
    <col min="311" max="311" width="9.88671875" style="1" bestFit="1" customWidth="1"/>
    <col min="312" max="313" width="6.77734375" style="1" customWidth="1"/>
    <col min="314" max="314" width="14.77734375" style="1" customWidth="1"/>
    <col min="315" max="315" width="13.88671875" style="1" customWidth="1"/>
    <col min="316" max="316" width="11.44140625" style="1" customWidth="1"/>
    <col min="317" max="317" width="1.77734375" style="6" customWidth="1"/>
    <col min="318" max="318" width="13.109375" style="1" customWidth="1"/>
    <col min="319" max="319" width="14.88671875" style="1" customWidth="1"/>
    <col min="320" max="320" width="2.5546875" style="1"/>
    <col min="321" max="321" width="14.77734375" style="1" customWidth="1"/>
    <col min="322" max="322" width="4.88671875" style="1" customWidth="1"/>
    <col min="323" max="323" width="6.33203125" style="1" customWidth="1"/>
    <col min="324" max="324" width="13.33203125" style="1" customWidth="1"/>
    <col min="325" max="325" width="8.77734375" style="1" customWidth="1"/>
    <col min="326" max="326" width="7.88671875" style="1" customWidth="1"/>
    <col min="327" max="327" width="9.88671875" style="1" bestFit="1" customWidth="1"/>
    <col min="328" max="329" width="6.77734375" style="1" customWidth="1"/>
    <col min="330" max="330" width="14.77734375" style="1" customWidth="1"/>
    <col min="331" max="331" width="13.88671875" style="1" customWidth="1"/>
    <col min="332" max="332" width="11.44140625" style="1" customWidth="1"/>
    <col min="333" max="333" width="1.77734375" style="6" customWidth="1"/>
    <col min="334" max="334" width="13.109375" style="1" customWidth="1"/>
    <col min="335" max="335" width="14.88671875" style="1" customWidth="1"/>
    <col min="336" max="336" width="2.5546875" style="1"/>
    <col min="337" max="337" width="14.77734375" style="1" customWidth="1"/>
    <col min="338" max="338" width="4.88671875" style="1" customWidth="1"/>
    <col min="339" max="339" width="6.33203125" style="1" customWidth="1"/>
    <col min="340" max="340" width="13.33203125" style="1" customWidth="1"/>
    <col min="341" max="341" width="8.77734375" style="1" customWidth="1"/>
    <col min="342" max="342" width="7.88671875" style="1" customWidth="1"/>
    <col min="343" max="343" width="9.88671875" style="1" bestFit="1" customWidth="1"/>
    <col min="344" max="345" width="6.77734375" style="1" customWidth="1"/>
    <col min="346" max="346" width="14.77734375" style="1" customWidth="1"/>
    <col min="347" max="347" width="13.88671875" style="1" customWidth="1"/>
    <col min="348" max="348" width="11.44140625" style="1" customWidth="1"/>
    <col min="349" max="349" width="1.77734375" style="6" customWidth="1"/>
    <col min="350" max="350" width="13.109375" style="1" customWidth="1"/>
    <col min="351" max="351" width="14.88671875" style="1" customWidth="1"/>
    <col min="352" max="16384" width="2.5546875" style="1"/>
  </cols>
  <sheetData>
    <row r="1" spans="1:351" s="19" customFormat="1" ht="24.6" x14ac:dyDescent="0.3">
      <c r="A1" s="76" t="s">
        <v>81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O1" s="51"/>
      <c r="Q1" s="76" t="s">
        <v>81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E1" s="51"/>
      <c r="AG1" s="76" t="s">
        <v>81</v>
      </c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U1" s="51"/>
      <c r="AW1" s="76" t="s">
        <v>81</v>
      </c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K1" s="51"/>
      <c r="BM1" s="76" t="s">
        <v>81</v>
      </c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CA1" s="51"/>
      <c r="CC1" s="76" t="s">
        <v>81</v>
      </c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Q1" s="51"/>
      <c r="CS1" s="76" t="s">
        <v>81</v>
      </c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G1" s="51"/>
      <c r="DI1" s="76" t="s">
        <v>81</v>
      </c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W1" s="51"/>
      <c r="DY1" s="76" t="s">
        <v>81</v>
      </c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M1" s="51"/>
      <c r="EO1" s="76" t="s">
        <v>81</v>
      </c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C1" s="51"/>
      <c r="FE1" s="76" t="s">
        <v>81</v>
      </c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S1" s="51"/>
      <c r="FU1" s="76" t="s">
        <v>81</v>
      </c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I1" s="51"/>
      <c r="GK1" s="76" t="s">
        <v>81</v>
      </c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Y1" s="51"/>
      <c r="HA1" s="76" t="s">
        <v>81</v>
      </c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O1" s="51"/>
      <c r="HQ1" s="76" t="s">
        <v>81</v>
      </c>
      <c r="HR1" s="76"/>
      <c r="HS1" s="76"/>
      <c r="HT1" s="76"/>
      <c r="HU1" s="76"/>
      <c r="HV1" s="76"/>
      <c r="HW1" s="76"/>
      <c r="HX1" s="76"/>
      <c r="HY1" s="76"/>
      <c r="HZ1" s="76"/>
      <c r="IA1" s="76"/>
      <c r="IB1" s="76"/>
      <c r="IE1" s="51"/>
      <c r="IG1" s="76" t="s">
        <v>81</v>
      </c>
      <c r="IH1" s="76"/>
      <c r="II1" s="76"/>
      <c r="IJ1" s="76"/>
      <c r="IK1" s="76"/>
      <c r="IL1" s="76"/>
      <c r="IM1" s="76"/>
      <c r="IN1" s="76"/>
      <c r="IO1" s="76"/>
      <c r="IP1" s="76"/>
      <c r="IQ1" s="76"/>
      <c r="IR1" s="76"/>
      <c r="IU1" s="51"/>
      <c r="IW1" s="76" t="s">
        <v>81</v>
      </c>
      <c r="IX1" s="76"/>
      <c r="IY1" s="76"/>
      <c r="IZ1" s="76"/>
      <c r="JA1" s="76"/>
      <c r="JB1" s="76"/>
      <c r="JC1" s="76"/>
      <c r="JD1" s="76"/>
      <c r="JE1" s="76"/>
      <c r="JF1" s="76"/>
      <c r="JG1" s="76"/>
      <c r="JH1" s="76"/>
      <c r="JK1" s="51"/>
      <c r="JM1" s="76" t="s">
        <v>81</v>
      </c>
      <c r="JN1" s="76"/>
      <c r="JO1" s="76"/>
      <c r="JP1" s="76"/>
      <c r="JQ1" s="76"/>
      <c r="JR1" s="76"/>
      <c r="JS1" s="76"/>
      <c r="JT1" s="76"/>
      <c r="JU1" s="76"/>
      <c r="JV1" s="76"/>
      <c r="JW1" s="76"/>
      <c r="JX1" s="76"/>
      <c r="KA1" s="51"/>
      <c r="KC1" s="76" t="s">
        <v>81</v>
      </c>
      <c r="KD1" s="76"/>
      <c r="KE1" s="76"/>
      <c r="KF1" s="76"/>
      <c r="KG1" s="76"/>
      <c r="KH1" s="76"/>
      <c r="KI1" s="76"/>
      <c r="KJ1" s="76"/>
      <c r="KK1" s="76"/>
      <c r="KL1" s="76"/>
      <c r="KM1" s="76"/>
      <c r="KN1" s="76"/>
      <c r="KQ1" s="51"/>
      <c r="KS1" s="76" t="s">
        <v>81</v>
      </c>
      <c r="KT1" s="76"/>
      <c r="KU1" s="76"/>
      <c r="KV1" s="76"/>
      <c r="KW1" s="76"/>
      <c r="KX1" s="76"/>
      <c r="KY1" s="76"/>
      <c r="KZ1" s="76"/>
      <c r="LA1" s="76"/>
      <c r="LB1" s="76"/>
      <c r="LC1" s="76"/>
      <c r="LD1" s="76"/>
      <c r="LG1" s="51"/>
      <c r="LI1" s="76" t="s">
        <v>81</v>
      </c>
      <c r="LJ1" s="76"/>
      <c r="LK1" s="76"/>
      <c r="LL1" s="76"/>
      <c r="LM1" s="76"/>
      <c r="LN1" s="76"/>
      <c r="LO1" s="76"/>
      <c r="LP1" s="76"/>
      <c r="LQ1" s="76"/>
      <c r="LR1" s="76"/>
      <c r="LS1" s="76"/>
      <c r="LT1" s="76"/>
      <c r="LW1" s="51"/>
      <c r="LY1" s="76" t="s">
        <v>81</v>
      </c>
      <c r="LZ1" s="76"/>
      <c r="MA1" s="76"/>
      <c r="MB1" s="76"/>
      <c r="MC1" s="76"/>
      <c r="MD1" s="76"/>
      <c r="ME1" s="76"/>
      <c r="MF1" s="76"/>
      <c r="MG1" s="76"/>
      <c r="MH1" s="76"/>
      <c r="MI1" s="76"/>
      <c r="MJ1" s="76"/>
      <c r="MM1" s="51"/>
    </row>
    <row r="2" spans="1:351" s="19" customFormat="1" ht="24.6" x14ac:dyDescent="0.3">
      <c r="A2" s="76" t="s">
        <v>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O2" s="51"/>
      <c r="Q2" s="76" t="s">
        <v>4</v>
      </c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E2" s="51"/>
      <c r="AG2" s="76" t="s">
        <v>4</v>
      </c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U2" s="51"/>
      <c r="AW2" s="76" t="s">
        <v>4</v>
      </c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K2" s="51"/>
      <c r="BM2" s="76" t="s">
        <v>4</v>
      </c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CA2" s="51"/>
      <c r="CC2" s="76" t="s">
        <v>4</v>
      </c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Q2" s="51"/>
      <c r="CS2" s="76" t="s">
        <v>4</v>
      </c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G2" s="51"/>
      <c r="DI2" s="76" t="s">
        <v>4</v>
      </c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W2" s="51"/>
      <c r="DY2" s="76" t="s">
        <v>4</v>
      </c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M2" s="51"/>
      <c r="EO2" s="76" t="s">
        <v>4</v>
      </c>
      <c r="EP2" s="76"/>
      <c r="EQ2" s="76"/>
      <c r="ER2" s="76"/>
      <c r="ES2" s="76"/>
      <c r="ET2" s="76"/>
      <c r="EU2" s="76"/>
      <c r="EV2" s="76"/>
      <c r="EW2" s="76"/>
      <c r="EX2" s="76"/>
      <c r="EY2" s="76"/>
      <c r="EZ2" s="76"/>
      <c r="FC2" s="51"/>
      <c r="FE2" s="76" t="s">
        <v>4</v>
      </c>
      <c r="FF2" s="76"/>
      <c r="FG2" s="76"/>
      <c r="FH2" s="76"/>
      <c r="FI2" s="76"/>
      <c r="FJ2" s="76"/>
      <c r="FK2" s="76"/>
      <c r="FL2" s="76"/>
      <c r="FM2" s="76"/>
      <c r="FN2" s="76"/>
      <c r="FO2" s="76"/>
      <c r="FP2" s="76"/>
      <c r="FS2" s="51"/>
      <c r="FU2" s="76" t="s">
        <v>4</v>
      </c>
      <c r="FV2" s="76"/>
      <c r="FW2" s="76"/>
      <c r="FX2" s="76"/>
      <c r="FY2" s="76"/>
      <c r="FZ2" s="76"/>
      <c r="GA2" s="76"/>
      <c r="GB2" s="76"/>
      <c r="GC2" s="76"/>
      <c r="GD2" s="76"/>
      <c r="GE2" s="76"/>
      <c r="GF2" s="76"/>
      <c r="GI2" s="51"/>
      <c r="GK2" s="76" t="s">
        <v>4</v>
      </c>
      <c r="GL2" s="76"/>
      <c r="GM2" s="76"/>
      <c r="GN2" s="76"/>
      <c r="GO2" s="76"/>
      <c r="GP2" s="76"/>
      <c r="GQ2" s="76"/>
      <c r="GR2" s="76"/>
      <c r="GS2" s="76"/>
      <c r="GT2" s="76"/>
      <c r="GU2" s="76"/>
      <c r="GV2" s="76"/>
      <c r="GY2" s="51"/>
      <c r="HA2" s="76" t="s">
        <v>4</v>
      </c>
      <c r="HB2" s="76"/>
      <c r="HC2" s="76"/>
      <c r="HD2" s="76"/>
      <c r="HE2" s="76"/>
      <c r="HF2" s="76"/>
      <c r="HG2" s="76"/>
      <c r="HH2" s="76"/>
      <c r="HI2" s="76"/>
      <c r="HJ2" s="76"/>
      <c r="HK2" s="76"/>
      <c r="HL2" s="76"/>
      <c r="HO2" s="51"/>
      <c r="HQ2" s="76" t="s">
        <v>4</v>
      </c>
      <c r="HR2" s="76"/>
      <c r="HS2" s="76"/>
      <c r="HT2" s="76"/>
      <c r="HU2" s="76"/>
      <c r="HV2" s="76"/>
      <c r="HW2" s="76"/>
      <c r="HX2" s="76"/>
      <c r="HY2" s="76"/>
      <c r="HZ2" s="76"/>
      <c r="IA2" s="76"/>
      <c r="IB2" s="76"/>
      <c r="IE2" s="51"/>
      <c r="IG2" s="76" t="s">
        <v>4</v>
      </c>
      <c r="IH2" s="76"/>
      <c r="II2" s="76"/>
      <c r="IJ2" s="76"/>
      <c r="IK2" s="76"/>
      <c r="IL2" s="76"/>
      <c r="IM2" s="76"/>
      <c r="IN2" s="76"/>
      <c r="IO2" s="76"/>
      <c r="IP2" s="76"/>
      <c r="IQ2" s="76"/>
      <c r="IR2" s="76"/>
      <c r="IU2" s="51"/>
      <c r="IW2" s="76" t="s">
        <v>4</v>
      </c>
      <c r="IX2" s="76"/>
      <c r="IY2" s="76"/>
      <c r="IZ2" s="76"/>
      <c r="JA2" s="76"/>
      <c r="JB2" s="76"/>
      <c r="JC2" s="76"/>
      <c r="JD2" s="76"/>
      <c r="JE2" s="76"/>
      <c r="JF2" s="76"/>
      <c r="JG2" s="76"/>
      <c r="JH2" s="76"/>
      <c r="JK2" s="51"/>
      <c r="JM2" s="76" t="s">
        <v>4</v>
      </c>
      <c r="JN2" s="76"/>
      <c r="JO2" s="76"/>
      <c r="JP2" s="76"/>
      <c r="JQ2" s="76"/>
      <c r="JR2" s="76"/>
      <c r="JS2" s="76"/>
      <c r="JT2" s="76"/>
      <c r="JU2" s="76"/>
      <c r="JV2" s="76"/>
      <c r="JW2" s="76"/>
      <c r="JX2" s="76"/>
      <c r="KA2" s="51"/>
      <c r="KC2" s="76" t="s">
        <v>4</v>
      </c>
      <c r="KD2" s="76"/>
      <c r="KE2" s="76"/>
      <c r="KF2" s="76"/>
      <c r="KG2" s="76"/>
      <c r="KH2" s="76"/>
      <c r="KI2" s="76"/>
      <c r="KJ2" s="76"/>
      <c r="KK2" s="76"/>
      <c r="KL2" s="76"/>
      <c r="KM2" s="76"/>
      <c r="KN2" s="76"/>
      <c r="KQ2" s="51"/>
      <c r="KS2" s="76" t="s">
        <v>4</v>
      </c>
      <c r="KT2" s="76"/>
      <c r="KU2" s="76"/>
      <c r="KV2" s="76"/>
      <c r="KW2" s="76"/>
      <c r="KX2" s="76"/>
      <c r="KY2" s="76"/>
      <c r="KZ2" s="76"/>
      <c r="LA2" s="76"/>
      <c r="LB2" s="76"/>
      <c r="LC2" s="76"/>
      <c r="LD2" s="76"/>
      <c r="LG2" s="51"/>
      <c r="LI2" s="76" t="s">
        <v>4</v>
      </c>
      <c r="LJ2" s="76"/>
      <c r="LK2" s="76"/>
      <c r="LL2" s="76"/>
      <c r="LM2" s="76"/>
      <c r="LN2" s="76"/>
      <c r="LO2" s="76"/>
      <c r="LP2" s="76"/>
      <c r="LQ2" s="76"/>
      <c r="LR2" s="76"/>
      <c r="LS2" s="76"/>
      <c r="LT2" s="76"/>
      <c r="LW2" s="51"/>
      <c r="LY2" s="76" t="s">
        <v>4</v>
      </c>
      <c r="LZ2" s="76"/>
      <c r="MA2" s="76"/>
      <c r="MB2" s="76"/>
      <c r="MC2" s="76"/>
      <c r="MD2" s="76"/>
      <c r="ME2" s="76"/>
      <c r="MF2" s="76"/>
      <c r="MG2" s="76"/>
      <c r="MH2" s="76"/>
      <c r="MI2" s="76"/>
      <c r="MJ2" s="76"/>
      <c r="MM2" s="51"/>
    </row>
    <row r="3" spans="1:351" s="20" customFormat="1" ht="15.75" customHeight="1" x14ac:dyDescent="0.3">
      <c r="A3" s="75" t="s">
        <v>40</v>
      </c>
      <c r="B3" s="75"/>
      <c r="C3" s="75"/>
      <c r="D3" s="75"/>
      <c r="E3" s="75"/>
      <c r="F3" s="75"/>
      <c r="G3" s="75"/>
      <c r="H3" s="75"/>
      <c r="I3" s="75"/>
      <c r="J3" s="75"/>
      <c r="K3" s="35" t="s">
        <v>41</v>
      </c>
      <c r="L3" s="34">
        <v>1</v>
      </c>
      <c r="O3" s="52"/>
      <c r="Q3" s="75" t="s">
        <v>40</v>
      </c>
      <c r="R3" s="75"/>
      <c r="S3" s="75"/>
      <c r="T3" s="75"/>
      <c r="U3" s="75"/>
      <c r="V3" s="75"/>
      <c r="W3" s="75"/>
      <c r="X3" s="75"/>
      <c r="Y3" s="75"/>
      <c r="Z3" s="75"/>
      <c r="AA3" s="35" t="s">
        <v>41</v>
      </c>
      <c r="AB3" s="34">
        <v>2</v>
      </c>
      <c r="AE3" s="52"/>
      <c r="AG3" s="75" t="s">
        <v>40</v>
      </c>
      <c r="AH3" s="75"/>
      <c r="AI3" s="75"/>
      <c r="AJ3" s="75"/>
      <c r="AK3" s="75"/>
      <c r="AL3" s="75"/>
      <c r="AM3" s="75"/>
      <c r="AN3" s="75"/>
      <c r="AO3" s="75"/>
      <c r="AP3" s="75"/>
      <c r="AQ3" s="35" t="s">
        <v>41</v>
      </c>
      <c r="AR3" s="34">
        <v>3</v>
      </c>
      <c r="AU3" s="52"/>
      <c r="AW3" s="75" t="s">
        <v>40</v>
      </c>
      <c r="AX3" s="75"/>
      <c r="AY3" s="75"/>
      <c r="AZ3" s="75"/>
      <c r="BA3" s="75"/>
      <c r="BB3" s="75"/>
      <c r="BC3" s="75"/>
      <c r="BD3" s="75"/>
      <c r="BE3" s="75"/>
      <c r="BF3" s="75"/>
      <c r="BG3" s="35" t="s">
        <v>41</v>
      </c>
      <c r="BH3" s="34">
        <v>4</v>
      </c>
      <c r="BK3" s="52"/>
      <c r="BM3" s="75" t="s">
        <v>40</v>
      </c>
      <c r="BN3" s="75"/>
      <c r="BO3" s="75"/>
      <c r="BP3" s="75"/>
      <c r="BQ3" s="75"/>
      <c r="BR3" s="75"/>
      <c r="BS3" s="75"/>
      <c r="BT3" s="75"/>
      <c r="BU3" s="75"/>
      <c r="BV3" s="75"/>
      <c r="BW3" s="35" t="s">
        <v>41</v>
      </c>
      <c r="BX3" s="34">
        <v>5</v>
      </c>
      <c r="CA3" s="52"/>
      <c r="CC3" s="75" t="s">
        <v>40</v>
      </c>
      <c r="CD3" s="75"/>
      <c r="CE3" s="75"/>
      <c r="CF3" s="75"/>
      <c r="CG3" s="75"/>
      <c r="CH3" s="75"/>
      <c r="CI3" s="75"/>
      <c r="CJ3" s="75"/>
      <c r="CK3" s="75"/>
      <c r="CL3" s="75"/>
      <c r="CM3" s="35" t="s">
        <v>41</v>
      </c>
      <c r="CN3" s="34">
        <v>6</v>
      </c>
      <c r="CQ3" s="52"/>
      <c r="CS3" s="75" t="s">
        <v>40</v>
      </c>
      <c r="CT3" s="75"/>
      <c r="CU3" s="75"/>
      <c r="CV3" s="75"/>
      <c r="CW3" s="75"/>
      <c r="CX3" s="75"/>
      <c r="CY3" s="75"/>
      <c r="CZ3" s="75"/>
      <c r="DA3" s="75"/>
      <c r="DB3" s="75"/>
      <c r="DC3" s="35" t="s">
        <v>41</v>
      </c>
      <c r="DD3" s="34">
        <v>7</v>
      </c>
      <c r="DG3" s="52"/>
      <c r="DI3" s="75" t="s">
        <v>40</v>
      </c>
      <c r="DJ3" s="75"/>
      <c r="DK3" s="75"/>
      <c r="DL3" s="75"/>
      <c r="DM3" s="75"/>
      <c r="DN3" s="75"/>
      <c r="DO3" s="75"/>
      <c r="DP3" s="75"/>
      <c r="DQ3" s="75"/>
      <c r="DR3" s="75"/>
      <c r="DS3" s="35" t="s">
        <v>41</v>
      </c>
      <c r="DT3" s="34">
        <v>8</v>
      </c>
      <c r="DW3" s="52"/>
      <c r="DY3" s="75" t="s">
        <v>40</v>
      </c>
      <c r="DZ3" s="75"/>
      <c r="EA3" s="75"/>
      <c r="EB3" s="75"/>
      <c r="EC3" s="75"/>
      <c r="ED3" s="75"/>
      <c r="EE3" s="75"/>
      <c r="EF3" s="75"/>
      <c r="EG3" s="75"/>
      <c r="EH3" s="75"/>
      <c r="EI3" s="35" t="s">
        <v>41</v>
      </c>
      <c r="EJ3" s="34">
        <v>9</v>
      </c>
      <c r="EM3" s="52"/>
      <c r="EO3" s="75" t="s">
        <v>40</v>
      </c>
      <c r="EP3" s="75"/>
      <c r="EQ3" s="75"/>
      <c r="ER3" s="75"/>
      <c r="ES3" s="75"/>
      <c r="ET3" s="75"/>
      <c r="EU3" s="75"/>
      <c r="EV3" s="75"/>
      <c r="EW3" s="75"/>
      <c r="EX3" s="75"/>
      <c r="EY3" s="35" t="s">
        <v>41</v>
      </c>
      <c r="EZ3" s="34">
        <v>10</v>
      </c>
      <c r="FC3" s="52"/>
      <c r="FE3" s="75" t="s">
        <v>40</v>
      </c>
      <c r="FF3" s="75"/>
      <c r="FG3" s="75"/>
      <c r="FH3" s="75"/>
      <c r="FI3" s="75"/>
      <c r="FJ3" s="75"/>
      <c r="FK3" s="75"/>
      <c r="FL3" s="75"/>
      <c r="FM3" s="75"/>
      <c r="FN3" s="75"/>
      <c r="FO3" s="35" t="s">
        <v>41</v>
      </c>
      <c r="FP3" s="34">
        <v>11</v>
      </c>
      <c r="FS3" s="52"/>
      <c r="FU3" s="75" t="s">
        <v>40</v>
      </c>
      <c r="FV3" s="75"/>
      <c r="FW3" s="75"/>
      <c r="FX3" s="75"/>
      <c r="FY3" s="75"/>
      <c r="FZ3" s="75"/>
      <c r="GA3" s="75"/>
      <c r="GB3" s="75"/>
      <c r="GC3" s="75"/>
      <c r="GD3" s="75"/>
      <c r="GE3" s="35" t="s">
        <v>41</v>
      </c>
      <c r="GF3" s="34">
        <v>12</v>
      </c>
      <c r="GI3" s="52"/>
      <c r="GK3" s="75" t="s">
        <v>40</v>
      </c>
      <c r="GL3" s="75"/>
      <c r="GM3" s="75"/>
      <c r="GN3" s="75"/>
      <c r="GO3" s="75"/>
      <c r="GP3" s="75"/>
      <c r="GQ3" s="75"/>
      <c r="GR3" s="75"/>
      <c r="GS3" s="75"/>
      <c r="GT3" s="75"/>
      <c r="GU3" s="35" t="s">
        <v>41</v>
      </c>
      <c r="GV3" s="34">
        <v>13</v>
      </c>
      <c r="GY3" s="52"/>
      <c r="HA3" s="75" t="s">
        <v>40</v>
      </c>
      <c r="HB3" s="75"/>
      <c r="HC3" s="75"/>
      <c r="HD3" s="75"/>
      <c r="HE3" s="75"/>
      <c r="HF3" s="75"/>
      <c r="HG3" s="75"/>
      <c r="HH3" s="75"/>
      <c r="HI3" s="75"/>
      <c r="HJ3" s="75"/>
      <c r="HK3" s="35" t="s">
        <v>41</v>
      </c>
      <c r="HL3" s="34">
        <v>14</v>
      </c>
      <c r="HO3" s="52"/>
      <c r="HQ3" s="75" t="s">
        <v>40</v>
      </c>
      <c r="HR3" s="75"/>
      <c r="HS3" s="75"/>
      <c r="HT3" s="75"/>
      <c r="HU3" s="75"/>
      <c r="HV3" s="75"/>
      <c r="HW3" s="75"/>
      <c r="HX3" s="75"/>
      <c r="HY3" s="75"/>
      <c r="HZ3" s="75"/>
      <c r="IA3" s="35" t="s">
        <v>41</v>
      </c>
      <c r="IB3" s="34">
        <v>15</v>
      </c>
      <c r="IE3" s="52"/>
      <c r="IG3" s="75" t="s">
        <v>40</v>
      </c>
      <c r="IH3" s="75"/>
      <c r="II3" s="75"/>
      <c r="IJ3" s="75"/>
      <c r="IK3" s="75"/>
      <c r="IL3" s="75"/>
      <c r="IM3" s="75"/>
      <c r="IN3" s="75"/>
      <c r="IO3" s="75"/>
      <c r="IP3" s="75"/>
      <c r="IQ3" s="35" t="s">
        <v>41</v>
      </c>
      <c r="IR3" s="34">
        <v>16</v>
      </c>
      <c r="IU3" s="52"/>
      <c r="IW3" s="75" t="s">
        <v>40</v>
      </c>
      <c r="IX3" s="75"/>
      <c r="IY3" s="75"/>
      <c r="IZ3" s="75"/>
      <c r="JA3" s="75"/>
      <c r="JB3" s="75"/>
      <c r="JC3" s="75"/>
      <c r="JD3" s="75"/>
      <c r="JE3" s="75"/>
      <c r="JF3" s="75"/>
      <c r="JG3" s="35" t="s">
        <v>41</v>
      </c>
      <c r="JH3" s="34">
        <v>17</v>
      </c>
      <c r="JK3" s="52"/>
      <c r="JM3" s="75" t="s">
        <v>40</v>
      </c>
      <c r="JN3" s="75"/>
      <c r="JO3" s="75"/>
      <c r="JP3" s="75"/>
      <c r="JQ3" s="75"/>
      <c r="JR3" s="75"/>
      <c r="JS3" s="75"/>
      <c r="JT3" s="75"/>
      <c r="JU3" s="75"/>
      <c r="JV3" s="75"/>
      <c r="JW3" s="35" t="s">
        <v>41</v>
      </c>
      <c r="JX3" s="34">
        <v>18</v>
      </c>
      <c r="KA3" s="52"/>
      <c r="KC3" s="75" t="s">
        <v>40</v>
      </c>
      <c r="KD3" s="75"/>
      <c r="KE3" s="75"/>
      <c r="KF3" s="75"/>
      <c r="KG3" s="75"/>
      <c r="KH3" s="75"/>
      <c r="KI3" s="75"/>
      <c r="KJ3" s="75"/>
      <c r="KK3" s="75"/>
      <c r="KL3" s="75"/>
      <c r="KM3" s="35" t="s">
        <v>41</v>
      </c>
      <c r="KN3" s="34">
        <v>19</v>
      </c>
      <c r="KQ3" s="52"/>
      <c r="KS3" s="75" t="s">
        <v>40</v>
      </c>
      <c r="KT3" s="75"/>
      <c r="KU3" s="75"/>
      <c r="KV3" s="75"/>
      <c r="KW3" s="75"/>
      <c r="KX3" s="75"/>
      <c r="KY3" s="75"/>
      <c r="KZ3" s="75"/>
      <c r="LA3" s="75"/>
      <c r="LB3" s="75"/>
      <c r="LC3" s="35" t="s">
        <v>41</v>
      </c>
      <c r="LD3" s="34">
        <v>20</v>
      </c>
      <c r="LG3" s="52"/>
      <c r="LI3" s="75" t="s">
        <v>40</v>
      </c>
      <c r="LJ3" s="75"/>
      <c r="LK3" s="75"/>
      <c r="LL3" s="75"/>
      <c r="LM3" s="75"/>
      <c r="LN3" s="75"/>
      <c r="LO3" s="75"/>
      <c r="LP3" s="75"/>
      <c r="LQ3" s="75"/>
      <c r="LR3" s="75"/>
      <c r="LS3" s="35" t="s">
        <v>41</v>
      </c>
      <c r="LT3" s="34">
        <v>21</v>
      </c>
      <c r="LW3" s="52"/>
      <c r="LY3" s="75" t="s">
        <v>40</v>
      </c>
      <c r="LZ3" s="75"/>
      <c r="MA3" s="75"/>
      <c r="MB3" s="75"/>
      <c r="MC3" s="75"/>
      <c r="MD3" s="75"/>
      <c r="ME3" s="75"/>
      <c r="MF3" s="75"/>
      <c r="MG3" s="75"/>
      <c r="MH3" s="75"/>
      <c r="MI3" s="35" t="s">
        <v>41</v>
      </c>
      <c r="MJ3" s="34">
        <v>22</v>
      </c>
      <c r="MM3" s="52"/>
    </row>
    <row r="4" spans="1:351" ht="18" customHeight="1" thickBot="1" x14ac:dyDescent="0.35">
      <c r="A4" s="22" t="s">
        <v>67</v>
      </c>
      <c r="B4" s="74" t="s">
        <v>83</v>
      </c>
      <c r="C4" s="74"/>
      <c r="D4" s="74"/>
      <c r="E4" s="74"/>
      <c r="F4" s="74"/>
      <c r="G4" s="21"/>
      <c r="H4" s="73" t="s">
        <v>82</v>
      </c>
      <c r="I4" s="73"/>
      <c r="J4" s="73"/>
      <c r="K4" s="73"/>
      <c r="L4" s="73"/>
      <c r="M4" s="1"/>
      <c r="O4" s="53"/>
      <c r="Q4" s="22" t="s">
        <v>67</v>
      </c>
      <c r="R4" s="74" t="s">
        <v>83</v>
      </c>
      <c r="S4" s="74"/>
      <c r="T4" s="74"/>
      <c r="U4" s="74"/>
      <c r="V4" s="74"/>
      <c r="W4" s="21"/>
      <c r="X4" s="73" t="s">
        <v>109</v>
      </c>
      <c r="Y4" s="73"/>
      <c r="Z4" s="73"/>
      <c r="AA4" s="73"/>
      <c r="AB4" s="73"/>
      <c r="AC4" s="1"/>
      <c r="AE4" s="53"/>
      <c r="AG4" s="22" t="s">
        <v>67</v>
      </c>
      <c r="AH4" s="74" t="s">
        <v>83</v>
      </c>
      <c r="AI4" s="74"/>
      <c r="AJ4" s="74"/>
      <c r="AK4" s="74"/>
      <c r="AL4" s="74"/>
      <c r="AM4" s="21"/>
      <c r="AN4" s="73" t="s">
        <v>111</v>
      </c>
      <c r="AO4" s="73"/>
      <c r="AP4" s="73"/>
      <c r="AQ4" s="73"/>
      <c r="AR4" s="73"/>
      <c r="AS4" s="1"/>
      <c r="AU4" s="53"/>
      <c r="AW4" s="22" t="s">
        <v>67</v>
      </c>
      <c r="AX4" s="74" t="s">
        <v>83</v>
      </c>
      <c r="AY4" s="74"/>
      <c r="AZ4" s="74"/>
      <c r="BA4" s="74"/>
      <c r="BB4" s="74"/>
      <c r="BC4" s="21"/>
      <c r="BD4" s="73" t="s">
        <v>112</v>
      </c>
      <c r="BE4" s="73"/>
      <c r="BF4" s="73"/>
      <c r="BG4" s="73"/>
      <c r="BH4" s="73"/>
      <c r="BI4" s="1"/>
      <c r="BK4" s="53"/>
      <c r="BM4" s="22" t="s">
        <v>67</v>
      </c>
      <c r="BN4" s="74" t="s">
        <v>83</v>
      </c>
      <c r="BO4" s="74"/>
      <c r="BP4" s="74"/>
      <c r="BQ4" s="74"/>
      <c r="BR4" s="74"/>
      <c r="BS4" s="21"/>
      <c r="BT4" s="73" t="s">
        <v>113</v>
      </c>
      <c r="BU4" s="73"/>
      <c r="BV4" s="73"/>
      <c r="BW4" s="73"/>
      <c r="BX4" s="73"/>
      <c r="BY4" s="1"/>
      <c r="CA4" s="53"/>
      <c r="CC4" s="22" t="s">
        <v>67</v>
      </c>
      <c r="CD4" s="74" t="s">
        <v>83</v>
      </c>
      <c r="CE4" s="74"/>
      <c r="CF4" s="74"/>
      <c r="CG4" s="74"/>
      <c r="CH4" s="74"/>
      <c r="CI4" s="21"/>
      <c r="CJ4" s="73" t="s">
        <v>115</v>
      </c>
      <c r="CK4" s="73"/>
      <c r="CL4" s="73"/>
      <c r="CM4" s="73"/>
      <c r="CN4" s="73"/>
      <c r="CO4" s="1"/>
      <c r="CQ4" s="53"/>
      <c r="CS4" s="22" t="s">
        <v>67</v>
      </c>
      <c r="CT4" s="74" t="s">
        <v>83</v>
      </c>
      <c r="CU4" s="74"/>
      <c r="CV4" s="74"/>
      <c r="CW4" s="74"/>
      <c r="CX4" s="74"/>
      <c r="CY4" s="21"/>
      <c r="CZ4" s="73" t="s">
        <v>117</v>
      </c>
      <c r="DA4" s="73"/>
      <c r="DB4" s="73"/>
      <c r="DC4" s="73"/>
      <c r="DD4" s="73"/>
      <c r="DE4" s="1"/>
      <c r="DG4" s="53"/>
      <c r="DI4" s="22" t="s">
        <v>67</v>
      </c>
      <c r="DJ4" s="74" t="s">
        <v>83</v>
      </c>
      <c r="DK4" s="74"/>
      <c r="DL4" s="74"/>
      <c r="DM4" s="74"/>
      <c r="DN4" s="74"/>
      <c r="DO4" s="21"/>
      <c r="DP4" s="73" t="s">
        <v>118</v>
      </c>
      <c r="DQ4" s="73"/>
      <c r="DR4" s="73"/>
      <c r="DS4" s="73"/>
      <c r="DT4" s="73"/>
      <c r="DU4" s="1"/>
      <c r="DW4" s="53"/>
      <c r="DY4" s="22" t="s">
        <v>67</v>
      </c>
      <c r="DZ4" s="74" t="s">
        <v>83</v>
      </c>
      <c r="EA4" s="74"/>
      <c r="EB4" s="74"/>
      <c r="EC4" s="74"/>
      <c r="ED4" s="74"/>
      <c r="EE4" s="21"/>
      <c r="EF4" s="73" t="s">
        <v>119</v>
      </c>
      <c r="EG4" s="73"/>
      <c r="EH4" s="73"/>
      <c r="EI4" s="73"/>
      <c r="EJ4" s="73"/>
      <c r="EK4" s="1"/>
      <c r="EM4" s="53"/>
      <c r="EO4" s="22" t="s">
        <v>67</v>
      </c>
      <c r="EP4" s="74" t="s">
        <v>83</v>
      </c>
      <c r="EQ4" s="74"/>
      <c r="ER4" s="74"/>
      <c r="ES4" s="74"/>
      <c r="ET4" s="74"/>
      <c r="EU4" s="21"/>
      <c r="EV4" s="73" t="s">
        <v>120</v>
      </c>
      <c r="EW4" s="73"/>
      <c r="EX4" s="73"/>
      <c r="EY4" s="73"/>
      <c r="EZ4" s="73"/>
      <c r="FA4" s="1"/>
      <c r="FC4" s="53"/>
      <c r="FE4" s="22" t="s">
        <v>67</v>
      </c>
      <c r="FF4" s="74" t="s">
        <v>83</v>
      </c>
      <c r="FG4" s="74"/>
      <c r="FH4" s="74"/>
      <c r="FI4" s="74"/>
      <c r="FJ4" s="74"/>
      <c r="FK4" s="21"/>
      <c r="FL4" s="73" t="s">
        <v>121</v>
      </c>
      <c r="FM4" s="73"/>
      <c r="FN4" s="73"/>
      <c r="FO4" s="73"/>
      <c r="FP4" s="73"/>
      <c r="FQ4" s="1"/>
      <c r="FS4" s="53"/>
      <c r="FU4" s="22" t="s">
        <v>67</v>
      </c>
      <c r="FV4" s="74" t="s">
        <v>83</v>
      </c>
      <c r="FW4" s="74"/>
      <c r="FX4" s="74"/>
      <c r="FY4" s="74"/>
      <c r="FZ4" s="74"/>
      <c r="GA4" s="21"/>
      <c r="GB4" s="73" t="s">
        <v>122</v>
      </c>
      <c r="GC4" s="73"/>
      <c r="GD4" s="73"/>
      <c r="GE4" s="73"/>
      <c r="GF4" s="73"/>
      <c r="GG4" s="1"/>
      <c r="GI4" s="53"/>
      <c r="GK4" s="22" t="s">
        <v>67</v>
      </c>
      <c r="GL4" s="74" t="s">
        <v>83</v>
      </c>
      <c r="GM4" s="74"/>
      <c r="GN4" s="74"/>
      <c r="GO4" s="74"/>
      <c r="GP4" s="74"/>
      <c r="GQ4" s="21"/>
      <c r="GR4" s="73" t="s">
        <v>123</v>
      </c>
      <c r="GS4" s="73"/>
      <c r="GT4" s="73"/>
      <c r="GU4" s="73"/>
      <c r="GV4" s="73"/>
      <c r="GW4" s="1"/>
      <c r="GY4" s="53"/>
      <c r="HA4" s="22" t="s">
        <v>67</v>
      </c>
      <c r="HB4" s="74" t="s">
        <v>83</v>
      </c>
      <c r="HC4" s="74"/>
      <c r="HD4" s="74"/>
      <c r="HE4" s="74"/>
      <c r="HF4" s="74"/>
      <c r="HG4" s="21"/>
      <c r="HH4" s="73" t="s">
        <v>124</v>
      </c>
      <c r="HI4" s="73"/>
      <c r="HJ4" s="73"/>
      <c r="HK4" s="73"/>
      <c r="HL4" s="73"/>
      <c r="HM4" s="1"/>
      <c r="HO4" s="53"/>
      <c r="HQ4" s="22" t="s">
        <v>67</v>
      </c>
      <c r="HR4" s="74" t="s">
        <v>83</v>
      </c>
      <c r="HS4" s="74"/>
      <c r="HT4" s="74"/>
      <c r="HU4" s="74"/>
      <c r="HV4" s="74"/>
      <c r="HW4" s="21"/>
      <c r="HX4" s="73" t="s">
        <v>125</v>
      </c>
      <c r="HY4" s="73"/>
      <c r="HZ4" s="73"/>
      <c r="IA4" s="73"/>
      <c r="IB4" s="73"/>
      <c r="IC4" s="1"/>
      <c r="IE4" s="53"/>
      <c r="IG4" s="22" t="s">
        <v>67</v>
      </c>
      <c r="IH4" s="74" t="s">
        <v>83</v>
      </c>
      <c r="II4" s="74"/>
      <c r="IJ4" s="74"/>
      <c r="IK4" s="74"/>
      <c r="IL4" s="74"/>
      <c r="IM4" s="21"/>
      <c r="IN4" s="73" t="s">
        <v>126</v>
      </c>
      <c r="IO4" s="73"/>
      <c r="IP4" s="73"/>
      <c r="IQ4" s="73"/>
      <c r="IR4" s="73"/>
      <c r="IS4" s="1"/>
      <c r="IU4" s="53"/>
      <c r="IW4" s="22" t="s">
        <v>67</v>
      </c>
      <c r="IX4" s="74" t="s">
        <v>83</v>
      </c>
      <c r="IY4" s="74"/>
      <c r="IZ4" s="74"/>
      <c r="JA4" s="74"/>
      <c r="JB4" s="74"/>
      <c r="JC4" s="21"/>
      <c r="JD4" s="73" t="s">
        <v>129</v>
      </c>
      <c r="JE4" s="73"/>
      <c r="JF4" s="73"/>
      <c r="JG4" s="73"/>
      <c r="JH4" s="73"/>
      <c r="JI4" s="1"/>
      <c r="JK4" s="53"/>
      <c r="JM4" s="22" t="s">
        <v>67</v>
      </c>
      <c r="JN4" s="74" t="s">
        <v>83</v>
      </c>
      <c r="JO4" s="74"/>
      <c r="JP4" s="74"/>
      <c r="JQ4" s="74"/>
      <c r="JR4" s="74"/>
      <c r="JS4" s="21"/>
      <c r="JT4" s="73" t="s">
        <v>130</v>
      </c>
      <c r="JU4" s="73"/>
      <c r="JV4" s="73"/>
      <c r="JW4" s="73"/>
      <c r="JX4" s="73"/>
      <c r="JY4" s="1"/>
      <c r="KA4" s="53"/>
      <c r="KC4" s="22" t="s">
        <v>67</v>
      </c>
      <c r="KD4" s="74" t="s">
        <v>83</v>
      </c>
      <c r="KE4" s="74"/>
      <c r="KF4" s="74"/>
      <c r="KG4" s="74"/>
      <c r="KH4" s="74"/>
      <c r="KI4" s="21"/>
      <c r="KJ4" s="73" t="s">
        <v>131</v>
      </c>
      <c r="KK4" s="73"/>
      <c r="KL4" s="73"/>
      <c r="KM4" s="73"/>
      <c r="KN4" s="73"/>
      <c r="KO4" s="1"/>
      <c r="KQ4" s="53"/>
      <c r="KS4" s="22" t="s">
        <v>67</v>
      </c>
      <c r="KT4" s="74" t="s">
        <v>83</v>
      </c>
      <c r="KU4" s="74"/>
      <c r="KV4" s="74"/>
      <c r="KW4" s="74"/>
      <c r="KX4" s="74"/>
      <c r="KY4" s="21"/>
      <c r="KZ4" s="73" t="s">
        <v>137</v>
      </c>
      <c r="LA4" s="73"/>
      <c r="LB4" s="73"/>
      <c r="LC4" s="73"/>
      <c r="LD4" s="73"/>
      <c r="LE4" s="1"/>
      <c r="LG4" s="53"/>
      <c r="LI4" s="22" t="s">
        <v>67</v>
      </c>
      <c r="LJ4" s="74" t="s">
        <v>83</v>
      </c>
      <c r="LK4" s="74"/>
      <c r="LL4" s="74"/>
      <c r="LM4" s="74"/>
      <c r="LN4" s="74"/>
      <c r="LO4" s="21"/>
      <c r="LP4" s="73" t="s">
        <v>138</v>
      </c>
      <c r="LQ4" s="73"/>
      <c r="LR4" s="73"/>
      <c r="LS4" s="73"/>
      <c r="LT4" s="73"/>
      <c r="LU4" s="1"/>
      <c r="LW4" s="53"/>
      <c r="LY4" s="22" t="s">
        <v>67</v>
      </c>
      <c r="LZ4" s="74" t="s">
        <v>83</v>
      </c>
      <c r="MA4" s="74"/>
      <c r="MB4" s="74"/>
      <c r="MC4" s="74"/>
      <c r="MD4" s="74"/>
      <c r="ME4" s="21"/>
      <c r="MF4" s="73" t="s">
        <v>139</v>
      </c>
      <c r="MG4" s="73"/>
      <c r="MH4" s="73"/>
      <c r="MI4" s="73"/>
      <c r="MJ4" s="73"/>
      <c r="MK4" s="1"/>
      <c r="MM4" s="53"/>
    </row>
    <row r="5" spans="1:351" ht="30.6" customHeight="1" x14ac:dyDescent="0.3">
      <c r="A5" s="70" t="s">
        <v>87</v>
      </c>
      <c r="B5" s="71"/>
      <c r="C5" s="71"/>
      <c r="D5" s="71"/>
      <c r="E5" s="71"/>
      <c r="F5" s="72"/>
      <c r="G5" s="66" t="s">
        <v>7</v>
      </c>
      <c r="H5" s="67"/>
      <c r="I5" s="69"/>
      <c r="J5" s="66" t="str">
        <f>A1</f>
        <v>國謙營造有限公司</v>
      </c>
      <c r="K5" s="67"/>
      <c r="L5" s="68"/>
      <c r="M5" s="1"/>
      <c r="O5" s="53"/>
      <c r="Q5" s="70" t="s">
        <v>87</v>
      </c>
      <c r="R5" s="71"/>
      <c r="S5" s="71"/>
      <c r="T5" s="71"/>
      <c r="U5" s="71"/>
      <c r="V5" s="72"/>
      <c r="W5" s="66" t="s">
        <v>7</v>
      </c>
      <c r="X5" s="67"/>
      <c r="Y5" s="69"/>
      <c r="Z5" s="66" t="str">
        <f>Q1</f>
        <v>國謙營造有限公司</v>
      </c>
      <c r="AA5" s="67"/>
      <c r="AB5" s="68"/>
      <c r="AC5" s="1"/>
      <c r="AE5" s="53"/>
      <c r="AG5" s="70" t="s">
        <v>87</v>
      </c>
      <c r="AH5" s="71"/>
      <c r="AI5" s="71"/>
      <c r="AJ5" s="71"/>
      <c r="AK5" s="71"/>
      <c r="AL5" s="72"/>
      <c r="AM5" s="66" t="s">
        <v>7</v>
      </c>
      <c r="AN5" s="67"/>
      <c r="AO5" s="69"/>
      <c r="AP5" s="66" t="str">
        <f>AG1</f>
        <v>國謙營造有限公司</v>
      </c>
      <c r="AQ5" s="67"/>
      <c r="AR5" s="68"/>
      <c r="AS5" s="1"/>
      <c r="AU5" s="53"/>
      <c r="AW5" s="70" t="s">
        <v>87</v>
      </c>
      <c r="AX5" s="71"/>
      <c r="AY5" s="71"/>
      <c r="AZ5" s="71"/>
      <c r="BA5" s="71"/>
      <c r="BB5" s="72"/>
      <c r="BC5" s="66" t="s">
        <v>7</v>
      </c>
      <c r="BD5" s="67"/>
      <c r="BE5" s="69"/>
      <c r="BF5" s="66" t="str">
        <f>AW1</f>
        <v>國謙營造有限公司</v>
      </c>
      <c r="BG5" s="67"/>
      <c r="BH5" s="68"/>
      <c r="BI5" s="1"/>
      <c r="BK5" s="53"/>
      <c r="BM5" s="70" t="s">
        <v>87</v>
      </c>
      <c r="BN5" s="71"/>
      <c r="BO5" s="71"/>
      <c r="BP5" s="71"/>
      <c r="BQ5" s="71"/>
      <c r="BR5" s="72"/>
      <c r="BS5" s="66" t="s">
        <v>7</v>
      </c>
      <c r="BT5" s="67"/>
      <c r="BU5" s="69"/>
      <c r="BV5" s="66" t="str">
        <f>BM1</f>
        <v>國謙營造有限公司</v>
      </c>
      <c r="BW5" s="67"/>
      <c r="BX5" s="68"/>
      <c r="BY5" s="1"/>
      <c r="CA5" s="53"/>
      <c r="CC5" s="70" t="s">
        <v>87</v>
      </c>
      <c r="CD5" s="71"/>
      <c r="CE5" s="71"/>
      <c r="CF5" s="71"/>
      <c r="CG5" s="71"/>
      <c r="CH5" s="72"/>
      <c r="CI5" s="66" t="s">
        <v>7</v>
      </c>
      <c r="CJ5" s="67"/>
      <c r="CK5" s="69"/>
      <c r="CL5" s="66" t="str">
        <f>CC1</f>
        <v>國謙營造有限公司</v>
      </c>
      <c r="CM5" s="67"/>
      <c r="CN5" s="68"/>
      <c r="CO5" s="1"/>
      <c r="CQ5" s="53"/>
      <c r="CS5" s="70" t="s">
        <v>87</v>
      </c>
      <c r="CT5" s="71"/>
      <c r="CU5" s="71"/>
      <c r="CV5" s="71"/>
      <c r="CW5" s="71"/>
      <c r="CX5" s="72"/>
      <c r="CY5" s="66" t="s">
        <v>7</v>
      </c>
      <c r="CZ5" s="67"/>
      <c r="DA5" s="69"/>
      <c r="DB5" s="66" t="str">
        <f>CS1</f>
        <v>國謙營造有限公司</v>
      </c>
      <c r="DC5" s="67"/>
      <c r="DD5" s="68"/>
      <c r="DE5" s="1"/>
      <c r="DG5" s="53"/>
      <c r="DI5" s="70" t="s">
        <v>87</v>
      </c>
      <c r="DJ5" s="71"/>
      <c r="DK5" s="71"/>
      <c r="DL5" s="71"/>
      <c r="DM5" s="71"/>
      <c r="DN5" s="72"/>
      <c r="DO5" s="66" t="s">
        <v>7</v>
      </c>
      <c r="DP5" s="67"/>
      <c r="DQ5" s="69"/>
      <c r="DR5" s="66" t="str">
        <f>DI1</f>
        <v>國謙營造有限公司</v>
      </c>
      <c r="DS5" s="67"/>
      <c r="DT5" s="68"/>
      <c r="DU5" s="1"/>
      <c r="DW5" s="53"/>
      <c r="DY5" s="70" t="s">
        <v>87</v>
      </c>
      <c r="DZ5" s="71"/>
      <c r="EA5" s="71"/>
      <c r="EB5" s="71"/>
      <c r="EC5" s="71"/>
      <c r="ED5" s="72"/>
      <c r="EE5" s="66" t="s">
        <v>7</v>
      </c>
      <c r="EF5" s="67"/>
      <c r="EG5" s="69"/>
      <c r="EH5" s="66" t="str">
        <f>DY1</f>
        <v>國謙營造有限公司</v>
      </c>
      <c r="EI5" s="67"/>
      <c r="EJ5" s="68"/>
      <c r="EK5" s="1"/>
      <c r="EM5" s="53"/>
      <c r="EO5" s="70" t="s">
        <v>87</v>
      </c>
      <c r="EP5" s="71"/>
      <c r="EQ5" s="71"/>
      <c r="ER5" s="71"/>
      <c r="ES5" s="71"/>
      <c r="ET5" s="72"/>
      <c r="EU5" s="66" t="s">
        <v>7</v>
      </c>
      <c r="EV5" s="67"/>
      <c r="EW5" s="69"/>
      <c r="EX5" s="66" t="str">
        <f>EO1</f>
        <v>國謙營造有限公司</v>
      </c>
      <c r="EY5" s="67"/>
      <c r="EZ5" s="68"/>
      <c r="FA5" s="1"/>
      <c r="FC5" s="53"/>
      <c r="FE5" s="70" t="s">
        <v>87</v>
      </c>
      <c r="FF5" s="71"/>
      <c r="FG5" s="71"/>
      <c r="FH5" s="71"/>
      <c r="FI5" s="71"/>
      <c r="FJ5" s="72"/>
      <c r="FK5" s="66" t="s">
        <v>7</v>
      </c>
      <c r="FL5" s="67"/>
      <c r="FM5" s="69"/>
      <c r="FN5" s="66" t="str">
        <f>FE1</f>
        <v>國謙營造有限公司</v>
      </c>
      <c r="FO5" s="67"/>
      <c r="FP5" s="68"/>
      <c r="FQ5" s="1"/>
      <c r="FS5" s="53"/>
      <c r="FU5" s="70" t="s">
        <v>87</v>
      </c>
      <c r="FV5" s="71"/>
      <c r="FW5" s="71"/>
      <c r="FX5" s="71"/>
      <c r="FY5" s="71"/>
      <c r="FZ5" s="72"/>
      <c r="GA5" s="66" t="s">
        <v>7</v>
      </c>
      <c r="GB5" s="67"/>
      <c r="GC5" s="69"/>
      <c r="GD5" s="66" t="str">
        <f>FU1</f>
        <v>國謙營造有限公司</v>
      </c>
      <c r="GE5" s="67"/>
      <c r="GF5" s="68"/>
      <c r="GG5" s="1"/>
      <c r="GI5" s="53"/>
      <c r="GK5" s="70" t="s">
        <v>87</v>
      </c>
      <c r="GL5" s="71"/>
      <c r="GM5" s="71"/>
      <c r="GN5" s="71"/>
      <c r="GO5" s="71"/>
      <c r="GP5" s="72"/>
      <c r="GQ5" s="66" t="s">
        <v>7</v>
      </c>
      <c r="GR5" s="67"/>
      <c r="GS5" s="69"/>
      <c r="GT5" s="66" t="str">
        <f>GK1</f>
        <v>國謙營造有限公司</v>
      </c>
      <c r="GU5" s="67"/>
      <c r="GV5" s="68"/>
      <c r="GW5" s="1"/>
      <c r="GY5" s="53"/>
      <c r="HA5" s="70" t="s">
        <v>87</v>
      </c>
      <c r="HB5" s="71"/>
      <c r="HC5" s="71"/>
      <c r="HD5" s="71"/>
      <c r="HE5" s="71"/>
      <c r="HF5" s="72"/>
      <c r="HG5" s="66" t="s">
        <v>7</v>
      </c>
      <c r="HH5" s="67"/>
      <c r="HI5" s="69"/>
      <c r="HJ5" s="66" t="str">
        <f>HA1</f>
        <v>國謙營造有限公司</v>
      </c>
      <c r="HK5" s="67"/>
      <c r="HL5" s="68"/>
      <c r="HM5" s="1"/>
      <c r="HO5" s="53"/>
      <c r="HQ5" s="70" t="s">
        <v>87</v>
      </c>
      <c r="HR5" s="71"/>
      <c r="HS5" s="71"/>
      <c r="HT5" s="71"/>
      <c r="HU5" s="71"/>
      <c r="HV5" s="72"/>
      <c r="HW5" s="66" t="s">
        <v>7</v>
      </c>
      <c r="HX5" s="67"/>
      <c r="HY5" s="69"/>
      <c r="HZ5" s="66" t="str">
        <f>HQ1</f>
        <v>國謙營造有限公司</v>
      </c>
      <c r="IA5" s="67"/>
      <c r="IB5" s="68"/>
      <c r="IC5" s="1"/>
      <c r="IE5" s="53"/>
      <c r="IG5" s="70" t="s">
        <v>87</v>
      </c>
      <c r="IH5" s="71"/>
      <c r="II5" s="71"/>
      <c r="IJ5" s="71"/>
      <c r="IK5" s="71"/>
      <c r="IL5" s="72"/>
      <c r="IM5" s="66" t="s">
        <v>7</v>
      </c>
      <c r="IN5" s="67"/>
      <c r="IO5" s="69"/>
      <c r="IP5" s="66" t="str">
        <f>IG1</f>
        <v>國謙營造有限公司</v>
      </c>
      <c r="IQ5" s="67"/>
      <c r="IR5" s="68"/>
      <c r="IS5" s="1"/>
      <c r="IU5" s="53"/>
      <c r="IW5" s="70" t="s">
        <v>87</v>
      </c>
      <c r="IX5" s="71"/>
      <c r="IY5" s="71"/>
      <c r="IZ5" s="71"/>
      <c r="JA5" s="71"/>
      <c r="JB5" s="72"/>
      <c r="JC5" s="66" t="s">
        <v>7</v>
      </c>
      <c r="JD5" s="67"/>
      <c r="JE5" s="69"/>
      <c r="JF5" s="66" t="str">
        <f>IW1</f>
        <v>國謙營造有限公司</v>
      </c>
      <c r="JG5" s="67"/>
      <c r="JH5" s="68"/>
      <c r="JI5" s="1"/>
      <c r="JK5" s="53"/>
      <c r="JM5" s="70" t="s">
        <v>87</v>
      </c>
      <c r="JN5" s="71"/>
      <c r="JO5" s="71"/>
      <c r="JP5" s="71"/>
      <c r="JQ5" s="71"/>
      <c r="JR5" s="72"/>
      <c r="JS5" s="66" t="s">
        <v>7</v>
      </c>
      <c r="JT5" s="67"/>
      <c r="JU5" s="69"/>
      <c r="JV5" s="66" t="str">
        <f>JM1</f>
        <v>國謙營造有限公司</v>
      </c>
      <c r="JW5" s="67"/>
      <c r="JX5" s="68"/>
      <c r="JY5" s="1"/>
      <c r="KA5" s="53"/>
      <c r="KC5" s="70" t="s">
        <v>87</v>
      </c>
      <c r="KD5" s="71"/>
      <c r="KE5" s="71"/>
      <c r="KF5" s="71"/>
      <c r="KG5" s="71"/>
      <c r="KH5" s="72"/>
      <c r="KI5" s="66" t="s">
        <v>7</v>
      </c>
      <c r="KJ5" s="67"/>
      <c r="KK5" s="69"/>
      <c r="KL5" s="66" t="str">
        <f>KC1</f>
        <v>國謙營造有限公司</v>
      </c>
      <c r="KM5" s="67"/>
      <c r="KN5" s="68"/>
      <c r="KO5" s="1"/>
      <c r="KQ5" s="53"/>
      <c r="KS5" s="70" t="s">
        <v>87</v>
      </c>
      <c r="KT5" s="71"/>
      <c r="KU5" s="71"/>
      <c r="KV5" s="71"/>
      <c r="KW5" s="71"/>
      <c r="KX5" s="72"/>
      <c r="KY5" s="66" t="s">
        <v>7</v>
      </c>
      <c r="KZ5" s="67"/>
      <c r="LA5" s="69"/>
      <c r="LB5" s="66" t="str">
        <f>KS1</f>
        <v>國謙營造有限公司</v>
      </c>
      <c r="LC5" s="67"/>
      <c r="LD5" s="68"/>
      <c r="LE5" s="1"/>
      <c r="LG5" s="53"/>
      <c r="LI5" s="70" t="s">
        <v>87</v>
      </c>
      <c r="LJ5" s="71"/>
      <c r="LK5" s="71"/>
      <c r="LL5" s="71"/>
      <c r="LM5" s="71"/>
      <c r="LN5" s="72"/>
      <c r="LO5" s="66" t="s">
        <v>7</v>
      </c>
      <c r="LP5" s="67"/>
      <c r="LQ5" s="69"/>
      <c r="LR5" s="66" t="str">
        <f>LI1</f>
        <v>國謙營造有限公司</v>
      </c>
      <c r="LS5" s="67"/>
      <c r="LT5" s="68"/>
      <c r="LU5" s="1"/>
      <c r="LW5" s="53"/>
      <c r="LY5" s="70" t="s">
        <v>87</v>
      </c>
      <c r="LZ5" s="71"/>
      <c r="MA5" s="71"/>
      <c r="MB5" s="71"/>
      <c r="MC5" s="71"/>
      <c r="MD5" s="72"/>
      <c r="ME5" s="66" t="s">
        <v>7</v>
      </c>
      <c r="MF5" s="67"/>
      <c r="MG5" s="69"/>
      <c r="MH5" s="66" t="str">
        <f>LY1</f>
        <v>國謙營造有限公司</v>
      </c>
      <c r="MI5" s="67"/>
      <c r="MJ5" s="68"/>
      <c r="MK5" s="1"/>
      <c r="MM5" s="53"/>
    </row>
    <row r="6" spans="1:351" ht="20.100000000000001" customHeight="1" x14ac:dyDescent="0.3">
      <c r="A6" s="23" t="s">
        <v>8</v>
      </c>
      <c r="B6" s="8">
        <v>50</v>
      </c>
      <c r="C6" s="8" t="s">
        <v>69</v>
      </c>
      <c r="D6" s="9" t="s">
        <v>10</v>
      </c>
      <c r="E6" s="8">
        <v>1</v>
      </c>
      <c r="F6" s="8" t="s">
        <v>9</v>
      </c>
      <c r="G6" s="8" t="s">
        <v>11</v>
      </c>
      <c r="H6" s="8">
        <f>B6-E6</f>
        <v>49</v>
      </c>
      <c r="I6" s="8" t="s">
        <v>9</v>
      </c>
      <c r="J6" s="8" t="s">
        <v>12</v>
      </c>
      <c r="K6" s="8">
        <v>0</v>
      </c>
      <c r="L6" s="15" t="s">
        <v>9</v>
      </c>
      <c r="M6" s="1"/>
      <c r="O6" s="53"/>
      <c r="Q6" s="23" t="s">
        <v>8</v>
      </c>
      <c r="R6" s="8">
        <v>50</v>
      </c>
      <c r="S6" s="8" t="s">
        <v>69</v>
      </c>
      <c r="T6" s="9" t="s">
        <v>10</v>
      </c>
      <c r="U6" s="8">
        <f>AB3</f>
        <v>2</v>
      </c>
      <c r="V6" s="8" t="s">
        <v>9</v>
      </c>
      <c r="W6" s="8" t="s">
        <v>11</v>
      </c>
      <c r="X6" s="8">
        <f>R6-U6</f>
        <v>48</v>
      </c>
      <c r="Y6" s="8" t="s">
        <v>9</v>
      </c>
      <c r="Z6" s="8" t="s">
        <v>12</v>
      </c>
      <c r="AA6" s="8">
        <v>0</v>
      </c>
      <c r="AB6" s="15" t="s">
        <v>9</v>
      </c>
      <c r="AC6" s="1"/>
      <c r="AE6" s="53"/>
      <c r="AG6" s="23" t="s">
        <v>8</v>
      </c>
      <c r="AH6" s="8">
        <v>50</v>
      </c>
      <c r="AI6" s="8" t="s">
        <v>69</v>
      </c>
      <c r="AJ6" s="9" t="s">
        <v>10</v>
      </c>
      <c r="AK6" s="8">
        <f>AR3</f>
        <v>3</v>
      </c>
      <c r="AL6" s="8" t="s">
        <v>9</v>
      </c>
      <c r="AM6" s="8" t="s">
        <v>11</v>
      </c>
      <c r="AN6" s="8">
        <f>AH6-AK6</f>
        <v>47</v>
      </c>
      <c r="AO6" s="8" t="s">
        <v>9</v>
      </c>
      <c r="AP6" s="8" t="s">
        <v>12</v>
      </c>
      <c r="AQ6" s="8">
        <v>0</v>
      </c>
      <c r="AR6" s="15" t="s">
        <v>9</v>
      </c>
      <c r="AS6" s="1"/>
      <c r="AU6" s="53"/>
      <c r="AW6" s="23" t="s">
        <v>8</v>
      </c>
      <c r="AX6" s="8">
        <v>50</v>
      </c>
      <c r="AY6" s="8" t="s">
        <v>69</v>
      </c>
      <c r="AZ6" s="9" t="s">
        <v>10</v>
      </c>
      <c r="BA6" s="8">
        <f>BH3</f>
        <v>4</v>
      </c>
      <c r="BB6" s="8" t="s">
        <v>9</v>
      </c>
      <c r="BC6" s="8" t="s">
        <v>11</v>
      </c>
      <c r="BD6" s="8">
        <f>AX6-BA6</f>
        <v>46</v>
      </c>
      <c r="BE6" s="8" t="s">
        <v>9</v>
      </c>
      <c r="BF6" s="8" t="s">
        <v>12</v>
      </c>
      <c r="BG6" s="8">
        <v>0</v>
      </c>
      <c r="BH6" s="15" t="s">
        <v>9</v>
      </c>
      <c r="BI6" s="1"/>
      <c r="BK6" s="53"/>
      <c r="BM6" s="23" t="s">
        <v>8</v>
      </c>
      <c r="BN6" s="8">
        <v>50</v>
      </c>
      <c r="BO6" s="8" t="s">
        <v>69</v>
      </c>
      <c r="BP6" s="9" t="s">
        <v>10</v>
      </c>
      <c r="BQ6" s="8">
        <f>BX3</f>
        <v>5</v>
      </c>
      <c r="BR6" s="8" t="s">
        <v>9</v>
      </c>
      <c r="BS6" s="8" t="s">
        <v>11</v>
      </c>
      <c r="BT6" s="8">
        <f>BN6-BQ6</f>
        <v>45</v>
      </c>
      <c r="BU6" s="8" t="s">
        <v>9</v>
      </c>
      <c r="BV6" s="8" t="s">
        <v>12</v>
      </c>
      <c r="BW6" s="8">
        <v>0</v>
      </c>
      <c r="BX6" s="15" t="s">
        <v>9</v>
      </c>
      <c r="BY6" s="1"/>
      <c r="CA6" s="53"/>
      <c r="CC6" s="23" t="s">
        <v>8</v>
      </c>
      <c r="CD6" s="8">
        <v>50</v>
      </c>
      <c r="CE6" s="8" t="s">
        <v>69</v>
      </c>
      <c r="CF6" s="9" t="s">
        <v>10</v>
      </c>
      <c r="CG6" s="8">
        <f>CN3</f>
        <v>6</v>
      </c>
      <c r="CH6" s="8" t="s">
        <v>9</v>
      </c>
      <c r="CI6" s="8" t="s">
        <v>11</v>
      </c>
      <c r="CJ6" s="8">
        <f>CD6-CG6</f>
        <v>44</v>
      </c>
      <c r="CK6" s="8" t="s">
        <v>9</v>
      </c>
      <c r="CL6" s="8" t="s">
        <v>12</v>
      </c>
      <c r="CM6" s="8">
        <v>0</v>
      </c>
      <c r="CN6" s="15" t="s">
        <v>9</v>
      </c>
      <c r="CO6" s="1"/>
      <c r="CQ6" s="53"/>
      <c r="CS6" s="23" t="s">
        <v>8</v>
      </c>
      <c r="CT6" s="8">
        <v>50</v>
      </c>
      <c r="CU6" s="8" t="s">
        <v>69</v>
      </c>
      <c r="CV6" s="9" t="s">
        <v>10</v>
      </c>
      <c r="CW6" s="8">
        <f>DD3</f>
        <v>7</v>
      </c>
      <c r="CX6" s="8" t="s">
        <v>9</v>
      </c>
      <c r="CY6" s="8" t="s">
        <v>11</v>
      </c>
      <c r="CZ6" s="8">
        <f>CT6-CW6</f>
        <v>43</v>
      </c>
      <c r="DA6" s="8" t="s">
        <v>9</v>
      </c>
      <c r="DB6" s="8" t="s">
        <v>12</v>
      </c>
      <c r="DC6" s="8">
        <v>0</v>
      </c>
      <c r="DD6" s="15" t="s">
        <v>9</v>
      </c>
      <c r="DE6" s="1"/>
      <c r="DG6" s="53"/>
      <c r="DI6" s="23" t="s">
        <v>8</v>
      </c>
      <c r="DJ6" s="8">
        <v>50</v>
      </c>
      <c r="DK6" s="8" t="s">
        <v>69</v>
      </c>
      <c r="DL6" s="9" t="s">
        <v>10</v>
      </c>
      <c r="DM6" s="8">
        <f>DT3</f>
        <v>8</v>
      </c>
      <c r="DN6" s="8" t="s">
        <v>9</v>
      </c>
      <c r="DO6" s="8" t="s">
        <v>11</v>
      </c>
      <c r="DP6" s="8">
        <f>DJ6-DM6</f>
        <v>42</v>
      </c>
      <c r="DQ6" s="8" t="s">
        <v>9</v>
      </c>
      <c r="DR6" s="8" t="s">
        <v>12</v>
      </c>
      <c r="DS6" s="8">
        <v>0</v>
      </c>
      <c r="DT6" s="15" t="s">
        <v>9</v>
      </c>
      <c r="DU6" s="1"/>
      <c r="DW6" s="53"/>
      <c r="DY6" s="23" t="s">
        <v>8</v>
      </c>
      <c r="DZ6" s="8">
        <v>50</v>
      </c>
      <c r="EA6" s="8" t="s">
        <v>69</v>
      </c>
      <c r="EB6" s="9" t="s">
        <v>10</v>
      </c>
      <c r="EC6" s="8">
        <f>EJ3</f>
        <v>9</v>
      </c>
      <c r="ED6" s="8" t="s">
        <v>9</v>
      </c>
      <c r="EE6" s="8" t="s">
        <v>11</v>
      </c>
      <c r="EF6" s="8">
        <f>DZ6-EC6</f>
        <v>41</v>
      </c>
      <c r="EG6" s="8" t="s">
        <v>9</v>
      </c>
      <c r="EH6" s="8" t="s">
        <v>12</v>
      </c>
      <c r="EI6" s="8">
        <v>0</v>
      </c>
      <c r="EJ6" s="15" t="s">
        <v>9</v>
      </c>
      <c r="EK6" s="1"/>
      <c r="EM6" s="53"/>
      <c r="EO6" s="23" t="s">
        <v>8</v>
      </c>
      <c r="EP6" s="8">
        <v>50</v>
      </c>
      <c r="EQ6" s="8" t="s">
        <v>69</v>
      </c>
      <c r="ER6" s="9" t="s">
        <v>10</v>
      </c>
      <c r="ES6" s="8">
        <f>EZ3</f>
        <v>10</v>
      </c>
      <c r="ET6" s="8" t="s">
        <v>9</v>
      </c>
      <c r="EU6" s="8" t="s">
        <v>11</v>
      </c>
      <c r="EV6" s="8">
        <f>EP6-ES6</f>
        <v>40</v>
      </c>
      <c r="EW6" s="8" t="s">
        <v>9</v>
      </c>
      <c r="EX6" s="8" t="s">
        <v>12</v>
      </c>
      <c r="EY6" s="8">
        <v>0</v>
      </c>
      <c r="EZ6" s="15" t="s">
        <v>9</v>
      </c>
      <c r="FA6" s="1"/>
      <c r="FC6" s="53"/>
      <c r="FE6" s="23" t="s">
        <v>8</v>
      </c>
      <c r="FF6" s="8">
        <v>50</v>
      </c>
      <c r="FG6" s="8" t="s">
        <v>69</v>
      </c>
      <c r="FH6" s="9" t="s">
        <v>10</v>
      </c>
      <c r="FI6" s="8">
        <f>FP3</f>
        <v>11</v>
      </c>
      <c r="FJ6" s="8" t="s">
        <v>9</v>
      </c>
      <c r="FK6" s="8" t="s">
        <v>11</v>
      </c>
      <c r="FL6" s="8">
        <f>FF6-FI6</f>
        <v>39</v>
      </c>
      <c r="FM6" s="8" t="s">
        <v>9</v>
      </c>
      <c r="FN6" s="8" t="s">
        <v>12</v>
      </c>
      <c r="FO6" s="8">
        <v>0</v>
      </c>
      <c r="FP6" s="15" t="s">
        <v>9</v>
      </c>
      <c r="FQ6" s="1"/>
      <c r="FS6" s="53"/>
      <c r="FU6" s="23" t="s">
        <v>8</v>
      </c>
      <c r="FV6" s="8">
        <v>50</v>
      </c>
      <c r="FW6" s="8" t="s">
        <v>69</v>
      </c>
      <c r="FX6" s="9" t="s">
        <v>10</v>
      </c>
      <c r="FY6" s="8">
        <f>GF3</f>
        <v>12</v>
      </c>
      <c r="FZ6" s="8" t="s">
        <v>9</v>
      </c>
      <c r="GA6" s="8" t="s">
        <v>11</v>
      </c>
      <c r="GB6" s="8">
        <f>FV6-FY6</f>
        <v>38</v>
      </c>
      <c r="GC6" s="8" t="s">
        <v>9</v>
      </c>
      <c r="GD6" s="8" t="s">
        <v>12</v>
      </c>
      <c r="GE6" s="8">
        <v>0</v>
      </c>
      <c r="GF6" s="15" t="s">
        <v>9</v>
      </c>
      <c r="GG6" s="1"/>
      <c r="GI6" s="53"/>
      <c r="GK6" s="23" t="s">
        <v>8</v>
      </c>
      <c r="GL6" s="8">
        <v>50</v>
      </c>
      <c r="GM6" s="8" t="s">
        <v>69</v>
      </c>
      <c r="GN6" s="9" t="s">
        <v>10</v>
      </c>
      <c r="GO6" s="8">
        <f>GV3</f>
        <v>13</v>
      </c>
      <c r="GP6" s="8" t="s">
        <v>9</v>
      </c>
      <c r="GQ6" s="8" t="s">
        <v>11</v>
      </c>
      <c r="GR6" s="8">
        <f>GL6-GO6</f>
        <v>37</v>
      </c>
      <c r="GS6" s="8" t="s">
        <v>9</v>
      </c>
      <c r="GT6" s="8" t="s">
        <v>12</v>
      </c>
      <c r="GU6" s="8">
        <v>0</v>
      </c>
      <c r="GV6" s="15" t="s">
        <v>9</v>
      </c>
      <c r="GW6" s="1"/>
      <c r="GY6" s="53"/>
      <c r="HA6" s="23" t="s">
        <v>8</v>
      </c>
      <c r="HB6" s="8">
        <v>50</v>
      </c>
      <c r="HC6" s="8" t="s">
        <v>69</v>
      </c>
      <c r="HD6" s="9" t="s">
        <v>10</v>
      </c>
      <c r="HE6" s="8">
        <f>HL3</f>
        <v>14</v>
      </c>
      <c r="HF6" s="8" t="s">
        <v>9</v>
      </c>
      <c r="HG6" s="8" t="s">
        <v>11</v>
      </c>
      <c r="HH6" s="8">
        <f>HB6-HE6</f>
        <v>36</v>
      </c>
      <c r="HI6" s="8" t="s">
        <v>9</v>
      </c>
      <c r="HJ6" s="8" t="s">
        <v>12</v>
      </c>
      <c r="HK6" s="8">
        <v>0</v>
      </c>
      <c r="HL6" s="15" t="s">
        <v>9</v>
      </c>
      <c r="HM6" s="1"/>
      <c r="HO6" s="53"/>
      <c r="HQ6" s="23" t="s">
        <v>8</v>
      </c>
      <c r="HR6" s="8">
        <v>50</v>
      </c>
      <c r="HS6" s="8" t="s">
        <v>69</v>
      </c>
      <c r="HT6" s="9" t="s">
        <v>10</v>
      </c>
      <c r="HU6" s="8">
        <f>IB3</f>
        <v>15</v>
      </c>
      <c r="HV6" s="8" t="s">
        <v>9</v>
      </c>
      <c r="HW6" s="8" t="s">
        <v>11</v>
      </c>
      <c r="HX6" s="8">
        <f>HR6-HU6</f>
        <v>35</v>
      </c>
      <c r="HY6" s="8" t="s">
        <v>9</v>
      </c>
      <c r="HZ6" s="8" t="s">
        <v>12</v>
      </c>
      <c r="IA6" s="8">
        <v>0</v>
      </c>
      <c r="IB6" s="15" t="s">
        <v>9</v>
      </c>
      <c r="IC6" s="1"/>
      <c r="IE6" s="53"/>
      <c r="IG6" s="23" t="s">
        <v>8</v>
      </c>
      <c r="IH6" s="8">
        <v>50</v>
      </c>
      <c r="II6" s="8" t="s">
        <v>69</v>
      </c>
      <c r="IJ6" s="9" t="s">
        <v>10</v>
      </c>
      <c r="IK6" s="8">
        <f>IR3</f>
        <v>16</v>
      </c>
      <c r="IL6" s="8" t="s">
        <v>9</v>
      </c>
      <c r="IM6" s="8" t="s">
        <v>11</v>
      </c>
      <c r="IN6" s="8">
        <f>IH6-IK6</f>
        <v>34</v>
      </c>
      <c r="IO6" s="8" t="s">
        <v>9</v>
      </c>
      <c r="IP6" s="8" t="s">
        <v>12</v>
      </c>
      <c r="IQ6" s="8">
        <v>0</v>
      </c>
      <c r="IR6" s="15" t="s">
        <v>9</v>
      </c>
      <c r="IS6" s="1"/>
      <c r="IU6" s="53"/>
      <c r="IW6" s="23" t="s">
        <v>8</v>
      </c>
      <c r="IX6" s="8">
        <v>50</v>
      </c>
      <c r="IY6" s="8" t="s">
        <v>69</v>
      </c>
      <c r="IZ6" s="9" t="s">
        <v>10</v>
      </c>
      <c r="JA6" s="8">
        <f>JH3</f>
        <v>17</v>
      </c>
      <c r="JB6" s="8" t="s">
        <v>9</v>
      </c>
      <c r="JC6" s="8" t="s">
        <v>11</v>
      </c>
      <c r="JD6" s="8">
        <f>IX6-JA6</f>
        <v>33</v>
      </c>
      <c r="JE6" s="8" t="s">
        <v>9</v>
      </c>
      <c r="JF6" s="8" t="s">
        <v>12</v>
      </c>
      <c r="JG6" s="8">
        <v>0</v>
      </c>
      <c r="JH6" s="15" t="s">
        <v>9</v>
      </c>
      <c r="JI6" s="1"/>
      <c r="JK6" s="53"/>
      <c r="JM6" s="23" t="s">
        <v>8</v>
      </c>
      <c r="JN6" s="8">
        <v>50</v>
      </c>
      <c r="JO6" s="8" t="s">
        <v>69</v>
      </c>
      <c r="JP6" s="9" t="s">
        <v>10</v>
      </c>
      <c r="JQ6" s="8">
        <f>JX3</f>
        <v>18</v>
      </c>
      <c r="JR6" s="8" t="s">
        <v>9</v>
      </c>
      <c r="JS6" s="8" t="s">
        <v>11</v>
      </c>
      <c r="JT6" s="8">
        <f>JN6-JQ6</f>
        <v>32</v>
      </c>
      <c r="JU6" s="8" t="s">
        <v>9</v>
      </c>
      <c r="JV6" s="8" t="s">
        <v>12</v>
      </c>
      <c r="JW6" s="8">
        <v>0</v>
      </c>
      <c r="JX6" s="15" t="s">
        <v>9</v>
      </c>
      <c r="JY6" s="1"/>
      <c r="KA6" s="53"/>
      <c r="KC6" s="23" t="s">
        <v>8</v>
      </c>
      <c r="KD6" s="8">
        <v>50</v>
      </c>
      <c r="KE6" s="8" t="s">
        <v>69</v>
      </c>
      <c r="KF6" s="9" t="s">
        <v>10</v>
      </c>
      <c r="KG6" s="8">
        <f>KN3</f>
        <v>19</v>
      </c>
      <c r="KH6" s="8" t="s">
        <v>9</v>
      </c>
      <c r="KI6" s="8" t="s">
        <v>11</v>
      </c>
      <c r="KJ6" s="8">
        <f>KD6-KG6</f>
        <v>31</v>
      </c>
      <c r="KK6" s="8" t="s">
        <v>9</v>
      </c>
      <c r="KL6" s="8" t="s">
        <v>12</v>
      </c>
      <c r="KM6" s="8">
        <v>0</v>
      </c>
      <c r="KN6" s="15" t="s">
        <v>9</v>
      </c>
      <c r="KO6" s="1"/>
      <c r="KQ6" s="53"/>
      <c r="KS6" s="23" t="s">
        <v>8</v>
      </c>
      <c r="KT6" s="8">
        <v>50</v>
      </c>
      <c r="KU6" s="8" t="s">
        <v>69</v>
      </c>
      <c r="KV6" s="9" t="s">
        <v>10</v>
      </c>
      <c r="KW6" s="8">
        <f>LD3</f>
        <v>20</v>
      </c>
      <c r="KX6" s="8" t="s">
        <v>9</v>
      </c>
      <c r="KY6" s="8" t="s">
        <v>11</v>
      </c>
      <c r="KZ6" s="8">
        <f>KT6-KW6</f>
        <v>30</v>
      </c>
      <c r="LA6" s="8" t="s">
        <v>9</v>
      </c>
      <c r="LB6" s="8" t="s">
        <v>12</v>
      </c>
      <c r="LC6" s="8">
        <v>0</v>
      </c>
      <c r="LD6" s="15" t="s">
        <v>9</v>
      </c>
      <c r="LE6" s="1"/>
      <c r="LG6" s="53"/>
      <c r="LI6" s="23" t="s">
        <v>8</v>
      </c>
      <c r="LJ6" s="8">
        <v>50</v>
      </c>
      <c r="LK6" s="8" t="s">
        <v>69</v>
      </c>
      <c r="LL6" s="9" t="s">
        <v>10</v>
      </c>
      <c r="LM6" s="8">
        <f>LT3</f>
        <v>21</v>
      </c>
      <c r="LN6" s="8" t="s">
        <v>9</v>
      </c>
      <c r="LO6" s="8" t="s">
        <v>11</v>
      </c>
      <c r="LP6" s="8">
        <f>LJ6-LM6</f>
        <v>29</v>
      </c>
      <c r="LQ6" s="8" t="s">
        <v>9</v>
      </c>
      <c r="LR6" s="8" t="s">
        <v>12</v>
      </c>
      <c r="LS6" s="8">
        <v>0</v>
      </c>
      <c r="LT6" s="15" t="s">
        <v>9</v>
      </c>
      <c r="LU6" s="1"/>
      <c r="LW6" s="53"/>
      <c r="LY6" s="23" t="s">
        <v>8</v>
      </c>
      <c r="LZ6" s="8">
        <v>50</v>
      </c>
      <c r="MA6" s="8" t="s">
        <v>69</v>
      </c>
      <c r="MB6" s="9" t="s">
        <v>10</v>
      </c>
      <c r="MC6" s="8">
        <f>MJ3</f>
        <v>22</v>
      </c>
      <c r="MD6" s="8" t="s">
        <v>9</v>
      </c>
      <c r="ME6" s="8" t="s">
        <v>11</v>
      </c>
      <c r="MF6" s="8">
        <f>LZ6-MC6</f>
        <v>28</v>
      </c>
      <c r="MG6" s="8" t="s">
        <v>9</v>
      </c>
      <c r="MH6" s="8" t="s">
        <v>12</v>
      </c>
      <c r="MI6" s="8">
        <v>0</v>
      </c>
      <c r="MJ6" s="15" t="s">
        <v>9</v>
      </c>
      <c r="MK6" s="1"/>
      <c r="MM6" s="53"/>
    </row>
    <row r="7" spans="1:351" ht="20.100000000000001" customHeight="1" x14ac:dyDescent="0.3">
      <c r="A7" s="92" t="s">
        <v>13</v>
      </c>
      <c r="B7" s="84"/>
      <c r="C7" s="85"/>
      <c r="D7" s="77" t="s">
        <v>84</v>
      </c>
      <c r="E7" s="84"/>
      <c r="F7" s="85"/>
      <c r="G7" s="77" t="s">
        <v>70</v>
      </c>
      <c r="H7" s="84"/>
      <c r="I7" s="85"/>
      <c r="J7" s="77" t="s">
        <v>85</v>
      </c>
      <c r="K7" s="84"/>
      <c r="L7" s="78"/>
      <c r="M7" s="1"/>
      <c r="O7" s="53"/>
      <c r="Q7" s="92" t="s">
        <v>13</v>
      </c>
      <c r="R7" s="84"/>
      <c r="S7" s="85"/>
      <c r="T7" s="77" t="s">
        <v>84</v>
      </c>
      <c r="U7" s="84"/>
      <c r="V7" s="85"/>
      <c r="W7" s="77" t="s">
        <v>70</v>
      </c>
      <c r="X7" s="84"/>
      <c r="Y7" s="85"/>
      <c r="Z7" s="77" t="s">
        <v>85</v>
      </c>
      <c r="AA7" s="84"/>
      <c r="AB7" s="78"/>
      <c r="AC7" s="1"/>
      <c r="AE7" s="53"/>
      <c r="AG7" s="92" t="s">
        <v>13</v>
      </c>
      <c r="AH7" s="84"/>
      <c r="AI7" s="85"/>
      <c r="AJ7" s="77" t="s">
        <v>84</v>
      </c>
      <c r="AK7" s="84"/>
      <c r="AL7" s="85"/>
      <c r="AM7" s="77" t="s">
        <v>70</v>
      </c>
      <c r="AN7" s="84"/>
      <c r="AO7" s="85"/>
      <c r="AP7" s="77" t="s">
        <v>85</v>
      </c>
      <c r="AQ7" s="84"/>
      <c r="AR7" s="78"/>
      <c r="AS7" s="1"/>
      <c r="AU7" s="53"/>
      <c r="AW7" s="92" t="s">
        <v>13</v>
      </c>
      <c r="AX7" s="84"/>
      <c r="AY7" s="85"/>
      <c r="AZ7" s="77" t="s">
        <v>84</v>
      </c>
      <c r="BA7" s="84"/>
      <c r="BB7" s="85"/>
      <c r="BC7" s="77" t="s">
        <v>70</v>
      </c>
      <c r="BD7" s="84"/>
      <c r="BE7" s="85"/>
      <c r="BF7" s="77" t="s">
        <v>85</v>
      </c>
      <c r="BG7" s="84"/>
      <c r="BH7" s="78"/>
      <c r="BI7" s="1"/>
      <c r="BK7" s="53"/>
      <c r="BM7" s="92" t="s">
        <v>13</v>
      </c>
      <c r="BN7" s="84"/>
      <c r="BO7" s="85"/>
      <c r="BP7" s="77" t="s">
        <v>84</v>
      </c>
      <c r="BQ7" s="84"/>
      <c r="BR7" s="85"/>
      <c r="BS7" s="77" t="s">
        <v>70</v>
      </c>
      <c r="BT7" s="84"/>
      <c r="BU7" s="85"/>
      <c r="BV7" s="77" t="s">
        <v>85</v>
      </c>
      <c r="BW7" s="84"/>
      <c r="BX7" s="78"/>
      <c r="BY7" s="1"/>
      <c r="CA7" s="53"/>
      <c r="CC7" s="92" t="s">
        <v>13</v>
      </c>
      <c r="CD7" s="84"/>
      <c r="CE7" s="85"/>
      <c r="CF7" s="77" t="s">
        <v>84</v>
      </c>
      <c r="CG7" s="84"/>
      <c r="CH7" s="85"/>
      <c r="CI7" s="77" t="s">
        <v>70</v>
      </c>
      <c r="CJ7" s="84"/>
      <c r="CK7" s="85"/>
      <c r="CL7" s="77" t="s">
        <v>85</v>
      </c>
      <c r="CM7" s="84"/>
      <c r="CN7" s="78"/>
      <c r="CO7" s="1"/>
      <c r="CQ7" s="53"/>
      <c r="CS7" s="92" t="s">
        <v>13</v>
      </c>
      <c r="CT7" s="84"/>
      <c r="CU7" s="85"/>
      <c r="CV7" s="77" t="s">
        <v>84</v>
      </c>
      <c r="CW7" s="84"/>
      <c r="CX7" s="85"/>
      <c r="CY7" s="77" t="s">
        <v>70</v>
      </c>
      <c r="CZ7" s="84"/>
      <c r="DA7" s="85"/>
      <c r="DB7" s="77" t="s">
        <v>85</v>
      </c>
      <c r="DC7" s="84"/>
      <c r="DD7" s="78"/>
      <c r="DE7" s="1"/>
      <c r="DG7" s="53"/>
      <c r="DI7" s="92" t="s">
        <v>13</v>
      </c>
      <c r="DJ7" s="84"/>
      <c r="DK7" s="85"/>
      <c r="DL7" s="77" t="s">
        <v>84</v>
      </c>
      <c r="DM7" s="84"/>
      <c r="DN7" s="85"/>
      <c r="DO7" s="77" t="s">
        <v>70</v>
      </c>
      <c r="DP7" s="84"/>
      <c r="DQ7" s="85"/>
      <c r="DR7" s="77" t="s">
        <v>85</v>
      </c>
      <c r="DS7" s="84"/>
      <c r="DT7" s="78"/>
      <c r="DU7" s="1"/>
      <c r="DW7" s="53"/>
      <c r="DY7" s="92" t="s">
        <v>13</v>
      </c>
      <c r="DZ7" s="84"/>
      <c r="EA7" s="85"/>
      <c r="EB7" s="77" t="s">
        <v>84</v>
      </c>
      <c r="EC7" s="84"/>
      <c r="ED7" s="85"/>
      <c r="EE7" s="77" t="s">
        <v>70</v>
      </c>
      <c r="EF7" s="84"/>
      <c r="EG7" s="85"/>
      <c r="EH7" s="77" t="s">
        <v>85</v>
      </c>
      <c r="EI7" s="84"/>
      <c r="EJ7" s="78"/>
      <c r="EK7" s="1"/>
      <c r="EM7" s="53"/>
      <c r="EO7" s="92" t="s">
        <v>13</v>
      </c>
      <c r="EP7" s="84"/>
      <c r="EQ7" s="85"/>
      <c r="ER7" s="77" t="s">
        <v>84</v>
      </c>
      <c r="ES7" s="84"/>
      <c r="ET7" s="85"/>
      <c r="EU7" s="77" t="s">
        <v>70</v>
      </c>
      <c r="EV7" s="84"/>
      <c r="EW7" s="85"/>
      <c r="EX7" s="77" t="s">
        <v>85</v>
      </c>
      <c r="EY7" s="84"/>
      <c r="EZ7" s="78"/>
      <c r="FA7" s="1"/>
      <c r="FC7" s="53"/>
      <c r="FE7" s="92" t="s">
        <v>13</v>
      </c>
      <c r="FF7" s="84"/>
      <c r="FG7" s="85"/>
      <c r="FH7" s="77" t="s">
        <v>84</v>
      </c>
      <c r="FI7" s="84"/>
      <c r="FJ7" s="85"/>
      <c r="FK7" s="77" t="s">
        <v>70</v>
      </c>
      <c r="FL7" s="84"/>
      <c r="FM7" s="85"/>
      <c r="FN7" s="77" t="s">
        <v>85</v>
      </c>
      <c r="FO7" s="84"/>
      <c r="FP7" s="78"/>
      <c r="FQ7" s="1"/>
      <c r="FS7" s="53"/>
      <c r="FU7" s="92" t="s">
        <v>13</v>
      </c>
      <c r="FV7" s="84"/>
      <c r="FW7" s="85"/>
      <c r="FX7" s="77" t="s">
        <v>84</v>
      </c>
      <c r="FY7" s="84"/>
      <c r="FZ7" s="85"/>
      <c r="GA7" s="77" t="s">
        <v>70</v>
      </c>
      <c r="GB7" s="84"/>
      <c r="GC7" s="85"/>
      <c r="GD7" s="77" t="s">
        <v>85</v>
      </c>
      <c r="GE7" s="84"/>
      <c r="GF7" s="78"/>
      <c r="GG7" s="1"/>
      <c r="GI7" s="53"/>
      <c r="GK7" s="92" t="s">
        <v>13</v>
      </c>
      <c r="GL7" s="84"/>
      <c r="GM7" s="85"/>
      <c r="GN7" s="77" t="s">
        <v>84</v>
      </c>
      <c r="GO7" s="84"/>
      <c r="GP7" s="85"/>
      <c r="GQ7" s="77" t="s">
        <v>70</v>
      </c>
      <c r="GR7" s="84"/>
      <c r="GS7" s="85"/>
      <c r="GT7" s="77" t="s">
        <v>85</v>
      </c>
      <c r="GU7" s="84"/>
      <c r="GV7" s="78"/>
      <c r="GW7" s="1"/>
      <c r="GY7" s="53"/>
      <c r="HA7" s="92" t="s">
        <v>13</v>
      </c>
      <c r="HB7" s="84"/>
      <c r="HC7" s="85"/>
      <c r="HD7" s="77" t="s">
        <v>84</v>
      </c>
      <c r="HE7" s="84"/>
      <c r="HF7" s="85"/>
      <c r="HG7" s="77" t="s">
        <v>70</v>
      </c>
      <c r="HH7" s="84"/>
      <c r="HI7" s="85"/>
      <c r="HJ7" s="77" t="s">
        <v>85</v>
      </c>
      <c r="HK7" s="84"/>
      <c r="HL7" s="78"/>
      <c r="HM7" s="1"/>
      <c r="HO7" s="53"/>
      <c r="HQ7" s="92" t="s">
        <v>13</v>
      </c>
      <c r="HR7" s="84"/>
      <c r="HS7" s="85"/>
      <c r="HT7" s="77" t="s">
        <v>84</v>
      </c>
      <c r="HU7" s="84"/>
      <c r="HV7" s="85"/>
      <c r="HW7" s="77" t="s">
        <v>70</v>
      </c>
      <c r="HX7" s="84"/>
      <c r="HY7" s="85"/>
      <c r="HZ7" s="77" t="s">
        <v>85</v>
      </c>
      <c r="IA7" s="84"/>
      <c r="IB7" s="78"/>
      <c r="IC7" s="1"/>
      <c r="IE7" s="53"/>
      <c r="IG7" s="92" t="s">
        <v>13</v>
      </c>
      <c r="IH7" s="84"/>
      <c r="II7" s="85"/>
      <c r="IJ7" s="77" t="s">
        <v>84</v>
      </c>
      <c r="IK7" s="84"/>
      <c r="IL7" s="85"/>
      <c r="IM7" s="77" t="s">
        <v>70</v>
      </c>
      <c r="IN7" s="84"/>
      <c r="IO7" s="85"/>
      <c r="IP7" s="77" t="s">
        <v>85</v>
      </c>
      <c r="IQ7" s="84"/>
      <c r="IR7" s="78"/>
      <c r="IS7" s="1"/>
      <c r="IU7" s="53"/>
      <c r="IW7" s="92" t="s">
        <v>13</v>
      </c>
      <c r="IX7" s="84"/>
      <c r="IY7" s="85"/>
      <c r="IZ7" s="77" t="s">
        <v>84</v>
      </c>
      <c r="JA7" s="84"/>
      <c r="JB7" s="85"/>
      <c r="JC7" s="77" t="s">
        <v>70</v>
      </c>
      <c r="JD7" s="84"/>
      <c r="JE7" s="85"/>
      <c r="JF7" s="77" t="s">
        <v>85</v>
      </c>
      <c r="JG7" s="84"/>
      <c r="JH7" s="78"/>
      <c r="JI7" s="1"/>
      <c r="JK7" s="53"/>
      <c r="JM7" s="92" t="s">
        <v>13</v>
      </c>
      <c r="JN7" s="84"/>
      <c r="JO7" s="85"/>
      <c r="JP7" s="77" t="s">
        <v>84</v>
      </c>
      <c r="JQ7" s="84"/>
      <c r="JR7" s="85"/>
      <c r="JS7" s="77" t="s">
        <v>70</v>
      </c>
      <c r="JT7" s="84"/>
      <c r="JU7" s="85"/>
      <c r="JV7" s="77" t="s">
        <v>85</v>
      </c>
      <c r="JW7" s="84"/>
      <c r="JX7" s="78"/>
      <c r="JY7" s="1"/>
      <c r="KA7" s="53"/>
      <c r="KC7" s="92" t="s">
        <v>13</v>
      </c>
      <c r="KD7" s="84"/>
      <c r="KE7" s="85"/>
      <c r="KF7" s="77" t="s">
        <v>84</v>
      </c>
      <c r="KG7" s="84"/>
      <c r="KH7" s="85"/>
      <c r="KI7" s="77" t="s">
        <v>70</v>
      </c>
      <c r="KJ7" s="84"/>
      <c r="KK7" s="85"/>
      <c r="KL7" s="77" t="s">
        <v>85</v>
      </c>
      <c r="KM7" s="84"/>
      <c r="KN7" s="78"/>
      <c r="KO7" s="1"/>
      <c r="KQ7" s="53"/>
      <c r="KS7" s="92" t="s">
        <v>13</v>
      </c>
      <c r="KT7" s="84"/>
      <c r="KU7" s="85"/>
      <c r="KV7" s="77" t="s">
        <v>84</v>
      </c>
      <c r="KW7" s="84"/>
      <c r="KX7" s="85"/>
      <c r="KY7" s="77" t="s">
        <v>70</v>
      </c>
      <c r="KZ7" s="84"/>
      <c r="LA7" s="85"/>
      <c r="LB7" s="77" t="s">
        <v>85</v>
      </c>
      <c r="LC7" s="84"/>
      <c r="LD7" s="78"/>
      <c r="LE7" s="1"/>
      <c r="LG7" s="53"/>
      <c r="LI7" s="92" t="s">
        <v>13</v>
      </c>
      <c r="LJ7" s="84"/>
      <c r="LK7" s="85"/>
      <c r="LL7" s="77" t="s">
        <v>84</v>
      </c>
      <c r="LM7" s="84"/>
      <c r="LN7" s="85"/>
      <c r="LO7" s="77" t="s">
        <v>70</v>
      </c>
      <c r="LP7" s="84"/>
      <c r="LQ7" s="85"/>
      <c r="LR7" s="77" t="s">
        <v>85</v>
      </c>
      <c r="LS7" s="84"/>
      <c r="LT7" s="78"/>
      <c r="LU7" s="1"/>
      <c r="LW7" s="53"/>
      <c r="LY7" s="92" t="s">
        <v>13</v>
      </c>
      <c r="LZ7" s="84"/>
      <c r="MA7" s="85"/>
      <c r="MB7" s="77" t="s">
        <v>84</v>
      </c>
      <c r="MC7" s="84"/>
      <c r="MD7" s="85"/>
      <c r="ME7" s="77" t="s">
        <v>70</v>
      </c>
      <c r="MF7" s="84"/>
      <c r="MG7" s="85"/>
      <c r="MH7" s="77" t="s">
        <v>85</v>
      </c>
      <c r="MI7" s="84"/>
      <c r="MJ7" s="78"/>
      <c r="MK7" s="1"/>
      <c r="MM7" s="53"/>
    </row>
    <row r="8" spans="1:351" ht="20.100000000000001" customHeight="1" x14ac:dyDescent="0.3">
      <c r="A8" s="92" t="s">
        <v>14</v>
      </c>
      <c r="B8" s="84"/>
      <c r="C8" s="85"/>
      <c r="D8" s="99">
        <f>預定進度表!B3</f>
        <v>0.5</v>
      </c>
      <c r="E8" s="100"/>
      <c r="F8" s="101"/>
      <c r="G8" s="77" t="s">
        <v>15</v>
      </c>
      <c r="H8" s="84"/>
      <c r="I8" s="85"/>
      <c r="J8" s="96">
        <f>O94</f>
        <v>1.22671601484331E-3</v>
      </c>
      <c r="K8" s="97"/>
      <c r="L8" s="98"/>
      <c r="M8" s="1"/>
      <c r="O8" s="53"/>
      <c r="Q8" s="92" t="s">
        <v>14</v>
      </c>
      <c r="R8" s="84"/>
      <c r="S8" s="85"/>
      <c r="T8" s="99">
        <f>預定進度表!B3+D8</f>
        <v>1</v>
      </c>
      <c r="U8" s="100"/>
      <c r="V8" s="101"/>
      <c r="W8" s="77" t="s">
        <v>15</v>
      </c>
      <c r="X8" s="84"/>
      <c r="Y8" s="85"/>
      <c r="Z8" s="96">
        <f>AE94</f>
        <v>1.4999331662489556E-2</v>
      </c>
      <c r="AA8" s="97"/>
      <c r="AB8" s="98"/>
      <c r="AC8" s="1"/>
      <c r="AE8" s="53"/>
      <c r="AG8" s="92" t="s">
        <v>14</v>
      </c>
      <c r="AH8" s="84"/>
      <c r="AI8" s="85"/>
      <c r="AJ8" s="99">
        <f>預定進度表!B3+T8</f>
        <v>1.5</v>
      </c>
      <c r="AK8" s="100"/>
      <c r="AL8" s="101"/>
      <c r="AM8" s="77" t="s">
        <v>15</v>
      </c>
      <c r="AN8" s="84"/>
      <c r="AO8" s="85"/>
      <c r="AP8" s="96">
        <f>AU94</f>
        <v>4.1317846942938739E-2</v>
      </c>
      <c r="AQ8" s="97"/>
      <c r="AR8" s="98"/>
      <c r="AS8" s="1"/>
      <c r="AU8" s="53"/>
      <c r="AW8" s="92" t="s">
        <v>14</v>
      </c>
      <c r="AX8" s="84"/>
      <c r="AY8" s="85"/>
      <c r="AZ8" s="99">
        <f>預定進度表!B3+AJ8</f>
        <v>2</v>
      </c>
      <c r="BA8" s="100"/>
      <c r="BB8" s="101"/>
      <c r="BC8" s="77" t="s">
        <v>15</v>
      </c>
      <c r="BD8" s="84"/>
      <c r="BE8" s="85"/>
      <c r="BF8" s="96">
        <f>BK94</f>
        <v>6.7636362223387925E-2</v>
      </c>
      <c r="BG8" s="97"/>
      <c r="BH8" s="98"/>
      <c r="BI8" s="1"/>
      <c r="BK8" s="53"/>
      <c r="BM8" s="92" t="s">
        <v>14</v>
      </c>
      <c r="BN8" s="84"/>
      <c r="BO8" s="85"/>
      <c r="BP8" s="99">
        <f>預定進度表!B3+AZ8</f>
        <v>2.5</v>
      </c>
      <c r="BQ8" s="100"/>
      <c r="BR8" s="101"/>
      <c r="BS8" s="77" t="s">
        <v>15</v>
      </c>
      <c r="BT8" s="84"/>
      <c r="BU8" s="85"/>
      <c r="BV8" s="96">
        <f>CA94</f>
        <v>6.8863078238231235E-2</v>
      </c>
      <c r="BW8" s="97"/>
      <c r="BX8" s="98"/>
      <c r="BY8" s="1"/>
      <c r="CA8" s="53"/>
      <c r="CC8" s="92" t="s">
        <v>14</v>
      </c>
      <c r="CD8" s="84"/>
      <c r="CE8" s="85"/>
      <c r="CF8" s="99">
        <f>預定進度表!B3+BP8</f>
        <v>3</v>
      </c>
      <c r="CG8" s="100"/>
      <c r="CH8" s="101"/>
      <c r="CI8" s="77" t="s">
        <v>15</v>
      </c>
      <c r="CJ8" s="84"/>
      <c r="CK8" s="85"/>
      <c r="CL8" s="96">
        <f>CQ94</f>
        <v>7.0089794253074544E-2</v>
      </c>
      <c r="CM8" s="97"/>
      <c r="CN8" s="98"/>
      <c r="CO8" s="1"/>
      <c r="CQ8" s="53"/>
      <c r="CS8" s="92" t="s">
        <v>14</v>
      </c>
      <c r="CT8" s="84"/>
      <c r="CU8" s="85"/>
      <c r="CV8" s="99">
        <f>預定進度表!B3+CF8</f>
        <v>3.5</v>
      </c>
      <c r="CW8" s="100"/>
      <c r="CX8" s="101"/>
      <c r="CY8" s="77" t="s">
        <v>15</v>
      </c>
      <c r="CZ8" s="84"/>
      <c r="DA8" s="85"/>
      <c r="DB8" s="96">
        <f>DG94</f>
        <v>7.1316510267917854E-2</v>
      </c>
      <c r="DC8" s="97"/>
      <c r="DD8" s="98"/>
      <c r="DE8" s="1"/>
      <c r="DG8" s="53"/>
      <c r="DI8" s="92" t="s">
        <v>14</v>
      </c>
      <c r="DJ8" s="84"/>
      <c r="DK8" s="85"/>
      <c r="DL8" s="99">
        <f>預定進度表!B3+CV8</f>
        <v>4</v>
      </c>
      <c r="DM8" s="100"/>
      <c r="DN8" s="101"/>
      <c r="DO8" s="77" t="s">
        <v>15</v>
      </c>
      <c r="DP8" s="84"/>
      <c r="DQ8" s="85"/>
      <c r="DR8" s="96">
        <f>DW94</f>
        <v>7.2543226282761164E-2</v>
      </c>
      <c r="DS8" s="97"/>
      <c r="DT8" s="98"/>
      <c r="DU8" s="1"/>
      <c r="DW8" s="53"/>
      <c r="DY8" s="92" t="s">
        <v>14</v>
      </c>
      <c r="DZ8" s="84"/>
      <c r="EA8" s="85"/>
      <c r="EB8" s="99">
        <f>預定進度表!B3+DL8</f>
        <v>4.5</v>
      </c>
      <c r="EC8" s="100"/>
      <c r="ED8" s="101"/>
      <c r="EE8" s="77" t="s">
        <v>15</v>
      </c>
      <c r="EF8" s="84"/>
      <c r="EG8" s="85"/>
      <c r="EH8" s="96">
        <f>EM94</f>
        <v>7.3769942297604474E-2</v>
      </c>
      <c r="EI8" s="97"/>
      <c r="EJ8" s="98"/>
      <c r="EK8" s="1"/>
      <c r="EM8" s="53"/>
      <c r="EO8" s="92" t="s">
        <v>14</v>
      </c>
      <c r="EP8" s="84"/>
      <c r="EQ8" s="85"/>
      <c r="ER8" s="99">
        <f>預定進度表!B3+EB8</f>
        <v>5</v>
      </c>
      <c r="ES8" s="100"/>
      <c r="ET8" s="101"/>
      <c r="EU8" s="77" t="s">
        <v>15</v>
      </c>
      <c r="EV8" s="84"/>
      <c r="EW8" s="85"/>
      <c r="EX8" s="96">
        <f>FC94</f>
        <v>7.4996658312447784E-2</v>
      </c>
      <c r="EY8" s="97"/>
      <c r="EZ8" s="98"/>
      <c r="FA8" s="1"/>
      <c r="FC8" s="53"/>
      <c r="FE8" s="92" t="s">
        <v>14</v>
      </c>
      <c r="FF8" s="84"/>
      <c r="FG8" s="85"/>
      <c r="FH8" s="99">
        <f>預定進度表!C3+ER8</f>
        <v>6</v>
      </c>
      <c r="FI8" s="100"/>
      <c r="FJ8" s="101"/>
      <c r="FK8" s="77" t="s">
        <v>15</v>
      </c>
      <c r="FL8" s="84"/>
      <c r="FM8" s="85"/>
      <c r="FN8" s="96">
        <f>FS94</f>
        <v>7.6223374327291094E-2</v>
      </c>
      <c r="FO8" s="97"/>
      <c r="FP8" s="98"/>
      <c r="FQ8" s="1"/>
      <c r="FS8" s="53"/>
      <c r="FU8" s="92" t="s">
        <v>14</v>
      </c>
      <c r="FV8" s="84"/>
      <c r="FW8" s="85"/>
      <c r="FX8" s="99">
        <f>預定進度表!C3+FH8</f>
        <v>7</v>
      </c>
      <c r="FY8" s="100"/>
      <c r="FZ8" s="101"/>
      <c r="GA8" s="77" t="s">
        <v>15</v>
      </c>
      <c r="GB8" s="84"/>
      <c r="GC8" s="85"/>
      <c r="GD8" s="96">
        <f>GI94</f>
        <v>7.7450090342134403E-2</v>
      </c>
      <c r="GE8" s="97"/>
      <c r="GF8" s="98"/>
      <c r="GG8" s="1"/>
      <c r="GI8" s="53"/>
      <c r="GK8" s="92" t="s">
        <v>14</v>
      </c>
      <c r="GL8" s="84"/>
      <c r="GM8" s="85"/>
      <c r="GN8" s="99">
        <f>預定進度表!C3+FX8</f>
        <v>8</v>
      </c>
      <c r="GO8" s="100"/>
      <c r="GP8" s="101"/>
      <c r="GQ8" s="77" t="s">
        <v>15</v>
      </c>
      <c r="GR8" s="84"/>
      <c r="GS8" s="85"/>
      <c r="GT8" s="96">
        <f>GY94</f>
        <v>7.8676806356977713E-2</v>
      </c>
      <c r="GU8" s="97"/>
      <c r="GV8" s="98"/>
      <c r="GW8" s="1"/>
      <c r="GY8" s="53"/>
      <c r="HA8" s="92" t="s">
        <v>14</v>
      </c>
      <c r="HB8" s="84"/>
      <c r="HC8" s="85"/>
      <c r="HD8" s="99">
        <f>預定進度表!B3+GN8</f>
        <v>8.5</v>
      </c>
      <c r="HE8" s="100"/>
      <c r="HF8" s="101"/>
      <c r="HG8" s="77" t="s">
        <v>15</v>
      </c>
      <c r="HH8" s="84"/>
      <c r="HI8" s="85"/>
      <c r="HJ8" s="96">
        <f>HO94</f>
        <v>7.9903522371821023E-2</v>
      </c>
      <c r="HK8" s="97"/>
      <c r="HL8" s="98"/>
      <c r="HM8" s="1"/>
      <c r="HO8" s="53"/>
      <c r="HQ8" s="92" t="s">
        <v>14</v>
      </c>
      <c r="HR8" s="84"/>
      <c r="HS8" s="85"/>
      <c r="HT8" s="99">
        <f>預定進度表!C3+HD8</f>
        <v>9.5</v>
      </c>
      <c r="HU8" s="100"/>
      <c r="HV8" s="101"/>
      <c r="HW8" s="77" t="s">
        <v>15</v>
      </c>
      <c r="HX8" s="84"/>
      <c r="HY8" s="85"/>
      <c r="HZ8" s="96">
        <f>IE94</f>
        <v>0.10738482834994462</v>
      </c>
      <c r="IA8" s="97"/>
      <c r="IB8" s="98"/>
      <c r="IC8" s="1"/>
      <c r="IE8" s="53"/>
      <c r="IG8" s="92" t="s">
        <v>14</v>
      </c>
      <c r="IH8" s="84"/>
      <c r="II8" s="85"/>
      <c r="IJ8" s="99">
        <f>預定進度表!C3+HT8</f>
        <v>10.5</v>
      </c>
      <c r="IK8" s="100"/>
      <c r="IL8" s="101"/>
      <c r="IM8" s="77" t="s">
        <v>15</v>
      </c>
      <c r="IN8" s="84"/>
      <c r="IO8" s="85"/>
      <c r="IP8" s="96">
        <f>IU94</f>
        <v>0.13486613432806821</v>
      </c>
      <c r="IQ8" s="97"/>
      <c r="IR8" s="98"/>
      <c r="IS8" s="1"/>
      <c r="IU8" s="53"/>
      <c r="IW8" s="92" t="s">
        <v>14</v>
      </c>
      <c r="IX8" s="84"/>
      <c r="IY8" s="85"/>
      <c r="IZ8" s="99">
        <f>預定進度表!C3+IJ8</f>
        <v>11.5</v>
      </c>
      <c r="JA8" s="100"/>
      <c r="JB8" s="101"/>
      <c r="JC8" s="77" t="s">
        <v>15</v>
      </c>
      <c r="JD8" s="84"/>
      <c r="JE8" s="85"/>
      <c r="JF8" s="96">
        <f>JK94</f>
        <v>0.1623474403061918</v>
      </c>
      <c r="JG8" s="97"/>
      <c r="JH8" s="98"/>
      <c r="JI8" s="1"/>
      <c r="JK8" s="53"/>
      <c r="JM8" s="92" t="s">
        <v>14</v>
      </c>
      <c r="JN8" s="84"/>
      <c r="JO8" s="85"/>
      <c r="JP8" s="99">
        <f>預定進度表!C3+IZ8</f>
        <v>12.5</v>
      </c>
      <c r="JQ8" s="100"/>
      <c r="JR8" s="101"/>
      <c r="JS8" s="77" t="s">
        <v>15</v>
      </c>
      <c r="JT8" s="84"/>
      <c r="JU8" s="85"/>
      <c r="JV8" s="96">
        <f>KA94</f>
        <v>0.1898287462843154</v>
      </c>
      <c r="JW8" s="97"/>
      <c r="JX8" s="98"/>
      <c r="JY8" s="1"/>
      <c r="KA8" s="53"/>
      <c r="KC8" s="92" t="s">
        <v>14</v>
      </c>
      <c r="KD8" s="84"/>
      <c r="KE8" s="85"/>
      <c r="KF8" s="99">
        <f>預定進度表!C3+JP8</f>
        <v>13.5</v>
      </c>
      <c r="KG8" s="100"/>
      <c r="KH8" s="101"/>
      <c r="KI8" s="77" t="s">
        <v>15</v>
      </c>
      <c r="KJ8" s="84"/>
      <c r="KK8" s="85"/>
      <c r="KL8" s="96">
        <f>KQ94</f>
        <v>0.21731005226243899</v>
      </c>
      <c r="KM8" s="97"/>
      <c r="KN8" s="98"/>
      <c r="KO8" s="1"/>
      <c r="KQ8" s="53"/>
      <c r="KS8" s="92" t="s">
        <v>14</v>
      </c>
      <c r="KT8" s="84"/>
      <c r="KU8" s="85"/>
      <c r="KV8" s="99">
        <f>預定進度表!C3+KF8</f>
        <v>14.5</v>
      </c>
      <c r="KW8" s="100"/>
      <c r="KX8" s="101"/>
      <c r="KY8" s="77" t="s">
        <v>15</v>
      </c>
      <c r="KZ8" s="84"/>
      <c r="LA8" s="85"/>
      <c r="LB8" s="96">
        <f>LG94</f>
        <v>0.24479135824056258</v>
      </c>
      <c r="LC8" s="97"/>
      <c r="LD8" s="98"/>
      <c r="LE8" s="1"/>
      <c r="LG8" s="53"/>
      <c r="LI8" s="92" t="s">
        <v>14</v>
      </c>
      <c r="LJ8" s="84"/>
      <c r="LK8" s="85"/>
      <c r="LL8" s="99">
        <f>預定進度表!D3+KV8</f>
        <v>16.2</v>
      </c>
      <c r="LM8" s="100"/>
      <c r="LN8" s="101"/>
      <c r="LO8" s="77" t="s">
        <v>15</v>
      </c>
      <c r="LP8" s="84"/>
      <c r="LQ8" s="85"/>
      <c r="LR8" s="96">
        <f>LW94</f>
        <v>0.27227266421868618</v>
      </c>
      <c r="LS8" s="97"/>
      <c r="LT8" s="98"/>
      <c r="LU8" s="1"/>
      <c r="LW8" s="53"/>
      <c r="LY8" s="92" t="s">
        <v>14</v>
      </c>
      <c r="LZ8" s="84"/>
      <c r="MA8" s="85"/>
      <c r="MB8" s="99">
        <f>預定進度表!D3+LL8</f>
        <v>17.899999999999999</v>
      </c>
      <c r="MC8" s="100"/>
      <c r="MD8" s="101"/>
      <c r="ME8" s="77" t="s">
        <v>15</v>
      </c>
      <c r="MF8" s="84"/>
      <c r="MG8" s="85"/>
      <c r="MH8" s="96">
        <f>MM94</f>
        <v>0.29975397019680977</v>
      </c>
      <c r="MI8" s="97"/>
      <c r="MJ8" s="98"/>
      <c r="MK8" s="1"/>
      <c r="MM8" s="53"/>
    </row>
    <row r="9" spans="1:351" ht="20.100000000000001" customHeight="1" x14ac:dyDescent="0.3">
      <c r="A9" s="93" t="s">
        <v>16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5"/>
      <c r="M9" s="1"/>
      <c r="O9" s="53"/>
      <c r="Q9" s="93" t="s">
        <v>16</v>
      </c>
      <c r="R9" s="94"/>
      <c r="S9" s="94"/>
      <c r="T9" s="94"/>
      <c r="U9" s="94"/>
      <c r="V9" s="94"/>
      <c r="W9" s="94"/>
      <c r="X9" s="94"/>
      <c r="Y9" s="94"/>
      <c r="Z9" s="94"/>
      <c r="AA9" s="94"/>
      <c r="AB9" s="95"/>
      <c r="AC9" s="1"/>
      <c r="AE9" s="53"/>
      <c r="AG9" s="93" t="s">
        <v>16</v>
      </c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5"/>
      <c r="AS9" s="1"/>
      <c r="AU9" s="53"/>
      <c r="AW9" s="93" t="s">
        <v>16</v>
      </c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5"/>
      <c r="BI9" s="1"/>
      <c r="BK9" s="53"/>
      <c r="BM9" s="93" t="s">
        <v>16</v>
      </c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5"/>
      <c r="BY9" s="1"/>
      <c r="CA9" s="53"/>
      <c r="CC9" s="93" t="s">
        <v>16</v>
      </c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5"/>
      <c r="CO9" s="1"/>
      <c r="CQ9" s="53"/>
      <c r="CS9" s="93" t="s">
        <v>16</v>
      </c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5"/>
      <c r="DE9" s="1"/>
      <c r="DG9" s="53"/>
      <c r="DI9" s="93" t="s">
        <v>16</v>
      </c>
      <c r="DJ9" s="94"/>
      <c r="DK9" s="94"/>
      <c r="DL9" s="94"/>
      <c r="DM9" s="94"/>
      <c r="DN9" s="94"/>
      <c r="DO9" s="94"/>
      <c r="DP9" s="94"/>
      <c r="DQ9" s="94"/>
      <c r="DR9" s="94"/>
      <c r="DS9" s="94"/>
      <c r="DT9" s="95"/>
      <c r="DU9" s="1"/>
      <c r="DW9" s="53"/>
      <c r="DY9" s="93" t="s">
        <v>16</v>
      </c>
      <c r="DZ9" s="94"/>
      <c r="EA9" s="94"/>
      <c r="EB9" s="94"/>
      <c r="EC9" s="94"/>
      <c r="ED9" s="94"/>
      <c r="EE9" s="94"/>
      <c r="EF9" s="94"/>
      <c r="EG9" s="94"/>
      <c r="EH9" s="94"/>
      <c r="EI9" s="94"/>
      <c r="EJ9" s="95"/>
      <c r="EK9" s="1"/>
      <c r="EM9" s="53"/>
      <c r="EO9" s="93" t="s">
        <v>16</v>
      </c>
      <c r="EP9" s="94"/>
      <c r="EQ9" s="94"/>
      <c r="ER9" s="94"/>
      <c r="ES9" s="94"/>
      <c r="ET9" s="94"/>
      <c r="EU9" s="94"/>
      <c r="EV9" s="94"/>
      <c r="EW9" s="94"/>
      <c r="EX9" s="94"/>
      <c r="EY9" s="94"/>
      <c r="EZ9" s="95"/>
      <c r="FA9" s="1"/>
      <c r="FC9" s="53"/>
      <c r="FE9" s="93" t="s">
        <v>16</v>
      </c>
      <c r="FF9" s="94"/>
      <c r="FG9" s="94"/>
      <c r="FH9" s="94"/>
      <c r="FI9" s="94"/>
      <c r="FJ9" s="94"/>
      <c r="FK9" s="94"/>
      <c r="FL9" s="94"/>
      <c r="FM9" s="94"/>
      <c r="FN9" s="94"/>
      <c r="FO9" s="94"/>
      <c r="FP9" s="95"/>
      <c r="FQ9" s="1"/>
      <c r="FS9" s="53"/>
      <c r="FU9" s="93" t="s">
        <v>16</v>
      </c>
      <c r="FV9" s="94"/>
      <c r="FW9" s="94"/>
      <c r="FX9" s="94"/>
      <c r="FY9" s="94"/>
      <c r="FZ9" s="94"/>
      <c r="GA9" s="94"/>
      <c r="GB9" s="94"/>
      <c r="GC9" s="94"/>
      <c r="GD9" s="94"/>
      <c r="GE9" s="94"/>
      <c r="GF9" s="95"/>
      <c r="GG9" s="1"/>
      <c r="GI9" s="53"/>
      <c r="GK9" s="93" t="s">
        <v>16</v>
      </c>
      <c r="GL9" s="94"/>
      <c r="GM9" s="94"/>
      <c r="GN9" s="94"/>
      <c r="GO9" s="94"/>
      <c r="GP9" s="94"/>
      <c r="GQ9" s="94"/>
      <c r="GR9" s="94"/>
      <c r="GS9" s="94"/>
      <c r="GT9" s="94"/>
      <c r="GU9" s="94"/>
      <c r="GV9" s="95"/>
      <c r="GW9" s="1"/>
      <c r="GY9" s="53"/>
      <c r="HA9" s="93" t="s">
        <v>16</v>
      </c>
      <c r="HB9" s="94"/>
      <c r="HC9" s="94"/>
      <c r="HD9" s="94"/>
      <c r="HE9" s="94"/>
      <c r="HF9" s="94"/>
      <c r="HG9" s="94"/>
      <c r="HH9" s="94"/>
      <c r="HI9" s="94"/>
      <c r="HJ9" s="94"/>
      <c r="HK9" s="94"/>
      <c r="HL9" s="95"/>
      <c r="HM9" s="1"/>
      <c r="HO9" s="53"/>
      <c r="HQ9" s="93" t="s">
        <v>16</v>
      </c>
      <c r="HR9" s="94"/>
      <c r="HS9" s="94"/>
      <c r="HT9" s="94"/>
      <c r="HU9" s="94"/>
      <c r="HV9" s="94"/>
      <c r="HW9" s="94"/>
      <c r="HX9" s="94"/>
      <c r="HY9" s="94"/>
      <c r="HZ9" s="94"/>
      <c r="IA9" s="94"/>
      <c r="IB9" s="95"/>
      <c r="IC9" s="1"/>
      <c r="IE9" s="53"/>
      <c r="IG9" s="93" t="s">
        <v>16</v>
      </c>
      <c r="IH9" s="94"/>
      <c r="II9" s="94"/>
      <c r="IJ9" s="94"/>
      <c r="IK9" s="94"/>
      <c r="IL9" s="94"/>
      <c r="IM9" s="94"/>
      <c r="IN9" s="94"/>
      <c r="IO9" s="94"/>
      <c r="IP9" s="94"/>
      <c r="IQ9" s="94"/>
      <c r="IR9" s="95"/>
      <c r="IS9" s="1"/>
      <c r="IU9" s="53"/>
      <c r="IW9" s="93" t="s">
        <v>16</v>
      </c>
      <c r="IX9" s="94"/>
      <c r="IY9" s="94"/>
      <c r="IZ9" s="94"/>
      <c r="JA9" s="94"/>
      <c r="JB9" s="94"/>
      <c r="JC9" s="94"/>
      <c r="JD9" s="94"/>
      <c r="JE9" s="94"/>
      <c r="JF9" s="94"/>
      <c r="JG9" s="94"/>
      <c r="JH9" s="95"/>
      <c r="JI9" s="1"/>
      <c r="JK9" s="53"/>
      <c r="JM9" s="93" t="s">
        <v>16</v>
      </c>
      <c r="JN9" s="94"/>
      <c r="JO9" s="94"/>
      <c r="JP9" s="94"/>
      <c r="JQ9" s="94"/>
      <c r="JR9" s="94"/>
      <c r="JS9" s="94"/>
      <c r="JT9" s="94"/>
      <c r="JU9" s="94"/>
      <c r="JV9" s="94"/>
      <c r="JW9" s="94"/>
      <c r="JX9" s="95"/>
      <c r="JY9" s="1"/>
      <c r="KA9" s="53"/>
      <c r="KC9" s="93" t="s">
        <v>16</v>
      </c>
      <c r="KD9" s="94"/>
      <c r="KE9" s="94"/>
      <c r="KF9" s="94"/>
      <c r="KG9" s="94"/>
      <c r="KH9" s="94"/>
      <c r="KI9" s="94"/>
      <c r="KJ9" s="94"/>
      <c r="KK9" s="94"/>
      <c r="KL9" s="94"/>
      <c r="KM9" s="94"/>
      <c r="KN9" s="95"/>
      <c r="KO9" s="1"/>
      <c r="KQ9" s="53"/>
      <c r="KS9" s="93" t="s">
        <v>16</v>
      </c>
      <c r="KT9" s="94"/>
      <c r="KU9" s="94"/>
      <c r="KV9" s="94"/>
      <c r="KW9" s="94"/>
      <c r="KX9" s="94"/>
      <c r="KY9" s="94"/>
      <c r="KZ9" s="94"/>
      <c r="LA9" s="94"/>
      <c r="LB9" s="94"/>
      <c r="LC9" s="94"/>
      <c r="LD9" s="95"/>
      <c r="LE9" s="1"/>
      <c r="LG9" s="53"/>
      <c r="LI9" s="93" t="s">
        <v>16</v>
      </c>
      <c r="LJ9" s="94"/>
      <c r="LK9" s="94"/>
      <c r="LL9" s="94"/>
      <c r="LM9" s="94"/>
      <c r="LN9" s="94"/>
      <c r="LO9" s="94"/>
      <c r="LP9" s="94"/>
      <c r="LQ9" s="94"/>
      <c r="LR9" s="94"/>
      <c r="LS9" s="94"/>
      <c r="LT9" s="95"/>
      <c r="LU9" s="1"/>
      <c r="LW9" s="53"/>
      <c r="LY9" s="93" t="s">
        <v>16</v>
      </c>
      <c r="LZ9" s="94"/>
      <c r="MA9" s="94"/>
      <c r="MB9" s="94"/>
      <c r="MC9" s="94"/>
      <c r="MD9" s="94"/>
      <c r="ME9" s="94"/>
      <c r="MF9" s="94"/>
      <c r="MG9" s="94"/>
      <c r="MH9" s="94"/>
      <c r="MI9" s="94"/>
      <c r="MJ9" s="95"/>
      <c r="MK9" s="1"/>
      <c r="MM9" s="53"/>
    </row>
    <row r="10" spans="1:351" ht="20.100000000000001" customHeight="1" x14ac:dyDescent="0.3">
      <c r="A10" s="92" t="s">
        <v>17</v>
      </c>
      <c r="B10" s="84"/>
      <c r="C10" s="85"/>
      <c r="D10" s="8" t="s">
        <v>18</v>
      </c>
      <c r="E10" s="77" t="s">
        <v>19</v>
      </c>
      <c r="F10" s="85"/>
      <c r="G10" s="77" t="s">
        <v>20</v>
      </c>
      <c r="H10" s="84"/>
      <c r="I10" s="85"/>
      <c r="J10" s="8" t="s">
        <v>21</v>
      </c>
      <c r="K10" s="77" t="s">
        <v>22</v>
      </c>
      <c r="L10" s="78"/>
      <c r="M10" s="1"/>
      <c r="O10" s="53"/>
      <c r="Q10" s="92" t="s">
        <v>17</v>
      </c>
      <c r="R10" s="84"/>
      <c r="S10" s="85"/>
      <c r="T10" s="8" t="s">
        <v>18</v>
      </c>
      <c r="U10" s="77" t="s">
        <v>19</v>
      </c>
      <c r="V10" s="85"/>
      <c r="W10" s="77" t="s">
        <v>20</v>
      </c>
      <c r="X10" s="84"/>
      <c r="Y10" s="85"/>
      <c r="Z10" s="8" t="s">
        <v>21</v>
      </c>
      <c r="AA10" s="77" t="s">
        <v>6</v>
      </c>
      <c r="AB10" s="78"/>
      <c r="AC10" s="1"/>
      <c r="AE10" s="53"/>
      <c r="AG10" s="92" t="s">
        <v>17</v>
      </c>
      <c r="AH10" s="84"/>
      <c r="AI10" s="85"/>
      <c r="AJ10" s="8" t="s">
        <v>18</v>
      </c>
      <c r="AK10" s="77" t="s">
        <v>19</v>
      </c>
      <c r="AL10" s="85"/>
      <c r="AM10" s="77" t="s">
        <v>20</v>
      </c>
      <c r="AN10" s="84"/>
      <c r="AO10" s="85"/>
      <c r="AP10" s="8" t="s">
        <v>21</v>
      </c>
      <c r="AQ10" s="77" t="s">
        <v>6</v>
      </c>
      <c r="AR10" s="78"/>
      <c r="AS10" s="1"/>
      <c r="AU10" s="53"/>
      <c r="AW10" s="92" t="s">
        <v>17</v>
      </c>
      <c r="AX10" s="84"/>
      <c r="AY10" s="85"/>
      <c r="AZ10" s="8" t="s">
        <v>18</v>
      </c>
      <c r="BA10" s="77" t="s">
        <v>19</v>
      </c>
      <c r="BB10" s="85"/>
      <c r="BC10" s="77" t="s">
        <v>20</v>
      </c>
      <c r="BD10" s="84"/>
      <c r="BE10" s="85"/>
      <c r="BF10" s="8" t="s">
        <v>21</v>
      </c>
      <c r="BG10" s="77" t="s">
        <v>6</v>
      </c>
      <c r="BH10" s="78"/>
      <c r="BI10" s="1"/>
      <c r="BK10" s="53"/>
      <c r="BM10" s="92" t="s">
        <v>17</v>
      </c>
      <c r="BN10" s="84"/>
      <c r="BO10" s="85"/>
      <c r="BP10" s="8" t="s">
        <v>18</v>
      </c>
      <c r="BQ10" s="77" t="s">
        <v>19</v>
      </c>
      <c r="BR10" s="85"/>
      <c r="BS10" s="77" t="s">
        <v>20</v>
      </c>
      <c r="BT10" s="84"/>
      <c r="BU10" s="85"/>
      <c r="BV10" s="8" t="s">
        <v>21</v>
      </c>
      <c r="BW10" s="77" t="s">
        <v>6</v>
      </c>
      <c r="BX10" s="78"/>
      <c r="BY10" s="1"/>
      <c r="CA10" s="53"/>
      <c r="CC10" s="92" t="s">
        <v>17</v>
      </c>
      <c r="CD10" s="84"/>
      <c r="CE10" s="85"/>
      <c r="CF10" s="8" t="s">
        <v>18</v>
      </c>
      <c r="CG10" s="77" t="s">
        <v>19</v>
      </c>
      <c r="CH10" s="85"/>
      <c r="CI10" s="77" t="s">
        <v>20</v>
      </c>
      <c r="CJ10" s="84"/>
      <c r="CK10" s="85"/>
      <c r="CL10" s="8" t="s">
        <v>21</v>
      </c>
      <c r="CM10" s="77" t="s">
        <v>6</v>
      </c>
      <c r="CN10" s="78"/>
      <c r="CO10" s="1"/>
      <c r="CQ10" s="53"/>
      <c r="CS10" s="92" t="s">
        <v>17</v>
      </c>
      <c r="CT10" s="84"/>
      <c r="CU10" s="85"/>
      <c r="CV10" s="8" t="s">
        <v>18</v>
      </c>
      <c r="CW10" s="77" t="s">
        <v>19</v>
      </c>
      <c r="CX10" s="85"/>
      <c r="CY10" s="77" t="s">
        <v>20</v>
      </c>
      <c r="CZ10" s="84"/>
      <c r="DA10" s="85"/>
      <c r="DB10" s="8" t="s">
        <v>21</v>
      </c>
      <c r="DC10" s="77" t="s">
        <v>6</v>
      </c>
      <c r="DD10" s="78"/>
      <c r="DE10" s="1"/>
      <c r="DG10" s="53"/>
      <c r="DI10" s="92" t="s">
        <v>17</v>
      </c>
      <c r="DJ10" s="84"/>
      <c r="DK10" s="85"/>
      <c r="DL10" s="8" t="s">
        <v>18</v>
      </c>
      <c r="DM10" s="77" t="s">
        <v>19</v>
      </c>
      <c r="DN10" s="85"/>
      <c r="DO10" s="77" t="s">
        <v>20</v>
      </c>
      <c r="DP10" s="84"/>
      <c r="DQ10" s="85"/>
      <c r="DR10" s="8" t="s">
        <v>21</v>
      </c>
      <c r="DS10" s="77" t="s">
        <v>6</v>
      </c>
      <c r="DT10" s="78"/>
      <c r="DU10" s="1"/>
      <c r="DW10" s="53"/>
      <c r="DY10" s="92" t="s">
        <v>17</v>
      </c>
      <c r="DZ10" s="84"/>
      <c r="EA10" s="85"/>
      <c r="EB10" s="8" t="s">
        <v>18</v>
      </c>
      <c r="EC10" s="77" t="s">
        <v>19</v>
      </c>
      <c r="ED10" s="85"/>
      <c r="EE10" s="77" t="s">
        <v>20</v>
      </c>
      <c r="EF10" s="84"/>
      <c r="EG10" s="85"/>
      <c r="EH10" s="8" t="s">
        <v>21</v>
      </c>
      <c r="EI10" s="77" t="s">
        <v>6</v>
      </c>
      <c r="EJ10" s="78"/>
      <c r="EK10" s="1"/>
      <c r="EM10" s="53"/>
      <c r="EO10" s="92" t="s">
        <v>17</v>
      </c>
      <c r="EP10" s="84"/>
      <c r="EQ10" s="85"/>
      <c r="ER10" s="8" t="s">
        <v>18</v>
      </c>
      <c r="ES10" s="77" t="s">
        <v>19</v>
      </c>
      <c r="ET10" s="85"/>
      <c r="EU10" s="77" t="s">
        <v>20</v>
      </c>
      <c r="EV10" s="84"/>
      <c r="EW10" s="85"/>
      <c r="EX10" s="8" t="s">
        <v>21</v>
      </c>
      <c r="EY10" s="77" t="s">
        <v>6</v>
      </c>
      <c r="EZ10" s="78"/>
      <c r="FA10" s="1"/>
      <c r="FC10" s="53"/>
      <c r="FE10" s="92" t="s">
        <v>17</v>
      </c>
      <c r="FF10" s="84"/>
      <c r="FG10" s="85"/>
      <c r="FH10" s="8" t="s">
        <v>18</v>
      </c>
      <c r="FI10" s="77" t="s">
        <v>19</v>
      </c>
      <c r="FJ10" s="85"/>
      <c r="FK10" s="77" t="s">
        <v>20</v>
      </c>
      <c r="FL10" s="84"/>
      <c r="FM10" s="85"/>
      <c r="FN10" s="8" t="s">
        <v>21</v>
      </c>
      <c r="FO10" s="77" t="s">
        <v>6</v>
      </c>
      <c r="FP10" s="78"/>
      <c r="FQ10" s="1"/>
      <c r="FS10" s="53"/>
      <c r="FU10" s="92" t="s">
        <v>17</v>
      </c>
      <c r="FV10" s="84"/>
      <c r="FW10" s="85"/>
      <c r="FX10" s="8" t="s">
        <v>18</v>
      </c>
      <c r="FY10" s="77" t="s">
        <v>19</v>
      </c>
      <c r="FZ10" s="85"/>
      <c r="GA10" s="77" t="s">
        <v>20</v>
      </c>
      <c r="GB10" s="84"/>
      <c r="GC10" s="85"/>
      <c r="GD10" s="8" t="s">
        <v>21</v>
      </c>
      <c r="GE10" s="77" t="s">
        <v>6</v>
      </c>
      <c r="GF10" s="78"/>
      <c r="GG10" s="1"/>
      <c r="GI10" s="53"/>
      <c r="GK10" s="92" t="s">
        <v>17</v>
      </c>
      <c r="GL10" s="84"/>
      <c r="GM10" s="85"/>
      <c r="GN10" s="8" t="s">
        <v>18</v>
      </c>
      <c r="GO10" s="77" t="s">
        <v>19</v>
      </c>
      <c r="GP10" s="85"/>
      <c r="GQ10" s="77" t="s">
        <v>20</v>
      </c>
      <c r="GR10" s="84"/>
      <c r="GS10" s="85"/>
      <c r="GT10" s="8" t="s">
        <v>21</v>
      </c>
      <c r="GU10" s="77" t="s">
        <v>6</v>
      </c>
      <c r="GV10" s="78"/>
      <c r="GW10" s="1"/>
      <c r="GY10" s="53"/>
      <c r="HA10" s="92" t="s">
        <v>17</v>
      </c>
      <c r="HB10" s="84"/>
      <c r="HC10" s="85"/>
      <c r="HD10" s="8" t="s">
        <v>18</v>
      </c>
      <c r="HE10" s="77" t="s">
        <v>19</v>
      </c>
      <c r="HF10" s="85"/>
      <c r="HG10" s="77" t="s">
        <v>20</v>
      </c>
      <c r="HH10" s="84"/>
      <c r="HI10" s="85"/>
      <c r="HJ10" s="8" t="s">
        <v>21</v>
      </c>
      <c r="HK10" s="77" t="s">
        <v>6</v>
      </c>
      <c r="HL10" s="78"/>
      <c r="HM10" s="1"/>
      <c r="HO10" s="53"/>
      <c r="HQ10" s="92" t="s">
        <v>17</v>
      </c>
      <c r="HR10" s="84"/>
      <c r="HS10" s="85"/>
      <c r="HT10" s="8" t="s">
        <v>18</v>
      </c>
      <c r="HU10" s="77" t="s">
        <v>19</v>
      </c>
      <c r="HV10" s="85"/>
      <c r="HW10" s="77" t="s">
        <v>20</v>
      </c>
      <c r="HX10" s="84"/>
      <c r="HY10" s="85"/>
      <c r="HZ10" s="8" t="s">
        <v>21</v>
      </c>
      <c r="IA10" s="77" t="s">
        <v>6</v>
      </c>
      <c r="IB10" s="78"/>
      <c r="IC10" s="1"/>
      <c r="IE10" s="53"/>
      <c r="IG10" s="92" t="s">
        <v>17</v>
      </c>
      <c r="IH10" s="84"/>
      <c r="II10" s="85"/>
      <c r="IJ10" s="8" t="s">
        <v>18</v>
      </c>
      <c r="IK10" s="77" t="s">
        <v>19</v>
      </c>
      <c r="IL10" s="85"/>
      <c r="IM10" s="77" t="s">
        <v>20</v>
      </c>
      <c r="IN10" s="84"/>
      <c r="IO10" s="85"/>
      <c r="IP10" s="8" t="s">
        <v>21</v>
      </c>
      <c r="IQ10" s="77" t="s">
        <v>6</v>
      </c>
      <c r="IR10" s="78"/>
      <c r="IS10" s="1"/>
      <c r="IU10" s="53"/>
      <c r="IW10" s="92" t="s">
        <v>17</v>
      </c>
      <c r="IX10" s="84"/>
      <c r="IY10" s="85"/>
      <c r="IZ10" s="8" t="s">
        <v>18</v>
      </c>
      <c r="JA10" s="77" t="s">
        <v>19</v>
      </c>
      <c r="JB10" s="85"/>
      <c r="JC10" s="77" t="s">
        <v>20</v>
      </c>
      <c r="JD10" s="84"/>
      <c r="JE10" s="85"/>
      <c r="JF10" s="8" t="s">
        <v>21</v>
      </c>
      <c r="JG10" s="77" t="s">
        <v>6</v>
      </c>
      <c r="JH10" s="78"/>
      <c r="JI10" s="1"/>
      <c r="JK10" s="53"/>
      <c r="JM10" s="92" t="s">
        <v>17</v>
      </c>
      <c r="JN10" s="84"/>
      <c r="JO10" s="85"/>
      <c r="JP10" s="8" t="s">
        <v>18</v>
      </c>
      <c r="JQ10" s="77" t="s">
        <v>19</v>
      </c>
      <c r="JR10" s="85"/>
      <c r="JS10" s="77" t="s">
        <v>20</v>
      </c>
      <c r="JT10" s="84"/>
      <c r="JU10" s="85"/>
      <c r="JV10" s="8" t="s">
        <v>21</v>
      </c>
      <c r="JW10" s="77" t="s">
        <v>6</v>
      </c>
      <c r="JX10" s="78"/>
      <c r="JY10" s="1"/>
      <c r="KA10" s="53"/>
      <c r="KC10" s="92" t="s">
        <v>17</v>
      </c>
      <c r="KD10" s="84"/>
      <c r="KE10" s="85"/>
      <c r="KF10" s="8" t="s">
        <v>18</v>
      </c>
      <c r="KG10" s="77" t="s">
        <v>19</v>
      </c>
      <c r="KH10" s="85"/>
      <c r="KI10" s="77" t="s">
        <v>20</v>
      </c>
      <c r="KJ10" s="84"/>
      <c r="KK10" s="85"/>
      <c r="KL10" s="8" t="s">
        <v>21</v>
      </c>
      <c r="KM10" s="77" t="s">
        <v>6</v>
      </c>
      <c r="KN10" s="78"/>
      <c r="KO10" s="1"/>
      <c r="KQ10" s="53"/>
      <c r="KS10" s="92" t="s">
        <v>17</v>
      </c>
      <c r="KT10" s="84"/>
      <c r="KU10" s="85"/>
      <c r="KV10" s="8" t="s">
        <v>18</v>
      </c>
      <c r="KW10" s="77" t="s">
        <v>19</v>
      </c>
      <c r="KX10" s="85"/>
      <c r="KY10" s="77" t="s">
        <v>20</v>
      </c>
      <c r="KZ10" s="84"/>
      <c r="LA10" s="85"/>
      <c r="LB10" s="8" t="s">
        <v>21</v>
      </c>
      <c r="LC10" s="77" t="s">
        <v>6</v>
      </c>
      <c r="LD10" s="78"/>
      <c r="LE10" s="1"/>
      <c r="LG10" s="53"/>
      <c r="LI10" s="92" t="s">
        <v>17</v>
      </c>
      <c r="LJ10" s="84"/>
      <c r="LK10" s="85"/>
      <c r="LL10" s="8" t="s">
        <v>18</v>
      </c>
      <c r="LM10" s="77" t="s">
        <v>19</v>
      </c>
      <c r="LN10" s="85"/>
      <c r="LO10" s="77" t="s">
        <v>20</v>
      </c>
      <c r="LP10" s="84"/>
      <c r="LQ10" s="85"/>
      <c r="LR10" s="8" t="s">
        <v>21</v>
      </c>
      <c r="LS10" s="77" t="s">
        <v>6</v>
      </c>
      <c r="LT10" s="78"/>
      <c r="LU10" s="1"/>
      <c r="LW10" s="53"/>
      <c r="LY10" s="92" t="s">
        <v>17</v>
      </c>
      <c r="LZ10" s="84"/>
      <c r="MA10" s="85"/>
      <c r="MB10" s="8" t="s">
        <v>18</v>
      </c>
      <c r="MC10" s="77" t="s">
        <v>19</v>
      </c>
      <c r="MD10" s="85"/>
      <c r="ME10" s="77" t="s">
        <v>20</v>
      </c>
      <c r="MF10" s="84"/>
      <c r="MG10" s="85"/>
      <c r="MH10" s="8" t="s">
        <v>21</v>
      </c>
      <c r="MI10" s="77" t="s">
        <v>6</v>
      </c>
      <c r="MJ10" s="78"/>
      <c r="MK10" s="1"/>
      <c r="MM10" s="53"/>
    </row>
    <row r="11" spans="1:351" ht="20.100000000000001" customHeight="1" x14ac:dyDescent="0.3">
      <c r="A11" s="92" t="s">
        <v>86</v>
      </c>
      <c r="B11" s="84"/>
      <c r="C11" s="85"/>
      <c r="D11" s="9"/>
      <c r="E11" s="77"/>
      <c r="F11" s="85"/>
      <c r="G11" s="77"/>
      <c r="H11" s="84"/>
      <c r="I11" s="85"/>
      <c r="J11" s="8"/>
      <c r="K11" s="77"/>
      <c r="L11" s="78"/>
      <c r="M11" s="1"/>
      <c r="O11" s="53"/>
      <c r="Q11" s="92" t="s">
        <v>108</v>
      </c>
      <c r="R11" s="84"/>
      <c r="S11" s="85"/>
      <c r="T11" s="43" t="s">
        <v>91</v>
      </c>
      <c r="U11" s="79">
        <v>30</v>
      </c>
      <c r="V11" s="80"/>
      <c r="W11" s="81">
        <f>Y65</f>
        <v>5</v>
      </c>
      <c r="X11" s="84"/>
      <c r="Y11" s="85"/>
      <c r="Z11" s="58">
        <f>AA65</f>
        <v>5</v>
      </c>
      <c r="AA11" s="77"/>
      <c r="AB11" s="78"/>
      <c r="AC11" s="1"/>
      <c r="AE11" s="53"/>
      <c r="AG11" s="92" t="s">
        <v>108</v>
      </c>
      <c r="AH11" s="84"/>
      <c r="AI11" s="85"/>
      <c r="AJ11" s="43" t="s">
        <v>91</v>
      </c>
      <c r="AK11" s="79">
        <v>30</v>
      </c>
      <c r="AL11" s="80"/>
      <c r="AM11" s="81">
        <f>AO65</f>
        <v>10</v>
      </c>
      <c r="AN11" s="84"/>
      <c r="AO11" s="85"/>
      <c r="AP11" s="58">
        <f>AQ65</f>
        <v>15</v>
      </c>
      <c r="AQ11" s="77"/>
      <c r="AR11" s="78"/>
      <c r="AS11" s="1"/>
      <c r="AU11" s="53"/>
      <c r="AW11" s="92" t="s">
        <v>108</v>
      </c>
      <c r="AX11" s="84"/>
      <c r="AY11" s="85"/>
      <c r="AZ11" s="43" t="s">
        <v>91</v>
      </c>
      <c r="BA11" s="79">
        <v>30</v>
      </c>
      <c r="BB11" s="80"/>
      <c r="BC11" s="81">
        <f>BE65</f>
        <v>10</v>
      </c>
      <c r="BD11" s="84"/>
      <c r="BE11" s="85"/>
      <c r="BF11" s="58">
        <f>BG65</f>
        <v>25</v>
      </c>
      <c r="BG11" s="77"/>
      <c r="BH11" s="78"/>
      <c r="BI11" s="1"/>
      <c r="BK11" s="53"/>
      <c r="BM11" s="92" t="s">
        <v>116</v>
      </c>
      <c r="BN11" s="84"/>
      <c r="BO11" s="85"/>
      <c r="BP11" s="43"/>
      <c r="BQ11" s="79"/>
      <c r="BR11" s="80"/>
      <c r="BS11" s="81"/>
      <c r="BT11" s="84"/>
      <c r="BU11" s="85"/>
      <c r="BV11" s="58"/>
      <c r="BW11" s="77"/>
      <c r="BX11" s="78"/>
      <c r="BY11" s="1"/>
      <c r="CA11" s="53"/>
      <c r="CC11" s="92" t="s">
        <v>116</v>
      </c>
      <c r="CD11" s="84"/>
      <c r="CE11" s="85"/>
      <c r="CF11" s="43"/>
      <c r="CG11" s="79"/>
      <c r="CH11" s="80"/>
      <c r="CI11" s="81"/>
      <c r="CJ11" s="84"/>
      <c r="CK11" s="85"/>
      <c r="CL11" s="58"/>
      <c r="CM11" s="77"/>
      <c r="CN11" s="78"/>
      <c r="CO11" s="1"/>
      <c r="CQ11" s="53"/>
      <c r="CS11" s="92" t="s">
        <v>116</v>
      </c>
      <c r="CT11" s="84"/>
      <c r="CU11" s="85"/>
      <c r="CV11" s="43"/>
      <c r="CW11" s="79"/>
      <c r="CX11" s="80"/>
      <c r="CY11" s="81"/>
      <c r="CZ11" s="84"/>
      <c r="DA11" s="85"/>
      <c r="DB11" s="58"/>
      <c r="DC11" s="77"/>
      <c r="DD11" s="78"/>
      <c r="DE11" s="1"/>
      <c r="DG11" s="53"/>
      <c r="DI11" s="92" t="s">
        <v>116</v>
      </c>
      <c r="DJ11" s="84"/>
      <c r="DK11" s="85"/>
      <c r="DL11" s="43"/>
      <c r="DM11" s="79"/>
      <c r="DN11" s="80"/>
      <c r="DO11" s="81"/>
      <c r="DP11" s="84"/>
      <c r="DQ11" s="85"/>
      <c r="DR11" s="58"/>
      <c r="DS11" s="77"/>
      <c r="DT11" s="78"/>
      <c r="DU11" s="1"/>
      <c r="DW11" s="53"/>
      <c r="DY11" s="92" t="s">
        <v>116</v>
      </c>
      <c r="DZ11" s="84"/>
      <c r="EA11" s="85"/>
      <c r="EB11" s="43"/>
      <c r="EC11" s="79"/>
      <c r="ED11" s="80"/>
      <c r="EE11" s="81"/>
      <c r="EF11" s="84"/>
      <c r="EG11" s="85"/>
      <c r="EH11" s="58"/>
      <c r="EI11" s="77"/>
      <c r="EJ11" s="78"/>
      <c r="EK11" s="1"/>
      <c r="EM11" s="53"/>
      <c r="EO11" s="92" t="s">
        <v>116</v>
      </c>
      <c r="EP11" s="84"/>
      <c r="EQ11" s="85"/>
      <c r="ER11" s="43"/>
      <c r="ES11" s="79"/>
      <c r="ET11" s="80"/>
      <c r="EU11" s="81"/>
      <c r="EV11" s="84"/>
      <c r="EW11" s="85"/>
      <c r="EX11" s="58"/>
      <c r="EY11" s="77"/>
      <c r="EZ11" s="78"/>
      <c r="FA11" s="1"/>
      <c r="FC11" s="53"/>
      <c r="FE11" s="92" t="s">
        <v>116</v>
      </c>
      <c r="FF11" s="84"/>
      <c r="FG11" s="85"/>
      <c r="FH11" s="43"/>
      <c r="FI11" s="79"/>
      <c r="FJ11" s="80"/>
      <c r="FK11" s="81"/>
      <c r="FL11" s="84"/>
      <c r="FM11" s="85"/>
      <c r="FN11" s="58"/>
      <c r="FO11" s="77"/>
      <c r="FP11" s="78"/>
      <c r="FQ11" s="1"/>
      <c r="FS11" s="53"/>
      <c r="FU11" s="92" t="s">
        <v>116</v>
      </c>
      <c r="FV11" s="84"/>
      <c r="FW11" s="85"/>
      <c r="FX11" s="43"/>
      <c r="FY11" s="79"/>
      <c r="FZ11" s="80"/>
      <c r="GA11" s="81"/>
      <c r="GB11" s="84"/>
      <c r="GC11" s="85"/>
      <c r="GD11" s="58"/>
      <c r="GE11" s="77"/>
      <c r="GF11" s="78"/>
      <c r="GG11" s="1"/>
      <c r="GI11" s="53"/>
      <c r="GK11" s="92" t="s">
        <v>116</v>
      </c>
      <c r="GL11" s="84"/>
      <c r="GM11" s="85"/>
      <c r="GN11" s="43"/>
      <c r="GO11" s="79"/>
      <c r="GP11" s="80"/>
      <c r="GQ11" s="81"/>
      <c r="GR11" s="84"/>
      <c r="GS11" s="85"/>
      <c r="GT11" s="58"/>
      <c r="GU11" s="77"/>
      <c r="GV11" s="78"/>
      <c r="GW11" s="1"/>
      <c r="GY11" s="53"/>
      <c r="HA11" s="92" t="s">
        <v>116</v>
      </c>
      <c r="HB11" s="84"/>
      <c r="HC11" s="85"/>
      <c r="HD11" s="43"/>
      <c r="HE11" s="79"/>
      <c r="HF11" s="80"/>
      <c r="HG11" s="81"/>
      <c r="HH11" s="84"/>
      <c r="HI11" s="85"/>
      <c r="HJ11" s="58"/>
      <c r="HK11" s="77"/>
      <c r="HL11" s="78"/>
      <c r="HM11" s="1"/>
      <c r="HO11" s="53"/>
      <c r="HQ11" s="89" t="s">
        <v>94</v>
      </c>
      <c r="HR11" s="90"/>
      <c r="HS11" s="91"/>
      <c r="HT11" s="45" t="s">
        <v>95</v>
      </c>
      <c r="HU11" s="79">
        <v>22</v>
      </c>
      <c r="HV11" s="80"/>
      <c r="HW11" s="81">
        <f>HY67</f>
        <v>1</v>
      </c>
      <c r="HX11" s="84"/>
      <c r="HY11" s="85"/>
      <c r="HZ11" s="58">
        <f>IA67</f>
        <v>1</v>
      </c>
      <c r="IA11" s="77"/>
      <c r="IB11" s="78"/>
      <c r="IC11" s="1"/>
      <c r="IE11" s="53"/>
      <c r="IG11" s="89" t="s">
        <v>94</v>
      </c>
      <c r="IH11" s="90"/>
      <c r="II11" s="91"/>
      <c r="IJ11" s="45" t="s">
        <v>95</v>
      </c>
      <c r="IK11" s="79">
        <v>22</v>
      </c>
      <c r="IL11" s="80"/>
      <c r="IM11" s="81">
        <f>IO67</f>
        <v>1</v>
      </c>
      <c r="IN11" s="84"/>
      <c r="IO11" s="85"/>
      <c r="IP11" s="58">
        <f>IQ67</f>
        <v>2</v>
      </c>
      <c r="IQ11" s="77"/>
      <c r="IR11" s="78"/>
      <c r="IS11" s="1"/>
      <c r="IU11" s="53"/>
      <c r="IW11" s="89" t="s">
        <v>94</v>
      </c>
      <c r="IX11" s="90"/>
      <c r="IY11" s="91"/>
      <c r="IZ11" s="45" t="s">
        <v>95</v>
      </c>
      <c r="JA11" s="79">
        <v>22</v>
      </c>
      <c r="JB11" s="80"/>
      <c r="JC11" s="81">
        <v>1</v>
      </c>
      <c r="JD11" s="84"/>
      <c r="JE11" s="85"/>
      <c r="JF11" s="58">
        <f>JG67</f>
        <v>3</v>
      </c>
      <c r="JG11" s="77"/>
      <c r="JH11" s="78"/>
      <c r="JI11" s="1"/>
      <c r="JK11" s="53"/>
      <c r="JM11" s="89" t="s">
        <v>94</v>
      </c>
      <c r="JN11" s="90"/>
      <c r="JO11" s="91"/>
      <c r="JP11" s="45" t="s">
        <v>95</v>
      </c>
      <c r="JQ11" s="79">
        <v>22</v>
      </c>
      <c r="JR11" s="80"/>
      <c r="JS11" s="81">
        <v>1</v>
      </c>
      <c r="JT11" s="82"/>
      <c r="JU11" s="83"/>
      <c r="JV11" s="58">
        <f>JW67</f>
        <v>4</v>
      </c>
      <c r="JW11" s="77"/>
      <c r="JX11" s="78"/>
      <c r="JY11" s="1"/>
      <c r="KA11" s="53"/>
      <c r="KC11" s="89" t="s">
        <v>94</v>
      </c>
      <c r="KD11" s="90"/>
      <c r="KE11" s="91"/>
      <c r="KF11" s="45" t="s">
        <v>95</v>
      </c>
      <c r="KG11" s="79">
        <v>22</v>
      </c>
      <c r="KH11" s="80"/>
      <c r="KI11" s="81">
        <v>1</v>
      </c>
      <c r="KJ11" s="84"/>
      <c r="KK11" s="85"/>
      <c r="KL11" s="58">
        <f>KM67</f>
        <v>5</v>
      </c>
      <c r="KM11" s="77"/>
      <c r="KN11" s="78"/>
      <c r="KO11" s="1"/>
      <c r="KQ11" s="53"/>
      <c r="KS11" s="89" t="s">
        <v>94</v>
      </c>
      <c r="KT11" s="90"/>
      <c r="KU11" s="91"/>
      <c r="KV11" s="45" t="s">
        <v>95</v>
      </c>
      <c r="KW11" s="79">
        <v>22</v>
      </c>
      <c r="KX11" s="80"/>
      <c r="KY11" s="81">
        <v>1</v>
      </c>
      <c r="KZ11" s="84"/>
      <c r="LA11" s="85"/>
      <c r="LB11" s="58">
        <f>LC67</f>
        <v>6</v>
      </c>
      <c r="LC11" s="77"/>
      <c r="LD11" s="78"/>
      <c r="LE11" s="1"/>
      <c r="LG11" s="53"/>
      <c r="LI11" s="89" t="s">
        <v>94</v>
      </c>
      <c r="LJ11" s="90"/>
      <c r="LK11" s="91"/>
      <c r="LL11" s="45" t="s">
        <v>95</v>
      </c>
      <c r="LM11" s="79">
        <v>22</v>
      </c>
      <c r="LN11" s="80"/>
      <c r="LO11" s="81">
        <v>1</v>
      </c>
      <c r="LP11" s="84"/>
      <c r="LQ11" s="85"/>
      <c r="LR11" s="58">
        <f>LS67</f>
        <v>7</v>
      </c>
      <c r="LS11" s="77"/>
      <c r="LT11" s="78"/>
      <c r="LU11" s="1"/>
      <c r="LW11" s="53"/>
      <c r="LY11" s="89" t="s">
        <v>94</v>
      </c>
      <c r="LZ11" s="90"/>
      <c r="MA11" s="91"/>
      <c r="MB11" s="45" t="s">
        <v>95</v>
      </c>
      <c r="MC11" s="79">
        <v>22</v>
      </c>
      <c r="MD11" s="80"/>
      <c r="ME11" s="81">
        <v>1</v>
      </c>
      <c r="MF11" s="84"/>
      <c r="MG11" s="85"/>
      <c r="MH11" s="58">
        <f>MI67</f>
        <v>8</v>
      </c>
      <c r="MI11" s="77"/>
      <c r="MJ11" s="78"/>
      <c r="MK11" s="1"/>
      <c r="MM11" s="53"/>
    </row>
    <row r="12" spans="1:351" ht="20.100000000000001" customHeight="1" x14ac:dyDescent="0.3">
      <c r="A12" s="92"/>
      <c r="B12" s="84"/>
      <c r="C12" s="85"/>
      <c r="D12" s="9"/>
      <c r="E12" s="77"/>
      <c r="F12" s="85"/>
      <c r="G12" s="77"/>
      <c r="H12" s="84"/>
      <c r="I12" s="85"/>
      <c r="J12" s="8"/>
      <c r="K12" s="77"/>
      <c r="L12" s="78"/>
      <c r="M12" s="1"/>
      <c r="O12" s="53"/>
      <c r="Q12" s="92"/>
      <c r="R12" s="84"/>
      <c r="S12" s="85"/>
      <c r="T12" s="9"/>
      <c r="U12" s="77"/>
      <c r="V12" s="85"/>
      <c r="W12" s="77"/>
      <c r="X12" s="84"/>
      <c r="Y12" s="85"/>
      <c r="Z12" s="8"/>
      <c r="AA12" s="77"/>
      <c r="AB12" s="78"/>
      <c r="AC12" s="1"/>
      <c r="AE12" s="53"/>
      <c r="AG12" s="92"/>
      <c r="AH12" s="84"/>
      <c r="AI12" s="85"/>
      <c r="AJ12" s="9"/>
      <c r="AK12" s="77"/>
      <c r="AL12" s="85"/>
      <c r="AM12" s="77"/>
      <c r="AN12" s="84"/>
      <c r="AO12" s="85"/>
      <c r="AP12" s="8"/>
      <c r="AQ12" s="77"/>
      <c r="AR12" s="78"/>
      <c r="AS12" s="1"/>
      <c r="AU12" s="53"/>
      <c r="AW12" s="92"/>
      <c r="AX12" s="84"/>
      <c r="AY12" s="85"/>
      <c r="AZ12" s="9"/>
      <c r="BA12" s="77"/>
      <c r="BB12" s="85"/>
      <c r="BC12" s="77"/>
      <c r="BD12" s="84"/>
      <c r="BE12" s="85"/>
      <c r="BF12" s="8"/>
      <c r="BG12" s="77"/>
      <c r="BH12" s="78"/>
      <c r="BI12" s="1"/>
      <c r="BK12" s="53"/>
      <c r="BM12" s="92"/>
      <c r="BN12" s="84"/>
      <c r="BO12" s="85"/>
      <c r="BP12" s="9"/>
      <c r="BQ12" s="77"/>
      <c r="BR12" s="85"/>
      <c r="BS12" s="77"/>
      <c r="BT12" s="84"/>
      <c r="BU12" s="85"/>
      <c r="BV12" s="8"/>
      <c r="BW12" s="77"/>
      <c r="BX12" s="78"/>
      <c r="BY12" s="1"/>
      <c r="CA12" s="53"/>
      <c r="CC12" s="92"/>
      <c r="CD12" s="84"/>
      <c r="CE12" s="85"/>
      <c r="CF12" s="9"/>
      <c r="CG12" s="77"/>
      <c r="CH12" s="85"/>
      <c r="CI12" s="77"/>
      <c r="CJ12" s="84"/>
      <c r="CK12" s="85"/>
      <c r="CL12" s="8"/>
      <c r="CM12" s="77"/>
      <c r="CN12" s="78"/>
      <c r="CO12" s="1"/>
      <c r="CQ12" s="53"/>
      <c r="CS12" s="92"/>
      <c r="CT12" s="84"/>
      <c r="CU12" s="85"/>
      <c r="CV12" s="9"/>
      <c r="CW12" s="77"/>
      <c r="CX12" s="85"/>
      <c r="CY12" s="77"/>
      <c r="CZ12" s="84"/>
      <c r="DA12" s="85"/>
      <c r="DB12" s="8"/>
      <c r="DC12" s="77"/>
      <c r="DD12" s="78"/>
      <c r="DE12" s="1"/>
      <c r="DG12" s="53"/>
      <c r="DI12" s="92"/>
      <c r="DJ12" s="84"/>
      <c r="DK12" s="85"/>
      <c r="DL12" s="9"/>
      <c r="DM12" s="77"/>
      <c r="DN12" s="85"/>
      <c r="DO12" s="77"/>
      <c r="DP12" s="84"/>
      <c r="DQ12" s="85"/>
      <c r="DR12" s="8"/>
      <c r="DS12" s="77"/>
      <c r="DT12" s="78"/>
      <c r="DU12" s="1"/>
      <c r="DW12" s="53"/>
      <c r="DY12" s="92"/>
      <c r="DZ12" s="84"/>
      <c r="EA12" s="85"/>
      <c r="EB12" s="9"/>
      <c r="EC12" s="77"/>
      <c r="ED12" s="85"/>
      <c r="EE12" s="77"/>
      <c r="EF12" s="84"/>
      <c r="EG12" s="85"/>
      <c r="EH12" s="8"/>
      <c r="EI12" s="77"/>
      <c r="EJ12" s="78"/>
      <c r="EK12" s="1"/>
      <c r="EM12" s="53"/>
      <c r="EO12" s="92"/>
      <c r="EP12" s="84"/>
      <c r="EQ12" s="85"/>
      <c r="ER12" s="9"/>
      <c r="ES12" s="77"/>
      <c r="ET12" s="85"/>
      <c r="EU12" s="77"/>
      <c r="EV12" s="84"/>
      <c r="EW12" s="85"/>
      <c r="EX12" s="8"/>
      <c r="EY12" s="77"/>
      <c r="EZ12" s="78"/>
      <c r="FA12" s="1"/>
      <c r="FC12" s="53"/>
      <c r="FE12" s="92"/>
      <c r="FF12" s="84"/>
      <c r="FG12" s="85"/>
      <c r="FH12" s="9"/>
      <c r="FI12" s="77"/>
      <c r="FJ12" s="85"/>
      <c r="FK12" s="77"/>
      <c r="FL12" s="84"/>
      <c r="FM12" s="85"/>
      <c r="FN12" s="8"/>
      <c r="FO12" s="77"/>
      <c r="FP12" s="78"/>
      <c r="FQ12" s="1"/>
      <c r="FS12" s="53"/>
      <c r="FU12" s="92"/>
      <c r="FV12" s="84"/>
      <c r="FW12" s="85"/>
      <c r="FX12" s="9"/>
      <c r="FY12" s="77"/>
      <c r="FZ12" s="85"/>
      <c r="GA12" s="77"/>
      <c r="GB12" s="84"/>
      <c r="GC12" s="85"/>
      <c r="GD12" s="8"/>
      <c r="GE12" s="77"/>
      <c r="GF12" s="78"/>
      <c r="GG12" s="1"/>
      <c r="GI12" s="53"/>
      <c r="GK12" s="92"/>
      <c r="GL12" s="84"/>
      <c r="GM12" s="85"/>
      <c r="GN12" s="9"/>
      <c r="GO12" s="77"/>
      <c r="GP12" s="85"/>
      <c r="GQ12" s="77"/>
      <c r="GR12" s="84"/>
      <c r="GS12" s="85"/>
      <c r="GT12" s="8"/>
      <c r="GU12" s="77"/>
      <c r="GV12" s="78"/>
      <c r="GW12" s="1"/>
      <c r="GY12" s="53"/>
      <c r="HA12" s="92"/>
      <c r="HB12" s="84"/>
      <c r="HC12" s="85"/>
      <c r="HD12" s="9"/>
      <c r="HE12" s="77"/>
      <c r="HF12" s="85"/>
      <c r="HG12" s="77"/>
      <c r="HH12" s="84"/>
      <c r="HI12" s="85"/>
      <c r="HJ12" s="8"/>
      <c r="HK12" s="77"/>
      <c r="HL12" s="78"/>
      <c r="HM12" s="1"/>
      <c r="HO12" s="53"/>
      <c r="HQ12" s="86" t="s">
        <v>96</v>
      </c>
      <c r="HR12" s="87"/>
      <c r="HS12" s="88"/>
      <c r="HT12" s="45" t="s">
        <v>95</v>
      </c>
      <c r="HU12" s="79">
        <v>6</v>
      </c>
      <c r="HV12" s="80"/>
      <c r="HW12" s="177">
        <f>HY68</f>
        <v>0.2</v>
      </c>
      <c r="HX12" s="178"/>
      <c r="HY12" s="179"/>
      <c r="HZ12" s="60">
        <f>IA68</f>
        <v>0.2</v>
      </c>
      <c r="IA12" s="77"/>
      <c r="IB12" s="78"/>
      <c r="IC12" s="1"/>
      <c r="IE12" s="53"/>
      <c r="IG12" s="86" t="s">
        <v>96</v>
      </c>
      <c r="IH12" s="87"/>
      <c r="II12" s="88"/>
      <c r="IJ12" s="45" t="s">
        <v>95</v>
      </c>
      <c r="IK12" s="79">
        <v>6</v>
      </c>
      <c r="IL12" s="80"/>
      <c r="IM12" s="177">
        <f>IO68</f>
        <v>0.2</v>
      </c>
      <c r="IN12" s="178"/>
      <c r="IO12" s="179"/>
      <c r="IP12" s="60">
        <f>IQ68</f>
        <v>0.4</v>
      </c>
      <c r="IQ12" s="77"/>
      <c r="IR12" s="78"/>
      <c r="IS12" s="1"/>
      <c r="IU12" s="53"/>
      <c r="IW12" s="86" t="s">
        <v>96</v>
      </c>
      <c r="IX12" s="87"/>
      <c r="IY12" s="88"/>
      <c r="IZ12" s="45" t="s">
        <v>95</v>
      </c>
      <c r="JA12" s="79">
        <v>6</v>
      </c>
      <c r="JB12" s="80"/>
      <c r="JC12" s="177">
        <f>JE68</f>
        <v>0.2</v>
      </c>
      <c r="JD12" s="178"/>
      <c r="JE12" s="179"/>
      <c r="JF12" s="60">
        <f>JG68</f>
        <v>0.60000000000000009</v>
      </c>
      <c r="JG12" s="77"/>
      <c r="JH12" s="78"/>
      <c r="JI12" s="1"/>
      <c r="JK12" s="53"/>
      <c r="JM12" s="86" t="s">
        <v>96</v>
      </c>
      <c r="JN12" s="87"/>
      <c r="JO12" s="88"/>
      <c r="JP12" s="45" t="s">
        <v>95</v>
      </c>
      <c r="JQ12" s="79">
        <v>6</v>
      </c>
      <c r="JR12" s="80"/>
      <c r="JS12" s="177">
        <f>JU68</f>
        <v>0.2</v>
      </c>
      <c r="JT12" s="178"/>
      <c r="JU12" s="179"/>
      <c r="JV12" s="60">
        <f>JW68</f>
        <v>0.8</v>
      </c>
      <c r="JW12" s="77"/>
      <c r="JX12" s="78"/>
      <c r="JY12" s="1"/>
      <c r="KA12" s="53"/>
      <c r="KC12" s="86" t="s">
        <v>96</v>
      </c>
      <c r="KD12" s="87"/>
      <c r="KE12" s="88"/>
      <c r="KF12" s="45" t="s">
        <v>95</v>
      </c>
      <c r="KG12" s="79">
        <v>6</v>
      </c>
      <c r="KH12" s="80"/>
      <c r="KI12" s="177">
        <f>KK68</f>
        <v>0.2</v>
      </c>
      <c r="KJ12" s="178"/>
      <c r="KK12" s="179"/>
      <c r="KL12" s="60">
        <f>KM68</f>
        <v>1</v>
      </c>
      <c r="KM12" s="77"/>
      <c r="KN12" s="78"/>
      <c r="KO12" s="1"/>
      <c r="KQ12" s="53"/>
      <c r="KS12" s="86" t="s">
        <v>96</v>
      </c>
      <c r="KT12" s="87"/>
      <c r="KU12" s="88"/>
      <c r="KV12" s="45" t="s">
        <v>95</v>
      </c>
      <c r="KW12" s="79">
        <v>6</v>
      </c>
      <c r="KX12" s="80"/>
      <c r="KY12" s="177">
        <f>LA68</f>
        <v>0.2</v>
      </c>
      <c r="KZ12" s="178"/>
      <c r="LA12" s="179"/>
      <c r="LB12" s="60">
        <f>LC68</f>
        <v>1.2</v>
      </c>
      <c r="LC12" s="77"/>
      <c r="LD12" s="78"/>
      <c r="LE12" s="1"/>
      <c r="LG12" s="53"/>
      <c r="LI12" s="86" t="s">
        <v>96</v>
      </c>
      <c r="LJ12" s="87"/>
      <c r="LK12" s="88"/>
      <c r="LL12" s="45" t="s">
        <v>95</v>
      </c>
      <c r="LM12" s="79">
        <v>6</v>
      </c>
      <c r="LN12" s="80"/>
      <c r="LO12" s="177">
        <f>LQ68</f>
        <v>0.2</v>
      </c>
      <c r="LP12" s="178"/>
      <c r="LQ12" s="179"/>
      <c r="LR12" s="60">
        <f>LS68</f>
        <v>1.4</v>
      </c>
      <c r="LS12" s="77"/>
      <c r="LT12" s="78"/>
      <c r="LU12" s="1"/>
      <c r="LW12" s="53"/>
      <c r="LY12" s="86" t="s">
        <v>96</v>
      </c>
      <c r="LZ12" s="87"/>
      <c r="MA12" s="88"/>
      <c r="MB12" s="45" t="s">
        <v>95</v>
      </c>
      <c r="MC12" s="79">
        <v>6</v>
      </c>
      <c r="MD12" s="80"/>
      <c r="ME12" s="177">
        <f>MG68</f>
        <v>0.2</v>
      </c>
      <c r="MF12" s="178"/>
      <c r="MG12" s="179"/>
      <c r="MH12" s="60">
        <f>MI68</f>
        <v>1.5999999999999999</v>
      </c>
      <c r="MI12" s="77"/>
      <c r="MJ12" s="78"/>
      <c r="MK12" s="1"/>
      <c r="MM12" s="53"/>
    </row>
    <row r="13" spans="1:351" ht="20.100000000000001" customHeight="1" x14ac:dyDescent="0.3">
      <c r="A13" s="92"/>
      <c r="B13" s="84"/>
      <c r="C13" s="85"/>
      <c r="D13" s="9"/>
      <c r="E13" s="77"/>
      <c r="F13" s="85"/>
      <c r="G13" s="77"/>
      <c r="H13" s="84"/>
      <c r="I13" s="85"/>
      <c r="J13" s="8"/>
      <c r="K13" s="77"/>
      <c r="L13" s="78"/>
      <c r="M13" s="1"/>
      <c r="O13" s="53"/>
      <c r="Q13" s="92"/>
      <c r="R13" s="84"/>
      <c r="S13" s="85"/>
      <c r="T13" s="9"/>
      <c r="U13" s="77"/>
      <c r="V13" s="85"/>
      <c r="W13" s="77"/>
      <c r="X13" s="84"/>
      <c r="Y13" s="85"/>
      <c r="Z13" s="8"/>
      <c r="AA13" s="77"/>
      <c r="AB13" s="78"/>
      <c r="AC13" s="1"/>
      <c r="AE13" s="53"/>
      <c r="AG13" s="92"/>
      <c r="AH13" s="84"/>
      <c r="AI13" s="85"/>
      <c r="AJ13" s="9"/>
      <c r="AK13" s="77"/>
      <c r="AL13" s="85"/>
      <c r="AM13" s="77"/>
      <c r="AN13" s="84"/>
      <c r="AO13" s="85"/>
      <c r="AP13" s="8"/>
      <c r="AQ13" s="77"/>
      <c r="AR13" s="78"/>
      <c r="AS13" s="1"/>
      <c r="AU13" s="53"/>
      <c r="AW13" s="92"/>
      <c r="AX13" s="84"/>
      <c r="AY13" s="85"/>
      <c r="AZ13" s="9"/>
      <c r="BA13" s="77"/>
      <c r="BB13" s="85"/>
      <c r="BC13" s="77"/>
      <c r="BD13" s="84"/>
      <c r="BE13" s="85"/>
      <c r="BF13" s="8"/>
      <c r="BG13" s="77"/>
      <c r="BH13" s="78"/>
      <c r="BI13" s="1"/>
      <c r="BK13" s="53"/>
      <c r="BM13" s="92"/>
      <c r="BN13" s="84"/>
      <c r="BO13" s="85"/>
      <c r="BP13" s="9"/>
      <c r="BQ13" s="77"/>
      <c r="BR13" s="85"/>
      <c r="BS13" s="77"/>
      <c r="BT13" s="84"/>
      <c r="BU13" s="85"/>
      <c r="BV13" s="8"/>
      <c r="BW13" s="77"/>
      <c r="BX13" s="78"/>
      <c r="BY13" s="1"/>
      <c r="CA13" s="53"/>
      <c r="CC13" s="92"/>
      <c r="CD13" s="84"/>
      <c r="CE13" s="85"/>
      <c r="CF13" s="9"/>
      <c r="CG13" s="77"/>
      <c r="CH13" s="85"/>
      <c r="CI13" s="77"/>
      <c r="CJ13" s="84"/>
      <c r="CK13" s="85"/>
      <c r="CL13" s="8"/>
      <c r="CM13" s="77"/>
      <c r="CN13" s="78"/>
      <c r="CO13" s="1"/>
      <c r="CQ13" s="53"/>
      <c r="CS13" s="92"/>
      <c r="CT13" s="84"/>
      <c r="CU13" s="85"/>
      <c r="CV13" s="9"/>
      <c r="CW13" s="77"/>
      <c r="CX13" s="85"/>
      <c r="CY13" s="77"/>
      <c r="CZ13" s="84"/>
      <c r="DA13" s="85"/>
      <c r="DB13" s="8"/>
      <c r="DC13" s="77"/>
      <c r="DD13" s="78"/>
      <c r="DE13" s="1"/>
      <c r="DG13" s="53"/>
      <c r="DI13" s="92"/>
      <c r="DJ13" s="84"/>
      <c r="DK13" s="85"/>
      <c r="DL13" s="9"/>
      <c r="DM13" s="77"/>
      <c r="DN13" s="85"/>
      <c r="DO13" s="77"/>
      <c r="DP13" s="84"/>
      <c r="DQ13" s="85"/>
      <c r="DR13" s="8"/>
      <c r="DS13" s="77"/>
      <c r="DT13" s="78"/>
      <c r="DU13" s="1"/>
      <c r="DW13" s="53"/>
      <c r="DY13" s="92"/>
      <c r="DZ13" s="84"/>
      <c r="EA13" s="85"/>
      <c r="EB13" s="9"/>
      <c r="EC13" s="77"/>
      <c r="ED13" s="85"/>
      <c r="EE13" s="77"/>
      <c r="EF13" s="84"/>
      <c r="EG13" s="85"/>
      <c r="EH13" s="8"/>
      <c r="EI13" s="77"/>
      <c r="EJ13" s="78"/>
      <c r="EK13" s="1"/>
      <c r="EM13" s="53"/>
      <c r="EO13" s="92"/>
      <c r="EP13" s="84"/>
      <c r="EQ13" s="85"/>
      <c r="ER13" s="9"/>
      <c r="ES13" s="77"/>
      <c r="ET13" s="85"/>
      <c r="EU13" s="77"/>
      <c r="EV13" s="84"/>
      <c r="EW13" s="85"/>
      <c r="EX13" s="8"/>
      <c r="EY13" s="77"/>
      <c r="EZ13" s="78"/>
      <c r="FA13" s="1"/>
      <c r="FC13" s="53"/>
      <c r="FE13" s="92"/>
      <c r="FF13" s="84"/>
      <c r="FG13" s="85"/>
      <c r="FH13" s="9"/>
      <c r="FI13" s="77"/>
      <c r="FJ13" s="85"/>
      <c r="FK13" s="77"/>
      <c r="FL13" s="84"/>
      <c r="FM13" s="85"/>
      <c r="FN13" s="8"/>
      <c r="FO13" s="77"/>
      <c r="FP13" s="78"/>
      <c r="FQ13" s="1"/>
      <c r="FS13" s="53"/>
      <c r="FU13" s="92"/>
      <c r="FV13" s="84"/>
      <c r="FW13" s="85"/>
      <c r="FX13" s="9"/>
      <c r="FY13" s="77"/>
      <c r="FZ13" s="85"/>
      <c r="GA13" s="77"/>
      <c r="GB13" s="84"/>
      <c r="GC13" s="85"/>
      <c r="GD13" s="8"/>
      <c r="GE13" s="77"/>
      <c r="GF13" s="78"/>
      <c r="GG13" s="1"/>
      <c r="GI13" s="53"/>
      <c r="GK13" s="92"/>
      <c r="GL13" s="84"/>
      <c r="GM13" s="85"/>
      <c r="GN13" s="9"/>
      <c r="GO13" s="77"/>
      <c r="GP13" s="85"/>
      <c r="GQ13" s="77"/>
      <c r="GR13" s="84"/>
      <c r="GS13" s="85"/>
      <c r="GT13" s="8"/>
      <c r="GU13" s="77"/>
      <c r="GV13" s="78"/>
      <c r="GW13" s="1"/>
      <c r="GY13" s="53"/>
      <c r="HA13" s="92"/>
      <c r="HB13" s="84"/>
      <c r="HC13" s="85"/>
      <c r="HD13" s="9"/>
      <c r="HE13" s="77"/>
      <c r="HF13" s="85"/>
      <c r="HG13" s="77"/>
      <c r="HH13" s="84"/>
      <c r="HI13" s="85"/>
      <c r="HJ13" s="8"/>
      <c r="HK13" s="77"/>
      <c r="HL13" s="78"/>
      <c r="HM13" s="1"/>
      <c r="HO13" s="53"/>
      <c r="HQ13" s="92"/>
      <c r="HR13" s="84"/>
      <c r="HS13" s="85"/>
      <c r="HT13" s="9"/>
      <c r="HU13" s="77"/>
      <c r="HV13" s="85"/>
      <c r="HW13" s="77"/>
      <c r="HX13" s="84"/>
      <c r="HY13" s="85"/>
      <c r="HZ13" s="8"/>
      <c r="IA13" s="77"/>
      <c r="IB13" s="78"/>
      <c r="IC13" s="1"/>
      <c r="IE13" s="53"/>
      <c r="IG13" s="92"/>
      <c r="IH13" s="84"/>
      <c r="II13" s="85"/>
      <c r="IJ13" s="9"/>
      <c r="IK13" s="77"/>
      <c r="IL13" s="85"/>
      <c r="IM13" s="77"/>
      <c r="IN13" s="84"/>
      <c r="IO13" s="85"/>
      <c r="IP13" s="8"/>
      <c r="IQ13" s="77"/>
      <c r="IR13" s="78"/>
      <c r="IS13" s="1"/>
      <c r="IU13" s="53"/>
      <c r="IW13" s="92"/>
      <c r="IX13" s="84"/>
      <c r="IY13" s="85"/>
      <c r="IZ13" s="9"/>
      <c r="JA13" s="77"/>
      <c r="JB13" s="85"/>
      <c r="JC13" s="77"/>
      <c r="JD13" s="84"/>
      <c r="JE13" s="85"/>
      <c r="JF13" s="8"/>
      <c r="JG13" s="77"/>
      <c r="JH13" s="78"/>
      <c r="JI13" s="1"/>
      <c r="JK13" s="53"/>
      <c r="JM13" s="92"/>
      <c r="JN13" s="84"/>
      <c r="JO13" s="85"/>
      <c r="JP13" s="9"/>
      <c r="JQ13" s="77"/>
      <c r="JR13" s="85"/>
      <c r="JS13" s="77"/>
      <c r="JT13" s="84"/>
      <c r="JU13" s="85"/>
      <c r="JV13" s="8"/>
      <c r="JW13" s="77"/>
      <c r="JX13" s="78"/>
      <c r="JY13" s="1"/>
      <c r="KA13" s="53"/>
      <c r="KC13" s="92"/>
      <c r="KD13" s="84"/>
      <c r="KE13" s="85"/>
      <c r="KF13" s="9"/>
      <c r="KG13" s="77"/>
      <c r="KH13" s="85"/>
      <c r="KI13" s="77"/>
      <c r="KJ13" s="84"/>
      <c r="KK13" s="85"/>
      <c r="KL13" s="8"/>
      <c r="KM13" s="77"/>
      <c r="KN13" s="78"/>
      <c r="KO13" s="1"/>
      <c r="KQ13" s="53"/>
      <c r="KS13" s="92"/>
      <c r="KT13" s="84"/>
      <c r="KU13" s="85"/>
      <c r="KV13" s="9"/>
      <c r="KW13" s="77"/>
      <c r="KX13" s="85"/>
      <c r="KY13" s="77"/>
      <c r="KZ13" s="84"/>
      <c r="LA13" s="85"/>
      <c r="LB13" s="8"/>
      <c r="LC13" s="77"/>
      <c r="LD13" s="78"/>
      <c r="LE13" s="1"/>
      <c r="LG13" s="53"/>
      <c r="LI13" s="92"/>
      <c r="LJ13" s="84"/>
      <c r="LK13" s="85"/>
      <c r="LL13" s="9"/>
      <c r="LM13" s="77"/>
      <c r="LN13" s="85"/>
      <c r="LO13" s="77"/>
      <c r="LP13" s="84"/>
      <c r="LQ13" s="85"/>
      <c r="LR13" s="8"/>
      <c r="LS13" s="77"/>
      <c r="LT13" s="78"/>
      <c r="LU13" s="1"/>
      <c r="LW13" s="53"/>
      <c r="LY13" s="92"/>
      <c r="LZ13" s="84"/>
      <c r="MA13" s="85"/>
      <c r="MB13" s="9"/>
      <c r="MC13" s="77"/>
      <c r="MD13" s="85"/>
      <c r="ME13" s="77"/>
      <c r="MF13" s="84"/>
      <c r="MG13" s="85"/>
      <c r="MH13" s="8"/>
      <c r="MI13" s="77"/>
      <c r="MJ13" s="78"/>
      <c r="MK13" s="1"/>
      <c r="MM13" s="53"/>
    </row>
    <row r="14" spans="1:351" ht="20.100000000000001" customHeight="1" x14ac:dyDescent="0.3">
      <c r="A14" s="92"/>
      <c r="B14" s="84"/>
      <c r="C14" s="85"/>
      <c r="D14" s="9"/>
      <c r="E14" s="77"/>
      <c r="F14" s="85"/>
      <c r="G14" s="77"/>
      <c r="H14" s="84"/>
      <c r="I14" s="85"/>
      <c r="J14" s="8"/>
      <c r="K14" s="77"/>
      <c r="L14" s="78"/>
      <c r="M14" s="1"/>
      <c r="O14" s="53"/>
      <c r="Q14" s="92"/>
      <c r="R14" s="84"/>
      <c r="S14" s="85"/>
      <c r="T14" s="9"/>
      <c r="U14" s="77"/>
      <c r="V14" s="85"/>
      <c r="W14" s="77"/>
      <c r="X14" s="84"/>
      <c r="Y14" s="85"/>
      <c r="Z14" s="8"/>
      <c r="AA14" s="77"/>
      <c r="AB14" s="78"/>
      <c r="AC14" s="1"/>
      <c r="AE14" s="53"/>
      <c r="AG14" s="92"/>
      <c r="AH14" s="84"/>
      <c r="AI14" s="85"/>
      <c r="AJ14" s="9"/>
      <c r="AK14" s="77"/>
      <c r="AL14" s="85"/>
      <c r="AM14" s="77"/>
      <c r="AN14" s="84"/>
      <c r="AO14" s="85"/>
      <c r="AP14" s="8"/>
      <c r="AQ14" s="77"/>
      <c r="AR14" s="78"/>
      <c r="AS14" s="1"/>
      <c r="AU14" s="53"/>
      <c r="AW14" s="92"/>
      <c r="AX14" s="84"/>
      <c r="AY14" s="85"/>
      <c r="AZ14" s="9"/>
      <c r="BA14" s="77"/>
      <c r="BB14" s="85"/>
      <c r="BC14" s="77"/>
      <c r="BD14" s="84"/>
      <c r="BE14" s="85"/>
      <c r="BF14" s="8"/>
      <c r="BG14" s="77"/>
      <c r="BH14" s="78"/>
      <c r="BI14" s="1"/>
      <c r="BK14" s="53"/>
      <c r="BM14" s="92"/>
      <c r="BN14" s="84"/>
      <c r="BO14" s="85"/>
      <c r="BP14" s="9"/>
      <c r="BQ14" s="77"/>
      <c r="BR14" s="85"/>
      <c r="BS14" s="77"/>
      <c r="BT14" s="84"/>
      <c r="BU14" s="85"/>
      <c r="BV14" s="8"/>
      <c r="BW14" s="77"/>
      <c r="BX14" s="78"/>
      <c r="BY14" s="1"/>
      <c r="CA14" s="53"/>
      <c r="CC14" s="92"/>
      <c r="CD14" s="84"/>
      <c r="CE14" s="85"/>
      <c r="CF14" s="9"/>
      <c r="CG14" s="77"/>
      <c r="CH14" s="85"/>
      <c r="CI14" s="77"/>
      <c r="CJ14" s="84"/>
      <c r="CK14" s="85"/>
      <c r="CL14" s="8"/>
      <c r="CM14" s="77"/>
      <c r="CN14" s="78"/>
      <c r="CO14" s="1"/>
      <c r="CQ14" s="53"/>
      <c r="CS14" s="92"/>
      <c r="CT14" s="84"/>
      <c r="CU14" s="85"/>
      <c r="CV14" s="9"/>
      <c r="CW14" s="77"/>
      <c r="CX14" s="85"/>
      <c r="CY14" s="77"/>
      <c r="CZ14" s="84"/>
      <c r="DA14" s="85"/>
      <c r="DB14" s="8"/>
      <c r="DC14" s="77"/>
      <c r="DD14" s="78"/>
      <c r="DE14" s="1"/>
      <c r="DG14" s="53"/>
      <c r="DI14" s="92"/>
      <c r="DJ14" s="84"/>
      <c r="DK14" s="85"/>
      <c r="DL14" s="9"/>
      <c r="DM14" s="77"/>
      <c r="DN14" s="85"/>
      <c r="DO14" s="77"/>
      <c r="DP14" s="84"/>
      <c r="DQ14" s="85"/>
      <c r="DR14" s="8"/>
      <c r="DS14" s="77"/>
      <c r="DT14" s="78"/>
      <c r="DU14" s="1"/>
      <c r="DW14" s="53"/>
      <c r="DY14" s="92"/>
      <c r="DZ14" s="84"/>
      <c r="EA14" s="85"/>
      <c r="EB14" s="9"/>
      <c r="EC14" s="77"/>
      <c r="ED14" s="85"/>
      <c r="EE14" s="77"/>
      <c r="EF14" s="84"/>
      <c r="EG14" s="85"/>
      <c r="EH14" s="8"/>
      <c r="EI14" s="77"/>
      <c r="EJ14" s="78"/>
      <c r="EK14" s="1"/>
      <c r="EM14" s="53"/>
      <c r="EO14" s="92"/>
      <c r="EP14" s="84"/>
      <c r="EQ14" s="85"/>
      <c r="ER14" s="9"/>
      <c r="ES14" s="77"/>
      <c r="ET14" s="85"/>
      <c r="EU14" s="77"/>
      <c r="EV14" s="84"/>
      <c r="EW14" s="85"/>
      <c r="EX14" s="8"/>
      <c r="EY14" s="77"/>
      <c r="EZ14" s="78"/>
      <c r="FA14" s="1"/>
      <c r="FC14" s="53"/>
      <c r="FE14" s="92"/>
      <c r="FF14" s="84"/>
      <c r="FG14" s="85"/>
      <c r="FH14" s="9"/>
      <c r="FI14" s="77"/>
      <c r="FJ14" s="85"/>
      <c r="FK14" s="77"/>
      <c r="FL14" s="84"/>
      <c r="FM14" s="85"/>
      <c r="FN14" s="8"/>
      <c r="FO14" s="77"/>
      <c r="FP14" s="78"/>
      <c r="FQ14" s="1"/>
      <c r="FS14" s="53"/>
      <c r="FU14" s="92"/>
      <c r="FV14" s="84"/>
      <c r="FW14" s="85"/>
      <c r="FX14" s="9"/>
      <c r="FY14" s="77"/>
      <c r="FZ14" s="85"/>
      <c r="GA14" s="77"/>
      <c r="GB14" s="84"/>
      <c r="GC14" s="85"/>
      <c r="GD14" s="8"/>
      <c r="GE14" s="77"/>
      <c r="GF14" s="78"/>
      <c r="GG14" s="1"/>
      <c r="GI14" s="53"/>
      <c r="GK14" s="92"/>
      <c r="GL14" s="84"/>
      <c r="GM14" s="85"/>
      <c r="GN14" s="9"/>
      <c r="GO14" s="77"/>
      <c r="GP14" s="85"/>
      <c r="GQ14" s="77"/>
      <c r="GR14" s="84"/>
      <c r="GS14" s="85"/>
      <c r="GT14" s="8"/>
      <c r="GU14" s="77"/>
      <c r="GV14" s="78"/>
      <c r="GW14" s="1"/>
      <c r="GY14" s="53"/>
      <c r="HA14" s="92"/>
      <c r="HB14" s="84"/>
      <c r="HC14" s="85"/>
      <c r="HD14" s="9"/>
      <c r="HE14" s="77"/>
      <c r="HF14" s="85"/>
      <c r="HG14" s="77"/>
      <c r="HH14" s="84"/>
      <c r="HI14" s="85"/>
      <c r="HJ14" s="8"/>
      <c r="HK14" s="77"/>
      <c r="HL14" s="78"/>
      <c r="HM14" s="1"/>
      <c r="HO14" s="53"/>
      <c r="HQ14" s="92"/>
      <c r="HR14" s="84"/>
      <c r="HS14" s="85"/>
      <c r="HT14" s="9"/>
      <c r="HU14" s="77"/>
      <c r="HV14" s="85"/>
      <c r="HW14" s="77"/>
      <c r="HX14" s="84"/>
      <c r="HY14" s="85"/>
      <c r="HZ14" s="8"/>
      <c r="IA14" s="77"/>
      <c r="IB14" s="78"/>
      <c r="IC14" s="1"/>
      <c r="IE14" s="53"/>
      <c r="IG14" s="92"/>
      <c r="IH14" s="84"/>
      <c r="II14" s="85"/>
      <c r="IJ14" s="9"/>
      <c r="IK14" s="77"/>
      <c r="IL14" s="85"/>
      <c r="IM14" s="77"/>
      <c r="IN14" s="84"/>
      <c r="IO14" s="85"/>
      <c r="IP14" s="8"/>
      <c r="IQ14" s="77"/>
      <c r="IR14" s="78"/>
      <c r="IS14" s="1"/>
      <c r="IU14" s="53"/>
      <c r="IW14" s="92"/>
      <c r="IX14" s="84"/>
      <c r="IY14" s="85"/>
      <c r="IZ14" s="9"/>
      <c r="JA14" s="77"/>
      <c r="JB14" s="85"/>
      <c r="JC14" s="77"/>
      <c r="JD14" s="84"/>
      <c r="JE14" s="85"/>
      <c r="JF14" s="8"/>
      <c r="JG14" s="77"/>
      <c r="JH14" s="78"/>
      <c r="JI14" s="1"/>
      <c r="JK14" s="53"/>
      <c r="JM14" s="92"/>
      <c r="JN14" s="84"/>
      <c r="JO14" s="85"/>
      <c r="JP14" s="9"/>
      <c r="JQ14" s="77"/>
      <c r="JR14" s="85"/>
      <c r="JS14" s="77"/>
      <c r="JT14" s="84"/>
      <c r="JU14" s="85"/>
      <c r="JV14" s="8"/>
      <c r="JW14" s="77"/>
      <c r="JX14" s="78"/>
      <c r="JY14" s="1"/>
      <c r="KA14" s="53"/>
      <c r="KC14" s="92"/>
      <c r="KD14" s="84"/>
      <c r="KE14" s="85"/>
      <c r="KF14" s="9"/>
      <c r="KG14" s="77"/>
      <c r="KH14" s="85"/>
      <c r="KI14" s="77"/>
      <c r="KJ14" s="84"/>
      <c r="KK14" s="85"/>
      <c r="KL14" s="8"/>
      <c r="KM14" s="77"/>
      <c r="KN14" s="78"/>
      <c r="KO14" s="1"/>
      <c r="KQ14" s="53"/>
      <c r="KS14" s="92"/>
      <c r="KT14" s="84"/>
      <c r="KU14" s="85"/>
      <c r="KV14" s="9"/>
      <c r="KW14" s="77"/>
      <c r="KX14" s="85"/>
      <c r="KY14" s="77"/>
      <c r="KZ14" s="84"/>
      <c r="LA14" s="85"/>
      <c r="LB14" s="8"/>
      <c r="LC14" s="77"/>
      <c r="LD14" s="78"/>
      <c r="LE14" s="1"/>
      <c r="LG14" s="53"/>
      <c r="LI14" s="92"/>
      <c r="LJ14" s="84"/>
      <c r="LK14" s="85"/>
      <c r="LL14" s="9"/>
      <c r="LM14" s="77"/>
      <c r="LN14" s="85"/>
      <c r="LO14" s="77"/>
      <c r="LP14" s="84"/>
      <c r="LQ14" s="85"/>
      <c r="LR14" s="8"/>
      <c r="LS14" s="77"/>
      <c r="LT14" s="78"/>
      <c r="LU14" s="1"/>
      <c r="LW14" s="53"/>
      <c r="LY14" s="92"/>
      <c r="LZ14" s="84"/>
      <c r="MA14" s="85"/>
      <c r="MB14" s="9"/>
      <c r="MC14" s="77"/>
      <c r="MD14" s="85"/>
      <c r="ME14" s="77"/>
      <c r="MF14" s="84"/>
      <c r="MG14" s="85"/>
      <c r="MH14" s="8"/>
      <c r="MI14" s="77"/>
      <c r="MJ14" s="78"/>
      <c r="MK14" s="1"/>
      <c r="MM14" s="53"/>
    </row>
    <row r="15" spans="1:351" ht="20.100000000000001" customHeight="1" thickBot="1" x14ac:dyDescent="0.35">
      <c r="A15" s="180"/>
      <c r="B15" s="172"/>
      <c r="C15" s="171"/>
      <c r="D15" s="10"/>
      <c r="E15" s="170"/>
      <c r="F15" s="171"/>
      <c r="G15" s="170"/>
      <c r="H15" s="172"/>
      <c r="I15" s="171"/>
      <c r="J15" s="38"/>
      <c r="K15" s="170"/>
      <c r="L15" s="173"/>
      <c r="M15" s="1"/>
      <c r="O15" s="53"/>
      <c r="Q15" s="180"/>
      <c r="R15" s="172"/>
      <c r="S15" s="171"/>
      <c r="T15" s="10"/>
      <c r="U15" s="170"/>
      <c r="V15" s="171"/>
      <c r="W15" s="170"/>
      <c r="X15" s="172"/>
      <c r="Y15" s="171"/>
      <c r="Z15" s="38"/>
      <c r="AA15" s="170"/>
      <c r="AB15" s="173"/>
      <c r="AC15" s="1"/>
      <c r="AE15" s="53"/>
      <c r="AG15" s="180"/>
      <c r="AH15" s="172"/>
      <c r="AI15" s="171"/>
      <c r="AJ15" s="10"/>
      <c r="AK15" s="170"/>
      <c r="AL15" s="171"/>
      <c r="AM15" s="170"/>
      <c r="AN15" s="172"/>
      <c r="AO15" s="171"/>
      <c r="AP15" s="38"/>
      <c r="AQ15" s="170"/>
      <c r="AR15" s="173"/>
      <c r="AS15" s="1"/>
      <c r="AU15" s="53"/>
      <c r="AW15" s="180"/>
      <c r="AX15" s="172"/>
      <c r="AY15" s="171"/>
      <c r="AZ15" s="10"/>
      <c r="BA15" s="170"/>
      <c r="BB15" s="171"/>
      <c r="BC15" s="170"/>
      <c r="BD15" s="172"/>
      <c r="BE15" s="171"/>
      <c r="BF15" s="38"/>
      <c r="BG15" s="170"/>
      <c r="BH15" s="173"/>
      <c r="BI15" s="1"/>
      <c r="BK15" s="53"/>
      <c r="BM15" s="180"/>
      <c r="BN15" s="172"/>
      <c r="BO15" s="171"/>
      <c r="BP15" s="10"/>
      <c r="BQ15" s="170"/>
      <c r="BR15" s="171"/>
      <c r="BS15" s="170"/>
      <c r="BT15" s="172"/>
      <c r="BU15" s="171"/>
      <c r="BV15" s="38"/>
      <c r="BW15" s="170"/>
      <c r="BX15" s="173"/>
      <c r="BY15" s="1"/>
      <c r="CA15" s="53"/>
      <c r="CC15" s="180"/>
      <c r="CD15" s="172"/>
      <c r="CE15" s="171"/>
      <c r="CF15" s="10"/>
      <c r="CG15" s="170"/>
      <c r="CH15" s="171"/>
      <c r="CI15" s="170"/>
      <c r="CJ15" s="172"/>
      <c r="CK15" s="171"/>
      <c r="CL15" s="38"/>
      <c r="CM15" s="170"/>
      <c r="CN15" s="173"/>
      <c r="CO15" s="1"/>
      <c r="CQ15" s="53"/>
      <c r="CS15" s="180"/>
      <c r="CT15" s="172"/>
      <c r="CU15" s="171"/>
      <c r="CV15" s="10"/>
      <c r="CW15" s="170"/>
      <c r="CX15" s="171"/>
      <c r="CY15" s="170"/>
      <c r="CZ15" s="172"/>
      <c r="DA15" s="171"/>
      <c r="DB15" s="38"/>
      <c r="DC15" s="170"/>
      <c r="DD15" s="173"/>
      <c r="DE15" s="1"/>
      <c r="DG15" s="53"/>
      <c r="DI15" s="180"/>
      <c r="DJ15" s="172"/>
      <c r="DK15" s="171"/>
      <c r="DL15" s="10"/>
      <c r="DM15" s="170"/>
      <c r="DN15" s="171"/>
      <c r="DO15" s="170"/>
      <c r="DP15" s="172"/>
      <c r="DQ15" s="171"/>
      <c r="DR15" s="38"/>
      <c r="DS15" s="170"/>
      <c r="DT15" s="173"/>
      <c r="DU15" s="1"/>
      <c r="DW15" s="53"/>
      <c r="DY15" s="180"/>
      <c r="DZ15" s="172"/>
      <c r="EA15" s="171"/>
      <c r="EB15" s="10"/>
      <c r="EC15" s="170"/>
      <c r="ED15" s="171"/>
      <c r="EE15" s="170"/>
      <c r="EF15" s="172"/>
      <c r="EG15" s="171"/>
      <c r="EH15" s="38"/>
      <c r="EI15" s="170"/>
      <c r="EJ15" s="173"/>
      <c r="EK15" s="1"/>
      <c r="EM15" s="53"/>
      <c r="EO15" s="180"/>
      <c r="EP15" s="172"/>
      <c r="EQ15" s="171"/>
      <c r="ER15" s="10"/>
      <c r="ES15" s="170"/>
      <c r="ET15" s="171"/>
      <c r="EU15" s="170"/>
      <c r="EV15" s="172"/>
      <c r="EW15" s="171"/>
      <c r="EX15" s="38"/>
      <c r="EY15" s="170"/>
      <c r="EZ15" s="173"/>
      <c r="FA15" s="1"/>
      <c r="FC15" s="53"/>
      <c r="FE15" s="180"/>
      <c r="FF15" s="172"/>
      <c r="FG15" s="171"/>
      <c r="FH15" s="10"/>
      <c r="FI15" s="170"/>
      <c r="FJ15" s="171"/>
      <c r="FK15" s="170"/>
      <c r="FL15" s="172"/>
      <c r="FM15" s="171"/>
      <c r="FN15" s="38"/>
      <c r="FO15" s="170"/>
      <c r="FP15" s="173"/>
      <c r="FQ15" s="1"/>
      <c r="FS15" s="53"/>
      <c r="FU15" s="180"/>
      <c r="FV15" s="172"/>
      <c r="FW15" s="171"/>
      <c r="FX15" s="10"/>
      <c r="FY15" s="170"/>
      <c r="FZ15" s="171"/>
      <c r="GA15" s="170"/>
      <c r="GB15" s="172"/>
      <c r="GC15" s="171"/>
      <c r="GD15" s="38"/>
      <c r="GE15" s="170"/>
      <c r="GF15" s="173"/>
      <c r="GG15" s="1"/>
      <c r="GI15" s="53"/>
      <c r="GK15" s="180"/>
      <c r="GL15" s="172"/>
      <c r="GM15" s="171"/>
      <c r="GN15" s="10"/>
      <c r="GO15" s="170"/>
      <c r="GP15" s="171"/>
      <c r="GQ15" s="170"/>
      <c r="GR15" s="172"/>
      <c r="GS15" s="171"/>
      <c r="GT15" s="38"/>
      <c r="GU15" s="170"/>
      <c r="GV15" s="173"/>
      <c r="GW15" s="1"/>
      <c r="GY15" s="53"/>
      <c r="HA15" s="180"/>
      <c r="HB15" s="172"/>
      <c r="HC15" s="171"/>
      <c r="HD15" s="10"/>
      <c r="HE15" s="170"/>
      <c r="HF15" s="171"/>
      <c r="HG15" s="170"/>
      <c r="HH15" s="172"/>
      <c r="HI15" s="171"/>
      <c r="HJ15" s="38"/>
      <c r="HK15" s="170"/>
      <c r="HL15" s="173"/>
      <c r="HM15" s="1"/>
      <c r="HO15" s="53"/>
      <c r="HQ15" s="180"/>
      <c r="HR15" s="172"/>
      <c r="HS15" s="171"/>
      <c r="HT15" s="10"/>
      <c r="HU15" s="170"/>
      <c r="HV15" s="171"/>
      <c r="HW15" s="170"/>
      <c r="HX15" s="172"/>
      <c r="HY15" s="171"/>
      <c r="HZ15" s="38"/>
      <c r="IA15" s="170"/>
      <c r="IB15" s="173"/>
      <c r="IC15" s="1"/>
      <c r="IE15" s="53"/>
      <c r="IG15" s="180"/>
      <c r="IH15" s="172"/>
      <c r="II15" s="171"/>
      <c r="IJ15" s="10"/>
      <c r="IK15" s="170"/>
      <c r="IL15" s="171"/>
      <c r="IM15" s="170"/>
      <c r="IN15" s="172"/>
      <c r="IO15" s="171"/>
      <c r="IP15" s="38"/>
      <c r="IQ15" s="170"/>
      <c r="IR15" s="173"/>
      <c r="IS15" s="1"/>
      <c r="IU15" s="53"/>
      <c r="IW15" s="180"/>
      <c r="IX15" s="172"/>
      <c r="IY15" s="171"/>
      <c r="IZ15" s="10"/>
      <c r="JA15" s="170"/>
      <c r="JB15" s="171"/>
      <c r="JC15" s="170"/>
      <c r="JD15" s="172"/>
      <c r="JE15" s="171"/>
      <c r="JF15" s="38"/>
      <c r="JG15" s="170"/>
      <c r="JH15" s="173"/>
      <c r="JI15" s="1"/>
      <c r="JK15" s="53"/>
      <c r="JM15" s="180"/>
      <c r="JN15" s="172"/>
      <c r="JO15" s="171"/>
      <c r="JP15" s="10"/>
      <c r="JQ15" s="170"/>
      <c r="JR15" s="171"/>
      <c r="JS15" s="170"/>
      <c r="JT15" s="172"/>
      <c r="JU15" s="171"/>
      <c r="JV15" s="38"/>
      <c r="JW15" s="170"/>
      <c r="JX15" s="173"/>
      <c r="JY15" s="1"/>
      <c r="KA15" s="53"/>
      <c r="KC15" s="180"/>
      <c r="KD15" s="172"/>
      <c r="KE15" s="171"/>
      <c r="KF15" s="10"/>
      <c r="KG15" s="170"/>
      <c r="KH15" s="171"/>
      <c r="KI15" s="170"/>
      <c r="KJ15" s="172"/>
      <c r="KK15" s="171"/>
      <c r="KL15" s="38"/>
      <c r="KM15" s="170"/>
      <c r="KN15" s="173"/>
      <c r="KO15" s="1"/>
      <c r="KQ15" s="53"/>
      <c r="KS15" s="180"/>
      <c r="KT15" s="172"/>
      <c r="KU15" s="171"/>
      <c r="KV15" s="10"/>
      <c r="KW15" s="170"/>
      <c r="KX15" s="171"/>
      <c r="KY15" s="170"/>
      <c r="KZ15" s="172"/>
      <c r="LA15" s="171"/>
      <c r="LB15" s="38"/>
      <c r="LC15" s="170"/>
      <c r="LD15" s="173"/>
      <c r="LE15" s="1"/>
      <c r="LG15" s="53"/>
      <c r="LI15" s="180"/>
      <c r="LJ15" s="172"/>
      <c r="LK15" s="171"/>
      <c r="LL15" s="10"/>
      <c r="LM15" s="170"/>
      <c r="LN15" s="171"/>
      <c r="LO15" s="170"/>
      <c r="LP15" s="172"/>
      <c r="LQ15" s="171"/>
      <c r="LR15" s="38"/>
      <c r="LS15" s="170"/>
      <c r="LT15" s="173"/>
      <c r="LU15" s="1"/>
      <c r="LW15" s="53"/>
      <c r="LY15" s="180"/>
      <c r="LZ15" s="172"/>
      <c r="MA15" s="171"/>
      <c r="MB15" s="10"/>
      <c r="MC15" s="170"/>
      <c r="MD15" s="171"/>
      <c r="ME15" s="170"/>
      <c r="MF15" s="172"/>
      <c r="MG15" s="171"/>
      <c r="MH15" s="38"/>
      <c r="MI15" s="170"/>
      <c r="MJ15" s="173"/>
      <c r="MK15" s="1"/>
      <c r="MM15" s="53"/>
    </row>
    <row r="16" spans="1:351" ht="20.100000000000001" customHeight="1" x14ac:dyDescent="0.3">
      <c r="A16" s="181" t="s">
        <v>23</v>
      </c>
      <c r="B16" s="182"/>
      <c r="C16" s="183"/>
      <c r="D16" s="11"/>
      <c r="E16" s="66"/>
      <c r="F16" s="69"/>
      <c r="G16" s="66"/>
      <c r="H16" s="67"/>
      <c r="I16" s="69"/>
      <c r="J16" s="12"/>
      <c r="K16" s="66"/>
      <c r="L16" s="68"/>
      <c r="M16" s="1"/>
      <c r="O16" s="53"/>
      <c r="Q16" s="181" t="s">
        <v>23</v>
      </c>
      <c r="R16" s="182"/>
      <c r="S16" s="183"/>
      <c r="T16" s="11"/>
      <c r="U16" s="66"/>
      <c r="V16" s="69"/>
      <c r="W16" s="66"/>
      <c r="X16" s="67"/>
      <c r="Y16" s="69"/>
      <c r="Z16" s="12"/>
      <c r="AA16" s="66"/>
      <c r="AB16" s="68"/>
      <c r="AC16" s="1"/>
      <c r="AE16" s="53"/>
      <c r="AG16" s="181" t="s">
        <v>23</v>
      </c>
      <c r="AH16" s="182"/>
      <c r="AI16" s="183"/>
      <c r="AJ16" s="11"/>
      <c r="AK16" s="66"/>
      <c r="AL16" s="69"/>
      <c r="AM16" s="66"/>
      <c r="AN16" s="67"/>
      <c r="AO16" s="69"/>
      <c r="AP16" s="12"/>
      <c r="AQ16" s="66"/>
      <c r="AR16" s="68"/>
      <c r="AS16" s="1"/>
      <c r="AU16" s="53"/>
      <c r="AW16" s="181" t="s">
        <v>23</v>
      </c>
      <c r="AX16" s="182"/>
      <c r="AY16" s="183"/>
      <c r="AZ16" s="11"/>
      <c r="BA16" s="66"/>
      <c r="BB16" s="69"/>
      <c r="BC16" s="66"/>
      <c r="BD16" s="67"/>
      <c r="BE16" s="69"/>
      <c r="BF16" s="12"/>
      <c r="BG16" s="66"/>
      <c r="BH16" s="68"/>
      <c r="BI16" s="1"/>
      <c r="BK16" s="53"/>
      <c r="BM16" s="181" t="s">
        <v>23</v>
      </c>
      <c r="BN16" s="182"/>
      <c r="BO16" s="183"/>
      <c r="BP16" s="11"/>
      <c r="BQ16" s="66"/>
      <c r="BR16" s="69"/>
      <c r="BS16" s="66"/>
      <c r="BT16" s="67"/>
      <c r="BU16" s="69"/>
      <c r="BV16" s="12"/>
      <c r="BW16" s="66"/>
      <c r="BX16" s="68"/>
      <c r="BY16" s="1"/>
      <c r="CA16" s="53"/>
      <c r="CC16" s="181" t="s">
        <v>23</v>
      </c>
      <c r="CD16" s="182"/>
      <c r="CE16" s="183"/>
      <c r="CF16" s="11"/>
      <c r="CG16" s="66"/>
      <c r="CH16" s="69"/>
      <c r="CI16" s="66"/>
      <c r="CJ16" s="67"/>
      <c r="CK16" s="69"/>
      <c r="CL16" s="12"/>
      <c r="CM16" s="66"/>
      <c r="CN16" s="68"/>
      <c r="CO16" s="1"/>
      <c r="CQ16" s="53"/>
      <c r="CS16" s="181" t="s">
        <v>23</v>
      </c>
      <c r="CT16" s="182"/>
      <c r="CU16" s="183"/>
      <c r="CV16" s="11"/>
      <c r="CW16" s="66"/>
      <c r="CX16" s="69"/>
      <c r="CY16" s="66"/>
      <c r="CZ16" s="67"/>
      <c r="DA16" s="69"/>
      <c r="DB16" s="12"/>
      <c r="DC16" s="66"/>
      <c r="DD16" s="68"/>
      <c r="DE16" s="1"/>
      <c r="DG16" s="53"/>
      <c r="DI16" s="181" t="s">
        <v>23</v>
      </c>
      <c r="DJ16" s="182"/>
      <c r="DK16" s="183"/>
      <c r="DL16" s="11"/>
      <c r="DM16" s="66"/>
      <c r="DN16" s="69"/>
      <c r="DO16" s="66"/>
      <c r="DP16" s="67"/>
      <c r="DQ16" s="69"/>
      <c r="DR16" s="12"/>
      <c r="DS16" s="66"/>
      <c r="DT16" s="68"/>
      <c r="DU16" s="1"/>
      <c r="DW16" s="53"/>
      <c r="DY16" s="181" t="s">
        <v>23</v>
      </c>
      <c r="DZ16" s="182"/>
      <c r="EA16" s="183"/>
      <c r="EB16" s="11"/>
      <c r="EC16" s="66"/>
      <c r="ED16" s="69"/>
      <c r="EE16" s="66"/>
      <c r="EF16" s="67"/>
      <c r="EG16" s="69"/>
      <c r="EH16" s="12"/>
      <c r="EI16" s="66"/>
      <c r="EJ16" s="68"/>
      <c r="EK16" s="1"/>
      <c r="EM16" s="53"/>
      <c r="EO16" s="181" t="s">
        <v>23</v>
      </c>
      <c r="EP16" s="182"/>
      <c r="EQ16" s="183"/>
      <c r="ER16" s="11"/>
      <c r="ES16" s="66"/>
      <c r="ET16" s="69"/>
      <c r="EU16" s="66"/>
      <c r="EV16" s="67"/>
      <c r="EW16" s="69"/>
      <c r="EX16" s="12"/>
      <c r="EY16" s="66"/>
      <c r="EZ16" s="68"/>
      <c r="FA16" s="1"/>
      <c r="FC16" s="53"/>
      <c r="FE16" s="181" t="s">
        <v>23</v>
      </c>
      <c r="FF16" s="182"/>
      <c r="FG16" s="183"/>
      <c r="FH16" s="11"/>
      <c r="FI16" s="66"/>
      <c r="FJ16" s="69"/>
      <c r="FK16" s="66"/>
      <c r="FL16" s="67"/>
      <c r="FM16" s="69"/>
      <c r="FN16" s="12"/>
      <c r="FO16" s="66"/>
      <c r="FP16" s="68"/>
      <c r="FQ16" s="1"/>
      <c r="FS16" s="53"/>
      <c r="FU16" s="181" t="s">
        <v>23</v>
      </c>
      <c r="FV16" s="182"/>
      <c r="FW16" s="183"/>
      <c r="FX16" s="11"/>
      <c r="FY16" s="66"/>
      <c r="FZ16" s="69"/>
      <c r="GA16" s="66"/>
      <c r="GB16" s="67"/>
      <c r="GC16" s="69"/>
      <c r="GD16" s="12"/>
      <c r="GE16" s="66"/>
      <c r="GF16" s="68"/>
      <c r="GG16" s="1"/>
      <c r="GI16" s="53"/>
      <c r="GK16" s="181" t="s">
        <v>23</v>
      </c>
      <c r="GL16" s="182"/>
      <c r="GM16" s="183"/>
      <c r="GN16" s="11"/>
      <c r="GO16" s="66"/>
      <c r="GP16" s="69"/>
      <c r="GQ16" s="66"/>
      <c r="GR16" s="67"/>
      <c r="GS16" s="69"/>
      <c r="GT16" s="12"/>
      <c r="GU16" s="66"/>
      <c r="GV16" s="68"/>
      <c r="GW16" s="1"/>
      <c r="GY16" s="53"/>
      <c r="HA16" s="181" t="s">
        <v>23</v>
      </c>
      <c r="HB16" s="182"/>
      <c r="HC16" s="183"/>
      <c r="HD16" s="11"/>
      <c r="HE16" s="66"/>
      <c r="HF16" s="69"/>
      <c r="HG16" s="66"/>
      <c r="HH16" s="67"/>
      <c r="HI16" s="69"/>
      <c r="HJ16" s="12"/>
      <c r="HK16" s="66"/>
      <c r="HL16" s="68"/>
      <c r="HM16" s="1"/>
      <c r="HO16" s="53"/>
      <c r="HQ16" s="181" t="s">
        <v>23</v>
      </c>
      <c r="HR16" s="182"/>
      <c r="HS16" s="183"/>
      <c r="HT16" s="11"/>
      <c r="HU16" s="66"/>
      <c r="HV16" s="69"/>
      <c r="HW16" s="66"/>
      <c r="HX16" s="67"/>
      <c r="HY16" s="69"/>
      <c r="HZ16" s="12"/>
      <c r="IA16" s="66"/>
      <c r="IB16" s="68"/>
      <c r="IC16" s="1"/>
      <c r="IE16" s="53"/>
      <c r="IG16" s="181" t="s">
        <v>23</v>
      </c>
      <c r="IH16" s="182"/>
      <c r="II16" s="183"/>
      <c r="IJ16" s="11"/>
      <c r="IK16" s="66"/>
      <c r="IL16" s="69"/>
      <c r="IM16" s="66"/>
      <c r="IN16" s="67"/>
      <c r="IO16" s="69"/>
      <c r="IP16" s="12"/>
      <c r="IQ16" s="66"/>
      <c r="IR16" s="68"/>
      <c r="IS16" s="1"/>
      <c r="IU16" s="53"/>
      <c r="IW16" s="181" t="s">
        <v>23</v>
      </c>
      <c r="IX16" s="182"/>
      <c r="IY16" s="183"/>
      <c r="IZ16" s="11"/>
      <c r="JA16" s="66"/>
      <c r="JB16" s="69"/>
      <c r="JC16" s="66"/>
      <c r="JD16" s="67"/>
      <c r="JE16" s="69"/>
      <c r="JF16" s="12"/>
      <c r="JG16" s="66"/>
      <c r="JH16" s="68"/>
      <c r="JI16" s="1"/>
      <c r="JK16" s="53"/>
      <c r="JM16" s="181" t="s">
        <v>23</v>
      </c>
      <c r="JN16" s="182"/>
      <c r="JO16" s="183"/>
      <c r="JP16" s="11"/>
      <c r="JQ16" s="66"/>
      <c r="JR16" s="69"/>
      <c r="JS16" s="66"/>
      <c r="JT16" s="67"/>
      <c r="JU16" s="69"/>
      <c r="JV16" s="12"/>
      <c r="JW16" s="66"/>
      <c r="JX16" s="68"/>
      <c r="JY16" s="1"/>
      <c r="KA16" s="53"/>
      <c r="KC16" s="181" t="s">
        <v>23</v>
      </c>
      <c r="KD16" s="182"/>
      <c r="KE16" s="183"/>
      <c r="KF16" s="11"/>
      <c r="KG16" s="66"/>
      <c r="KH16" s="69"/>
      <c r="KI16" s="66"/>
      <c r="KJ16" s="67"/>
      <c r="KK16" s="69"/>
      <c r="KL16" s="12"/>
      <c r="KM16" s="66"/>
      <c r="KN16" s="68"/>
      <c r="KO16" s="1"/>
      <c r="KQ16" s="53"/>
      <c r="KS16" s="181" t="s">
        <v>23</v>
      </c>
      <c r="KT16" s="182"/>
      <c r="KU16" s="183"/>
      <c r="KV16" s="11"/>
      <c r="KW16" s="66"/>
      <c r="KX16" s="69"/>
      <c r="KY16" s="66"/>
      <c r="KZ16" s="67"/>
      <c r="LA16" s="69"/>
      <c r="LB16" s="12"/>
      <c r="LC16" s="66"/>
      <c r="LD16" s="68"/>
      <c r="LE16" s="1"/>
      <c r="LG16" s="53"/>
      <c r="LI16" s="181" t="s">
        <v>23</v>
      </c>
      <c r="LJ16" s="182"/>
      <c r="LK16" s="183"/>
      <c r="LL16" s="11"/>
      <c r="LM16" s="66"/>
      <c r="LN16" s="69"/>
      <c r="LO16" s="66"/>
      <c r="LP16" s="67"/>
      <c r="LQ16" s="69"/>
      <c r="LR16" s="12"/>
      <c r="LS16" s="66"/>
      <c r="LT16" s="68"/>
      <c r="LU16" s="1"/>
      <c r="LW16" s="53"/>
      <c r="LY16" s="181" t="s">
        <v>23</v>
      </c>
      <c r="LZ16" s="182"/>
      <c r="MA16" s="183"/>
      <c r="MB16" s="11"/>
      <c r="MC16" s="66"/>
      <c r="MD16" s="69"/>
      <c r="ME16" s="66"/>
      <c r="MF16" s="67"/>
      <c r="MG16" s="69"/>
      <c r="MH16" s="12"/>
      <c r="MI16" s="66"/>
      <c r="MJ16" s="68"/>
      <c r="MK16" s="1"/>
      <c r="MM16" s="53"/>
    </row>
    <row r="17" spans="1:351" ht="20.100000000000001" customHeight="1" x14ac:dyDescent="0.3">
      <c r="A17" s="164" t="s">
        <v>24</v>
      </c>
      <c r="B17" s="165"/>
      <c r="C17" s="166"/>
      <c r="D17" s="14"/>
      <c r="E17" s="77"/>
      <c r="F17" s="85"/>
      <c r="G17" s="77"/>
      <c r="H17" s="84"/>
      <c r="I17" s="85"/>
      <c r="J17" s="8"/>
      <c r="K17" s="77"/>
      <c r="L17" s="78"/>
      <c r="M17" s="1"/>
      <c r="O17" s="53"/>
      <c r="Q17" s="164" t="s">
        <v>24</v>
      </c>
      <c r="R17" s="165"/>
      <c r="S17" s="166"/>
      <c r="T17" s="14"/>
      <c r="U17" s="77"/>
      <c r="V17" s="85"/>
      <c r="W17" s="77"/>
      <c r="X17" s="84"/>
      <c r="Y17" s="85"/>
      <c r="Z17" s="8"/>
      <c r="AA17" s="77"/>
      <c r="AB17" s="78"/>
      <c r="AC17" s="1"/>
      <c r="AE17" s="53"/>
      <c r="AG17" s="164" t="s">
        <v>24</v>
      </c>
      <c r="AH17" s="165"/>
      <c r="AI17" s="166"/>
      <c r="AJ17" s="14"/>
      <c r="AK17" s="77"/>
      <c r="AL17" s="85"/>
      <c r="AM17" s="77"/>
      <c r="AN17" s="84"/>
      <c r="AO17" s="85"/>
      <c r="AP17" s="8"/>
      <c r="AQ17" s="77"/>
      <c r="AR17" s="78"/>
      <c r="AS17" s="1"/>
      <c r="AU17" s="53"/>
      <c r="AW17" s="164" t="s">
        <v>24</v>
      </c>
      <c r="AX17" s="165"/>
      <c r="AY17" s="166"/>
      <c r="AZ17" s="14"/>
      <c r="BA17" s="77"/>
      <c r="BB17" s="85"/>
      <c r="BC17" s="77"/>
      <c r="BD17" s="84"/>
      <c r="BE17" s="85"/>
      <c r="BF17" s="8"/>
      <c r="BG17" s="77"/>
      <c r="BH17" s="78"/>
      <c r="BI17" s="1"/>
      <c r="BK17" s="53"/>
      <c r="BM17" s="164" t="s">
        <v>24</v>
      </c>
      <c r="BN17" s="165"/>
      <c r="BO17" s="166"/>
      <c r="BP17" s="14"/>
      <c r="BQ17" s="77"/>
      <c r="BR17" s="85"/>
      <c r="BS17" s="77"/>
      <c r="BT17" s="84"/>
      <c r="BU17" s="85"/>
      <c r="BV17" s="8"/>
      <c r="BW17" s="77"/>
      <c r="BX17" s="78"/>
      <c r="BY17" s="1"/>
      <c r="CA17" s="53"/>
      <c r="CC17" s="164" t="s">
        <v>24</v>
      </c>
      <c r="CD17" s="165"/>
      <c r="CE17" s="166"/>
      <c r="CF17" s="14"/>
      <c r="CG17" s="77"/>
      <c r="CH17" s="85"/>
      <c r="CI17" s="77"/>
      <c r="CJ17" s="84"/>
      <c r="CK17" s="85"/>
      <c r="CL17" s="8"/>
      <c r="CM17" s="77"/>
      <c r="CN17" s="78"/>
      <c r="CO17" s="1"/>
      <c r="CQ17" s="53"/>
      <c r="CS17" s="164" t="s">
        <v>24</v>
      </c>
      <c r="CT17" s="165"/>
      <c r="CU17" s="166"/>
      <c r="CV17" s="14"/>
      <c r="CW17" s="77"/>
      <c r="CX17" s="85"/>
      <c r="CY17" s="77"/>
      <c r="CZ17" s="84"/>
      <c r="DA17" s="85"/>
      <c r="DB17" s="8"/>
      <c r="DC17" s="77"/>
      <c r="DD17" s="78"/>
      <c r="DE17" s="1"/>
      <c r="DG17" s="53"/>
      <c r="DI17" s="164" t="s">
        <v>24</v>
      </c>
      <c r="DJ17" s="165"/>
      <c r="DK17" s="166"/>
      <c r="DL17" s="14"/>
      <c r="DM17" s="77"/>
      <c r="DN17" s="85"/>
      <c r="DO17" s="77"/>
      <c r="DP17" s="84"/>
      <c r="DQ17" s="85"/>
      <c r="DR17" s="8"/>
      <c r="DS17" s="77"/>
      <c r="DT17" s="78"/>
      <c r="DU17" s="1"/>
      <c r="DW17" s="53"/>
      <c r="DY17" s="164" t="s">
        <v>24</v>
      </c>
      <c r="DZ17" s="165"/>
      <c r="EA17" s="166"/>
      <c r="EB17" s="14"/>
      <c r="EC17" s="77"/>
      <c r="ED17" s="85"/>
      <c r="EE17" s="77"/>
      <c r="EF17" s="84"/>
      <c r="EG17" s="85"/>
      <c r="EH17" s="8"/>
      <c r="EI17" s="77"/>
      <c r="EJ17" s="78"/>
      <c r="EK17" s="1"/>
      <c r="EM17" s="53"/>
      <c r="EO17" s="164" t="s">
        <v>24</v>
      </c>
      <c r="EP17" s="165"/>
      <c r="EQ17" s="166"/>
      <c r="ER17" s="14"/>
      <c r="ES17" s="77"/>
      <c r="ET17" s="85"/>
      <c r="EU17" s="77"/>
      <c r="EV17" s="84"/>
      <c r="EW17" s="85"/>
      <c r="EX17" s="8"/>
      <c r="EY17" s="77"/>
      <c r="EZ17" s="78"/>
      <c r="FA17" s="1"/>
      <c r="FC17" s="53"/>
      <c r="FE17" s="164" t="s">
        <v>24</v>
      </c>
      <c r="FF17" s="165"/>
      <c r="FG17" s="166"/>
      <c r="FH17" s="14"/>
      <c r="FI17" s="77"/>
      <c r="FJ17" s="85"/>
      <c r="FK17" s="77"/>
      <c r="FL17" s="84"/>
      <c r="FM17" s="85"/>
      <c r="FN17" s="8"/>
      <c r="FO17" s="77"/>
      <c r="FP17" s="78"/>
      <c r="FQ17" s="1"/>
      <c r="FS17" s="53"/>
      <c r="FU17" s="164" t="s">
        <v>24</v>
      </c>
      <c r="FV17" s="165"/>
      <c r="FW17" s="166"/>
      <c r="FX17" s="14"/>
      <c r="FY17" s="77"/>
      <c r="FZ17" s="85"/>
      <c r="GA17" s="77"/>
      <c r="GB17" s="84"/>
      <c r="GC17" s="85"/>
      <c r="GD17" s="8"/>
      <c r="GE17" s="77"/>
      <c r="GF17" s="78"/>
      <c r="GG17" s="1"/>
      <c r="GI17" s="53"/>
      <c r="GK17" s="164" t="s">
        <v>24</v>
      </c>
      <c r="GL17" s="165"/>
      <c r="GM17" s="166"/>
      <c r="GN17" s="14"/>
      <c r="GO17" s="77"/>
      <c r="GP17" s="85"/>
      <c r="GQ17" s="77"/>
      <c r="GR17" s="84"/>
      <c r="GS17" s="85"/>
      <c r="GT17" s="8"/>
      <c r="GU17" s="77"/>
      <c r="GV17" s="78"/>
      <c r="GW17" s="1"/>
      <c r="GY17" s="53"/>
      <c r="HA17" s="164" t="s">
        <v>24</v>
      </c>
      <c r="HB17" s="165"/>
      <c r="HC17" s="166"/>
      <c r="HD17" s="14"/>
      <c r="HE17" s="77"/>
      <c r="HF17" s="85"/>
      <c r="HG17" s="77"/>
      <c r="HH17" s="84"/>
      <c r="HI17" s="85"/>
      <c r="HJ17" s="8"/>
      <c r="HK17" s="77"/>
      <c r="HL17" s="78"/>
      <c r="HM17" s="1"/>
      <c r="HO17" s="53"/>
      <c r="HQ17" s="164" t="s">
        <v>24</v>
      </c>
      <c r="HR17" s="165"/>
      <c r="HS17" s="166"/>
      <c r="HT17" s="14"/>
      <c r="HU17" s="77"/>
      <c r="HV17" s="85"/>
      <c r="HW17" s="77"/>
      <c r="HX17" s="84"/>
      <c r="HY17" s="85"/>
      <c r="HZ17" s="8"/>
      <c r="IA17" s="77"/>
      <c r="IB17" s="78"/>
      <c r="IC17" s="1"/>
      <c r="IE17" s="53"/>
      <c r="IG17" s="164" t="s">
        <v>24</v>
      </c>
      <c r="IH17" s="165"/>
      <c r="II17" s="166"/>
      <c r="IJ17" s="14"/>
      <c r="IK17" s="77"/>
      <c r="IL17" s="85"/>
      <c r="IM17" s="77"/>
      <c r="IN17" s="84"/>
      <c r="IO17" s="85"/>
      <c r="IP17" s="8"/>
      <c r="IQ17" s="77"/>
      <c r="IR17" s="78"/>
      <c r="IS17" s="1"/>
      <c r="IU17" s="53"/>
      <c r="IW17" s="164" t="s">
        <v>24</v>
      </c>
      <c r="IX17" s="165"/>
      <c r="IY17" s="166"/>
      <c r="IZ17" s="14"/>
      <c r="JA17" s="77"/>
      <c r="JB17" s="85"/>
      <c r="JC17" s="77"/>
      <c r="JD17" s="84"/>
      <c r="JE17" s="85"/>
      <c r="JF17" s="8"/>
      <c r="JG17" s="77"/>
      <c r="JH17" s="78"/>
      <c r="JI17" s="1"/>
      <c r="JK17" s="53"/>
      <c r="JM17" s="164" t="s">
        <v>24</v>
      </c>
      <c r="JN17" s="165"/>
      <c r="JO17" s="166"/>
      <c r="JP17" s="14"/>
      <c r="JQ17" s="77"/>
      <c r="JR17" s="85"/>
      <c r="JS17" s="77"/>
      <c r="JT17" s="84"/>
      <c r="JU17" s="85"/>
      <c r="JV17" s="8"/>
      <c r="JW17" s="77"/>
      <c r="JX17" s="78"/>
      <c r="JY17" s="1"/>
      <c r="KA17" s="53"/>
      <c r="KC17" s="164" t="s">
        <v>24</v>
      </c>
      <c r="KD17" s="165"/>
      <c r="KE17" s="166"/>
      <c r="KF17" s="14"/>
      <c r="KG17" s="77"/>
      <c r="KH17" s="85"/>
      <c r="KI17" s="77"/>
      <c r="KJ17" s="84"/>
      <c r="KK17" s="85"/>
      <c r="KL17" s="8"/>
      <c r="KM17" s="77"/>
      <c r="KN17" s="78"/>
      <c r="KO17" s="1"/>
      <c r="KQ17" s="53"/>
      <c r="KS17" s="164" t="s">
        <v>24</v>
      </c>
      <c r="KT17" s="165"/>
      <c r="KU17" s="166"/>
      <c r="KV17" s="14"/>
      <c r="KW17" s="77"/>
      <c r="KX17" s="85"/>
      <c r="KY17" s="77"/>
      <c r="KZ17" s="84"/>
      <c r="LA17" s="85"/>
      <c r="LB17" s="8"/>
      <c r="LC17" s="77"/>
      <c r="LD17" s="78"/>
      <c r="LE17" s="1"/>
      <c r="LG17" s="53"/>
      <c r="LI17" s="164" t="s">
        <v>24</v>
      </c>
      <c r="LJ17" s="165"/>
      <c r="LK17" s="166"/>
      <c r="LL17" s="14"/>
      <c r="LM17" s="77"/>
      <c r="LN17" s="85"/>
      <c r="LO17" s="77"/>
      <c r="LP17" s="84"/>
      <c r="LQ17" s="85"/>
      <c r="LR17" s="8"/>
      <c r="LS17" s="77"/>
      <c r="LT17" s="78"/>
      <c r="LU17" s="1"/>
      <c r="LW17" s="53"/>
      <c r="LY17" s="164" t="s">
        <v>24</v>
      </c>
      <c r="LZ17" s="165"/>
      <c r="MA17" s="166"/>
      <c r="MB17" s="14"/>
      <c r="MC17" s="77"/>
      <c r="MD17" s="85"/>
      <c r="ME17" s="77"/>
      <c r="MF17" s="84"/>
      <c r="MG17" s="85"/>
      <c r="MH17" s="8"/>
      <c r="MI17" s="77"/>
      <c r="MJ17" s="78"/>
      <c r="MK17" s="1"/>
      <c r="MM17" s="53"/>
    </row>
    <row r="18" spans="1:351" ht="20.100000000000001" customHeight="1" thickBot="1" x14ac:dyDescent="0.35">
      <c r="A18" s="167" t="s">
        <v>25</v>
      </c>
      <c r="B18" s="168"/>
      <c r="C18" s="169"/>
      <c r="D18" s="16"/>
      <c r="E18" s="170"/>
      <c r="F18" s="171"/>
      <c r="G18" s="170"/>
      <c r="H18" s="172"/>
      <c r="I18" s="171"/>
      <c r="J18" s="17"/>
      <c r="K18" s="170"/>
      <c r="L18" s="173"/>
      <c r="M18" s="1"/>
      <c r="O18" s="53"/>
      <c r="Q18" s="167" t="s">
        <v>25</v>
      </c>
      <c r="R18" s="168"/>
      <c r="S18" s="169"/>
      <c r="T18" s="16"/>
      <c r="U18" s="170"/>
      <c r="V18" s="171"/>
      <c r="W18" s="170"/>
      <c r="X18" s="172"/>
      <c r="Y18" s="171"/>
      <c r="Z18" s="17"/>
      <c r="AA18" s="170"/>
      <c r="AB18" s="173"/>
      <c r="AC18" s="1"/>
      <c r="AE18" s="53"/>
      <c r="AG18" s="167" t="s">
        <v>25</v>
      </c>
      <c r="AH18" s="168"/>
      <c r="AI18" s="169"/>
      <c r="AJ18" s="16"/>
      <c r="AK18" s="170"/>
      <c r="AL18" s="171"/>
      <c r="AM18" s="170"/>
      <c r="AN18" s="172"/>
      <c r="AO18" s="171"/>
      <c r="AP18" s="17"/>
      <c r="AQ18" s="170"/>
      <c r="AR18" s="173"/>
      <c r="AS18" s="1"/>
      <c r="AU18" s="53"/>
      <c r="AW18" s="167" t="s">
        <v>25</v>
      </c>
      <c r="AX18" s="168"/>
      <c r="AY18" s="169"/>
      <c r="AZ18" s="16"/>
      <c r="BA18" s="170"/>
      <c r="BB18" s="171"/>
      <c r="BC18" s="170"/>
      <c r="BD18" s="172"/>
      <c r="BE18" s="171"/>
      <c r="BF18" s="17"/>
      <c r="BG18" s="170"/>
      <c r="BH18" s="173"/>
      <c r="BI18" s="1"/>
      <c r="BK18" s="53"/>
      <c r="BM18" s="167" t="s">
        <v>25</v>
      </c>
      <c r="BN18" s="168"/>
      <c r="BO18" s="169"/>
      <c r="BP18" s="16"/>
      <c r="BQ18" s="170"/>
      <c r="BR18" s="171"/>
      <c r="BS18" s="170"/>
      <c r="BT18" s="172"/>
      <c r="BU18" s="171"/>
      <c r="BV18" s="17"/>
      <c r="BW18" s="170"/>
      <c r="BX18" s="173"/>
      <c r="BY18" s="1"/>
      <c r="CA18" s="53"/>
      <c r="CC18" s="167" t="s">
        <v>25</v>
      </c>
      <c r="CD18" s="168"/>
      <c r="CE18" s="169"/>
      <c r="CF18" s="16"/>
      <c r="CG18" s="170"/>
      <c r="CH18" s="171"/>
      <c r="CI18" s="170"/>
      <c r="CJ18" s="172"/>
      <c r="CK18" s="171"/>
      <c r="CL18" s="17"/>
      <c r="CM18" s="170"/>
      <c r="CN18" s="173"/>
      <c r="CO18" s="1"/>
      <c r="CQ18" s="53"/>
      <c r="CS18" s="167" t="s">
        <v>25</v>
      </c>
      <c r="CT18" s="168"/>
      <c r="CU18" s="169"/>
      <c r="CV18" s="16"/>
      <c r="CW18" s="170"/>
      <c r="CX18" s="171"/>
      <c r="CY18" s="170"/>
      <c r="CZ18" s="172"/>
      <c r="DA18" s="171"/>
      <c r="DB18" s="17"/>
      <c r="DC18" s="170"/>
      <c r="DD18" s="173"/>
      <c r="DE18" s="1"/>
      <c r="DG18" s="53"/>
      <c r="DI18" s="167" t="s">
        <v>25</v>
      </c>
      <c r="DJ18" s="168"/>
      <c r="DK18" s="169"/>
      <c r="DL18" s="16"/>
      <c r="DM18" s="170"/>
      <c r="DN18" s="171"/>
      <c r="DO18" s="170"/>
      <c r="DP18" s="172"/>
      <c r="DQ18" s="171"/>
      <c r="DR18" s="17"/>
      <c r="DS18" s="170"/>
      <c r="DT18" s="173"/>
      <c r="DU18" s="1"/>
      <c r="DW18" s="53"/>
      <c r="DY18" s="167" t="s">
        <v>25</v>
      </c>
      <c r="DZ18" s="168"/>
      <c r="EA18" s="169"/>
      <c r="EB18" s="16"/>
      <c r="EC18" s="170"/>
      <c r="ED18" s="171"/>
      <c r="EE18" s="170"/>
      <c r="EF18" s="172"/>
      <c r="EG18" s="171"/>
      <c r="EH18" s="17"/>
      <c r="EI18" s="170"/>
      <c r="EJ18" s="173"/>
      <c r="EK18" s="1"/>
      <c r="EM18" s="53"/>
      <c r="EO18" s="167" t="s">
        <v>25</v>
      </c>
      <c r="EP18" s="168"/>
      <c r="EQ18" s="169"/>
      <c r="ER18" s="16"/>
      <c r="ES18" s="170"/>
      <c r="ET18" s="171"/>
      <c r="EU18" s="170"/>
      <c r="EV18" s="172"/>
      <c r="EW18" s="171"/>
      <c r="EX18" s="17"/>
      <c r="EY18" s="170"/>
      <c r="EZ18" s="173"/>
      <c r="FA18" s="1"/>
      <c r="FC18" s="53"/>
      <c r="FE18" s="167" t="s">
        <v>25</v>
      </c>
      <c r="FF18" s="168"/>
      <c r="FG18" s="169"/>
      <c r="FH18" s="16"/>
      <c r="FI18" s="170"/>
      <c r="FJ18" s="171"/>
      <c r="FK18" s="170"/>
      <c r="FL18" s="172"/>
      <c r="FM18" s="171"/>
      <c r="FN18" s="17"/>
      <c r="FO18" s="170"/>
      <c r="FP18" s="173"/>
      <c r="FQ18" s="1"/>
      <c r="FS18" s="53"/>
      <c r="FU18" s="167" t="s">
        <v>25</v>
      </c>
      <c r="FV18" s="168"/>
      <c r="FW18" s="169"/>
      <c r="FX18" s="16"/>
      <c r="FY18" s="170"/>
      <c r="FZ18" s="171"/>
      <c r="GA18" s="170"/>
      <c r="GB18" s="172"/>
      <c r="GC18" s="171"/>
      <c r="GD18" s="17"/>
      <c r="GE18" s="170"/>
      <c r="GF18" s="173"/>
      <c r="GG18" s="1"/>
      <c r="GI18" s="53"/>
      <c r="GK18" s="167" t="s">
        <v>25</v>
      </c>
      <c r="GL18" s="168"/>
      <c r="GM18" s="169"/>
      <c r="GN18" s="16"/>
      <c r="GO18" s="170"/>
      <c r="GP18" s="171"/>
      <c r="GQ18" s="170"/>
      <c r="GR18" s="172"/>
      <c r="GS18" s="171"/>
      <c r="GT18" s="17"/>
      <c r="GU18" s="170"/>
      <c r="GV18" s="173"/>
      <c r="GW18" s="1"/>
      <c r="GY18" s="53"/>
      <c r="HA18" s="167" t="s">
        <v>25</v>
      </c>
      <c r="HB18" s="168"/>
      <c r="HC18" s="169"/>
      <c r="HD18" s="16"/>
      <c r="HE18" s="170"/>
      <c r="HF18" s="171"/>
      <c r="HG18" s="170"/>
      <c r="HH18" s="172"/>
      <c r="HI18" s="171"/>
      <c r="HJ18" s="17"/>
      <c r="HK18" s="170"/>
      <c r="HL18" s="173"/>
      <c r="HM18" s="1"/>
      <c r="HO18" s="53"/>
      <c r="HQ18" s="167" t="s">
        <v>25</v>
      </c>
      <c r="HR18" s="168"/>
      <c r="HS18" s="169"/>
      <c r="HT18" s="16"/>
      <c r="HU18" s="170"/>
      <c r="HV18" s="171"/>
      <c r="HW18" s="170"/>
      <c r="HX18" s="172"/>
      <c r="HY18" s="171"/>
      <c r="HZ18" s="17"/>
      <c r="IA18" s="170"/>
      <c r="IB18" s="173"/>
      <c r="IC18" s="1"/>
      <c r="IE18" s="53"/>
      <c r="IG18" s="167" t="s">
        <v>25</v>
      </c>
      <c r="IH18" s="168"/>
      <c r="II18" s="169"/>
      <c r="IJ18" s="16"/>
      <c r="IK18" s="170"/>
      <c r="IL18" s="171"/>
      <c r="IM18" s="170"/>
      <c r="IN18" s="172"/>
      <c r="IO18" s="171"/>
      <c r="IP18" s="17"/>
      <c r="IQ18" s="170"/>
      <c r="IR18" s="173"/>
      <c r="IS18" s="1"/>
      <c r="IU18" s="53"/>
      <c r="IW18" s="167" t="s">
        <v>25</v>
      </c>
      <c r="IX18" s="168"/>
      <c r="IY18" s="169"/>
      <c r="IZ18" s="16"/>
      <c r="JA18" s="170"/>
      <c r="JB18" s="171"/>
      <c r="JC18" s="170"/>
      <c r="JD18" s="172"/>
      <c r="JE18" s="171"/>
      <c r="JF18" s="17"/>
      <c r="JG18" s="170"/>
      <c r="JH18" s="173"/>
      <c r="JI18" s="1"/>
      <c r="JK18" s="53"/>
      <c r="JM18" s="167" t="s">
        <v>25</v>
      </c>
      <c r="JN18" s="168"/>
      <c r="JO18" s="169"/>
      <c r="JP18" s="16"/>
      <c r="JQ18" s="170"/>
      <c r="JR18" s="171"/>
      <c r="JS18" s="170"/>
      <c r="JT18" s="172"/>
      <c r="JU18" s="171"/>
      <c r="JV18" s="17"/>
      <c r="JW18" s="170"/>
      <c r="JX18" s="173"/>
      <c r="JY18" s="1"/>
      <c r="KA18" s="53"/>
      <c r="KC18" s="167" t="s">
        <v>25</v>
      </c>
      <c r="KD18" s="168"/>
      <c r="KE18" s="169"/>
      <c r="KF18" s="16"/>
      <c r="KG18" s="170"/>
      <c r="KH18" s="171"/>
      <c r="KI18" s="170"/>
      <c r="KJ18" s="172"/>
      <c r="KK18" s="171"/>
      <c r="KL18" s="17"/>
      <c r="KM18" s="170"/>
      <c r="KN18" s="173"/>
      <c r="KO18" s="1"/>
      <c r="KQ18" s="53"/>
      <c r="KS18" s="167" t="s">
        <v>25</v>
      </c>
      <c r="KT18" s="168"/>
      <c r="KU18" s="169"/>
      <c r="KV18" s="16"/>
      <c r="KW18" s="170"/>
      <c r="KX18" s="171"/>
      <c r="KY18" s="170"/>
      <c r="KZ18" s="172"/>
      <c r="LA18" s="171"/>
      <c r="LB18" s="17"/>
      <c r="LC18" s="170"/>
      <c r="LD18" s="173"/>
      <c r="LE18" s="1"/>
      <c r="LG18" s="53"/>
      <c r="LI18" s="167" t="s">
        <v>25</v>
      </c>
      <c r="LJ18" s="168"/>
      <c r="LK18" s="169"/>
      <c r="LL18" s="16"/>
      <c r="LM18" s="170"/>
      <c r="LN18" s="171"/>
      <c r="LO18" s="170"/>
      <c r="LP18" s="172"/>
      <c r="LQ18" s="171"/>
      <c r="LR18" s="17"/>
      <c r="LS18" s="170"/>
      <c r="LT18" s="173"/>
      <c r="LU18" s="1"/>
      <c r="LW18" s="53"/>
      <c r="LY18" s="167" t="s">
        <v>25</v>
      </c>
      <c r="LZ18" s="168"/>
      <c r="MA18" s="169"/>
      <c r="MB18" s="16"/>
      <c r="MC18" s="170"/>
      <c r="MD18" s="171"/>
      <c r="ME18" s="170"/>
      <c r="MF18" s="172"/>
      <c r="MG18" s="171"/>
      <c r="MH18" s="17"/>
      <c r="MI18" s="170"/>
      <c r="MJ18" s="173"/>
      <c r="MK18" s="1"/>
      <c r="MM18" s="53"/>
    </row>
    <row r="19" spans="1:351" ht="20.100000000000001" customHeight="1" x14ac:dyDescent="0.3">
      <c r="A19" s="174" t="s">
        <v>26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6"/>
      <c r="M19" s="1"/>
      <c r="O19" s="53"/>
      <c r="Q19" s="174" t="s">
        <v>26</v>
      </c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6"/>
      <c r="AC19" s="1"/>
      <c r="AE19" s="53"/>
      <c r="AG19" s="174" t="s">
        <v>26</v>
      </c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6"/>
      <c r="AS19" s="1"/>
      <c r="AU19" s="53"/>
      <c r="AW19" s="174" t="s">
        <v>26</v>
      </c>
      <c r="AX19" s="175"/>
      <c r="AY19" s="175"/>
      <c r="AZ19" s="175"/>
      <c r="BA19" s="175"/>
      <c r="BB19" s="175"/>
      <c r="BC19" s="175"/>
      <c r="BD19" s="175"/>
      <c r="BE19" s="175"/>
      <c r="BF19" s="175"/>
      <c r="BG19" s="175"/>
      <c r="BH19" s="176"/>
      <c r="BI19" s="1"/>
      <c r="BK19" s="53"/>
      <c r="BM19" s="174" t="s">
        <v>26</v>
      </c>
      <c r="BN19" s="175"/>
      <c r="BO19" s="175"/>
      <c r="BP19" s="175"/>
      <c r="BQ19" s="175"/>
      <c r="BR19" s="175"/>
      <c r="BS19" s="175"/>
      <c r="BT19" s="175"/>
      <c r="BU19" s="175"/>
      <c r="BV19" s="175"/>
      <c r="BW19" s="175"/>
      <c r="BX19" s="176"/>
      <c r="BY19" s="1"/>
      <c r="CA19" s="53"/>
      <c r="CC19" s="174" t="s">
        <v>26</v>
      </c>
      <c r="CD19" s="175"/>
      <c r="CE19" s="175"/>
      <c r="CF19" s="175"/>
      <c r="CG19" s="175"/>
      <c r="CH19" s="175"/>
      <c r="CI19" s="175"/>
      <c r="CJ19" s="175"/>
      <c r="CK19" s="175"/>
      <c r="CL19" s="175"/>
      <c r="CM19" s="175"/>
      <c r="CN19" s="176"/>
      <c r="CO19" s="1"/>
      <c r="CQ19" s="53"/>
      <c r="CS19" s="174" t="s">
        <v>26</v>
      </c>
      <c r="CT19" s="175"/>
      <c r="CU19" s="175"/>
      <c r="CV19" s="175"/>
      <c r="CW19" s="175"/>
      <c r="CX19" s="175"/>
      <c r="CY19" s="175"/>
      <c r="CZ19" s="175"/>
      <c r="DA19" s="175"/>
      <c r="DB19" s="175"/>
      <c r="DC19" s="175"/>
      <c r="DD19" s="176"/>
      <c r="DE19" s="1"/>
      <c r="DG19" s="53"/>
      <c r="DI19" s="174" t="s">
        <v>26</v>
      </c>
      <c r="DJ19" s="175"/>
      <c r="DK19" s="175"/>
      <c r="DL19" s="175"/>
      <c r="DM19" s="175"/>
      <c r="DN19" s="175"/>
      <c r="DO19" s="175"/>
      <c r="DP19" s="175"/>
      <c r="DQ19" s="175"/>
      <c r="DR19" s="175"/>
      <c r="DS19" s="175"/>
      <c r="DT19" s="176"/>
      <c r="DU19" s="1"/>
      <c r="DW19" s="53"/>
      <c r="DY19" s="174" t="s">
        <v>26</v>
      </c>
      <c r="DZ19" s="175"/>
      <c r="EA19" s="175"/>
      <c r="EB19" s="175"/>
      <c r="EC19" s="175"/>
      <c r="ED19" s="175"/>
      <c r="EE19" s="175"/>
      <c r="EF19" s="175"/>
      <c r="EG19" s="175"/>
      <c r="EH19" s="175"/>
      <c r="EI19" s="175"/>
      <c r="EJ19" s="176"/>
      <c r="EK19" s="1"/>
      <c r="EM19" s="53"/>
      <c r="EO19" s="174" t="s">
        <v>26</v>
      </c>
      <c r="EP19" s="175"/>
      <c r="EQ19" s="175"/>
      <c r="ER19" s="175"/>
      <c r="ES19" s="175"/>
      <c r="ET19" s="175"/>
      <c r="EU19" s="175"/>
      <c r="EV19" s="175"/>
      <c r="EW19" s="175"/>
      <c r="EX19" s="175"/>
      <c r="EY19" s="175"/>
      <c r="EZ19" s="176"/>
      <c r="FA19" s="1"/>
      <c r="FC19" s="53"/>
      <c r="FE19" s="174" t="s">
        <v>26</v>
      </c>
      <c r="FF19" s="175"/>
      <c r="FG19" s="175"/>
      <c r="FH19" s="175"/>
      <c r="FI19" s="175"/>
      <c r="FJ19" s="175"/>
      <c r="FK19" s="175"/>
      <c r="FL19" s="175"/>
      <c r="FM19" s="175"/>
      <c r="FN19" s="175"/>
      <c r="FO19" s="175"/>
      <c r="FP19" s="176"/>
      <c r="FQ19" s="1"/>
      <c r="FS19" s="53"/>
      <c r="FU19" s="174" t="s">
        <v>26</v>
      </c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6"/>
      <c r="GG19" s="1"/>
      <c r="GI19" s="53"/>
      <c r="GK19" s="174" t="s">
        <v>26</v>
      </c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6"/>
      <c r="GW19" s="1"/>
      <c r="GY19" s="53"/>
      <c r="HA19" s="174" t="s">
        <v>26</v>
      </c>
      <c r="HB19" s="175"/>
      <c r="HC19" s="175"/>
      <c r="HD19" s="175"/>
      <c r="HE19" s="175"/>
      <c r="HF19" s="175"/>
      <c r="HG19" s="175"/>
      <c r="HH19" s="175"/>
      <c r="HI19" s="175"/>
      <c r="HJ19" s="175"/>
      <c r="HK19" s="175"/>
      <c r="HL19" s="176"/>
      <c r="HM19" s="1"/>
      <c r="HO19" s="53"/>
      <c r="HQ19" s="174" t="s">
        <v>26</v>
      </c>
      <c r="HR19" s="175"/>
      <c r="HS19" s="175"/>
      <c r="HT19" s="175"/>
      <c r="HU19" s="175"/>
      <c r="HV19" s="175"/>
      <c r="HW19" s="175"/>
      <c r="HX19" s="175"/>
      <c r="HY19" s="175"/>
      <c r="HZ19" s="175"/>
      <c r="IA19" s="175"/>
      <c r="IB19" s="176"/>
      <c r="IC19" s="1"/>
      <c r="IE19" s="53"/>
      <c r="IG19" s="174" t="s">
        <v>26</v>
      </c>
      <c r="IH19" s="175"/>
      <c r="II19" s="175"/>
      <c r="IJ19" s="175"/>
      <c r="IK19" s="175"/>
      <c r="IL19" s="175"/>
      <c r="IM19" s="175"/>
      <c r="IN19" s="175"/>
      <c r="IO19" s="175"/>
      <c r="IP19" s="175"/>
      <c r="IQ19" s="175"/>
      <c r="IR19" s="176"/>
      <c r="IS19" s="1"/>
      <c r="IU19" s="53"/>
      <c r="IW19" s="174" t="s">
        <v>26</v>
      </c>
      <c r="IX19" s="175"/>
      <c r="IY19" s="175"/>
      <c r="IZ19" s="175"/>
      <c r="JA19" s="175"/>
      <c r="JB19" s="175"/>
      <c r="JC19" s="175"/>
      <c r="JD19" s="175"/>
      <c r="JE19" s="175"/>
      <c r="JF19" s="175"/>
      <c r="JG19" s="175"/>
      <c r="JH19" s="176"/>
      <c r="JI19" s="1"/>
      <c r="JK19" s="53"/>
      <c r="JM19" s="174" t="s">
        <v>26</v>
      </c>
      <c r="JN19" s="175"/>
      <c r="JO19" s="175"/>
      <c r="JP19" s="175"/>
      <c r="JQ19" s="175"/>
      <c r="JR19" s="175"/>
      <c r="JS19" s="175"/>
      <c r="JT19" s="175"/>
      <c r="JU19" s="175"/>
      <c r="JV19" s="175"/>
      <c r="JW19" s="175"/>
      <c r="JX19" s="176"/>
      <c r="JY19" s="1"/>
      <c r="KA19" s="53"/>
      <c r="KC19" s="174" t="s">
        <v>26</v>
      </c>
      <c r="KD19" s="175"/>
      <c r="KE19" s="175"/>
      <c r="KF19" s="175"/>
      <c r="KG19" s="175"/>
      <c r="KH19" s="175"/>
      <c r="KI19" s="175"/>
      <c r="KJ19" s="175"/>
      <c r="KK19" s="175"/>
      <c r="KL19" s="175"/>
      <c r="KM19" s="175"/>
      <c r="KN19" s="176"/>
      <c r="KO19" s="1"/>
      <c r="KQ19" s="53"/>
      <c r="KS19" s="174" t="s">
        <v>26</v>
      </c>
      <c r="KT19" s="175"/>
      <c r="KU19" s="175"/>
      <c r="KV19" s="175"/>
      <c r="KW19" s="175"/>
      <c r="KX19" s="175"/>
      <c r="KY19" s="175"/>
      <c r="KZ19" s="175"/>
      <c r="LA19" s="175"/>
      <c r="LB19" s="175"/>
      <c r="LC19" s="175"/>
      <c r="LD19" s="176"/>
      <c r="LE19" s="1"/>
      <c r="LG19" s="53"/>
      <c r="LI19" s="174" t="s">
        <v>26</v>
      </c>
      <c r="LJ19" s="175"/>
      <c r="LK19" s="175"/>
      <c r="LL19" s="175"/>
      <c r="LM19" s="175"/>
      <c r="LN19" s="175"/>
      <c r="LO19" s="175"/>
      <c r="LP19" s="175"/>
      <c r="LQ19" s="175"/>
      <c r="LR19" s="175"/>
      <c r="LS19" s="175"/>
      <c r="LT19" s="176"/>
      <c r="LU19" s="1"/>
      <c r="LW19" s="53"/>
      <c r="LY19" s="174" t="s">
        <v>26</v>
      </c>
      <c r="LZ19" s="175"/>
      <c r="MA19" s="175"/>
      <c r="MB19" s="175"/>
      <c r="MC19" s="175"/>
      <c r="MD19" s="175"/>
      <c r="ME19" s="175"/>
      <c r="MF19" s="175"/>
      <c r="MG19" s="175"/>
      <c r="MH19" s="175"/>
      <c r="MI19" s="175"/>
      <c r="MJ19" s="176"/>
      <c r="MK19" s="1"/>
      <c r="MM19" s="53"/>
    </row>
    <row r="20" spans="1:351" ht="20.100000000000001" customHeight="1" x14ac:dyDescent="0.3">
      <c r="A20" s="92" t="s">
        <v>27</v>
      </c>
      <c r="B20" s="84"/>
      <c r="C20" s="85"/>
      <c r="D20" s="8" t="s">
        <v>18</v>
      </c>
      <c r="E20" s="77" t="s">
        <v>28</v>
      </c>
      <c r="F20" s="85"/>
      <c r="G20" s="77" t="s">
        <v>29</v>
      </c>
      <c r="H20" s="84"/>
      <c r="I20" s="85"/>
      <c r="J20" s="8" t="s">
        <v>30</v>
      </c>
      <c r="K20" s="77" t="s">
        <v>22</v>
      </c>
      <c r="L20" s="78"/>
      <c r="M20" s="1"/>
      <c r="O20" s="53"/>
      <c r="Q20" s="92" t="s">
        <v>27</v>
      </c>
      <c r="R20" s="84"/>
      <c r="S20" s="85"/>
      <c r="T20" s="8" t="s">
        <v>18</v>
      </c>
      <c r="U20" s="77" t="s">
        <v>28</v>
      </c>
      <c r="V20" s="85"/>
      <c r="W20" s="77" t="s">
        <v>29</v>
      </c>
      <c r="X20" s="84"/>
      <c r="Y20" s="85"/>
      <c r="Z20" s="8" t="s">
        <v>30</v>
      </c>
      <c r="AA20" s="77" t="s">
        <v>6</v>
      </c>
      <c r="AB20" s="78"/>
      <c r="AC20" s="1"/>
      <c r="AE20" s="53"/>
      <c r="AG20" s="92" t="s">
        <v>27</v>
      </c>
      <c r="AH20" s="84"/>
      <c r="AI20" s="85"/>
      <c r="AJ20" s="8" t="s">
        <v>18</v>
      </c>
      <c r="AK20" s="77" t="s">
        <v>28</v>
      </c>
      <c r="AL20" s="85"/>
      <c r="AM20" s="77" t="s">
        <v>29</v>
      </c>
      <c r="AN20" s="84"/>
      <c r="AO20" s="85"/>
      <c r="AP20" s="8" t="s">
        <v>30</v>
      </c>
      <c r="AQ20" s="77" t="s">
        <v>6</v>
      </c>
      <c r="AR20" s="78"/>
      <c r="AS20" s="1"/>
      <c r="AU20" s="53"/>
      <c r="AW20" s="92" t="s">
        <v>27</v>
      </c>
      <c r="AX20" s="84"/>
      <c r="AY20" s="85"/>
      <c r="AZ20" s="8" t="s">
        <v>18</v>
      </c>
      <c r="BA20" s="77" t="s">
        <v>28</v>
      </c>
      <c r="BB20" s="85"/>
      <c r="BC20" s="77" t="s">
        <v>29</v>
      </c>
      <c r="BD20" s="84"/>
      <c r="BE20" s="85"/>
      <c r="BF20" s="8" t="s">
        <v>30</v>
      </c>
      <c r="BG20" s="77" t="s">
        <v>6</v>
      </c>
      <c r="BH20" s="78"/>
      <c r="BI20" s="1"/>
      <c r="BK20" s="53"/>
      <c r="BM20" s="92" t="s">
        <v>27</v>
      </c>
      <c r="BN20" s="84"/>
      <c r="BO20" s="85"/>
      <c r="BP20" s="8" t="s">
        <v>18</v>
      </c>
      <c r="BQ20" s="77" t="s">
        <v>28</v>
      </c>
      <c r="BR20" s="85"/>
      <c r="BS20" s="77" t="s">
        <v>29</v>
      </c>
      <c r="BT20" s="84"/>
      <c r="BU20" s="85"/>
      <c r="BV20" s="8" t="s">
        <v>30</v>
      </c>
      <c r="BW20" s="77" t="s">
        <v>6</v>
      </c>
      <c r="BX20" s="78"/>
      <c r="BY20" s="1"/>
      <c r="CA20" s="53"/>
      <c r="CC20" s="92" t="s">
        <v>27</v>
      </c>
      <c r="CD20" s="84"/>
      <c r="CE20" s="85"/>
      <c r="CF20" s="8" t="s">
        <v>18</v>
      </c>
      <c r="CG20" s="77" t="s">
        <v>28</v>
      </c>
      <c r="CH20" s="85"/>
      <c r="CI20" s="77" t="s">
        <v>29</v>
      </c>
      <c r="CJ20" s="84"/>
      <c r="CK20" s="85"/>
      <c r="CL20" s="8" t="s">
        <v>30</v>
      </c>
      <c r="CM20" s="77" t="s">
        <v>6</v>
      </c>
      <c r="CN20" s="78"/>
      <c r="CO20" s="1"/>
      <c r="CQ20" s="53"/>
      <c r="CS20" s="92" t="s">
        <v>27</v>
      </c>
      <c r="CT20" s="84"/>
      <c r="CU20" s="85"/>
      <c r="CV20" s="8" t="s">
        <v>18</v>
      </c>
      <c r="CW20" s="77" t="s">
        <v>28</v>
      </c>
      <c r="CX20" s="85"/>
      <c r="CY20" s="77" t="s">
        <v>29</v>
      </c>
      <c r="CZ20" s="84"/>
      <c r="DA20" s="85"/>
      <c r="DB20" s="8" t="s">
        <v>30</v>
      </c>
      <c r="DC20" s="77" t="s">
        <v>6</v>
      </c>
      <c r="DD20" s="78"/>
      <c r="DE20" s="1"/>
      <c r="DG20" s="53"/>
      <c r="DI20" s="92" t="s">
        <v>27</v>
      </c>
      <c r="DJ20" s="84"/>
      <c r="DK20" s="85"/>
      <c r="DL20" s="8" t="s">
        <v>18</v>
      </c>
      <c r="DM20" s="77" t="s">
        <v>28</v>
      </c>
      <c r="DN20" s="85"/>
      <c r="DO20" s="77" t="s">
        <v>29</v>
      </c>
      <c r="DP20" s="84"/>
      <c r="DQ20" s="85"/>
      <c r="DR20" s="8" t="s">
        <v>30</v>
      </c>
      <c r="DS20" s="77" t="s">
        <v>6</v>
      </c>
      <c r="DT20" s="78"/>
      <c r="DU20" s="1"/>
      <c r="DW20" s="53"/>
      <c r="DY20" s="92" t="s">
        <v>27</v>
      </c>
      <c r="DZ20" s="84"/>
      <c r="EA20" s="85"/>
      <c r="EB20" s="8" t="s">
        <v>18</v>
      </c>
      <c r="EC20" s="77" t="s">
        <v>28</v>
      </c>
      <c r="ED20" s="85"/>
      <c r="EE20" s="77" t="s">
        <v>29</v>
      </c>
      <c r="EF20" s="84"/>
      <c r="EG20" s="85"/>
      <c r="EH20" s="8" t="s">
        <v>30</v>
      </c>
      <c r="EI20" s="77" t="s">
        <v>6</v>
      </c>
      <c r="EJ20" s="78"/>
      <c r="EK20" s="1"/>
      <c r="EM20" s="53"/>
      <c r="EO20" s="92" t="s">
        <v>27</v>
      </c>
      <c r="EP20" s="84"/>
      <c r="EQ20" s="85"/>
      <c r="ER20" s="8" t="s">
        <v>18</v>
      </c>
      <c r="ES20" s="77" t="s">
        <v>28</v>
      </c>
      <c r="ET20" s="85"/>
      <c r="EU20" s="77" t="s">
        <v>29</v>
      </c>
      <c r="EV20" s="84"/>
      <c r="EW20" s="85"/>
      <c r="EX20" s="8" t="s">
        <v>30</v>
      </c>
      <c r="EY20" s="77" t="s">
        <v>6</v>
      </c>
      <c r="EZ20" s="78"/>
      <c r="FA20" s="1"/>
      <c r="FC20" s="53"/>
      <c r="FE20" s="92" t="s">
        <v>27</v>
      </c>
      <c r="FF20" s="84"/>
      <c r="FG20" s="85"/>
      <c r="FH20" s="8" t="s">
        <v>18</v>
      </c>
      <c r="FI20" s="77" t="s">
        <v>28</v>
      </c>
      <c r="FJ20" s="85"/>
      <c r="FK20" s="77" t="s">
        <v>29</v>
      </c>
      <c r="FL20" s="84"/>
      <c r="FM20" s="85"/>
      <c r="FN20" s="8" t="s">
        <v>30</v>
      </c>
      <c r="FO20" s="77" t="s">
        <v>6</v>
      </c>
      <c r="FP20" s="78"/>
      <c r="FQ20" s="1"/>
      <c r="FS20" s="53"/>
      <c r="FU20" s="92" t="s">
        <v>27</v>
      </c>
      <c r="FV20" s="84"/>
      <c r="FW20" s="85"/>
      <c r="FX20" s="8" t="s">
        <v>18</v>
      </c>
      <c r="FY20" s="77" t="s">
        <v>28</v>
      </c>
      <c r="FZ20" s="85"/>
      <c r="GA20" s="77" t="s">
        <v>29</v>
      </c>
      <c r="GB20" s="84"/>
      <c r="GC20" s="85"/>
      <c r="GD20" s="8" t="s">
        <v>30</v>
      </c>
      <c r="GE20" s="77" t="s">
        <v>6</v>
      </c>
      <c r="GF20" s="78"/>
      <c r="GG20" s="1"/>
      <c r="GI20" s="53"/>
      <c r="GK20" s="92" t="s">
        <v>27</v>
      </c>
      <c r="GL20" s="84"/>
      <c r="GM20" s="85"/>
      <c r="GN20" s="8" t="s">
        <v>18</v>
      </c>
      <c r="GO20" s="77" t="s">
        <v>28</v>
      </c>
      <c r="GP20" s="85"/>
      <c r="GQ20" s="77" t="s">
        <v>29</v>
      </c>
      <c r="GR20" s="84"/>
      <c r="GS20" s="85"/>
      <c r="GT20" s="8" t="s">
        <v>30</v>
      </c>
      <c r="GU20" s="77" t="s">
        <v>6</v>
      </c>
      <c r="GV20" s="78"/>
      <c r="GW20" s="1"/>
      <c r="GY20" s="53"/>
      <c r="HA20" s="92" t="s">
        <v>27</v>
      </c>
      <c r="HB20" s="84"/>
      <c r="HC20" s="85"/>
      <c r="HD20" s="8" t="s">
        <v>18</v>
      </c>
      <c r="HE20" s="77" t="s">
        <v>28</v>
      </c>
      <c r="HF20" s="85"/>
      <c r="HG20" s="77" t="s">
        <v>29</v>
      </c>
      <c r="HH20" s="84"/>
      <c r="HI20" s="85"/>
      <c r="HJ20" s="8" t="s">
        <v>30</v>
      </c>
      <c r="HK20" s="77" t="s">
        <v>6</v>
      </c>
      <c r="HL20" s="78"/>
      <c r="HM20" s="1"/>
      <c r="HO20" s="53"/>
      <c r="HQ20" s="92" t="s">
        <v>27</v>
      </c>
      <c r="HR20" s="84"/>
      <c r="HS20" s="85"/>
      <c r="HT20" s="8" t="s">
        <v>18</v>
      </c>
      <c r="HU20" s="77" t="s">
        <v>28</v>
      </c>
      <c r="HV20" s="85"/>
      <c r="HW20" s="77" t="s">
        <v>29</v>
      </c>
      <c r="HX20" s="84"/>
      <c r="HY20" s="85"/>
      <c r="HZ20" s="8" t="s">
        <v>30</v>
      </c>
      <c r="IA20" s="77" t="s">
        <v>6</v>
      </c>
      <c r="IB20" s="78"/>
      <c r="IC20" s="1"/>
      <c r="IE20" s="53"/>
      <c r="IG20" s="92" t="s">
        <v>27</v>
      </c>
      <c r="IH20" s="84"/>
      <c r="II20" s="85"/>
      <c r="IJ20" s="8" t="s">
        <v>18</v>
      </c>
      <c r="IK20" s="77" t="s">
        <v>28</v>
      </c>
      <c r="IL20" s="85"/>
      <c r="IM20" s="77" t="s">
        <v>29</v>
      </c>
      <c r="IN20" s="84"/>
      <c r="IO20" s="85"/>
      <c r="IP20" s="8" t="s">
        <v>30</v>
      </c>
      <c r="IQ20" s="77" t="s">
        <v>6</v>
      </c>
      <c r="IR20" s="78"/>
      <c r="IS20" s="1"/>
      <c r="IU20" s="53"/>
      <c r="IW20" s="92" t="s">
        <v>27</v>
      </c>
      <c r="IX20" s="84"/>
      <c r="IY20" s="85"/>
      <c r="IZ20" s="8" t="s">
        <v>18</v>
      </c>
      <c r="JA20" s="77" t="s">
        <v>28</v>
      </c>
      <c r="JB20" s="85"/>
      <c r="JC20" s="77" t="s">
        <v>29</v>
      </c>
      <c r="JD20" s="84"/>
      <c r="JE20" s="85"/>
      <c r="JF20" s="8" t="s">
        <v>30</v>
      </c>
      <c r="JG20" s="77" t="s">
        <v>6</v>
      </c>
      <c r="JH20" s="78"/>
      <c r="JI20" s="1"/>
      <c r="JK20" s="53"/>
      <c r="JM20" s="92" t="s">
        <v>27</v>
      </c>
      <c r="JN20" s="84"/>
      <c r="JO20" s="85"/>
      <c r="JP20" s="8" t="s">
        <v>18</v>
      </c>
      <c r="JQ20" s="77" t="s">
        <v>28</v>
      </c>
      <c r="JR20" s="85"/>
      <c r="JS20" s="77" t="s">
        <v>29</v>
      </c>
      <c r="JT20" s="84"/>
      <c r="JU20" s="85"/>
      <c r="JV20" s="8" t="s">
        <v>30</v>
      </c>
      <c r="JW20" s="77" t="s">
        <v>6</v>
      </c>
      <c r="JX20" s="78"/>
      <c r="JY20" s="1"/>
      <c r="KA20" s="53"/>
      <c r="KC20" s="92" t="s">
        <v>27</v>
      </c>
      <c r="KD20" s="84"/>
      <c r="KE20" s="85"/>
      <c r="KF20" s="8" t="s">
        <v>18</v>
      </c>
      <c r="KG20" s="77" t="s">
        <v>28</v>
      </c>
      <c r="KH20" s="85"/>
      <c r="KI20" s="77" t="s">
        <v>29</v>
      </c>
      <c r="KJ20" s="84"/>
      <c r="KK20" s="85"/>
      <c r="KL20" s="8" t="s">
        <v>30</v>
      </c>
      <c r="KM20" s="77" t="s">
        <v>6</v>
      </c>
      <c r="KN20" s="78"/>
      <c r="KO20" s="1"/>
      <c r="KQ20" s="53"/>
      <c r="KS20" s="92" t="s">
        <v>27</v>
      </c>
      <c r="KT20" s="84"/>
      <c r="KU20" s="85"/>
      <c r="KV20" s="8" t="s">
        <v>18</v>
      </c>
      <c r="KW20" s="77" t="s">
        <v>28</v>
      </c>
      <c r="KX20" s="85"/>
      <c r="KY20" s="77" t="s">
        <v>29</v>
      </c>
      <c r="KZ20" s="84"/>
      <c r="LA20" s="85"/>
      <c r="LB20" s="8" t="s">
        <v>30</v>
      </c>
      <c r="LC20" s="77" t="s">
        <v>6</v>
      </c>
      <c r="LD20" s="78"/>
      <c r="LE20" s="1"/>
      <c r="LG20" s="53"/>
      <c r="LI20" s="92" t="s">
        <v>27</v>
      </c>
      <c r="LJ20" s="84"/>
      <c r="LK20" s="85"/>
      <c r="LL20" s="8" t="s">
        <v>18</v>
      </c>
      <c r="LM20" s="77" t="s">
        <v>28</v>
      </c>
      <c r="LN20" s="85"/>
      <c r="LO20" s="77" t="s">
        <v>29</v>
      </c>
      <c r="LP20" s="84"/>
      <c r="LQ20" s="85"/>
      <c r="LR20" s="8" t="s">
        <v>30</v>
      </c>
      <c r="LS20" s="77" t="s">
        <v>6</v>
      </c>
      <c r="LT20" s="78"/>
      <c r="LU20" s="1"/>
      <c r="LW20" s="53"/>
      <c r="LY20" s="92" t="s">
        <v>27</v>
      </c>
      <c r="LZ20" s="84"/>
      <c r="MA20" s="85"/>
      <c r="MB20" s="8" t="s">
        <v>18</v>
      </c>
      <c r="MC20" s="77" t="s">
        <v>28</v>
      </c>
      <c r="MD20" s="85"/>
      <c r="ME20" s="77" t="s">
        <v>29</v>
      </c>
      <c r="MF20" s="84"/>
      <c r="MG20" s="85"/>
      <c r="MH20" s="8" t="s">
        <v>30</v>
      </c>
      <c r="MI20" s="77" t="s">
        <v>6</v>
      </c>
      <c r="MJ20" s="78"/>
      <c r="MK20" s="1"/>
      <c r="MM20" s="53"/>
    </row>
    <row r="21" spans="1:351" ht="20.100000000000001" customHeight="1" x14ac:dyDescent="0.3">
      <c r="A21" s="92"/>
      <c r="B21" s="84"/>
      <c r="C21" s="85"/>
      <c r="D21" s="8"/>
      <c r="E21" s="77"/>
      <c r="F21" s="85"/>
      <c r="G21" s="77"/>
      <c r="H21" s="84"/>
      <c r="I21" s="85"/>
      <c r="J21" s="8"/>
      <c r="K21" s="77"/>
      <c r="L21" s="78"/>
      <c r="M21" s="1"/>
      <c r="O21" s="53"/>
      <c r="Q21" s="92"/>
      <c r="R21" s="84"/>
      <c r="S21" s="85"/>
      <c r="T21" s="8"/>
      <c r="U21" s="77"/>
      <c r="V21" s="85"/>
      <c r="W21" s="77"/>
      <c r="X21" s="84"/>
      <c r="Y21" s="85"/>
      <c r="Z21" s="8"/>
      <c r="AA21" s="77"/>
      <c r="AB21" s="78"/>
      <c r="AC21" s="1"/>
      <c r="AE21" s="53"/>
      <c r="AG21" s="92"/>
      <c r="AH21" s="84"/>
      <c r="AI21" s="85"/>
      <c r="AJ21" s="8"/>
      <c r="AK21" s="77"/>
      <c r="AL21" s="85"/>
      <c r="AM21" s="77"/>
      <c r="AN21" s="84"/>
      <c r="AO21" s="85"/>
      <c r="AP21" s="8"/>
      <c r="AQ21" s="77"/>
      <c r="AR21" s="78"/>
      <c r="AS21" s="1"/>
      <c r="AU21" s="53"/>
      <c r="AW21" s="92"/>
      <c r="AX21" s="84"/>
      <c r="AY21" s="85"/>
      <c r="AZ21" s="8"/>
      <c r="BA21" s="77"/>
      <c r="BB21" s="85"/>
      <c r="BC21" s="77"/>
      <c r="BD21" s="84"/>
      <c r="BE21" s="85"/>
      <c r="BF21" s="8"/>
      <c r="BG21" s="77"/>
      <c r="BH21" s="78"/>
      <c r="BI21" s="1"/>
      <c r="BK21" s="53"/>
      <c r="BM21" s="92"/>
      <c r="BN21" s="84"/>
      <c r="BO21" s="85"/>
      <c r="BP21" s="8"/>
      <c r="BQ21" s="77"/>
      <c r="BR21" s="85"/>
      <c r="BS21" s="77"/>
      <c r="BT21" s="84"/>
      <c r="BU21" s="85"/>
      <c r="BV21" s="8"/>
      <c r="BW21" s="77"/>
      <c r="BX21" s="78"/>
      <c r="BY21" s="1"/>
      <c r="CA21" s="53"/>
      <c r="CC21" s="92"/>
      <c r="CD21" s="84"/>
      <c r="CE21" s="85"/>
      <c r="CF21" s="8"/>
      <c r="CG21" s="77"/>
      <c r="CH21" s="85"/>
      <c r="CI21" s="77"/>
      <c r="CJ21" s="84"/>
      <c r="CK21" s="85"/>
      <c r="CL21" s="8"/>
      <c r="CM21" s="77"/>
      <c r="CN21" s="78"/>
      <c r="CO21" s="1"/>
      <c r="CQ21" s="53"/>
      <c r="CS21" s="92"/>
      <c r="CT21" s="84"/>
      <c r="CU21" s="85"/>
      <c r="CV21" s="8"/>
      <c r="CW21" s="77"/>
      <c r="CX21" s="85"/>
      <c r="CY21" s="77"/>
      <c r="CZ21" s="84"/>
      <c r="DA21" s="85"/>
      <c r="DB21" s="8"/>
      <c r="DC21" s="77"/>
      <c r="DD21" s="78"/>
      <c r="DE21" s="1"/>
      <c r="DG21" s="53"/>
      <c r="DI21" s="92"/>
      <c r="DJ21" s="84"/>
      <c r="DK21" s="85"/>
      <c r="DL21" s="8"/>
      <c r="DM21" s="77"/>
      <c r="DN21" s="85"/>
      <c r="DO21" s="77"/>
      <c r="DP21" s="84"/>
      <c r="DQ21" s="85"/>
      <c r="DR21" s="8"/>
      <c r="DS21" s="77"/>
      <c r="DT21" s="78"/>
      <c r="DU21" s="1"/>
      <c r="DW21" s="53"/>
      <c r="DY21" s="92"/>
      <c r="DZ21" s="84"/>
      <c r="EA21" s="85"/>
      <c r="EB21" s="8"/>
      <c r="EC21" s="77"/>
      <c r="ED21" s="85"/>
      <c r="EE21" s="77"/>
      <c r="EF21" s="84"/>
      <c r="EG21" s="85"/>
      <c r="EH21" s="8"/>
      <c r="EI21" s="77"/>
      <c r="EJ21" s="78"/>
      <c r="EK21" s="1"/>
      <c r="EM21" s="53"/>
      <c r="EO21" s="92"/>
      <c r="EP21" s="84"/>
      <c r="EQ21" s="85"/>
      <c r="ER21" s="8"/>
      <c r="ES21" s="77"/>
      <c r="ET21" s="85"/>
      <c r="EU21" s="77"/>
      <c r="EV21" s="84"/>
      <c r="EW21" s="85"/>
      <c r="EX21" s="8"/>
      <c r="EY21" s="77"/>
      <c r="EZ21" s="78"/>
      <c r="FA21" s="1"/>
      <c r="FC21" s="53"/>
      <c r="FE21" s="92"/>
      <c r="FF21" s="84"/>
      <c r="FG21" s="85"/>
      <c r="FH21" s="8"/>
      <c r="FI21" s="77"/>
      <c r="FJ21" s="85"/>
      <c r="FK21" s="77"/>
      <c r="FL21" s="84"/>
      <c r="FM21" s="85"/>
      <c r="FN21" s="8"/>
      <c r="FO21" s="77"/>
      <c r="FP21" s="78"/>
      <c r="FQ21" s="1"/>
      <c r="FS21" s="53"/>
      <c r="FU21" s="92"/>
      <c r="FV21" s="84"/>
      <c r="FW21" s="85"/>
      <c r="FX21" s="8"/>
      <c r="FY21" s="77"/>
      <c r="FZ21" s="85"/>
      <c r="GA21" s="77"/>
      <c r="GB21" s="84"/>
      <c r="GC21" s="85"/>
      <c r="GD21" s="8"/>
      <c r="GE21" s="77"/>
      <c r="GF21" s="78"/>
      <c r="GG21" s="1"/>
      <c r="GI21" s="53"/>
      <c r="GK21" s="92"/>
      <c r="GL21" s="84"/>
      <c r="GM21" s="85"/>
      <c r="GN21" s="8"/>
      <c r="GO21" s="77"/>
      <c r="GP21" s="85"/>
      <c r="GQ21" s="77"/>
      <c r="GR21" s="84"/>
      <c r="GS21" s="85"/>
      <c r="GT21" s="8"/>
      <c r="GU21" s="77"/>
      <c r="GV21" s="78"/>
      <c r="GW21" s="1"/>
      <c r="GY21" s="53"/>
      <c r="HA21" s="92"/>
      <c r="HB21" s="84"/>
      <c r="HC21" s="85"/>
      <c r="HD21" s="8"/>
      <c r="HE21" s="77"/>
      <c r="HF21" s="85"/>
      <c r="HG21" s="77"/>
      <c r="HH21" s="84"/>
      <c r="HI21" s="85"/>
      <c r="HJ21" s="8"/>
      <c r="HK21" s="77"/>
      <c r="HL21" s="78"/>
      <c r="HM21" s="1"/>
      <c r="HO21" s="53"/>
      <c r="HQ21" s="92"/>
      <c r="HR21" s="84"/>
      <c r="HS21" s="85"/>
      <c r="HT21" s="8"/>
      <c r="HU21" s="77"/>
      <c r="HV21" s="85"/>
      <c r="HW21" s="77"/>
      <c r="HX21" s="84"/>
      <c r="HY21" s="85"/>
      <c r="HZ21" s="8"/>
      <c r="IA21" s="77"/>
      <c r="IB21" s="78"/>
      <c r="IC21" s="1"/>
      <c r="IE21" s="53"/>
      <c r="IG21" s="92"/>
      <c r="IH21" s="84"/>
      <c r="II21" s="85"/>
      <c r="IJ21" s="8"/>
      <c r="IK21" s="77"/>
      <c r="IL21" s="85"/>
      <c r="IM21" s="77"/>
      <c r="IN21" s="84"/>
      <c r="IO21" s="85"/>
      <c r="IP21" s="8"/>
      <c r="IQ21" s="77"/>
      <c r="IR21" s="78"/>
      <c r="IS21" s="1"/>
      <c r="IU21" s="53"/>
      <c r="IW21" s="92"/>
      <c r="IX21" s="84"/>
      <c r="IY21" s="85"/>
      <c r="IZ21" s="8"/>
      <c r="JA21" s="77"/>
      <c r="JB21" s="85"/>
      <c r="JC21" s="77"/>
      <c r="JD21" s="84"/>
      <c r="JE21" s="85"/>
      <c r="JF21" s="8"/>
      <c r="JG21" s="77"/>
      <c r="JH21" s="78"/>
      <c r="JI21" s="1"/>
      <c r="JK21" s="53"/>
      <c r="JM21" s="92"/>
      <c r="JN21" s="84"/>
      <c r="JO21" s="85"/>
      <c r="JP21" s="8"/>
      <c r="JQ21" s="77"/>
      <c r="JR21" s="85"/>
      <c r="JS21" s="77"/>
      <c r="JT21" s="84"/>
      <c r="JU21" s="85"/>
      <c r="JV21" s="8"/>
      <c r="JW21" s="77"/>
      <c r="JX21" s="78"/>
      <c r="JY21" s="1"/>
      <c r="KA21" s="53"/>
      <c r="KC21" s="92"/>
      <c r="KD21" s="84"/>
      <c r="KE21" s="85"/>
      <c r="KF21" s="8"/>
      <c r="KG21" s="77"/>
      <c r="KH21" s="85"/>
      <c r="KI21" s="77"/>
      <c r="KJ21" s="84"/>
      <c r="KK21" s="85"/>
      <c r="KL21" s="8"/>
      <c r="KM21" s="77"/>
      <c r="KN21" s="78"/>
      <c r="KO21" s="1"/>
      <c r="KQ21" s="53"/>
      <c r="KS21" s="92"/>
      <c r="KT21" s="84"/>
      <c r="KU21" s="85"/>
      <c r="KV21" s="8"/>
      <c r="KW21" s="77"/>
      <c r="KX21" s="85"/>
      <c r="KY21" s="77"/>
      <c r="KZ21" s="84"/>
      <c r="LA21" s="85"/>
      <c r="LB21" s="8"/>
      <c r="LC21" s="77"/>
      <c r="LD21" s="78"/>
      <c r="LE21" s="1"/>
      <c r="LG21" s="53"/>
      <c r="LI21" s="92"/>
      <c r="LJ21" s="84"/>
      <c r="LK21" s="85"/>
      <c r="LL21" s="8"/>
      <c r="LM21" s="77"/>
      <c r="LN21" s="85"/>
      <c r="LO21" s="77"/>
      <c r="LP21" s="84"/>
      <c r="LQ21" s="85"/>
      <c r="LR21" s="8"/>
      <c r="LS21" s="77"/>
      <c r="LT21" s="78"/>
      <c r="LU21" s="1"/>
      <c r="LW21" s="53"/>
      <c r="LY21" s="92"/>
      <c r="LZ21" s="84"/>
      <c r="MA21" s="85"/>
      <c r="MB21" s="8"/>
      <c r="MC21" s="77"/>
      <c r="MD21" s="85"/>
      <c r="ME21" s="77"/>
      <c r="MF21" s="84"/>
      <c r="MG21" s="85"/>
      <c r="MH21" s="8"/>
      <c r="MI21" s="77"/>
      <c r="MJ21" s="78"/>
      <c r="MK21" s="1"/>
      <c r="MM21" s="53"/>
    </row>
    <row r="22" spans="1:351" ht="20.100000000000001" customHeight="1" x14ac:dyDescent="0.3">
      <c r="A22" s="92"/>
      <c r="B22" s="84"/>
      <c r="C22" s="85"/>
      <c r="D22" s="8"/>
      <c r="E22" s="77"/>
      <c r="F22" s="85"/>
      <c r="G22" s="77"/>
      <c r="H22" s="84"/>
      <c r="I22" s="85"/>
      <c r="J22" s="8"/>
      <c r="K22" s="77"/>
      <c r="L22" s="78"/>
      <c r="M22" s="1"/>
      <c r="O22" s="53"/>
      <c r="Q22" s="92"/>
      <c r="R22" s="84"/>
      <c r="S22" s="85"/>
      <c r="T22" s="8"/>
      <c r="U22" s="77"/>
      <c r="V22" s="85"/>
      <c r="W22" s="77"/>
      <c r="X22" s="84"/>
      <c r="Y22" s="85"/>
      <c r="Z22" s="8"/>
      <c r="AA22" s="77"/>
      <c r="AB22" s="78"/>
      <c r="AC22" s="1"/>
      <c r="AE22" s="53"/>
      <c r="AG22" s="92"/>
      <c r="AH22" s="84"/>
      <c r="AI22" s="85"/>
      <c r="AJ22" s="8"/>
      <c r="AK22" s="77"/>
      <c r="AL22" s="85"/>
      <c r="AM22" s="77"/>
      <c r="AN22" s="84"/>
      <c r="AO22" s="85"/>
      <c r="AP22" s="8"/>
      <c r="AQ22" s="77"/>
      <c r="AR22" s="78"/>
      <c r="AS22" s="1"/>
      <c r="AU22" s="53"/>
      <c r="AW22" s="92"/>
      <c r="AX22" s="84"/>
      <c r="AY22" s="85"/>
      <c r="AZ22" s="8"/>
      <c r="BA22" s="77"/>
      <c r="BB22" s="85"/>
      <c r="BC22" s="77"/>
      <c r="BD22" s="84"/>
      <c r="BE22" s="85"/>
      <c r="BF22" s="8"/>
      <c r="BG22" s="77"/>
      <c r="BH22" s="78"/>
      <c r="BI22" s="1"/>
      <c r="BK22" s="53"/>
      <c r="BM22" s="92"/>
      <c r="BN22" s="84"/>
      <c r="BO22" s="85"/>
      <c r="BP22" s="8"/>
      <c r="BQ22" s="77"/>
      <c r="BR22" s="85"/>
      <c r="BS22" s="77"/>
      <c r="BT22" s="84"/>
      <c r="BU22" s="85"/>
      <c r="BV22" s="8"/>
      <c r="BW22" s="77"/>
      <c r="BX22" s="78"/>
      <c r="BY22" s="1"/>
      <c r="CA22" s="53"/>
      <c r="CC22" s="92"/>
      <c r="CD22" s="84"/>
      <c r="CE22" s="85"/>
      <c r="CF22" s="8"/>
      <c r="CG22" s="77"/>
      <c r="CH22" s="85"/>
      <c r="CI22" s="77"/>
      <c r="CJ22" s="84"/>
      <c r="CK22" s="85"/>
      <c r="CL22" s="8"/>
      <c r="CM22" s="77"/>
      <c r="CN22" s="78"/>
      <c r="CO22" s="1"/>
      <c r="CQ22" s="53"/>
      <c r="CS22" s="92"/>
      <c r="CT22" s="84"/>
      <c r="CU22" s="85"/>
      <c r="CV22" s="8"/>
      <c r="CW22" s="77"/>
      <c r="CX22" s="85"/>
      <c r="CY22" s="77"/>
      <c r="CZ22" s="84"/>
      <c r="DA22" s="85"/>
      <c r="DB22" s="8"/>
      <c r="DC22" s="77"/>
      <c r="DD22" s="78"/>
      <c r="DE22" s="1"/>
      <c r="DG22" s="53"/>
      <c r="DI22" s="92"/>
      <c r="DJ22" s="84"/>
      <c r="DK22" s="85"/>
      <c r="DL22" s="8"/>
      <c r="DM22" s="77"/>
      <c r="DN22" s="85"/>
      <c r="DO22" s="77"/>
      <c r="DP22" s="84"/>
      <c r="DQ22" s="85"/>
      <c r="DR22" s="8"/>
      <c r="DS22" s="77"/>
      <c r="DT22" s="78"/>
      <c r="DU22" s="1"/>
      <c r="DW22" s="53"/>
      <c r="DY22" s="92"/>
      <c r="DZ22" s="84"/>
      <c r="EA22" s="85"/>
      <c r="EB22" s="8"/>
      <c r="EC22" s="77"/>
      <c r="ED22" s="85"/>
      <c r="EE22" s="77"/>
      <c r="EF22" s="84"/>
      <c r="EG22" s="85"/>
      <c r="EH22" s="8"/>
      <c r="EI22" s="77"/>
      <c r="EJ22" s="78"/>
      <c r="EK22" s="1"/>
      <c r="EM22" s="53"/>
      <c r="EO22" s="92"/>
      <c r="EP22" s="84"/>
      <c r="EQ22" s="85"/>
      <c r="ER22" s="8"/>
      <c r="ES22" s="77"/>
      <c r="ET22" s="85"/>
      <c r="EU22" s="77"/>
      <c r="EV22" s="84"/>
      <c r="EW22" s="85"/>
      <c r="EX22" s="8"/>
      <c r="EY22" s="77"/>
      <c r="EZ22" s="78"/>
      <c r="FA22" s="1"/>
      <c r="FC22" s="53"/>
      <c r="FE22" s="92"/>
      <c r="FF22" s="84"/>
      <c r="FG22" s="85"/>
      <c r="FH22" s="8"/>
      <c r="FI22" s="77"/>
      <c r="FJ22" s="85"/>
      <c r="FK22" s="77"/>
      <c r="FL22" s="84"/>
      <c r="FM22" s="85"/>
      <c r="FN22" s="8"/>
      <c r="FO22" s="77"/>
      <c r="FP22" s="78"/>
      <c r="FQ22" s="1"/>
      <c r="FS22" s="53"/>
      <c r="FU22" s="92"/>
      <c r="FV22" s="84"/>
      <c r="FW22" s="85"/>
      <c r="FX22" s="8"/>
      <c r="FY22" s="77"/>
      <c r="FZ22" s="85"/>
      <c r="GA22" s="77"/>
      <c r="GB22" s="84"/>
      <c r="GC22" s="85"/>
      <c r="GD22" s="8"/>
      <c r="GE22" s="77"/>
      <c r="GF22" s="78"/>
      <c r="GG22" s="1"/>
      <c r="GI22" s="53"/>
      <c r="GK22" s="92"/>
      <c r="GL22" s="84"/>
      <c r="GM22" s="85"/>
      <c r="GN22" s="8"/>
      <c r="GO22" s="77"/>
      <c r="GP22" s="85"/>
      <c r="GQ22" s="77"/>
      <c r="GR22" s="84"/>
      <c r="GS22" s="85"/>
      <c r="GT22" s="8"/>
      <c r="GU22" s="77"/>
      <c r="GV22" s="78"/>
      <c r="GW22" s="1"/>
      <c r="GY22" s="53"/>
      <c r="HA22" s="92"/>
      <c r="HB22" s="84"/>
      <c r="HC22" s="85"/>
      <c r="HD22" s="8"/>
      <c r="HE22" s="77"/>
      <c r="HF22" s="85"/>
      <c r="HG22" s="77"/>
      <c r="HH22" s="84"/>
      <c r="HI22" s="85"/>
      <c r="HJ22" s="8"/>
      <c r="HK22" s="77"/>
      <c r="HL22" s="78"/>
      <c r="HM22" s="1"/>
      <c r="HO22" s="53"/>
      <c r="HQ22" s="92"/>
      <c r="HR22" s="84"/>
      <c r="HS22" s="85"/>
      <c r="HT22" s="8"/>
      <c r="HU22" s="77"/>
      <c r="HV22" s="85"/>
      <c r="HW22" s="77"/>
      <c r="HX22" s="84"/>
      <c r="HY22" s="85"/>
      <c r="HZ22" s="8"/>
      <c r="IA22" s="77"/>
      <c r="IB22" s="78"/>
      <c r="IC22" s="1"/>
      <c r="IE22" s="53"/>
      <c r="IG22" s="92"/>
      <c r="IH22" s="84"/>
      <c r="II22" s="85"/>
      <c r="IJ22" s="8"/>
      <c r="IK22" s="77"/>
      <c r="IL22" s="85"/>
      <c r="IM22" s="77"/>
      <c r="IN22" s="84"/>
      <c r="IO22" s="85"/>
      <c r="IP22" s="8"/>
      <c r="IQ22" s="77"/>
      <c r="IR22" s="78"/>
      <c r="IS22" s="1"/>
      <c r="IU22" s="53"/>
      <c r="IW22" s="92"/>
      <c r="IX22" s="84"/>
      <c r="IY22" s="85"/>
      <c r="IZ22" s="8"/>
      <c r="JA22" s="77"/>
      <c r="JB22" s="85"/>
      <c r="JC22" s="77"/>
      <c r="JD22" s="84"/>
      <c r="JE22" s="85"/>
      <c r="JF22" s="8"/>
      <c r="JG22" s="77"/>
      <c r="JH22" s="78"/>
      <c r="JI22" s="1"/>
      <c r="JK22" s="53"/>
      <c r="JM22" s="92"/>
      <c r="JN22" s="84"/>
      <c r="JO22" s="85"/>
      <c r="JP22" s="8"/>
      <c r="JQ22" s="77"/>
      <c r="JR22" s="85"/>
      <c r="JS22" s="77"/>
      <c r="JT22" s="84"/>
      <c r="JU22" s="85"/>
      <c r="JV22" s="8"/>
      <c r="JW22" s="77"/>
      <c r="JX22" s="78"/>
      <c r="JY22" s="1"/>
      <c r="KA22" s="53"/>
      <c r="KC22" s="92"/>
      <c r="KD22" s="84"/>
      <c r="KE22" s="85"/>
      <c r="KF22" s="8"/>
      <c r="KG22" s="77"/>
      <c r="KH22" s="85"/>
      <c r="KI22" s="77"/>
      <c r="KJ22" s="84"/>
      <c r="KK22" s="85"/>
      <c r="KL22" s="8"/>
      <c r="KM22" s="77"/>
      <c r="KN22" s="78"/>
      <c r="KO22" s="1"/>
      <c r="KQ22" s="53"/>
      <c r="KS22" s="92"/>
      <c r="KT22" s="84"/>
      <c r="KU22" s="85"/>
      <c r="KV22" s="8"/>
      <c r="KW22" s="77"/>
      <c r="KX22" s="85"/>
      <c r="KY22" s="77"/>
      <c r="KZ22" s="84"/>
      <c r="LA22" s="85"/>
      <c r="LB22" s="8"/>
      <c r="LC22" s="77"/>
      <c r="LD22" s="78"/>
      <c r="LE22" s="1"/>
      <c r="LG22" s="53"/>
      <c r="LI22" s="92"/>
      <c r="LJ22" s="84"/>
      <c r="LK22" s="85"/>
      <c r="LL22" s="8"/>
      <c r="LM22" s="77"/>
      <c r="LN22" s="85"/>
      <c r="LO22" s="77"/>
      <c r="LP22" s="84"/>
      <c r="LQ22" s="85"/>
      <c r="LR22" s="8"/>
      <c r="LS22" s="77"/>
      <c r="LT22" s="78"/>
      <c r="LU22" s="1"/>
      <c r="LW22" s="53"/>
      <c r="LY22" s="92"/>
      <c r="LZ22" s="84"/>
      <c r="MA22" s="85"/>
      <c r="MB22" s="8"/>
      <c r="MC22" s="77"/>
      <c r="MD22" s="85"/>
      <c r="ME22" s="77"/>
      <c r="MF22" s="84"/>
      <c r="MG22" s="85"/>
      <c r="MH22" s="8"/>
      <c r="MI22" s="77"/>
      <c r="MJ22" s="78"/>
      <c r="MK22" s="1"/>
      <c r="MM22" s="53"/>
    </row>
    <row r="23" spans="1:351" ht="20.100000000000001" customHeight="1" x14ac:dyDescent="0.3">
      <c r="A23" s="92"/>
      <c r="B23" s="84"/>
      <c r="C23" s="85"/>
      <c r="D23" s="8"/>
      <c r="E23" s="77"/>
      <c r="F23" s="85"/>
      <c r="G23" s="77"/>
      <c r="H23" s="84"/>
      <c r="I23" s="85"/>
      <c r="J23" s="8"/>
      <c r="K23" s="77"/>
      <c r="L23" s="78"/>
      <c r="M23" s="1"/>
      <c r="O23" s="53"/>
      <c r="Q23" s="92"/>
      <c r="R23" s="84"/>
      <c r="S23" s="85"/>
      <c r="T23" s="8"/>
      <c r="U23" s="77"/>
      <c r="V23" s="85"/>
      <c r="W23" s="77"/>
      <c r="X23" s="84"/>
      <c r="Y23" s="85"/>
      <c r="Z23" s="8"/>
      <c r="AA23" s="77"/>
      <c r="AB23" s="78"/>
      <c r="AC23" s="1"/>
      <c r="AE23" s="53"/>
      <c r="AG23" s="92"/>
      <c r="AH23" s="84"/>
      <c r="AI23" s="85"/>
      <c r="AJ23" s="8"/>
      <c r="AK23" s="77"/>
      <c r="AL23" s="85"/>
      <c r="AM23" s="77"/>
      <c r="AN23" s="84"/>
      <c r="AO23" s="85"/>
      <c r="AP23" s="8"/>
      <c r="AQ23" s="77"/>
      <c r="AR23" s="78"/>
      <c r="AS23" s="1"/>
      <c r="AU23" s="53"/>
      <c r="AW23" s="92"/>
      <c r="AX23" s="84"/>
      <c r="AY23" s="85"/>
      <c r="AZ23" s="8"/>
      <c r="BA23" s="77"/>
      <c r="BB23" s="85"/>
      <c r="BC23" s="77"/>
      <c r="BD23" s="84"/>
      <c r="BE23" s="85"/>
      <c r="BF23" s="8"/>
      <c r="BG23" s="77"/>
      <c r="BH23" s="78"/>
      <c r="BI23" s="1"/>
      <c r="BK23" s="53"/>
      <c r="BM23" s="92"/>
      <c r="BN23" s="84"/>
      <c r="BO23" s="85"/>
      <c r="BP23" s="8"/>
      <c r="BQ23" s="77"/>
      <c r="BR23" s="85"/>
      <c r="BS23" s="77"/>
      <c r="BT23" s="84"/>
      <c r="BU23" s="85"/>
      <c r="BV23" s="8"/>
      <c r="BW23" s="77"/>
      <c r="BX23" s="78"/>
      <c r="BY23" s="1"/>
      <c r="CA23" s="53"/>
      <c r="CC23" s="92"/>
      <c r="CD23" s="84"/>
      <c r="CE23" s="85"/>
      <c r="CF23" s="8"/>
      <c r="CG23" s="77"/>
      <c r="CH23" s="85"/>
      <c r="CI23" s="77"/>
      <c r="CJ23" s="84"/>
      <c r="CK23" s="85"/>
      <c r="CL23" s="8"/>
      <c r="CM23" s="77"/>
      <c r="CN23" s="78"/>
      <c r="CO23" s="1"/>
      <c r="CQ23" s="53"/>
      <c r="CS23" s="92"/>
      <c r="CT23" s="84"/>
      <c r="CU23" s="85"/>
      <c r="CV23" s="8"/>
      <c r="CW23" s="77"/>
      <c r="CX23" s="85"/>
      <c r="CY23" s="77"/>
      <c r="CZ23" s="84"/>
      <c r="DA23" s="85"/>
      <c r="DB23" s="8"/>
      <c r="DC23" s="77"/>
      <c r="DD23" s="78"/>
      <c r="DE23" s="1"/>
      <c r="DG23" s="53"/>
      <c r="DI23" s="92"/>
      <c r="DJ23" s="84"/>
      <c r="DK23" s="85"/>
      <c r="DL23" s="8"/>
      <c r="DM23" s="77"/>
      <c r="DN23" s="85"/>
      <c r="DO23" s="77"/>
      <c r="DP23" s="84"/>
      <c r="DQ23" s="85"/>
      <c r="DR23" s="8"/>
      <c r="DS23" s="77"/>
      <c r="DT23" s="78"/>
      <c r="DU23" s="1"/>
      <c r="DW23" s="53"/>
      <c r="DY23" s="92"/>
      <c r="DZ23" s="84"/>
      <c r="EA23" s="85"/>
      <c r="EB23" s="8"/>
      <c r="EC23" s="77"/>
      <c r="ED23" s="85"/>
      <c r="EE23" s="77"/>
      <c r="EF23" s="84"/>
      <c r="EG23" s="85"/>
      <c r="EH23" s="8"/>
      <c r="EI23" s="77"/>
      <c r="EJ23" s="78"/>
      <c r="EK23" s="1"/>
      <c r="EM23" s="53"/>
      <c r="EO23" s="92"/>
      <c r="EP23" s="84"/>
      <c r="EQ23" s="85"/>
      <c r="ER23" s="8"/>
      <c r="ES23" s="77"/>
      <c r="ET23" s="85"/>
      <c r="EU23" s="77"/>
      <c r="EV23" s="84"/>
      <c r="EW23" s="85"/>
      <c r="EX23" s="8"/>
      <c r="EY23" s="77"/>
      <c r="EZ23" s="78"/>
      <c r="FA23" s="1"/>
      <c r="FC23" s="53"/>
      <c r="FE23" s="92"/>
      <c r="FF23" s="84"/>
      <c r="FG23" s="85"/>
      <c r="FH23" s="8"/>
      <c r="FI23" s="77"/>
      <c r="FJ23" s="85"/>
      <c r="FK23" s="77"/>
      <c r="FL23" s="84"/>
      <c r="FM23" s="85"/>
      <c r="FN23" s="8"/>
      <c r="FO23" s="77"/>
      <c r="FP23" s="78"/>
      <c r="FQ23" s="1"/>
      <c r="FS23" s="53"/>
      <c r="FU23" s="92"/>
      <c r="FV23" s="84"/>
      <c r="FW23" s="85"/>
      <c r="FX23" s="8"/>
      <c r="FY23" s="77"/>
      <c r="FZ23" s="85"/>
      <c r="GA23" s="77"/>
      <c r="GB23" s="84"/>
      <c r="GC23" s="85"/>
      <c r="GD23" s="8"/>
      <c r="GE23" s="77"/>
      <c r="GF23" s="78"/>
      <c r="GG23" s="1"/>
      <c r="GI23" s="53"/>
      <c r="GK23" s="92"/>
      <c r="GL23" s="84"/>
      <c r="GM23" s="85"/>
      <c r="GN23" s="8"/>
      <c r="GO23" s="77"/>
      <c r="GP23" s="85"/>
      <c r="GQ23" s="77"/>
      <c r="GR23" s="84"/>
      <c r="GS23" s="85"/>
      <c r="GT23" s="8"/>
      <c r="GU23" s="77"/>
      <c r="GV23" s="78"/>
      <c r="GW23" s="1"/>
      <c r="GY23" s="53"/>
      <c r="HA23" s="92"/>
      <c r="HB23" s="84"/>
      <c r="HC23" s="85"/>
      <c r="HD23" s="8"/>
      <c r="HE23" s="77"/>
      <c r="HF23" s="85"/>
      <c r="HG23" s="77"/>
      <c r="HH23" s="84"/>
      <c r="HI23" s="85"/>
      <c r="HJ23" s="8"/>
      <c r="HK23" s="77"/>
      <c r="HL23" s="78"/>
      <c r="HM23" s="1"/>
      <c r="HO23" s="53"/>
      <c r="HQ23" s="92"/>
      <c r="HR23" s="84"/>
      <c r="HS23" s="85"/>
      <c r="HT23" s="8"/>
      <c r="HU23" s="77"/>
      <c r="HV23" s="85"/>
      <c r="HW23" s="77"/>
      <c r="HX23" s="84"/>
      <c r="HY23" s="85"/>
      <c r="HZ23" s="8"/>
      <c r="IA23" s="77"/>
      <c r="IB23" s="78"/>
      <c r="IC23" s="1"/>
      <c r="IE23" s="53"/>
      <c r="IG23" s="92"/>
      <c r="IH23" s="84"/>
      <c r="II23" s="85"/>
      <c r="IJ23" s="8"/>
      <c r="IK23" s="77"/>
      <c r="IL23" s="85"/>
      <c r="IM23" s="77"/>
      <c r="IN23" s="84"/>
      <c r="IO23" s="85"/>
      <c r="IP23" s="8"/>
      <c r="IQ23" s="77"/>
      <c r="IR23" s="78"/>
      <c r="IS23" s="1"/>
      <c r="IU23" s="53"/>
      <c r="IW23" s="92"/>
      <c r="IX23" s="84"/>
      <c r="IY23" s="85"/>
      <c r="IZ23" s="8"/>
      <c r="JA23" s="77"/>
      <c r="JB23" s="85"/>
      <c r="JC23" s="77"/>
      <c r="JD23" s="84"/>
      <c r="JE23" s="85"/>
      <c r="JF23" s="8"/>
      <c r="JG23" s="77"/>
      <c r="JH23" s="78"/>
      <c r="JI23" s="1"/>
      <c r="JK23" s="53"/>
      <c r="JM23" s="92"/>
      <c r="JN23" s="84"/>
      <c r="JO23" s="85"/>
      <c r="JP23" s="8"/>
      <c r="JQ23" s="77"/>
      <c r="JR23" s="85"/>
      <c r="JS23" s="77"/>
      <c r="JT23" s="84"/>
      <c r="JU23" s="85"/>
      <c r="JV23" s="8"/>
      <c r="JW23" s="77"/>
      <c r="JX23" s="78"/>
      <c r="JY23" s="1"/>
      <c r="KA23" s="53"/>
      <c r="KC23" s="92"/>
      <c r="KD23" s="84"/>
      <c r="KE23" s="85"/>
      <c r="KF23" s="8"/>
      <c r="KG23" s="77"/>
      <c r="KH23" s="85"/>
      <c r="KI23" s="77"/>
      <c r="KJ23" s="84"/>
      <c r="KK23" s="85"/>
      <c r="KL23" s="8"/>
      <c r="KM23" s="77"/>
      <c r="KN23" s="78"/>
      <c r="KO23" s="1"/>
      <c r="KQ23" s="53"/>
      <c r="KS23" s="92"/>
      <c r="KT23" s="84"/>
      <c r="KU23" s="85"/>
      <c r="KV23" s="8"/>
      <c r="KW23" s="77"/>
      <c r="KX23" s="85"/>
      <c r="KY23" s="77"/>
      <c r="KZ23" s="84"/>
      <c r="LA23" s="85"/>
      <c r="LB23" s="8"/>
      <c r="LC23" s="77"/>
      <c r="LD23" s="78"/>
      <c r="LE23" s="1"/>
      <c r="LG23" s="53"/>
      <c r="LI23" s="92"/>
      <c r="LJ23" s="84"/>
      <c r="LK23" s="85"/>
      <c r="LL23" s="8"/>
      <c r="LM23" s="77"/>
      <c r="LN23" s="85"/>
      <c r="LO23" s="77"/>
      <c r="LP23" s="84"/>
      <c r="LQ23" s="85"/>
      <c r="LR23" s="8"/>
      <c r="LS23" s="77"/>
      <c r="LT23" s="78"/>
      <c r="LU23" s="1"/>
      <c r="LW23" s="53"/>
      <c r="LY23" s="92"/>
      <c r="LZ23" s="84"/>
      <c r="MA23" s="85"/>
      <c r="MB23" s="8"/>
      <c r="MC23" s="77"/>
      <c r="MD23" s="85"/>
      <c r="ME23" s="77"/>
      <c r="MF23" s="84"/>
      <c r="MG23" s="85"/>
      <c r="MH23" s="8"/>
      <c r="MI23" s="77"/>
      <c r="MJ23" s="78"/>
      <c r="MK23" s="1"/>
      <c r="MM23" s="53"/>
    </row>
    <row r="24" spans="1:351" ht="20.100000000000001" customHeight="1" x14ac:dyDescent="0.3">
      <c r="A24" s="92"/>
      <c r="B24" s="84"/>
      <c r="C24" s="85"/>
      <c r="D24" s="8"/>
      <c r="E24" s="77"/>
      <c r="F24" s="85"/>
      <c r="G24" s="77"/>
      <c r="H24" s="84"/>
      <c r="I24" s="85"/>
      <c r="J24" s="8"/>
      <c r="K24" s="77"/>
      <c r="L24" s="78"/>
      <c r="M24" s="1"/>
      <c r="O24" s="53"/>
      <c r="Q24" s="92"/>
      <c r="R24" s="84"/>
      <c r="S24" s="85"/>
      <c r="T24" s="8"/>
      <c r="U24" s="77"/>
      <c r="V24" s="85"/>
      <c r="W24" s="77"/>
      <c r="X24" s="84"/>
      <c r="Y24" s="85"/>
      <c r="Z24" s="8"/>
      <c r="AA24" s="77"/>
      <c r="AB24" s="78"/>
      <c r="AC24" s="1"/>
      <c r="AE24" s="53"/>
      <c r="AG24" s="92"/>
      <c r="AH24" s="84"/>
      <c r="AI24" s="85"/>
      <c r="AJ24" s="8"/>
      <c r="AK24" s="77"/>
      <c r="AL24" s="85"/>
      <c r="AM24" s="77"/>
      <c r="AN24" s="84"/>
      <c r="AO24" s="85"/>
      <c r="AP24" s="8"/>
      <c r="AQ24" s="77"/>
      <c r="AR24" s="78"/>
      <c r="AS24" s="1"/>
      <c r="AU24" s="53"/>
      <c r="AW24" s="92"/>
      <c r="AX24" s="84"/>
      <c r="AY24" s="85"/>
      <c r="AZ24" s="8"/>
      <c r="BA24" s="77"/>
      <c r="BB24" s="85"/>
      <c r="BC24" s="77"/>
      <c r="BD24" s="84"/>
      <c r="BE24" s="85"/>
      <c r="BF24" s="8"/>
      <c r="BG24" s="77"/>
      <c r="BH24" s="78"/>
      <c r="BI24" s="1"/>
      <c r="BK24" s="53"/>
      <c r="BM24" s="92"/>
      <c r="BN24" s="84"/>
      <c r="BO24" s="85"/>
      <c r="BP24" s="8"/>
      <c r="BQ24" s="77"/>
      <c r="BR24" s="85"/>
      <c r="BS24" s="77"/>
      <c r="BT24" s="84"/>
      <c r="BU24" s="85"/>
      <c r="BV24" s="8"/>
      <c r="BW24" s="77"/>
      <c r="BX24" s="78"/>
      <c r="BY24" s="1"/>
      <c r="CA24" s="53"/>
      <c r="CC24" s="92"/>
      <c r="CD24" s="84"/>
      <c r="CE24" s="85"/>
      <c r="CF24" s="8"/>
      <c r="CG24" s="77"/>
      <c r="CH24" s="85"/>
      <c r="CI24" s="77"/>
      <c r="CJ24" s="84"/>
      <c r="CK24" s="85"/>
      <c r="CL24" s="8"/>
      <c r="CM24" s="77"/>
      <c r="CN24" s="78"/>
      <c r="CO24" s="1"/>
      <c r="CQ24" s="53"/>
      <c r="CS24" s="92"/>
      <c r="CT24" s="84"/>
      <c r="CU24" s="85"/>
      <c r="CV24" s="8"/>
      <c r="CW24" s="77"/>
      <c r="CX24" s="85"/>
      <c r="CY24" s="77"/>
      <c r="CZ24" s="84"/>
      <c r="DA24" s="85"/>
      <c r="DB24" s="8"/>
      <c r="DC24" s="77"/>
      <c r="DD24" s="78"/>
      <c r="DE24" s="1"/>
      <c r="DG24" s="53"/>
      <c r="DI24" s="92"/>
      <c r="DJ24" s="84"/>
      <c r="DK24" s="85"/>
      <c r="DL24" s="8"/>
      <c r="DM24" s="77"/>
      <c r="DN24" s="85"/>
      <c r="DO24" s="77"/>
      <c r="DP24" s="84"/>
      <c r="DQ24" s="85"/>
      <c r="DR24" s="8"/>
      <c r="DS24" s="77"/>
      <c r="DT24" s="78"/>
      <c r="DU24" s="1"/>
      <c r="DW24" s="53"/>
      <c r="DY24" s="92"/>
      <c r="DZ24" s="84"/>
      <c r="EA24" s="85"/>
      <c r="EB24" s="8"/>
      <c r="EC24" s="77"/>
      <c r="ED24" s="85"/>
      <c r="EE24" s="77"/>
      <c r="EF24" s="84"/>
      <c r="EG24" s="85"/>
      <c r="EH24" s="8"/>
      <c r="EI24" s="77"/>
      <c r="EJ24" s="78"/>
      <c r="EK24" s="1"/>
      <c r="EM24" s="53"/>
      <c r="EO24" s="92"/>
      <c r="EP24" s="84"/>
      <c r="EQ24" s="85"/>
      <c r="ER24" s="8"/>
      <c r="ES24" s="77"/>
      <c r="ET24" s="85"/>
      <c r="EU24" s="77"/>
      <c r="EV24" s="84"/>
      <c r="EW24" s="85"/>
      <c r="EX24" s="8"/>
      <c r="EY24" s="77"/>
      <c r="EZ24" s="78"/>
      <c r="FA24" s="1"/>
      <c r="FC24" s="53"/>
      <c r="FE24" s="92"/>
      <c r="FF24" s="84"/>
      <c r="FG24" s="85"/>
      <c r="FH24" s="8"/>
      <c r="FI24" s="77"/>
      <c r="FJ24" s="85"/>
      <c r="FK24" s="77"/>
      <c r="FL24" s="84"/>
      <c r="FM24" s="85"/>
      <c r="FN24" s="8"/>
      <c r="FO24" s="77"/>
      <c r="FP24" s="78"/>
      <c r="FQ24" s="1"/>
      <c r="FS24" s="53"/>
      <c r="FU24" s="92"/>
      <c r="FV24" s="84"/>
      <c r="FW24" s="85"/>
      <c r="FX24" s="8"/>
      <c r="FY24" s="77"/>
      <c r="FZ24" s="85"/>
      <c r="GA24" s="77"/>
      <c r="GB24" s="84"/>
      <c r="GC24" s="85"/>
      <c r="GD24" s="8"/>
      <c r="GE24" s="77"/>
      <c r="GF24" s="78"/>
      <c r="GG24" s="1"/>
      <c r="GI24" s="53"/>
      <c r="GK24" s="92"/>
      <c r="GL24" s="84"/>
      <c r="GM24" s="85"/>
      <c r="GN24" s="8"/>
      <c r="GO24" s="77"/>
      <c r="GP24" s="85"/>
      <c r="GQ24" s="77"/>
      <c r="GR24" s="84"/>
      <c r="GS24" s="85"/>
      <c r="GT24" s="8"/>
      <c r="GU24" s="77"/>
      <c r="GV24" s="78"/>
      <c r="GW24" s="1"/>
      <c r="GY24" s="53"/>
      <c r="HA24" s="92"/>
      <c r="HB24" s="84"/>
      <c r="HC24" s="85"/>
      <c r="HD24" s="8"/>
      <c r="HE24" s="77"/>
      <c r="HF24" s="85"/>
      <c r="HG24" s="77"/>
      <c r="HH24" s="84"/>
      <c r="HI24" s="85"/>
      <c r="HJ24" s="8"/>
      <c r="HK24" s="77"/>
      <c r="HL24" s="78"/>
      <c r="HM24" s="1"/>
      <c r="HO24" s="53"/>
      <c r="HQ24" s="92"/>
      <c r="HR24" s="84"/>
      <c r="HS24" s="85"/>
      <c r="HT24" s="8"/>
      <c r="HU24" s="77"/>
      <c r="HV24" s="85"/>
      <c r="HW24" s="77"/>
      <c r="HX24" s="84"/>
      <c r="HY24" s="85"/>
      <c r="HZ24" s="8"/>
      <c r="IA24" s="77"/>
      <c r="IB24" s="78"/>
      <c r="IC24" s="1"/>
      <c r="IE24" s="53"/>
      <c r="IG24" s="92"/>
      <c r="IH24" s="84"/>
      <c r="II24" s="85"/>
      <c r="IJ24" s="8"/>
      <c r="IK24" s="77"/>
      <c r="IL24" s="85"/>
      <c r="IM24" s="77"/>
      <c r="IN24" s="84"/>
      <c r="IO24" s="85"/>
      <c r="IP24" s="8"/>
      <c r="IQ24" s="77"/>
      <c r="IR24" s="78"/>
      <c r="IS24" s="1"/>
      <c r="IU24" s="53"/>
      <c r="IW24" s="92"/>
      <c r="IX24" s="84"/>
      <c r="IY24" s="85"/>
      <c r="IZ24" s="8"/>
      <c r="JA24" s="77"/>
      <c r="JB24" s="85"/>
      <c r="JC24" s="77"/>
      <c r="JD24" s="84"/>
      <c r="JE24" s="85"/>
      <c r="JF24" s="8"/>
      <c r="JG24" s="77"/>
      <c r="JH24" s="78"/>
      <c r="JI24" s="1"/>
      <c r="JK24" s="53"/>
      <c r="JM24" s="92"/>
      <c r="JN24" s="84"/>
      <c r="JO24" s="85"/>
      <c r="JP24" s="8"/>
      <c r="JQ24" s="77"/>
      <c r="JR24" s="85"/>
      <c r="JS24" s="77"/>
      <c r="JT24" s="84"/>
      <c r="JU24" s="85"/>
      <c r="JV24" s="8"/>
      <c r="JW24" s="77"/>
      <c r="JX24" s="78"/>
      <c r="JY24" s="1"/>
      <c r="KA24" s="53"/>
      <c r="KC24" s="92"/>
      <c r="KD24" s="84"/>
      <c r="KE24" s="85"/>
      <c r="KF24" s="8"/>
      <c r="KG24" s="77"/>
      <c r="KH24" s="85"/>
      <c r="KI24" s="77"/>
      <c r="KJ24" s="84"/>
      <c r="KK24" s="85"/>
      <c r="KL24" s="8"/>
      <c r="KM24" s="77"/>
      <c r="KN24" s="78"/>
      <c r="KO24" s="1"/>
      <c r="KQ24" s="53"/>
      <c r="KS24" s="92"/>
      <c r="KT24" s="84"/>
      <c r="KU24" s="85"/>
      <c r="KV24" s="8"/>
      <c r="KW24" s="77"/>
      <c r="KX24" s="85"/>
      <c r="KY24" s="77"/>
      <c r="KZ24" s="84"/>
      <c r="LA24" s="85"/>
      <c r="LB24" s="8"/>
      <c r="LC24" s="77"/>
      <c r="LD24" s="78"/>
      <c r="LE24" s="1"/>
      <c r="LG24" s="53"/>
      <c r="LI24" s="92"/>
      <c r="LJ24" s="84"/>
      <c r="LK24" s="85"/>
      <c r="LL24" s="8"/>
      <c r="LM24" s="77"/>
      <c r="LN24" s="85"/>
      <c r="LO24" s="77"/>
      <c r="LP24" s="84"/>
      <c r="LQ24" s="85"/>
      <c r="LR24" s="8"/>
      <c r="LS24" s="77"/>
      <c r="LT24" s="78"/>
      <c r="LU24" s="1"/>
      <c r="LW24" s="53"/>
      <c r="LY24" s="92"/>
      <c r="LZ24" s="84"/>
      <c r="MA24" s="85"/>
      <c r="MB24" s="8"/>
      <c r="MC24" s="77"/>
      <c r="MD24" s="85"/>
      <c r="ME24" s="77"/>
      <c r="MF24" s="84"/>
      <c r="MG24" s="85"/>
      <c r="MH24" s="8"/>
      <c r="MI24" s="77"/>
      <c r="MJ24" s="78"/>
      <c r="MK24" s="1"/>
      <c r="MM24" s="53"/>
    </row>
    <row r="25" spans="1:351" ht="20.100000000000001" customHeight="1" x14ac:dyDescent="0.3">
      <c r="A25" s="156" t="s">
        <v>31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8"/>
      <c r="M25" s="1"/>
      <c r="O25" s="53"/>
      <c r="Q25" s="156" t="s">
        <v>31</v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8"/>
      <c r="AC25" s="1"/>
      <c r="AE25" s="53"/>
      <c r="AG25" s="156" t="s">
        <v>31</v>
      </c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8"/>
      <c r="AS25" s="1"/>
      <c r="AU25" s="53"/>
      <c r="AW25" s="156" t="s">
        <v>31</v>
      </c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8"/>
      <c r="BI25" s="1"/>
      <c r="BK25" s="53"/>
      <c r="BM25" s="156" t="s">
        <v>31</v>
      </c>
      <c r="BN25" s="157"/>
      <c r="BO25" s="157"/>
      <c r="BP25" s="157"/>
      <c r="BQ25" s="157"/>
      <c r="BR25" s="157"/>
      <c r="BS25" s="157"/>
      <c r="BT25" s="157"/>
      <c r="BU25" s="157"/>
      <c r="BV25" s="157"/>
      <c r="BW25" s="157"/>
      <c r="BX25" s="158"/>
      <c r="BY25" s="1"/>
      <c r="CA25" s="53"/>
      <c r="CC25" s="156" t="s">
        <v>31</v>
      </c>
      <c r="CD25" s="157"/>
      <c r="CE25" s="157"/>
      <c r="CF25" s="157"/>
      <c r="CG25" s="157"/>
      <c r="CH25" s="157"/>
      <c r="CI25" s="157"/>
      <c r="CJ25" s="157"/>
      <c r="CK25" s="157"/>
      <c r="CL25" s="157"/>
      <c r="CM25" s="157"/>
      <c r="CN25" s="158"/>
      <c r="CO25" s="1"/>
      <c r="CQ25" s="53"/>
      <c r="CS25" s="156" t="s">
        <v>31</v>
      </c>
      <c r="CT25" s="157"/>
      <c r="CU25" s="157"/>
      <c r="CV25" s="157"/>
      <c r="CW25" s="157"/>
      <c r="CX25" s="157"/>
      <c r="CY25" s="157"/>
      <c r="CZ25" s="157"/>
      <c r="DA25" s="157"/>
      <c r="DB25" s="157"/>
      <c r="DC25" s="157"/>
      <c r="DD25" s="158"/>
      <c r="DE25" s="1"/>
      <c r="DG25" s="53"/>
      <c r="DI25" s="156" t="s">
        <v>31</v>
      </c>
      <c r="DJ25" s="157"/>
      <c r="DK25" s="157"/>
      <c r="DL25" s="157"/>
      <c r="DM25" s="157"/>
      <c r="DN25" s="157"/>
      <c r="DO25" s="157"/>
      <c r="DP25" s="157"/>
      <c r="DQ25" s="157"/>
      <c r="DR25" s="157"/>
      <c r="DS25" s="157"/>
      <c r="DT25" s="158"/>
      <c r="DU25" s="1"/>
      <c r="DW25" s="53"/>
      <c r="DY25" s="156" t="s">
        <v>31</v>
      </c>
      <c r="DZ25" s="157"/>
      <c r="EA25" s="157"/>
      <c r="EB25" s="157"/>
      <c r="EC25" s="157"/>
      <c r="ED25" s="157"/>
      <c r="EE25" s="157"/>
      <c r="EF25" s="157"/>
      <c r="EG25" s="157"/>
      <c r="EH25" s="157"/>
      <c r="EI25" s="157"/>
      <c r="EJ25" s="158"/>
      <c r="EK25" s="1"/>
      <c r="EM25" s="53"/>
      <c r="EO25" s="156" t="s">
        <v>31</v>
      </c>
      <c r="EP25" s="157"/>
      <c r="EQ25" s="157"/>
      <c r="ER25" s="157"/>
      <c r="ES25" s="157"/>
      <c r="ET25" s="157"/>
      <c r="EU25" s="157"/>
      <c r="EV25" s="157"/>
      <c r="EW25" s="157"/>
      <c r="EX25" s="157"/>
      <c r="EY25" s="157"/>
      <c r="EZ25" s="158"/>
      <c r="FA25" s="1"/>
      <c r="FC25" s="53"/>
      <c r="FE25" s="156" t="s">
        <v>31</v>
      </c>
      <c r="FF25" s="157"/>
      <c r="FG25" s="157"/>
      <c r="FH25" s="157"/>
      <c r="FI25" s="157"/>
      <c r="FJ25" s="157"/>
      <c r="FK25" s="157"/>
      <c r="FL25" s="157"/>
      <c r="FM25" s="157"/>
      <c r="FN25" s="157"/>
      <c r="FO25" s="157"/>
      <c r="FP25" s="158"/>
      <c r="FQ25" s="1"/>
      <c r="FS25" s="53"/>
      <c r="FU25" s="156" t="s">
        <v>31</v>
      </c>
      <c r="FV25" s="157"/>
      <c r="FW25" s="157"/>
      <c r="FX25" s="157"/>
      <c r="FY25" s="157"/>
      <c r="FZ25" s="157"/>
      <c r="GA25" s="157"/>
      <c r="GB25" s="157"/>
      <c r="GC25" s="157"/>
      <c r="GD25" s="157"/>
      <c r="GE25" s="157"/>
      <c r="GF25" s="158"/>
      <c r="GG25" s="1"/>
      <c r="GI25" s="53"/>
      <c r="GK25" s="156" t="s">
        <v>31</v>
      </c>
      <c r="GL25" s="157"/>
      <c r="GM25" s="157"/>
      <c r="GN25" s="157"/>
      <c r="GO25" s="157"/>
      <c r="GP25" s="157"/>
      <c r="GQ25" s="157"/>
      <c r="GR25" s="157"/>
      <c r="GS25" s="157"/>
      <c r="GT25" s="157"/>
      <c r="GU25" s="157"/>
      <c r="GV25" s="158"/>
      <c r="GW25" s="1"/>
      <c r="GY25" s="53"/>
      <c r="HA25" s="156" t="s">
        <v>31</v>
      </c>
      <c r="HB25" s="157"/>
      <c r="HC25" s="157"/>
      <c r="HD25" s="157"/>
      <c r="HE25" s="157"/>
      <c r="HF25" s="157"/>
      <c r="HG25" s="157"/>
      <c r="HH25" s="157"/>
      <c r="HI25" s="157"/>
      <c r="HJ25" s="157"/>
      <c r="HK25" s="157"/>
      <c r="HL25" s="158"/>
      <c r="HM25" s="1"/>
      <c r="HO25" s="53"/>
      <c r="HQ25" s="156" t="s">
        <v>31</v>
      </c>
      <c r="HR25" s="157"/>
      <c r="HS25" s="157"/>
      <c r="HT25" s="157"/>
      <c r="HU25" s="157"/>
      <c r="HV25" s="157"/>
      <c r="HW25" s="157"/>
      <c r="HX25" s="157"/>
      <c r="HY25" s="157"/>
      <c r="HZ25" s="157"/>
      <c r="IA25" s="157"/>
      <c r="IB25" s="158"/>
      <c r="IC25" s="1"/>
      <c r="IE25" s="53"/>
      <c r="IG25" s="156" t="s">
        <v>31</v>
      </c>
      <c r="IH25" s="157"/>
      <c r="II25" s="157"/>
      <c r="IJ25" s="157"/>
      <c r="IK25" s="157"/>
      <c r="IL25" s="157"/>
      <c r="IM25" s="157"/>
      <c r="IN25" s="157"/>
      <c r="IO25" s="157"/>
      <c r="IP25" s="157"/>
      <c r="IQ25" s="157"/>
      <c r="IR25" s="158"/>
      <c r="IS25" s="1"/>
      <c r="IU25" s="53"/>
      <c r="IW25" s="156" t="s">
        <v>31</v>
      </c>
      <c r="IX25" s="157"/>
      <c r="IY25" s="157"/>
      <c r="IZ25" s="157"/>
      <c r="JA25" s="157"/>
      <c r="JB25" s="157"/>
      <c r="JC25" s="157"/>
      <c r="JD25" s="157"/>
      <c r="JE25" s="157"/>
      <c r="JF25" s="157"/>
      <c r="JG25" s="157"/>
      <c r="JH25" s="158"/>
      <c r="JI25" s="1"/>
      <c r="JK25" s="53"/>
      <c r="JM25" s="156" t="s">
        <v>31</v>
      </c>
      <c r="JN25" s="157"/>
      <c r="JO25" s="157"/>
      <c r="JP25" s="157"/>
      <c r="JQ25" s="157"/>
      <c r="JR25" s="157"/>
      <c r="JS25" s="157"/>
      <c r="JT25" s="157"/>
      <c r="JU25" s="157"/>
      <c r="JV25" s="157"/>
      <c r="JW25" s="157"/>
      <c r="JX25" s="158"/>
      <c r="JY25" s="1"/>
      <c r="KA25" s="53"/>
      <c r="KC25" s="156" t="s">
        <v>31</v>
      </c>
      <c r="KD25" s="157"/>
      <c r="KE25" s="157"/>
      <c r="KF25" s="157"/>
      <c r="KG25" s="157"/>
      <c r="KH25" s="157"/>
      <c r="KI25" s="157"/>
      <c r="KJ25" s="157"/>
      <c r="KK25" s="157"/>
      <c r="KL25" s="157"/>
      <c r="KM25" s="157"/>
      <c r="KN25" s="158"/>
      <c r="KO25" s="1"/>
      <c r="KQ25" s="53"/>
      <c r="KS25" s="156" t="s">
        <v>31</v>
      </c>
      <c r="KT25" s="157"/>
      <c r="KU25" s="157"/>
      <c r="KV25" s="157"/>
      <c r="KW25" s="157"/>
      <c r="KX25" s="157"/>
      <c r="KY25" s="157"/>
      <c r="KZ25" s="157"/>
      <c r="LA25" s="157"/>
      <c r="LB25" s="157"/>
      <c r="LC25" s="157"/>
      <c r="LD25" s="158"/>
      <c r="LE25" s="1"/>
      <c r="LG25" s="53"/>
      <c r="LI25" s="156" t="s">
        <v>31</v>
      </c>
      <c r="LJ25" s="157"/>
      <c r="LK25" s="157"/>
      <c r="LL25" s="157"/>
      <c r="LM25" s="157"/>
      <c r="LN25" s="157"/>
      <c r="LO25" s="157"/>
      <c r="LP25" s="157"/>
      <c r="LQ25" s="157"/>
      <c r="LR25" s="157"/>
      <c r="LS25" s="157"/>
      <c r="LT25" s="158"/>
      <c r="LU25" s="1"/>
      <c r="LW25" s="53"/>
      <c r="LY25" s="156" t="s">
        <v>31</v>
      </c>
      <c r="LZ25" s="157"/>
      <c r="MA25" s="157"/>
      <c r="MB25" s="157"/>
      <c r="MC25" s="157"/>
      <c r="MD25" s="157"/>
      <c r="ME25" s="157"/>
      <c r="MF25" s="157"/>
      <c r="MG25" s="157"/>
      <c r="MH25" s="157"/>
      <c r="MI25" s="157"/>
      <c r="MJ25" s="158"/>
      <c r="MK25" s="1"/>
      <c r="MM25" s="53"/>
    </row>
    <row r="26" spans="1:351" ht="20.100000000000001" customHeight="1" x14ac:dyDescent="0.3">
      <c r="A26" s="23" t="s">
        <v>32</v>
      </c>
      <c r="B26" s="77" t="s">
        <v>33</v>
      </c>
      <c r="C26" s="85"/>
      <c r="D26" s="77" t="s">
        <v>34</v>
      </c>
      <c r="E26" s="84"/>
      <c r="F26" s="85"/>
      <c r="G26" s="77" t="s">
        <v>35</v>
      </c>
      <c r="H26" s="84"/>
      <c r="I26" s="85"/>
      <c r="J26" s="8" t="s">
        <v>29</v>
      </c>
      <c r="K26" s="77" t="s">
        <v>30</v>
      </c>
      <c r="L26" s="78"/>
      <c r="M26" s="1"/>
      <c r="O26" s="53"/>
      <c r="Q26" s="23" t="s">
        <v>32</v>
      </c>
      <c r="R26" s="77" t="s">
        <v>33</v>
      </c>
      <c r="S26" s="85"/>
      <c r="T26" s="77" t="s">
        <v>34</v>
      </c>
      <c r="U26" s="84"/>
      <c r="V26" s="85"/>
      <c r="W26" s="77" t="s">
        <v>35</v>
      </c>
      <c r="X26" s="84"/>
      <c r="Y26" s="85"/>
      <c r="Z26" s="8" t="s">
        <v>29</v>
      </c>
      <c r="AA26" s="77" t="s">
        <v>30</v>
      </c>
      <c r="AB26" s="78"/>
      <c r="AC26" s="1"/>
      <c r="AE26" s="53"/>
      <c r="AG26" s="23" t="s">
        <v>32</v>
      </c>
      <c r="AH26" s="77" t="s">
        <v>33</v>
      </c>
      <c r="AI26" s="85"/>
      <c r="AJ26" s="77" t="s">
        <v>34</v>
      </c>
      <c r="AK26" s="84"/>
      <c r="AL26" s="85"/>
      <c r="AM26" s="77" t="s">
        <v>35</v>
      </c>
      <c r="AN26" s="84"/>
      <c r="AO26" s="85"/>
      <c r="AP26" s="8" t="s">
        <v>29</v>
      </c>
      <c r="AQ26" s="77" t="s">
        <v>30</v>
      </c>
      <c r="AR26" s="78"/>
      <c r="AS26" s="1"/>
      <c r="AU26" s="53"/>
      <c r="AW26" s="23" t="s">
        <v>32</v>
      </c>
      <c r="AX26" s="77" t="s">
        <v>33</v>
      </c>
      <c r="AY26" s="85"/>
      <c r="AZ26" s="77" t="s">
        <v>34</v>
      </c>
      <c r="BA26" s="84"/>
      <c r="BB26" s="85"/>
      <c r="BC26" s="77" t="s">
        <v>35</v>
      </c>
      <c r="BD26" s="84"/>
      <c r="BE26" s="85"/>
      <c r="BF26" s="8" t="s">
        <v>29</v>
      </c>
      <c r="BG26" s="77" t="s">
        <v>30</v>
      </c>
      <c r="BH26" s="78"/>
      <c r="BI26" s="1"/>
      <c r="BK26" s="53"/>
      <c r="BM26" s="23" t="s">
        <v>32</v>
      </c>
      <c r="BN26" s="77" t="s">
        <v>33</v>
      </c>
      <c r="BO26" s="85"/>
      <c r="BP26" s="77" t="s">
        <v>34</v>
      </c>
      <c r="BQ26" s="84"/>
      <c r="BR26" s="85"/>
      <c r="BS26" s="77" t="s">
        <v>35</v>
      </c>
      <c r="BT26" s="84"/>
      <c r="BU26" s="85"/>
      <c r="BV26" s="8" t="s">
        <v>29</v>
      </c>
      <c r="BW26" s="77" t="s">
        <v>30</v>
      </c>
      <c r="BX26" s="78"/>
      <c r="BY26" s="1"/>
      <c r="CA26" s="53"/>
      <c r="CC26" s="23" t="s">
        <v>32</v>
      </c>
      <c r="CD26" s="77" t="s">
        <v>33</v>
      </c>
      <c r="CE26" s="85"/>
      <c r="CF26" s="77" t="s">
        <v>34</v>
      </c>
      <c r="CG26" s="84"/>
      <c r="CH26" s="85"/>
      <c r="CI26" s="77" t="s">
        <v>35</v>
      </c>
      <c r="CJ26" s="84"/>
      <c r="CK26" s="85"/>
      <c r="CL26" s="8" t="s">
        <v>29</v>
      </c>
      <c r="CM26" s="77" t="s">
        <v>30</v>
      </c>
      <c r="CN26" s="78"/>
      <c r="CO26" s="1"/>
      <c r="CQ26" s="53"/>
      <c r="CS26" s="23" t="s">
        <v>32</v>
      </c>
      <c r="CT26" s="77" t="s">
        <v>33</v>
      </c>
      <c r="CU26" s="85"/>
      <c r="CV26" s="77" t="s">
        <v>34</v>
      </c>
      <c r="CW26" s="84"/>
      <c r="CX26" s="85"/>
      <c r="CY26" s="77" t="s">
        <v>35</v>
      </c>
      <c r="CZ26" s="84"/>
      <c r="DA26" s="85"/>
      <c r="DB26" s="8" t="s">
        <v>29</v>
      </c>
      <c r="DC26" s="77" t="s">
        <v>30</v>
      </c>
      <c r="DD26" s="78"/>
      <c r="DE26" s="1"/>
      <c r="DG26" s="53"/>
      <c r="DI26" s="23" t="s">
        <v>32</v>
      </c>
      <c r="DJ26" s="77" t="s">
        <v>33</v>
      </c>
      <c r="DK26" s="85"/>
      <c r="DL26" s="77" t="s">
        <v>34</v>
      </c>
      <c r="DM26" s="84"/>
      <c r="DN26" s="85"/>
      <c r="DO26" s="77" t="s">
        <v>35</v>
      </c>
      <c r="DP26" s="84"/>
      <c r="DQ26" s="85"/>
      <c r="DR26" s="8" t="s">
        <v>29</v>
      </c>
      <c r="DS26" s="77" t="s">
        <v>30</v>
      </c>
      <c r="DT26" s="78"/>
      <c r="DU26" s="1"/>
      <c r="DW26" s="53"/>
      <c r="DY26" s="23" t="s">
        <v>32</v>
      </c>
      <c r="DZ26" s="77" t="s">
        <v>33</v>
      </c>
      <c r="EA26" s="85"/>
      <c r="EB26" s="77" t="s">
        <v>34</v>
      </c>
      <c r="EC26" s="84"/>
      <c r="ED26" s="85"/>
      <c r="EE26" s="77" t="s">
        <v>35</v>
      </c>
      <c r="EF26" s="84"/>
      <c r="EG26" s="85"/>
      <c r="EH26" s="8" t="s">
        <v>29</v>
      </c>
      <c r="EI26" s="77" t="s">
        <v>30</v>
      </c>
      <c r="EJ26" s="78"/>
      <c r="EK26" s="1"/>
      <c r="EM26" s="53"/>
      <c r="EO26" s="23" t="s">
        <v>32</v>
      </c>
      <c r="EP26" s="77" t="s">
        <v>33</v>
      </c>
      <c r="EQ26" s="85"/>
      <c r="ER26" s="77" t="s">
        <v>34</v>
      </c>
      <c r="ES26" s="84"/>
      <c r="ET26" s="85"/>
      <c r="EU26" s="77" t="s">
        <v>35</v>
      </c>
      <c r="EV26" s="84"/>
      <c r="EW26" s="85"/>
      <c r="EX26" s="8" t="s">
        <v>29</v>
      </c>
      <c r="EY26" s="77" t="s">
        <v>30</v>
      </c>
      <c r="EZ26" s="78"/>
      <c r="FA26" s="1"/>
      <c r="FC26" s="53"/>
      <c r="FE26" s="23" t="s">
        <v>32</v>
      </c>
      <c r="FF26" s="77" t="s">
        <v>33</v>
      </c>
      <c r="FG26" s="85"/>
      <c r="FH26" s="77" t="s">
        <v>34</v>
      </c>
      <c r="FI26" s="84"/>
      <c r="FJ26" s="85"/>
      <c r="FK26" s="77" t="s">
        <v>35</v>
      </c>
      <c r="FL26" s="84"/>
      <c r="FM26" s="85"/>
      <c r="FN26" s="8" t="s">
        <v>29</v>
      </c>
      <c r="FO26" s="77" t="s">
        <v>30</v>
      </c>
      <c r="FP26" s="78"/>
      <c r="FQ26" s="1"/>
      <c r="FS26" s="53"/>
      <c r="FU26" s="23" t="s">
        <v>32</v>
      </c>
      <c r="FV26" s="77" t="s">
        <v>33</v>
      </c>
      <c r="FW26" s="85"/>
      <c r="FX26" s="77" t="s">
        <v>34</v>
      </c>
      <c r="FY26" s="84"/>
      <c r="FZ26" s="85"/>
      <c r="GA26" s="77" t="s">
        <v>35</v>
      </c>
      <c r="GB26" s="84"/>
      <c r="GC26" s="85"/>
      <c r="GD26" s="8" t="s">
        <v>29</v>
      </c>
      <c r="GE26" s="77" t="s">
        <v>30</v>
      </c>
      <c r="GF26" s="78"/>
      <c r="GG26" s="1"/>
      <c r="GI26" s="53"/>
      <c r="GK26" s="23" t="s">
        <v>32</v>
      </c>
      <c r="GL26" s="77" t="s">
        <v>33</v>
      </c>
      <c r="GM26" s="85"/>
      <c r="GN26" s="77" t="s">
        <v>34</v>
      </c>
      <c r="GO26" s="84"/>
      <c r="GP26" s="85"/>
      <c r="GQ26" s="77" t="s">
        <v>35</v>
      </c>
      <c r="GR26" s="84"/>
      <c r="GS26" s="85"/>
      <c r="GT26" s="8" t="s">
        <v>29</v>
      </c>
      <c r="GU26" s="77" t="s">
        <v>30</v>
      </c>
      <c r="GV26" s="78"/>
      <c r="GW26" s="1"/>
      <c r="GY26" s="53"/>
      <c r="HA26" s="23" t="s">
        <v>32</v>
      </c>
      <c r="HB26" s="77" t="s">
        <v>33</v>
      </c>
      <c r="HC26" s="85"/>
      <c r="HD26" s="77" t="s">
        <v>34</v>
      </c>
      <c r="HE26" s="84"/>
      <c r="HF26" s="85"/>
      <c r="HG26" s="77" t="s">
        <v>35</v>
      </c>
      <c r="HH26" s="84"/>
      <c r="HI26" s="85"/>
      <c r="HJ26" s="8" t="s">
        <v>29</v>
      </c>
      <c r="HK26" s="77" t="s">
        <v>30</v>
      </c>
      <c r="HL26" s="78"/>
      <c r="HM26" s="1"/>
      <c r="HO26" s="53"/>
      <c r="HQ26" s="23" t="s">
        <v>32</v>
      </c>
      <c r="HR26" s="77" t="s">
        <v>33</v>
      </c>
      <c r="HS26" s="85"/>
      <c r="HT26" s="77" t="s">
        <v>34</v>
      </c>
      <c r="HU26" s="84"/>
      <c r="HV26" s="85"/>
      <c r="HW26" s="77" t="s">
        <v>35</v>
      </c>
      <c r="HX26" s="84"/>
      <c r="HY26" s="85"/>
      <c r="HZ26" s="8" t="s">
        <v>29</v>
      </c>
      <c r="IA26" s="77" t="s">
        <v>30</v>
      </c>
      <c r="IB26" s="78"/>
      <c r="IC26" s="1"/>
      <c r="IE26" s="53"/>
      <c r="IG26" s="23" t="s">
        <v>32</v>
      </c>
      <c r="IH26" s="77" t="s">
        <v>33</v>
      </c>
      <c r="II26" s="85"/>
      <c r="IJ26" s="77" t="s">
        <v>34</v>
      </c>
      <c r="IK26" s="84"/>
      <c r="IL26" s="85"/>
      <c r="IM26" s="77" t="s">
        <v>35</v>
      </c>
      <c r="IN26" s="84"/>
      <c r="IO26" s="85"/>
      <c r="IP26" s="8" t="s">
        <v>29</v>
      </c>
      <c r="IQ26" s="77" t="s">
        <v>30</v>
      </c>
      <c r="IR26" s="78"/>
      <c r="IS26" s="1"/>
      <c r="IU26" s="53"/>
      <c r="IW26" s="23" t="s">
        <v>32</v>
      </c>
      <c r="IX26" s="77" t="s">
        <v>33</v>
      </c>
      <c r="IY26" s="85"/>
      <c r="IZ26" s="77" t="s">
        <v>34</v>
      </c>
      <c r="JA26" s="84"/>
      <c r="JB26" s="85"/>
      <c r="JC26" s="77" t="s">
        <v>35</v>
      </c>
      <c r="JD26" s="84"/>
      <c r="JE26" s="85"/>
      <c r="JF26" s="8" t="s">
        <v>29</v>
      </c>
      <c r="JG26" s="77" t="s">
        <v>30</v>
      </c>
      <c r="JH26" s="78"/>
      <c r="JI26" s="1"/>
      <c r="JK26" s="53"/>
      <c r="JM26" s="23" t="s">
        <v>32</v>
      </c>
      <c r="JN26" s="77" t="s">
        <v>33</v>
      </c>
      <c r="JO26" s="85"/>
      <c r="JP26" s="77" t="s">
        <v>34</v>
      </c>
      <c r="JQ26" s="84"/>
      <c r="JR26" s="85"/>
      <c r="JS26" s="77" t="s">
        <v>35</v>
      </c>
      <c r="JT26" s="84"/>
      <c r="JU26" s="85"/>
      <c r="JV26" s="8" t="s">
        <v>29</v>
      </c>
      <c r="JW26" s="77" t="s">
        <v>30</v>
      </c>
      <c r="JX26" s="78"/>
      <c r="JY26" s="1"/>
      <c r="KA26" s="53"/>
      <c r="KC26" s="23" t="s">
        <v>32</v>
      </c>
      <c r="KD26" s="77" t="s">
        <v>33</v>
      </c>
      <c r="KE26" s="85"/>
      <c r="KF26" s="77" t="s">
        <v>34</v>
      </c>
      <c r="KG26" s="84"/>
      <c r="KH26" s="85"/>
      <c r="KI26" s="77" t="s">
        <v>35</v>
      </c>
      <c r="KJ26" s="84"/>
      <c r="KK26" s="85"/>
      <c r="KL26" s="8" t="s">
        <v>29</v>
      </c>
      <c r="KM26" s="77" t="s">
        <v>30</v>
      </c>
      <c r="KN26" s="78"/>
      <c r="KO26" s="1"/>
      <c r="KQ26" s="53"/>
      <c r="KS26" s="23" t="s">
        <v>32</v>
      </c>
      <c r="KT26" s="77" t="s">
        <v>33</v>
      </c>
      <c r="KU26" s="85"/>
      <c r="KV26" s="77" t="s">
        <v>34</v>
      </c>
      <c r="KW26" s="84"/>
      <c r="KX26" s="85"/>
      <c r="KY26" s="77" t="s">
        <v>35</v>
      </c>
      <c r="KZ26" s="84"/>
      <c r="LA26" s="85"/>
      <c r="LB26" s="8" t="s">
        <v>29</v>
      </c>
      <c r="LC26" s="77" t="s">
        <v>30</v>
      </c>
      <c r="LD26" s="78"/>
      <c r="LE26" s="1"/>
      <c r="LG26" s="53"/>
      <c r="LI26" s="23" t="s">
        <v>32</v>
      </c>
      <c r="LJ26" s="77" t="s">
        <v>33</v>
      </c>
      <c r="LK26" s="85"/>
      <c r="LL26" s="77" t="s">
        <v>34</v>
      </c>
      <c r="LM26" s="84"/>
      <c r="LN26" s="85"/>
      <c r="LO26" s="77" t="s">
        <v>35</v>
      </c>
      <c r="LP26" s="84"/>
      <c r="LQ26" s="85"/>
      <c r="LR26" s="8" t="s">
        <v>29</v>
      </c>
      <c r="LS26" s="77" t="s">
        <v>30</v>
      </c>
      <c r="LT26" s="78"/>
      <c r="LU26" s="1"/>
      <c r="LW26" s="53"/>
      <c r="LY26" s="23" t="s">
        <v>32</v>
      </c>
      <c r="LZ26" s="77" t="s">
        <v>33</v>
      </c>
      <c r="MA26" s="85"/>
      <c r="MB26" s="77" t="s">
        <v>34</v>
      </c>
      <c r="MC26" s="84"/>
      <c r="MD26" s="85"/>
      <c r="ME26" s="77" t="s">
        <v>35</v>
      </c>
      <c r="MF26" s="84"/>
      <c r="MG26" s="85"/>
      <c r="MH26" s="8" t="s">
        <v>29</v>
      </c>
      <c r="MI26" s="77" t="s">
        <v>30</v>
      </c>
      <c r="MJ26" s="78"/>
      <c r="MK26" s="1"/>
      <c r="MM26" s="53"/>
    </row>
    <row r="27" spans="1:351" ht="20.100000000000001" customHeight="1" x14ac:dyDescent="0.3">
      <c r="A27" s="23"/>
      <c r="B27" s="77"/>
      <c r="C27" s="85"/>
      <c r="D27" s="77"/>
      <c r="E27" s="84"/>
      <c r="F27" s="85"/>
      <c r="G27" s="77"/>
      <c r="H27" s="84"/>
      <c r="I27" s="85"/>
      <c r="J27" s="8"/>
      <c r="K27" s="77"/>
      <c r="L27" s="78"/>
      <c r="M27" s="1"/>
      <c r="O27" s="53"/>
      <c r="Q27" s="23" t="s">
        <v>127</v>
      </c>
      <c r="R27" s="77">
        <v>2</v>
      </c>
      <c r="S27" s="85"/>
      <c r="T27" s="77">
        <f>R27+D27</f>
        <v>2</v>
      </c>
      <c r="U27" s="84"/>
      <c r="V27" s="85"/>
      <c r="W27" s="77"/>
      <c r="X27" s="84"/>
      <c r="Y27" s="85"/>
      <c r="Z27" s="8"/>
      <c r="AA27" s="77"/>
      <c r="AB27" s="78"/>
      <c r="AC27" s="1"/>
      <c r="AE27" s="53"/>
      <c r="AG27" s="23" t="s">
        <v>127</v>
      </c>
      <c r="AH27" s="77">
        <v>2</v>
      </c>
      <c r="AI27" s="85"/>
      <c r="AJ27" s="77">
        <f>AH27+T27</f>
        <v>4</v>
      </c>
      <c r="AK27" s="84"/>
      <c r="AL27" s="85"/>
      <c r="AM27" s="77"/>
      <c r="AN27" s="84"/>
      <c r="AO27" s="85"/>
      <c r="AP27" s="8"/>
      <c r="AQ27" s="77"/>
      <c r="AR27" s="78"/>
      <c r="AS27" s="1"/>
      <c r="AU27" s="53"/>
      <c r="AW27" s="23" t="s">
        <v>127</v>
      </c>
      <c r="AX27" s="77">
        <v>2</v>
      </c>
      <c r="AY27" s="85"/>
      <c r="AZ27" s="77">
        <f>AX27+AJ27</f>
        <v>6</v>
      </c>
      <c r="BA27" s="84"/>
      <c r="BB27" s="85"/>
      <c r="BC27" s="77"/>
      <c r="BD27" s="84"/>
      <c r="BE27" s="85"/>
      <c r="BF27" s="8"/>
      <c r="BG27" s="77"/>
      <c r="BH27" s="78"/>
      <c r="BI27" s="1"/>
      <c r="BK27" s="53"/>
      <c r="BM27" s="23" t="s">
        <v>127</v>
      </c>
      <c r="BN27" s="77">
        <v>0</v>
      </c>
      <c r="BO27" s="85"/>
      <c r="BP27" s="77">
        <f>BN27+AZ27</f>
        <v>6</v>
      </c>
      <c r="BQ27" s="84"/>
      <c r="BR27" s="85"/>
      <c r="BS27" s="77"/>
      <c r="BT27" s="84"/>
      <c r="BU27" s="85"/>
      <c r="BV27" s="8"/>
      <c r="BW27" s="77"/>
      <c r="BX27" s="78"/>
      <c r="BY27" s="1"/>
      <c r="CA27" s="53"/>
      <c r="CC27" s="23" t="s">
        <v>127</v>
      </c>
      <c r="CD27" s="77">
        <v>0</v>
      </c>
      <c r="CE27" s="85"/>
      <c r="CF27" s="77">
        <f>CD27+BP27</f>
        <v>6</v>
      </c>
      <c r="CG27" s="84"/>
      <c r="CH27" s="85"/>
      <c r="CI27" s="77"/>
      <c r="CJ27" s="84"/>
      <c r="CK27" s="85"/>
      <c r="CL27" s="8"/>
      <c r="CM27" s="77"/>
      <c r="CN27" s="78"/>
      <c r="CO27" s="1"/>
      <c r="CQ27" s="53"/>
      <c r="CS27" s="23" t="s">
        <v>127</v>
      </c>
      <c r="CT27" s="77">
        <v>0</v>
      </c>
      <c r="CU27" s="85"/>
      <c r="CV27" s="77">
        <f>CT27+CF27</f>
        <v>6</v>
      </c>
      <c r="CW27" s="84"/>
      <c r="CX27" s="85"/>
      <c r="CY27" s="77"/>
      <c r="CZ27" s="84"/>
      <c r="DA27" s="85"/>
      <c r="DB27" s="8"/>
      <c r="DC27" s="77"/>
      <c r="DD27" s="78"/>
      <c r="DE27" s="1"/>
      <c r="DG27" s="53"/>
      <c r="DI27" s="23" t="s">
        <v>127</v>
      </c>
      <c r="DJ27" s="77">
        <v>0</v>
      </c>
      <c r="DK27" s="85"/>
      <c r="DL27" s="77">
        <f>DJ27+CV27</f>
        <v>6</v>
      </c>
      <c r="DM27" s="84"/>
      <c r="DN27" s="85"/>
      <c r="DO27" s="77"/>
      <c r="DP27" s="84"/>
      <c r="DQ27" s="85"/>
      <c r="DR27" s="8"/>
      <c r="DS27" s="77"/>
      <c r="DT27" s="78"/>
      <c r="DU27" s="1"/>
      <c r="DW27" s="53"/>
      <c r="DY27" s="23" t="s">
        <v>127</v>
      </c>
      <c r="DZ27" s="77">
        <v>0</v>
      </c>
      <c r="EA27" s="85"/>
      <c r="EB27" s="77">
        <f>DZ27+DL27</f>
        <v>6</v>
      </c>
      <c r="EC27" s="84"/>
      <c r="ED27" s="85"/>
      <c r="EE27" s="77"/>
      <c r="EF27" s="84"/>
      <c r="EG27" s="85"/>
      <c r="EH27" s="8"/>
      <c r="EI27" s="77"/>
      <c r="EJ27" s="78"/>
      <c r="EK27" s="1"/>
      <c r="EM27" s="53"/>
      <c r="EO27" s="23" t="s">
        <v>127</v>
      </c>
      <c r="EP27" s="77">
        <v>0</v>
      </c>
      <c r="EQ27" s="85"/>
      <c r="ER27" s="77">
        <f>EP27+EB27</f>
        <v>6</v>
      </c>
      <c r="ES27" s="84"/>
      <c r="ET27" s="85"/>
      <c r="EU27" s="77"/>
      <c r="EV27" s="84"/>
      <c r="EW27" s="85"/>
      <c r="EX27" s="8"/>
      <c r="EY27" s="77"/>
      <c r="EZ27" s="78"/>
      <c r="FA27" s="1"/>
      <c r="FC27" s="53"/>
      <c r="FE27" s="23" t="s">
        <v>127</v>
      </c>
      <c r="FF27" s="77">
        <v>0</v>
      </c>
      <c r="FG27" s="85"/>
      <c r="FH27" s="77">
        <f>FF27+ER27</f>
        <v>6</v>
      </c>
      <c r="FI27" s="84"/>
      <c r="FJ27" s="85"/>
      <c r="FK27" s="77"/>
      <c r="FL27" s="84"/>
      <c r="FM27" s="85"/>
      <c r="FN27" s="8"/>
      <c r="FO27" s="77"/>
      <c r="FP27" s="78"/>
      <c r="FQ27" s="1"/>
      <c r="FS27" s="53"/>
      <c r="FU27" s="23" t="s">
        <v>127</v>
      </c>
      <c r="FV27" s="77">
        <v>0</v>
      </c>
      <c r="FW27" s="85"/>
      <c r="FX27" s="77">
        <f>FV27+FH27</f>
        <v>6</v>
      </c>
      <c r="FY27" s="84"/>
      <c r="FZ27" s="85"/>
      <c r="GA27" s="77"/>
      <c r="GB27" s="84"/>
      <c r="GC27" s="85"/>
      <c r="GD27" s="8"/>
      <c r="GE27" s="77"/>
      <c r="GF27" s="78"/>
      <c r="GG27" s="1"/>
      <c r="GI27" s="53"/>
      <c r="GK27" s="23" t="s">
        <v>127</v>
      </c>
      <c r="GL27" s="77">
        <v>0</v>
      </c>
      <c r="GM27" s="85"/>
      <c r="GN27" s="77">
        <f>GL27+FX27</f>
        <v>6</v>
      </c>
      <c r="GO27" s="84"/>
      <c r="GP27" s="85"/>
      <c r="GQ27" s="77"/>
      <c r="GR27" s="84"/>
      <c r="GS27" s="85"/>
      <c r="GT27" s="8"/>
      <c r="GU27" s="77"/>
      <c r="GV27" s="78"/>
      <c r="GW27" s="1"/>
      <c r="GY27" s="53"/>
      <c r="HA27" s="23" t="s">
        <v>127</v>
      </c>
      <c r="HB27" s="77">
        <v>0</v>
      </c>
      <c r="HC27" s="85"/>
      <c r="HD27" s="77">
        <f>HB27+GN27</f>
        <v>6</v>
      </c>
      <c r="HE27" s="84"/>
      <c r="HF27" s="85"/>
      <c r="HG27" s="77"/>
      <c r="HH27" s="84"/>
      <c r="HI27" s="85"/>
      <c r="HJ27" s="8"/>
      <c r="HK27" s="77"/>
      <c r="HL27" s="78"/>
      <c r="HM27" s="1"/>
      <c r="HO27" s="53"/>
      <c r="HQ27" s="23" t="s">
        <v>127</v>
      </c>
      <c r="HR27" s="77">
        <v>2</v>
      </c>
      <c r="HS27" s="85"/>
      <c r="HT27" s="77">
        <f>HR27+HD27</f>
        <v>8</v>
      </c>
      <c r="HU27" s="84"/>
      <c r="HV27" s="85"/>
      <c r="HW27" s="77" t="s">
        <v>128</v>
      </c>
      <c r="HX27" s="84"/>
      <c r="HY27" s="85"/>
      <c r="HZ27" s="8">
        <v>1</v>
      </c>
      <c r="IA27" s="77">
        <f>HZ27</f>
        <v>1</v>
      </c>
      <c r="IB27" s="78"/>
      <c r="IC27" s="1"/>
      <c r="IE27" s="53"/>
      <c r="IG27" s="23" t="s">
        <v>127</v>
      </c>
      <c r="IH27" s="77">
        <v>2</v>
      </c>
      <c r="II27" s="85"/>
      <c r="IJ27" s="77">
        <f>IH27+HT27</f>
        <v>10</v>
      </c>
      <c r="IK27" s="84"/>
      <c r="IL27" s="85"/>
      <c r="IM27" s="77" t="s">
        <v>128</v>
      </c>
      <c r="IN27" s="84"/>
      <c r="IO27" s="85"/>
      <c r="IP27" s="8">
        <v>1</v>
      </c>
      <c r="IQ27" s="77">
        <f>IP27+IA27</f>
        <v>2</v>
      </c>
      <c r="IR27" s="78"/>
      <c r="IS27" s="1"/>
      <c r="IU27" s="53"/>
      <c r="IW27" s="23" t="s">
        <v>127</v>
      </c>
      <c r="IX27" s="77">
        <v>2</v>
      </c>
      <c r="IY27" s="85"/>
      <c r="IZ27" s="77">
        <f>IX27+IJ27</f>
        <v>12</v>
      </c>
      <c r="JA27" s="84"/>
      <c r="JB27" s="85"/>
      <c r="JC27" s="77" t="s">
        <v>128</v>
      </c>
      <c r="JD27" s="84"/>
      <c r="JE27" s="85"/>
      <c r="JF27" s="8">
        <v>0</v>
      </c>
      <c r="JG27" s="77">
        <f>JF27+IQ27</f>
        <v>2</v>
      </c>
      <c r="JH27" s="78"/>
      <c r="JI27" s="1"/>
      <c r="JK27" s="53"/>
      <c r="JM27" s="23" t="s">
        <v>127</v>
      </c>
      <c r="JN27" s="77">
        <v>2</v>
      </c>
      <c r="JO27" s="85"/>
      <c r="JP27" s="77">
        <f>JN27+IZ27</f>
        <v>14</v>
      </c>
      <c r="JQ27" s="84"/>
      <c r="JR27" s="85"/>
      <c r="JS27" s="77" t="s">
        <v>128</v>
      </c>
      <c r="JT27" s="84"/>
      <c r="JU27" s="85"/>
      <c r="JV27" s="8">
        <v>0</v>
      </c>
      <c r="JW27" s="77">
        <f>JV27+JG27</f>
        <v>2</v>
      </c>
      <c r="JX27" s="78"/>
      <c r="JY27" s="1"/>
      <c r="KA27" s="53"/>
      <c r="KC27" s="23" t="s">
        <v>127</v>
      </c>
      <c r="KD27" s="77">
        <v>2</v>
      </c>
      <c r="KE27" s="85"/>
      <c r="KF27" s="77">
        <f>KD27+JP27</f>
        <v>16</v>
      </c>
      <c r="KG27" s="84"/>
      <c r="KH27" s="85"/>
      <c r="KI27" s="77" t="s">
        <v>128</v>
      </c>
      <c r="KJ27" s="84"/>
      <c r="KK27" s="85"/>
      <c r="KL27" s="8">
        <v>0</v>
      </c>
      <c r="KM27" s="77">
        <f>KL27+JW27</f>
        <v>2</v>
      </c>
      <c r="KN27" s="78"/>
      <c r="KO27" s="1"/>
      <c r="KQ27" s="53"/>
      <c r="KS27" s="23" t="s">
        <v>127</v>
      </c>
      <c r="KT27" s="77">
        <v>2</v>
      </c>
      <c r="KU27" s="85"/>
      <c r="KV27" s="77">
        <f>KT27+KF27</f>
        <v>18</v>
      </c>
      <c r="KW27" s="84"/>
      <c r="KX27" s="85"/>
      <c r="KY27" s="77" t="s">
        <v>128</v>
      </c>
      <c r="KZ27" s="84"/>
      <c r="LA27" s="85"/>
      <c r="LB27" s="8">
        <v>0</v>
      </c>
      <c r="LC27" s="77">
        <f>LB27+KM27</f>
        <v>2</v>
      </c>
      <c r="LD27" s="78"/>
      <c r="LE27" s="1"/>
      <c r="LG27" s="53"/>
      <c r="LI27" s="23" t="s">
        <v>127</v>
      </c>
      <c r="LJ27" s="77">
        <v>2</v>
      </c>
      <c r="LK27" s="85"/>
      <c r="LL27" s="77">
        <f>LJ27+KV27</f>
        <v>20</v>
      </c>
      <c r="LM27" s="84"/>
      <c r="LN27" s="85"/>
      <c r="LO27" s="77" t="s">
        <v>128</v>
      </c>
      <c r="LP27" s="84"/>
      <c r="LQ27" s="85"/>
      <c r="LR27" s="8">
        <v>0</v>
      </c>
      <c r="LS27" s="77">
        <f>LR27+LC27</f>
        <v>2</v>
      </c>
      <c r="LT27" s="78"/>
      <c r="LU27" s="1"/>
      <c r="LW27" s="53"/>
      <c r="LY27" s="23" t="s">
        <v>127</v>
      </c>
      <c r="LZ27" s="77">
        <v>2</v>
      </c>
      <c r="MA27" s="85"/>
      <c r="MB27" s="77">
        <f>LZ27+LL27</f>
        <v>22</v>
      </c>
      <c r="MC27" s="84"/>
      <c r="MD27" s="85"/>
      <c r="ME27" s="77" t="s">
        <v>128</v>
      </c>
      <c r="MF27" s="84"/>
      <c r="MG27" s="85"/>
      <c r="MH27" s="8">
        <v>0</v>
      </c>
      <c r="MI27" s="77">
        <f>MH27+LS27</f>
        <v>2</v>
      </c>
      <c r="MJ27" s="78"/>
      <c r="MK27" s="1"/>
      <c r="MM27" s="53"/>
    </row>
    <row r="28" spans="1:351" ht="20.100000000000001" customHeight="1" x14ac:dyDescent="0.3">
      <c r="A28" s="23"/>
      <c r="B28" s="77"/>
      <c r="C28" s="85"/>
      <c r="D28" s="77"/>
      <c r="E28" s="84"/>
      <c r="F28" s="85"/>
      <c r="G28" s="77"/>
      <c r="H28" s="84"/>
      <c r="I28" s="85"/>
      <c r="J28" s="8"/>
      <c r="K28" s="77"/>
      <c r="L28" s="78"/>
      <c r="M28" s="1"/>
      <c r="O28" s="53"/>
      <c r="Q28" s="23"/>
      <c r="R28" s="77"/>
      <c r="S28" s="85"/>
      <c r="T28" s="77"/>
      <c r="U28" s="84"/>
      <c r="V28" s="85"/>
      <c r="W28" s="77"/>
      <c r="X28" s="84"/>
      <c r="Y28" s="85"/>
      <c r="Z28" s="8"/>
      <c r="AA28" s="77"/>
      <c r="AB28" s="78"/>
      <c r="AC28" s="1"/>
      <c r="AE28" s="53"/>
      <c r="AG28" s="23"/>
      <c r="AH28" s="77"/>
      <c r="AI28" s="85"/>
      <c r="AJ28" s="77"/>
      <c r="AK28" s="84"/>
      <c r="AL28" s="85"/>
      <c r="AM28" s="77"/>
      <c r="AN28" s="84"/>
      <c r="AO28" s="85"/>
      <c r="AP28" s="8"/>
      <c r="AQ28" s="77"/>
      <c r="AR28" s="78"/>
      <c r="AS28" s="1"/>
      <c r="AU28" s="53"/>
      <c r="AW28" s="23"/>
      <c r="AX28" s="77"/>
      <c r="AY28" s="85"/>
      <c r="AZ28" s="77"/>
      <c r="BA28" s="84"/>
      <c r="BB28" s="85"/>
      <c r="BC28" s="77"/>
      <c r="BD28" s="84"/>
      <c r="BE28" s="85"/>
      <c r="BF28" s="8"/>
      <c r="BG28" s="77"/>
      <c r="BH28" s="78"/>
      <c r="BI28" s="1"/>
      <c r="BK28" s="53"/>
      <c r="BM28" s="23"/>
      <c r="BN28" s="77"/>
      <c r="BO28" s="85"/>
      <c r="BP28" s="77"/>
      <c r="BQ28" s="84"/>
      <c r="BR28" s="85"/>
      <c r="BS28" s="77"/>
      <c r="BT28" s="84"/>
      <c r="BU28" s="85"/>
      <c r="BV28" s="8"/>
      <c r="BW28" s="77"/>
      <c r="BX28" s="78"/>
      <c r="BY28" s="1"/>
      <c r="CA28" s="53"/>
      <c r="CC28" s="23"/>
      <c r="CD28" s="77"/>
      <c r="CE28" s="85"/>
      <c r="CF28" s="77"/>
      <c r="CG28" s="84"/>
      <c r="CH28" s="85"/>
      <c r="CI28" s="77"/>
      <c r="CJ28" s="84"/>
      <c r="CK28" s="85"/>
      <c r="CL28" s="8"/>
      <c r="CM28" s="77"/>
      <c r="CN28" s="78"/>
      <c r="CO28" s="1"/>
      <c r="CQ28" s="53"/>
      <c r="CS28" s="23"/>
      <c r="CT28" s="77"/>
      <c r="CU28" s="85"/>
      <c r="CV28" s="77"/>
      <c r="CW28" s="84"/>
      <c r="CX28" s="85"/>
      <c r="CY28" s="77"/>
      <c r="CZ28" s="84"/>
      <c r="DA28" s="85"/>
      <c r="DB28" s="8"/>
      <c r="DC28" s="77"/>
      <c r="DD28" s="78"/>
      <c r="DE28" s="1"/>
      <c r="DG28" s="53"/>
      <c r="DI28" s="23"/>
      <c r="DJ28" s="77"/>
      <c r="DK28" s="85"/>
      <c r="DL28" s="77"/>
      <c r="DM28" s="84"/>
      <c r="DN28" s="85"/>
      <c r="DO28" s="77"/>
      <c r="DP28" s="84"/>
      <c r="DQ28" s="85"/>
      <c r="DR28" s="8"/>
      <c r="DS28" s="77"/>
      <c r="DT28" s="78"/>
      <c r="DU28" s="1"/>
      <c r="DW28" s="53"/>
      <c r="DY28" s="23"/>
      <c r="DZ28" s="77"/>
      <c r="EA28" s="85"/>
      <c r="EB28" s="77"/>
      <c r="EC28" s="84"/>
      <c r="ED28" s="85"/>
      <c r="EE28" s="77"/>
      <c r="EF28" s="84"/>
      <c r="EG28" s="85"/>
      <c r="EH28" s="8"/>
      <c r="EI28" s="77"/>
      <c r="EJ28" s="78"/>
      <c r="EK28" s="1"/>
      <c r="EM28" s="53"/>
      <c r="EO28" s="23"/>
      <c r="EP28" s="77"/>
      <c r="EQ28" s="85"/>
      <c r="ER28" s="77"/>
      <c r="ES28" s="84"/>
      <c r="ET28" s="85"/>
      <c r="EU28" s="77"/>
      <c r="EV28" s="84"/>
      <c r="EW28" s="85"/>
      <c r="EX28" s="8"/>
      <c r="EY28" s="77"/>
      <c r="EZ28" s="78"/>
      <c r="FA28" s="1"/>
      <c r="FC28" s="53"/>
      <c r="FE28" s="23"/>
      <c r="FF28" s="77"/>
      <c r="FG28" s="85"/>
      <c r="FH28" s="77"/>
      <c r="FI28" s="84"/>
      <c r="FJ28" s="85"/>
      <c r="FK28" s="77"/>
      <c r="FL28" s="84"/>
      <c r="FM28" s="85"/>
      <c r="FN28" s="8"/>
      <c r="FO28" s="77"/>
      <c r="FP28" s="78"/>
      <c r="FQ28" s="1"/>
      <c r="FS28" s="53"/>
      <c r="FU28" s="23"/>
      <c r="FV28" s="77"/>
      <c r="FW28" s="85"/>
      <c r="FX28" s="77"/>
      <c r="FY28" s="84"/>
      <c r="FZ28" s="85"/>
      <c r="GA28" s="77"/>
      <c r="GB28" s="84"/>
      <c r="GC28" s="85"/>
      <c r="GD28" s="8"/>
      <c r="GE28" s="77"/>
      <c r="GF28" s="78"/>
      <c r="GG28" s="1"/>
      <c r="GI28" s="53"/>
      <c r="GK28" s="23"/>
      <c r="GL28" s="77"/>
      <c r="GM28" s="85"/>
      <c r="GN28" s="77"/>
      <c r="GO28" s="84"/>
      <c r="GP28" s="85"/>
      <c r="GQ28" s="77"/>
      <c r="GR28" s="84"/>
      <c r="GS28" s="85"/>
      <c r="GT28" s="8"/>
      <c r="GU28" s="77"/>
      <c r="GV28" s="78"/>
      <c r="GW28" s="1"/>
      <c r="GY28" s="53"/>
      <c r="HA28" s="23"/>
      <c r="HB28" s="77"/>
      <c r="HC28" s="85"/>
      <c r="HD28" s="77"/>
      <c r="HE28" s="84"/>
      <c r="HF28" s="85"/>
      <c r="HG28" s="77"/>
      <c r="HH28" s="84"/>
      <c r="HI28" s="85"/>
      <c r="HJ28" s="8"/>
      <c r="HK28" s="77"/>
      <c r="HL28" s="78"/>
      <c r="HM28" s="1"/>
      <c r="HO28" s="53"/>
      <c r="HQ28" s="23"/>
      <c r="HR28" s="77"/>
      <c r="HS28" s="85"/>
      <c r="HT28" s="77"/>
      <c r="HU28" s="84"/>
      <c r="HV28" s="85"/>
      <c r="HW28" s="77"/>
      <c r="HX28" s="84"/>
      <c r="HY28" s="85"/>
      <c r="HZ28" s="8"/>
      <c r="IA28" s="77"/>
      <c r="IB28" s="78"/>
      <c r="IC28" s="1"/>
      <c r="IE28" s="53"/>
      <c r="IG28" s="23"/>
      <c r="IH28" s="77"/>
      <c r="II28" s="85"/>
      <c r="IJ28" s="77"/>
      <c r="IK28" s="84"/>
      <c r="IL28" s="85"/>
      <c r="IM28" s="77"/>
      <c r="IN28" s="84"/>
      <c r="IO28" s="85"/>
      <c r="IP28" s="8"/>
      <c r="IQ28" s="77"/>
      <c r="IR28" s="78"/>
      <c r="IS28" s="1"/>
      <c r="IU28" s="53"/>
      <c r="IW28" s="23"/>
      <c r="IX28" s="77"/>
      <c r="IY28" s="85"/>
      <c r="IZ28" s="77"/>
      <c r="JA28" s="84"/>
      <c r="JB28" s="85"/>
      <c r="JC28" s="77"/>
      <c r="JD28" s="84"/>
      <c r="JE28" s="85"/>
      <c r="JF28" s="8"/>
      <c r="JG28" s="77"/>
      <c r="JH28" s="78"/>
      <c r="JI28" s="1"/>
      <c r="JK28" s="53"/>
      <c r="JM28" s="23"/>
      <c r="JN28" s="77"/>
      <c r="JO28" s="85"/>
      <c r="JP28" s="77"/>
      <c r="JQ28" s="84"/>
      <c r="JR28" s="85"/>
      <c r="JS28" s="77"/>
      <c r="JT28" s="84"/>
      <c r="JU28" s="85"/>
      <c r="JV28" s="8"/>
      <c r="JW28" s="77"/>
      <c r="JX28" s="78"/>
      <c r="JY28" s="1"/>
      <c r="KA28" s="53"/>
      <c r="KC28" s="23"/>
      <c r="KD28" s="77"/>
      <c r="KE28" s="85"/>
      <c r="KF28" s="77"/>
      <c r="KG28" s="84"/>
      <c r="KH28" s="85"/>
      <c r="KI28" s="77"/>
      <c r="KJ28" s="84"/>
      <c r="KK28" s="85"/>
      <c r="KL28" s="8"/>
      <c r="KM28" s="77"/>
      <c r="KN28" s="78"/>
      <c r="KO28" s="1"/>
      <c r="KQ28" s="53"/>
      <c r="KS28" s="23"/>
      <c r="KT28" s="77"/>
      <c r="KU28" s="85"/>
      <c r="KV28" s="77"/>
      <c r="KW28" s="84"/>
      <c r="KX28" s="85"/>
      <c r="KY28" s="77"/>
      <c r="KZ28" s="84"/>
      <c r="LA28" s="85"/>
      <c r="LB28" s="8"/>
      <c r="LC28" s="77"/>
      <c r="LD28" s="78"/>
      <c r="LE28" s="1"/>
      <c r="LG28" s="53"/>
      <c r="LI28" s="23"/>
      <c r="LJ28" s="77"/>
      <c r="LK28" s="85"/>
      <c r="LL28" s="77"/>
      <c r="LM28" s="84"/>
      <c r="LN28" s="85"/>
      <c r="LO28" s="77"/>
      <c r="LP28" s="84"/>
      <c r="LQ28" s="85"/>
      <c r="LR28" s="8"/>
      <c r="LS28" s="77"/>
      <c r="LT28" s="78"/>
      <c r="LU28" s="1"/>
      <c r="LW28" s="53"/>
      <c r="LY28" s="23"/>
      <c r="LZ28" s="77"/>
      <c r="MA28" s="85"/>
      <c r="MB28" s="77"/>
      <c r="MC28" s="84"/>
      <c r="MD28" s="85"/>
      <c r="ME28" s="77"/>
      <c r="MF28" s="84"/>
      <c r="MG28" s="85"/>
      <c r="MH28" s="8"/>
      <c r="MI28" s="77"/>
      <c r="MJ28" s="78"/>
      <c r="MK28" s="1"/>
      <c r="MM28" s="53"/>
    </row>
    <row r="29" spans="1:351" ht="20.100000000000001" customHeight="1" x14ac:dyDescent="0.3">
      <c r="A29" s="23"/>
      <c r="B29" s="77"/>
      <c r="C29" s="85"/>
      <c r="D29" s="77"/>
      <c r="E29" s="84"/>
      <c r="F29" s="85"/>
      <c r="G29" s="77"/>
      <c r="H29" s="84"/>
      <c r="I29" s="85"/>
      <c r="J29" s="8"/>
      <c r="K29" s="77"/>
      <c r="L29" s="78"/>
      <c r="M29" s="1"/>
      <c r="O29" s="53"/>
      <c r="Q29" s="23"/>
      <c r="R29" s="77"/>
      <c r="S29" s="85"/>
      <c r="T29" s="77"/>
      <c r="U29" s="84"/>
      <c r="V29" s="85"/>
      <c r="W29" s="77"/>
      <c r="X29" s="84"/>
      <c r="Y29" s="85"/>
      <c r="Z29" s="8"/>
      <c r="AA29" s="77"/>
      <c r="AB29" s="78"/>
      <c r="AC29" s="1"/>
      <c r="AE29" s="53"/>
      <c r="AG29" s="23"/>
      <c r="AH29" s="77"/>
      <c r="AI29" s="85"/>
      <c r="AJ29" s="77"/>
      <c r="AK29" s="84"/>
      <c r="AL29" s="85"/>
      <c r="AM29" s="77"/>
      <c r="AN29" s="84"/>
      <c r="AO29" s="85"/>
      <c r="AP29" s="8"/>
      <c r="AQ29" s="77"/>
      <c r="AR29" s="78"/>
      <c r="AS29" s="1"/>
      <c r="AU29" s="53"/>
      <c r="AW29" s="23"/>
      <c r="AX29" s="77"/>
      <c r="AY29" s="85"/>
      <c r="AZ29" s="77"/>
      <c r="BA29" s="84"/>
      <c r="BB29" s="85"/>
      <c r="BC29" s="77"/>
      <c r="BD29" s="84"/>
      <c r="BE29" s="85"/>
      <c r="BF29" s="8"/>
      <c r="BG29" s="77"/>
      <c r="BH29" s="78"/>
      <c r="BI29" s="1"/>
      <c r="BK29" s="53"/>
      <c r="BM29" s="23"/>
      <c r="BN29" s="77"/>
      <c r="BO29" s="85"/>
      <c r="BP29" s="77"/>
      <c r="BQ29" s="84"/>
      <c r="BR29" s="85"/>
      <c r="BS29" s="77"/>
      <c r="BT29" s="84"/>
      <c r="BU29" s="85"/>
      <c r="BV29" s="8"/>
      <c r="BW29" s="77"/>
      <c r="BX29" s="78"/>
      <c r="BY29" s="1"/>
      <c r="CA29" s="53"/>
      <c r="CC29" s="23"/>
      <c r="CD29" s="77"/>
      <c r="CE29" s="85"/>
      <c r="CF29" s="77"/>
      <c r="CG29" s="84"/>
      <c r="CH29" s="85"/>
      <c r="CI29" s="77"/>
      <c r="CJ29" s="84"/>
      <c r="CK29" s="85"/>
      <c r="CL29" s="8"/>
      <c r="CM29" s="77"/>
      <c r="CN29" s="78"/>
      <c r="CO29" s="1"/>
      <c r="CQ29" s="53"/>
      <c r="CS29" s="23"/>
      <c r="CT29" s="77"/>
      <c r="CU29" s="85"/>
      <c r="CV29" s="77"/>
      <c r="CW29" s="84"/>
      <c r="CX29" s="85"/>
      <c r="CY29" s="77"/>
      <c r="CZ29" s="84"/>
      <c r="DA29" s="85"/>
      <c r="DB29" s="8"/>
      <c r="DC29" s="77"/>
      <c r="DD29" s="78"/>
      <c r="DE29" s="1"/>
      <c r="DG29" s="53"/>
      <c r="DI29" s="23"/>
      <c r="DJ29" s="77"/>
      <c r="DK29" s="85"/>
      <c r="DL29" s="77"/>
      <c r="DM29" s="84"/>
      <c r="DN29" s="85"/>
      <c r="DO29" s="77"/>
      <c r="DP29" s="84"/>
      <c r="DQ29" s="85"/>
      <c r="DR29" s="8"/>
      <c r="DS29" s="77"/>
      <c r="DT29" s="78"/>
      <c r="DU29" s="1"/>
      <c r="DW29" s="53"/>
      <c r="DY29" s="23"/>
      <c r="DZ29" s="77"/>
      <c r="EA29" s="85"/>
      <c r="EB29" s="77"/>
      <c r="EC29" s="84"/>
      <c r="ED29" s="85"/>
      <c r="EE29" s="77"/>
      <c r="EF29" s="84"/>
      <c r="EG29" s="85"/>
      <c r="EH29" s="8"/>
      <c r="EI29" s="77"/>
      <c r="EJ29" s="78"/>
      <c r="EK29" s="1"/>
      <c r="EM29" s="53"/>
      <c r="EO29" s="23"/>
      <c r="EP29" s="77"/>
      <c r="EQ29" s="85"/>
      <c r="ER29" s="77"/>
      <c r="ES29" s="84"/>
      <c r="ET29" s="85"/>
      <c r="EU29" s="77"/>
      <c r="EV29" s="84"/>
      <c r="EW29" s="85"/>
      <c r="EX29" s="8"/>
      <c r="EY29" s="77"/>
      <c r="EZ29" s="78"/>
      <c r="FA29" s="1"/>
      <c r="FC29" s="53"/>
      <c r="FE29" s="23"/>
      <c r="FF29" s="77"/>
      <c r="FG29" s="85"/>
      <c r="FH29" s="77"/>
      <c r="FI29" s="84"/>
      <c r="FJ29" s="85"/>
      <c r="FK29" s="77"/>
      <c r="FL29" s="84"/>
      <c r="FM29" s="85"/>
      <c r="FN29" s="8"/>
      <c r="FO29" s="77"/>
      <c r="FP29" s="78"/>
      <c r="FQ29" s="1"/>
      <c r="FS29" s="53"/>
      <c r="FU29" s="23"/>
      <c r="FV29" s="77"/>
      <c r="FW29" s="85"/>
      <c r="FX29" s="77"/>
      <c r="FY29" s="84"/>
      <c r="FZ29" s="85"/>
      <c r="GA29" s="77"/>
      <c r="GB29" s="84"/>
      <c r="GC29" s="85"/>
      <c r="GD29" s="8"/>
      <c r="GE29" s="77"/>
      <c r="GF29" s="78"/>
      <c r="GG29" s="1"/>
      <c r="GI29" s="53"/>
      <c r="GK29" s="23"/>
      <c r="GL29" s="77"/>
      <c r="GM29" s="85"/>
      <c r="GN29" s="77"/>
      <c r="GO29" s="84"/>
      <c r="GP29" s="85"/>
      <c r="GQ29" s="77"/>
      <c r="GR29" s="84"/>
      <c r="GS29" s="85"/>
      <c r="GT29" s="8"/>
      <c r="GU29" s="77"/>
      <c r="GV29" s="78"/>
      <c r="GW29" s="1"/>
      <c r="GY29" s="53"/>
      <c r="HA29" s="23"/>
      <c r="HB29" s="77"/>
      <c r="HC29" s="85"/>
      <c r="HD29" s="77"/>
      <c r="HE29" s="84"/>
      <c r="HF29" s="85"/>
      <c r="HG29" s="77"/>
      <c r="HH29" s="84"/>
      <c r="HI29" s="85"/>
      <c r="HJ29" s="8"/>
      <c r="HK29" s="77"/>
      <c r="HL29" s="78"/>
      <c r="HM29" s="1"/>
      <c r="HO29" s="53"/>
      <c r="HQ29" s="23"/>
      <c r="HR29" s="77"/>
      <c r="HS29" s="85"/>
      <c r="HT29" s="77"/>
      <c r="HU29" s="84"/>
      <c r="HV29" s="85"/>
      <c r="HW29" s="77"/>
      <c r="HX29" s="84"/>
      <c r="HY29" s="85"/>
      <c r="HZ29" s="8"/>
      <c r="IA29" s="77"/>
      <c r="IB29" s="78"/>
      <c r="IC29" s="1"/>
      <c r="IE29" s="53"/>
      <c r="IG29" s="23"/>
      <c r="IH29" s="77"/>
      <c r="II29" s="85"/>
      <c r="IJ29" s="77"/>
      <c r="IK29" s="84"/>
      <c r="IL29" s="85"/>
      <c r="IM29" s="77"/>
      <c r="IN29" s="84"/>
      <c r="IO29" s="85"/>
      <c r="IP29" s="8"/>
      <c r="IQ29" s="77"/>
      <c r="IR29" s="78"/>
      <c r="IS29" s="1"/>
      <c r="IU29" s="53"/>
      <c r="IW29" s="23"/>
      <c r="IX29" s="77"/>
      <c r="IY29" s="85"/>
      <c r="IZ29" s="77"/>
      <c r="JA29" s="84"/>
      <c r="JB29" s="85"/>
      <c r="JC29" s="77"/>
      <c r="JD29" s="84"/>
      <c r="JE29" s="85"/>
      <c r="JF29" s="8"/>
      <c r="JG29" s="77"/>
      <c r="JH29" s="78"/>
      <c r="JI29" s="1"/>
      <c r="JK29" s="53"/>
      <c r="JM29" s="23"/>
      <c r="JN29" s="77"/>
      <c r="JO29" s="85"/>
      <c r="JP29" s="77"/>
      <c r="JQ29" s="84"/>
      <c r="JR29" s="85"/>
      <c r="JS29" s="77"/>
      <c r="JT29" s="84"/>
      <c r="JU29" s="85"/>
      <c r="JV29" s="8"/>
      <c r="JW29" s="77"/>
      <c r="JX29" s="78"/>
      <c r="JY29" s="1"/>
      <c r="KA29" s="53"/>
      <c r="KC29" s="23"/>
      <c r="KD29" s="77"/>
      <c r="KE29" s="85"/>
      <c r="KF29" s="77"/>
      <c r="KG29" s="84"/>
      <c r="KH29" s="85"/>
      <c r="KI29" s="77"/>
      <c r="KJ29" s="84"/>
      <c r="KK29" s="85"/>
      <c r="KL29" s="8"/>
      <c r="KM29" s="77"/>
      <c r="KN29" s="78"/>
      <c r="KO29" s="1"/>
      <c r="KQ29" s="53"/>
      <c r="KS29" s="23"/>
      <c r="KT29" s="77"/>
      <c r="KU29" s="85"/>
      <c r="KV29" s="77"/>
      <c r="KW29" s="84"/>
      <c r="KX29" s="85"/>
      <c r="KY29" s="77"/>
      <c r="KZ29" s="84"/>
      <c r="LA29" s="85"/>
      <c r="LB29" s="8"/>
      <c r="LC29" s="77"/>
      <c r="LD29" s="78"/>
      <c r="LE29" s="1"/>
      <c r="LG29" s="53"/>
      <c r="LI29" s="23"/>
      <c r="LJ29" s="77"/>
      <c r="LK29" s="85"/>
      <c r="LL29" s="77"/>
      <c r="LM29" s="84"/>
      <c r="LN29" s="85"/>
      <c r="LO29" s="77"/>
      <c r="LP29" s="84"/>
      <c r="LQ29" s="85"/>
      <c r="LR29" s="8"/>
      <c r="LS29" s="77"/>
      <c r="LT29" s="78"/>
      <c r="LU29" s="1"/>
      <c r="LW29" s="53"/>
      <c r="LY29" s="23"/>
      <c r="LZ29" s="77"/>
      <c r="MA29" s="85"/>
      <c r="MB29" s="77"/>
      <c r="MC29" s="84"/>
      <c r="MD29" s="85"/>
      <c r="ME29" s="77"/>
      <c r="MF29" s="84"/>
      <c r="MG29" s="85"/>
      <c r="MH29" s="8"/>
      <c r="MI29" s="77"/>
      <c r="MJ29" s="78"/>
      <c r="MK29" s="1"/>
      <c r="MM29" s="53"/>
    </row>
    <row r="30" spans="1:351" ht="20.100000000000001" customHeight="1" x14ac:dyDescent="0.3">
      <c r="A30" s="23"/>
      <c r="B30" s="77"/>
      <c r="C30" s="85"/>
      <c r="D30" s="77"/>
      <c r="E30" s="84"/>
      <c r="F30" s="85"/>
      <c r="G30" s="77"/>
      <c r="H30" s="84"/>
      <c r="I30" s="85"/>
      <c r="J30" s="8"/>
      <c r="K30" s="77"/>
      <c r="L30" s="78"/>
      <c r="M30" s="1"/>
      <c r="O30" s="53"/>
      <c r="Q30" s="23"/>
      <c r="R30" s="77"/>
      <c r="S30" s="85"/>
      <c r="T30" s="77"/>
      <c r="U30" s="84"/>
      <c r="V30" s="85"/>
      <c r="W30" s="77"/>
      <c r="X30" s="84"/>
      <c r="Y30" s="85"/>
      <c r="Z30" s="8"/>
      <c r="AA30" s="77"/>
      <c r="AB30" s="78"/>
      <c r="AC30" s="1"/>
      <c r="AE30" s="53"/>
      <c r="AG30" s="23"/>
      <c r="AH30" s="77"/>
      <c r="AI30" s="85"/>
      <c r="AJ30" s="77"/>
      <c r="AK30" s="84"/>
      <c r="AL30" s="85"/>
      <c r="AM30" s="77"/>
      <c r="AN30" s="84"/>
      <c r="AO30" s="85"/>
      <c r="AP30" s="8"/>
      <c r="AQ30" s="77"/>
      <c r="AR30" s="78"/>
      <c r="AS30" s="1"/>
      <c r="AU30" s="53"/>
      <c r="AW30" s="23"/>
      <c r="AX30" s="77"/>
      <c r="AY30" s="85"/>
      <c r="AZ30" s="77"/>
      <c r="BA30" s="84"/>
      <c r="BB30" s="85"/>
      <c r="BC30" s="77"/>
      <c r="BD30" s="84"/>
      <c r="BE30" s="85"/>
      <c r="BF30" s="8"/>
      <c r="BG30" s="77"/>
      <c r="BH30" s="78"/>
      <c r="BI30" s="1"/>
      <c r="BK30" s="53"/>
      <c r="BM30" s="23"/>
      <c r="BN30" s="77"/>
      <c r="BO30" s="85"/>
      <c r="BP30" s="77"/>
      <c r="BQ30" s="84"/>
      <c r="BR30" s="85"/>
      <c r="BS30" s="77"/>
      <c r="BT30" s="84"/>
      <c r="BU30" s="85"/>
      <c r="BV30" s="8"/>
      <c r="BW30" s="77"/>
      <c r="BX30" s="78"/>
      <c r="BY30" s="1"/>
      <c r="CA30" s="53"/>
      <c r="CC30" s="23"/>
      <c r="CD30" s="77"/>
      <c r="CE30" s="85"/>
      <c r="CF30" s="77"/>
      <c r="CG30" s="84"/>
      <c r="CH30" s="85"/>
      <c r="CI30" s="77"/>
      <c r="CJ30" s="84"/>
      <c r="CK30" s="85"/>
      <c r="CL30" s="8"/>
      <c r="CM30" s="77"/>
      <c r="CN30" s="78"/>
      <c r="CO30" s="1"/>
      <c r="CQ30" s="53"/>
      <c r="CS30" s="23"/>
      <c r="CT30" s="77"/>
      <c r="CU30" s="85"/>
      <c r="CV30" s="77"/>
      <c r="CW30" s="84"/>
      <c r="CX30" s="85"/>
      <c r="CY30" s="77"/>
      <c r="CZ30" s="84"/>
      <c r="DA30" s="85"/>
      <c r="DB30" s="8"/>
      <c r="DC30" s="77"/>
      <c r="DD30" s="78"/>
      <c r="DE30" s="1"/>
      <c r="DG30" s="53"/>
      <c r="DI30" s="23"/>
      <c r="DJ30" s="77"/>
      <c r="DK30" s="85"/>
      <c r="DL30" s="77"/>
      <c r="DM30" s="84"/>
      <c r="DN30" s="85"/>
      <c r="DO30" s="77"/>
      <c r="DP30" s="84"/>
      <c r="DQ30" s="85"/>
      <c r="DR30" s="8"/>
      <c r="DS30" s="77"/>
      <c r="DT30" s="78"/>
      <c r="DU30" s="1"/>
      <c r="DW30" s="53"/>
      <c r="DY30" s="23"/>
      <c r="DZ30" s="77"/>
      <c r="EA30" s="85"/>
      <c r="EB30" s="77"/>
      <c r="EC30" s="84"/>
      <c r="ED30" s="85"/>
      <c r="EE30" s="77"/>
      <c r="EF30" s="84"/>
      <c r="EG30" s="85"/>
      <c r="EH30" s="8"/>
      <c r="EI30" s="77"/>
      <c r="EJ30" s="78"/>
      <c r="EK30" s="1"/>
      <c r="EM30" s="53"/>
      <c r="EO30" s="23"/>
      <c r="EP30" s="77"/>
      <c r="EQ30" s="85"/>
      <c r="ER30" s="77"/>
      <c r="ES30" s="84"/>
      <c r="ET30" s="85"/>
      <c r="EU30" s="77"/>
      <c r="EV30" s="84"/>
      <c r="EW30" s="85"/>
      <c r="EX30" s="8"/>
      <c r="EY30" s="77"/>
      <c r="EZ30" s="78"/>
      <c r="FA30" s="1"/>
      <c r="FC30" s="53"/>
      <c r="FE30" s="23"/>
      <c r="FF30" s="77"/>
      <c r="FG30" s="85"/>
      <c r="FH30" s="77"/>
      <c r="FI30" s="84"/>
      <c r="FJ30" s="85"/>
      <c r="FK30" s="77"/>
      <c r="FL30" s="84"/>
      <c r="FM30" s="85"/>
      <c r="FN30" s="8"/>
      <c r="FO30" s="77"/>
      <c r="FP30" s="78"/>
      <c r="FQ30" s="1"/>
      <c r="FS30" s="53"/>
      <c r="FU30" s="23"/>
      <c r="FV30" s="77"/>
      <c r="FW30" s="85"/>
      <c r="FX30" s="77"/>
      <c r="FY30" s="84"/>
      <c r="FZ30" s="85"/>
      <c r="GA30" s="77"/>
      <c r="GB30" s="84"/>
      <c r="GC30" s="85"/>
      <c r="GD30" s="8"/>
      <c r="GE30" s="77"/>
      <c r="GF30" s="78"/>
      <c r="GG30" s="1"/>
      <c r="GI30" s="53"/>
      <c r="GK30" s="23"/>
      <c r="GL30" s="77"/>
      <c r="GM30" s="85"/>
      <c r="GN30" s="77"/>
      <c r="GO30" s="84"/>
      <c r="GP30" s="85"/>
      <c r="GQ30" s="77"/>
      <c r="GR30" s="84"/>
      <c r="GS30" s="85"/>
      <c r="GT30" s="8"/>
      <c r="GU30" s="77"/>
      <c r="GV30" s="78"/>
      <c r="GW30" s="1"/>
      <c r="GY30" s="53"/>
      <c r="HA30" s="23"/>
      <c r="HB30" s="77"/>
      <c r="HC30" s="85"/>
      <c r="HD30" s="77"/>
      <c r="HE30" s="84"/>
      <c r="HF30" s="85"/>
      <c r="HG30" s="77"/>
      <c r="HH30" s="84"/>
      <c r="HI30" s="85"/>
      <c r="HJ30" s="8"/>
      <c r="HK30" s="77"/>
      <c r="HL30" s="78"/>
      <c r="HM30" s="1"/>
      <c r="HO30" s="53"/>
      <c r="HQ30" s="23"/>
      <c r="HR30" s="77"/>
      <c r="HS30" s="85"/>
      <c r="HT30" s="77"/>
      <c r="HU30" s="84"/>
      <c r="HV30" s="85"/>
      <c r="HW30" s="77"/>
      <c r="HX30" s="84"/>
      <c r="HY30" s="85"/>
      <c r="HZ30" s="8"/>
      <c r="IA30" s="77"/>
      <c r="IB30" s="78"/>
      <c r="IC30" s="1"/>
      <c r="IE30" s="53"/>
      <c r="IG30" s="23"/>
      <c r="IH30" s="77"/>
      <c r="II30" s="85"/>
      <c r="IJ30" s="77"/>
      <c r="IK30" s="84"/>
      <c r="IL30" s="85"/>
      <c r="IM30" s="77"/>
      <c r="IN30" s="84"/>
      <c r="IO30" s="85"/>
      <c r="IP30" s="8"/>
      <c r="IQ30" s="77"/>
      <c r="IR30" s="78"/>
      <c r="IS30" s="1"/>
      <c r="IU30" s="53"/>
      <c r="IW30" s="23"/>
      <c r="IX30" s="77"/>
      <c r="IY30" s="85"/>
      <c r="IZ30" s="77"/>
      <c r="JA30" s="84"/>
      <c r="JB30" s="85"/>
      <c r="JC30" s="77"/>
      <c r="JD30" s="84"/>
      <c r="JE30" s="85"/>
      <c r="JF30" s="8"/>
      <c r="JG30" s="77"/>
      <c r="JH30" s="78"/>
      <c r="JI30" s="1"/>
      <c r="JK30" s="53"/>
      <c r="JM30" s="23"/>
      <c r="JN30" s="77"/>
      <c r="JO30" s="85"/>
      <c r="JP30" s="77"/>
      <c r="JQ30" s="84"/>
      <c r="JR30" s="85"/>
      <c r="JS30" s="77"/>
      <c r="JT30" s="84"/>
      <c r="JU30" s="85"/>
      <c r="JV30" s="8"/>
      <c r="JW30" s="77"/>
      <c r="JX30" s="78"/>
      <c r="JY30" s="1"/>
      <c r="KA30" s="53"/>
      <c r="KC30" s="23"/>
      <c r="KD30" s="77"/>
      <c r="KE30" s="85"/>
      <c r="KF30" s="77"/>
      <c r="KG30" s="84"/>
      <c r="KH30" s="85"/>
      <c r="KI30" s="77"/>
      <c r="KJ30" s="84"/>
      <c r="KK30" s="85"/>
      <c r="KL30" s="8"/>
      <c r="KM30" s="77"/>
      <c r="KN30" s="78"/>
      <c r="KO30" s="1"/>
      <c r="KQ30" s="53"/>
      <c r="KS30" s="23"/>
      <c r="KT30" s="77"/>
      <c r="KU30" s="85"/>
      <c r="KV30" s="77"/>
      <c r="KW30" s="84"/>
      <c r="KX30" s="85"/>
      <c r="KY30" s="77"/>
      <c r="KZ30" s="84"/>
      <c r="LA30" s="85"/>
      <c r="LB30" s="8"/>
      <c r="LC30" s="77"/>
      <c r="LD30" s="78"/>
      <c r="LE30" s="1"/>
      <c r="LG30" s="53"/>
      <c r="LI30" s="23"/>
      <c r="LJ30" s="77"/>
      <c r="LK30" s="85"/>
      <c r="LL30" s="77"/>
      <c r="LM30" s="84"/>
      <c r="LN30" s="85"/>
      <c r="LO30" s="77"/>
      <c r="LP30" s="84"/>
      <c r="LQ30" s="85"/>
      <c r="LR30" s="8"/>
      <c r="LS30" s="77"/>
      <c r="LT30" s="78"/>
      <c r="LU30" s="1"/>
      <c r="LW30" s="53"/>
      <c r="LY30" s="23"/>
      <c r="LZ30" s="77"/>
      <c r="MA30" s="85"/>
      <c r="MB30" s="77"/>
      <c r="MC30" s="84"/>
      <c r="MD30" s="85"/>
      <c r="ME30" s="77"/>
      <c r="MF30" s="84"/>
      <c r="MG30" s="85"/>
      <c r="MH30" s="8"/>
      <c r="MI30" s="77"/>
      <c r="MJ30" s="78"/>
      <c r="MK30" s="1"/>
      <c r="MM30" s="53"/>
    </row>
    <row r="31" spans="1:351" ht="20.100000000000001" customHeight="1" x14ac:dyDescent="0.3">
      <c r="A31" s="23"/>
      <c r="B31" s="77"/>
      <c r="C31" s="85"/>
      <c r="D31" s="77"/>
      <c r="E31" s="84"/>
      <c r="F31" s="85"/>
      <c r="G31" s="77"/>
      <c r="H31" s="84"/>
      <c r="I31" s="85"/>
      <c r="J31" s="8"/>
      <c r="K31" s="77"/>
      <c r="L31" s="78"/>
      <c r="M31" s="1"/>
      <c r="O31" s="53"/>
      <c r="Q31" s="23"/>
      <c r="R31" s="77"/>
      <c r="S31" s="85"/>
      <c r="T31" s="77"/>
      <c r="U31" s="84"/>
      <c r="V31" s="85"/>
      <c r="W31" s="77"/>
      <c r="X31" s="84"/>
      <c r="Y31" s="85"/>
      <c r="Z31" s="8"/>
      <c r="AA31" s="77"/>
      <c r="AB31" s="78"/>
      <c r="AC31" s="1"/>
      <c r="AE31" s="53"/>
      <c r="AG31" s="23"/>
      <c r="AH31" s="77"/>
      <c r="AI31" s="85"/>
      <c r="AJ31" s="77"/>
      <c r="AK31" s="84"/>
      <c r="AL31" s="85"/>
      <c r="AM31" s="77"/>
      <c r="AN31" s="84"/>
      <c r="AO31" s="85"/>
      <c r="AP31" s="8"/>
      <c r="AQ31" s="77"/>
      <c r="AR31" s="78"/>
      <c r="AS31" s="1"/>
      <c r="AU31" s="53"/>
      <c r="AW31" s="23"/>
      <c r="AX31" s="77"/>
      <c r="AY31" s="85"/>
      <c r="AZ31" s="77"/>
      <c r="BA31" s="84"/>
      <c r="BB31" s="85"/>
      <c r="BC31" s="77"/>
      <c r="BD31" s="84"/>
      <c r="BE31" s="85"/>
      <c r="BF31" s="8"/>
      <c r="BG31" s="77"/>
      <c r="BH31" s="78"/>
      <c r="BI31" s="1"/>
      <c r="BK31" s="53"/>
      <c r="BM31" s="23"/>
      <c r="BN31" s="77"/>
      <c r="BO31" s="85"/>
      <c r="BP31" s="77"/>
      <c r="BQ31" s="84"/>
      <c r="BR31" s="85"/>
      <c r="BS31" s="77"/>
      <c r="BT31" s="84"/>
      <c r="BU31" s="85"/>
      <c r="BV31" s="8"/>
      <c r="BW31" s="77"/>
      <c r="BX31" s="78"/>
      <c r="BY31" s="1"/>
      <c r="CA31" s="53"/>
      <c r="CC31" s="23"/>
      <c r="CD31" s="77"/>
      <c r="CE31" s="85"/>
      <c r="CF31" s="77"/>
      <c r="CG31" s="84"/>
      <c r="CH31" s="85"/>
      <c r="CI31" s="77"/>
      <c r="CJ31" s="84"/>
      <c r="CK31" s="85"/>
      <c r="CL31" s="8"/>
      <c r="CM31" s="77"/>
      <c r="CN31" s="78"/>
      <c r="CO31" s="1"/>
      <c r="CQ31" s="53"/>
      <c r="CS31" s="23"/>
      <c r="CT31" s="77"/>
      <c r="CU31" s="85"/>
      <c r="CV31" s="77"/>
      <c r="CW31" s="84"/>
      <c r="CX31" s="85"/>
      <c r="CY31" s="77"/>
      <c r="CZ31" s="84"/>
      <c r="DA31" s="85"/>
      <c r="DB31" s="8"/>
      <c r="DC31" s="77"/>
      <c r="DD31" s="78"/>
      <c r="DE31" s="1"/>
      <c r="DG31" s="53"/>
      <c r="DI31" s="23"/>
      <c r="DJ31" s="77"/>
      <c r="DK31" s="85"/>
      <c r="DL31" s="77"/>
      <c r="DM31" s="84"/>
      <c r="DN31" s="85"/>
      <c r="DO31" s="77"/>
      <c r="DP31" s="84"/>
      <c r="DQ31" s="85"/>
      <c r="DR31" s="8"/>
      <c r="DS31" s="77"/>
      <c r="DT31" s="78"/>
      <c r="DU31" s="1"/>
      <c r="DW31" s="53"/>
      <c r="DY31" s="23"/>
      <c r="DZ31" s="77"/>
      <c r="EA31" s="85"/>
      <c r="EB31" s="77"/>
      <c r="EC31" s="84"/>
      <c r="ED31" s="85"/>
      <c r="EE31" s="77"/>
      <c r="EF31" s="84"/>
      <c r="EG31" s="85"/>
      <c r="EH31" s="8"/>
      <c r="EI31" s="77"/>
      <c r="EJ31" s="78"/>
      <c r="EK31" s="1"/>
      <c r="EM31" s="53"/>
      <c r="EO31" s="23"/>
      <c r="EP31" s="77"/>
      <c r="EQ31" s="85"/>
      <c r="ER31" s="77"/>
      <c r="ES31" s="84"/>
      <c r="ET31" s="85"/>
      <c r="EU31" s="77"/>
      <c r="EV31" s="84"/>
      <c r="EW31" s="85"/>
      <c r="EX31" s="8"/>
      <c r="EY31" s="77"/>
      <c r="EZ31" s="78"/>
      <c r="FA31" s="1"/>
      <c r="FC31" s="53"/>
      <c r="FE31" s="23"/>
      <c r="FF31" s="77"/>
      <c r="FG31" s="85"/>
      <c r="FH31" s="77"/>
      <c r="FI31" s="84"/>
      <c r="FJ31" s="85"/>
      <c r="FK31" s="77"/>
      <c r="FL31" s="84"/>
      <c r="FM31" s="85"/>
      <c r="FN31" s="8"/>
      <c r="FO31" s="77"/>
      <c r="FP31" s="78"/>
      <c r="FQ31" s="1"/>
      <c r="FS31" s="53"/>
      <c r="FU31" s="23"/>
      <c r="FV31" s="77"/>
      <c r="FW31" s="85"/>
      <c r="FX31" s="77"/>
      <c r="FY31" s="84"/>
      <c r="FZ31" s="85"/>
      <c r="GA31" s="77"/>
      <c r="GB31" s="84"/>
      <c r="GC31" s="85"/>
      <c r="GD31" s="8"/>
      <c r="GE31" s="77"/>
      <c r="GF31" s="78"/>
      <c r="GG31" s="1"/>
      <c r="GI31" s="53"/>
      <c r="GK31" s="23"/>
      <c r="GL31" s="77"/>
      <c r="GM31" s="85"/>
      <c r="GN31" s="77"/>
      <c r="GO31" s="84"/>
      <c r="GP31" s="85"/>
      <c r="GQ31" s="77"/>
      <c r="GR31" s="84"/>
      <c r="GS31" s="85"/>
      <c r="GT31" s="8"/>
      <c r="GU31" s="77"/>
      <c r="GV31" s="78"/>
      <c r="GW31" s="1"/>
      <c r="GY31" s="53"/>
      <c r="HA31" s="23"/>
      <c r="HB31" s="77"/>
      <c r="HC31" s="85"/>
      <c r="HD31" s="77"/>
      <c r="HE31" s="84"/>
      <c r="HF31" s="85"/>
      <c r="HG31" s="77"/>
      <c r="HH31" s="84"/>
      <c r="HI31" s="85"/>
      <c r="HJ31" s="8"/>
      <c r="HK31" s="77"/>
      <c r="HL31" s="78"/>
      <c r="HM31" s="1"/>
      <c r="HO31" s="53"/>
      <c r="HQ31" s="23"/>
      <c r="HR31" s="77"/>
      <c r="HS31" s="85"/>
      <c r="HT31" s="77"/>
      <c r="HU31" s="84"/>
      <c r="HV31" s="85"/>
      <c r="HW31" s="77"/>
      <c r="HX31" s="84"/>
      <c r="HY31" s="85"/>
      <c r="HZ31" s="8"/>
      <c r="IA31" s="77"/>
      <c r="IB31" s="78"/>
      <c r="IC31" s="1"/>
      <c r="IE31" s="53"/>
      <c r="IG31" s="23"/>
      <c r="IH31" s="77"/>
      <c r="II31" s="85"/>
      <c r="IJ31" s="77"/>
      <c r="IK31" s="84"/>
      <c r="IL31" s="85"/>
      <c r="IM31" s="77"/>
      <c r="IN31" s="84"/>
      <c r="IO31" s="85"/>
      <c r="IP31" s="8"/>
      <c r="IQ31" s="77"/>
      <c r="IR31" s="78"/>
      <c r="IS31" s="1"/>
      <c r="IU31" s="53"/>
      <c r="IW31" s="23"/>
      <c r="IX31" s="77"/>
      <c r="IY31" s="85"/>
      <c r="IZ31" s="77"/>
      <c r="JA31" s="84"/>
      <c r="JB31" s="85"/>
      <c r="JC31" s="77"/>
      <c r="JD31" s="84"/>
      <c r="JE31" s="85"/>
      <c r="JF31" s="8"/>
      <c r="JG31" s="77"/>
      <c r="JH31" s="78"/>
      <c r="JI31" s="1"/>
      <c r="JK31" s="53"/>
      <c r="JM31" s="23"/>
      <c r="JN31" s="77"/>
      <c r="JO31" s="85"/>
      <c r="JP31" s="77"/>
      <c r="JQ31" s="84"/>
      <c r="JR31" s="85"/>
      <c r="JS31" s="77"/>
      <c r="JT31" s="84"/>
      <c r="JU31" s="85"/>
      <c r="JV31" s="8"/>
      <c r="JW31" s="77"/>
      <c r="JX31" s="78"/>
      <c r="JY31" s="1"/>
      <c r="KA31" s="53"/>
      <c r="KC31" s="23"/>
      <c r="KD31" s="77"/>
      <c r="KE31" s="85"/>
      <c r="KF31" s="77"/>
      <c r="KG31" s="84"/>
      <c r="KH31" s="85"/>
      <c r="KI31" s="77"/>
      <c r="KJ31" s="84"/>
      <c r="KK31" s="85"/>
      <c r="KL31" s="8"/>
      <c r="KM31" s="77"/>
      <c r="KN31" s="78"/>
      <c r="KO31" s="1"/>
      <c r="KQ31" s="53"/>
      <c r="KS31" s="23"/>
      <c r="KT31" s="77"/>
      <c r="KU31" s="85"/>
      <c r="KV31" s="77"/>
      <c r="KW31" s="84"/>
      <c r="KX31" s="85"/>
      <c r="KY31" s="77"/>
      <c r="KZ31" s="84"/>
      <c r="LA31" s="85"/>
      <c r="LB31" s="8"/>
      <c r="LC31" s="77"/>
      <c r="LD31" s="78"/>
      <c r="LE31" s="1"/>
      <c r="LG31" s="53"/>
      <c r="LI31" s="23"/>
      <c r="LJ31" s="77"/>
      <c r="LK31" s="85"/>
      <c r="LL31" s="77"/>
      <c r="LM31" s="84"/>
      <c r="LN31" s="85"/>
      <c r="LO31" s="77"/>
      <c r="LP31" s="84"/>
      <c r="LQ31" s="85"/>
      <c r="LR31" s="8"/>
      <c r="LS31" s="77"/>
      <c r="LT31" s="78"/>
      <c r="LU31" s="1"/>
      <c r="LW31" s="53"/>
      <c r="LY31" s="23"/>
      <c r="LZ31" s="77"/>
      <c r="MA31" s="85"/>
      <c r="MB31" s="77"/>
      <c r="MC31" s="84"/>
      <c r="MD31" s="85"/>
      <c r="ME31" s="77"/>
      <c r="MF31" s="84"/>
      <c r="MG31" s="85"/>
      <c r="MH31" s="8"/>
      <c r="MI31" s="77"/>
      <c r="MJ31" s="78"/>
      <c r="MK31" s="1"/>
      <c r="MM31" s="53"/>
    </row>
    <row r="32" spans="1:351" ht="20.100000000000001" customHeight="1" x14ac:dyDescent="0.3">
      <c r="A32" s="139" t="s">
        <v>36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1"/>
      <c r="M32" s="1"/>
      <c r="O32" s="53"/>
      <c r="Q32" s="139" t="s">
        <v>36</v>
      </c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1"/>
      <c r="AC32" s="1"/>
      <c r="AE32" s="53"/>
      <c r="AG32" s="139" t="s">
        <v>36</v>
      </c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1"/>
      <c r="AS32" s="1"/>
      <c r="AU32" s="53"/>
      <c r="AW32" s="139" t="s">
        <v>36</v>
      </c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1"/>
      <c r="BI32" s="1"/>
      <c r="BK32" s="53"/>
      <c r="BM32" s="139" t="s">
        <v>36</v>
      </c>
      <c r="BN32" s="140"/>
      <c r="BO32" s="140"/>
      <c r="BP32" s="140"/>
      <c r="BQ32" s="140"/>
      <c r="BR32" s="140"/>
      <c r="BS32" s="140"/>
      <c r="BT32" s="140"/>
      <c r="BU32" s="140"/>
      <c r="BV32" s="140"/>
      <c r="BW32" s="140"/>
      <c r="BX32" s="141"/>
      <c r="BY32" s="1"/>
      <c r="CA32" s="53"/>
      <c r="CC32" s="139" t="s">
        <v>36</v>
      </c>
      <c r="CD32" s="140"/>
      <c r="CE32" s="140"/>
      <c r="CF32" s="140"/>
      <c r="CG32" s="140"/>
      <c r="CH32" s="140"/>
      <c r="CI32" s="140"/>
      <c r="CJ32" s="140"/>
      <c r="CK32" s="140"/>
      <c r="CL32" s="140"/>
      <c r="CM32" s="140"/>
      <c r="CN32" s="141"/>
      <c r="CO32" s="1"/>
      <c r="CQ32" s="53"/>
      <c r="CS32" s="139" t="s">
        <v>36</v>
      </c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1"/>
      <c r="DE32" s="1"/>
      <c r="DG32" s="53"/>
      <c r="DI32" s="139" t="s">
        <v>36</v>
      </c>
      <c r="DJ32" s="140"/>
      <c r="DK32" s="140"/>
      <c r="DL32" s="140"/>
      <c r="DM32" s="140"/>
      <c r="DN32" s="140"/>
      <c r="DO32" s="140"/>
      <c r="DP32" s="140"/>
      <c r="DQ32" s="140"/>
      <c r="DR32" s="140"/>
      <c r="DS32" s="140"/>
      <c r="DT32" s="141"/>
      <c r="DU32" s="1"/>
      <c r="DW32" s="53"/>
      <c r="DY32" s="139" t="s">
        <v>36</v>
      </c>
      <c r="DZ32" s="140"/>
      <c r="EA32" s="140"/>
      <c r="EB32" s="140"/>
      <c r="EC32" s="140"/>
      <c r="ED32" s="140"/>
      <c r="EE32" s="140"/>
      <c r="EF32" s="140"/>
      <c r="EG32" s="140"/>
      <c r="EH32" s="140"/>
      <c r="EI32" s="140"/>
      <c r="EJ32" s="141"/>
      <c r="EK32" s="1"/>
      <c r="EM32" s="53"/>
      <c r="EO32" s="139" t="s">
        <v>36</v>
      </c>
      <c r="EP32" s="140"/>
      <c r="EQ32" s="140"/>
      <c r="ER32" s="140"/>
      <c r="ES32" s="140"/>
      <c r="ET32" s="140"/>
      <c r="EU32" s="140"/>
      <c r="EV32" s="140"/>
      <c r="EW32" s="140"/>
      <c r="EX32" s="140"/>
      <c r="EY32" s="140"/>
      <c r="EZ32" s="141"/>
      <c r="FA32" s="1"/>
      <c r="FC32" s="53"/>
      <c r="FE32" s="139" t="s">
        <v>36</v>
      </c>
      <c r="FF32" s="140"/>
      <c r="FG32" s="140"/>
      <c r="FH32" s="140"/>
      <c r="FI32" s="140"/>
      <c r="FJ32" s="140"/>
      <c r="FK32" s="140"/>
      <c r="FL32" s="140"/>
      <c r="FM32" s="140"/>
      <c r="FN32" s="140"/>
      <c r="FO32" s="140"/>
      <c r="FP32" s="141"/>
      <c r="FQ32" s="1"/>
      <c r="FS32" s="53"/>
      <c r="FU32" s="139" t="s">
        <v>36</v>
      </c>
      <c r="FV32" s="140"/>
      <c r="FW32" s="140"/>
      <c r="FX32" s="140"/>
      <c r="FY32" s="140"/>
      <c r="FZ32" s="140"/>
      <c r="GA32" s="140"/>
      <c r="GB32" s="140"/>
      <c r="GC32" s="140"/>
      <c r="GD32" s="140"/>
      <c r="GE32" s="140"/>
      <c r="GF32" s="141"/>
      <c r="GG32" s="1"/>
      <c r="GI32" s="53"/>
      <c r="GK32" s="139" t="s">
        <v>36</v>
      </c>
      <c r="GL32" s="140"/>
      <c r="GM32" s="140"/>
      <c r="GN32" s="140"/>
      <c r="GO32" s="140"/>
      <c r="GP32" s="140"/>
      <c r="GQ32" s="140"/>
      <c r="GR32" s="140"/>
      <c r="GS32" s="140"/>
      <c r="GT32" s="140"/>
      <c r="GU32" s="140"/>
      <c r="GV32" s="141"/>
      <c r="GW32" s="1"/>
      <c r="GY32" s="53"/>
      <c r="HA32" s="139" t="s">
        <v>36</v>
      </c>
      <c r="HB32" s="140"/>
      <c r="HC32" s="140"/>
      <c r="HD32" s="140"/>
      <c r="HE32" s="140"/>
      <c r="HF32" s="140"/>
      <c r="HG32" s="140"/>
      <c r="HH32" s="140"/>
      <c r="HI32" s="140"/>
      <c r="HJ32" s="140"/>
      <c r="HK32" s="140"/>
      <c r="HL32" s="141"/>
      <c r="HM32" s="1"/>
      <c r="HO32" s="53"/>
      <c r="HQ32" s="139" t="s">
        <v>36</v>
      </c>
      <c r="HR32" s="140"/>
      <c r="HS32" s="140"/>
      <c r="HT32" s="140"/>
      <c r="HU32" s="140"/>
      <c r="HV32" s="140"/>
      <c r="HW32" s="140"/>
      <c r="HX32" s="140"/>
      <c r="HY32" s="140"/>
      <c r="HZ32" s="140"/>
      <c r="IA32" s="140"/>
      <c r="IB32" s="141"/>
      <c r="IC32" s="1"/>
      <c r="IE32" s="53"/>
      <c r="IG32" s="139" t="s">
        <v>36</v>
      </c>
      <c r="IH32" s="140"/>
      <c r="II32" s="140"/>
      <c r="IJ32" s="140"/>
      <c r="IK32" s="140"/>
      <c r="IL32" s="140"/>
      <c r="IM32" s="140"/>
      <c r="IN32" s="140"/>
      <c r="IO32" s="140"/>
      <c r="IP32" s="140"/>
      <c r="IQ32" s="140"/>
      <c r="IR32" s="141"/>
      <c r="IS32" s="1"/>
      <c r="IU32" s="53"/>
      <c r="IW32" s="139" t="s">
        <v>36</v>
      </c>
      <c r="IX32" s="140"/>
      <c r="IY32" s="140"/>
      <c r="IZ32" s="140"/>
      <c r="JA32" s="140"/>
      <c r="JB32" s="140"/>
      <c r="JC32" s="140"/>
      <c r="JD32" s="140"/>
      <c r="JE32" s="140"/>
      <c r="JF32" s="140"/>
      <c r="JG32" s="140"/>
      <c r="JH32" s="141"/>
      <c r="JI32" s="1"/>
      <c r="JK32" s="53"/>
      <c r="JM32" s="139" t="s">
        <v>36</v>
      </c>
      <c r="JN32" s="140"/>
      <c r="JO32" s="140"/>
      <c r="JP32" s="140"/>
      <c r="JQ32" s="140"/>
      <c r="JR32" s="140"/>
      <c r="JS32" s="140"/>
      <c r="JT32" s="140"/>
      <c r="JU32" s="140"/>
      <c r="JV32" s="140"/>
      <c r="JW32" s="140"/>
      <c r="JX32" s="141"/>
      <c r="JY32" s="1"/>
      <c r="KA32" s="53"/>
      <c r="KC32" s="139" t="s">
        <v>36</v>
      </c>
      <c r="KD32" s="140"/>
      <c r="KE32" s="140"/>
      <c r="KF32" s="140"/>
      <c r="KG32" s="140"/>
      <c r="KH32" s="140"/>
      <c r="KI32" s="140"/>
      <c r="KJ32" s="140"/>
      <c r="KK32" s="140"/>
      <c r="KL32" s="140"/>
      <c r="KM32" s="140"/>
      <c r="KN32" s="141"/>
      <c r="KO32" s="1"/>
      <c r="KQ32" s="53"/>
      <c r="KS32" s="139" t="s">
        <v>36</v>
      </c>
      <c r="KT32" s="140"/>
      <c r="KU32" s="140"/>
      <c r="KV32" s="140"/>
      <c r="KW32" s="140"/>
      <c r="KX32" s="140"/>
      <c r="KY32" s="140"/>
      <c r="KZ32" s="140"/>
      <c r="LA32" s="140"/>
      <c r="LB32" s="140"/>
      <c r="LC32" s="140"/>
      <c r="LD32" s="141"/>
      <c r="LE32" s="1"/>
      <c r="LG32" s="53"/>
      <c r="LI32" s="139" t="s">
        <v>36</v>
      </c>
      <c r="LJ32" s="140"/>
      <c r="LK32" s="140"/>
      <c r="LL32" s="140"/>
      <c r="LM32" s="140"/>
      <c r="LN32" s="140"/>
      <c r="LO32" s="140"/>
      <c r="LP32" s="140"/>
      <c r="LQ32" s="140"/>
      <c r="LR32" s="140"/>
      <c r="LS32" s="140"/>
      <c r="LT32" s="141"/>
      <c r="LU32" s="1"/>
      <c r="LW32" s="53"/>
      <c r="LY32" s="139" t="s">
        <v>36</v>
      </c>
      <c r="LZ32" s="140"/>
      <c r="MA32" s="140"/>
      <c r="MB32" s="140"/>
      <c r="MC32" s="140"/>
      <c r="MD32" s="140"/>
      <c r="ME32" s="140"/>
      <c r="MF32" s="140"/>
      <c r="MG32" s="140"/>
      <c r="MH32" s="140"/>
      <c r="MI32" s="140"/>
      <c r="MJ32" s="141"/>
      <c r="MK32" s="1"/>
      <c r="MM32" s="53"/>
    </row>
    <row r="33" spans="1:351" ht="16.5" customHeight="1" x14ac:dyDescent="0.3">
      <c r="A33" s="142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43"/>
      <c r="M33" s="1"/>
      <c r="O33" s="53"/>
      <c r="Q33" s="142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43"/>
      <c r="AC33" s="1"/>
      <c r="AE33" s="53"/>
      <c r="AG33" s="142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43"/>
      <c r="AS33" s="1"/>
      <c r="AU33" s="53"/>
      <c r="AW33" s="142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43"/>
      <c r="BI33" s="1"/>
      <c r="BK33" s="53"/>
      <c r="BM33" s="142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43"/>
      <c r="BY33" s="1"/>
      <c r="CA33" s="53"/>
      <c r="CC33" s="142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43"/>
      <c r="CO33" s="1"/>
      <c r="CQ33" s="53"/>
      <c r="CS33" s="142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43"/>
      <c r="DE33" s="1"/>
      <c r="DG33" s="53"/>
      <c r="DI33" s="142"/>
      <c r="DJ33" s="130"/>
      <c r="DK33" s="130"/>
      <c r="DL33" s="130"/>
      <c r="DM33" s="130"/>
      <c r="DN33" s="130"/>
      <c r="DO33" s="130"/>
      <c r="DP33" s="130"/>
      <c r="DQ33" s="130"/>
      <c r="DR33" s="130"/>
      <c r="DS33" s="130"/>
      <c r="DT33" s="143"/>
      <c r="DU33" s="1"/>
      <c r="DW33" s="53"/>
      <c r="DY33" s="142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43"/>
      <c r="EK33" s="1"/>
      <c r="EM33" s="53"/>
      <c r="EO33" s="142"/>
      <c r="EP33" s="130"/>
      <c r="EQ33" s="130"/>
      <c r="ER33" s="130"/>
      <c r="ES33" s="130"/>
      <c r="ET33" s="130"/>
      <c r="EU33" s="130"/>
      <c r="EV33" s="130"/>
      <c r="EW33" s="130"/>
      <c r="EX33" s="130"/>
      <c r="EY33" s="130"/>
      <c r="EZ33" s="143"/>
      <c r="FA33" s="1"/>
      <c r="FC33" s="53"/>
      <c r="FE33" s="142"/>
      <c r="FF33" s="130"/>
      <c r="FG33" s="130"/>
      <c r="FH33" s="130"/>
      <c r="FI33" s="130"/>
      <c r="FJ33" s="130"/>
      <c r="FK33" s="130"/>
      <c r="FL33" s="130"/>
      <c r="FM33" s="130"/>
      <c r="FN33" s="130"/>
      <c r="FO33" s="130"/>
      <c r="FP33" s="143"/>
      <c r="FQ33" s="1"/>
      <c r="FS33" s="53"/>
      <c r="FU33" s="142"/>
      <c r="FV33" s="130"/>
      <c r="FW33" s="130"/>
      <c r="FX33" s="130"/>
      <c r="FY33" s="130"/>
      <c r="FZ33" s="130"/>
      <c r="GA33" s="130"/>
      <c r="GB33" s="130"/>
      <c r="GC33" s="130"/>
      <c r="GD33" s="130"/>
      <c r="GE33" s="130"/>
      <c r="GF33" s="143"/>
      <c r="GG33" s="1"/>
      <c r="GI33" s="53"/>
      <c r="GK33" s="142"/>
      <c r="GL33" s="130"/>
      <c r="GM33" s="130"/>
      <c r="GN33" s="130"/>
      <c r="GO33" s="130"/>
      <c r="GP33" s="130"/>
      <c r="GQ33" s="130"/>
      <c r="GR33" s="130"/>
      <c r="GS33" s="130"/>
      <c r="GT33" s="130"/>
      <c r="GU33" s="130"/>
      <c r="GV33" s="143"/>
      <c r="GW33" s="1"/>
      <c r="GY33" s="53"/>
      <c r="HA33" s="142"/>
      <c r="HB33" s="130"/>
      <c r="HC33" s="130"/>
      <c r="HD33" s="130"/>
      <c r="HE33" s="130"/>
      <c r="HF33" s="130"/>
      <c r="HG33" s="130"/>
      <c r="HH33" s="130"/>
      <c r="HI33" s="130"/>
      <c r="HJ33" s="130"/>
      <c r="HK33" s="130"/>
      <c r="HL33" s="143"/>
      <c r="HM33" s="1"/>
      <c r="HO33" s="53"/>
      <c r="HQ33" s="142"/>
      <c r="HR33" s="130"/>
      <c r="HS33" s="130"/>
      <c r="HT33" s="130"/>
      <c r="HU33" s="130"/>
      <c r="HV33" s="130"/>
      <c r="HW33" s="130"/>
      <c r="HX33" s="130"/>
      <c r="HY33" s="130"/>
      <c r="HZ33" s="130"/>
      <c r="IA33" s="130"/>
      <c r="IB33" s="143"/>
      <c r="IC33" s="1"/>
      <c r="IE33" s="53"/>
      <c r="IG33" s="142"/>
      <c r="IH33" s="130"/>
      <c r="II33" s="130"/>
      <c r="IJ33" s="130"/>
      <c r="IK33" s="130"/>
      <c r="IL33" s="130"/>
      <c r="IM33" s="130"/>
      <c r="IN33" s="130"/>
      <c r="IO33" s="130"/>
      <c r="IP33" s="130"/>
      <c r="IQ33" s="130"/>
      <c r="IR33" s="143"/>
      <c r="IS33" s="1"/>
      <c r="IU33" s="53"/>
      <c r="IW33" s="142"/>
      <c r="IX33" s="130"/>
      <c r="IY33" s="130"/>
      <c r="IZ33" s="130"/>
      <c r="JA33" s="130"/>
      <c r="JB33" s="130"/>
      <c r="JC33" s="130"/>
      <c r="JD33" s="130"/>
      <c r="JE33" s="130"/>
      <c r="JF33" s="130"/>
      <c r="JG33" s="130"/>
      <c r="JH33" s="143"/>
      <c r="JI33" s="1"/>
      <c r="JK33" s="53"/>
      <c r="JM33" s="142"/>
      <c r="JN33" s="130"/>
      <c r="JO33" s="130"/>
      <c r="JP33" s="130"/>
      <c r="JQ33" s="130"/>
      <c r="JR33" s="130"/>
      <c r="JS33" s="130"/>
      <c r="JT33" s="130"/>
      <c r="JU33" s="130"/>
      <c r="JV33" s="130"/>
      <c r="JW33" s="130"/>
      <c r="JX33" s="143"/>
      <c r="JY33" s="1"/>
      <c r="KA33" s="53"/>
      <c r="KC33" s="142"/>
      <c r="KD33" s="130"/>
      <c r="KE33" s="130"/>
      <c r="KF33" s="130"/>
      <c r="KG33" s="130"/>
      <c r="KH33" s="130"/>
      <c r="KI33" s="130"/>
      <c r="KJ33" s="130"/>
      <c r="KK33" s="130"/>
      <c r="KL33" s="130"/>
      <c r="KM33" s="130"/>
      <c r="KN33" s="143"/>
      <c r="KO33" s="1"/>
      <c r="KQ33" s="53"/>
      <c r="KS33" s="142"/>
      <c r="KT33" s="130"/>
      <c r="KU33" s="130"/>
      <c r="KV33" s="130"/>
      <c r="KW33" s="130"/>
      <c r="KX33" s="130"/>
      <c r="KY33" s="130"/>
      <c r="KZ33" s="130"/>
      <c r="LA33" s="130"/>
      <c r="LB33" s="130"/>
      <c r="LC33" s="130"/>
      <c r="LD33" s="143"/>
      <c r="LE33" s="1"/>
      <c r="LG33" s="53"/>
      <c r="LI33" s="142"/>
      <c r="LJ33" s="130"/>
      <c r="LK33" s="130"/>
      <c r="LL33" s="130"/>
      <c r="LM33" s="130"/>
      <c r="LN33" s="130"/>
      <c r="LO33" s="130"/>
      <c r="LP33" s="130"/>
      <c r="LQ33" s="130"/>
      <c r="LR33" s="130"/>
      <c r="LS33" s="130"/>
      <c r="LT33" s="143"/>
      <c r="LU33" s="1"/>
      <c r="LW33" s="53"/>
      <c r="LY33" s="142"/>
      <c r="LZ33" s="130"/>
      <c r="MA33" s="130"/>
      <c r="MB33" s="130"/>
      <c r="MC33" s="130"/>
      <c r="MD33" s="130"/>
      <c r="ME33" s="130"/>
      <c r="MF33" s="130"/>
      <c r="MG33" s="130"/>
      <c r="MH33" s="130"/>
      <c r="MI33" s="130"/>
      <c r="MJ33" s="143"/>
      <c r="MK33" s="1"/>
      <c r="MM33" s="53"/>
    </row>
    <row r="34" spans="1:351" ht="19.5" hidden="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6"/>
      <c r="M34" s="1"/>
      <c r="O34" s="53"/>
      <c r="Q34" s="144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6"/>
      <c r="AC34" s="1"/>
      <c r="AE34" s="53"/>
      <c r="AG34" s="144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6"/>
      <c r="AS34" s="1"/>
      <c r="AU34" s="53"/>
      <c r="AW34" s="144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6"/>
      <c r="BI34" s="1"/>
      <c r="BK34" s="53"/>
      <c r="BM34" s="144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6"/>
      <c r="BY34" s="1"/>
      <c r="CA34" s="53"/>
      <c r="CC34" s="144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6"/>
      <c r="CO34" s="1"/>
      <c r="CQ34" s="53"/>
      <c r="CS34" s="144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6"/>
      <c r="DE34" s="1"/>
      <c r="DG34" s="53"/>
      <c r="DI34" s="144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6"/>
      <c r="DU34" s="1"/>
      <c r="DW34" s="53"/>
      <c r="DY34" s="144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6"/>
      <c r="EK34" s="1"/>
      <c r="EM34" s="53"/>
      <c r="EO34" s="144"/>
      <c r="EP34" s="145"/>
      <c r="EQ34" s="145"/>
      <c r="ER34" s="145"/>
      <c r="ES34" s="145"/>
      <c r="ET34" s="145"/>
      <c r="EU34" s="145"/>
      <c r="EV34" s="145"/>
      <c r="EW34" s="145"/>
      <c r="EX34" s="145"/>
      <c r="EY34" s="145"/>
      <c r="EZ34" s="146"/>
      <c r="FA34" s="1"/>
      <c r="FC34" s="53"/>
      <c r="FE34" s="144"/>
      <c r="FF34" s="145"/>
      <c r="FG34" s="145"/>
      <c r="FH34" s="145"/>
      <c r="FI34" s="145"/>
      <c r="FJ34" s="145"/>
      <c r="FK34" s="145"/>
      <c r="FL34" s="145"/>
      <c r="FM34" s="145"/>
      <c r="FN34" s="145"/>
      <c r="FO34" s="145"/>
      <c r="FP34" s="146"/>
      <c r="FQ34" s="1"/>
      <c r="FS34" s="53"/>
      <c r="FU34" s="144"/>
      <c r="FV34" s="145"/>
      <c r="FW34" s="145"/>
      <c r="FX34" s="145"/>
      <c r="FY34" s="145"/>
      <c r="FZ34" s="145"/>
      <c r="GA34" s="145"/>
      <c r="GB34" s="145"/>
      <c r="GC34" s="145"/>
      <c r="GD34" s="145"/>
      <c r="GE34" s="145"/>
      <c r="GF34" s="146"/>
      <c r="GG34" s="1"/>
      <c r="GI34" s="53"/>
      <c r="GK34" s="144"/>
      <c r="GL34" s="145"/>
      <c r="GM34" s="145"/>
      <c r="GN34" s="145"/>
      <c r="GO34" s="145"/>
      <c r="GP34" s="145"/>
      <c r="GQ34" s="145"/>
      <c r="GR34" s="145"/>
      <c r="GS34" s="145"/>
      <c r="GT34" s="145"/>
      <c r="GU34" s="145"/>
      <c r="GV34" s="146"/>
      <c r="GW34" s="1"/>
      <c r="GY34" s="53"/>
      <c r="HA34" s="144"/>
      <c r="HB34" s="145"/>
      <c r="HC34" s="145"/>
      <c r="HD34" s="145"/>
      <c r="HE34" s="145"/>
      <c r="HF34" s="145"/>
      <c r="HG34" s="145"/>
      <c r="HH34" s="145"/>
      <c r="HI34" s="145"/>
      <c r="HJ34" s="145"/>
      <c r="HK34" s="145"/>
      <c r="HL34" s="146"/>
      <c r="HM34" s="1"/>
      <c r="HO34" s="53"/>
      <c r="HQ34" s="144"/>
      <c r="HR34" s="145"/>
      <c r="HS34" s="145"/>
      <c r="HT34" s="145"/>
      <c r="HU34" s="145"/>
      <c r="HV34" s="145"/>
      <c r="HW34" s="145"/>
      <c r="HX34" s="145"/>
      <c r="HY34" s="145"/>
      <c r="HZ34" s="145"/>
      <c r="IA34" s="145"/>
      <c r="IB34" s="146"/>
      <c r="IC34" s="1"/>
      <c r="IE34" s="53"/>
      <c r="IG34" s="144"/>
      <c r="IH34" s="145"/>
      <c r="II34" s="145"/>
      <c r="IJ34" s="145"/>
      <c r="IK34" s="145"/>
      <c r="IL34" s="145"/>
      <c r="IM34" s="145"/>
      <c r="IN34" s="145"/>
      <c r="IO34" s="145"/>
      <c r="IP34" s="145"/>
      <c r="IQ34" s="145"/>
      <c r="IR34" s="146"/>
      <c r="IS34" s="1"/>
      <c r="IU34" s="53"/>
      <c r="IW34" s="144"/>
      <c r="IX34" s="145"/>
      <c r="IY34" s="145"/>
      <c r="IZ34" s="145"/>
      <c r="JA34" s="145"/>
      <c r="JB34" s="145"/>
      <c r="JC34" s="145"/>
      <c r="JD34" s="145"/>
      <c r="JE34" s="145"/>
      <c r="JF34" s="145"/>
      <c r="JG34" s="145"/>
      <c r="JH34" s="146"/>
      <c r="JI34" s="1"/>
      <c r="JK34" s="53"/>
      <c r="JM34" s="144"/>
      <c r="JN34" s="145"/>
      <c r="JO34" s="145"/>
      <c r="JP34" s="145"/>
      <c r="JQ34" s="145"/>
      <c r="JR34" s="145"/>
      <c r="JS34" s="145"/>
      <c r="JT34" s="145"/>
      <c r="JU34" s="145"/>
      <c r="JV34" s="145"/>
      <c r="JW34" s="145"/>
      <c r="JX34" s="146"/>
      <c r="JY34" s="1"/>
      <c r="KA34" s="53"/>
      <c r="KC34" s="144"/>
      <c r="KD34" s="145"/>
      <c r="KE34" s="145"/>
      <c r="KF34" s="145"/>
      <c r="KG34" s="145"/>
      <c r="KH34" s="145"/>
      <c r="KI34" s="145"/>
      <c r="KJ34" s="145"/>
      <c r="KK34" s="145"/>
      <c r="KL34" s="145"/>
      <c r="KM34" s="145"/>
      <c r="KN34" s="146"/>
      <c r="KO34" s="1"/>
      <c r="KQ34" s="53"/>
      <c r="KS34" s="144"/>
      <c r="KT34" s="145"/>
      <c r="KU34" s="145"/>
      <c r="KV34" s="145"/>
      <c r="KW34" s="145"/>
      <c r="KX34" s="145"/>
      <c r="KY34" s="145"/>
      <c r="KZ34" s="145"/>
      <c r="LA34" s="145"/>
      <c r="LB34" s="145"/>
      <c r="LC34" s="145"/>
      <c r="LD34" s="146"/>
      <c r="LE34" s="1"/>
      <c r="LG34" s="53"/>
      <c r="LI34" s="144"/>
      <c r="LJ34" s="145"/>
      <c r="LK34" s="145"/>
      <c r="LL34" s="145"/>
      <c r="LM34" s="145"/>
      <c r="LN34" s="145"/>
      <c r="LO34" s="145"/>
      <c r="LP34" s="145"/>
      <c r="LQ34" s="145"/>
      <c r="LR34" s="145"/>
      <c r="LS34" s="145"/>
      <c r="LT34" s="146"/>
      <c r="LU34" s="1"/>
      <c r="LW34" s="53"/>
      <c r="LY34" s="144"/>
      <c r="LZ34" s="145"/>
      <c r="MA34" s="145"/>
      <c r="MB34" s="145"/>
      <c r="MC34" s="145"/>
      <c r="MD34" s="145"/>
      <c r="ME34" s="145"/>
      <c r="MF34" s="145"/>
      <c r="MG34" s="145"/>
      <c r="MH34" s="145"/>
      <c r="MI34" s="145"/>
      <c r="MJ34" s="146"/>
      <c r="MK34" s="1"/>
      <c r="MM34" s="53"/>
    </row>
    <row r="35" spans="1:351" ht="20.100000000000001" customHeight="1" x14ac:dyDescent="0.3">
      <c r="A35" s="147" t="s">
        <v>75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9"/>
      <c r="M35" s="1"/>
      <c r="O35" s="53"/>
      <c r="Q35" s="147" t="s">
        <v>75</v>
      </c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9"/>
      <c r="AC35" s="1"/>
      <c r="AE35" s="53"/>
      <c r="AG35" s="147" t="s">
        <v>75</v>
      </c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9"/>
      <c r="AS35" s="1"/>
      <c r="AU35" s="53"/>
      <c r="AW35" s="147" t="s">
        <v>75</v>
      </c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9"/>
      <c r="BI35" s="1"/>
      <c r="BK35" s="53"/>
      <c r="BM35" s="147" t="s">
        <v>75</v>
      </c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9"/>
      <c r="BY35" s="1"/>
      <c r="CA35" s="53"/>
      <c r="CC35" s="147" t="s">
        <v>75</v>
      </c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9"/>
      <c r="CO35" s="1"/>
      <c r="CQ35" s="53"/>
      <c r="CS35" s="147" t="s">
        <v>75</v>
      </c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9"/>
      <c r="DE35" s="1"/>
      <c r="DG35" s="53"/>
      <c r="DI35" s="147" t="s">
        <v>75</v>
      </c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9"/>
      <c r="DU35" s="1"/>
      <c r="DW35" s="53"/>
      <c r="DY35" s="147" t="s">
        <v>75</v>
      </c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9"/>
      <c r="EK35" s="1"/>
      <c r="EM35" s="53"/>
      <c r="EO35" s="147" t="s">
        <v>75</v>
      </c>
      <c r="EP35" s="148"/>
      <c r="EQ35" s="148"/>
      <c r="ER35" s="148"/>
      <c r="ES35" s="148"/>
      <c r="ET35" s="148"/>
      <c r="EU35" s="148"/>
      <c r="EV35" s="148"/>
      <c r="EW35" s="148"/>
      <c r="EX35" s="148"/>
      <c r="EY35" s="148"/>
      <c r="EZ35" s="149"/>
      <c r="FA35" s="1"/>
      <c r="FC35" s="53"/>
      <c r="FE35" s="147" t="s">
        <v>75</v>
      </c>
      <c r="FF35" s="148"/>
      <c r="FG35" s="148"/>
      <c r="FH35" s="148"/>
      <c r="FI35" s="148"/>
      <c r="FJ35" s="148"/>
      <c r="FK35" s="148"/>
      <c r="FL35" s="148"/>
      <c r="FM35" s="148"/>
      <c r="FN35" s="148"/>
      <c r="FO35" s="148"/>
      <c r="FP35" s="149"/>
      <c r="FQ35" s="1"/>
      <c r="FS35" s="53"/>
      <c r="FU35" s="147" t="s">
        <v>75</v>
      </c>
      <c r="FV35" s="148"/>
      <c r="FW35" s="148"/>
      <c r="FX35" s="148"/>
      <c r="FY35" s="148"/>
      <c r="FZ35" s="148"/>
      <c r="GA35" s="148"/>
      <c r="GB35" s="148"/>
      <c r="GC35" s="148"/>
      <c r="GD35" s="148"/>
      <c r="GE35" s="148"/>
      <c r="GF35" s="149"/>
      <c r="GG35" s="1"/>
      <c r="GI35" s="53"/>
      <c r="GK35" s="147" t="s">
        <v>75</v>
      </c>
      <c r="GL35" s="148"/>
      <c r="GM35" s="148"/>
      <c r="GN35" s="148"/>
      <c r="GO35" s="148"/>
      <c r="GP35" s="148"/>
      <c r="GQ35" s="148"/>
      <c r="GR35" s="148"/>
      <c r="GS35" s="148"/>
      <c r="GT35" s="148"/>
      <c r="GU35" s="148"/>
      <c r="GV35" s="149"/>
      <c r="GW35" s="1"/>
      <c r="GY35" s="53"/>
      <c r="HA35" s="147" t="s">
        <v>75</v>
      </c>
      <c r="HB35" s="148"/>
      <c r="HC35" s="148"/>
      <c r="HD35" s="148"/>
      <c r="HE35" s="148"/>
      <c r="HF35" s="148"/>
      <c r="HG35" s="148"/>
      <c r="HH35" s="148"/>
      <c r="HI35" s="148"/>
      <c r="HJ35" s="148"/>
      <c r="HK35" s="148"/>
      <c r="HL35" s="149"/>
      <c r="HM35" s="1"/>
      <c r="HO35" s="53"/>
      <c r="HQ35" s="147" t="s">
        <v>75</v>
      </c>
      <c r="HR35" s="148"/>
      <c r="HS35" s="148"/>
      <c r="HT35" s="148"/>
      <c r="HU35" s="148"/>
      <c r="HV35" s="148"/>
      <c r="HW35" s="148"/>
      <c r="HX35" s="148"/>
      <c r="HY35" s="148"/>
      <c r="HZ35" s="148"/>
      <c r="IA35" s="148"/>
      <c r="IB35" s="149"/>
      <c r="IC35" s="1"/>
      <c r="IE35" s="53"/>
      <c r="IG35" s="147" t="s">
        <v>75</v>
      </c>
      <c r="IH35" s="148"/>
      <c r="II35" s="148"/>
      <c r="IJ35" s="148"/>
      <c r="IK35" s="148"/>
      <c r="IL35" s="148"/>
      <c r="IM35" s="148"/>
      <c r="IN35" s="148"/>
      <c r="IO35" s="148"/>
      <c r="IP35" s="148"/>
      <c r="IQ35" s="148"/>
      <c r="IR35" s="149"/>
      <c r="IS35" s="1"/>
      <c r="IU35" s="53"/>
      <c r="IW35" s="147" t="s">
        <v>75</v>
      </c>
      <c r="IX35" s="148"/>
      <c r="IY35" s="148"/>
      <c r="IZ35" s="148"/>
      <c r="JA35" s="148"/>
      <c r="JB35" s="148"/>
      <c r="JC35" s="148"/>
      <c r="JD35" s="148"/>
      <c r="JE35" s="148"/>
      <c r="JF35" s="148"/>
      <c r="JG35" s="148"/>
      <c r="JH35" s="149"/>
      <c r="JI35" s="1"/>
      <c r="JK35" s="53"/>
      <c r="JM35" s="147" t="s">
        <v>75</v>
      </c>
      <c r="JN35" s="148"/>
      <c r="JO35" s="148"/>
      <c r="JP35" s="148"/>
      <c r="JQ35" s="148"/>
      <c r="JR35" s="148"/>
      <c r="JS35" s="148"/>
      <c r="JT35" s="148"/>
      <c r="JU35" s="148"/>
      <c r="JV35" s="148"/>
      <c r="JW35" s="148"/>
      <c r="JX35" s="149"/>
      <c r="JY35" s="1"/>
      <c r="KA35" s="53"/>
      <c r="KC35" s="147" t="s">
        <v>75</v>
      </c>
      <c r="KD35" s="148"/>
      <c r="KE35" s="148"/>
      <c r="KF35" s="148"/>
      <c r="KG35" s="148"/>
      <c r="KH35" s="148"/>
      <c r="KI35" s="148"/>
      <c r="KJ35" s="148"/>
      <c r="KK35" s="148"/>
      <c r="KL35" s="148"/>
      <c r="KM35" s="148"/>
      <c r="KN35" s="149"/>
      <c r="KO35" s="1"/>
      <c r="KQ35" s="53"/>
      <c r="KS35" s="147" t="s">
        <v>75</v>
      </c>
      <c r="KT35" s="148"/>
      <c r="KU35" s="148"/>
      <c r="KV35" s="148"/>
      <c r="KW35" s="148"/>
      <c r="KX35" s="148"/>
      <c r="KY35" s="148"/>
      <c r="KZ35" s="148"/>
      <c r="LA35" s="148"/>
      <c r="LB35" s="148"/>
      <c r="LC35" s="148"/>
      <c r="LD35" s="149"/>
      <c r="LE35" s="1"/>
      <c r="LG35" s="53"/>
      <c r="LI35" s="147" t="s">
        <v>75</v>
      </c>
      <c r="LJ35" s="148"/>
      <c r="LK35" s="148"/>
      <c r="LL35" s="148"/>
      <c r="LM35" s="148"/>
      <c r="LN35" s="148"/>
      <c r="LO35" s="148"/>
      <c r="LP35" s="148"/>
      <c r="LQ35" s="148"/>
      <c r="LR35" s="148"/>
      <c r="LS35" s="148"/>
      <c r="LT35" s="149"/>
      <c r="LU35" s="1"/>
      <c r="LW35" s="53"/>
      <c r="LY35" s="147" t="s">
        <v>75</v>
      </c>
      <c r="LZ35" s="148"/>
      <c r="MA35" s="148"/>
      <c r="MB35" s="148"/>
      <c r="MC35" s="148"/>
      <c r="MD35" s="148"/>
      <c r="ME35" s="148"/>
      <c r="MF35" s="148"/>
      <c r="MG35" s="148"/>
      <c r="MH35" s="148"/>
      <c r="MI35" s="148"/>
      <c r="MJ35" s="149"/>
      <c r="MK35" s="1"/>
      <c r="MM35" s="53"/>
    </row>
    <row r="36" spans="1:351" ht="20.10000000000000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2"/>
      <c r="M36" s="7"/>
      <c r="O36" s="53"/>
      <c r="Q36" s="150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2"/>
      <c r="AC36" s="7"/>
      <c r="AE36" s="53"/>
      <c r="AG36" s="150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2"/>
      <c r="AS36" s="7"/>
      <c r="AU36" s="53"/>
      <c r="AW36" s="150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2"/>
      <c r="BI36" s="7"/>
      <c r="BK36" s="53"/>
      <c r="BM36" s="150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2"/>
      <c r="BY36" s="7"/>
      <c r="CA36" s="53"/>
      <c r="CC36" s="150"/>
      <c r="CD36" s="151"/>
      <c r="CE36" s="151"/>
      <c r="CF36" s="151"/>
      <c r="CG36" s="151"/>
      <c r="CH36" s="151"/>
      <c r="CI36" s="151"/>
      <c r="CJ36" s="151"/>
      <c r="CK36" s="151"/>
      <c r="CL36" s="151"/>
      <c r="CM36" s="151"/>
      <c r="CN36" s="152"/>
      <c r="CO36" s="7"/>
      <c r="CQ36" s="53"/>
      <c r="CS36" s="150"/>
      <c r="CT36" s="151"/>
      <c r="CU36" s="151"/>
      <c r="CV36" s="151"/>
      <c r="CW36" s="151"/>
      <c r="CX36" s="151"/>
      <c r="CY36" s="151"/>
      <c r="CZ36" s="151"/>
      <c r="DA36" s="151"/>
      <c r="DB36" s="151"/>
      <c r="DC36" s="151"/>
      <c r="DD36" s="152"/>
      <c r="DE36" s="7"/>
      <c r="DG36" s="53"/>
      <c r="DI36" s="150"/>
      <c r="DJ36" s="151"/>
      <c r="DK36" s="151"/>
      <c r="DL36" s="151"/>
      <c r="DM36" s="151"/>
      <c r="DN36" s="151"/>
      <c r="DO36" s="151"/>
      <c r="DP36" s="151"/>
      <c r="DQ36" s="151"/>
      <c r="DR36" s="151"/>
      <c r="DS36" s="151"/>
      <c r="DT36" s="152"/>
      <c r="DU36" s="7"/>
      <c r="DW36" s="53"/>
      <c r="DY36" s="150"/>
      <c r="DZ36" s="151"/>
      <c r="EA36" s="151"/>
      <c r="EB36" s="151"/>
      <c r="EC36" s="151"/>
      <c r="ED36" s="151"/>
      <c r="EE36" s="151"/>
      <c r="EF36" s="151"/>
      <c r="EG36" s="151"/>
      <c r="EH36" s="151"/>
      <c r="EI36" s="151"/>
      <c r="EJ36" s="152"/>
      <c r="EK36" s="7"/>
      <c r="EM36" s="53"/>
      <c r="EO36" s="150"/>
      <c r="EP36" s="151"/>
      <c r="EQ36" s="151"/>
      <c r="ER36" s="151"/>
      <c r="ES36" s="151"/>
      <c r="ET36" s="151"/>
      <c r="EU36" s="151"/>
      <c r="EV36" s="151"/>
      <c r="EW36" s="151"/>
      <c r="EX36" s="151"/>
      <c r="EY36" s="151"/>
      <c r="EZ36" s="152"/>
      <c r="FA36" s="7"/>
      <c r="FC36" s="53"/>
      <c r="FE36" s="150"/>
      <c r="FF36" s="151"/>
      <c r="FG36" s="151"/>
      <c r="FH36" s="151"/>
      <c r="FI36" s="151"/>
      <c r="FJ36" s="151"/>
      <c r="FK36" s="151"/>
      <c r="FL36" s="151"/>
      <c r="FM36" s="151"/>
      <c r="FN36" s="151"/>
      <c r="FO36" s="151"/>
      <c r="FP36" s="152"/>
      <c r="FQ36" s="7"/>
      <c r="FS36" s="53"/>
      <c r="FU36" s="150"/>
      <c r="FV36" s="151"/>
      <c r="FW36" s="151"/>
      <c r="FX36" s="151"/>
      <c r="FY36" s="151"/>
      <c r="FZ36" s="151"/>
      <c r="GA36" s="151"/>
      <c r="GB36" s="151"/>
      <c r="GC36" s="151"/>
      <c r="GD36" s="151"/>
      <c r="GE36" s="151"/>
      <c r="GF36" s="152"/>
      <c r="GG36" s="7"/>
      <c r="GI36" s="53"/>
      <c r="GK36" s="150"/>
      <c r="GL36" s="151"/>
      <c r="GM36" s="151"/>
      <c r="GN36" s="151"/>
      <c r="GO36" s="151"/>
      <c r="GP36" s="151"/>
      <c r="GQ36" s="151"/>
      <c r="GR36" s="151"/>
      <c r="GS36" s="151"/>
      <c r="GT36" s="151"/>
      <c r="GU36" s="151"/>
      <c r="GV36" s="152"/>
      <c r="GW36" s="7"/>
      <c r="GY36" s="53"/>
      <c r="HA36" s="150"/>
      <c r="HB36" s="151"/>
      <c r="HC36" s="151"/>
      <c r="HD36" s="151"/>
      <c r="HE36" s="151"/>
      <c r="HF36" s="151"/>
      <c r="HG36" s="151"/>
      <c r="HH36" s="151"/>
      <c r="HI36" s="151"/>
      <c r="HJ36" s="151"/>
      <c r="HK36" s="151"/>
      <c r="HL36" s="152"/>
      <c r="HM36" s="7"/>
      <c r="HO36" s="53"/>
      <c r="HQ36" s="150"/>
      <c r="HR36" s="151"/>
      <c r="HS36" s="151"/>
      <c r="HT36" s="151"/>
      <c r="HU36" s="151"/>
      <c r="HV36" s="151"/>
      <c r="HW36" s="151"/>
      <c r="HX36" s="151"/>
      <c r="HY36" s="151"/>
      <c r="HZ36" s="151"/>
      <c r="IA36" s="151"/>
      <c r="IB36" s="152"/>
      <c r="IC36" s="7"/>
      <c r="IE36" s="53"/>
      <c r="IG36" s="150"/>
      <c r="IH36" s="151"/>
      <c r="II36" s="151"/>
      <c r="IJ36" s="151"/>
      <c r="IK36" s="151"/>
      <c r="IL36" s="151"/>
      <c r="IM36" s="151"/>
      <c r="IN36" s="151"/>
      <c r="IO36" s="151"/>
      <c r="IP36" s="151"/>
      <c r="IQ36" s="151"/>
      <c r="IR36" s="152"/>
      <c r="IS36" s="7"/>
      <c r="IU36" s="53"/>
      <c r="IW36" s="150"/>
      <c r="IX36" s="151"/>
      <c r="IY36" s="151"/>
      <c r="IZ36" s="151"/>
      <c r="JA36" s="151"/>
      <c r="JB36" s="151"/>
      <c r="JC36" s="151"/>
      <c r="JD36" s="151"/>
      <c r="JE36" s="151"/>
      <c r="JF36" s="151"/>
      <c r="JG36" s="151"/>
      <c r="JH36" s="152"/>
      <c r="JI36" s="7"/>
      <c r="JK36" s="53"/>
      <c r="JM36" s="150"/>
      <c r="JN36" s="151"/>
      <c r="JO36" s="151"/>
      <c r="JP36" s="151"/>
      <c r="JQ36" s="151"/>
      <c r="JR36" s="151"/>
      <c r="JS36" s="151"/>
      <c r="JT36" s="151"/>
      <c r="JU36" s="151"/>
      <c r="JV36" s="151"/>
      <c r="JW36" s="151"/>
      <c r="JX36" s="152"/>
      <c r="JY36" s="7"/>
      <c r="KA36" s="53"/>
      <c r="KC36" s="150"/>
      <c r="KD36" s="151"/>
      <c r="KE36" s="151"/>
      <c r="KF36" s="151"/>
      <c r="KG36" s="151"/>
      <c r="KH36" s="151"/>
      <c r="KI36" s="151"/>
      <c r="KJ36" s="151"/>
      <c r="KK36" s="151"/>
      <c r="KL36" s="151"/>
      <c r="KM36" s="151"/>
      <c r="KN36" s="152"/>
      <c r="KO36" s="7"/>
      <c r="KQ36" s="53"/>
      <c r="KS36" s="150"/>
      <c r="KT36" s="151"/>
      <c r="KU36" s="151"/>
      <c r="KV36" s="151"/>
      <c r="KW36" s="151"/>
      <c r="KX36" s="151"/>
      <c r="KY36" s="151"/>
      <c r="KZ36" s="151"/>
      <c r="LA36" s="151"/>
      <c r="LB36" s="151"/>
      <c r="LC36" s="151"/>
      <c r="LD36" s="152"/>
      <c r="LE36" s="7"/>
      <c r="LG36" s="53"/>
      <c r="LI36" s="150"/>
      <c r="LJ36" s="151"/>
      <c r="LK36" s="151"/>
      <c r="LL36" s="151"/>
      <c r="LM36" s="151"/>
      <c r="LN36" s="151"/>
      <c r="LO36" s="151"/>
      <c r="LP36" s="151"/>
      <c r="LQ36" s="151"/>
      <c r="LR36" s="151"/>
      <c r="LS36" s="151"/>
      <c r="LT36" s="152"/>
      <c r="LU36" s="7"/>
      <c r="LW36" s="53"/>
      <c r="LY36" s="150"/>
      <c r="LZ36" s="151"/>
      <c r="MA36" s="151"/>
      <c r="MB36" s="151"/>
      <c r="MC36" s="151"/>
      <c r="MD36" s="151"/>
      <c r="ME36" s="151"/>
      <c r="MF36" s="151"/>
      <c r="MG36" s="151"/>
      <c r="MH36" s="151"/>
      <c r="MI36" s="151"/>
      <c r="MJ36" s="152"/>
      <c r="MK36" s="7"/>
      <c r="MM36" s="53"/>
    </row>
    <row r="37" spans="1:351" ht="20.10000000000000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2"/>
      <c r="M37" s="1"/>
      <c r="O37" s="53"/>
      <c r="Q37" s="150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2"/>
      <c r="AC37" s="1"/>
      <c r="AE37" s="53"/>
      <c r="AG37" s="150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2"/>
      <c r="AS37" s="1"/>
      <c r="AU37" s="53"/>
      <c r="AW37" s="150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2"/>
      <c r="BI37" s="1"/>
      <c r="BK37" s="53"/>
      <c r="BM37" s="150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2"/>
      <c r="BY37" s="1"/>
      <c r="CA37" s="53"/>
      <c r="CC37" s="150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2"/>
      <c r="CO37" s="1"/>
      <c r="CQ37" s="53"/>
      <c r="CS37" s="150"/>
      <c r="CT37" s="151"/>
      <c r="CU37" s="151"/>
      <c r="CV37" s="151"/>
      <c r="CW37" s="151"/>
      <c r="CX37" s="151"/>
      <c r="CY37" s="151"/>
      <c r="CZ37" s="151"/>
      <c r="DA37" s="151"/>
      <c r="DB37" s="151"/>
      <c r="DC37" s="151"/>
      <c r="DD37" s="152"/>
      <c r="DE37" s="1"/>
      <c r="DG37" s="53"/>
      <c r="DI37" s="150"/>
      <c r="DJ37" s="151"/>
      <c r="DK37" s="151"/>
      <c r="DL37" s="151"/>
      <c r="DM37" s="151"/>
      <c r="DN37" s="151"/>
      <c r="DO37" s="151"/>
      <c r="DP37" s="151"/>
      <c r="DQ37" s="151"/>
      <c r="DR37" s="151"/>
      <c r="DS37" s="151"/>
      <c r="DT37" s="152"/>
      <c r="DU37" s="1"/>
      <c r="DW37" s="53"/>
      <c r="DY37" s="150"/>
      <c r="DZ37" s="151"/>
      <c r="EA37" s="151"/>
      <c r="EB37" s="151"/>
      <c r="EC37" s="151"/>
      <c r="ED37" s="151"/>
      <c r="EE37" s="151"/>
      <c r="EF37" s="151"/>
      <c r="EG37" s="151"/>
      <c r="EH37" s="151"/>
      <c r="EI37" s="151"/>
      <c r="EJ37" s="152"/>
      <c r="EK37" s="1"/>
      <c r="EM37" s="53"/>
      <c r="EO37" s="150"/>
      <c r="EP37" s="151"/>
      <c r="EQ37" s="151"/>
      <c r="ER37" s="151"/>
      <c r="ES37" s="151"/>
      <c r="ET37" s="151"/>
      <c r="EU37" s="151"/>
      <c r="EV37" s="151"/>
      <c r="EW37" s="151"/>
      <c r="EX37" s="151"/>
      <c r="EY37" s="151"/>
      <c r="EZ37" s="152"/>
      <c r="FA37" s="1"/>
      <c r="FC37" s="53"/>
      <c r="FE37" s="150"/>
      <c r="FF37" s="151"/>
      <c r="FG37" s="151"/>
      <c r="FH37" s="151"/>
      <c r="FI37" s="151"/>
      <c r="FJ37" s="151"/>
      <c r="FK37" s="151"/>
      <c r="FL37" s="151"/>
      <c r="FM37" s="151"/>
      <c r="FN37" s="151"/>
      <c r="FO37" s="151"/>
      <c r="FP37" s="152"/>
      <c r="FQ37" s="1"/>
      <c r="FS37" s="53"/>
      <c r="FU37" s="150"/>
      <c r="FV37" s="151"/>
      <c r="FW37" s="151"/>
      <c r="FX37" s="151"/>
      <c r="FY37" s="151"/>
      <c r="FZ37" s="151"/>
      <c r="GA37" s="151"/>
      <c r="GB37" s="151"/>
      <c r="GC37" s="151"/>
      <c r="GD37" s="151"/>
      <c r="GE37" s="151"/>
      <c r="GF37" s="152"/>
      <c r="GG37" s="1"/>
      <c r="GI37" s="53"/>
      <c r="GK37" s="150"/>
      <c r="GL37" s="151"/>
      <c r="GM37" s="151"/>
      <c r="GN37" s="151"/>
      <c r="GO37" s="151"/>
      <c r="GP37" s="151"/>
      <c r="GQ37" s="151"/>
      <c r="GR37" s="151"/>
      <c r="GS37" s="151"/>
      <c r="GT37" s="151"/>
      <c r="GU37" s="151"/>
      <c r="GV37" s="152"/>
      <c r="GW37" s="1"/>
      <c r="GY37" s="53"/>
      <c r="HA37" s="150"/>
      <c r="HB37" s="151"/>
      <c r="HC37" s="151"/>
      <c r="HD37" s="151"/>
      <c r="HE37" s="151"/>
      <c r="HF37" s="151"/>
      <c r="HG37" s="151"/>
      <c r="HH37" s="151"/>
      <c r="HI37" s="151"/>
      <c r="HJ37" s="151"/>
      <c r="HK37" s="151"/>
      <c r="HL37" s="152"/>
      <c r="HM37" s="1"/>
      <c r="HO37" s="53"/>
      <c r="HQ37" s="150"/>
      <c r="HR37" s="151"/>
      <c r="HS37" s="151"/>
      <c r="HT37" s="151"/>
      <c r="HU37" s="151"/>
      <c r="HV37" s="151"/>
      <c r="HW37" s="151"/>
      <c r="HX37" s="151"/>
      <c r="HY37" s="151"/>
      <c r="HZ37" s="151"/>
      <c r="IA37" s="151"/>
      <c r="IB37" s="152"/>
      <c r="IC37" s="1"/>
      <c r="IE37" s="53"/>
      <c r="IG37" s="150"/>
      <c r="IH37" s="151"/>
      <c r="II37" s="151"/>
      <c r="IJ37" s="151"/>
      <c r="IK37" s="151"/>
      <c r="IL37" s="151"/>
      <c r="IM37" s="151"/>
      <c r="IN37" s="151"/>
      <c r="IO37" s="151"/>
      <c r="IP37" s="151"/>
      <c r="IQ37" s="151"/>
      <c r="IR37" s="152"/>
      <c r="IS37" s="1"/>
      <c r="IU37" s="53"/>
      <c r="IW37" s="150"/>
      <c r="IX37" s="151"/>
      <c r="IY37" s="151"/>
      <c r="IZ37" s="151"/>
      <c r="JA37" s="151"/>
      <c r="JB37" s="151"/>
      <c r="JC37" s="151"/>
      <c r="JD37" s="151"/>
      <c r="JE37" s="151"/>
      <c r="JF37" s="151"/>
      <c r="JG37" s="151"/>
      <c r="JH37" s="152"/>
      <c r="JI37" s="1"/>
      <c r="JK37" s="53"/>
      <c r="JM37" s="150"/>
      <c r="JN37" s="151"/>
      <c r="JO37" s="151"/>
      <c r="JP37" s="151"/>
      <c r="JQ37" s="151"/>
      <c r="JR37" s="151"/>
      <c r="JS37" s="151"/>
      <c r="JT37" s="151"/>
      <c r="JU37" s="151"/>
      <c r="JV37" s="151"/>
      <c r="JW37" s="151"/>
      <c r="JX37" s="152"/>
      <c r="JY37" s="1"/>
      <c r="KA37" s="53"/>
      <c r="KC37" s="150"/>
      <c r="KD37" s="151"/>
      <c r="KE37" s="151"/>
      <c r="KF37" s="151"/>
      <c r="KG37" s="151"/>
      <c r="KH37" s="151"/>
      <c r="KI37" s="151"/>
      <c r="KJ37" s="151"/>
      <c r="KK37" s="151"/>
      <c r="KL37" s="151"/>
      <c r="KM37" s="151"/>
      <c r="KN37" s="152"/>
      <c r="KO37" s="1"/>
      <c r="KQ37" s="53"/>
      <c r="KS37" s="150"/>
      <c r="KT37" s="151"/>
      <c r="KU37" s="151"/>
      <c r="KV37" s="151"/>
      <c r="KW37" s="151"/>
      <c r="KX37" s="151"/>
      <c r="KY37" s="151"/>
      <c r="KZ37" s="151"/>
      <c r="LA37" s="151"/>
      <c r="LB37" s="151"/>
      <c r="LC37" s="151"/>
      <c r="LD37" s="152"/>
      <c r="LE37" s="1"/>
      <c r="LG37" s="53"/>
      <c r="LI37" s="150"/>
      <c r="LJ37" s="151"/>
      <c r="LK37" s="151"/>
      <c r="LL37" s="151"/>
      <c r="LM37" s="151"/>
      <c r="LN37" s="151"/>
      <c r="LO37" s="151"/>
      <c r="LP37" s="151"/>
      <c r="LQ37" s="151"/>
      <c r="LR37" s="151"/>
      <c r="LS37" s="151"/>
      <c r="LT37" s="152"/>
      <c r="LU37" s="1"/>
      <c r="LW37" s="53"/>
      <c r="LY37" s="150"/>
      <c r="LZ37" s="151"/>
      <c r="MA37" s="151"/>
      <c r="MB37" s="151"/>
      <c r="MC37" s="151"/>
      <c r="MD37" s="151"/>
      <c r="ME37" s="151"/>
      <c r="MF37" s="151"/>
      <c r="MG37" s="151"/>
      <c r="MH37" s="151"/>
      <c r="MI37" s="151"/>
      <c r="MJ37" s="152"/>
      <c r="MK37" s="1"/>
      <c r="MM37" s="53"/>
    </row>
    <row r="38" spans="1:351" ht="20.10000000000000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2"/>
      <c r="M38" s="1"/>
      <c r="O38" s="53"/>
      <c r="Q38" s="150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2"/>
      <c r="AC38" s="1"/>
      <c r="AE38" s="53"/>
      <c r="AG38" s="150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2"/>
      <c r="AS38" s="1"/>
      <c r="AU38" s="53"/>
      <c r="AW38" s="150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2"/>
      <c r="BI38" s="1"/>
      <c r="BK38" s="53"/>
      <c r="BM38" s="150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2"/>
      <c r="BY38" s="1"/>
      <c r="CA38" s="53"/>
      <c r="CC38" s="150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2"/>
      <c r="CO38" s="1"/>
      <c r="CQ38" s="53"/>
      <c r="CS38" s="150"/>
      <c r="CT38" s="151"/>
      <c r="CU38" s="151"/>
      <c r="CV38" s="151"/>
      <c r="CW38" s="151"/>
      <c r="CX38" s="151"/>
      <c r="CY38" s="151"/>
      <c r="CZ38" s="151"/>
      <c r="DA38" s="151"/>
      <c r="DB38" s="151"/>
      <c r="DC38" s="151"/>
      <c r="DD38" s="152"/>
      <c r="DE38" s="1"/>
      <c r="DG38" s="53"/>
      <c r="DI38" s="150"/>
      <c r="DJ38" s="151"/>
      <c r="DK38" s="151"/>
      <c r="DL38" s="151"/>
      <c r="DM38" s="151"/>
      <c r="DN38" s="151"/>
      <c r="DO38" s="151"/>
      <c r="DP38" s="151"/>
      <c r="DQ38" s="151"/>
      <c r="DR38" s="151"/>
      <c r="DS38" s="151"/>
      <c r="DT38" s="152"/>
      <c r="DU38" s="1"/>
      <c r="DW38" s="53"/>
      <c r="DY38" s="150"/>
      <c r="DZ38" s="151"/>
      <c r="EA38" s="151"/>
      <c r="EB38" s="151"/>
      <c r="EC38" s="151"/>
      <c r="ED38" s="151"/>
      <c r="EE38" s="151"/>
      <c r="EF38" s="151"/>
      <c r="EG38" s="151"/>
      <c r="EH38" s="151"/>
      <c r="EI38" s="151"/>
      <c r="EJ38" s="152"/>
      <c r="EK38" s="1"/>
      <c r="EM38" s="53"/>
      <c r="EO38" s="150"/>
      <c r="EP38" s="151"/>
      <c r="EQ38" s="151"/>
      <c r="ER38" s="151"/>
      <c r="ES38" s="151"/>
      <c r="ET38" s="151"/>
      <c r="EU38" s="151"/>
      <c r="EV38" s="151"/>
      <c r="EW38" s="151"/>
      <c r="EX38" s="151"/>
      <c r="EY38" s="151"/>
      <c r="EZ38" s="152"/>
      <c r="FA38" s="1"/>
      <c r="FC38" s="53"/>
      <c r="FE38" s="150"/>
      <c r="FF38" s="151"/>
      <c r="FG38" s="151"/>
      <c r="FH38" s="151"/>
      <c r="FI38" s="151"/>
      <c r="FJ38" s="151"/>
      <c r="FK38" s="151"/>
      <c r="FL38" s="151"/>
      <c r="FM38" s="151"/>
      <c r="FN38" s="151"/>
      <c r="FO38" s="151"/>
      <c r="FP38" s="152"/>
      <c r="FQ38" s="1"/>
      <c r="FS38" s="53"/>
      <c r="FU38" s="150"/>
      <c r="FV38" s="151"/>
      <c r="FW38" s="151"/>
      <c r="FX38" s="151"/>
      <c r="FY38" s="151"/>
      <c r="FZ38" s="151"/>
      <c r="GA38" s="151"/>
      <c r="GB38" s="151"/>
      <c r="GC38" s="151"/>
      <c r="GD38" s="151"/>
      <c r="GE38" s="151"/>
      <c r="GF38" s="152"/>
      <c r="GG38" s="1"/>
      <c r="GI38" s="53"/>
      <c r="GK38" s="150"/>
      <c r="GL38" s="151"/>
      <c r="GM38" s="151"/>
      <c r="GN38" s="151"/>
      <c r="GO38" s="151"/>
      <c r="GP38" s="151"/>
      <c r="GQ38" s="151"/>
      <c r="GR38" s="151"/>
      <c r="GS38" s="151"/>
      <c r="GT38" s="151"/>
      <c r="GU38" s="151"/>
      <c r="GV38" s="152"/>
      <c r="GW38" s="1"/>
      <c r="GY38" s="53"/>
      <c r="HA38" s="150"/>
      <c r="HB38" s="151"/>
      <c r="HC38" s="151"/>
      <c r="HD38" s="151"/>
      <c r="HE38" s="151"/>
      <c r="HF38" s="151"/>
      <c r="HG38" s="151"/>
      <c r="HH38" s="151"/>
      <c r="HI38" s="151"/>
      <c r="HJ38" s="151"/>
      <c r="HK38" s="151"/>
      <c r="HL38" s="152"/>
      <c r="HM38" s="1"/>
      <c r="HO38" s="53"/>
      <c r="HQ38" s="150"/>
      <c r="HR38" s="151"/>
      <c r="HS38" s="151"/>
      <c r="HT38" s="151"/>
      <c r="HU38" s="151"/>
      <c r="HV38" s="151"/>
      <c r="HW38" s="151"/>
      <c r="HX38" s="151"/>
      <c r="HY38" s="151"/>
      <c r="HZ38" s="151"/>
      <c r="IA38" s="151"/>
      <c r="IB38" s="152"/>
      <c r="IC38" s="1"/>
      <c r="IE38" s="53"/>
      <c r="IG38" s="150"/>
      <c r="IH38" s="151"/>
      <c r="II38" s="151"/>
      <c r="IJ38" s="151"/>
      <c r="IK38" s="151"/>
      <c r="IL38" s="151"/>
      <c r="IM38" s="151"/>
      <c r="IN38" s="151"/>
      <c r="IO38" s="151"/>
      <c r="IP38" s="151"/>
      <c r="IQ38" s="151"/>
      <c r="IR38" s="152"/>
      <c r="IS38" s="1"/>
      <c r="IU38" s="53"/>
      <c r="IW38" s="150"/>
      <c r="IX38" s="151"/>
      <c r="IY38" s="151"/>
      <c r="IZ38" s="151"/>
      <c r="JA38" s="151"/>
      <c r="JB38" s="151"/>
      <c r="JC38" s="151"/>
      <c r="JD38" s="151"/>
      <c r="JE38" s="151"/>
      <c r="JF38" s="151"/>
      <c r="JG38" s="151"/>
      <c r="JH38" s="152"/>
      <c r="JI38" s="1"/>
      <c r="JK38" s="53"/>
      <c r="JM38" s="150"/>
      <c r="JN38" s="151"/>
      <c r="JO38" s="151"/>
      <c r="JP38" s="151"/>
      <c r="JQ38" s="151"/>
      <c r="JR38" s="151"/>
      <c r="JS38" s="151"/>
      <c r="JT38" s="151"/>
      <c r="JU38" s="151"/>
      <c r="JV38" s="151"/>
      <c r="JW38" s="151"/>
      <c r="JX38" s="152"/>
      <c r="JY38" s="1"/>
      <c r="KA38" s="53"/>
      <c r="KC38" s="150"/>
      <c r="KD38" s="151"/>
      <c r="KE38" s="151"/>
      <c r="KF38" s="151"/>
      <c r="KG38" s="151"/>
      <c r="KH38" s="151"/>
      <c r="KI38" s="151"/>
      <c r="KJ38" s="151"/>
      <c r="KK38" s="151"/>
      <c r="KL38" s="151"/>
      <c r="KM38" s="151"/>
      <c r="KN38" s="152"/>
      <c r="KO38" s="1"/>
      <c r="KQ38" s="53"/>
      <c r="KS38" s="150"/>
      <c r="KT38" s="151"/>
      <c r="KU38" s="151"/>
      <c r="KV38" s="151"/>
      <c r="KW38" s="151"/>
      <c r="KX38" s="151"/>
      <c r="KY38" s="151"/>
      <c r="KZ38" s="151"/>
      <c r="LA38" s="151"/>
      <c r="LB38" s="151"/>
      <c r="LC38" s="151"/>
      <c r="LD38" s="152"/>
      <c r="LE38" s="1"/>
      <c r="LG38" s="53"/>
      <c r="LI38" s="150"/>
      <c r="LJ38" s="151"/>
      <c r="LK38" s="151"/>
      <c r="LL38" s="151"/>
      <c r="LM38" s="151"/>
      <c r="LN38" s="151"/>
      <c r="LO38" s="151"/>
      <c r="LP38" s="151"/>
      <c r="LQ38" s="151"/>
      <c r="LR38" s="151"/>
      <c r="LS38" s="151"/>
      <c r="LT38" s="152"/>
      <c r="LU38" s="1"/>
      <c r="LW38" s="53"/>
      <c r="LY38" s="150"/>
      <c r="LZ38" s="151"/>
      <c r="MA38" s="151"/>
      <c r="MB38" s="151"/>
      <c r="MC38" s="151"/>
      <c r="MD38" s="151"/>
      <c r="ME38" s="151"/>
      <c r="MF38" s="151"/>
      <c r="MG38" s="151"/>
      <c r="MH38" s="151"/>
      <c r="MI38" s="151"/>
      <c r="MJ38" s="152"/>
      <c r="MK38" s="1"/>
      <c r="MM38" s="53"/>
    </row>
    <row r="39" spans="1:351" ht="20.10000000000000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2"/>
      <c r="M39" s="1"/>
      <c r="O39" s="53"/>
      <c r="Q39" s="150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2"/>
      <c r="AC39" s="1"/>
      <c r="AE39" s="53"/>
      <c r="AG39" s="150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2"/>
      <c r="AS39" s="1"/>
      <c r="AU39" s="53"/>
      <c r="AW39" s="150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2"/>
      <c r="BI39" s="1"/>
      <c r="BK39" s="53"/>
      <c r="BM39" s="150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2"/>
      <c r="BY39" s="1"/>
      <c r="CA39" s="53"/>
      <c r="CC39" s="150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2"/>
      <c r="CO39" s="1"/>
      <c r="CQ39" s="53"/>
      <c r="CS39" s="150"/>
      <c r="CT39" s="151"/>
      <c r="CU39" s="151"/>
      <c r="CV39" s="151"/>
      <c r="CW39" s="151"/>
      <c r="CX39" s="151"/>
      <c r="CY39" s="151"/>
      <c r="CZ39" s="151"/>
      <c r="DA39" s="151"/>
      <c r="DB39" s="151"/>
      <c r="DC39" s="151"/>
      <c r="DD39" s="152"/>
      <c r="DE39" s="1"/>
      <c r="DG39" s="53"/>
      <c r="DI39" s="150"/>
      <c r="DJ39" s="151"/>
      <c r="DK39" s="151"/>
      <c r="DL39" s="151"/>
      <c r="DM39" s="151"/>
      <c r="DN39" s="151"/>
      <c r="DO39" s="151"/>
      <c r="DP39" s="151"/>
      <c r="DQ39" s="151"/>
      <c r="DR39" s="151"/>
      <c r="DS39" s="151"/>
      <c r="DT39" s="152"/>
      <c r="DU39" s="1"/>
      <c r="DW39" s="53"/>
      <c r="DY39" s="150"/>
      <c r="DZ39" s="151"/>
      <c r="EA39" s="151"/>
      <c r="EB39" s="151"/>
      <c r="EC39" s="151"/>
      <c r="ED39" s="151"/>
      <c r="EE39" s="151"/>
      <c r="EF39" s="151"/>
      <c r="EG39" s="151"/>
      <c r="EH39" s="151"/>
      <c r="EI39" s="151"/>
      <c r="EJ39" s="152"/>
      <c r="EK39" s="1"/>
      <c r="EM39" s="53"/>
      <c r="EO39" s="150"/>
      <c r="EP39" s="151"/>
      <c r="EQ39" s="151"/>
      <c r="ER39" s="151"/>
      <c r="ES39" s="151"/>
      <c r="ET39" s="151"/>
      <c r="EU39" s="151"/>
      <c r="EV39" s="151"/>
      <c r="EW39" s="151"/>
      <c r="EX39" s="151"/>
      <c r="EY39" s="151"/>
      <c r="EZ39" s="152"/>
      <c r="FA39" s="1"/>
      <c r="FC39" s="53"/>
      <c r="FE39" s="150"/>
      <c r="FF39" s="151"/>
      <c r="FG39" s="151"/>
      <c r="FH39" s="151"/>
      <c r="FI39" s="151"/>
      <c r="FJ39" s="151"/>
      <c r="FK39" s="151"/>
      <c r="FL39" s="151"/>
      <c r="FM39" s="151"/>
      <c r="FN39" s="151"/>
      <c r="FO39" s="151"/>
      <c r="FP39" s="152"/>
      <c r="FQ39" s="1"/>
      <c r="FS39" s="53"/>
      <c r="FU39" s="150"/>
      <c r="FV39" s="151"/>
      <c r="FW39" s="151"/>
      <c r="FX39" s="151"/>
      <c r="FY39" s="151"/>
      <c r="FZ39" s="151"/>
      <c r="GA39" s="151"/>
      <c r="GB39" s="151"/>
      <c r="GC39" s="151"/>
      <c r="GD39" s="151"/>
      <c r="GE39" s="151"/>
      <c r="GF39" s="152"/>
      <c r="GG39" s="1"/>
      <c r="GI39" s="53"/>
      <c r="GK39" s="150"/>
      <c r="GL39" s="151"/>
      <c r="GM39" s="151"/>
      <c r="GN39" s="151"/>
      <c r="GO39" s="151"/>
      <c r="GP39" s="151"/>
      <c r="GQ39" s="151"/>
      <c r="GR39" s="151"/>
      <c r="GS39" s="151"/>
      <c r="GT39" s="151"/>
      <c r="GU39" s="151"/>
      <c r="GV39" s="152"/>
      <c r="GW39" s="1"/>
      <c r="GY39" s="53"/>
      <c r="HA39" s="150"/>
      <c r="HB39" s="151"/>
      <c r="HC39" s="151"/>
      <c r="HD39" s="151"/>
      <c r="HE39" s="151"/>
      <c r="HF39" s="151"/>
      <c r="HG39" s="151"/>
      <c r="HH39" s="151"/>
      <c r="HI39" s="151"/>
      <c r="HJ39" s="151"/>
      <c r="HK39" s="151"/>
      <c r="HL39" s="152"/>
      <c r="HM39" s="1"/>
      <c r="HO39" s="53"/>
      <c r="HQ39" s="150"/>
      <c r="HR39" s="151"/>
      <c r="HS39" s="151"/>
      <c r="HT39" s="151"/>
      <c r="HU39" s="151"/>
      <c r="HV39" s="151"/>
      <c r="HW39" s="151"/>
      <c r="HX39" s="151"/>
      <c r="HY39" s="151"/>
      <c r="HZ39" s="151"/>
      <c r="IA39" s="151"/>
      <c r="IB39" s="152"/>
      <c r="IC39" s="1"/>
      <c r="IE39" s="53"/>
      <c r="IG39" s="150"/>
      <c r="IH39" s="151"/>
      <c r="II39" s="151"/>
      <c r="IJ39" s="151"/>
      <c r="IK39" s="151"/>
      <c r="IL39" s="151"/>
      <c r="IM39" s="151"/>
      <c r="IN39" s="151"/>
      <c r="IO39" s="151"/>
      <c r="IP39" s="151"/>
      <c r="IQ39" s="151"/>
      <c r="IR39" s="152"/>
      <c r="IS39" s="1"/>
      <c r="IU39" s="53"/>
      <c r="IW39" s="150"/>
      <c r="IX39" s="151"/>
      <c r="IY39" s="151"/>
      <c r="IZ39" s="151"/>
      <c r="JA39" s="151"/>
      <c r="JB39" s="151"/>
      <c r="JC39" s="151"/>
      <c r="JD39" s="151"/>
      <c r="JE39" s="151"/>
      <c r="JF39" s="151"/>
      <c r="JG39" s="151"/>
      <c r="JH39" s="152"/>
      <c r="JI39" s="1"/>
      <c r="JK39" s="53"/>
      <c r="JM39" s="150"/>
      <c r="JN39" s="151"/>
      <c r="JO39" s="151"/>
      <c r="JP39" s="151"/>
      <c r="JQ39" s="151"/>
      <c r="JR39" s="151"/>
      <c r="JS39" s="151"/>
      <c r="JT39" s="151"/>
      <c r="JU39" s="151"/>
      <c r="JV39" s="151"/>
      <c r="JW39" s="151"/>
      <c r="JX39" s="152"/>
      <c r="JY39" s="1"/>
      <c r="KA39" s="53"/>
      <c r="KC39" s="150"/>
      <c r="KD39" s="151"/>
      <c r="KE39" s="151"/>
      <c r="KF39" s="151"/>
      <c r="KG39" s="151"/>
      <c r="KH39" s="151"/>
      <c r="KI39" s="151"/>
      <c r="KJ39" s="151"/>
      <c r="KK39" s="151"/>
      <c r="KL39" s="151"/>
      <c r="KM39" s="151"/>
      <c r="KN39" s="152"/>
      <c r="KO39" s="1"/>
      <c r="KQ39" s="53"/>
      <c r="KS39" s="150"/>
      <c r="KT39" s="151"/>
      <c r="KU39" s="151"/>
      <c r="KV39" s="151"/>
      <c r="KW39" s="151"/>
      <c r="KX39" s="151"/>
      <c r="KY39" s="151"/>
      <c r="KZ39" s="151"/>
      <c r="LA39" s="151"/>
      <c r="LB39" s="151"/>
      <c r="LC39" s="151"/>
      <c r="LD39" s="152"/>
      <c r="LE39" s="1"/>
      <c r="LG39" s="53"/>
      <c r="LI39" s="150"/>
      <c r="LJ39" s="151"/>
      <c r="LK39" s="151"/>
      <c r="LL39" s="151"/>
      <c r="LM39" s="151"/>
      <c r="LN39" s="151"/>
      <c r="LO39" s="151"/>
      <c r="LP39" s="151"/>
      <c r="LQ39" s="151"/>
      <c r="LR39" s="151"/>
      <c r="LS39" s="151"/>
      <c r="LT39" s="152"/>
      <c r="LU39" s="1"/>
      <c r="LW39" s="53"/>
      <c r="LY39" s="150"/>
      <c r="LZ39" s="151"/>
      <c r="MA39" s="151"/>
      <c r="MB39" s="151"/>
      <c r="MC39" s="151"/>
      <c r="MD39" s="151"/>
      <c r="ME39" s="151"/>
      <c r="MF39" s="151"/>
      <c r="MG39" s="151"/>
      <c r="MH39" s="151"/>
      <c r="MI39" s="151"/>
      <c r="MJ39" s="152"/>
      <c r="MK39" s="1"/>
      <c r="MM39" s="53"/>
    </row>
    <row r="40" spans="1:351" ht="20.10000000000000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2"/>
      <c r="M40" s="1"/>
      <c r="O40" s="53"/>
      <c r="Q40" s="150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2"/>
      <c r="AC40" s="1"/>
      <c r="AE40" s="53"/>
      <c r="AG40" s="150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2"/>
      <c r="AS40" s="1"/>
      <c r="AU40" s="53"/>
      <c r="AW40" s="150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2"/>
      <c r="BI40" s="1"/>
      <c r="BK40" s="53"/>
      <c r="BM40" s="150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2"/>
      <c r="BY40" s="1"/>
      <c r="CA40" s="53"/>
      <c r="CC40" s="150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2"/>
      <c r="CO40" s="1"/>
      <c r="CQ40" s="53"/>
      <c r="CS40" s="150"/>
      <c r="CT40" s="151"/>
      <c r="CU40" s="151"/>
      <c r="CV40" s="151"/>
      <c r="CW40" s="151"/>
      <c r="CX40" s="151"/>
      <c r="CY40" s="151"/>
      <c r="CZ40" s="151"/>
      <c r="DA40" s="151"/>
      <c r="DB40" s="151"/>
      <c r="DC40" s="151"/>
      <c r="DD40" s="152"/>
      <c r="DE40" s="1"/>
      <c r="DG40" s="53"/>
      <c r="DI40" s="150"/>
      <c r="DJ40" s="151"/>
      <c r="DK40" s="151"/>
      <c r="DL40" s="151"/>
      <c r="DM40" s="151"/>
      <c r="DN40" s="151"/>
      <c r="DO40" s="151"/>
      <c r="DP40" s="151"/>
      <c r="DQ40" s="151"/>
      <c r="DR40" s="151"/>
      <c r="DS40" s="151"/>
      <c r="DT40" s="152"/>
      <c r="DU40" s="1"/>
      <c r="DW40" s="53"/>
      <c r="DY40" s="150"/>
      <c r="DZ40" s="151"/>
      <c r="EA40" s="151"/>
      <c r="EB40" s="151"/>
      <c r="EC40" s="151"/>
      <c r="ED40" s="151"/>
      <c r="EE40" s="151"/>
      <c r="EF40" s="151"/>
      <c r="EG40" s="151"/>
      <c r="EH40" s="151"/>
      <c r="EI40" s="151"/>
      <c r="EJ40" s="152"/>
      <c r="EK40" s="1"/>
      <c r="EM40" s="53"/>
      <c r="EO40" s="150"/>
      <c r="EP40" s="151"/>
      <c r="EQ40" s="151"/>
      <c r="ER40" s="151"/>
      <c r="ES40" s="151"/>
      <c r="ET40" s="151"/>
      <c r="EU40" s="151"/>
      <c r="EV40" s="151"/>
      <c r="EW40" s="151"/>
      <c r="EX40" s="151"/>
      <c r="EY40" s="151"/>
      <c r="EZ40" s="152"/>
      <c r="FA40" s="1"/>
      <c r="FC40" s="53"/>
      <c r="FE40" s="150"/>
      <c r="FF40" s="151"/>
      <c r="FG40" s="151"/>
      <c r="FH40" s="151"/>
      <c r="FI40" s="151"/>
      <c r="FJ40" s="151"/>
      <c r="FK40" s="151"/>
      <c r="FL40" s="151"/>
      <c r="FM40" s="151"/>
      <c r="FN40" s="151"/>
      <c r="FO40" s="151"/>
      <c r="FP40" s="152"/>
      <c r="FQ40" s="1"/>
      <c r="FS40" s="53"/>
      <c r="FU40" s="150"/>
      <c r="FV40" s="151"/>
      <c r="FW40" s="151"/>
      <c r="FX40" s="151"/>
      <c r="FY40" s="151"/>
      <c r="FZ40" s="151"/>
      <c r="GA40" s="151"/>
      <c r="GB40" s="151"/>
      <c r="GC40" s="151"/>
      <c r="GD40" s="151"/>
      <c r="GE40" s="151"/>
      <c r="GF40" s="152"/>
      <c r="GG40" s="1"/>
      <c r="GI40" s="53"/>
      <c r="GK40" s="150"/>
      <c r="GL40" s="151"/>
      <c r="GM40" s="151"/>
      <c r="GN40" s="151"/>
      <c r="GO40" s="151"/>
      <c r="GP40" s="151"/>
      <c r="GQ40" s="151"/>
      <c r="GR40" s="151"/>
      <c r="GS40" s="151"/>
      <c r="GT40" s="151"/>
      <c r="GU40" s="151"/>
      <c r="GV40" s="152"/>
      <c r="GW40" s="1"/>
      <c r="GY40" s="53"/>
      <c r="HA40" s="150"/>
      <c r="HB40" s="151"/>
      <c r="HC40" s="151"/>
      <c r="HD40" s="151"/>
      <c r="HE40" s="151"/>
      <c r="HF40" s="151"/>
      <c r="HG40" s="151"/>
      <c r="HH40" s="151"/>
      <c r="HI40" s="151"/>
      <c r="HJ40" s="151"/>
      <c r="HK40" s="151"/>
      <c r="HL40" s="152"/>
      <c r="HM40" s="1"/>
      <c r="HO40" s="53"/>
      <c r="HQ40" s="150"/>
      <c r="HR40" s="151"/>
      <c r="HS40" s="151"/>
      <c r="HT40" s="151"/>
      <c r="HU40" s="151"/>
      <c r="HV40" s="151"/>
      <c r="HW40" s="151"/>
      <c r="HX40" s="151"/>
      <c r="HY40" s="151"/>
      <c r="HZ40" s="151"/>
      <c r="IA40" s="151"/>
      <c r="IB40" s="152"/>
      <c r="IC40" s="1"/>
      <c r="IE40" s="53"/>
      <c r="IG40" s="150"/>
      <c r="IH40" s="151"/>
      <c r="II40" s="151"/>
      <c r="IJ40" s="151"/>
      <c r="IK40" s="151"/>
      <c r="IL40" s="151"/>
      <c r="IM40" s="151"/>
      <c r="IN40" s="151"/>
      <c r="IO40" s="151"/>
      <c r="IP40" s="151"/>
      <c r="IQ40" s="151"/>
      <c r="IR40" s="152"/>
      <c r="IS40" s="1"/>
      <c r="IU40" s="53"/>
      <c r="IW40" s="150"/>
      <c r="IX40" s="151"/>
      <c r="IY40" s="151"/>
      <c r="IZ40" s="151"/>
      <c r="JA40" s="151"/>
      <c r="JB40" s="151"/>
      <c r="JC40" s="151"/>
      <c r="JD40" s="151"/>
      <c r="JE40" s="151"/>
      <c r="JF40" s="151"/>
      <c r="JG40" s="151"/>
      <c r="JH40" s="152"/>
      <c r="JI40" s="1"/>
      <c r="JK40" s="53"/>
      <c r="JM40" s="150"/>
      <c r="JN40" s="151"/>
      <c r="JO40" s="151"/>
      <c r="JP40" s="151"/>
      <c r="JQ40" s="151"/>
      <c r="JR40" s="151"/>
      <c r="JS40" s="151"/>
      <c r="JT40" s="151"/>
      <c r="JU40" s="151"/>
      <c r="JV40" s="151"/>
      <c r="JW40" s="151"/>
      <c r="JX40" s="152"/>
      <c r="JY40" s="1"/>
      <c r="KA40" s="53"/>
      <c r="KC40" s="150"/>
      <c r="KD40" s="151"/>
      <c r="KE40" s="151"/>
      <c r="KF40" s="151"/>
      <c r="KG40" s="151"/>
      <c r="KH40" s="151"/>
      <c r="KI40" s="151"/>
      <c r="KJ40" s="151"/>
      <c r="KK40" s="151"/>
      <c r="KL40" s="151"/>
      <c r="KM40" s="151"/>
      <c r="KN40" s="152"/>
      <c r="KO40" s="1"/>
      <c r="KQ40" s="53"/>
      <c r="KS40" s="150"/>
      <c r="KT40" s="151"/>
      <c r="KU40" s="151"/>
      <c r="KV40" s="151"/>
      <c r="KW40" s="151"/>
      <c r="KX40" s="151"/>
      <c r="KY40" s="151"/>
      <c r="KZ40" s="151"/>
      <c r="LA40" s="151"/>
      <c r="LB40" s="151"/>
      <c r="LC40" s="151"/>
      <c r="LD40" s="152"/>
      <c r="LE40" s="1"/>
      <c r="LG40" s="53"/>
      <c r="LI40" s="150"/>
      <c r="LJ40" s="151"/>
      <c r="LK40" s="151"/>
      <c r="LL40" s="151"/>
      <c r="LM40" s="151"/>
      <c r="LN40" s="151"/>
      <c r="LO40" s="151"/>
      <c r="LP40" s="151"/>
      <c r="LQ40" s="151"/>
      <c r="LR40" s="151"/>
      <c r="LS40" s="151"/>
      <c r="LT40" s="152"/>
      <c r="LU40" s="1"/>
      <c r="LW40" s="53"/>
      <c r="LY40" s="150"/>
      <c r="LZ40" s="151"/>
      <c r="MA40" s="151"/>
      <c r="MB40" s="151"/>
      <c r="MC40" s="151"/>
      <c r="MD40" s="151"/>
      <c r="ME40" s="151"/>
      <c r="MF40" s="151"/>
      <c r="MG40" s="151"/>
      <c r="MH40" s="151"/>
      <c r="MI40" s="151"/>
      <c r="MJ40" s="152"/>
      <c r="MK40" s="1"/>
      <c r="MM40" s="53"/>
    </row>
    <row r="41" spans="1:351" ht="20.10000000000000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5"/>
      <c r="M41" s="1"/>
      <c r="O41" s="53"/>
      <c r="Q41" s="153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5"/>
      <c r="AC41" s="1"/>
      <c r="AE41" s="53"/>
      <c r="AG41" s="153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5"/>
      <c r="AS41" s="1"/>
      <c r="AU41" s="53"/>
      <c r="AW41" s="153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5"/>
      <c r="BI41" s="1"/>
      <c r="BK41" s="53"/>
      <c r="BM41" s="153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5"/>
      <c r="BY41" s="1"/>
      <c r="CA41" s="53"/>
      <c r="CC41" s="153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5"/>
      <c r="CO41" s="1"/>
      <c r="CQ41" s="53"/>
      <c r="CS41" s="153"/>
      <c r="CT41" s="154"/>
      <c r="CU41" s="154"/>
      <c r="CV41" s="154"/>
      <c r="CW41" s="154"/>
      <c r="CX41" s="154"/>
      <c r="CY41" s="154"/>
      <c r="CZ41" s="154"/>
      <c r="DA41" s="154"/>
      <c r="DB41" s="154"/>
      <c r="DC41" s="154"/>
      <c r="DD41" s="155"/>
      <c r="DE41" s="1"/>
      <c r="DG41" s="53"/>
      <c r="DI41" s="153"/>
      <c r="DJ41" s="154"/>
      <c r="DK41" s="154"/>
      <c r="DL41" s="154"/>
      <c r="DM41" s="154"/>
      <c r="DN41" s="154"/>
      <c r="DO41" s="154"/>
      <c r="DP41" s="154"/>
      <c r="DQ41" s="154"/>
      <c r="DR41" s="154"/>
      <c r="DS41" s="154"/>
      <c r="DT41" s="155"/>
      <c r="DU41" s="1"/>
      <c r="DW41" s="53"/>
      <c r="DY41" s="153"/>
      <c r="DZ41" s="154"/>
      <c r="EA41" s="154"/>
      <c r="EB41" s="154"/>
      <c r="EC41" s="154"/>
      <c r="ED41" s="154"/>
      <c r="EE41" s="154"/>
      <c r="EF41" s="154"/>
      <c r="EG41" s="154"/>
      <c r="EH41" s="154"/>
      <c r="EI41" s="154"/>
      <c r="EJ41" s="155"/>
      <c r="EK41" s="1"/>
      <c r="EM41" s="53"/>
      <c r="EO41" s="153"/>
      <c r="EP41" s="154"/>
      <c r="EQ41" s="154"/>
      <c r="ER41" s="154"/>
      <c r="ES41" s="154"/>
      <c r="ET41" s="154"/>
      <c r="EU41" s="154"/>
      <c r="EV41" s="154"/>
      <c r="EW41" s="154"/>
      <c r="EX41" s="154"/>
      <c r="EY41" s="154"/>
      <c r="EZ41" s="155"/>
      <c r="FA41" s="1"/>
      <c r="FC41" s="53"/>
      <c r="FE41" s="153"/>
      <c r="FF41" s="154"/>
      <c r="FG41" s="154"/>
      <c r="FH41" s="154"/>
      <c r="FI41" s="154"/>
      <c r="FJ41" s="154"/>
      <c r="FK41" s="154"/>
      <c r="FL41" s="154"/>
      <c r="FM41" s="154"/>
      <c r="FN41" s="154"/>
      <c r="FO41" s="154"/>
      <c r="FP41" s="155"/>
      <c r="FQ41" s="1"/>
      <c r="FS41" s="53"/>
      <c r="FU41" s="153"/>
      <c r="FV41" s="154"/>
      <c r="FW41" s="154"/>
      <c r="FX41" s="154"/>
      <c r="FY41" s="154"/>
      <c r="FZ41" s="154"/>
      <c r="GA41" s="154"/>
      <c r="GB41" s="154"/>
      <c r="GC41" s="154"/>
      <c r="GD41" s="154"/>
      <c r="GE41" s="154"/>
      <c r="GF41" s="155"/>
      <c r="GG41" s="1"/>
      <c r="GI41" s="53"/>
      <c r="GK41" s="153"/>
      <c r="GL41" s="154"/>
      <c r="GM41" s="154"/>
      <c r="GN41" s="154"/>
      <c r="GO41" s="154"/>
      <c r="GP41" s="154"/>
      <c r="GQ41" s="154"/>
      <c r="GR41" s="154"/>
      <c r="GS41" s="154"/>
      <c r="GT41" s="154"/>
      <c r="GU41" s="154"/>
      <c r="GV41" s="155"/>
      <c r="GW41" s="1"/>
      <c r="GY41" s="53"/>
      <c r="HA41" s="153"/>
      <c r="HB41" s="154"/>
      <c r="HC41" s="154"/>
      <c r="HD41" s="154"/>
      <c r="HE41" s="154"/>
      <c r="HF41" s="154"/>
      <c r="HG41" s="154"/>
      <c r="HH41" s="154"/>
      <c r="HI41" s="154"/>
      <c r="HJ41" s="154"/>
      <c r="HK41" s="154"/>
      <c r="HL41" s="155"/>
      <c r="HM41" s="1"/>
      <c r="HO41" s="53"/>
      <c r="HQ41" s="153"/>
      <c r="HR41" s="154"/>
      <c r="HS41" s="154"/>
      <c r="HT41" s="154"/>
      <c r="HU41" s="154"/>
      <c r="HV41" s="154"/>
      <c r="HW41" s="154"/>
      <c r="HX41" s="154"/>
      <c r="HY41" s="154"/>
      <c r="HZ41" s="154"/>
      <c r="IA41" s="154"/>
      <c r="IB41" s="155"/>
      <c r="IC41" s="1"/>
      <c r="IE41" s="53"/>
      <c r="IG41" s="153"/>
      <c r="IH41" s="154"/>
      <c r="II41" s="154"/>
      <c r="IJ41" s="154"/>
      <c r="IK41" s="154"/>
      <c r="IL41" s="154"/>
      <c r="IM41" s="154"/>
      <c r="IN41" s="154"/>
      <c r="IO41" s="154"/>
      <c r="IP41" s="154"/>
      <c r="IQ41" s="154"/>
      <c r="IR41" s="155"/>
      <c r="IS41" s="1"/>
      <c r="IU41" s="53"/>
      <c r="IW41" s="153"/>
      <c r="IX41" s="154"/>
      <c r="IY41" s="154"/>
      <c r="IZ41" s="154"/>
      <c r="JA41" s="154"/>
      <c r="JB41" s="154"/>
      <c r="JC41" s="154"/>
      <c r="JD41" s="154"/>
      <c r="JE41" s="154"/>
      <c r="JF41" s="154"/>
      <c r="JG41" s="154"/>
      <c r="JH41" s="155"/>
      <c r="JI41" s="1"/>
      <c r="JK41" s="53"/>
      <c r="JM41" s="153"/>
      <c r="JN41" s="154"/>
      <c r="JO41" s="154"/>
      <c r="JP41" s="154"/>
      <c r="JQ41" s="154"/>
      <c r="JR41" s="154"/>
      <c r="JS41" s="154"/>
      <c r="JT41" s="154"/>
      <c r="JU41" s="154"/>
      <c r="JV41" s="154"/>
      <c r="JW41" s="154"/>
      <c r="JX41" s="155"/>
      <c r="JY41" s="1"/>
      <c r="KA41" s="53"/>
      <c r="KC41" s="153"/>
      <c r="KD41" s="154"/>
      <c r="KE41" s="154"/>
      <c r="KF41" s="154"/>
      <c r="KG41" s="154"/>
      <c r="KH41" s="154"/>
      <c r="KI41" s="154"/>
      <c r="KJ41" s="154"/>
      <c r="KK41" s="154"/>
      <c r="KL41" s="154"/>
      <c r="KM41" s="154"/>
      <c r="KN41" s="155"/>
      <c r="KO41" s="1"/>
      <c r="KQ41" s="53"/>
      <c r="KS41" s="153"/>
      <c r="KT41" s="154"/>
      <c r="KU41" s="154"/>
      <c r="KV41" s="154"/>
      <c r="KW41" s="154"/>
      <c r="KX41" s="154"/>
      <c r="KY41" s="154"/>
      <c r="KZ41" s="154"/>
      <c r="LA41" s="154"/>
      <c r="LB41" s="154"/>
      <c r="LC41" s="154"/>
      <c r="LD41" s="155"/>
      <c r="LE41" s="1"/>
      <c r="LG41" s="53"/>
      <c r="LI41" s="153"/>
      <c r="LJ41" s="154"/>
      <c r="LK41" s="154"/>
      <c r="LL41" s="154"/>
      <c r="LM41" s="154"/>
      <c r="LN41" s="154"/>
      <c r="LO41" s="154"/>
      <c r="LP41" s="154"/>
      <c r="LQ41" s="154"/>
      <c r="LR41" s="154"/>
      <c r="LS41" s="154"/>
      <c r="LT41" s="155"/>
      <c r="LU41" s="1"/>
      <c r="LW41" s="53"/>
      <c r="LY41" s="153"/>
      <c r="LZ41" s="154"/>
      <c r="MA41" s="154"/>
      <c r="MB41" s="154"/>
      <c r="MC41" s="154"/>
      <c r="MD41" s="154"/>
      <c r="ME41" s="154"/>
      <c r="MF41" s="154"/>
      <c r="MG41" s="154"/>
      <c r="MH41" s="154"/>
      <c r="MI41" s="154"/>
      <c r="MJ41" s="155"/>
      <c r="MK41" s="1"/>
      <c r="MM41" s="53"/>
    </row>
    <row r="42" spans="1:351" ht="20.100000000000001" customHeight="1" x14ac:dyDescent="0.3">
      <c r="A42" s="156" t="s">
        <v>37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8"/>
      <c r="M42" s="1"/>
      <c r="O42" s="53"/>
      <c r="Q42" s="156" t="s">
        <v>37</v>
      </c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8"/>
      <c r="AC42" s="1"/>
      <c r="AE42" s="53"/>
      <c r="AG42" s="156" t="s">
        <v>37</v>
      </c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8"/>
      <c r="AS42" s="1"/>
      <c r="AU42" s="53"/>
      <c r="AW42" s="156" t="s">
        <v>37</v>
      </c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8"/>
      <c r="BI42" s="1"/>
      <c r="BK42" s="53"/>
      <c r="BM42" s="156" t="s">
        <v>37</v>
      </c>
      <c r="BN42" s="157"/>
      <c r="BO42" s="157"/>
      <c r="BP42" s="157"/>
      <c r="BQ42" s="157"/>
      <c r="BR42" s="157"/>
      <c r="BS42" s="157"/>
      <c r="BT42" s="157"/>
      <c r="BU42" s="157"/>
      <c r="BV42" s="157"/>
      <c r="BW42" s="157"/>
      <c r="BX42" s="158"/>
      <c r="BY42" s="1"/>
      <c r="CA42" s="53"/>
      <c r="CC42" s="156" t="s">
        <v>37</v>
      </c>
      <c r="CD42" s="157"/>
      <c r="CE42" s="157"/>
      <c r="CF42" s="157"/>
      <c r="CG42" s="157"/>
      <c r="CH42" s="157"/>
      <c r="CI42" s="157"/>
      <c r="CJ42" s="157"/>
      <c r="CK42" s="157"/>
      <c r="CL42" s="157"/>
      <c r="CM42" s="157"/>
      <c r="CN42" s="158"/>
      <c r="CO42" s="1"/>
      <c r="CQ42" s="53"/>
      <c r="CS42" s="156" t="s">
        <v>37</v>
      </c>
      <c r="CT42" s="157"/>
      <c r="CU42" s="157"/>
      <c r="CV42" s="157"/>
      <c r="CW42" s="157"/>
      <c r="CX42" s="157"/>
      <c r="CY42" s="157"/>
      <c r="CZ42" s="157"/>
      <c r="DA42" s="157"/>
      <c r="DB42" s="157"/>
      <c r="DC42" s="157"/>
      <c r="DD42" s="158"/>
      <c r="DE42" s="1"/>
      <c r="DG42" s="53"/>
      <c r="DI42" s="156" t="s">
        <v>37</v>
      </c>
      <c r="DJ42" s="157"/>
      <c r="DK42" s="157"/>
      <c r="DL42" s="157"/>
      <c r="DM42" s="157"/>
      <c r="DN42" s="157"/>
      <c r="DO42" s="157"/>
      <c r="DP42" s="157"/>
      <c r="DQ42" s="157"/>
      <c r="DR42" s="157"/>
      <c r="DS42" s="157"/>
      <c r="DT42" s="158"/>
      <c r="DU42" s="1"/>
      <c r="DW42" s="53"/>
      <c r="DY42" s="156" t="s">
        <v>37</v>
      </c>
      <c r="DZ42" s="157"/>
      <c r="EA42" s="157"/>
      <c r="EB42" s="157"/>
      <c r="EC42" s="157"/>
      <c r="ED42" s="157"/>
      <c r="EE42" s="157"/>
      <c r="EF42" s="157"/>
      <c r="EG42" s="157"/>
      <c r="EH42" s="157"/>
      <c r="EI42" s="157"/>
      <c r="EJ42" s="158"/>
      <c r="EK42" s="1"/>
      <c r="EM42" s="53"/>
      <c r="EO42" s="156" t="s">
        <v>37</v>
      </c>
      <c r="EP42" s="157"/>
      <c r="EQ42" s="157"/>
      <c r="ER42" s="157"/>
      <c r="ES42" s="157"/>
      <c r="ET42" s="157"/>
      <c r="EU42" s="157"/>
      <c r="EV42" s="157"/>
      <c r="EW42" s="157"/>
      <c r="EX42" s="157"/>
      <c r="EY42" s="157"/>
      <c r="EZ42" s="158"/>
      <c r="FA42" s="1"/>
      <c r="FC42" s="53"/>
      <c r="FE42" s="156" t="s">
        <v>37</v>
      </c>
      <c r="FF42" s="157"/>
      <c r="FG42" s="157"/>
      <c r="FH42" s="157"/>
      <c r="FI42" s="157"/>
      <c r="FJ42" s="157"/>
      <c r="FK42" s="157"/>
      <c r="FL42" s="157"/>
      <c r="FM42" s="157"/>
      <c r="FN42" s="157"/>
      <c r="FO42" s="157"/>
      <c r="FP42" s="158"/>
      <c r="FQ42" s="1"/>
      <c r="FS42" s="53"/>
      <c r="FU42" s="156" t="s">
        <v>37</v>
      </c>
      <c r="FV42" s="157"/>
      <c r="FW42" s="157"/>
      <c r="FX42" s="157"/>
      <c r="FY42" s="157"/>
      <c r="FZ42" s="157"/>
      <c r="GA42" s="157"/>
      <c r="GB42" s="157"/>
      <c r="GC42" s="157"/>
      <c r="GD42" s="157"/>
      <c r="GE42" s="157"/>
      <c r="GF42" s="158"/>
      <c r="GG42" s="1"/>
      <c r="GI42" s="53"/>
      <c r="GK42" s="156" t="s">
        <v>37</v>
      </c>
      <c r="GL42" s="157"/>
      <c r="GM42" s="157"/>
      <c r="GN42" s="157"/>
      <c r="GO42" s="157"/>
      <c r="GP42" s="157"/>
      <c r="GQ42" s="157"/>
      <c r="GR42" s="157"/>
      <c r="GS42" s="157"/>
      <c r="GT42" s="157"/>
      <c r="GU42" s="157"/>
      <c r="GV42" s="158"/>
      <c r="GW42" s="1"/>
      <c r="GY42" s="53"/>
      <c r="HA42" s="156" t="s">
        <v>37</v>
      </c>
      <c r="HB42" s="157"/>
      <c r="HC42" s="157"/>
      <c r="HD42" s="157"/>
      <c r="HE42" s="157"/>
      <c r="HF42" s="157"/>
      <c r="HG42" s="157"/>
      <c r="HH42" s="157"/>
      <c r="HI42" s="157"/>
      <c r="HJ42" s="157"/>
      <c r="HK42" s="157"/>
      <c r="HL42" s="158"/>
      <c r="HM42" s="1"/>
      <c r="HO42" s="53"/>
      <c r="HQ42" s="156" t="s">
        <v>37</v>
      </c>
      <c r="HR42" s="157"/>
      <c r="HS42" s="157"/>
      <c r="HT42" s="157"/>
      <c r="HU42" s="157"/>
      <c r="HV42" s="157"/>
      <c r="HW42" s="157"/>
      <c r="HX42" s="157"/>
      <c r="HY42" s="157"/>
      <c r="HZ42" s="157"/>
      <c r="IA42" s="157"/>
      <c r="IB42" s="158"/>
      <c r="IC42" s="1"/>
      <c r="IE42" s="53"/>
      <c r="IG42" s="156" t="s">
        <v>37</v>
      </c>
      <c r="IH42" s="157"/>
      <c r="II42" s="157"/>
      <c r="IJ42" s="157"/>
      <c r="IK42" s="157"/>
      <c r="IL42" s="157"/>
      <c r="IM42" s="157"/>
      <c r="IN42" s="157"/>
      <c r="IO42" s="157"/>
      <c r="IP42" s="157"/>
      <c r="IQ42" s="157"/>
      <c r="IR42" s="158"/>
      <c r="IS42" s="1"/>
      <c r="IU42" s="53"/>
      <c r="IW42" s="156" t="s">
        <v>37</v>
      </c>
      <c r="IX42" s="157"/>
      <c r="IY42" s="157"/>
      <c r="IZ42" s="157"/>
      <c r="JA42" s="157"/>
      <c r="JB42" s="157"/>
      <c r="JC42" s="157"/>
      <c r="JD42" s="157"/>
      <c r="JE42" s="157"/>
      <c r="JF42" s="157"/>
      <c r="JG42" s="157"/>
      <c r="JH42" s="158"/>
      <c r="JI42" s="1"/>
      <c r="JK42" s="53"/>
      <c r="JM42" s="156" t="s">
        <v>37</v>
      </c>
      <c r="JN42" s="157"/>
      <c r="JO42" s="157"/>
      <c r="JP42" s="157"/>
      <c r="JQ42" s="157"/>
      <c r="JR42" s="157"/>
      <c r="JS42" s="157"/>
      <c r="JT42" s="157"/>
      <c r="JU42" s="157"/>
      <c r="JV42" s="157"/>
      <c r="JW42" s="157"/>
      <c r="JX42" s="158"/>
      <c r="JY42" s="1"/>
      <c r="KA42" s="53"/>
      <c r="KC42" s="156" t="s">
        <v>37</v>
      </c>
      <c r="KD42" s="157"/>
      <c r="KE42" s="157"/>
      <c r="KF42" s="157"/>
      <c r="KG42" s="157"/>
      <c r="KH42" s="157"/>
      <c r="KI42" s="157"/>
      <c r="KJ42" s="157"/>
      <c r="KK42" s="157"/>
      <c r="KL42" s="157"/>
      <c r="KM42" s="157"/>
      <c r="KN42" s="158"/>
      <c r="KO42" s="1"/>
      <c r="KQ42" s="53"/>
      <c r="KS42" s="156" t="s">
        <v>37</v>
      </c>
      <c r="KT42" s="157"/>
      <c r="KU42" s="157"/>
      <c r="KV42" s="157"/>
      <c r="KW42" s="157"/>
      <c r="KX42" s="157"/>
      <c r="KY42" s="157"/>
      <c r="KZ42" s="157"/>
      <c r="LA42" s="157"/>
      <c r="LB42" s="157"/>
      <c r="LC42" s="157"/>
      <c r="LD42" s="158"/>
      <c r="LE42" s="1"/>
      <c r="LG42" s="53"/>
      <c r="LI42" s="156" t="s">
        <v>37</v>
      </c>
      <c r="LJ42" s="157"/>
      <c r="LK42" s="157"/>
      <c r="LL42" s="157"/>
      <c r="LM42" s="157"/>
      <c r="LN42" s="157"/>
      <c r="LO42" s="157"/>
      <c r="LP42" s="157"/>
      <c r="LQ42" s="157"/>
      <c r="LR42" s="157"/>
      <c r="LS42" s="157"/>
      <c r="LT42" s="158"/>
      <c r="LU42" s="1"/>
      <c r="LW42" s="53"/>
      <c r="LY42" s="156" t="s">
        <v>37</v>
      </c>
      <c r="LZ42" s="157"/>
      <c r="MA42" s="157"/>
      <c r="MB42" s="157"/>
      <c r="MC42" s="157"/>
      <c r="MD42" s="157"/>
      <c r="ME42" s="157"/>
      <c r="MF42" s="157"/>
      <c r="MG42" s="157"/>
      <c r="MH42" s="157"/>
      <c r="MI42" s="157"/>
      <c r="MJ42" s="158"/>
      <c r="MK42" s="1"/>
      <c r="MM42" s="53"/>
    </row>
    <row r="43" spans="1:351" ht="20.100000000000001" customHeight="1" x14ac:dyDescent="0.3">
      <c r="A43" s="156" t="s">
        <v>38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8"/>
      <c r="M43" s="1"/>
      <c r="O43" s="53"/>
      <c r="Q43" s="156" t="s">
        <v>38</v>
      </c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8"/>
      <c r="AC43" s="1"/>
      <c r="AE43" s="53"/>
      <c r="AG43" s="156" t="s">
        <v>38</v>
      </c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8"/>
      <c r="AS43" s="1"/>
      <c r="AU43" s="53"/>
      <c r="AW43" s="156" t="s">
        <v>38</v>
      </c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8"/>
      <c r="BI43" s="1"/>
      <c r="BK43" s="53"/>
      <c r="BM43" s="156" t="s">
        <v>38</v>
      </c>
      <c r="BN43" s="157"/>
      <c r="BO43" s="157"/>
      <c r="BP43" s="157"/>
      <c r="BQ43" s="157"/>
      <c r="BR43" s="157"/>
      <c r="BS43" s="157"/>
      <c r="BT43" s="157"/>
      <c r="BU43" s="157"/>
      <c r="BV43" s="157"/>
      <c r="BW43" s="157"/>
      <c r="BX43" s="158"/>
      <c r="BY43" s="1"/>
      <c r="CA43" s="53"/>
      <c r="CC43" s="156" t="s">
        <v>38</v>
      </c>
      <c r="CD43" s="157"/>
      <c r="CE43" s="157"/>
      <c r="CF43" s="157"/>
      <c r="CG43" s="157"/>
      <c r="CH43" s="157"/>
      <c r="CI43" s="157"/>
      <c r="CJ43" s="157"/>
      <c r="CK43" s="157"/>
      <c r="CL43" s="157"/>
      <c r="CM43" s="157"/>
      <c r="CN43" s="158"/>
      <c r="CO43" s="1"/>
      <c r="CQ43" s="53"/>
      <c r="CS43" s="156" t="s">
        <v>38</v>
      </c>
      <c r="CT43" s="157"/>
      <c r="CU43" s="157"/>
      <c r="CV43" s="157"/>
      <c r="CW43" s="157"/>
      <c r="CX43" s="157"/>
      <c r="CY43" s="157"/>
      <c r="CZ43" s="157"/>
      <c r="DA43" s="157"/>
      <c r="DB43" s="157"/>
      <c r="DC43" s="157"/>
      <c r="DD43" s="158"/>
      <c r="DE43" s="1"/>
      <c r="DG43" s="53"/>
      <c r="DI43" s="156" t="s">
        <v>38</v>
      </c>
      <c r="DJ43" s="157"/>
      <c r="DK43" s="157"/>
      <c r="DL43" s="157"/>
      <c r="DM43" s="157"/>
      <c r="DN43" s="157"/>
      <c r="DO43" s="157"/>
      <c r="DP43" s="157"/>
      <c r="DQ43" s="157"/>
      <c r="DR43" s="157"/>
      <c r="DS43" s="157"/>
      <c r="DT43" s="158"/>
      <c r="DU43" s="1"/>
      <c r="DW43" s="53"/>
      <c r="DY43" s="156" t="s">
        <v>38</v>
      </c>
      <c r="DZ43" s="157"/>
      <c r="EA43" s="157"/>
      <c r="EB43" s="157"/>
      <c r="EC43" s="157"/>
      <c r="ED43" s="157"/>
      <c r="EE43" s="157"/>
      <c r="EF43" s="157"/>
      <c r="EG43" s="157"/>
      <c r="EH43" s="157"/>
      <c r="EI43" s="157"/>
      <c r="EJ43" s="158"/>
      <c r="EK43" s="1"/>
      <c r="EM43" s="53"/>
      <c r="EO43" s="156" t="s">
        <v>38</v>
      </c>
      <c r="EP43" s="157"/>
      <c r="EQ43" s="157"/>
      <c r="ER43" s="157"/>
      <c r="ES43" s="157"/>
      <c r="ET43" s="157"/>
      <c r="EU43" s="157"/>
      <c r="EV43" s="157"/>
      <c r="EW43" s="157"/>
      <c r="EX43" s="157"/>
      <c r="EY43" s="157"/>
      <c r="EZ43" s="158"/>
      <c r="FA43" s="1"/>
      <c r="FC43" s="53"/>
      <c r="FE43" s="156" t="s">
        <v>38</v>
      </c>
      <c r="FF43" s="157"/>
      <c r="FG43" s="157"/>
      <c r="FH43" s="157"/>
      <c r="FI43" s="157"/>
      <c r="FJ43" s="157"/>
      <c r="FK43" s="157"/>
      <c r="FL43" s="157"/>
      <c r="FM43" s="157"/>
      <c r="FN43" s="157"/>
      <c r="FO43" s="157"/>
      <c r="FP43" s="158"/>
      <c r="FQ43" s="1"/>
      <c r="FS43" s="53"/>
      <c r="FU43" s="156" t="s">
        <v>38</v>
      </c>
      <c r="FV43" s="157"/>
      <c r="FW43" s="157"/>
      <c r="FX43" s="157"/>
      <c r="FY43" s="157"/>
      <c r="FZ43" s="157"/>
      <c r="GA43" s="157"/>
      <c r="GB43" s="157"/>
      <c r="GC43" s="157"/>
      <c r="GD43" s="157"/>
      <c r="GE43" s="157"/>
      <c r="GF43" s="158"/>
      <c r="GG43" s="1"/>
      <c r="GI43" s="53"/>
      <c r="GK43" s="156" t="s">
        <v>38</v>
      </c>
      <c r="GL43" s="157"/>
      <c r="GM43" s="157"/>
      <c r="GN43" s="157"/>
      <c r="GO43" s="157"/>
      <c r="GP43" s="157"/>
      <c r="GQ43" s="157"/>
      <c r="GR43" s="157"/>
      <c r="GS43" s="157"/>
      <c r="GT43" s="157"/>
      <c r="GU43" s="157"/>
      <c r="GV43" s="158"/>
      <c r="GW43" s="1"/>
      <c r="GY43" s="53"/>
      <c r="HA43" s="156" t="s">
        <v>38</v>
      </c>
      <c r="HB43" s="157"/>
      <c r="HC43" s="157"/>
      <c r="HD43" s="157"/>
      <c r="HE43" s="157"/>
      <c r="HF43" s="157"/>
      <c r="HG43" s="157"/>
      <c r="HH43" s="157"/>
      <c r="HI43" s="157"/>
      <c r="HJ43" s="157"/>
      <c r="HK43" s="157"/>
      <c r="HL43" s="158"/>
      <c r="HM43" s="1"/>
      <c r="HO43" s="53"/>
      <c r="HQ43" s="156" t="s">
        <v>38</v>
      </c>
      <c r="HR43" s="157"/>
      <c r="HS43" s="157"/>
      <c r="HT43" s="157"/>
      <c r="HU43" s="157"/>
      <c r="HV43" s="157"/>
      <c r="HW43" s="157"/>
      <c r="HX43" s="157"/>
      <c r="HY43" s="157"/>
      <c r="HZ43" s="157"/>
      <c r="IA43" s="157"/>
      <c r="IB43" s="158"/>
      <c r="IC43" s="1"/>
      <c r="IE43" s="53"/>
      <c r="IG43" s="156" t="s">
        <v>38</v>
      </c>
      <c r="IH43" s="157"/>
      <c r="II43" s="157"/>
      <c r="IJ43" s="157"/>
      <c r="IK43" s="157"/>
      <c r="IL43" s="157"/>
      <c r="IM43" s="157"/>
      <c r="IN43" s="157"/>
      <c r="IO43" s="157"/>
      <c r="IP43" s="157"/>
      <c r="IQ43" s="157"/>
      <c r="IR43" s="158"/>
      <c r="IS43" s="1"/>
      <c r="IU43" s="53"/>
      <c r="IW43" s="156" t="s">
        <v>38</v>
      </c>
      <c r="IX43" s="157"/>
      <c r="IY43" s="157"/>
      <c r="IZ43" s="157"/>
      <c r="JA43" s="157"/>
      <c r="JB43" s="157"/>
      <c r="JC43" s="157"/>
      <c r="JD43" s="157"/>
      <c r="JE43" s="157"/>
      <c r="JF43" s="157"/>
      <c r="JG43" s="157"/>
      <c r="JH43" s="158"/>
      <c r="JI43" s="1"/>
      <c r="JK43" s="53"/>
      <c r="JM43" s="156" t="s">
        <v>38</v>
      </c>
      <c r="JN43" s="157"/>
      <c r="JO43" s="157"/>
      <c r="JP43" s="157"/>
      <c r="JQ43" s="157"/>
      <c r="JR43" s="157"/>
      <c r="JS43" s="157"/>
      <c r="JT43" s="157"/>
      <c r="JU43" s="157"/>
      <c r="JV43" s="157"/>
      <c r="JW43" s="157"/>
      <c r="JX43" s="158"/>
      <c r="JY43" s="1"/>
      <c r="KA43" s="53"/>
      <c r="KC43" s="156" t="s">
        <v>38</v>
      </c>
      <c r="KD43" s="157"/>
      <c r="KE43" s="157"/>
      <c r="KF43" s="157"/>
      <c r="KG43" s="157"/>
      <c r="KH43" s="157"/>
      <c r="KI43" s="157"/>
      <c r="KJ43" s="157"/>
      <c r="KK43" s="157"/>
      <c r="KL43" s="157"/>
      <c r="KM43" s="157"/>
      <c r="KN43" s="158"/>
      <c r="KO43" s="1"/>
      <c r="KQ43" s="53"/>
      <c r="KS43" s="156" t="s">
        <v>38</v>
      </c>
      <c r="KT43" s="157"/>
      <c r="KU43" s="157"/>
      <c r="KV43" s="157"/>
      <c r="KW43" s="157"/>
      <c r="KX43" s="157"/>
      <c r="KY43" s="157"/>
      <c r="KZ43" s="157"/>
      <c r="LA43" s="157"/>
      <c r="LB43" s="157"/>
      <c r="LC43" s="157"/>
      <c r="LD43" s="158"/>
      <c r="LE43" s="1"/>
      <c r="LG43" s="53"/>
      <c r="LI43" s="156" t="s">
        <v>38</v>
      </c>
      <c r="LJ43" s="157"/>
      <c r="LK43" s="157"/>
      <c r="LL43" s="157"/>
      <c r="LM43" s="157"/>
      <c r="LN43" s="157"/>
      <c r="LO43" s="157"/>
      <c r="LP43" s="157"/>
      <c r="LQ43" s="157"/>
      <c r="LR43" s="157"/>
      <c r="LS43" s="157"/>
      <c r="LT43" s="158"/>
      <c r="LU43" s="1"/>
      <c r="LW43" s="53"/>
      <c r="LY43" s="156" t="s">
        <v>38</v>
      </c>
      <c r="LZ43" s="157"/>
      <c r="MA43" s="157"/>
      <c r="MB43" s="157"/>
      <c r="MC43" s="157"/>
      <c r="MD43" s="157"/>
      <c r="ME43" s="157"/>
      <c r="MF43" s="157"/>
      <c r="MG43" s="157"/>
      <c r="MH43" s="157"/>
      <c r="MI43" s="157"/>
      <c r="MJ43" s="158"/>
      <c r="MK43" s="1"/>
      <c r="MM43" s="53"/>
    </row>
    <row r="44" spans="1:351" ht="20.100000000000001" customHeight="1" x14ac:dyDescent="0.3">
      <c r="A44" s="156" t="s">
        <v>110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8"/>
      <c r="M44" s="1"/>
      <c r="O44" s="53"/>
      <c r="Q44" s="156" t="s">
        <v>77</v>
      </c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8"/>
      <c r="AC44" s="1"/>
      <c r="AE44" s="53"/>
      <c r="AG44" s="156" t="s">
        <v>77</v>
      </c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8"/>
      <c r="AS44" s="1"/>
      <c r="AU44" s="53"/>
      <c r="AW44" s="156" t="s">
        <v>77</v>
      </c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8"/>
      <c r="BI44" s="1"/>
      <c r="BK44" s="53"/>
      <c r="BM44" s="156" t="s">
        <v>114</v>
      </c>
      <c r="BN44" s="157"/>
      <c r="BO44" s="157"/>
      <c r="BP44" s="157"/>
      <c r="BQ44" s="157"/>
      <c r="BR44" s="157"/>
      <c r="BS44" s="157"/>
      <c r="BT44" s="157"/>
      <c r="BU44" s="157"/>
      <c r="BV44" s="157"/>
      <c r="BW44" s="157"/>
      <c r="BX44" s="158"/>
      <c r="BY44" s="1"/>
      <c r="CA44" s="53"/>
      <c r="CC44" s="156" t="s">
        <v>114</v>
      </c>
      <c r="CD44" s="157"/>
      <c r="CE44" s="157"/>
      <c r="CF44" s="157"/>
      <c r="CG44" s="157"/>
      <c r="CH44" s="157"/>
      <c r="CI44" s="157"/>
      <c r="CJ44" s="157"/>
      <c r="CK44" s="157"/>
      <c r="CL44" s="157"/>
      <c r="CM44" s="157"/>
      <c r="CN44" s="158"/>
      <c r="CO44" s="1"/>
      <c r="CQ44" s="53"/>
      <c r="CS44" s="156" t="s">
        <v>114</v>
      </c>
      <c r="CT44" s="157"/>
      <c r="CU44" s="157"/>
      <c r="CV44" s="157"/>
      <c r="CW44" s="157"/>
      <c r="CX44" s="157"/>
      <c r="CY44" s="157"/>
      <c r="CZ44" s="157"/>
      <c r="DA44" s="157"/>
      <c r="DB44" s="157"/>
      <c r="DC44" s="157"/>
      <c r="DD44" s="158"/>
      <c r="DE44" s="1"/>
      <c r="DG44" s="53"/>
      <c r="DI44" s="156" t="s">
        <v>114</v>
      </c>
      <c r="DJ44" s="157"/>
      <c r="DK44" s="157"/>
      <c r="DL44" s="157"/>
      <c r="DM44" s="157"/>
      <c r="DN44" s="157"/>
      <c r="DO44" s="157"/>
      <c r="DP44" s="157"/>
      <c r="DQ44" s="157"/>
      <c r="DR44" s="157"/>
      <c r="DS44" s="157"/>
      <c r="DT44" s="158"/>
      <c r="DU44" s="1"/>
      <c r="DW44" s="53"/>
      <c r="DY44" s="156" t="s">
        <v>114</v>
      </c>
      <c r="DZ44" s="157"/>
      <c r="EA44" s="157"/>
      <c r="EB44" s="157"/>
      <c r="EC44" s="157"/>
      <c r="ED44" s="157"/>
      <c r="EE44" s="157"/>
      <c r="EF44" s="157"/>
      <c r="EG44" s="157"/>
      <c r="EH44" s="157"/>
      <c r="EI44" s="157"/>
      <c r="EJ44" s="158"/>
      <c r="EK44" s="1"/>
      <c r="EM44" s="53"/>
      <c r="EO44" s="156" t="s">
        <v>114</v>
      </c>
      <c r="EP44" s="157"/>
      <c r="EQ44" s="157"/>
      <c r="ER44" s="157"/>
      <c r="ES44" s="157"/>
      <c r="ET44" s="157"/>
      <c r="EU44" s="157"/>
      <c r="EV44" s="157"/>
      <c r="EW44" s="157"/>
      <c r="EX44" s="157"/>
      <c r="EY44" s="157"/>
      <c r="EZ44" s="158"/>
      <c r="FA44" s="1"/>
      <c r="FC44" s="53"/>
      <c r="FE44" s="156" t="s">
        <v>114</v>
      </c>
      <c r="FF44" s="157"/>
      <c r="FG44" s="157"/>
      <c r="FH44" s="157"/>
      <c r="FI44" s="157"/>
      <c r="FJ44" s="157"/>
      <c r="FK44" s="157"/>
      <c r="FL44" s="157"/>
      <c r="FM44" s="157"/>
      <c r="FN44" s="157"/>
      <c r="FO44" s="157"/>
      <c r="FP44" s="158"/>
      <c r="FQ44" s="1"/>
      <c r="FS44" s="53"/>
      <c r="FU44" s="156" t="s">
        <v>114</v>
      </c>
      <c r="FV44" s="157"/>
      <c r="FW44" s="157"/>
      <c r="FX44" s="157"/>
      <c r="FY44" s="157"/>
      <c r="FZ44" s="157"/>
      <c r="GA44" s="157"/>
      <c r="GB44" s="157"/>
      <c r="GC44" s="157"/>
      <c r="GD44" s="157"/>
      <c r="GE44" s="157"/>
      <c r="GF44" s="158"/>
      <c r="GG44" s="1"/>
      <c r="GI44" s="53"/>
      <c r="GK44" s="156" t="s">
        <v>114</v>
      </c>
      <c r="GL44" s="157"/>
      <c r="GM44" s="157"/>
      <c r="GN44" s="157"/>
      <c r="GO44" s="157"/>
      <c r="GP44" s="157"/>
      <c r="GQ44" s="157"/>
      <c r="GR44" s="157"/>
      <c r="GS44" s="157"/>
      <c r="GT44" s="157"/>
      <c r="GU44" s="157"/>
      <c r="GV44" s="158"/>
      <c r="GW44" s="1"/>
      <c r="GY44" s="53"/>
      <c r="HA44" s="156" t="s">
        <v>114</v>
      </c>
      <c r="HB44" s="157"/>
      <c r="HC44" s="157"/>
      <c r="HD44" s="157"/>
      <c r="HE44" s="157"/>
      <c r="HF44" s="157"/>
      <c r="HG44" s="157"/>
      <c r="HH44" s="157"/>
      <c r="HI44" s="157"/>
      <c r="HJ44" s="157"/>
      <c r="HK44" s="157"/>
      <c r="HL44" s="158"/>
      <c r="HM44" s="1"/>
      <c r="HO44" s="53"/>
      <c r="HQ44" s="156" t="s">
        <v>77</v>
      </c>
      <c r="HR44" s="157"/>
      <c r="HS44" s="157"/>
      <c r="HT44" s="157"/>
      <c r="HU44" s="157"/>
      <c r="HV44" s="157"/>
      <c r="HW44" s="157"/>
      <c r="HX44" s="157"/>
      <c r="HY44" s="157"/>
      <c r="HZ44" s="157"/>
      <c r="IA44" s="157"/>
      <c r="IB44" s="158"/>
      <c r="IC44" s="1"/>
      <c r="IE44" s="53"/>
      <c r="IG44" s="156" t="s">
        <v>77</v>
      </c>
      <c r="IH44" s="157"/>
      <c r="II44" s="157"/>
      <c r="IJ44" s="157"/>
      <c r="IK44" s="157"/>
      <c r="IL44" s="157"/>
      <c r="IM44" s="157"/>
      <c r="IN44" s="157"/>
      <c r="IO44" s="157"/>
      <c r="IP44" s="157"/>
      <c r="IQ44" s="157"/>
      <c r="IR44" s="158"/>
      <c r="IS44" s="1"/>
      <c r="IU44" s="53"/>
      <c r="IW44" s="156" t="s">
        <v>77</v>
      </c>
      <c r="IX44" s="157"/>
      <c r="IY44" s="157"/>
      <c r="IZ44" s="157"/>
      <c r="JA44" s="157"/>
      <c r="JB44" s="157"/>
      <c r="JC44" s="157"/>
      <c r="JD44" s="157"/>
      <c r="JE44" s="157"/>
      <c r="JF44" s="157"/>
      <c r="JG44" s="157"/>
      <c r="JH44" s="158"/>
      <c r="JI44" s="1"/>
      <c r="JK44" s="53"/>
      <c r="JM44" s="156" t="s">
        <v>77</v>
      </c>
      <c r="JN44" s="157"/>
      <c r="JO44" s="157"/>
      <c r="JP44" s="157"/>
      <c r="JQ44" s="157"/>
      <c r="JR44" s="157"/>
      <c r="JS44" s="157"/>
      <c r="JT44" s="157"/>
      <c r="JU44" s="157"/>
      <c r="JV44" s="157"/>
      <c r="JW44" s="157"/>
      <c r="JX44" s="158"/>
      <c r="JY44" s="1"/>
      <c r="KA44" s="53"/>
      <c r="KC44" s="156" t="s">
        <v>77</v>
      </c>
      <c r="KD44" s="157"/>
      <c r="KE44" s="157"/>
      <c r="KF44" s="157"/>
      <c r="KG44" s="157"/>
      <c r="KH44" s="157"/>
      <c r="KI44" s="157"/>
      <c r="KJ44" s="157"/>
      <c r="KK44" s="157"/>
      <c r="KL44" s="157"/>
      <c r="KM44" s="157"/>
      <c r="KN44" s="158"/>
      <c r="KO44" s="1"/>
      <c r="KQ44" s="53"/>
      <c r="KS44" s="156" t="s">
        <v>114</v>
      </c>
      <c r="KT44" s="157"/>
      <c r="KU44" s="157"/>
      <c r="KV44" s="157"/>
      <c r="KW44" s="157"/>
      <c r="KX44" s="157"/>
      <c r="KY44" s="157"/>
      <c r="KZ44" s="157"/>
      <c r="LA44" s="157"/>
      <c r="LB44" s="157"/>
      <c r="LC44" s="157"/>
      <c r="LD44" s="158"/>
      <c r="LE44" s="1"/>
      <c r="LG44" s="53"/>
      <c r="LI44" s="156" t="s">
        <v>77</v>
      </c>
      <c r="LJ44" s="157"/>
      <c r="LK44" s="157"/>
      <c r="LL44" s="157"/>
      <c r="LM44" s="157"/>
      <c r="LN44" s="157"/>
      <c r="LO44" s="157"/>
      <c r="LP44" s="157"/>
      <c r="LQ44" s="157"/>
      <c r="LR44" s="157"/>
      <c r="LS44" s="157"/>
      <c r="LT44" s="158"/>
      <c r="LU44" s="1"/>
      <c r="LW44" s="53"/>
      <c r="LY44" s="156" t="s">
        <v>77</v>
      </c>
      <c r="LZ44" s="157"/>
      <c r="MA44" s="157"/>
      <c r="MB44" s="157"/>
      <c r="MC44" s="157"/>
      <c r="MD44" s="157"/>
      <c r="ME44" s="157"/>
      <c r="MF44" s="157"/>
      <c r="MG44" s="157"/>
      <c r="MH44" s="157"/>
      <c r="MI44" s="157"/>
      <c r="MJ44" s="158"/>
      <c r="MK44" s="1"/>
      <c r="MM44" s="53"/>
    </row>
    <row r="45" spans="1:351" ht="20.100000000000001" customHeight="1" thickBot="1" x14ac:dyDescent="0.35">
      <c r="A45" s="159" t="s">
        <v>39</v>
      </c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1"/>
      <c r="M45" s="1"/>
      <c r="O45" s="53"/>
      <c r="Q45" s="159" t="s">
        <v>39</v>
      </c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1"/>
      <c r="AC45" s="1"/>
      <c r="AE45" s="53"/>
      <c r="AG45" s="159" t="s">
        <v>39</v>
      </c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1"/>
      <c r="AS45" s="1"/>
      <c r="AU45" s="53"/>
      <c r="AW45" s="159" t="s">
        <v>39</v>
      </c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1"/>
      <c r="BI45" s="1"/>
      <c r="BK45" s="53"/>
      <c r="BM45" s="159" t="s">
        <v>39</v>
      </c>
      <c r="BN45" s="160"/>
      <c r="BO45" s="160"/>
      <c r="BP45" s="160"/>
      <c r="BQ45" s="160"/>
      <c r="BR45" s="160"/>
      <c r="BS45" s="160"/>
      <c r="BT45" s="160"/>
      <c r="BU45" s="160"/>
      <c r="BV45" s="160"/>
      <c r="BW45" s="160"/>
      <c r="BX45" s="161"/>
      <c r="BY45" s="1"/>
      <c r="CA45" s="53"/>
      <c r="CC45" s="159" t="s">
        <v>39</v>
      </c>
      <c r="CD45" s="160"/>
      <c r="CE45" s="160"/>
      <c r="CF45" s="160"/>
      <c r="CG45" s="160"/>
      <c r="CH45" s="160"/>
      <c r="CI45" s="160"/>
      <c r="CJ45" s="160"/>
      <c r="CK45" s="160"/>
      <c r="CL45" s="160"/>
      <c r="CM45" s="160"/>
      <c r="CN45" s="161"/>
      <c r="CO45" s="1"/>
      <c r="CQ45" s="53"/>
      <c r="CS45" s="159" t="s">
        <v>39</v>
      </c>
      <c r="CT45" s="160"/>
      <c r="CU45" s="160"/>
      <c r="CV45" s="160"/>
      <c r="CW45" s="160"/>
      <c r="CX45" s="160"/>
      <c r="CY45" s="160"/>
      <c r="CZ45" s="160"/>
      <c r="DA45" s="160"/>
      <c r="DB45" s="160"/>
      <c r="DC45" s="160"/>
      <c r="DD45" s="161"/>
      <c r="DE45" s="1"/>
      <c r="DG45" s="53"/>
      <c r="DI45" s="159" t="s">
        <v>39</v>
      </c>
      <c r="DJ45" s="160"/>
      <c r="DK45" s="160"/>
      <c r="DL45" s="160"/>
      <c r="DM45" s="160"/>
      <c r="DN45" s="160"/>
      <c r="DO45" s="160"/>
      <c r="DP45" s="160"/>
      <c r="DQ45" s="160"/>
      <c r="DR45" s="160"/>
      <c r="DS45" s="160"/>
      <c r="DT45" s="161"/>
      <c r="DU45" s="1"/>
      <c r="DW45" s="53"/>
      <c r="DY45" s="159" t="s">
        <v>39</v>
      </c>
      <c r="DZ45" s="160"/>
      <c r="EA45" s="160"/>
      <c r="EB45" s="160"/>
      <c r="EC45" s="160"/>
      <c r="ED45" s="160"/>
      <c r="EE45" s="160"/>
      <c r="EF45" s="160"/>
      <c r="EG45" s="160"/>
      <c r="EH45" s="160"/>
      <c r="EI45" s="160"/>
      <c r="EJ45" s="161"/>
      <c r="EK45" s="1"/>
      <c r="EM45" s="53"/>
      <c r="EO45" s="159" t="s">
        <v>39</v>
      </c>
      <c r="EP45" s="160"/>
      <c r="EQ45" s="160"/>
      <c r="ER45" s="160"/>
      <c r="ES45" s="160"/>
      <c r="ET45" s="160"/>
      <c r="EU45" s="160"/>
      <c r="EV45" s="160"/>
      <c r="EW45" s="160"/>
      <c r="EX45" s="160"/>
      <c r="EY45" s="160"/>
      <c r="EZ45" s="161"/>
      <c r="FA45" s="1"/>
      <c r="FC45" s="53"/>
      <c r="FE45" s="159" t="s">
        <v>39</v>
      </c>
      <c r="FF45" s="160"/>
      <c r="FG45" s="160"/>
      <c r="FH45" s="160"/>
      <c r="FI45" s="160"/>
      <c r="FJ45" s="160"/>
      <c r="FK45" s="160"/>
      <c r="FL45" s="160"/>
      <c r="FM45" s="160"/>
      <c r="FN45" s="160"/>
      <c r="FO45" s="160"/>
      <c r="FP45" s="161"/>
      <c r="FQ45" s="1"/>
      <c r="FS45" s="53"/>
      <c r="FU45" s="159" t="s">
        <v>39</v>
      </c>
      <c r="FV45" s="160"/>
      <c r="FW45" s="160"/>
      <c r="FX45" s="160"/>
      <c r="FY45" s="160"/>
      <c r="FZ45" s="160"/>
      <c r="GA45" s="160"/>
      <c r="GB45" s="160"/>
      <c r="GC45" s="160"/>
      <c r="GD45" s="160"/>
      <c r="GE45" s="160"/>
      <c r="GF45" s="161"/>
      <c r="GG45" s="1"/>
      <c r="GI45" s="53"/>
      <c r="GK45" s="159" t="s">
        <v>39</v>
      </c>
      <c r="GL45" s="160"/>
      <c r="GM45" s="160"/>
      <c r="GN45" s="160"/>
      <c r="GO45" s="160"/>
      <c r="GP45" s="160"/>
      <c r="GQ45" s="160"/>
      <c r="GR45" s="160"/>
      <c r="GS45" s="160"/>
      <c r="GT45" s="160"/>
      <c r="GU45" s="160"/>
      <c r="GV45" s="161"/>
      <c r="GW45" s="1"/>
      <c r="GY45" s="53"/>
      <c r="HA45" s="159" t="s">
        <v>39</v>
      </c>
      <c r="HB45" s="160"/>
      <c r="HC45" s="160"/>
      <c r="HD45" s="160"/>
      <c r="HE45" s="160"/>
      <c r="HF45" s="160"/>
      <c r="HG45" s="160"/>
      <c r="HH45" s="160"/>
      <c r="HI45" s="160"/>
      <c r="HJ45" s="160"/>
      <c r="HK45" s="160"/>
      <c r="HL45" s="161"/>
      <c r="HM45" s="1"/>
      <c r="HO45" s="53"/>
      <c r="HQ45" s="159" t="s">
        <v>39</v>
      </c>
      <c r="HR45" s="160"/>
      <c r="HS45" s="160"/>
      <c r="HT45" s="160"/>
      <c r="HU45" s="160"/>
      <c r="HV45" s="160"/>
      <c r="HW45" s="160"/>
      <c r="HX45" s="160"/>
      <c r="HY45" s="160"/>
      <c r="HZ45" s="160"/>
      <c r="IA45" s="160"/>
      <c r="IB45" s="161"/>
      <c r="IC45" s="1"/>
      <c r="IE45" s="53"/>
      <c r="IG45" s="159" t="s">
        <v>39</v>
      </c>
      <c r="IH45" s="160"/>
      <c r="II45" s="160"/>
      <c r="IJ45" s="160"/>
      <c r="IK45" s="160"/>
      <c r="IL45" s="160"/>
      <c r="IM45" s="160"/>
      <c r="IN45" s="160"/>
      <c r="IO45" s="160"/>
      <c r="IP45" s="160"/>
      <c r="IQ45" s="160"/>
      <c r="IR45" s="161"/>
      <c r="IS45" s="1"/>
      <c r="IU45" s="53"/>
      <c r="IW45" s="159" t="s">
        <v>39</v>
      </c>
      <c r="IX45" s="160"/>
      <c r="IY45" s="160"/>
      <c r="IZ45" s="160"/>
      <c r="JA45" s="160"/>
      <c r="JB45" s="160"/>
      <c r="JC45" s="160"/>
      <c r="JD45" s="160"/>
      <c r="JE45" s="160"/>
      <c r="JF45" s="160"/>
      <c r="JG45" s="160"/>
      <c r="JH45" s="161"/>
      <c r="JI45" s="1"/>
      <c r="JK45" s="53"/>
      <c r="JM45" s="159" t="s">
        <v>39</v>
      </c>
      <c r="JN45" s="160"/>
      <c r="JO45" s="160"/>
      <c r="JP45" s="160"/>
      <c r="JQ45" s="160"/>
      <c r="JR45" s="160"/>
      <c r="JS45" s="160"/>
      <c r="JT45" s="160"/>
      <c r="JU45" s="160"/>
      <c r="JV45" s="160"/>
      <c r="JW45" s="160"/>
      <c r="JX45" s="161"/>
      <c r="JY45" s="1"/>
      <c r="KA45" s="53"/>
      <c r="KC45" s="159" t="s">
        <v>39</v>
      </c>
      <c r="KD45" s="160"/>
      <c r="KE45" s="160"/>
      <c r="KF45" s="160"/>
      <c r="KG45" s="160"/>
      <c r="KH45" s="160"/>
      <c r="KI45" s="160"/>
      <c r="KJ45" s="160"/>
      <c r="KK45" s="160"/>
      <c r="KL45" s="160"/>
      <c r="KM45" s="160"/>
      <c r="KN45" s="161"/>
      <c r="KO45" s="1"/>
      <c r="KQ45" s="53"/>
      <c r="KS45" s="159" t="s">
        <v>39</v>
      </c>
      <c r="KT45" s="160"/>
      <c r="KU45" s="160"/>
      <c r="KV45" s="160"/>
      <c r="KW45" s="160"/>
      <c r="KX45" s="160"/>
      <c r="KY45" s="160"/>
      <c r="KZ45" s="160"/>
      <c r="LA45" s="160"/>
      <c r="LB45" s="160"/>
      <c r="LC45" s="160"/>
      <c r="LD45" s="161"/>
      <c r="LE45" s="1"/>
      <c r="LG45" s="53"/>
      <c r="LI45" s="159" t="s">
        <v>39</v>
      </c>
      <c r="LJ45" s="160"/>
      <c r="LK45" s="160"/>
      <c r="LL45" s="160"/>
      <c r="LM45" s="160"/>
      <c r="LN45" s="160"/>
      <c r="LO45" s="160"/>
      <c r="LP45" s="160"/>
      <c r="LQ45" s="160"/>
      <c r="LR45" s="160"/>
      <c r="LS45" s="160"/>
      <c r="LT45" s="161"/>
      <c r="LU45" s="1"/>
      <c r="LW45" s="53"/>
      <c r="LY45" s="159" t="s">
        <v>39</v>
      </c>
      <c r="LZ45" s="160"/>
      <c r="MA45" s="160"/>
      <c r="MB45" s="160"/>
      <c r="MC45" s="160"/>
      <c r="MD45" s="160"/>
      <c r="ME45" s="160"/>
      <c r="MF45" s="160"/>
      <c r="MG45" s="160"/>
      <c r="MH45" s="160"/>
      <c r="MI45" s="160"/>
      <c r="MJ45" s="161"/>
      <c r="MK45" s="1"/>
      <c r="MM45" s="53"/>
    </row>
    <row r="46" spans="1:351" ht="14.1" customHeight="1" x14ac:dyDescent="0.3">
      <c r="A46" s="162" t="s">
        <v>71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"/>
      <c r="O46" s="53"/>
      <c r="Q46" s="162" t="s">
        <v>71</v>
      </c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"/>
      <c r="AE46" s="53"/>
      <c r="AG46" s="162" t="s">
        <v>71</v>
      </c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"/>
      <c r="AU46" s="53"/>
      <c r="AW46" s="162" t="s">
        <v>71</v>
      </c>
      <c r="AX46" s="162"/>
      <c r="AY46" s="162"/>
      <c r="AZ46" s="162"/>
      <c r="BA46" s="162"/>
      <c r="BB46" s="162"/>
      <c r="BC46" s="162"/>
      <c r="BD46" s="162"/>
      <c r="BE46" s="162"/>
      <c r="BF46" s="162"/>
      <c r="BG46" s="162"/>
      <c r="BH46" s="162"/>
      <c r="BI46" s="1"/>
      <c r="BK46" s="53"/>
      <c r="BM46" s="162" t="s">
        <v>71</v>
      </c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  <c r="BX46" s="162"/>
      <c r="BY46" s="1"/>
      <c r="CA46" s="53"/>
      <c r="CC46" s="162" t="s">
        <v>71</v>
      </c>
      <c r="CD46" s="162"/>
      <c r="CE46" s="162"/>
      <c r="CF46" s="162"/>
      <c r="CG46" s="162"/>
      <c r="CH46" s="162"/>
      <c r="CI46" s="162"/>
      <c r="CJ46" s="162"/>
      <c r="CK46" s="162"/>
      <c r="CL46" s="162"/>
      <c r="CM46" s="162"/>
      <c r="CN46" s="162"/>
      <c r="CO46" s="1"/>
      <c r="CQ46" s="53"/>
      <c r="CS46" s="162" t="s">
        <v>71</v>
      </c>
      <c r="CT46" s="162"/>
      <c r="CU46" s="162"/>
      <c r="CV46" s="162"/>
      <c r="CW46" s="162"/>
      <c r="CX46" s="162"/>
      <c r="CY46" s="162"/>
      <c r="CZ46" s="162"/>
      <c r="DA46" s="162"/>
      <c r="DB46" s="162"/>
      <c r="DC46" s="162"/>
      <c r="DD46" s="162"/>
      <c r="DE46" s="1"/>
      <c r="DG46" s="53"/>
      <c r="DI46" s="162" t="s">
        <v>71</v>
      </c>
      <c r="DJ46" s="162"/>
      <c r="DK46" s="162"/>
      <c r="DL46" s="162"/>
      <c r="DM46" s="162"/>
      <c r="DN46" s="162"/>
      <c r="DO46" s="162"/>
      <c r="DP46" s="162"/>
      <c r="DQ46" s="162"/>
      <c r="DR46" s="162"/>
      <c r="DS46" s="162"/>
      <c r="DT46" s="162"/>
      <c r="DU46" s="1"/>
      <c r="DW46" s="53"/>
      <c r="DY46" s="162" t="s">
        <v>71</v>
      </c>
      <c r="DZ46" s="162"/>
      <c r="EA46" s="162"/>
      <c r="EB46" s="162"/>
      <c r="EC46" s="162"/>
      <c r="ED46" s="162"/>
      <c r="EE46" s="162"/>
      <c r="EF46" s="162"/>
      <c r="EG46" s="162"/>
      <c r="EH46" s="162"/>
      <c r="EI46" s="162"/>
      <c r="EJ46" s="162"/>
      <c r="EK46" s="1"/>
      <c r="EM46" s="53"/>
      <c r="EO46" s="162" t="s">
        <v>71</v>
      </c>
      <c r="EP46" s="162"/>
      <c r="EQ46" s="162"/>
      <c r="ER46" s="162"/>
      <c r="ES46" s="162"/>
      <c r="ET46" s="162"/>
      <c r="EU46" s="162"/>
      <c r="EV46" s="162"/>
      <c r="EW46" s="162"/>
      <c r="EX46" s="162"/>
      <c r="EY46" s="162"/>
      <c r="EZ46" s="162"/>
      <c r="FA46" s="1"/>
      <c r="FC46" s="53"/>
      <c r="FE46" s="162" t="s">
        <v>71</v>
      </c>
      <c r="FF46" s="162"/>
      <c r="FG46" s="162"/>
      <c r="FH46" s="162"/>
      <c r="FI46" s="162"/>
      <c r="FJ46" s="162"/>
      <c r="FK46" s="162"/>
      <c r="FL46" s="162"/>
      <c r="FM46" s="162"/>
      <c r="FN46" s="162"/>
      <c r="FO46" s="162"/>
      <c r="FP46" s="162"/>
      <c r="FQ46" s="1"/>
      <c r="FS46" s="53"/>
      <c r="FU46" s="162" t="s">
        <v>71</v>
      </c>
      <c r="FV46" s="162"/>
      <c r="FW46" s="162"/>
      <c r="FX46" s="162"/>
      <c r="FY46" s="162"/>
      <c r="FZ46" s="162"/>
      <c r="GA46" s="162"/>
      <c r="GB46" s="162"/>
      <c r="GC46" s="162"/>
      <c r="GD46" s="162"/>
      <c r="GE46" s="162"/>
      <c r="GF46" s="162"/>
      <c r="GG46" s="1"/>
      <c r="GI46" s="53"/>
      <c r="GK46" s="162" t="s">
        <v>71</v>
      </c>
      <c r="GL46" s="162"/>
      <c r="GM46" s="162"/>
      <c r="GN46" s="162"/>
      <c r="GO46" s="162"/>
      <c r="GP46" s="162"/>
      <c r="GQ46" s="162"/>
      <c r="GR46" s="162"/>
      <c r="GS46" s="162"/>
      <c r="GT46" s="162"/>
      <c r="GU46" s="162"/>
      <c r="GV46" s="162"/>
      <c r="GW46" s="1"/>
      <c r="GY46" s="53"/>
      <c r="HA46" s="162" t="s">
        <v>71</v>
      </c>
      <c r="HB46" s="162"/>
      <c r="HC46" s="162"/>
      <c r="HD46" s="162"/>
      <c r="HE46" s="162"/>
      <c r="HF46" s="162"/>
      <c r="HG46" s="162"/>
      <c r="HH46" s="162"/>
      <c r="HI46" s="162"/>
      <c r="HJ46" s="162"/>
      <c r="HK46" s="162"/>
      <c r="HL46" s="162"/>
      <c r="HM46" s="1"/>
      <c r="HO46" s="53"/>
      <c r="HQ46" s="162" t="s">
        <v>71</v>
      </c>
      <c r="HR46" s="162"/>
      <c r="HS46" s="162"/>
      <c r="HT46" s="162"/>
      <c r="HU46" s="162"/>
      <c r="HV46" s="162"/>
      <c r="HW46" s="162"/>
      <c r="HX46" s="162"/>
      <c r="HY46" s="162"/>
      <c r="HZ46" s="162"/>
      <c r="IA46" s="162"/>
      <c r="IB46" s="162"/>
      <c r="IC46" s="1"/>
      <c r="IE46" s="53"/>
      <c r="IG46" s="162" t="s">
        <v>71</v>
      </c>
      <c r="IH46" s="162"/>
      <c r="II46" s="162"/>
      <c r="IJ46" s="162"/>
      <c r="IK46" s="162"/>
      <c r="IL46" s="162"/>
      <c r="IM46" s="162"/>
      <c r="IN46" s="162"/>
      <c r="IO46" s="162"/>
      <c r="IP46" s="162"/>
      <c r="IQ46" s="162"/>
      <c r="IR46" s="162"/>
      <c r="IS46" s="1"/>
      <c r="IU46" s="53"/>
      <c r="IW46" s="162" t="s">
        <v>71</v>
      </c>
      <c r="IX46" s="162"/>
      <c r="IY46" s="162"/>
      <c r="IZ46" s="162"/>
      <c r="JA46" s="162"/>
      <c r="JB46" s="162"/>
      <c r="JC46" s="162"/>
      <c r="JD46" s="162"/>
      <c r="JE46" s="162"/>
      <c r="JF46" s="162"/>
      <c r="JG46" s="162"/>
      <c r="JH46" s="162"/>
      <c r="JI46" s="1"/>
      <c r="JK46" s="53"/>
      <c r="JM46" s="162" t="s">
        <v>71</v>
      </c>
      <c r="JN46" s="162"/>
      <c r="JO46" s="162"/>
      <c r="JP46" s="162"/>
      <c r="JQ46" s="162"/>
      <c r="JR46" s="162"/>
      <c r="JS46" s="162"/>
      <c r="JT46" s="162"/>
      <c r="JU46" s="162"/>
      <c r="JV46" s="162"/>
      <c r="JW46" s="162"/>
      <c r="JX46" s="162"/>
      <c r="JY46" s="1"/>
      <c r="KA46" s="53"/>
      <c r="KC46" s="162" t="s">
        <v>71</v>
      </c>
      <c r="KD46" s="162"/>
      <c r="KE46" s="162"/>
      <c r="KF46" s="162"/>
      <c r="KG46" s="162"/>
      <c r="KH46" s="162"/>
      <c r="KI46" s="162"/>
      <c r="KJ46" s="162"/>
      <c r="KK46" s="162"/>
      <c r="KL46" s="162"/>
      <c r="KM46" s="162"/>
      <c r="KN46" s="162"/>
      <c r="KO46" s="1"/>
      <c r="KQ46" s="53"/>
      <c r="KS46" s="162" t="s">
        <v>71</v>
      </c>
      <c r="KT46" s="162"/>
      <c r="KU46" s="162"/>
      <c r="KV46" s="162"/>
      <c r="KW46" s="162"/>
      <c r="KX46" s="162"/>
      <c r="KY46" s="162"/>
      <c r="KZ46" s="162"/>
      <c r="LA46" s="162"/>
      <c r="LB46" s="162"/>
      <c r="LC46" s="162"/>
      <c r="LD46" s="162"/>
      <c r="LE46" s="1"/>
      <c r="LG46" s="53"/>
      <c r="LI46" s="162" t="s">
        <v>71</v>
      </c>
      <c r="LJ46" s="162"/>
      <c r="LK46" s="162"/>
      <c r="LL46" s="162"/>
      <c r="LM46" s="162"/>
      <c r="LN46" s="162"/>
      <c r="LO46" s="162"/>
      <c r="LP46" s="162"/>
      <c r="LQ46" s="162"/>
      <c r="LR46" s="162"/>
      <c r="LS46" s="162"/>
      <c r="LT46" s="162"/>
      <c r="LU46" s="1"/>
      <c r="LW46" s="53"/>
      <c r="LY46" s="162" t="s">
        <v>71</v>
      </c>
      <c r="LZ46" s="162"/>
      <c r="MA46" s="162"/>
      <c r="MB46" s="162"/>
      <c r="MC46" s="162"/>
      <c r="MD46" s="162"/>
      <c r="ME46" s="162"/>
      <c r="MF46" s="162"/>
      <c r="MG46" s="162"/>
      <c r="MH46" s="162"/>
      <c r="MI46" s="162"/>
      <c r="MJ46" s="162"/>
      <c r="MK46" s="1"/>
      <c r="MM46" s="53"/>
    </row>
    <row r="47" spans="1:351" ht="14.1" customHeight="1" x14ac:dyDescent="0.3">
      <c r="A47" s="163" t="s">
        <v>72</v>
      </c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"/>
      <c r="O47" s="53"/>
      <c r="Q47" s="163" t="s">
        <v>72</v>
      </c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"/>
      <c r="AE47" s="53"/>
      <c r="AG47" s="163" t="s">
        <v>72</v>
      </c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"/>
      <c r="AU47" s="53"/>
      <c r="AW47" s="163" t="s">
        <v>72</v>
      </c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"/>
      <c r="BK47" s="53"/>
      <c r="BM47" s="163" t="s">
        <v>72</v>
      </c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"/>
      <c r="CA47" s="53"/>
      <c r="CC47" s="163" t="s">
        <v>72</v>
      </c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"/>
      <c r="CQ47" s="53"/>
      <c r="CS47" s="163" t="s">
        <v>72</v>
      </c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"/>
      <c r="DG47" s="53"/>
      <c r="DI47" s="163" t="s">
        <v>72</v>
      </c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/>
      <c r="DU47" s="1"/>
      <c r="DW47" s="53"/>
      <c r="DY47" s="163" t="s">
        <v>72</v>
      </c>
      <c r="DZ47" s="163"/>
      <c r="EA47" s="163"/>
      <c r="EB47" s="163"/>
      <c r="EC47" s="163"/>
      <c r="ED47" s="163"/>
      <c r="EE47" s="163"/>
      <c r="EF47" s="163"/>
      <c r="EG47" s="163"/>
      <c r="EH47" s="163"/>
      <c r="EI47" s="163"/>
      <c r="EJ47" s="163"/>
      <c r="EK47" s="1"/>
      <c r="EM47" s="53"/>
      <c r="EO47" s="163" t="s">
        <v>72</v>
      </c>
      <c r="EP47" s="163"/>
      <c r="EQ47" s="163"/>
      <c r="ER47" s="163"/>
      <c r="ES47" s="163"/>
      <c r="ET47" s="163"/>
      <c r="EU47" s="163"/>
      <c r="EV47" s="163"/>
      <c r="EW47" s="163"/>
      <c r="EX47" s="163"/>
      <c r="EY47" s="163"/>
      <c r="EZ47" s="163"/>
      <c r="FA47" s="1"/>
      <c r="FC47" s="53"/>
      <c r="FE47" s="163" t="s">
        <v>72</v>
      </c>
      <c r="FF47" s="163"/>
      <c r="FG47" s="163"/>
      <c r="FH47" s="163"/>
      <c r="FI47" s="163"/>
      <c r="FJ47" s="163"/>
      <c r="FK47" s="163"/>
      <c r="FL47" s="163"/>
      <c r="FM47" s="163"/>
      <c r="FN47" s="163"/>
      <c r="FO47" s="163"/>
      <c r="FP47" s="163"/>
      <c r="FQ47" s="1"/>
      <c r="FS47" s="53"/>
      <c r="FU47" s="163" t="s">
        <v>72</v>
      </c>
      <c r="FV47" s="163"/>
      <c r="FW47" s="163"/>
      <c r="FX47" s="163"/>
      <c r="FY47" s="163"/>
      <c r="FZ47" s="163"/>
      <c r="GA47" s="163"/>
      <c r="GB47" s="163"/>
      <c r="GC47" s="163"/>
      <c r="GD47" s="163"/>
      <c r="GE47" s="163"/>
      <c r="GF47" s="163"/>
      <c r="GG47" s="1"/>
      <c r="GI47" s="53"/>
      <c r="GK47" s="163" t="s">
        <v>72</v>
      </c>
      <c r="GL47" s="163"/>
      <c r="GM47" s="163"/>
      <c r="GN47" s="163"/>
      <c r="GO47" s="163"/>
      <c r="GP47" s="163"/>
      <c r="GQ47" s="163"/>
      <c r="GR47" s="163"/>
      <c r="GS47" s="163"/>
      <c r="GT47" s="163"/>
      <c r="GU47" s="163"/>
      <c r="GV47" s="163"/>
      <c r="GW47" s="1"/>
      <c r="GY47" s="53"/>
      <c r="HA47" s="163" t="s">
        <v>72</v>
      </c>
      <c r="HB47" s="163"/>
      <c r="HC47" s="163"/>
      <c r="HD47" s="163"/>
      <c r="HE47" s="163"/>
      <c r="HF47" s="163"/>
      <c r="HG47" s="163"/>
      <c r="HH47" s="163"/>
      <c r="HI47" s="163"/>
      <c r="HJ47" s="163"/>
      <c r="HK47" s="163"/>
      <c r="HL47" s="163"/>
      <c r="HM47" s="1"/>
      <c r="HO47" s="53"/>
      <c r="HQ47" s="163" t="s">
        <v>72</v>
      </c>
      <c r="HR47" s="163"/>
      <c r="HS47" s="163"/>
      <c r="HT47" s="163"/>
      <c r="HU47" s="163"/>
      <c r="HV47" s="163"/>
      <c r="HW47" s="163"/>
      <c r="HX47" s="163"/>
      <c r="HY47" s="163"/>
      <c r="HZ47" s="163"/>
      <c r="IA47" s="163"/>
      <c r="IB47" s="163"/>
      <c r="IC47" s="1"/>
      <c r="IE47" s="53"/>
      <c r="IG47" s="163" t="s">
        <v>72</v>
      </c>
      <c r="IH47" s="163"/>
      <c r="II47" s="163"/>
      <c r="IJ47" s="163"/>
      <c r="IK47" s="163"/>
      <c r="IL47" s="163"/>
      <c r="IM47" s="163"/>
      <c r="IN47" s="163"/>
      <c r="IO47" s="163"/>
      <c r="IP47" s="163"/>
      <c r="IQ47" s="163"/>
      <c r="IR47" s="163"/>
      <c r="IS47" s="1"/>
      <c r="IU47" s="53"/>
      <c r="IW47" s="163" t="s">
        <v>72</v>
      </c>
      <c r="IX47" s="163"/>
      <c r="IY47" s="163"/>
      <c r="IZ47" s="163"/>
      <c r="JA47" s="163"/>
      <c r="JB47" s="163"/>
      <c r="JC47" s="163"/>
      <c r="JD47" s="163"/>
      <c r="JE47" s="163"/>
      <c r="JF47" s="163"/>
      <c r="JG47" s="163"/>
      <c r="JH47" s="163"/>
      <c r="JI47" s="1"/>
      <c r="JK47" s="53"/>
      <c r="JM47" s="163" t="s">
        <v>72</v>
      </c>
      <c r="JN47" s="163"/>
      <c r="JO47" s="163"/>
      <c r="JP47" s="163"/>
      <c r="JQ47" s="163"/>
      <c r="JR47" s="163"/>
      <c r="JS47" s="163"/>
      <c r="JT47" s="163"/>
      <c r="JU47" s="163"/>
      <c r="JV47" s="163"/>
      <c r="JW47" s="163"/>
      <c r="JX47" s="163"/>
      <c r="JY47" s="1"/>
      <c r="KA47" s="53"/>
      <c r="KC47" s="163" t="s">
        <v>72</v>
      </c>
      <c r="KD47" s="163"/>
      <c r="KE47" s="163"/>
      <c r="KF47" s="163"/>
      <c r="KG47" s="163"/>
      <c r="KH47" s="163"/>
      <c r="KI47" s="163"/>
      <c r="KJ47" s="163"/>
      <c r="KK47" s="163"/>
      <c r="KL47" s="163"/>
      <c r="KM47" s="163"/>
      <c r="KN47" s="163"/>
      <c r="KO47" s="1"/>
      <c r="KQ47" s="53"/>
      <c r="KS47" s="163" t="s">
        <v>72</v>
      </c>
      <c r="KT47" s="163"/>
      <c r="KU47" s="163"/>
      <c r="KV47" s="163"/>
      <c r="KW47" s="163"/>
      <c r="KX47" s="163"/>
      <c r="KY47" s="163"/>
      <c r="KZ47" s="163"/>
      <c r="LA47" s="163"/>
      <c r="LB47" s="163"/>
      <c r="LC47" s="163"/>
      <c r="LD47" s="163"/>
      <c r="LE47" s="1"/>
      <c r="LG47" s="53"/>
      <c r="LI47" s="163" t="s">
        <v>72</v>
      </c>
      <c r="LJ47" s="163"/>
      <c r="LK47" s="163"/>
      <c r="LL47" s="163"/>
      <c r="LM47" s="163"/>
      <c r="LN47" s="163"/>
      <c r="LO47" s="163"/>
      <c r="LP47" s="163"/>
      <c r="LQ47" s="163"/>
      <c r="LR47" s="163"/>
      <c r="LS47" s="163"/>
      <c r="LT47" s="163"/>
      <c r="LU47" s="1"/>
      <c r="LW47" s="53"/>
      <c r="LY47" s="163" t="s">
        <v>72</v>
      </c>
      <c r="LZ47" s="163"/>
      <c r="MA47" s="163"/>
      <c r="MB47" s="163"/>
      <c r="MC47" s="163"/>
      <c r="MD47" s="163"/>
      <c r="ME47" s="163"/>
      <c r="MF47" s="163"/>
      <c r="MG47" s="163"/>
      <c r="MH47" s="163"/>
      <c r="MI47" s="163"/>
      <c r="MJ47" s="163"/>
      <c r="MK47" s="1"/>
      <c r="MM47" s="53"/>
    </row>
    <row r="48" spans="1:351" ht="14.1" customHeight="1" x14ac:dyDescent="0.3">
      <c r="A48" s="163" t="s">
        <v>73</v>
      </c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"/>
      <c r="O48" s="53"/>
      <c r="Q48" s="163" t="s">
        <v>73</v>
      </c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"/>
      <c r="AE48" s="53"/>
      <c r="AG48" s="163" t="s">
        <v>73</v>
      </c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"/>
      <c r="AU48" s="53"/>
      <c r="AW48" s="163" t="s">
        <v>73</v>
      </c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"/>
      <c r="BK48" s="53"/>
      <c r="BM48" s="163" t="s">
        <v>73</v>
      </c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"/>
      <c r="CA48" s="53"/>
      <c r="CC48" s="163" t="s">
        <v>73</v>
      </c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"/>
      <c r="CQ48" s="53"/>
      <c r="CS48" s="163" t="s">
        <v>73</v>
      </c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"/>
      <c r="DG48" s="53"/>
      <c r="DI48" s="163" t="s">
        <v>73</v>
      </c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"/>
      <c r="DW48" s="53"/>
      <c r="DY48" s="163" t="s">
        <v>73</v>
      </c>
      <c r="DZ48" s="163"/>
      <c r="EA48" s="163"/>
      <c r="EB48" s="163"/>
      <c r="EC48" s="163"/>
      <c r="ED48" s="163"/>
      <c r="EE48" s="163"/>
      <c r="EF48" s="163"/>
      <c r="EG48" s="163"/>
      <c r="EH48" s="163"/>
      <c r="EI48" s="163"/>
      <c r="EJ48" s="163"/>
      <c r="EK48" s="1"/>
      <c r="EM48" s="53"/>
      <c r="EO48" s="163" t="s">
        <v>73</v>
      </c>
      <c r="EP48" s="163"/>
      <c r="EQ48" s="163"/>
      <c r="ER48" s="163"/>
      <c r="ES48" s="163"/>
      <c r="ET48" s="163"/>
      <c r="EU48" s="163"/>
      <c r="EV48" s="163"/>
      <c r="EW48" s="163"/>
      <c r="EX48" s="163"/>
      <c r="EY48" s="163"/>
      <c r="EZ48" s="163"/>
      <c r="FA48" s="1"/>
      <c r="FC48" s="53"/>
      <c r="FE48" s="163" t="s">
        <v>73</v>
      </c>
      <c r="FF48" s="163"/>
      <c r="FG48" s="163"/>
      <c r="FH48" s="163"/>
      <c r="FI48" s="163"/>
      <c r="FJ48" s="163"/>
      <c r="FK48" s="163"/>
      <c r="FL48" s="163"/>
      <c r="FM48" s="163"/>
      <c r="FN48" s="163"/>
      <c r="FO48" s="163"/>
      <c r="FP48" s="163"/>
      <c r="FQ48" s="1"/>
      <c r="FS48" s="53"/>
      <c r="FU48" s="163" t="s">
        <v>73</v>
      </c>
      <c r="FV48" s="163"/>
      <c r="FW48" s="163"/>
      <c r="FX48" s="163"/>
      <c r="FY48" s="163"/>
      <c r="FZ48" s="163"/>
      <c r="GA48" s="163"/>
      <c r="GB48" s="163"/>
      <c r="GC48" s="163"/>
      <c r="GD48" s="163"/>
      <c r="GE48" s="163"/>
      <c r="GF48" s="163"/>
      <c r="GG48" s="1"/>
      <c r="GI48" s="53"/>
      <c r="GK48" s="163" t="s">
        <v>73</v>
      </c>
      <c r="GL48" s="163"/>
      <c r="GM48" s="163"/>
      <c r="GN48" s="163"/>
      <c r="GO48" s="163"/>
      <c r="GP48" s="163"/>
      <c r="GQ48" s="163"/>
      <c r="GR48" s="163"/>
      <c r="GS48" s="163"/>
      <c r="GT48" s="163"/>
      <c r="GU48" s="163"/>
      <c r="GV48" s="163"/>
      <c r="GW48" s="1"/>
      <c r="GY48" s="53"/>
      <c r="HA48" s="163" t="s">
        <v>73</v>
      </c>
      <c r="HB48" s="163"/>
      <c r="HC48" s="163"/>
      <c r="HD48" s="163"/>
      <c r="HE48" s="163"/>
      <c r="HF48" s="163"/>
      <c r="HG48" s="163"/>
      <c r="HH48" s="163"/>
      <c r="HI48" s="163"/>
      <c r="HJ48" s="163"/>
      <c r="HK48" s="163"/>
      <c r="HL48" s="163"/>
      <c r="HM48" s="1"/>
      <c r="HO48" s="53"/>
      <c r="HQ48" s="163" t="s">
        <v>73</v>
      </c>
      <c r="HR48" s="163"/>
      <c r="HS48" s="163"/>
      <c r="HT48" s="163"/>
      <c r="HU48" s="163"/>
      <c r="HV48" s="163"/>
      <c r="HW48" s="163"/>
      <c r="HX48" s="163"/>
      <c r="HY48" s="163"/>
      <c r="HZ48" s="163"/>
      <c r="IA48" s="163"/>
      <c r="IB48" s="163"/>
      <c r="IC48" s="1"/>
      <c r="IE48" s="53"/>
      <c r="IG48" s="163" t="s">
        <v>73</v>
      </c>
      <c r="IH48" s="163"/>
      <c r="II48" s="163"/>
      <c r="IJ48" s="163"/>
      <c r="IK48" s="163"/>
      <c r="IL48" s="163"/>
      <c r="IM48" s="163"/>
      <c r="IN48" s="163"/>
      <c r="IO48" s="163"/>
      <c r="IP48" s="163"/>
      <c r="IQ48" s="163"/>
      <c r="IR48" s="163"/>
      <c r="IS48" s="1"/>
      <c r="IU48" s="53"/>
      <c r="IW48" s="163" t="s">
        <v>73</v>
      </c>
      <c r="IX48" s="163"/>
      <c r="IY48" s="163"/>
      <c r="IZ48" s="163"/>
      <c r="JA48" s="163"/>
      <c r="JB48" s="163"/>
      <c r="JC48" s="163"/>
      <c r="JD48" s="163"/>
      <c r="JE48" s="163"/>
      <c r="JF48" s="163"/>
      <c r="JG48" s="163"/>
      <c r="JH48" s="163"/>
      <c r="JI48" s="1"/>
      <c r="JK48" s="53"/>
      <c r="JM48" s="163" t="s">
        <v>73</v>
      </c>
      <c r="JN48" s="163"/>
      <c r="JO48" s="163"/>
      <c r="JP48" s="163"/>
      <c r="JQ48" s="163"/>
      <c r="JR48" s="163"/>
      <c r="JS48" s="163"/>
      <c r="JT48" s="163"/>
      <c r="JU48" s="163"/>
      <c r="JV48" s="163"/>
      <c r="JW48" s="163"/>
      <c r="JX48" s="163"/>
      <c r="JY48" s="1"/>
      <c r="KA48" s="53"/>
      <c r="KC48" s="163" t="s">
        <v>73</v>
      </c>
      <c r="KD48" s="163"/>
      <c r="KE48" s="163"/>
      <c r="KF48" s="163"/>
      <c r="KG48" s="163"/>
      <c r="KH48" s="163"/>
      <c r="KI48" s="163"/>
      <c r="KJ48" s="163"/>
      <c r="KK48" s="163"/>
      <c r="KL48" s="163"/>
      <c r="KM48" s="163"/>
      <c r="KN48" s="163"/>
      <c r="KO48" s="1"/>
      <c r="KQ48" s="53"/>
      <c r="KS48" s="163" t="s">
        <v>73</v>
      </c>
      <c r="KT48" s="163"/>
      <c r="KU48" s="163"/>
      <c r="KV48" s="163"/>
      <c r="KW48" s="163"/>
      <c r="KX48" s="163"/>
      <c r="KY48" s="163"/>
      <c r="KZ48" s="163"/>
      <c r="LA48" s="163"/>
      <c r="LB48" s="163"/>
      <c r="LC48" s="163"/>
      <c r="LD48" s="163"/>
      <c r="LE48" s="1"/>
      <c r="LG48" s="53"/>
      <c r="LI48" s="163" t="s">
        <v>73</v>
      </c>
      <c r="LJ48" s="163"/>
      <c r="LK48" s="163"/>
      <c r="LL48" s="163"/>
      <c r="LM48" s="163"/>
      <c r="LN48" s="163"/>
      <c r="LO48" s="163"/>
      <c r="LP48" s="163"/>
      <c r="LQ48" s="163"/>
      <c r="LR48" s="163"/>
      <c r="LS48" s="163"/>
      <c r="LT48" s="163"/>
      <c r="LU48" s="1"/>
      <c r="LW48" s="53"/>
      <c r="LY48" s="163" t="s">
        <v>73</v>
      </c>
      <c r="LZ48" s="163"/>
      <c r="MA48" s="163"/>
      <c r="MB48" s="163"/>
      <c r="MC48" s="163"/>
      <c r="MD48" s="163"/>
      <c r="ME48" s="163"/>
      <c r="MF48" s="163"/>
      <c r="MG48" s="163"/>
      <c r="MH48" s="163"/>
      <c r="MI48" s="163"/>
      <c r="MJ48" s="163"/>
      <c r="MK48" s="1"/>
      <c r="MM48" s="53"/>
    </row>
    <row r="49" spans="1:352" ht="14.1" customHeight="1" x14ac:dyDescent="0.3">
      <c r="A49" s="163" t="s">
        <v>74</v>
      </c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"/>
      <c r="O49" s="53"/>
      <c r="Q49" s="163" t="s">
        <v>74</v>
      </c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"/>
      <c r="AE49" s="53"/>
      <c r="AG49" s="163" t="s">
        <v>74</v>
      </c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"/>
      <c r="AU49" s="53"/>
      <c r="AW49" s="163" t="s">
        <v>74</v>
      </c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"/>
      <c r="BK49" s="53"/>
      <c r="BM49" s="163" t="s">
        <v>74</v>
      </c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"/>
      <c r="CA49" s="53"/>
      <c r="CC49" s="163" t="s">
        <v>74</v>
      </c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"/>
      <c r="CQ49" s="53"/>
      <c r="CS49" s="163" t="s">
        <v>74</v>
      </c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"/>
      <c r="DG49" s="53"/>
      <c r="DI49" s="163" t="s">
        <v>74</v>
      </c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"/>
      <c r="DW49" s="53"/>
      <c r="DY49" s="163" t="s">
        <v>74</v>
      </c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"/>
      <c r="EM49" s="53"/>
      <c r="EO49" s="163" t="s">
        <v>74</v>
      </c>
      <c r="EP49" s="163"/>
      <c r="EQ49" s="163"/>
      <c r="ER49" s="163"/>
      <c r="ES49" s="163"/>
      <c r="ET49" s="163"/>
      <c r="EU49" s="163"/>
      <c r="EV49" s="163"/>
      <c r="EW49" s="163"/>
      <c r="EX49" s="163"/>
      <c r="EY49" s="163"/>
      <c r="EZ49" s="163"/>
      <c r="FA49" s="1"/>
      <c r="FC49" s="53"/>
      <c r="FE49" s="163" t="s">
        <v>74</v>
      </c>
      <c r="FF49" s="163"/>
      <c r="FG49" s="163"/>
      <c r="FH49" s="163"/>
      <c r="FI49" s="163"/>
      <c r="FJ49" s="163"/>
      <c r="FK49" s="163"/>
      <c r="FL49" s="163"/>
      <c r="FM49" s="163"/>
      <c r="FN49" s="163"/>
      <c r="FO49" s="163"/>
      <c r="FP49" s="163"/>
      <c r="FQ49" s="1"/>
      <c r="FS49" s="53"/>
      <c r="FU49" s="163" t="s">
        <v>74</v>
      </c>
      <c r="FV49" s="163"/>
      <c r="FW49" s="163"/>
      <c r="FX49" s="163"/>
      <c r="FY49" s="163"/>
      <c r="FZ49" s="163"/>
      <c r="GA49" s="163"/>
      <c r="GB49" s="163"/>
      <c r="GC49" s="163"/>
      <c r="GD49" s="163"/>
      <c r="GE49" s="163"/>
      <c r="GF49" s="163"/>
      <c r="GG49" s="1"/>
      <c r="GI49" s="53"/>
      <c r="GK49" s="163" t="s">
        <v>74</v>
      </c>
      <c r="GL49" s="163"/>
      <c r="GM49" s="163"/>
      <c r="GN49" s="163"/>
      <c r="GO49" s="163"/>
      <c r="GP49" s="163"/>
      <c r="GQ49" s="163"/>
      <c r="GR49" s="163"/>
      <c r="GS49" s="163"/>
      <c r="GT49" s="163"/>
      <c r="GU49" s="163"/>
      <c r="GV49" s="163"/>
      <c r="GW49" s="1"/>
      <c r="GY49" s="53"/>
      <c r="HA49" s="163" t="s">
        <v>74</v>
      </c>
      <c r="HB49" s="163"/>
      <c r="HC49" s="163"/>
      <c r="HD49" s="163"/>
      <c r="HE49" s="163"/>
      <c r="HF49" s="163"/>
      <c r="HG49" s="163"/>
      <c r="HH49" s="163"/>
      <c r="HI49" s="163"/>
      <c r="HJ49" s="163"/>
      <c r="HK49" s="163"/>
      <c r="HL49" s="163"/>
      <c r="HM49" s="1"/>
      <c r="HO49" s="53"/>
      <c r="HQ49" s="163" t="s">
        <v>74</v>
      </c>
      <c r="HR49" s="163"/>
      <c r="HS49" s="163"/>
      <c r="HT49" s="163"/>
      <c r="HU49" s="163"/>
      <c r="HV49" s="163"/>
      <c r="HW49" s="163"/>
      <c r="HX49" s="163"/>
      <c r="HY49" s="163"/>
      <c r="HZ49" s="163"/>
      <c r="IA49" s="163"/>
      <c r="IB49" s="163"/>
      <c r="IC49" s="1"/>
      <c r="IE49" s="53"/>
      <c r="IG49" s="163" t="s">
        <v>74</v>
      </c>
      <c r="IH49" s="163"/>
      <c r="II49" s="163"/>
      <c r="IJ49" s="163"/>
      <c r="IK49" s="163"/>
      <c r="IL49" s="163"/>
      <c r="IM49" s="163"/>
      <c r="IN49" s="163"/>
      <c r="IO49" s="163"/>
      <c r="IP49" s="163"/>
      <c r="IQ49" s="163"/>
      <c r="IR49" s="163"/>
      <c r="IS49" s="1"/>
      <c r="IU49" s="53"/>
      <c r="IW49" s="163" t="s">
        <v>74</v>
      </c>
      <c r="IX49" s="163"/>
      <c r="IY49" s="163"/>
      <c r="IZ49" s="163"/>
      <c r="JA49" s="163"/>
      <c r="JB49" s="163"/>
      <c r="JC49" s="163"/>
      <c r="JD49" s="163"/>
      <c r="JE49" s="163"/>
      <c r="JF49" s="163"/>
      <c r="JG49" s="163"/>
      <c r="JH49" s="163"/>
      <c r="JI49" s="1"/>
      <c r="JK49" s="53"/>
      <c r="JM49" s="163" t="s">
        <v>74</v>
      </c>
      <c r="JN49" s="163"/>
      <c r="JO49" s="163"/>
      <c r="JP49" s="163"/>
      <c r="JQ49" s="163"/>
      <c r="JR49" s="163"/>
      <c r="JS49" s="163"/>
      <c r="JT49" s="163"/>
      <c r="JU49" s="163"/>
      <c r="JV49" s="163"/>
      <c r="JW49" s="163"/>
      <c r="JX49" s="163"/>
      <c r="JY49" s="1"/>
      <c r="KA49" s="53"/>
      <c r="KC49" s="163" t="s">
        <v>74</v>
      </c>
      <c r="KD49" s="163"/>
      <c r="KE49" s="163"/>
      <c r="KF49" s="163"/>
      <c r="KG49" s="163"/>
      <c r="KH49" s="163"/>
      <c r="KI49" s="163"/>
      <c r="KJ49" s="163"/>
      <c r="KK49" s="163"/>
      <c r="KL49" s="163"/>
      <c r="KM49" s="163"/>
      <c r="KN49" s="163"/>
      <c r="KO49" s="1"/>
      <c r="KQ49" s="53"/>
      <c r="KS49" s="163" t="s">
        <v>74</v>
      </c>
      <c r="KT49" s="163"/>
      <c r="KU49" s="163"/>
      <c r="KV49" s="163"/>
      <c r="KW49" s="163"/>
      <c r="KX49" s="163"/>
      <c r="KY49" s="163"/>
      <c r="KZ49" s="163"/>
      <c r="LA49" s="163"/>
      <c r="LB49" s="163"/>
      <c r="LC49" s="163"/>
      <c r="LD49" s="163"/>
      <c r="LE49" s="1"/>
      <c r="LG49" s="53"/>
      <c r="LI49" s="163" t="s">
        <v>74</v>
      </c>
      <c r="LJ49" s="163"/>
      <c r="LK49" s="163"/>
      <c r="LL49" s="163"/>
      <c r="LM49" s="163"/>
      <c r="LN49" s="163"/>
      <c r="LO49" s="163"/>
      <c r="LP49" s="163"/>
      <c r="LQ49" s="163"/>
      <c r="LR49" s="163"/>
      <c r="LS49" s="163"/>
      <c r="LT49" s="163"/>
      <c r="LU49" s="1"/>
      <c r="LW49" s="53"/>
      <c r="LY49" s="163" t="s">
        <v>74</v>
      </c>
      <c r="LZ49" s="163"/>
      <c r="MA49" s="163"/>
      <c r="MB49" s="163"/>
      <c r="MC49" s="163"/>
      <c r="MD49" s="163"/>
      <c r="ME49" s="163"/>
      <c r="MF49" s="163"/>
      <c r="MG49" s="163"/>
      <c r="MH49" s="163"/>
      <c r="MI49" s="163"/>
      <c r="MJ49" s="163"/>
      <c r="MK49" s="1"/>
      <c r="MM49" s="53"/>
    </row>
    <row r="50" spans="1:352" ht="14.1" customHeight="1" x14ac:dyDescent="0.3">
      <c r="A50" s="163" t="s">
        <v>53</v>
      </c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"/>
      <c r="O50" s="53"/>
      <c r="Q50" s="163" t="s">
        <v>53</v>
      </c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"/>
      <c r="AE50" s="53"/>
      <c r="AG50" s="163" t="s">
        <v>53</v>
      </c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"/>
      <c r="AU50" s="53"/>
      <c r="AW50" s="163" t="s">
        <v>53</v>
      </c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"/>
      <c r="BK50" s="53"/>
      <c r="BM50" s="163" t="s">
        <v>53</v>
      </c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"/>
      <c r="CA50" s="53"/>
      <c r="CC50" s="163" t="s">
        <v>53</v>
      </c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"/>
      <c r="CQ50" s="53"/>
      <c r="CS50" s="163" t="s">
        <v>53</v>
      </c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"/>
      <c r="DG50" s="53"/>
      <c r="DI50" s="163" t="s">
        <v>53</v>
      </c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"/>
      <c r="DW50" s="53"/>
      <c r="DY50" s="163" t="s">
        <v>53</v>
      </c>
      <c r="DZ50" s="163"/>
      <c r="EA50" s="163"/>
      <c r="EB50" s="163"/>
      <c r="EC50" s="163"/>
      <c r="ED50" s="163"/>
      <c r="EE50" s="163"/>
      <c r="EF50" s="163"/>
      <c r="EG50" s="163"/>
      <c r="EH50" s="163"/>
      <c r="EI50" s="163"/>
      <c r="EJ50" s="163"/>
      <c r="EK50" s="1"/>
      <c r="EM50" s="53"/>
      <c r="EO50" s="163" t="s">
        <v>53</v>
      </c>
      <c r="EP50" s="163"/>
      <c r="EQ50" s="163"/>
      <c r="ER50" s="163"/>
      <c r="ES50" s="163"/>
      <c r="ET50" s="163"/>
      <c r="EU50" s="163"/>
      <c r="EV50" s="163"/>
      <c r="EW50" s="163"/>
      <c r="EX50" s="163"/>
      <c r="EY50" s="163"/>
      <c r="EZ50" s="163"/>
      <c r="FA50" s="1"/>
      <c r="FC50" s="53"/>
      <c r="FE50" s="163" t="s">
        <v>53</v>
      </c>
      <c r="FF50" s="163"/>
      <c r="FG50" s="163"/>
      <c r="FH50" s="163"/>
      <c r="FI50" s="163"/>
      <c r="FJ50" s="163"/>
      <c r="FK50" s="163"/>
      <c r="FL50" s="163"/>
      <c r="FM50" s="163"/>
      <c r="FN50" s="163"/>
      <c r="FO50" s="163"/>
      <c r="FP50" s="163"/>
      <c r="FQ50" s="1"/>
      <c r="FS50" s="53"/>
      <c r="FU50" s="163" t="s">
        <v>53</v>
      </c>
      <c r="FV50" s="163"/>
      <c r="FW50" s="163"/>
      <c r="FX50" s="163"/>
      <c r="FY50" s="163"/>
      <c r="FZ50" s="163"/>
      <c r="GA50" s="163"/>
      <c r="GB50" s="163"/>
      <c r="GC50" s="163"/>
      <c r="GD50" s="163"/>
      <c r="GE50" s="163"/>
      <c r="GF50" s="163"/>
      <c r="GG50" s="1"/>
      <c r="GI50" s="53"/>
      <c r="GK50" s="163" t="s">
        <v>53</v>
      </c>
      <c r="GL50" s="163"/>
      <c r="GM50" s="163"/>
      <c r="GN50" s="163"/>
      <c r="GO50" s="163"/>
      <c r="GP50" s="163"/>
      <c r="GQ50" s="163"/>
      <c r="GR50" s="163"/>
      <c r="GS50" s="163"/>
      <c r="GT50" s="163"/>
      <c r="GU50" s="163"/>
      <c r="GV50" s="163"/>
      <c r="GW50" s="1"/>
      <c r="GY50" s="53"/>
      <c r="HA50" s="163" t="s">
        <v>53</v>
      </c>
      <c r="HB50" s="163"/>
      <c r="HC50" s="163"/>
      <c r="HD50" s="163"/>
      <c r="HE50" s="163"/>
      <c r="HF50" s="163"/>
      <c r="HG50" s="163"/>
      <c r="HH50" s="163"/>
      <c r="HI50" s="163"/>
      <c r="HJ50" s="163"/>
      <c r="HK50" s="163"/>
      <c r="HL50" s="163"/>
      <c r="HM50" s="1"/>
      <c r="HO50" s="53"/>
      <c r="HQ50" s="163" t="s">
        <v>53</v>
      </c>
      <c r="HR50" s="163"/>
      <c r="HS50" s="163"/>
      <c r="HT50" s="163"/>
      <c r="HU50" s="163"/>
      <c r="HV50" s="163"/>
      <c r="HW50" s="163"/>
      <c r="HX50" s="163"/>
      <c r="HY50" s="163"/>
      <c r="HZ50" s="163"/>
      <c r="IA50" s="163"/>
      <c r="IB50" s="163"/>
      <c r="IC50" s="1"/>
      <c r="IE50" s="53"/>
      <c r="IG50" s="163" t="s">
        <v>53</v>
      </c>
      <c r="IH50" s="163"/>
      <c r="II50" s="163"/>
      <c r="IJ50" s="163"/>
      <c r="IK50" s="163"/>
      <c r="IL50" s="163"/>
      <c r="IM50" s="163"/>
      <c r="IN50" s="163"/>
      <c r="IO50" s="163"/>
      <c r="IP50" s="163"/>
      <c r="IQ50" s="163"/>
      <c r="IR50" s="163"/>
      <c r="IS50" s="1"/>
      <c r="IU50" s="53"/>
      <c r="IW50" s="163" t="s">
        <v>53</v>
      </c>
      <c r="IX50" s="163"/>
      <c r="IY50" s="163"/>
      <c r="IZ50" s="163"/>
      <c r="JA50" s="163"/>
      <c r="JB50" s="163"/>
      <c r="JC50" s="163"/>
      <c r="JD50" s="163"/>
      <c r="JE50" s="163"/>
      <c r="JF50" s="163"/>
      <c r="JG50" s="163"/>
      <c r="JH50" s="163"/>
      <c r="JI50" s="1"/>
      <c r="JK50" s="53"/>
      <c r="JM50" s="163" t="s">
        <v>53</v>
      </c>
      <c r="JN50" s="163"/>
      <c r="JO50" s="163"/>
      <c r="JP50" s="163"/>
      <c r="JQ50" s="163"/>
      <c r="JR50" s="163"/>
      <c r="JS50" s="163"/>
      <c r="JT50" s="163"/>
      <c r="JU50" s="163"/>
      <c r="JV50" s="163"/>
      <c r="JW50" s="163"/>
      <c r="JX50" s="163"/>
      <c r="JY50" s="1"/>
      <c r="KA50" s="53"/>
      <c r="KC50" s="163" t="s">
        <v>53</v>
      </c>
      <c r="KD50" s="163"/>
      <c r="KE50" s="163"/>
      <c r="KF50" s="163"/>
      <c r="KG50" s="163"/>
      <c r="KH50" s="163"/>
      <c r="KI50" s="163"/>
      <c r="KJ50" s="163"/>
      <c r="KK50" s="163"/>
      <c r="KL50" s="163"/>
      <c r="KM50" s="163"/>
      <c r="KN50" s="163"/>
      <c r="KO50" s="1"/>
      <c r="KQ50" s="53"/>
      <c r="KS50" s="163" t="s">
        <v>53</v>
      </c>
      <c r="KT50" s="163"/>
      <c r="KU50" s="163"/>
      <c r="KV50" s="163"/>
      <c r="KW50" s="163"/>
      <c r="KX50" s="163"/>
      <c r="KY50" s="163"/>
      <c r="KZ50" s="163"/>
      <c r="LA50" s="163"/>
      <c r="LB50" s="163"/>
      <c r="LC50" s="163"/>
      <c r="LD50" s="163"/>
      <c r="LE50" s="1"/>
      <c r="LG50" s="53"/>
      <c r="LI50" s="163" t="s">
        <v>53</v>
      </c>
      <c r="LJ50" s="163"/>
      <c r="LK50" s="163"/>
      <c r="LL50" s="163"/>
      <c r="LM50" s="163"/>
      <c r="LN50" s="163"/>
      <c r="LO50" s="163"/>
      <c r="LP50" s="163"/>
      <c r="LQ50" s="163"/>
      <c r="LR50" s="163"/>
      <c r="LS50" s="163"/>
      <c r="LT50" s="163"/>
      <c r="LU50" s="1"/>
      <c r="LW50" s="53"/>
      <c r="LY50" s="163" t="s">
        <v>53</v>
      </c>
      <c r="LZ50" s="163"/>
      <c r="MA50" s="163"/>
      <c r="MB50" s="163"/>
      <c r="MC50" s="163"/>
      <c r="MD50" s="163"/>
      <c r="ME50" s="163"/>
      <c r="MF50" s="163"/>
      <c r="MG50" s="163"/>
      <c r="MH50" s="163"/>
      <c r="MI50" s="163"/>
      <c r="MJ50" s="163"/>
      <c r="MK50" s="1"/>
      <c r="MM50" s="53"/>
    </row>
    <row r="51" spans="1:352" ht="14.1" customHeight="1" x14ac:dyDescent="0.3">
      <c r="A51" s="163" t="s">
        <v>54</v>
      </c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"/>
      <c r="O51" s="53"/>
      <c r="Q51" s="163" t="s">
        <v>54</v>
      </c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"/>
      <c r="AE51" s="53"/>
      <c r="AG51" s="163" t="s">
        <v>54</v>
      </c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"/>
      <c r="AU51" s="53"/>
      <c r="AW51" s="163" t="s">
        <v>54</v>
      </c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"/>
      <c r="BK51" s="53"/>
      <c r="BM51" s="163" t="s">
        <v>54</v>
      </c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"/>
      <c r="CA51" s="53"/>
      <c r="CC51" s="163" t="s">
        <v>54</v>
      </c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"/>
      <c r="CQ51" s="53"/>
      <c r="CS51" s="163" t="s">
        <v>54</v>
      </c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"/>
      <c r="DG51" s="53"/>
      <c r="DI51" s="163" t="s">
        <v>54</v>
      </c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"/>
      <c r="DW51" s="53"/>
      <c r="DY51" s="163" t="s">
        <v>54</v>
      </c>
      <c r="DZ51" s="163"/>
      <c r="EA51" s="163"/>
      <c r="EB51" s="163"/>
      <c r="EC51" s="163"/>
      <c r="ED51" s="163"/>
      <c r="EE51" s="163"/>
      <c r="EF51" s="163"/>
      <c r="EG51" s="163"/>
      <c r="EH51" s="163"/>
      <c r="EI51" s="163"/>
      <c r="EJ51" s="163"/>
      <c r="EK51" s="1"/>
      <c r="EM51" s="53"/>
      <c r="EO51" s="163" t="s">
        <v>54</v>
      </c>
      <c r="EP51" s="163"/>
      <c r="EQ51" s="163"/>
      <c r="ER51" s="163"/>
      <c r="ES51" s="163"/>
      <c r="ET51" s="163"/>
      <c r="EU51" s="163"/>
      <c r="EV51" s="163"/>
      <c r="EW51" s="163"/>
      <c r="EX51" s="163"/>
      <c r="EY51" s="163"/>
      <c r="EZ51" s="163"/>
      <c r="FA51" s="1"/>
      <c r="FC51" s="53"/>
      <c r="FE51" s="163" t="s">
        <v>54</v>
      </c>
      <c r="FF51" s="163"/>
      <c r="FG51" s="163"/>
      <c r="FH51" s="163"/>
      <c r="FI51" s="163"/>
      <c r="FJ51" s="163"/>
      <c r="FK51" s="163"/>
      <c r="FL51" s="163"/>
      <c r="FM51" s="163"/>
      <c r="FN51" s="163"/>
      <c r="FO51" s="163"/>
      <c r="FP51" s="163"/>
      <c r="FQ51" s="1"/>
      <c r="FS51" s="53"/>
      <c r="FU51" s="163" t="s">
        <v>54</v>
      </c>
      <c r="FV51" s="163"/>
      <c r="FW51" s="163"/>
      <c r="FX51" s="163"/>
      <c r="FY51" s="163"/>
      <c r="FZ51" s="163"/>
      <c r="GA51" s="163"/>
      <c r="GB51" s="163"/>
      <c r="GC51" s="163"/>
      <c r="GD51" s="163"/>
      <c r="GE51" s="163"/>
      <c r="GF51" s="163"/>
      <c r="GG51" s="1"/>
      <c r="GI51" s="53"/>
      <c r="GK51" s="163" t="s">
        <v>54</v>
      </c>
      <c r="GL51" s="163"/>
      <c r="GM51" s="163"/>
      <c r="GN51" s="163"/>
      <c r="GO51" s="163"/>
      <c r="GP51" s="163"/>
      <c r="GQ51" s="163"/>
      <c r="GR51" s="163"/>
      <c r="GS51" s="163"/>
      <c r="GT51" s="163"/>
      <c r="GU51" s="163"/>
      <c r="GV51" s="163"/>
      <c r="GW51" s="1"/>
      <c r="GY51" s="53"/>
      <c r="HA51" s="163" t="s">
        <v>54</v>
      </c>
      <c r="HB51" s="163"/>
      <c r="HC51" s="163"/>
      <c r="HD51" s="163"/>
      <c r="HE51" s="163"/>
      <c r="HF51" s="163"/>
      <c r="HG51" s="163"/>
      <c r="HH51" s="163"/>
      <c r="HI51" s="163"/>
      <c r="HJ51" s="163"/>
      <c r="HK51" s="163"/>
      <c r="HL51" s="163"/>
      <c r="HM51" s="1"/>
      <c r="HO51" s="53"/>
      <c r="HQ51" s="163" t="s">
        <v>54</v>
      </c>
      <c r="HR51" s="163"/>
      <c r="HS51" s="163"/>
      <c r="HT51" s="163"/>
      <c r="HU51" s="163"/>
      <c r="HV51" s="163"/>
      <c r="HW51" s="163"/>
      <c r="HX51" s="163"/>
      <c r="HY51" s="163"/>
      <c r="HZ51" s="163"/>
      <c r="IA51" s="163"/>
      <c r="IB51" s="163"/>
      <c r="IC51" s="1"/>
      <c r="IE51" s="53"/>
      <c r="IG51" s="163" t="s">
        <v>54</v>
      </c>
      <c r="IH51" s="163"/>
      <c r="II51" s="163"/>
      <c r="IJ51" s="163"/>
      <c r="IK51" s="163"/>
      <c r="IL51" s="163"/>
      <c r="IM51" s="163"/>
      <c r="IN51" s="163"/>
      <c r="IO51" s="163"/>
      <c r="IP51" s="163"/>
      <c r="IQ51" s="163"/>
      <c r="IR51" s="163"/>
      <c r="IS51" s="1"/>
      <c r="IU51" s="53"/>
      <c r="IW51" s="163" t="s">
        <v>54</v>
      </c>
      <c r="IX51" s="163"/>
      <c r="IY51" s="163"/>
      <c r="IZ51" s="163"/>
      <c r="JA51" s="163"/>
      <c r="JB51" s="163"/>
      <c r="JC51" s="163"/>
      <c r="JD51" s="163"/>
      <c r="JE51" s="163"/>
      <c r="JF51" s="163"/>
      <c r="JG51" s="163"/>
      <c r="JH51" s="163"/>
      <c r="JI51" s="1"/>
      <c r="JK51" s="53"/>
      <c r="JM51" s="163" t="s">
        <v>54</v>
      </c>
      <c r="JN51" s="163"/>
      <c r="JO51" s="163"/>
      <c r="JP51" s="163"/>
      <c r="JQ51" s="163"/>
      <c r="JR51" s="163"/>
      <c r="JS51" s="163"/>
      <c r="JT51" s="163"/>
      <c r="JU51" s="163"/>
      <c r="JV51" s="163"/>
      <c r="JW51" s="163"/>
      <c r="JX51" s="163"/>
      <c r="JY51" s="1"/>
      <c r="KA51" s="53"/>
      <c r="KC51" s="163" t="s">
        <v>54</v>
      </c>
      <c r="KD51" s="163"/>
      <c r="KE51" s="163"/>
      <c r="KF51" s="163"/>
      <c r="KG51" s="163"/>
      <c r="KH51" s="163"/>
      <c r="KI51" s="163"/>
      <c r="KJ51" s="163"/>
      <c r="KK51" s="163"/>
      <c r="KL51" s="163"/>
      <c r="KM51" s="163"/>
      <c r="KN51" s="163"/>
      <c r="KO51" s="1"/>
      <c r="KQ51" s="53"/>
      <c r="KS51" s="163" t="s">
        <v>54</v>
      </c>
      <c r="KT51" s="163"/>
      <c r="KU51" s="163"/>
      <c r="KV51" s="163"/>
      <c r="KW51" s="163"/>
      <c r="KX51" s="163"/>
      <c r="KY51" s="163"/>
      <c r="KZ51" s="163"/>
      <c r="LA51" s="163"/>
      <c r="LB51" s="163"/>
      <c r="LC51" s="163"/>
      <c r="LD51" s="163"/>
      <c r="LE51" s="1"/>
      <c r="LG51" s="53"/>
      <c r="LI51" s="163" t="s">
        <v>54</v>
      </c>
      <c r="LJ51" s="163"/>
      <c r="LK51" s="163"/>
      <c r="LL51" s="163"/>
      <c r="LM51" s="163"/>
      <c r="LN51" s="163"/>
      <c r="LO51" s="163"/>
      <c r="LP51" s="163"/>
      <c r="LQ51" s="163"/>
      <c r="LR51" s="163"/>
      <c r="LS51" s="163"/>
      <c r="LT51" s="163"/>
      <c r="LU51" s="1"/>
      <c r="LW51" s="53"/>
      <c r="LY51" s="163" t="s">
        <v>54</v>
      </c>
      <c r="LZ51" s="163"/>
      <c r="MA51" s="163"/>
      <c r="MB51" s="163"/>
      <c r="MC51" s="163"/>
      <c r="MD51" s="163"/>
      <c r="ME51" s="163"/>
      <c r="MF51" s="163"/>
      <c r="MG51" s="163"/>
      <c r="MH51" s="163"/>
      <c r="MI51" s="163"/>
      <c r="MJ51" s="163"/>
      <c r="MK51" s="1"/>
      <c r="MM51" s="53"/>
    </row>
    <row r="52" spans="1:352" ht="14.1" customHeight="1" x14ac:dyDescent="0.3">
      <c r="A52" s="163" t="s">
        <v>55</v>
      </c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"/>
      <c r="O52" s="53"/>
      <c r="Q52" s="163" t="s">
        <v>55</v>
      </c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"/>
      <c r="AE52" s="53"/>
      <c r="AG52" s="163" t="s">
        <v>55</v>
      </c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"/>
      <c r="AU52" s="53"/>
      <c r="AW52" s="163" t="s">
        <v>55</v>
      </c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"/>
      <c r="BK52" s="53"/>
      <c r="BM52" s="163" t="s">
        <v>55</v>
      </c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"/>
      <c r="CA52" s="53"/>
      <c r="CC52" s="163" t="s">
        <v>55</v>
      </c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"/>
      <c r="CQ52" s="53"/>
      <c r="CS52" s="163" t="s">
        <v>55</v>
      </c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"/>
      <c r="DG52" s="53"/>
      <c r="DI52" s="163" t="s">
        <v>55</v>
      </c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"/>
      <c r="DW52" s="53"/>
      <c r="DY52" s="163" t="s">
        <v>55</v>
      </c>
      <c r="DZ52" s="163"/>
      <c r="EA52" s="163"/>
      <c r="EB52" s="163"/>
      <c r="EC52" s="163"/>
      <c r="ED52" s="163"/>
      <c r="EE52" s="163"/>
      <c r="EF52" s="163"/>
      <c r="EG52" s="163"/>
      <c r="EH52" s="163"/>
      <c r="EI52" s="163"/>
      <c r="EJ52" s="163"/>
      <c r="EK52" s="1"/>
      <c r="EM52" s="53"/>
      <c r="EO52" s="163" t="s">
        <v>55</v>
      </c>
      <c r="EP52" s="163"/>
      <c r="EQ52" s="163"/>
      <c r="ER52" s="163"/>
      <c r="ES52" s="163"/>
      <c r="ET52" s="163"/>
      <c r="EU52" s="163"/>
      <c r="EV52" s="163"/>
      <c r="EW52" s="163"/>
      <c r="EX52" s="163"/>
      <c r="EY52" s="163"/>
      <c r="EZ52" s="163"/>
      <c r="FA52" s="1"/>
      <c r="FC52" s="53"/>
      <c r="FE52" s="163" t="s">
        <v>55</v>
      </c>
      <c r="FF52" s="163"/>
      <c r="FG52" s="163"/>
      <c r="FH52" s="163"/>
      <c r="FI52" s="163"/>
      <c r="FJ52" s="163"/>
      <c r="FK52" s="163"/>
      <c r="FL52" s="163"/>
      <c r="FM52" s="163"/>
      <c r="FN52" s="163"/>
      <c r="FO52" s="163"/>
      <c r="FP52" s="163"/>
      <c r="FQ52" s="1"/>
      <c r="FS52" s="53"/>
      <c r="FU52" s="163" t="s">
        <v>55</v>
      </c>
      <c r="FV52" s="163"/>
      <c r="FW52" s="163"/>
      <c r="FX52" s="163"/>
      <c r="FY52" s="163"/>
      <c r="FZ52" s="163"/>
      <c r="GA52" s="163"/>
      <c r="GB52" s="163"/>
      <c r="GC52" s="163"/>
      <c r="GD52" s="163"/>
      <c r="GE52" s="163"/>
      <c r="GF52" s="163"/>
      <c r="GG52" s="1"/>
      <c r="GI52" s="53"/>
      <c r="GK52" s="163" t="s">
        <v>55</v>
      </c>
      <c r="GL52" s="163"/>
      <c r="GM52" s="163"/>
      <c r="GN52" s="163"/>
      <c r="GO52" s="163"/>
      <c r="GP52" s="163"/>
      <c r="GQ52" s="163"/>
      <c r="GR52" s="163"/>
      <c r="GS52" s="163"/>
      <c r="GT52" s="163"/>
      <c r="GU52" s="163"/>
      <c r="GV52" s="163"/>
      <c r="GW52" s="1"/>
      <c r="GY52" s="53"/>
      <c r="HA52" s="163" t="s">
        <v>55</v>
      </c>
      <c r="HB52" s="163"/>
      <c r="HC52" s="163"/>
      <c r="HD52" s="163"/>
      <c r="HE52" s="163"/>
      <c r="HF52" s="163"/>
      <c r="HG52" s="163"/>
      <c r="HH52" s="163"/>
      <c r="HI52" s="163"/>
      <c r="HJ52" s="163"/>
      <c r="HK52" s="163"/>
      <c r="HL52" s="163"/>
      <c r="HM52" s="1"/>
      <c r="HO52" s="53"/>
      <c r="HQ52" s="163" t="s">
        <v>55</v>
      </c>
      <c r="HR52" s="163"/>
      <c r="HS52" s="163"/>
      <c r="HT52" s="163"/>
      <c r="HU52" s="163"/>
      <c r="HV52" s="163"/>
      <c r="HW52" s="163"/>
      <c r="HX52" s="163"/>
      <c r="HY52" s="163"/>
      <c r="HZ52" s="163"/>
      <c r="IA52" s="163"/>
      <c r="IB52" s="163"/>
      <c r="IC52" s="1"/>
      <c r="IE52" s="53"/>
      <c r="IG52" s="163" t="s">
        <v>55</v>
      </c>
      <c r="IH52" s="163"/>
      <c r="II52" s="163"/>
      <c r="IJ52" s="163"/>
      <c r="IK52" s="163"/>
      <c r="IL52" s="163"/>
      <c r="IM52" s="163"/>
      <c r="IN52" s="163"/>
      <c r="IO52" s="163"/>
      <c r="IP52" s="163"/>
      <c r="IQ52" s="163"/>
      <c r="IR52" s="163"/>
      <c r="IS52" s="1"/>
      <c r="IU52" s="53"/>
      <c r="IW52" s="163" t="s">
        <v>55</v>
      </c>
      <c r="IX52" s="163"/>
      <c r="IY52" s="163"/>
      <c r="IZ52" s="163"/>
      <c r="JA52" s="163"/>
      <c r="JB52" s="163"/>
      <c r="JC52" s="163"/>
      <c r="JD52" s="163"/>
      <c r="JE52" s="163"/>
      <c r="JF52" s="163"/>
      <c r="JG52" s="163"/>
      <c r="JH52" s="163"/>
      <c r="JI52" s="1"/>
      <c r="JK52" s="53"/>
      <c r="JM52" s="163" t="s">
        <v>55</v>
      </c>
      <c r="JN52" s="163"/>
      <c r="JO52" s="163"/>
      <c r="JP52" s="163"/>
      <c r="JQ52" s="163"/>
      <c r="JR52" s="163"/>
      <c r="JS52" s="163"/>
      <c r="JT52" s="163"/>
      <c r="JU52" s="163"/>
      <c r="JV52" s="163"/>
      <c r="JW52" s="163"/>
      <c r="JX52" s="163"/>
      <c r="JY52" s="1"/>
      <c r="KA52" s="53"/>
      <c r="KC52" s="163" t="s">
        <v>55</v>
      </c>
      <c r="KD52" s="163"/>
      <c r="KE52" s="163"/>
      <c r="KF52" s="163"/>
      <c r="KG52" s="163"/>
      <c r="KH52" s="163"/>
      <c r="KI52" s="163"/>
      <c r="KJ52" s="163"/>
      <c r="KK52" s="163"/>
      <c r="KL52" s="163"/>
      <c r="KM52" s="163"/>
      <c r="KN52" s="163"/>
      <c r="KO52" s="1"/>
      <c r="KQ52" s="53"/>
      <c r="KS52" s="163" t="s">
        <v>55</v>
      </c>
      <c r="KT52" s="163"/>
      <c r="KU52" s="163"/>
      <c r="KV52" s="163"/>
      <c r="KW52" s="163"/>
      <c r="KX52" s="163"/>
      <c r="KY52" s="163"/>
      <c r="KZ52" s="163"/>
      <c r="LA52" s="163"/>
      <c r="LB52" s="163"/>
      <c r="LC52" s="163"/>
      <c r="LD52" s="163"/>
      <c r="LE52" s="1"/>
      <c r="LG52" s="53"/>
      <c r="LI52" s="163" t="s">
        <v>55</v>
      </c>
      <c r="LJ52" s="163"/>
      <c r="LK52" s="163"/>
      <c r="LL52" s="163"/>
      <c r="LM52" s="163"/>
      <c r="LN52" s="163"/>
      <c r="LO52" s="163"/>
      <c r="LP52" s="163"/>
      <c r="LQ52" s="163"/>
      <c r="LR52" s="163"/>
      <c r="LS52" s="163"/>
      <c r="LT52" s="163"/>
      <c r="LU52" s="1"/>
      <c r="LW52" s="53"/>
      <c r="LY52" s="163" t="s">
        <v>55</v>
      </c>
      <c r="LZ52" s="163"/>
      <c r="MA52" s="163"/>
      <c r="MB52" s="163"/>
      <c r="MC52" s="163"/>
      <c r="MD52" s="163"/>
      <c r="ME52" s="163"/>
      <c r="MF52" s="163"/>
      <c r="MG52" s="163"/>
      <c r="MH52" s="163"/>
      <c r="MI52" s="163"/>
      <c r="MJ52" s="163"/>
      <c r="MK52" s="1"/>
      <c r="MM52" s="53"/>
    </row>
    <row r="53" spans="1:352" ht="14.1" customHeight="1" x14ac:dyDescent="0.3">
      <c r="A53" s="163" t="s">
        <v>56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"/>
      <c r="O53" s="53"/>
      <c r="Q53" s="163" t="s">
        <v>56</v>
      </c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"/>
      <c r="AE53" s="53"/>
      <c r="AG53" s="163" t="s">
        <v>56</v>
      </c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"/>
      <c r="AU53" s="53"/>
      <c r="AW53" s="163" t="s">
        <v>56</v>
      </c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"/>
      <c r="BK53" s="53"/>
      <c r="BM53" s="163" t="s">
        <v>56</v>
      </c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"/>
      <c r="CA53" s="53"/>
      <c r="CC53" s="163" t="s">
        <v>56</v>
      </c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"/>
      <c r="CQ53" s="53"/>
      <c r="CS53" s="163" t="s">
        <v>56</v>
      </c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"/>
      <c r="DG53" s="53"/>
      <c r="DI53" s="163" t="s">
        <v>56</v>
      </c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"/>
      <c r="DW53" s="53"/>
      <c r="DY53" s="163" t="s">
        <v>56</v>
      </c>
      <c r="DZ53" s="163"/>
      <c r="EA53" s="163"/>
      <c r="EB53" s="163"/>
      <c r="EC53" s="163"/>
      <c r="ED53" s="163"/>
      <c r="EE53" s="163"/>
      <c r="EF53" s="163"/>
      <c r="EG53" s="163"/>
      <c r="EH53" s="163"/>
      <c r="EI53" s="163"/>
      <c r="EJ53" s="163"/>
      <c r="EK53" s="1"/>
      <c r="EM53" s="53"/>
      <c r="EO53" s="163" t="s">
        <v>56</v>
      </c>
      <c r="EP53" s="163"/>
      <c r="EQ53" s="163"/>
      <c r="ER53" s="163"/>
      <c r="ES53" s="163"/>
      <c r="ET53" s="163"/>
      <c r="EU53" s="163"/>
      <c r="EV53" s="163"/>
      <c r="EW53" s="163"/>
      <c r="EX53" s="163"/>
      <c r="EY53" s="163"/>
      <c r="EZ53" s="163"/>
      <c r="FA53" s="1"/>
      <c r="FC53" s="53"/>
      <c r="FE53" s="163" t="s">
        <v>56</v>
      </c>
      <c r="FF53" s="163"/>
      <c r="FG53" s="163"/>
      <c r="FH53" s="163"/>
      <c r="FI53" s="163"/>
      <c r="FJ53" s="163"/>
      <c r="FK53" s="163"/>
      <c r="FL53" s="163"/>
      <c r="FM53" s="163"/>
      <c r="FN53" s="163"/>
      <c r="FO53" s="163"/>
      <c r="FP53" s="163"/>
      <c r="FQ53" s="1"/>
      <c r="FS53" s="53"/>
      <c r="FU53" s="163" t="s">
        <v>56</v>
      </c>
      <c r="FV53" s="163"/>
      <c r="FW53" s="163"/>
      <c r="FX53" s="163"/>
      <c r="FY53" s="163"/>
      <c r="FZ53" s="163"/>
      <c r="GA53" s="163"/>
      <c r="GB53" s="163"/>
      <c r="GC53" s="163"/>
      <c r="GD53" s="163"/>
      <c r="GE53" s="163"/>
      <c r="GF53" s="163"/>
      <c r="GG53" s="1"/>
      <c r="GI53" s="53"/>
      <c r="GK53" s="163" t="s">
        <v>56</v>
      </c>
      <c r="GL53" s="163"/>
      <c r="GM53" s="163"/>
      <c r="GN53" s="163"/>
      <c r="GO53" s="163"/>
      <c r="GP53" s="163"/>
      <c r="GQ53" s="163"/>
      <c r="GR53" s="163"/>
      <c r="GS53" s="163"/>
      <c r="GT53" s="163"/>
      <c r="GU53" s="163"/>
      <c r="GV53" s="163"/>
      <c r="GW53" s="1"/>
      <c r="GY53" s="53"/>
      <c r="HA53" s="163" t="s">
        <v>56</v>
      </c>
      <c r="HB53" s="163"/>
      <c r="HC53" s="163"/>
      <c r="HD53" s="163"/>
      <c r="HE53" s="163"/>
      <c r="HF53" s="163"/>
      <c r="HG53" s="163"/>
      <c r="HH53" s="163"/>
      <c r="HI53" s="163"/>
      <c r="HJ53" s="163"/>
      <c r="HK53" s="163"/>
      <c r="HL53" s="163"/>
      <c r="HM53" s="1"/>
      <c r="HO53" s="53"/>
      <c r="HQ53" s="163" t="s">
        <v>56</v>
      </c>
      <c r="HR53" s="163"/>
      <c r="HS53" s="163"/>
      <c r="HT53" s="163"/>
      <c r="HU53" s="163"/>
      <c r="HV53" s="163"/>
      <c r="HW53" s="163"/>
      <c r="HX53" s="163"/>
      <c r="HY53" s="163"/>
      <c r="HZ53" s="163"/>
      <c r="IA53" s="163"/>
      <c r="IB53" s="163"/>
      <c r="IC53" s="1"/>
      <c r="IE53" s="53"/>
      <c r="IG53" s="163" t="s">
        <v>56</v>
      </c>
      <c r="IH53" s="163"/>
      <c r="II53" s="163"/>
      <c r="IJ53" s="163"/>
      <c r="IK53" s="163"/>
      <c r="IL53" s="163"/>
      <c r="IM53" s="163"/>
      <c r="IN53" s="163"/>
      <c r="IO53" s="163"/>
      <c r="IP53" s="163"/>
      <c r="IQ53" s="163"/>
      <c r="IR53" s="163"/>
      <c r="IS53" s="1"/>
      <c r="IU53" s="53"/>
      <c r="IW53" s="163" t="s">
        <v>56</v>
      </c>
      <c r="IX53" s="163"/>
      <c r="IY53" s="163"/>
      <c r="IZ53" s="163"/>
      <c r="JA53" s="163"/>
      <c r="JB53" s="163"/>
      <c r="JC53" s="163"/>
      <c r="JD53" s="163"/>
      <c r="JE53" s="163"/>
      <c r="JF53" s="163"/>
      <c r="JG53" s="163"/>
      <c r="JH53" s="163"/>
      <c r="JI53" s="1"/>
      <c r="JK53" s="53"/>
      <c r="JM53" s="163" t="s">
        <v>56</v>
      </c>
      <c r="JN53" s="163"/>
      <c r="JO53" s="163"/>
      <c r="JP53" s="163"/>
      <c r="JQ53" s="163"/>
      <c r="JR53" s="163"/>
      <c r="JS53" s="163"/>
      <c r="JT53" s="163"/>
      <c r="JU53" s="163"/>
      <c r="JV53" s="163"/>
      <c r="JW53" s="163"/>
      <c r="JX53" s="163"/>
      <c r="JY53" s="1"/>
      <c r="KA53" s="53"/>
      <c r="KC53" s="163" t="s">
        <v>56</v>
      </c>
      <c r="KD53" s="163"/>
      <c r="KE53" s="163"/>
      <c r="KF53" s="163"/>
      <c r="KG53" s="163"/>
      <c r="KH53" s="163"/>
      <c r="KI53" s="163"/>
      <c r="KJ53" s="163"/>
      <c r="KK53" s="163"/>
      <c r="KL53" s="163"/>
      <c r="KM53" s="163"/>
      <c r="KN53" s="163"/>
      <c r="KO53" s="1"/>
      <c r="KQ53" s="53"/>
      <c r="KS53" s="163" t="s">
        <v>56</v>
      </c>
      <c r="KT53" s="163"/>
      <c r="KU53" s="163"/>
      <c r="KV53" s="163"/>
      <c r="KW53" s="163"/>
      <c r="KX53" s="163"/>
      <c r="KY53" s="163"/>
      <c r="KZ53" s="163"/>
      <c r="LA53" s="163"/>
      <c r="LB53" s="163"/>
      <c r="LC53" s="163"/>
      <c r="LD53" s="163"/>
      <c r="LE53" s="1"/>
      <c r="LG53" s="53"/>
      <c r="LI53" s="163" t="s">
        <v>56</v>
      </c>
      <c r="LJ53" s="163"/>
      <c r="LK53" s="163"/>
      <c r="LL53" s="163"/>
      <c r="LM53" s="163"/>
      <c r="LN53" s="163"/>
      <c r="LO53" s="163"/>
      <c r="LP53" s="163"/>
      <c r="LQ53" s="163"/>
      <c r="LR53" s="163"/>
      <c r="LS53" s="163"/>
      <c r="LT53" s="163"/>
      <c r="LU53" s="1"/>
      <c r="LW53" s="53"/>
      <c r="LY53" s="163" t="s">
        <v>56</v>
      </c>
      <c r="LZ53" s="163"/>
      <c r="MA53" s="163"/>
      <c r="MB53" s="163"/>
      <c r="MC53" s="163"/>
      <c r="MD53" s="163"/>
      <c r="ME53" s="163"/>
      <c r="MF53" s="163"/>
      <c r="MG53" s="163"/>
      <c r="MH53" s="163"/>
      <c r="MI53" s="163"/>
      <c r="MJ53" s="163"/>
      <c r="MK53" s="1"/>
      <c r="MM53" s="53"/>
    </row>
    <row r="54" spans="1:352" ht="14.1" customHeight="1" x14ac:dyDescent="0.3">
      <c r="A54" s="115" t="s">
        <v>57</v>
      </c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"/>
      <c r="O54" s="53"/>
      <c r="Q54" s="115" t="s">
        <v>57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"/>
      <c r="AE54" s="53"/>
      <c r="AG54" s="115" t="s">
        <v>57</v>
      </c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"/>
      <c r="AU54" s="53"/>
      <c r="AW54" s="115" t="s">
        <v>57</v>
      </c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"/>
      <c r="BK54" s="53"/>
      <c r="BM54" s="115" t="s">
        <v>57</v>
      </c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"/>
      <c r="CA54" s="53"/>
      <c r="CC54" s="115" t="s">
        <v>57</v>
      </c>
      <c r="CD54" s="115"/>
      <c r="CE54" s="115"/>
      <c r="CF54" s="115"/>
      <c r="CG54" s="115"/>
      <c r="CH54" s="115"/>
      <c r="CI54" s="115"/>
      <c r="CJ54" s="115"/>
      <c r="CK54" s="115"/>
      <c r="CL54" s="115"/>
      <c r="CM54" s="115"/>
      <c r="CN54" s="115"/>
      <c r="CO54" s="1"/>
      <c r="CQ54" s="53"/>
      <c r="CS54" s="115" t="s">
        <v>57</v>
      </c>
      <c r="CT54" s="115"/>
      <c r="CU54" s="115"/>
      <c r="CV54" s="115"/>
      <c r="CW54" s="115"/>
      <c r="CX54" s="115"/>
      <c r="CY54" s="115"/>
      <c r="CZ54" s="115"/>
      <c r="DA54" s="115"/>
      <c r="DB54" s="115"/>
      <c r="DC54" s="115"/>
      <c r="DD54" s="115"/>
      <c r="DE54" s="1"/>
      <c r="DG54" s="53"/>
      <c r="DI54" s="115" t="s">
        <v>57</v>
      </c>
      <c r="DJ54" s="115"/>
      <c r="DK54" s="115"/>
      <c r="DL54" s="115"/>
      <c r="DM54" s="115"/>
      <c r="DN54" s="115"/>
      <c r="DO54" s="115"/>
      <c r="DP54" s="115"/>
      <c r="DQ54" s="115"/>
      <c r="DR54" s="115"/>
      <c r="DS54" s="115"/>
      <c r="DT54" s="115"/>
      <c r="DU54" s="1"/>
      <c r="DW54" s="53"/>
      <c r="DY54" s="115" t="s">
        <v>57</v>
      </c>
      <c r="DZ54" s="115"/>
      <c r="EA54" s="115"/>
      <c r="EB54" s="115"/>
      <c r="EC54" s="115"/>
      <c r="ED54" s="115"/>
      <c r="EE54" s="115"/>
      <c r="EF54" s="115"/>
      <c r="EG54" s="115"/>
      <c r="EH54" s="115"/>
      <c r="EI54" s="115"/>
      <c r="EJ54" s="115"/>
      <c r="EK54" s="1"/>
      <c r="EM54" s="53"/>
      <c r="EO54" s="115" t="s">
        <v>57</v>
      </c>
      <c r="EP54" s="115"/>
      <c r="EQ54" s="115"/>
      <c r="ER54" s="115"/>
      <c r="ES54" s="115"/>
      <c r="ET54" s="115"/>
      <c r="EU54" s="115"/>
      <c r="EV54" s="115"/>
      <c r="EW54" s="115"/>
      <c r="EX54" s="115"/>
      <c r="EY54" s="115"/>
      <c r="EZ54" s="115"/>
      <c r="FA54" s="1"/>
      <c r="FC54" s="53"/>
      <c r="FE54" s="115" t="s">
        <v>57</v>
      </c>
      <c r="FF54" s="115"/>
      <c r="FG54" s="115"/>
      <c r="FH54" s="115"/>
      <c r="FI54" s="115"/>
      <c r="FJ54" s="115"/>
      <c r="FK54" s="115"/>
      <c r="FL54" s="115"/>
      <c r="FM54" s="115"/>
      <c r="FN54" s="115"/>
      <c r="FO54" s="115"/>
      <c r="FP54" s="115"/>
      <c r="FQ54" s="1"/>
      <c r="FS54" s="53"/>
      <c r="FU54" s="115" t="s">
        <v>57</v>
      </c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  <c r="GG54" s="1"/>
      <c r="GI54" s="53"/>
      <c r="GK54" s="115" t="s">
        <v>57</v>
      </c>
      <c r="GL54" s="115"/>
      <c r="GM54" s="115"/>
      <c r="GN54" s="115"/>
      <c r="GO54" s="115"/>
      <c r="GP54" s="115"/>
      <c r="GQ54" s="115"/>
      <c r="GR54" s="115"/>
      <c r="GS54" s="115"/>
      <c r="GT54" s="115"/>
      <c r="GU54" s="115"/>
      <c r="GV54" s="115"/>
      <c r="GW54" s="1"/>
      <c r="GY54" s="53"/>
      <c r="HA54" s="115" t="s">
        <v>57</v>
      </c>
      <c r="HB54" s="115"/>
      <c r="HC54" s="115"/>
      <c r="HD54" s="115"/>
      <c r="HE54" s="115"/>
      <c r="HF54" s="115"/>
      <c r="HG54" s="115"/>
      <c r="HH54" s="115"/>
      <c r="HI54" s="115"/>
      <c r="HJ54" s="115"/>
      <c r="HK54" s="115"/>
      <c r="HL54" s="115"/>
      <c r="HM54" s="1"/>
      <c r="HO54" s="53"/>
      <c r="HQ54" s="115" t="s">
        <v>57</v>
      </c>
      <c r="HR54" s="115"/>
      <c r="HS54" s="115"/>
      <c r="HT54" s="115"/>
      <c r="HU54" s="115"/>
      <c r="HV54" s="115"/>
      <c r="HW54" s="115"/>
      <c r="HX54" s="115"/>
      <c r="HY54" s="115"/>
      <c r="HZ54" s="115"/>
      <c r="IA54" s="115"/>
      <c r="IB54" s="115"/>
      <c r="IC54" s="1"/>
      <c r="IE54" s="53"/>
      <c r="IG54" s="115" t="s">
        <v>57</v>
      </c>
      <c r="IH54" s="115"/>
      <c r="II54" s="115"/>
      <c r="IJ54" s="115"/>
      <c r="IK54" s="115"/>
      <c r="IL54" s="115"/>
      <c r="IM54" s="115"/>
      <c r="IN54" s="115"/>
      <c r="IO54" s="115"/>
      <c r="IP54" s="115"/>
      <c r="IQ54" s="115"/>
      <c r="IR54" s="115"/>
      <c r="IS54" s="1"/>
      <c r="IU54" s="53"/>
      <c r="IW54" s="115" t="s">
        <v>57</v>
      </c>
      <c r="IX54" s="115"/>
      <c r="IY54" s="115"/>
      <c r="IZ54" s="115"/>
      <c r="JA54" s="115"/>
      <c r="JB54" s="115"/>
      <c r="JC54" s="115"/>
      <c r="JD54" s="115"/>
      <c r="JE54" s="115"/>
      <c r="JF54" s="115"/>
      <c r="JG54" s="115"/>
      <c r="JH54" s="115"/>
      <c r="JI54" s="1"/>
      <c r="JK54" s="53"/>
      <c r="JM54" s="115" t="s">
        <v>57</v>
      </c>
      <c r="JN54" s="115"/>
      <c r="JO54" s="115"/>
      <c r="JP54" s="115"/>
      <c r="JQ54" s="115"/>
      <c r="JR54" s="115"/>
      <c r="JS54" s="115"/>
      <c r="JT54" s="115"/>
      <c r="JU54" s="115"/>
      <c r="JV54" s="115"/>
      <c r="JW54" s="115"/>
      <c r="JX54" s="115"/>
      <c r="JY54" s="1"/>
      <c r="KA54" s="53"/>
      <c r="KC54" s="115" t="s">
        <v>57</v>
      </c>
      <c r="KD54" s="115"/>
      <c r="KE54" s="115"/>
      <c r="KF54" s="115"/>
      <c r="KG54" s="115"/>
      <c r="KH54" s="115"/>
      <c r="KI54" s="115"/>
      <c r="KJ54" s="115"/>
      <c r="KK54" s="115"/>
      <c r="KL54" s="115"/>
      <c r="KM54" s="115"/>
      <c r="KN54" s="115"/>
      <c r="KO54" s="1"/>
      <c r="KQ54" s="53"/>
      <c r="KS54" s="115" t="s">
        <v>57</v>
      </c>
      <c r="KT54" s="115"/>
      <c r="KU54" s="115"/>
      <c r="KV54" s="115"/>
      <c r="KW54" s="115"/>
      <c r="KX54" s="115"/>
      <c r="KY54" s="115"/>
      <c r="KZ54" s="115"/>
      <c r="LA54" s="115"/>
      <c r="LB54" s="115"/>
      <c r="LC54" s="115"/>
      <c r="LD54" s="115"/>
      <c r="LE54" s="1"/>
      <c r="LG54" s="53"/>
      <c r="LI54" s="115" t="s">
        <v>57</v>
      </c>
      <c r="LJ54" s="115"/>
      <c r="LK54" s="115"/>
      <c r="LL54" s="115"/>
      <c r="LM54" s="115"/>
      <c r="LN54" s="115"/>
      <c r="LO54" s="115"/>
      <c r="LP54" s="115"/>
      <c r="LQ54" s="115"/>
      <c r="LR54" s="115"/>
      <c r="LS54" s="115"/>
      <c r="LT54" s="115"/>
      <c r="LU54" s="1"/>
      <c r="LW54" s="53"/>
      <c r="LY54" s="115" t="s">
        <v>57</v>
      </c>
      <c r="LZ54" s="115"/>
      <c r="MA54" s="115"/>
      <c r="MB54" s="115"/>
      <c r="MC54" s="115"/>
      <c r="MD54" s="115"/>
      <c r="ME54" s="115"/>
      <c r="MF54" s="115"/>
      <c r="MG54" s="115"/>
      <c r="MH54" s="115"/>
      <c r="MI54" s="115"/>
      <c r="MJ54" s="115"/>
      <c r="MK54" s="1"/>
      <c r="MM54" s="53"/>
    </row>
    <row r="55" spans="1:352" ht="14.1" customHeight="1" x14ac:dyDescent="0.3">
      <c r="A55" s="115" t="s">
        <v>58</v>
      </c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"/>
      <c r="O55" s="53"/>
      <c r="Q55" s="115" t="s">
        <v>58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"/>
      <c r="AE55" s="53"/>
      <c r="AG55" s="115" t="s">
        <v>58</v>
      </c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"/>
      <c r="AU55" s="53"/>
      <c r="AW55" s="115" t="s">
        <v>58</v>
      </c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"/>
      <c r="BK55" s="53"/>
      <c r="BM55" s="115" t="s">
        <v>58</v>
      </c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"/>
      <c r="CA55" s="53"/>
      <c r="CC55" s="115" t="s">
        <v>58</v>
      </c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"/>
      <c r="CQ55" s="53"/>
      <c r="CS55" s="115" t="s">
        <v>58</v>
      </c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"/>
      <c r="DG55" s="53"/>
      <c r="DI55" s="115" t="s">
        <v>58</v>
      </c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"/>
      <c r="DW55" s="53"/>
      <c r="DY55" s="115" t="s">
        <v>58</v>
      </c>
      <c r="DZ55" s="115"/>
      <c r="EA55" s="115"/>
      <c r="EB55" s="115"/>
      <c r="EC55" s="115"/>
      <c r="ED55" s="115"/>
      <c r="EE55" s="115"/>
      <c r="EF55" s="115"/>
      <c r="EG55" s="115"/>
      <c r="EH55" s="115"/>
      <c r="EI55" s="115"/>
      <c r="EJ55" s="115"/>
      <c r="EK55" s="1"/>
      <c r="EM55" s="53"/>
      <c r="EO55" s="115" t="s">
        <v>58</v>
      </c>
      <c r="EP55" s="115"/>
      <c r="EQ55" s="115"/>
      <c r="ER55" s="115"/>
      <c r="ES55" s="115"/>
      <c r="ET55" s="115"/>
      <c r="EU55" s="115"/>
      <c r="EV55" s="115"/>
      <c r="EW55" s="115"/>
      <c r="EX55" s="115"/>
      <c r="EY55" s="115"/>
      <c r="EZ55" s="115"/>
      <c r="FA55" s="1"/>
      <c r="FC55" s="53"/>
      <c r="FE55" s="115" t="s">
        <v>58</v>
      </c>
      <c r="FF55" s="115"/>
      <c r="FG55" s="115"/>
      <c r="FH55" s="115"/>
      <c r="FI55" s="115"/>
      <c r="FJ55" s="115"/>
      <c r="FK55" s="115"/>
      <c r="FL55" s="115"/>
      <c r="FM55" s="115"/>
      <c r="FN55" s="115"/>
      <c r="FO55" s="115"/>
      <c r="FP55" s="115"/>
      <c r="FQ55" s="1"/>
      <c r="FS55" s="53"/>
      <c r="FU55" s="115" t="s">
        <v>58</v>
      </c>
      <c r="FV55" s="115"/>
      <c r="FW55" s="115"/>
      <c r="FX55" s="115"/>
      <c r="FY55" s="115"/>
      <c r="FZ55" s="115"/>
      <c r="GA55" s="115"/>
      <c r="GB55" s="115"/>
      <c r="GC55" s="115"/>
      <c r="GD55" s="115"/>
      <c r="GE55" s="115"/>
      <c r="GF55" s="115"/>
      <c r="GG55" s="1"/>
      <c r="GI55" s="53"/>
      <c r="GK55" s="115" t="s">
        <v>58</v>
      </c>
      <c r="GL55" s="115"/>
      <c r="GM55" s="115"/>
      <c r="GN55" s="115"/>
      <c r="GO55" s="115"/>
      <c r="GP55" s="115"/>
      <c r="GQ55" s="115"/>
      <c r="GR55" s="115"/>
      <c r="GS55" s="115"/>
      <c r="GT55" s="115"/>
      <c r="GU55" s="115"/>
      <c r="GV55" s="115"/>
      <c r="GW55" s="1"/>
      <c r="GY55" s="53"/>
      <c r="HA55" s="115" t="s">
        <v>58</v>
      </c>
      <c r="HB55" s="115"/>
      <c r="HC55" s="115"/>
      <c r="HD55" s="115"/>
      <c r="HE55" s="115"/>
      <c r="HF55" s="115"/>
      <c r="HG55" s="115"/>
      <c r="HH55" s="115"/>
      <c r="HI55" s="115"/>
      <c r="HJ55" s="115"/>
      <c r="HK55" s="115"/>
      <c r="HL55" s="115"/>
      <c r="HM55" s="1"/>
      <c r="HO55" s="53"/>
      <c r="HQ55" s="115" t="s">
        <v>58</v>
      </c>
      <c r="HR55" s="115"/>
      <c r="HS55" s="115"/>
      <c r="HT55" s="115"/>
      <c r="HU55" s="115"/>
      <c r="HV55" s="115"/>
      <c r="HW55" s="115"/>
      <c r="HX55" s="115"/>
      <c r="HY55" s="115"/>
      <c r="HZ55" s="115"/>
      <c r="IA55" s="115"/>
      <c r="IB55" s="115"/>
      <c r="IC55" s="1"/>
      <c r="IE55" s="53"/>
      <c r="IG55" s="115" t="s">
        <v>58</v>
      </c>
      <c r="IH55" s="115"/>
      <c r="II55" s="115"/>
      <c r="IJ55" s="115"/>
      <c r="IK55" s="115"/>
      <c r="IL55" s="115"/>
      <c r="IM55" s="115"/>
      <c r="IN55" s="115"/>
      <c r="IO55" s="115"/>
      <c r="IP55" s="115"/>
      <c r="IQ55" s="115"/>
      <c r="IR55" s="115"/>
      <c r="IS55" s="1"/>
      <c r="IU55" s="53"/>
      <c r="IW55" s="115" t="s">
        <v>58</v>
      </c>
      <c r="IX55" s="115"/>
      <c r="IY55" s="115"/>
      <c r="IZ55" s="115"/>
      <c r="JA55" s="115"/>
      <c r="JB55" s="115"/>
      <c r="JC55" s="115"/>
      <c r="JD55" s="115"/>
      <c r="JE55" s="115"/>
      <c r="JF55" s="115"/>
      <c r="JG55" s="115"/>
      <c r="JH55" s="115"/>
      <c r="JI55" s="1"/>
      <c r="JK55" s="53"/>
      <c r="JM55" s="115" t="s">
        <v>58</v>
      </c>
      <c r="JN55" s="115"/>
      <c r="JO55" s="115"/>
      <c r="JP55" s="115"/>
      <c r="JQ55" s="115"/>
      <c r="JR55" s="115"/>
      <c r="JS55" s="115"/>
      <c r="JT55" s="115"/>
      <c r="JU55" s="115"/>
      <c r="JV55" s="115"/>
      <c r="JW55" s="115"/>
      <c r="JX55" s="115"/>
      <c r="JY55" s="1"/>
      <c r="KA55" s="53"/>
      <c r="KC55" s="115" t="s">
        <v>58</v>
      </c>
      <c r="KD55" s="115"/>
      <c r="KE55" s="115"/>
      <c r="KF55" s="115"/>
      <c r="KG55" s="115"/>
      <c r="KH55" s="115"/>
      <c r="KI55" s="115"/>
      <c r="KJ55" s="115"/>
      <c r="KK55" s="115"/>
      <c r="KL55" s="115"/>
      <c r="KM55" s="115"/>
      <c r="KN55" s="115"/>
      <c r="KO55" s="1"/>
      <c r="KQ55" s="53"/>
      <c r="KS55" s="115" t="s">
        <v>58</v>
      </c>
      <c r="KT55" s="115"/>
      <c r="KU55" s="115"/>
      <c r="KV55" s="115"/>
      <c r="KW55" s="115"/>
      <c r="KX55" s="115"/>
      <c r="KY55" s="115"/>
      <c r="KZ55" s="115"/>
      <c r="LA55" s="115"/>
      <c r="LB55" s="115"/>
      <c r="LC55" s="115"/>
      <c r="LD55" s="115"/>
      <c r="LE55" s="1"/>
      <c r="LG55" s="53"/>
      <c r="LI55" s="115" t="s">
        <v>58</v>
      </c>
      <c r="LJ55" s="115"/>
      <c r="LK55" s="115"/>
      <c r="LL55" s="115"/>
      <c r="LM55" s="115"/>
      <c r="LN55" s="115"/>
      <c r="LO55" s="115"/>
      <c r="LP55" s="115"/>
      <c r="LQ55" s="115"/>
      <c r="LR55" s="115"/>
      <c r="LS55" s="115"/>
      <c r="LT55" s="115"/>
      <c r="LU55" s="1"/>
      <c r="LW55" s="53"/>
      <c r="LY55" s="115" t="s">
        <v>58</v>
      </c>
      <c r="LZ55" s="115"/>
      <c r="MA55" s="115"/>
      <c r="MB55" s="115"/>
      <c r="MC55" s="115"/>
      <c r="MD55" s="115"/>
      <c r="ME55" s="115"/>
      <c r="MF55" s="115"/>
      <c r="MG55" s="115"/>
      <c r="MH55" s="115"/>
      <c r="MI55" s="115"/>
      <c r="MJ55" s="115"/>
      <c r="MK55" s="1"/>
      <c r="MM55" s="53"/>
    </row>
    <row r="56" spans="1:352" s="2" customFormat="1" ht="14.1" customHeight="1" thickBot="1" x14ac:dyDescent="0.35">
      <c r="A56" s="115" t="s">
        <v>59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O56" s="54"/>
      <c r="Q56" s="115" t="s">
        <v>59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E56" s="54"/>
      <c r="AG56" s="115" t="s">
        <v>59</v>
      </c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U56" s="54"/>
      <c r="AW56" s="115" t="s">
        <v>59</v>
      </c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K56" s="54"/>
      <c r="BM56" s="115" t="s">
        <v>59</v>
      </c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CA56" s="54"/>
      <c r="CC56" s="115" t="s">
        <v>59</v>
      </c>
      <c r="CD56" s="115"/>
      <c r="CE56" s="115"/>
      <c r="CF56" s="115"/>
      <c r="CG56" s="115"/>
      <c r="CH56" s="115"/>
      <c r="CI56" s="115"/>
      <c r="CJ56" s="115"/>
      <c r="CK56" s="115"/>
      <c r="CL56" s="115"/>
      <c r="CM56" s="115"/>
      <c r="CN56" s="115"/>
      <c r="CQ56" s="54"/>
      <c r="CS56" s="115" t="s">
        <v>59</v>
      </c>
      <c r="CT56" s="115"/>
      <c r="CU56" s="115"/>
      <c r="CV56" s="115"/>
      <c r="CW56" s="115"/>
      <c r="CX56" s="115"/>
      <c r="CY56" s="115"/>
      <c r="CZ56" s="115"/>
      <c r="DA56" s="115"/>
      <c r="DB56" s="115"/>
      <c r="DC56" s="115"/>
      <c r="DD56" s="115"/>
      <c r="DG56" s="54"/>
      <c r="DI56" s="115" t="s">
        <v>59</v>
      </c>
      <c r="DJ56" s="115"/>
      <c r="DK56" s="115"/>
      <c r="DL56" s="115"/>
      <c r="DM56" s="115"/>
      <c r="DN56" s="115"/>
      <c r="DO56" s="115"/>
      <c r="DP56" s="115"/>
      <c r="DQ56" s="115"/>
      <c r="DR56" s="115"/>
      <c r="DS56" s="115"/>
      <c r="DT56" s="115"/>
      <c r="DW56" s="54"/>
      <c r="DY56" s="115" t="s">
        <v>59</v>
      </c>
      <c r="DZ56" s="115"/>
      <c r="EA56" s="115"/>
      <c r="EB56" s="115"/>
      <c r="EC56" s="115"/>
      <c r="ED56" s="115"/>
      <c r="EE56" s="115"/>
      <c r="EF56" s="115"/>
      <c r="EG56" s="115"/>
      <c r="EH56" s="115"/>
      <c r="EI56" s="115"/>
      <c r="EJ56" s="115"/>
      <c r="EM56" s="54"/>
      <c r="EO56" s="115" t="s">
        <v>59</v>
      </c>
      <c r="EP56" s="115"/>
      <c r="EQ56" s="115"/>
      <c r="ER56" s="115"/>
      <c r="ES56" s="115"/>
      <c r="ET56" s="115"/>
      <c r="EU56" s="115"/>
      <c r="EV56" s="115"/>
      <c r="EW56" s="115"/>
      <c r="EX56" s="115"/>
      <c r="EY56" s="115"/>
      <c r="EZ56" s="115"/>
      <c r="FC56" s="54"/>
      <c r="FE56" s="115" t="s">
        <v>59</v>
      </c>
      <c r="FF56" s="115"/>
      <c r="FG56" s="115"/>
      <c r="FH56" s="115"/>
      <c r="FI56" s="115"/>
      <c r="FJ56" s="115"/>
      <c r="FK56" s="115"/>
      <c r="FL56" s="115"/>
      <c r="FM56" s="115"/>
      <c r="FN56" s="115"/>
      <c r="FO56" s="115"/>
      <c r="FP56" s="115"/>
      <c r="FS56" s="54"/>
      <c r="FU56" s="115" t="s">
        <v>59</v>
      </c>
      <c r="FV56" s="115"/>
      <c r="FW56" s="115"/>
      <c r="FX56" s="115"/>
      <c r="FY56" s="115"/>
      <c r="FZ56" s="115"/>
      <c r="GA56" s="115"/>
      <c r="GB56" s="115"/>
      <c r="GC56" s="115"/>
      <c r="GD56" s="115"/>
      <c r="GE56" s="115"/>
      <c r="GF56" s="115"/>
      <c r="GI56" s="54"/>
      <c r="GK56" s="115" t="s">
        <v>59</v>
      </c>
      <c r="GL56" s="115"/>
      <c r="GM56" s="115"/>
      <c r="GN56" s="115"/>
      <c r="GO56" s="115"/>
      <c r="GP56" s="115"/>
      <c r="GQ56" s="115"/>
      <c r="GR56" s="115"/>
      <c r="GS56" s="115"/>
      <c r="GT56" s="115"/>
      <c r="GU56" s="115"/>
      <c r="GV56" s="115"/>
      <c r="GY56" s="54"/>
      <c r="HA56" s="115" t="s">
        <v>59</v>
      </c>
      <c r="HB56" s="115"/>
      <c r="HC56" s="115"/>
      <c r="HD56" s="115"/>
      <c r="HE56" s="115"/>
      <c r="HF56" s="115"/>
      <c r="HG56" s="115"/>
      <c r="HH56" s="115"/>
      <c r="HI56" s="115"/>
      <c r="HJ56" s="115"/>
      <c r="HK56" s="115"/>
      <c r="HL56" s="115"/>
      <c r="HO56" s="54"/>
      <c r="HQ56" s="115" t="s">
        <v>59</v>
      </c>
      <c r="HR56" s="115"/>
      <c r="HS56" s="115"/>
      <c r="HT56" s="115"/>
      <c r="HU56" s="115"/>
      <c r="HV56" s="115"/>
      <c r="HW56" s="115"/>
      <c r="HX56" s="115"/>
      <c r="HY56" s="115"/>
      <c r="HZ56" s="115"/>
      <c r="IA56" s="115"/>
      <c r="IB56" s="115"/>
      <c r="IE56" s="54"/>
      <c r="IG56" s="115" t="s">
        <v>59</v>
      </c>
      <c r="IH56" s="115"/>
      <c r="II56" s="115"/>
      <c r="IJ56" s="115"/>
      <c r="IK56" s="115"/>
      <c r="IL56" s="115"/>
      <c r="IM56" s="115"/>
      <c r="IN56" s="115"/>
      <c r="IO56" s="115"/>
      <c r="IP56" s="115"/>
      <c r="IQ56" s="115"/>
      <c r="IR56" s="115"/>
      <c r="IU56" s="54"/>
      <c r="IW56" s="115" t="s">
        <v>59</v>
      </c>
      <c r="IX56" s="115"/>
      <c r="IY56" s="115"/>
      <c r="IZ56" s="115"/>
      <c r="JA56" s="115"/>
      <c r="JB56" s="115"/>
      <c r="JC56" s="115"/>
      <c r="JD56" s="115"/>
      <c r="JE56" s="115"/>
      <c r="JF56" s="115"/>
      <c r="JG56" s="115"/>
      <c r="JH56" s="115"/>
      <c r="JK56" s="54"/>
      <c r="JM56" s="115" t="s">
        <v>59</v>
      </c>
      <c r="JN56" s="115"/>
      <c r="JO56" s="115"/>
      <c r="JP56" s="115"/>
      <c r="JQ56" s="115"/>
      <c r="JR56" s="115"/>
      <c r="JS56" s="115"/>
      <c r="JT56" s="115"/>
      <c r="JU56" s="115"/>
      <c r="JV56" s="115"/>
      <c r="JW56" s="115"/>
      <c r="JX56" s="115"/>
      <c r="KA56" s="54"/>
      <c r="KC56" s="115" t="s">
        <v>59</v>
      </c>
      <c r="KD56" s="115"/>
      <c r="KE56" s="115"/>
      <c r="KF56" s="115"/>
      <c r="KG56" s="115"/>
      <c r="KH56" s="115"/>
      <c r="KI56" s="115"/>
      <c r="KJ56" s="115"/>
      <c r="KK56" s="115"/>
      <c r="KL56" s="115"/>
      <c r="KM56" s="115"/>
      <c r="KN56" s="115"/>
      <c r="KQ56" s="54"/>
      <c r="KS56" s="115" t="s">
        <v>59</v>
      </c>
      <c r="KT56" s="115"/>
      <c r="KU56" s="115"/>
      <c r="KV56" s="115"/>
      <c r="KW56" s="115"/>
      <c r="KX56" s="115"/>
      <c r="KY56" s="115"/>
      <c r="KZ56" s="115"/>
      <c r="LA56" s="115"/>
      <c r="LB56" s="115"/>
      <c r="LC56" s="115"/>
      <c r="LD56" s="115"/>
      <c r="LG56" s="54"/>
      <c r="LI56" s="115" t="s">
        <v>59</v>
      </c>
      <c r="LJ56" s="115"/>
      <c r="LK56" s="115"/>
      <c r="LL56" s="115"/>
      <c r="LM56" s="115"/>
      <c r="LN56" s="115"/>
      <c r="LO56" s="115"/>
      <c r="LP56" s="115"/>
      <c r="LQ56" s="115"/>
      <c r="LR56" s="115"/>
      <c r="LS56" s="115"/>
      <c r="LT56" s="115"/>
      <c r="LW56" s="54"/>
      <c r="LY56" s="115" t="s">
        <v>59</v>
      </c>
      <c r="LZ56" s="115"/>
      <c r="MA56" s="115"/>
      <c r="MB56" s="115"/>
      <c r="MC56" s="115"/>
      <c r="MD56" s="115"/>
      <c r="ME56" s="115"/>
      <c r="MF56" s="115"/>
      <c r="MG56" s="115"/>
      <c r="MH56" s="115"/>
      <c r="MI56" s="115"/>
      <c r="MJ56" s="115"/>
      <c r="MM56" s="54"/>
    </row>
    <row r="57" spans="1:352" s="3" customFormat="1" ht="14.1" customHeight="1" x14ac:dyDescent="0.3">
      <c r="A57" s="115" t="s">
        <v>60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2"/>
      <c r="N57" s="2"/>
      <c r="O57" s="54"/>
      <c r="P57" s="2"/>
      <c r="Q57" s="115" t="s">
        <v>60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2"/>
      <c r="AD57" s="2"/>
      <c r="AE57" s="54"/>
      <c r="AF57" s="2"/>
      <c r="AG57" s="115" t="s">
        <v>60</v>
      </c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2"/>
      <c r="AT57" s="2"/>
      <c r="AU57" s="54"/>
      <c r="AV57" s="2"/>
      <c r="AW57" s="115" t="s">
        <v>60</v>
      </c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2"/>
      <c r="BJ57" s="2"/>
      <c r="BK57" s="54"/>
      <c r="BL57" s="2"/>
      <c r="BM57" s="115" t="s">
        <v>60</v>
      </c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2"/>
      <c r="BZ57" s="2"/>
      <c r="CA57" s="54"/>
      <c r="CB57" s="2"/>
      <c r="CC57" s="115" t="s">
        <v>60</v>
      </c>
      <c r="CD57" s="115"/>
      <c r="CE57" s="115"/>
      <c r="CF57" s="115"/>
      <c r="CG57" s="115"/>
      <c r="CH57" s="115"/>
      <c r="CI57" s="115"/>
      <c r="CJ57" s="115"/>
      <c r="CK57" s="115"/>
      <c r="CL57" s="115"/>
      <c r="CM57" s="115"/>
      <c r="CN57" s="115"/>
      <c r="CO57" s="2"/>
      <c r="CP57" s="2"/>
      <c r="CQ57" s="54"/>
      <c r="CR57" s="2"/>
      <c r="CS57" s="115" t="s">
        <v>60</v>
      </c>
      <c r="CT57" s="115"/>
      <c r="CU57" s="115"/>
      <c r="CV57" s="115"/>
      <c r="CW57" s="115"/>
      <c r="CX57" s="115"/>
      <c r="CY57" s="115"/>
      <c r="CZ57" s="115"/>
      <c r="DA57" s="115"/>
      <c r="DB57" s="115"/>
      <c r="DC57" s="115"/>
      <c r="DD57" s="115"/>
      <c r="DE57" s="2"/>
      <c r="DF57" s="2"/>
      <c r="DG57" s="54"/>
      <c r="DH57" s="2"/>
      <c r="DI57" s="115" t="s">
        <v>60</v>
      </c>
      <c r="DJ57" s="115"/>
      <c r="DK57" s="115"/>
      <c r="DL57" s="115"/>
      <c r="DM57" s="115"/>
      <c r="DN57" s="115"/>
      <c r="DO57" s="115"/>
      <c r="DP57" s="115"/>
      <c r="DQ57" s="115"/>
      <c r="DR57" s="115"/>
      <c r="DS57" s="115"/>
      <c r="DT57" s="115"/>
      <c r="DU57" s="2"/>
      <c r="DV57" s="2"/>
      <c r="DW57" s="54"/>
      <c r="DX57" s="2"/>
      <c r="DY57" s="115" t="s">
        <v>60</v>
      </c>
      <c r="DZ57" s="115"/>
      <c r="EA57" s="115"/>
      <c r="EB57" s="115"/>
      <c r="EC57" s="115"/>
      <c r="ED57" s="115"/>
      <c r="EE57" s="115"/>
      <c r="EF57" s="115"/>
      <c r="EG57" s="115"/>
      <c r="EH57" s="115"/>
      <c r="EI57" s="115"/>
      <c r="EJ57" s="115"/>
      <c r="EK57" s="2"/>
      <c r="EL57" s="2"/>
      <c r="EM57" s="54"/>
      <c r="EN57" s="2"/>
      <c r="EO57" s="115" t="s">
        <v>60</v>
      </c>
      <c r="EP57" s="115"/>
      <c r="EQ57" s="115"/>
      <c r="ER57" s="115"/>
      <c r="ES57" s="115"/>
      <c r="ET57" s="115"/>
      <c r="EU57" s="115"/>
      <c r="EV57" s="115"/>
      <c r="EW57" s="115"/>
      <c r="EX57" s="115"/>
      <c r="EY57" s="115"/>
      <c r="EZ57" s="115"/>
      <c r="FA57" s="2"/>
      <c r="FB57" s="2"/>
      <c r="FC57" s="54"/>
      <c r="FD57" s="2"/>
      <c r="FE57" s="115" t="s">
        <v>60</v>
      </c>
      <c r="FF57" s="115"/>
      <c r="FG57" s="115"/>
      <c r="FH57" s="115"/>
      <c r="FI57" s="115"/>
      <c r="FJ57" s="115"/>
      <c r="FK57" s="115"/>
      <c r="FL57" s="115"/>
      <c r="FM57" s="115"/>
      <c r="FN57" s="115"/>
      <c r="FO57" s="115"/>
      <c r="FP57" s="115"/>
      <c r="FQ57" s="2"/>
      <c r="FR57" s="2"/>
      <c r="FS57" s="54"/>
      <c r="FT57" s="2"/>
      <c r="FU57" s="115" t="s">
        <v>60</v>
      </c>
      <c r="FV57" s="115"/>
      <c r="FW57" s="115"/>
      <c r="FX57" s="115"/>
      <c r="FY57" s="115"/>
      <c r="FZ57" s="115"/>
      <c r="GA57" s="115"/>
      <c r="GB57" s="115"/>
      <c r="GC57" s="115"/>
      <c r="GD57" s="115"/>
      <c r="GE57" s="115"/>
      <c r="GF57" s="115"/>
      <c r="GG57" s="2"/>
      <c r="GH57" s="2"/>
      <c r="GI57" s="54"/>
      <c r="GJ57" s="2"/>
      <c r="GK57" s="115" t="s">
        <v>60</v>
      </c>
      <c r="GL57" s="115"/>
      <c r="GM57" s="115"/>
      <c r="GN57" s="115"/>
      <c r="GO57" s="115"/>
      <c r="GP57" s="115"/>
      <c r="GQ57" s="115"/>
      <c r="GR57" s="115"/>
      <c r="GS57" s="115"/>
      <c r="GT57" s="115"/>
      <c r="GU57" s="115"/>
      <c r="GV57" s="115"/>
      <c r="GW57" s="2"/>
      <c r="GX57" s="2"/>
      <c r="GY57" s="54"/>
      <c r="GZ57" s="2"/>
      <c r="HA57" s="115" t="s">
        <v>60</v>
      </c>
      <c r="HB57" s="115"/>
      <c r="HC57" s="115"/>
      <c r="HD57" s="115"/>
      <c r="HE57" s="115"/>
      <c r="HF57" s="115"/>
      <c r="HG57" s="115"/>
      <c r="HH57" s="115"/>
      <c r="HI57" s="115"/>
      <c r="HJ57" s="115"/>
      <c r="HK57" s="115"/>
      <c r="HL57" s="115"/>
      <c r="HM57" s="2"/>
      <c r="HN57" s="2"/>
      <c r="HO57" s="54"/>
      <c r="HP57" s="2"/>
      <c r="HQ57" s="115" t="s">
        <v>60</v>
      </c>
      <c r="HR57" s="115"/>
      <c r="HS57" s="115"/>
      <c r="HT57" s="115"/>
      <c r="HU57" s="115"/>
      <c r="HV57" s="115"/>
      <c r="HW57" s="115"/>
      <c r="HX57" s="115"/>
      <c r="HY57" s="115"/>
      <c r="HZ57" s="115"/>
      <c r="IA57" s="115"/>
      <c r="IB57" s="115"/>
      <c r="IC57" s="2"/>
      <c r="ID57" s="2"/>
      <c r="IE57" s="54"/>
      <c r="IF57" s="2"/>
      <c r="IG57" s="115" t="s">
        <v>60</v>
      </c>
      <c r="IH57" s="115"/>
      <c r="II57" s="115"/>
      <c r="IJ57" s="115"/>
      <c r="IK57" s="115"/>
      <c r="IL57" s="115"/>
      <c r="IM57" s="115"/>
      <c r="IN57" s="115"/>
      <c r="IO57" s="115"/>
      <c r="IP57" s="115"/>
      <c r="IQ57" s="115"/>
      <c r="IR57" s="115"/>
      <c r="IS57" s="2"/>
      <c r="IT57" s="2"/>
      <c r="IU57" s="54"/>
      <c r="IV57" s="2"/>
      <c r="IW57" s="115" t="s">
        <v>60</v>
      </c>
      <c r="IX57" s="115"/>
      <c r="IY57" s="115"/>
      <c r="IZ57" s="115"/>
      <c r="JA57" s="115"/>
      <c r="JB57" s="115"/>
      <c r="JC57" s="115"/>
      <c r="JD57" s="115"/>
      <c r="JE57" s="115"/>
      <c r="JF57" s="115"/>
      <c r="JG57" s="115"/>
      <c r="JH57" s="115"/>
      <c r="JI57" s="2"/>
      <c r="JJ57" s="2"/>
      <c r="JK57" s="54"/>
      <c r="JL57" s="2"/>
      <c r="JM57" s="115" t="s">
        <v>60</v>
      </c>
      <c r="JN57" s="115"/>
      <c r="JO57" s="115"/>
      <c r="JP57" s="115"/>
      <c r="JQ57" s="115"/>
      <c r="JR57" s="115"/>
      <c r="JS57" s="115"/>
      <c r="JT57" s="115"/>
      <c r="JU57" s="115"/>
      <c r="JV57" s="115"/>
      <c r="JW57" s="115"/>
      <c r="JX57" s="115"/>
      <c r="JY57" s="2"/>
      <c r="JZ57" s="2"/>
      <c r="KA57" s="54"/>
      <c r="KB57" s="2"/>
      <c r="KC57" s="115" t="s">
        <v>60</v>
      </c>
      <c r="KD57" s="115"/>
      <c r="KE57" s="115"/>
      <c r="KF57" s="115"/>
      <c r="KG57" s="115"/>
      <c r="KH57" s="115"/>
      <c r="KI57" s="115"/>
      <c r="KJ57" s="115"/>
      <c r="KK57" s="115"/>
      <c r="KL57" s="115"/>
      <c r="KM57" s="115"/>
      <c r="KN57" s="115"/>
      <c r="KO57" s="2"/>
      <c r="KP57" s="2"/>
      <c r="KQ57" s="54"/>
      <c r="KR57" s="2"/>
      <c r="KS57" s="115" t="s">
        <v>60</v>
      </c>
      <c r="KT57" s="115"/>
      <c r="KU57" s="115"/>
      <c r="KV57" s="115"/>
      <c r="KW57" s="115"/>
      <c r="KX57" s="115"/>
      <c r="KY57" s="115"/>
      <c r="KZ57" s="115"/>
      <c r="LA57" s="115"/>
      <c r="LB57" s="115"/>
      <c r="LC57" s="115"/>
      <c r="LD57" s="115"/>
      <c r="LE57" s="2"/>
      <c r="LF57" s="2"/>
      <c r="LG57" s="54"/>
      <c r="LH57" s="2"/>
      <c r="LI57" s="115" t="s">
        <v>60</v>
      </c>
      <c r="LJ57" s="115"/>
      <c r="LK57" s="115"/>
      <c r="LL57" s="115"/>
      <c r="LM57" s="115"/>
      <c r="LN57" s="115"/>
      <c r="LO57" s="115"/>
      <c r="LP57" s="115"/>
      <c r="LQ57" s="115"/>
      <c r="LR57" s="115"/>
      <c r="LS57" s="115"/>
      <c r="LT57" s="115"/>
      <c r="LU57" s="2"/>
      <c r="LV57" s="2"/>
      <c r="LW57" s="54"/>
      <c r="LX57" s="2"/>
      <c r="LY57" s="115" t="s">
        <v>60</v>
      </c>
      <c r="LZ57" s="115"/>
      <c r="MA57" s="115"/>
      <c r="MB57" s="115"/>
      <c r="MC57" s="115"/>
      <c r="MD57" s="115"/>
      <c r="ME57" s="115"/>
      <c r="MF57" s="115"/>
      <c r="MG57" s="115"/>
      <c r="MH57" s="115"/>
      <c r="MI57" s="115"/>
      <c r="MJ57" s="115"/>
      <c r="MK57" s="2"/>
      <c r="ML57" s="2"/>
      <c r="MM57" s="54"/>
      <c r="MN57" s="2"/>
    </row>
    <row r="58" spans="1:352" ht="27.9" customHeight="1" x14ac:dyDescent="0.3">
      <c r="A58" s="76" t="s">
        <v>81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19"/>
      <c r="O58" s="53"/>
      <c r="Q58" s="76" t="s">
        <v>81</v>
      </c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19"/>
      <c r="AE58" s="53"/>
      <c r="AG58" s="76" t="s">
        <v>81</v>
      </c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19"/>
      <c r="AU58" s="53"/>
      <c r="AW58" s="76" t="s">
        <v>81</v>
      </c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19"/>
      <c r="BK58" s="53"/>
      <c r="BM58" s="76" t="s">
        <v>81</v>
      </c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19"/>
      <c r="CA58" s="53"/>
      <c r="CC58" s="76" t="s">
        <v>81</v>
      </c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19"/>
      <c r="CQ58" s="53"/>
      <c r="CS58" s="76" t="s">
        <v>81</v>
      </c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19"/>
      <c r="DG58" s="53"/>
      <c r="DI58" s="76" t="s">
        <v>81</v>
      </c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19"/>
      <c r="DW58" s="53"/>
      <c r="DY58" s="76" t="s">
        <v>81</v>
      </c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19"/>
      <c r="EM58" s="53"/>
      <c r="EO58" s="76" t="s">
        <v>81</v>
      </c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19"/>
      <c r="FC58" s="53"/>
      <c r="FE58" s="76" t="s">
        <v>81</v>
      </c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19"/>
      <c r="FS58" s="53"/>
      <c r="FU58" s="76" t="s">
        <v>81</v>
      </c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19"/>
      <c r="GI58" s="53"/>
      <c r="GK58" s="76" t="s">
        <v>81</v>
      </c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19"/>
      <c r="GY58" s="53"/>
      <c r="HA58" s="76" t="s">
        <v>81</v>
      </c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19"/>
      <c r="HO58" s="53"/>
      <c r="HQ58" s="76" t="s">
        <v>81</v>
      </c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19"/>
      <c r="IE58" s="53"/>
      <c r="IG58" s="76" t="s">
        <v>81</v>
      </c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19"/>
      <c r="IU58" s="53"/>
      <c r="IW58" s="76" t="s">
        <v>81</v>
      </c>
      <c r="IX58" s="76"/>
      <c r="IY58" s="76"/>
      <c r="IZ58" s="76"/>
      <c r="JA58" s="76"/>
      <c r="JB58" s="76"/>
      <c r="JC58" s="76"/>
      <c r="JD58" s="76"/>
      <c r="JE58" s="76"/>
      <c r="JF58" s="76"/>
      <c r="JG58" s="76"/>
      <c r="JH58" s="76"/>
      <c r="JI58" s="19"/>
      <c r="JK58" s="53"/>
      <c r="JM58" s="76" t="s">
        <v>81</v>
      </c>
      <c r="JN58" s="76"/>
      <c r="JO58" s="76"/>
      <c r="JP58" s="76"/>
      <c r="JQ58" s="76"/>
      <c r="JR58" s="76"/>
      <c r="JS58" s="76"/>
      <c r="JT58" s="76"/>
      <c r="JU58" s="76"/>
      <c r="JV58" s="76"/>
      <c r="JW58" s="76"/>
      <c r="JX58" s="76"/>
      <c r="JY58" s="19"/>
      <c r="KA58" s="53"/>
      <c r="KC58" s="76" t="s">
        <v>81</v>
      </c>
      <c r="KD58" s="76"/>
      <c r="KE58" s="76"/>
      <c r="KF58" s="76"/>
      <c r="KG58" s="76"/>
      <c r="KH58" s="76"/>
      <c r="KI58" s="76"/>
      <c r="KJ58" s="76"/>
      <c r="KK58" s="76"/>
      <c r="KL58" s="76"/>
      <c r="KM58" s="76"/>
      <c r="KN58" s="76"/>
      <c r="KO58" s="19"/>
      <c r="KQ58" s="53"/>
      <c r="KS58" s="76" t="s">
        <v>81</v>
      </c>
      <c r="KT58" s="76"/>
      <c r="KU58" s="76"/>
      <c r="KV58" s="76"/>
      <c r="KW58" s="76"/>
      <c r="KX58" s="76"/>
      <c r="KY58" s="76"/>
      <c r="KZ58" s="76"/>
      <c r="LA58" s="76"/>
      <c r="LB58" s="76"/>
      <c r="LC58" s="76"/>
      <c r="LD58" s="76"/>
      <c r="LE58" s="19"/>
      <c r="LG58" s="53"/>
      <c r="LI58" s="76" t="s">
        <v>81</v>
      </c>
      <c r="LJ58" s="76"/>
      <c r="LK58" s="76"/>
      <c r="LL58" s="76"/>
      <c r="LM58" s="76"/>
      <c r="LN58" s="76"/>
      <c r="LO58" s="76"/>
      <c r="LP58" s="76"/>
      <c r="LQ58" s="76"/>
      <c r="LR58" s="76"/>
      <c r="LS58" s="76"/>
      <c r="LT58" s="76"/>
      <c r="LU58" s="19"/>
      <c r="LW58" s="53"/>
      <c r="LY58" s="76" t="s">
        <v>81</v>
      </c>
      <c r="LZ58" s="76"/>
      <c r="MA58" s="76"/>
      <c r="MB58" s="76"/>
      <c r="MC58" s="76"/>
      <c r="MD58" s="76"/>
      <c r="ME58" s="76"/>
      <c r="MF58" s="76"/>
      <c r="MG58" s="76"/>
      <c r="MH58" s="76"/>
      <c r="MI58" s="76"/>
      <c r="MJ58" s="76"/>
      <c r="MK58" s="19"/>
      <c r="MM58" s="53"/>
    </row>
    <row r="59" spans="1:352" ht="27.9" customHeight="1" x14ac:dyDescent="0.3">
      <c r="A59" s="76" t="s">
        <v>4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19"/>
      <c r="O59" s="53"/>
      <c r="Q59" s="76" t="s">
        <v>4</v>
      </c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19"/>
      <c r="AE59" s="53"/>
      <c r="AG59" s="76" t="s">
        <v>4</v>
      </c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19"/>
      <c r="AU59" s="53"/>
      <c r="AW59" s="76" t="s">
        <v>4</v>
      </c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19"/>
      <c r="BK59" s="53"/>
      <c r="BM59" s="76" t="s">
        <v>4</v>
      </c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19"/>
      <c r="CA59" s="53"/>
      <c r="CC59" s="76" t="s">
        <v>4</v>
      </c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19"/>
      <c r="CQ59" s="53"/>
      <c r="CS59" s="76" t="s">
        <v>4</v>
      </c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19"/>
      <c r="DG59" s="53"/>
      <c r="DI59" s="76" t="s">
        <v>4</v>
      </c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19"/>
      <c r="DW59" s="53"/>
      <c r="DY59" s="76" t="s">
        <v>4</v>
      </c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19"/>
      <c r="EM59" s="53"/>
      <c r="EO59" s="76" t="s">
        <v>4</v>
      </c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19"/>
      <c r="FC59" s="53"/>
      <c r="FE59" s="76" t="s">
        <v>4</v>
      </c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19"/>
      <c r="FS59" s="53"/>
      <c r="FU59" s="76" t="s">
        <v>4</v>
      </c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19"/>
      <c r="GI59" s="53"/>
      <c r="GK59" s="76" t="s">
        <v>4</v>
      </c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19"/>
      <c r="GY59" s="53"/>
      <c r="HA59" s="76" t="s">
        <v>4</v>
      </c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19"/>
      <c r="HO59" s="53"/>
      <c r="HQ59" s="76" t="s">
        <v>4</v>
      </c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19"/>
      <c r="IE59" s="53"/>
      <c r="IG59" s="76" t="s">
        <v>4</v>
      </c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19"/>
      <c r="IU59" s="53"/>
      <c r="IW59" s="76" t="s">
        <v>4</v>
      </c>
      <c r="IX59" s="76"/>
      <c r="IY59" s="76"/>
      <c r="IZ59" s="76"/>
      <c r="JA59" s="76"/>
      <c r="JB59" s="76"/>
      <c r="JC59" s="76"/>
      <c r="JD59" s="76"/>
      <c r="JE59" s="76"/>
      <c r="JF59" s="76"/>
      <c r="JG59" s="76"/>
      <c r="JH59" s="76"/>
      <c r="JI59" s="19"/>
      <c r="JK59" s="53"/>
      <c r="JM59" s="76" t="s">
        <v>4</v>
      </c>
      <c r="JN59" s="76"/>
      <c r="JO59" s="76"/>
      <c r="JP59" s="76"/>
      <c r="JQ59" s="76"/>
      <c r="JR59" s="76"/>
      <c r="JS59" s="76"/>
      <c r="JT59" s="76"/>
      <c r="JU59" s="76"/>
      <c r="JV59" s="76"/>
      <c r="JW59" s="76"/>
      <c r="JX59" s="76"/>
      <c r="JY59" s="19"/>
      <c r="KA59" s="53"/>
      <c r="KC59" s="76" t="s">
        <v>4</v>
      </c>
      <c r="KD59" s="76"/>
      <c r="KE59" s="76"/>
      <c r="KF59" s="76"/>
      <c r="KG59" s="76"/>
      <c r="KH59" s="76"/>
      <c r="KI59" s="76"/>
      <c r="KJ59" s="76"/>
      <c r="KK59" s="76"/>
      <c r="KL59" s="76"/>
      <c r="KM59" s="76"/>
      <c r="KN59" s="76"/>
      <c r="KO59" s="19"/>
      <c r="KQ59" s="53"/>
      <c r="KS59" s="76" t="s">
        <v>4</v>
      </c>
      <c r="KT59" s="76"/>
      <c r="KU59" s="76"/>
      <c r="KV59" s="76"/>
      <c r="KW59" s="76"/>
      <c r="KX59" s="76"/>
      <c r="KY59" s="76"/>
      <c r="KZ59" s="76"/>
      <c r="LA59" s="76"/>
      <c r="LB59" s="76"/>
      <c r="LC59" s="76"/>
      <c r="LD59" s="76"/>
      <c r="LE59" s="19"/>
      <c r="LG59" s="53"/>
      <c r="LI59" s="76" t="s">
        <v>4</v>
      </c>
      <c r="LJ59" s="76"/>
      <c r="LK59" s="76"/>
      <c r="LL59" s="76"/>
      <c r="LM59" s="76"/>
      <c r="LN59" s="76"/>
      <c r="LO59" s="76"/>
      <c r="LP59" s="76"/>
      <c r="LQ59" s="76"/>
      <c r="LR59" s="76"/>
      <c r="LS59" s="76"/>
      <c r="LT59" s="76"/>
      <c r="LU59" s="19"/>
      <c r="LW59" s="53"/>
      <c r="LY59" s="76" t="s">
        <v>4</v>
      </c>
      <c r="LZ59" s="76"/>
      <c r="MA59" s="76"/>
      <c r="MB59" s="76"/>
      <c r="MC59" s="76"/>
      <c r="MD59" s="76"/>
      <c r="ME59" s="76"/>
      <c r="MF59" s="76"/>
      <c r="MG59" s="76"/>
      <c r="MH59" s="76"/>
      <c r="MI59" s="76"/>
      <c r="MJ59" s="76"/>
      <c r="MK59" s="19"/>
      <c r="MM59" s="53"/>
    </row>
    <row r="60" spans="1:352" ht="14.25" customHeight="1" x14ac:dyDescent="0.3">
      <c r="A60" s="75" t="s">
        <v>61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18"/>
      <c r="O60" s="53"/>
      <c r="Q60" s="75" t="s">
        <v>61</v>
      </c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18"/>
      <c r="AE60" s="53"/>
      <c r="AG60" s="75" t="s">
        <v>61</v>
      </c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18"/>
      <c r="AU60" s="53"/>
      <c r="AW60" s="75" t="s">
        <v>61</v>
      </c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18"/>
      <c r="BK60" s="53"/>
      <c r="BM60" s="75" t="s">
        <v>61</v>
      </c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18"/>
      <c r="CA60" s="53"/>
      <c r="CC60" s="75" t="s">
        <v>61</v>
      </c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18"/>
      <c r="CQ60" s="53"/>
      <c r="CS60" s="75" t="s">
        <v>61</v>
      </c>
      <c r="CT60" s="75"/>
      <c r="CU60" s="75"/>
      <c r="CV60" s="75"/>
      <c r="CW60" s="75"/>
      <c r="CX60" s="75"/>
      <c r="CY60" s="75"/>
      <c r="CZ60" s="75"/>
      <c r="DA60" s="75"/>
      <c r="DB60" s="75"/>
      <c r="DC60" s="75"/>
      <c r="DD60" s="75"/>
      <c r="DE60" s="18"/>
      <c r="DG60" s="53"/>
      <c r="DI60" s="75" t="s">
        <v>61</v>
      </c>
      <c r="DJ60" s="75"/>
      <c r="DK60" s="75"/>
      <c r="DL60" s="75"/>
      <c r="DM60" s="75"/>
      <c r="DN60" s="75"/>
      <c r="DO60" s="75"/>
      <c r="DP60" s="75"/>
      <c r="DQ60" s="75"/>
      <c r="DR60" s="75"/>
      <c r="DS60" s="75"/>
      <c r="DT60" s="75"/>
      <c r="DU60" s="18"/>
      <c r="DW60" s="53"/>
      <c r="DY60" s="75" t="s">
        <v>61</v>
      </c>
      <c r="DZ60" s="75"/>
      <c r="EA60" s="75"/>
      <c r="EB60" s="75"/>
      <c r="EC60" s="75"/>
      <c r="ED60" s="75"/>
      <c r="EE60" s="75"/>
      <c r="EF60" s="75"/>
      <c r="EG60" s="75"/>
      <c r="EH60" s="75"/>
      <c r="EI60" s="75"/>
      <c r="EJ60" s="75"/>
      <c r="EK60" s="18"/>
      <c r="EM60" s="53"/>
      <c r="EO60" s="75" t="s">
        <v>61</v>
      </c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18"/>
      <c r="FC60" s="53"/>
      <c r="FE60" s="75" t="s">
        <v>61</v>
      </c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18"/>
      <c r="FS60" s="53"/>
      <c r="FU60" s="75" t="s">
        <v>61</v>
      </c>
      <c r="FV60" s="75"/>
      <c r="FW60" s="75"/>
      <c r="FX60" s="75"/>
      <c r="FY60" s="75"/>
      <c r="FZ60" s="75"/>
      <c r="GA60" s="75"/>
      <c r="GB60" s="75"/>
      <c r="GC60" s="75"/>
      <c r="GD60" s="75"/>
      <c r="GE60" s="75"/>
      <c r="GF60" s="75"/>
      <c r="GG60" s="18"/>
      <c r="GI60" s="53"/>
      <c r="GK60" s="75" t="s">
        <v>61</v>
      </c>
      <c r="GL60" s="75"/>
      <c r="GM60" s="75"/>
      <c r="GN60" s="75"/>
      <c r="GO60" s="75"/>
      <c r="GP60" s="75"/>
      <c r="GQ60" s="75"/>
      <c r="GR60" s="75"/>
      <c r="GS60" s="75"/>
      <c r="GT60" s="75"/>
      <c r="GU60" s="75"/>
      <c r="GV60" s="75"/>
      <c r="GW60" s="18"/>
      <c r="GY60" s="53"/>
      <c r="HA60" s="75" t="s">
        <v>61</v>
      </c>
      <c r="HB60" s="75"/>
      <c r="HC60" s="75"/>
      <c r="HD60" s="75"/>
      <c r="HE60" s="75"/>
      <c r="HF60" s="75"/>
      <c r="HG60" s="75"/>
      <c r="HH60" s="75"/>
      <c r="HI60" s="75"/>
      <c r="HJ60" s="75"/>
      <c r="HK60" s="75"/>
      <c r="HL60" s="75"/>
      <c r="HM60" s="18"/>
      <c r="HO60" s="53"/>
      <c r="HQ60" s="75" t="s">
        <v>61</v>
      </c>
      <c r="HR60" s="75"/>
      <c r="HS60" s="75"/>
      <c r="HT60" s="75"/>
      <c r="HU60" s="75"/>
      <c r="HV60" s="75"/>
      <c r="HW60" s="75"/>
      <c r="HX60" s="75"/>
      <c r="HY60" s="75"/>
      <c r="HZ60" s="75"/>
      <c r="IA60" s="75"/>
      <c r="IB60" s="75"/>
      <c r="IC60" s="18"/>
      <c r="IE60" s="53"/>
      <c r="IG60" s="75" t="s">
        <v>61</v>
      </c>
      <c r="IH60" s="75"/>
      <c r="II60" s="75"/>
      <c r="IJ60" s="75"/>
      <c r="IK60" s="75"/>
      <c r="IL60" s="75"/>
      <c r="IM60" s="75"/>
      <c r="IN60" s="75"/>
      <c r="IO60" s="75"/>
      <c r="IP60" s="75"/>
      <c r="IQ60" s="75"/>
      <c r="IR60" s="75"/>
      <c r="IS60" s="18"/>
      <c r="IU60" s="53"/>
      <c r="IW60" s="75" t="s">
        <v>61</v>
      </c>
      <c r="IX60" s="75"/>
      <c r="IY60" s="75"/>
      <c r="IZ60" s="75"/>
      <c r="JA60" s="75"/>
      <c r="JB60" s="75"/>
      <c r="JC60" s="75"/>
      <c r="JD60" s="75"/>
      <c r="JE60" s="75"/>
      <c r="JF60" s="75"/>
      <c r="JG60" s="75"/>
      <c r="JH60" s="75"/>
      <c r="JI60" s="18"/>
      <c r="JK60" s="53"/>
      <c r="JM60" s="75" t="s">
        <v>61</v>
      </c>
      <c r="JN60" s="75"/>
      <c r="JO60" s="75"/>
      <c r="JP60" s="75"/>
      <c r="JQ60" s="75"/>
      <c r="JR60" s="75"/>
      <c r="JS60" s="75"/>
      <c r="JT60" s="75"/>
      <c r="JU60" s="75"/>
      <c r="JV60" s="75"/>
      <c r="JW60" s="75"/>
      <c r="JX60" s="75"/>
      <c r="JY60" s="18"/>
      <c r="KA60" s="53"/>
      <c r="KC60" s="75" t="s">
        <v>61</v>
      </c>
      <c r="KD60" s="75"/>
      <c r="KE60" s="75"/>
      <c r="KF60" s="75"/>
      <c r="KG60" s="75"/>
      <c r="KH60" s="75"/>
      <c r="KI60" s="75"/>
      <c r="KJ60" s="75"/>
      <c r="KK60" s="75"/>
      <c r="KL60" s="75"/>
      <c r="KM60" s="75"/>
      <c r="KN60" s="75"/>
      <c r="KO60" s="18"/>
      <c r="KQ60" s="53"/>
      <c r="KS60" s="75" t="s">
        <v>61</v>
      </c>
      <c r="KT60" s="75"/>
      <c r="KU60" s="75"/>
      <c r="KV60" s="75"/>
      <c r="KW60" s="75"/>
      <c r="KX60" s="75"/>
      <c r="KY60" s="75"/>
      <c r="KZ60" s="75"/>
      <c r="LA60" s="75"/>
      <c r="LB60" s="75"/>
      <c r="LC60" s="75"/>
      <c r="LD60" s="75"/>
      <c r="LE60" s="18"/>
      <c r="LG60" s="53"/>
      <c r="LI60" s="75" t="s">
        <v>61</v>
      </c>
      <c r="LJ60" s="75"/>
      <c r="LK60" s="75"/>
      <c r="LL60" s="75"/>
      <c r="LM60" s="75"/>
      <c r="LN60" s="75"/>
      <c r="LO60" s="75"/>
      <c r="LP60" s="75"/>
      <c r="LQ60" s="75"/>
      <c r="LR60" s="75"/>
      <c r="LS60" s="75"/>
      <c r="LT60" s="75"/>
      <c r="LU60" s="18"/>
      <c r="LW60" s="53"/>
      <c r="LY60" s="75" t="s">
        <v>61</v>
      </c>
      <c r="LZ60" s="75"/>
      <c r="MA60" s="75"/>
      <c r="MB60" s="75"/>
      <c r="MC60" s="75"/>
      <c r="MD60" s="75"/>
      <c r="ME60" s="75"/>
      <c r="MF60" s="75"/>
      <c r="MG60" s="75"/>
      <c r="MH60" s="75"/>
      <c r="MI60" s="75"/>
      <c r="MJ60" s="75"/>
      <c r="MK60" s="18"/>
      <c r="MM60" s="53"/>
    </row>
    <row r="61" spans="1:352" ht="21" customHeight="1" x14ac:dyDescent="0.3">
      <c r="A61" s="130" t="str">
        <f>A5</f>
        <v>工程名稱：114-Danas-E-05-01-011-雲林縣林內鄉林內國中射箭場側網毀損修復災後復建工程</v>
      </c>
      <c r="B61" s="130"/>
      <c r="C61" s="130"/>
      <c r="D61" s="130"/>
      <c r="E61" s="130"/>
      <c r="F61" s="130"/>
      <c r="G61" s="130"/>
      <c r="H61" s="132" t="str">
        <f>H4</f>
        <v>填報日期：115年3月11日(星期三)</v>
      </c>
      <c r="I61" s="132"/>
      <c r="J61" s="132"/>
      <c r="K61" s="132"/>
      <c r="L61" s="132"/>
      <c r="M61" s="26"/>
      <c r="O61" s="53"/>
      <c r="Q61" s="130" t="str">
        <f>Q5</f>
        <v>工程名稱：114-Danas-E-05-01-011-雲林縣林內鄉林內國中射箭場側網毀損修復災後復建工程</v>
      </c>
      <c r="R61" s="130"/>
      <c r="S61" s="130"/>
      <c r="T61" s="130"/>
      <c r="U61" s="130"/>
      <c r="V61" s="130"/>
      <c r="W61" s="130"/>
      <c r="X61" s="132" t="str">
        <f>X4</f>
        <v>填報日期：115年3月12日(星期四)</v>
      </c>
      <c r="Y61" s="132"/>
      <c r="Z61" s="132"/>
      <c r="AA61" s="132"/>
      <c r="AB61" s="132"/>
      <c r="AC61" s="26"/>
      <c r="AE61" s="53"/>
      <c r="AG61" s="130" t="str">
        <f>AG5</f>
        <v>工程名稱：114-Danas-E-05-01-011-雲林縣林內鄉林內國中射箭場側網毀損修復災後復建工程</v>
      </c>
      <c r="AH61" s="130"/>
      <c r="AI61" s="130"/>
      <c r="AJ61" s="130"/>
      <c r="AK61" s="130"/>
      <c r="AL61" s="130"/>
      <c r="AM61" s="130"/>
      <c r="AN61" s="132" t="str">
        <f>AN4</f>
        <v>填報日期：115年3月13日(星期五)</v>
      </c>
      <c r="AO61" s="132"/>
      <c r="AP61" s="132"/>
      <c r="AQ61" s="132"/>
      <c r="AR61" s="132"/>
      <c r="AS61" s="26"/>
      <c r="AU61" s="53"/>
      <c r="AW61" s="130" t="str">
        <f>AW5</f>
        <v>工程名稱：114-Danas-E-05-01-011-雲林縣林內鄉林內國中射箭場側網毀損修復災後復建工程</v>
      </c>
      <c r="AX61" s="130"/>
      <c r="AY61" s="130"/>
      <c r="AZ61" s="130"/>
      <c r="BA61" s="130"/>
      <c r="BB61" s="130"/>
      <c r="BC61" s="130"/>
      <c r="BD61" s="132" t="str">
        <f>BD4</f>
        <v>填報日期：115年3月14日(星期六)</v>
      </c>
      <c r="BE61" s="132"/>
      <c r="BF61" s="132"/>
      <c r="BG61" s="132"/>
      <c r="BH61" s="132"/>
      <c r="BI61" s="26"/>
      <c r="BK61" s="53"/>
      <c r="BM61" s="130" t="str">
        <f>BM5</f>
        <v>工程名稱：114-Danas-E-05-01-011-雲林縣林內鄉林內國中射箭場側網毀損修復災後復建工程</v>
      </c>
      <c r="BN61" s="130"/>
      <c r="BO61" s="130"/>
      <c r="BP61" s="130"/>
      <c r="BQ61" s="130"/>
      <c r="BR61" s="130"/>
      <c r="BS61" s="130"/>
      <c r="BT61" s="132" t="str">
        <f>BT4</f>
        <v>填報日期：115年3月15日(星期日)</v>
      </c>
      <c r="BU61" s="132"/>
      <c r="BV61" s="132"/>
      <c r="BW61" s="132"/>
      <c r="BX61" s="132"/>
      <c r="BY61" s="26"/>
      <c r="CA61" s="53"/>
      <c r="CC61" s="130" t="str">
        <f>CC5</f>
        <v>工程名稱：114-Danas-E-05-01-011-雲林縣林內鄉林內國中射箭場側網毀損修復災後復建工程</v>
      </c>
      <c r="CD61" s="130"/>
      <c r="CE61" s="130"/>
      <c r="CF61" s="130"/>
      <c r="CG61" s="130"/>
      <c r="CH61" s="130"/>
      <c r="CI61" s="130"/>
      <c r="CJ61" s="132" t="str">
        <f>CJ4</f>
        <v>填報日期：115年3月16日(星期一)</v>
      </c>
      <c r="CK61" s="132"/>
      <c r="CL61" s="132"/>
      <c r="CM61" s="132"/>
      <c r="CN61" s="132"/>
      <c r="CO61" s="26"/>
      <c r="CQ61" s="53"/>
      <c r="CS61" s="130" t="str">
        <f>CS5</f>
        <v>工程名稱：114-Danas-E-05-01-011-雲林縣林內鄉林內國中射箭場側網毀損修復災後復建工程</v>
      </c>
      <c r="CT61" s="130"/>
      <c r="CU61" s="130"/>
      <c r="CV61" s="130"/>
      <c r="CW61" s="130"/>
      <c r="CX61" s="130"/>
      <c r="CY61" s="130"/>
      <c r="CZ61" s="132" t="str">
        <f>CZ4</f>
        <v>填報日期：115年3月17日(星期二)</v>
      </c>
      <c r="DA61" s="132"/>
      <c r="DB61" s="132"/>
      <c r="DC61" s="132"/>
      <c r="DD61" s="132"/>
      <c r="DE61" s="26"/>
      <c r="DG61" s="53"/>
      <c r="DI61" s="130" t="str">
        <f>DI5</f>
        <v>工程名稱：114-Danas-E-05-01-011-雲林縣林內鄉林內國中射箭場側網毀損修復災後復建工程</v>
      </c>
      <c r="DJ61" s="130"/>
      <c r="DK61" s="130"/>
      <c r="DL61" s="130"/>
      <c r="DM61" s="130"/>
      <c r="DN61" s="130"/>
      <c r="DO61" s="130"/>
      <c r="DP61" s="132" t="str">
        <f>DP4</f>
        <v>填報日期：115年3月18日(星期三)</v>
      </c>
      <c r="DQ61" s="132"/>
      <c r="DR61" s="132"/>
      <c r="DS61" s="132"/>
      <c r="DT61" s="132"/>
      <c r="DU61" s="26"/>
      <c r="DW61" s="53"/>
      <c r="DY61" s="130" t="str">
        <f>DY5</f>
        <v>工程名稱：114-Danas-E-05-01-011-雲林縣林內鄉林內國中射箭場側網毀損修復災後復建工程</v>
      </c>
      <c r="DZ61" s="130"/>
      <c r="EA61" s="130"/>
      <c r="EB61" s="130"/>
      <c r="EC61" s="130"/>
      <c r="ED61" s="130"/>
      <c r="EE61" s="130"/>
      <c r="EF61" s="132" t="str">
        <f>EF4</f>
        <v>填報日期：115年3月19日(星期四)</v>
      </c>
      <c r="EG61" s="132"/>
      <c r="EH61" s="132"/>
      <c r="EI61" s="132"/>
      <c r="EJ61" s="132"/>
      <c r="EK61" s="26"/>
      <c r="EM61" s="53"/>
      <c r="EO61" s="130" t="str">
        <f>EO5</f>
        <v>工程名稱：114-Danas-E-05-01-011-雲林縣林內鄉林內國中射箭場側網毀損修復災後復建工程</v>
      </c>
      <c r="EP61" s="130"/>
      <c r="EQ61" s="130"/>
      <c r="ER61" s="130"/>
      <c r="ES61" s="130"/>
      <c r="ET61" s="130"/>
      <c r="EU61" s="130"/>
      <c r="EV61" s="132" t="str">
        <f>EV4</f>
        <v>填報日期：115年3月20日(星期五)</v>
      </c>
      <c r="EW61" s="132"/>
      <c r="EX61" s="132"/>
      <c r="EY61" s="132"/>
      <c r="EZ61" s="132"/>
      <c r="FA61" s="26"/>
      <c r="FC61" s="53"/>
      <c r="FE61" s="130" t="str">
        <f>FE5</f>
        <v>工程名稱：114-Danas-E-05-01-011-雲林縣林內鄉林內國中射箭場側網毀損修復災後復建工程</v>
      </c>
      <c r="FF61" s="130"/>
      <c r="FG61" s="130"/>
      <c r="FH61" s="130"/>
      <c r="FI61" s="130"/>
      <c r="FJ61" s="130"/>
      <c r="FK61" s="130"/>
      <c r="FL61" s="132" t="str">
        <f>FL4</f>
        <v>填報日期：115年3月21日(星期六)</v>
      </c>
      <c r="FM61" s="132"/>
      <c r="FN61" s="132"/>
      <c r="FO61" s="132"/>
      <c r="FP61" s="132"/>
      <c r="FQ61" s="26"/>
      <c r="FS61" s="53"/>
      <c r="FU61" s="130" t="str">
        <f>FU5</f>
        <v>工程名稱：114-Danas-E-05-01-011-雲林縣林內鄉林內國中射箭場側網毀損修復災後復建工程</v>
      </c>
      <c r="FV61" s="130"/>
      <c r="FW61" s="130"/>
      <c r="FX61" s="130"/>
      <c r="FY61" s="130"/>
      <c r="FZ61" s="130"/>
      <c r="GA61" s="130"/>
      <c r="GB61" s="132" t="str">
        <f>GB4</f>
        <v>填報日期：115年3月22日(星期日)</v>
      </c>
      <c r="GC61" s="132"/>
      <c r="GD61" s="132"/>
      <c r="GE61" s="132"/>
      <c r="GF61" s="132"/>
      <c r="GG61" s="26"/>
      <c r="GI61" s="53"/>
      <c r="GK61" s="130" t="str">
        <f>GK5</f>
        <v>工程名稱：114-Danas-E-05-01-011-雲林縣林內鄉林內國中射箭場側網毀損修復災後復建工程</v>
      </c>
      <c r="GL61" s="130"/>
      <c r="GM61" s="130"/>
      <c r="GN61" s="130"/>
      <c r="GO61" s="130"/>
      <c r="GP61" s="130"/>
      <c r="GQ61" s="130"/>
      <c r="GR61" s="132" t="str">
        <f>GR4</f>
        <v>填報日期：115年3月23日(星期一)</v>
      </c>
      <c r="GS61" s="132"/>
      <c r="GT61" s="132"/>
      <c r="GU61" s="132"/>
      <c r="GV61" s="132"/>
      <c r="GW61" s="26"/>
      <c r="GY61" s="53"/>
      <c r="HA61" s="130" t="str">
        <f>HA5</f>
        <v>工程名稱：114-Danas-E-05-01-011-雲林縣林內鄉林內國中射箭場側網毀損修復災後復建工程</v>
      </c>
      <c r="HB61" s="130"/>
      <c r="HC61" s="130"/>
      <c r="HD61" s="130"/>
      <c r="HE61" s="130"/>
      <c r="HF61" s="130"/>
      <c r="HG61" s="130"/>
      <c r="HH61" s="132" t="str">
        <f>HH4</f>
        <v>填報日期：115年3月24日(星期二)</v>
      </c>
      <c r="HI61" s="132"/>
      <c r="HJ61" s="132"/>
      <c r="HK61" s="132"/>
      <c r="HL61" s="132"/>
      <c r="HM61" s="26"/>
      <c r="HO61" s="53"/>
      <c r="HQ61" s="130" t="str">
        <f>HQ5</f>
        <v>工程名稱：114-Danas-E-05-01-011-雲林縣林內鄉林內國中射箭場側網毀損修復災後復建工程</v>
      </c>
      <c r="HR61" s="130"/>
      <c r="HS61" s="130"/>
      <c r="HT61" s="130"/>
      <c r="HU61" s="130"/>
      <c r="HV61" s="130"/>
      <c r="HW61" s="130"/>
      <c r="HX61" s="132" t="str">
        <f>HX4</f>
        <v>填報日期：115年3月25日(星期三)</v>
      </c>
      <c r="HY61" s="132"/>
      <c r="HZ61" s="132"/>
      <c r="IA61" s="132"/>
      <c r="IB61" s="132"/>
      <c r="IC61" s="26"/>
      <c r="IE61" s="53"/>
      <c r="IG61" s="130" t="str">
        <f>IG5</f>
        <v>工程名稱：114-Danas-E-05-01-011-雲林縣林內鄉林內國中射箭場側網毀損修復災後復建工程</v>
      </c>
      <c r="IH61" s="130"/>
      <c r="II61" s="130"/>
      <c r="IJ61" s="130"/>
      <c r="IK61" s="130"/>
      <c r="IL61" s="130"/>
      <c r="IM61" s="130"/>
      <c r="IN61" s="132" t="str">
        <f>IN4</f>
        <v>填報日期：115年3月26日(星期四)</v>
      </c>
      <c r="IO61" s="132"/>
      <c r="IP61" s="132"/>
      <c r="IQ61" s="132"/>
      <c r="IR61" s="132"/>
      <c r="IS61" s="26"/>
      <c r="IU61" s="53"/>
      <c r="IW61" s="130" t="str">
        <f>IW5</f>
        <v>工程名稱：114-Danas-E-05-01-011-雲林縣林內鄉林內國中射箭場側網毀損修復災後復建工程</v>
      </c>
      <c r="IX61" s="130"/>
      <c r="IY61" s="130"/>
      <c r="IZ61" s="130"/>
      <c r="JA61" s="130"/>
      <c r="JB61" s="130"/>
      <c r="JC61" s="130"/>
      <c r="JD61" s="132" t="str">
        <f>JD4</f>
        <v>填報日期：115年3月27日(星期五)</v>
      </c>
      <c r="JE61" s="132"/>
      <c r="JF61" s="132"/>
      <c r="JG61" s="132"/>
      <c r="JH61" s="132"/>
      <c r="JI61" s="26"/>
      <c r="JK61" s="53"/>
      <c r="JM61" s="130" t="str">
        <f>JM5</f>
        <v>工程名稱：114-Danas-E-05-01-011-雲林縣林內鄉林內國中射箭場側網毀損修復災後復建工程</v>
      </c>
      <c r="JN61" s="130"/>
      <c r="JO61" s="130"/>
      <c r="JP61" s="130"/>
      <c r="JQ61" s="130"/>
      <c r="JR61" s="130"/>
      <c r="JS61" s="130"/>
      <c r="JT61" s="132" t="str">
        <f>JT4</f>
        <v>填報日期：115年3月28日(星期六)</v>
      </c>
      <c r="JU61" s="132"/>
      <c r="JV61" s="132"/>
      <c r="JW61" s="132"/>
      <c r="JX61" s="132"/>
      <c r="JY61" s="26"/>
      <c r="KA61" s="53"/>
      <c r="KC61" s="130" t="str">
        <f>KC5</f>
        <v>工程名稱：114-Danas-E-05-01-011-雲林縣林內鄉林內國中射箭場側網毀損修復災後復建工程</v>
      </c>
      <c r="KD61" s="130"/>
      <c r="KE61" s="130"/>
      <c r="KF61" s="130"/>
      <c r="KG61" s="130"/>
      <c r="KH61" s="130"/>
      <c r="KI61" s="130"/>
      <c r="KJ61" s="132" t="str">
        <f>KJ4</f>
        <v>填報日期：115年3月29日(星期日)</v>
      </c>
      <c r="KK61" s="132"/>
      <c r="KL61" s="132"/>
      <c r="KM61" s="132"/>
      <c r="KN61" s="132"/>
      <c r="KO61" s="26"/>
      <c r="KQ61" s="53"/>
      <c r="KS61" s="130" t="str">
        <f>KS5</f>
        <v>工程名稱：114-Danas-E-05-01-011-雲林縣林內鄉林內國中射箭場側網毀損修復災後復建工程</v>
      </c>
      <c r="KT61" s="130"/>
      <c r="KU61" s="130"/>
      <c r="KV61" s="130"/>
      <c r="KW61" s="130"/>
      <c r="KX61" s="130"/>
      <c r="KY61" s="130"/>
      <c r="KZ61" s="132" t="str">
        <f>KZ4</f>
        <v>填報日期：115年3月30日(星期一)</v>
      </c>
      <c r="LA61" s="132"/>
      <c r="LB61" s="132"/>
      <c r="LC61" s="132"/>
      <c r="LD61" s="132"/>
      <c r="LE61" s="26"/>
      <c r="LG61" s="53"/>
      <c r="LI61" s="130" t="str">
        <f>LI5</f>
        <v>工程名稱：114-Danas-E-05-01-011-雲林縣林內鄉林內國中射箭場側網毀損修復災後復建工程</v>
      </c>
      <c r="LJ61" s="130"/>
      <c r="LK61" s="130"/>
      <c r="LL61" s="130"/>
      <c r="LM61" s="130"/>
      <c r="LN61" s="130"/>
      <c r="LO61" s="130"/>
      <c r="LP61" s="132" t="str">
        <f>LP4</f>
        <v>填報日期：115年3月31日(星期二)</v>
      </c>
      <c r="LQ61" s="132"/>
      <c r="LR61" s="132"/>
      <c r="LS61" s="132"/>
      <c r="LT61" s="132"/>
      <c r="LU61" s="26"/>
      <c r="LW61" s="53"/>
      <c r="LY61" s="130" t="str">
        <f>LY5</f>
        <v>工程名稱：114-Danas-E-05-01-011-雲林縣林內鄉林內國中射箭場側網毀損修復災後復建工程</v>
      </c>
      <c r="LZ61" s="130"/>
      <c r="MA61" s="130"/>
      <c r="MB61" s="130"/>
      <c r="MC61" s="130"/>
      <c r="MD61" s="130"/>
      <c r="ME61" s="130"/>
      <c r="MF61" s="132" t="str">
        <f>MF4</f>
        <v>填報日期：115年4月1日(星期三 )</v>
      </c>
      <c r="MG61" s="132"/>
      <c r="MH61" s="132"/>
      <c r="MI61" s="132"/>
      <c r="MJ61" s="132"/>
      <c r="MK61" s="26"/>
      <c r="MM61" s="53"/>
    </row>
    <row r="62" spans="1:352" s="4" customFormat="1" ht="20.25" customHeight="1" thickBot="1" x14ac:dyDescent="0.35">
      <c r="A62" s="131"/>
      <c r="B62" s="131"/>
      <c r="C62" s="131"/>
      <c r="D62" s="131"/>
      <c r="E62" s="131"/>
      <c r="F62" s="131"/>
      <c r="G62" s="131"/>
      <c r="H62" s="21"/>
      <c r="I62" s="21"/>
      <c r="J62" s="21"/>
      <c r="K62" s="73" t="s">
        <v>62</v>
      </c>
      <c r="L62" s="73"/>
      <c r="M62" s="26"/>
      <c r="O62" s="55"/>
      <c r="Q62" s="131"/>
      <c r="R62" s="131"/>
      <c r="S62" s="131"/>
      <c r="T62" s="131"/>
      <c r="U62" s="131"/>
      <c r="V62" s="131"/>
      <c r="W62" s="131"/>
      <c r="X62" s="21"/>
      <c r="Y62" s="21"/>
      <c r="Z62" s="21"/>
      <c r="AA62" s="73" t="s">
        <v>62</v>
      </c>
      <c r="AB62" s="73"/>
      <c r="AC62" s="26"/>
      <c r="AE62" s="55"/>
      <c r="AG62" s="131"/>
      <c r="AH62" s="131"/>
      <c r="AI62" s="131"/>
      <c r="AJ62" s="131"/>
      <c r="AK62" s="131"/>
      <c r="AL62" s="131"/>
      <c r="AM62" s="131"/>
      <c r="AN62" s="21"/>
      <c r="AO62" s="21"/>
      <c r="AP62" s="21"/>
      <c r="AQ62" s="73" t="s">
        <v>62</v>
      </c>
      <c r="AR62" s="73"/>
      <c r="AS62" s="26"/>
      <c r="AU62" s="55"/>
      <c r="AW62" s="131"/>
      <c r="AX62" s="131"/>
      <c r="AY62" s="131"/>
      <c r="AZ62" s="131"/>
      <c r="BA62" s="131"/>
      <c r="BB62" s="131"/>
      <c r="BC62" s="131"/>
      <c r="BD62" s="21"/>
      <c r="BE62" s="21"/>
      <c r="BF62" s="21"/>
      <c r="BG62" s="73" t="s">
        <v>62</v>
      </c>
      <c r="BH62" s="73"/>
      <c r="BI62" s="26"/>
      <c r="BK62" s="55"/>
      <c r="BM62" s="131"/>
      <c r="BN62" s="131"/>
      <c r="BO62" s="131"/>
      <c r="BP62" s="131"/>
      <c r="BQ62" s="131"/>
      <c r="BR62" s="131"/>
      <c r="BS62" s="131"/>
      <c r="BT62" s="21"/>
      <c r="BU62" s="21"/>
      <c r="BV62" s="21"/>
      <c r="BW62" s="73" t="s">
        <v>62</v>
      </c>
      <c r="BX62" s="73"/>
      <c r="BY62" s="26"/>
      <c r="CA62" s="55"/>
      <c r="CC62" s="131"/>
      <c r="CD62" s="131"/>
      <c r="CE62" s="131"/>
      <c r="CF62" s="131"/>
      <c r="CG62" s="131"/>
      <c r="CH62" s="131"/>
      <c r="CI62" s="131"/>
      <c r="CJ62" s="21"/>
      <c r="CK62" s="21"/>
      <c r="CL62" s="21"/>
      <c r="CM62" s="73" t="s">
        <v>62</v>
      </c>
      <c r="CN62" s="73"/>
      <c r="CO62" s="26"/>
      <c r="CQ62" s="55"/>
      <c r="CS62" s="131"/>
      <c r="CT62" s="131"/>
      <c r="CU62" s="131"/>
      <c r="CV62" s="131"/>
      <c r="CW62" s="131"/>
      <c r="CX62" s="131"/>
      <c r="CY62" s="131"/>
      <c r="CZ62" s="21"/>
      <c r="DA62" s="21"/>
      <c r="DB62" s="21"/>
      <c r="DC62" s="73" t="s">
        <v>62</v>
      </c>
      <c r="DD62" s="73"/>
      <c r="DE62" s="26"/>
      <c r="DG62" s="55"/>
      <c r="DI62" s="131"/>
      <c r="DJ62" s="131"/>
      <c r="DK62" s="131"/>
      <c r="DL62" s="131"/>
      <c r="DM62" s="131"/>
      <c r="DN62" s="131"/>
      <c r="DO62" s="131"/>
      <c r="DP62" s="21"/>
      <c r="DQ62" s="21"/>
      <c r="DR62" s="21"/>
      <c r="DS62" s="73" t="s">
        <v>62</v>
      </c>
      <c r="DT62" s="73"/>
      <c r="DU62" s="26"/>
      <c r="DW62" s="55"/>
      <c r="DY62" s="131"/>
      <c r="DZ62" s="131"/>
      <c r="EA62" s="131"/>
      <c r="EB62" s="131"/>
      <c r="EC62" s="131"/>
      <c r="ED62" s="131"/>
      <c r="EE62" s="131"/>
      <c r="EF62" s="21"/>
      <c r="EG62" s="21"/>
      <c r="EH62" s="21"/>
      <c r="EI62" s="73" t="s">
        <v>62</v>
      </c>
      <c r="EJ62" s="73"/>
      <c r="EK62" s="26"/>
      <c r="EM62" s="55"/>
      <c r="EO62" s="131"/>
      <c r="EP62" s="131"/>
      <c r="EQ62" s="131"/>
      <c r="ER62" s="131"/>
      <c r="ES62" s="131"/>
      <c r="ET62" s="131"/>
      <c r="EU62" s="131"/>
      <c r="EV62" s="21"/>
      <c r="EW62" s="21"/>
      <c r="EX62" s="21"/>
      <c r="EY62" s="73" t="s">
        <v>62</v>
      </c>
      <c r="EZ62" s="73"/>
      <c r="FA62" s="26"/>
      <c r="FC62" s="55"/>
      <c r="FE62" s="131"/>
      <c r="FF62" s="131"/>
      <c r="FG62" s="131"/>
      <c r="FH62" s="131"/>
      <c r="FI62" s="131"/>
      <c r="FJ62" s="131"/>
      <c r="FK62" s="131"/>
      <c r="FL62" s="21"/>
      <c r="FM62" s="21"/>
      <c r="FN62" s="21"/>
      <c r="FO62" s="73" t="s">
        <v>62</v>
      </c>
      <c r="FP62" s="73"/>
      <c r="FQ62" s="26"/>
      <c r="FS62" s="55"/>
      <c r="FU62" s="131"/>
      <c r="FV62" s="131"/>
      <c r="FW62" s="131"/>
      <c r="FX62" s="131"/>
      <c r="FY62" s="131"/>
      <c r="FZ62" s="131"/>
      <c r="GA62" s="131"/>
      <c r="GB62" s="21"/>
      <c r="GC62" s="21"/>
      <c r="GD62" s="21"/>
      <c r="GE62" s="73" t="s">
        <v>62</v>
      </c>
      <c r="GF62" s="73"/>
      <c r="GG62" s="26"/>
      <c r="GI62" s="55"/>
      <c r="GK62" s="131"/>
      <c r="GL62" s="131"/>
      <c r="GM62" s="131"/>
      <c r="GN62" s="131"/>
      <c r="GO62" s="131"/>
      <c r="GP62" s="131"/>
      <c r="GQ62" s="131"/>
      <c r="GR62" s="21"/>
      <c r="GS62" s="21"/>
      <c r="GT62" s="21"/>
      <c r="GU62" s="73" t="s">
        <v>62</v>
      </c>
      <c r="GV62" s="73"/>
      <c r="GW62" s="26"/>
      <c r="GY62" s="55"/>
      <c r="HA62" s="131"/>
      <c r="HB62" s="131"/>
      <c r="HC62" s="131"/>
      <c r="HD62" s="131"/>
      <c r="HE62" s="131"/>
      <c r="HF62" s="131"/>
      <c r="HG62" s="131"/>
      <c r="HH62" s="21"/>
      <c r="HI62" s="21"/>
      <c r="HJ62" s="21"/>
      <c r="HK62" s="73" t="s">
        <v>62</v>
      </c>
      <c r="HL62" s="73"/>
      <c r="HM62" s="26"/>
      <c r="HO62" s="55"/>
      <c r="HQ62" s="131"/>
      <c r="HR62" s="131"/>
      <c r="HS62" s="131"/>
      <c r="HT62" s="131"/>
      <c r="HU62" s="131"/>
      <c r="HV62" s="131"/>
      <c r="HW62" s="131"/>
      <c r="HX62" s="21"/>
      <c r="HY62" s="21"/>
      <c r="HZ62" s="21"/>
      <c r="IA62" s="73" t="s">
        <v>62</v>
      </c>
      <c r="IB62" s="73"/>
      <c r="IC62" s="26"/>
      <c r="IE62" s="55"/>
      <c r="IG62" s="131"/>
      <c r="IH62" s="131"/>
      <c r="II62" s="131"/>
      <c r="IJ62" s="131"/>
      <c r="IK62" s="131"/>
      <c r="IL62" s="131"/>
      <c r="IM62" s="131"/>
      <c r="IN62" s="21"/>
      <c r="IO62" s="21"/>
      <c r="IP62" s="21"/>
      <c r="IQ62" s="73" t="s">
        <v>62</v>
      </c>
      <c r="IR62" s="73"/>
      <c r="IS62" s="26"/>
      <c r="IU62" s="55"/>
      <c r="IW62" s="131"/>
      <c r="IX62" s="131"/>
      <c r="IY62" s="131"/>
      <c r="IZ62" s="131"/>
      <c r="JA62" s="131"/>
      <c r="JB62" s="131"/>
      <c r="JC62" s="131"/>
      <c r="JD62" s="21"/>
      <c r="JE62" s="21"/>
      <c r="JF62" s="21"/>
      <c r="JG62" s="73" t="s">
        <v>62</v>
      </c>
      <c r="JH62" s="73"/>
      <c r="JI62" s="26"/>
      <c r="JK62" s="55"/>
      <c r="JM62" s="131"/>
      <c r="JN62" s="131"/>
      <c r="JO62" s="131"/>
      <c r="JP62" s="131"/>
      <c r="JQ62" s="131"/>
      <c r="JR62" s="131"/>
      <c r="JS62" s="131"/>
      <c r="JT62" s="21"/>
      <c r="JU62" s="21"/>
      <c r="JV62" s="21"/>
      <c r="JW62" s="73" t="s">
        <v>62</v>
      </c>
      <c r="JX62" s="73"/>
      <c r="JY62" s="26"/>
      <c r="KA62" s="55"/>
      <c r="KC62" s="131"/>
      <c r="KD62" s="131"/>
      <c r="KE62" s="131"/>
      <c r="KF62" s="131"/>
      <c r="KG62" s="131"/>
      <c r="KH62" s="131"/>
      <c r="KI62" s="131"/>
      <c r="KJ62" s="21"/>
      <c r="KK62" s="21"/>
      <c r="KL62" s="21"/>
      <c r="KM62" s="73" t="s">
        <v>62</v>
      </c>
      <c r="KN62" s="73"/>
      <c r="KO62" s="26"/>
      <c r="KQ62" s="55"/>
      <c r="KS62" s="131"/>
      <c r="KT62" s="131"/>
      <c r="KU62" s="131"/>
      <c r="KV62" s="131"/>
      <c r="KW62" s="131"/>
      <c r="KX62" s="131"/>
      <c r="KY62" s="131"/>
      <c r="KZ62" s="21"/>
      <c r="LA62" s="21"/>
      <c r="LB62" s="21"/>
      <c r="LC62" s="73" t="s">
        <v>62</v>
      </c>
      <c r="LD62" s="73"/>
      <c r="LE62" s="26"/>
      <c r="LG62" s="55"/>
      <c r="LI62" s="131"/>
      <c r="LJ62" s="131"/>
      <c r="LK62" s="131"/>
      <c r="LL62" s="131"/>
      <c r="LM62" s="131"/>
      <c r="LN62" s="131"/>
      <c r="LO62" s="131"/>
      <c r="LP62" s="21"/>
      <c r="LQ62" s="21"/>
      <c r="LR62" s="21"/>
      <c r="LS62" s="73" t="s">
        <v>62</v>
      </c>
      <c r="LT62" s="73"/>
      <c r="LU62" s="26"/>
      <c r="LW62" s="55"/>
      <c r="LY62" s="131"/>
      <c r="LZ62" s="131"/>
      <c r="MA62" s="131"/>
      <c r="MB62" s="131"/>
      <c r="MC62" s="131"/>
      <c r="MD62" s="131"/>
      <c r="ME62" s="131"/>
      <c r="MF62" s="21"/>
      <c r="MG62" s="21"/>
      <c r="MH62" s="21"/>
      <c r="MI62" s="73" t="s">
        <v>62</v>
      </c>
      <c r="MJ62" s="73"/>
      <c r="MK62" s="26"/>
      <c r="MM62" s="55"/>
    </row>
    <row r="63" spans="1:352" ht="20.100000000000001" customHeight="1" x14ac:dyDescent="0.3">
      <c r="A63" s="24" t="s">
        <v>42</v>
      </c>
      <c r="B63" s="66" t="s">
        <v>43</v>
      </c>
      <c r="C63" s="67"/>
      <c r="D63" s="67"/>
      <c r="E63" s="69"/>
      <c r="F63" s="12" t="s">
        <v>44</v>
      </c>
      <c r="G63" s="66" t="s">
        <v>63</v>
      </c>
      <c r="H63" s="69"/>
      <c r="I63" s="66" t="s">
        <v>45</v>
      </c>
      <c r="J63" s="69"/>
      <c r="K63" s="12" t="s">
        <v>46</v>
      </c>
      <c r="L63" s="13" t="s">
        <v>6</v>
      </c>
      <c r="M63" s="27"/>
      <c r="N63" s="1" t="s">
        <v>65</v>
      </c>
      <c r="O63" s="53" t="s">
        <v>66</v>
      </c>
      <c r="Q63" s="24" t="s">
        <v>42</v>
      </c>
      <c r="R63" s="66" t="s">
        <v>43</v>
      </c>
      <c r="S63" s="67"/>
      <c r="T63" s="67"/>
      <c r="U63" s="69"/>
      <c r="V63" s="12" t="s">
        <v>18</v>
      </c>
      <c r="W63" s="66" t="s">
        <v>19</v>
      </c>
      <c r="X63" s="69"/>
      <c r="Y63" s="66" t="s">
        <v>20</v>
      </c>
      <c r="Z63" s="69"/>
      <c r="AA63" s="12" t="s">
        <v>21</v>
      </c>
      <c r="AB63" s="13" t="s">
        <v>6</v>
      </c>
      <c r="AC63" s="27"/>
      <c r="AD63" s="1" t="s">
        <v>65</v>
      </c>
      <c r="AE63" s="53" t="s">
        <v>66</v>
      </c>
      <c r="AG63" s="24" t="s">
        <v>42</v>
      </c>
      <c r="AH63" s="66" t="s">
        <v>43</v>
      </c>
      <c r="AI63" s="67"/>
      <c r="AJ63" s="67"/>
      <c r="AK63" s="69"/>
      <c r="AL63" s="12" t="s">
        <v>18</v>
      </c>
      <c r="AM63" s="66" t="s">
        <v>19</v>
      </c>
      <c r="AN63" s="69"/>
      <c r="AO63" s="66" t="s">
        <v>20</v>
      </c>
      <c r="AP63" s="69"/>
      <c r="AQ63" s="12" t="s">
        <v>21</v>
      </c>
      <c r="AR63" s="13" t="s">
        <v>6</v>
      </c>
      <c r="AS63" s="27"/>
      <c r="AT63" s="1" t="s">
        <v>65</v>
      </c>
      <c r="AU63" s="53" t="s">
        <v>66</v>
      </c>
      <c r="AW63" s="24" t="s">
        <v>42</v>
      </c>
      <c r="AX63" s="66" t="s">
        <v>43</v>
      </c>
      <c r="AY63" s="67"/>
      <c r="AZ63" s="67"/>
      <c r="BA63" s="69"/>
      <c r="BB63" s="12" t="s">
        <v>18</v>
      </c>
      <c r="BC63" s="66" t="s">
        <v>19</v>
      </c>
      <c r="BD63" s="69"/>
      <c r="BE63" s="66" t="s">
        <v>20</v>
      </c>
      <c r="BF63" s="69"/>
      <c r="BG63" s="12" t="s">
        <v>21</v>
      </c>
      <c r="BH63" s="13" t="s">
        <v>6</v>
      </c>
      <c r="BI63" s="27"/>
      <c r="BJ63" s="1" t="s">
        <v>65</v>
      </c>
      <c r="BK63" s="53" t="s">
        <v>66</v>
      </c>
      <c r="BM63" s="24" t="s">
        <v>42</v>
      </c>
      <c r="BN63" s="66" t="s">
        <v>43</v>
      </c>
      <c r="BO63" s="67"/>
      <c r="BP63" s="67"/>
      <c r="BQ63" s="69"/>
      <c r="BR63" s="12" t="s">
        <v>18</v>
      </c>
      <c r="BS63" s="66" t="s">
        <v>19</v>
      </c>
      <c r="BT63" s="69"/>
      <c r="BU63" s="66" t="s">
        <v>20</v>
      </c>
      <c r="BV63" s="69"/>
      <c r="BW63" s="12" t="s">
        <v>21</v>
      </c>
      <c r="BX63" s="13" t="s">
        <v>6</v>
      </c>
      <c r="BY63" s="27"/>
      <c r="BZ63" s="1" t="s">
        <v>65</v>
      </c>
      <c r="CA63" s="53" t="s">
        <v>66</v>
      </c>
      <c r="CC63" s="24" t="s">
        <v>42</v>
      </c>
      <c r="CD63" s="66" t="s">
        <v>43</v>
      </c>
      <c r="CE63" s="67"/>
      <c r="CF63" s="67"/>
      <c r="CG63" s="69"/>
      <c r="CH63" s="12" t="s">
        <v>18</v>
      </c>
      <c r="CI63" s="66" t="s">
        <v>19</v>
      </c>
      <c r="CJ63" s="69"/>
      <c r="CK63" s="66" t="s">
        <v>20</v>
      </c>
      <c r="CL63" s="69"/>
      <c r="CM63" s="12" t="s">
        <v>21</v>
      </c>
      <c r="CN63" s="13" t="s">
        <v>6</v>
      </c>
      <c r="CO63" s="27"/>
      <c r="CP63" s="1" t="s">
        <v>65</v>
      </c>
      <c r="CQ63" s="53" t="s">
        <v>66</v>
      </c>
      <c r="CS63" s="24" t="s">
        <v>42</v>
      </c>
      <c r="CT63" s="66" t="s">
        <v>43</v>
      </c>
      <c r="CU63" s="67"/>
      <c r="CV63" s="67"/>
      <c r="CW63" s="69"/>
      <c r="CX63" s="12" t="s">
        <v>18</v>
      </c>
      <c r="CY63" s="66" t="s">
        <v>19</v>
      </c>
      <c r="CZ63" s="69"/>
      <c r="DA63" s="66" t="s">
        <v>20</v>
      </c>
      <c r="DB63" s="69"/>
      <c r="DC63" s="12" t="s">
        <v>21</v>
      </c>
      <c r="DD63" s="13" t="s">
        <v>6</v>
      </c>
      <c r="DE63" s="27"/>
      <c r="DF63" s="1" t="s">
        <v>65</v>
      </c>
      <c r="DG63" s="53" t="s">
        <v>66</v>
      </c>
      <c r="DI63" s="24" t="s">
        <v>42</v>
      </c>
      <c r="DJ63" s="66" t="s">
        <v>43</v>
      </c>
      <c r="DK63" s="67"/>
      <c r="DL63" s="67"/>
      <c r="DM63" s="69"/>
      <c r="DN63" s="12" t="s">
        <v>18</v>
      </c>
      <c r="DO63" s="66" t="s">
        <v>19</v>
      </c>
      <c r="DP63" s="69"/>
      <c r="DQ63" s="66" t="s">
        <v>20</v>
      </c>
      <c r="DR63" s="69"/>
      <c r="DS63" s="12" t="s">
        <v>21</v>
      </c>
      <c r="DT63" s="13" t="s">
        <v>6</v>
      </c>
      <c r="DU63" s="27"/>
      <c r="DV63" s="1" t="s">
        <v>65</v>
      </c>
      <c r="DW63" s="53" t="s">
        <v>66</v>
      </c>
      <c r="DY63" s="24" t="s">
        <v>42</v>
      </c>
      <c r="DZ63" s="66" t="s">
        <v>43</v>
      </c>
      <c r="EA63" s="67"/>
      <c r="EB63" s="67"/>
      <c r="EC63" s="69"/>
      <c r="ED63" s="12" t="s">
        <v>18</v>
      </c>
      <c r="EE63" s="66" t="s">
        <v>19</v>
      </c>
      <c r="EF63" s="69"/>
      <c r="EG63" s="66" t="s">
        <v>20</v>
      </c>
      <c r="EH63" s="69"/>
      <c r="EI63" s="12" t="s">
        <v>21</v>
      </c>
      <c r="EJ63" s="13" t="s">
        <v>6</v>
      </c>
      <c r="EK63" s="27"/>
      <c r="EL63" s="1" t="s">
        <v>65</v>
      </c>
      <c r="EM63" s="53" t="s">
        <v>66</v>
      </c>
      <c r="EO63" s="24" t="s">
        <v>42</v>
      </c>
      <c r="EP63" s="66" t="s">
        <v>43</v>
      </c>
      <c r="EQ63" s="67"/>
      <c r="ER63" s="67"/>
      <c r="ES63" s="69"/>
      <c r="ET63" s="12" t="s">
        <v>18</v>
      </c>
      <c r="EU63" s="66" t="s">
        <v>19</v>
      </c>
      <c r="EV63" s="69"/>
      <c r="EW63" s="66" t="s">
        <v>20</v>
      </c>
      <c r="EX63" s="69"/>
      <c r="EY63" s="12" t="s">
        <v>21</v>
      </c>
      <c r="EZ63" s="13" t="s">
        <v>6</v>
      </c>
      <c r="FA63" s="27"/>
      <c r="FB63" s="1" t="s">
        <v>65</v>
      </c>
      <c r="FC63" s="53" t="s">
        <v>66</v>
      </c>
      <c r="FE63" s="24" t="s">
        <v>42</v>
      </c>
      <c r="FF63" s="66" t="s">
        <v>43</v>
      </c>
      <c r="FG63" s="67"/>
      <c r="FH63" s="67"/>
      <c r="FI63" s="69"/>
      <c r="FJ63" s="12" t="s">
        <v>18</v>
      </c>
      <c r="FK63" s="66" t="s">
        <v>19</v>
      </c>
      <c r="FL63" s="69"/>
      <c r="FM63" s="66" t="s">
        <v>20</v>
      </c>
      <c r="FN63" s="69"/>
      <c r="FO63" s="12" t="s">
        <v>21</v>
      </c>
      <c r="FP63" s="13" t="s">
        <v>6</v>
      </c>
      <c r="FQ63" s="27"/>
      <c r="FR63" s="1" t="s">
        <v>65</v>
      </c>
      <c r="FS63" s="53" t="s">
        <v>66</v>
      </c>
      <c r="FU63" s="24" t="s">
        <v>42</v>
      </c>
      <c r="FV63" s="66" t="s">
        <v>43</v>
      </c>
      <c r="FW63" s="67"/>
      <c r="FX63" s="67"/>
      <c r="FY63" s="69"/>
      <c r="FZ63" s="12" t="s">
        <v>18</v>
      </c>
      <c r="GA63" s="66" t="s">
        <v>19</v>
      </c>
      <c r="GB63" s="69"/>
      <c r="GC63" s="66" t="s">
        <v>20</v>
      </c>
      <c r="GD63" s="69"/>
      <c r="GE63" s="12" t="s">
        <v>21</v>
      </c>
      <c r="GF63" s="13" t="s">
        <v>6</v>
      </c>
      <c r="GG63" s="27"/>
      <c r="GH63" s="1" t="s">
        <v>65</v>
      </c>
      <c r="GI63" s="53" t="s">
        <v>66</v>
      </c>
      <c r="GK63" s="24" t="s">
        <v>42</v>
      </c>
      <c r="GL63" s="66" t="s">
        <v>43</v>
      </c>
      <c r="GM63" s="67"/>
      <c r="GN63" s="67"/>
      <c r="GO63" s="69"/>
      <c r="GP63" s="12" t="s">
        <v>18</v>
      </c>
      <c r="GQ63" s="66" t="s">
        <v>19</v>
      </c>
      <c r="GR63" s="69"/>
      <c r="GS63" s="66" t="s">
        <v>20</v>
      </c>
      <c r="GT63" s="69"/>
      <c r="GU63" s="12" t="s">
        <v>21</v>
      </c>
      <c r="GV63" s="13" t="s">
        <v>6</v>
      </c>
      <c r="GW63" s="27"/>
      <c r="GX63" s="1" t="s">
        <v>65</v>
      </c>
      <c r="GY63" s="53" t="s">
        <v>66</v>
      </c>
      <c r="HA63" s="24" t="s">
        <v>42</v>
      </c>
      <c r="HB63" s="66" t="s">
        <v>43</v>
      </c>
      <c r="HC63" s="67"/>
      <c r="HD63" s="67"/>
      <c r="HE63" s="69"/>
      <c r="HF63" s="12" t="s">
        <v>18</v>
      </c>
      <c r="HG63" s="66" t="s">
        <v>19</v>
      </c>
      <c r="HH63" s="69"/>
      <c r="HI63" s="66" t="s">
        <v>20</v>
      </c>
      <c r="HJ63" s="69"/>
      <c r="HK63" s="12" t="s">
        <v>21</v>
      </c>
      <c r="HL63" s="13" t="s">
        <v>6</v>
      </c>
      <c r="HM63" s="27"/>
      <c r="HN63" s="1" t="s">
        <v>65</v>
      </c>
      <c r="HO63" s="53" t="s">
        <v>66</v>
      </c>
      <c r="HQ63" s="24" t="s">
        <v>42</v>
      </c>
      <c r="HR63" s="66" t="s">
        <v>43</v>
      </c>
      <c r="HS63" s="67"/>
      <c r="HT63" s="67"/>
      <c r="HU63" s="69"/>
      <c r="HV63" s="12" t="s">
        <v>18</v>
      </c>
      <c r="HW63" s="66" t="s">
        <v>19</v>
      </c>
      <c r="HX63" s="69"/>
      <c r="HY63" s="66" t="s">
        <v>20</v>
      </c>
      <c r="HZ63" s="69"/>
      <c r="IA63" s="12" t="s">
        <v>21</v>
      </c>
      <c r="IB63" s="13" t="s">
        <v>6</v>
      </c>
      <c r="IC63" s="27"/>
      <c r="ID63" s="1" t="s">
        <v>65</v>
      </c>
      <c r="IE63" s="53" t="s">
        <v>66</v>
      </c>
      <c r="IG63" s="24" t="s">
        <v>42</v>
      </c>
      <c r="IH63" s="66" t="s">
        <v>43</v>
      </c>
      <c r="II63" s="67"/>
      <c r="IJ63" s="67"/>
      <c r="IK63" s="69"/>
      <c r="IL63" s="12" t="s">
        <v>18</v>
      </c>
      <c r="IM63" s="66" t="s">
        <v>19</v>
      </c>
      <c r="IN63" s="69"/>
      <c r="IO63" s="66" t="s">
        <v>20</v>
      </c>
      <c r="IP63" s="69"/>
      <c r="IQ63" s="12" t="s">
        <v>21</v>
      </c>
      <c r="IR63" s="13" t="s">
        <v>6</v>
      </c>
      <c r="IS63" s="27"/>
      <c r="IT63" s="1" t="s">
        <v>65</v>
      </c>
      <c r="IU63" s="53" t="s">
        <v>66</v>
      </c>
      <c r="IW63" s="24" t="s">
        <v>42</v>
      </c>
      <c r="IX63" s="66" t="s">
        <v>43</v>
      </c>
      <c r="IY63" s="67"/>
      <c r="IZ63" s="67"/>
      <c r="JA63" s="69"/>
      <c r="JB63" s="12" t="s">
        <v>18</v>
      </c>
      <c r="JC63" s="66" t="s">
        <v>19</v>
      </c>
      <c r="JD63" s="69"/>
      <c r="JE63" s="66" t="s">
        <v>20</v>
      </c>
      <c r="JF63" s="69"/>
      <c r="JG63" s="12" t="s">
        <v>21</v>
      </c>
      <c r="JH63" s="13" t="s">
        <v>6</v>
      </c>
      <c r="JI63" s="27"/>
      <c r="JJ63" s="1" t="s">
        <v>65</v>
      </c>
      <c r="JK63" s="53" t="s">
        <v>66</v>
      </c>
      <c r="JM63" s="24" t="s">
        <v>42</v>
      </c>
      <c r="JN63" s="66" t="s">
        <v>43</v>
      </c>
      <c r="JO63" s="67"/>
      <c r="JP63" s="67"/>
      <c r="JQ63" s="69"/>
      <c r="JR63" s="12" t="s">
        <v>18</v>
      </c>
      <c r="JS63" s="66" t="s">
        <v>19</v>
      </c>
      <c r="JT63" s="69"/>
      <c r="JU63" s="66" t="s">
        <v>20</v>
      </c>
      <c r="JV63" s="69"/>
      <c r="JW63" s="12" t="s">
        <v>21</v>
      </c>
      <c r="JX63" s="13" t="s">
        <v>6</v>
      </c>
      <c r="JY63" s="27"/>
      <c r="JZ63" s="1" t="s">
        <v>65</v>
      </c>
      <c r="KA63" s="53" t="s">
        <v>66</v>
      </c>
      <c r="KC63" s="24" t="s">
        <v>42</v>
      </c>
      <c r="KD63" s="66" t="s">
        <v>43</v>
      </c>
      <c r="KE63" s="67"/>
      <c r="KF63" s="67"/>
      <c r="KG63" s="69"/>
      <c r="KH63" s="12" t="s">
        <v>18</v>
      </c>
      <c r="KI63" s="66" t="s">
        <v>19</v>
      </c>
      <c r="KJ63" s="69"/>
      <c r="KK63" s="66" t="s">
        <v>20</v>
      </c>
      <c r="KL63" s="69"/>
      <c r="KM63" s="12" t="s">
        <v>21</v>
      </c>
      <c r="KN63" s="13" t="s">
        <v>6</v>
      </c>
      <c r="KO63" s="27"/>
      <c r="KP63" s="1" t="s">
        <v>65</v>
      </c>
      <c r="KQ63" s="53" t="s">
        <v>66</v>
      </c>
      <c r="KS63" s="24" t="s">
        <v>42</v>
      </c>
      <c r="KT63" s="66" t="s">
        <v>43</v>
      </c>
      <c r="KU63" s="67"/>
      <c r="KV63" s="67"/>
      <c r="KW63" s="69"/>
      <c r="KX63" s="12" t="s">
        <v>18</v>
      </c>
      <c r="KY63" s="66" t="s">
        <v>19</v>
      </c>
      <c r="KZ63" s="69"/>
      <c r="LA63" s="66" t="s">
        <v>20</v>
      </c>
      <c r="LB63" s="69"/>
      <c r="LC63" s="12" t="s">
        <v>21</v>
      </c>
      <c r="LD63" s="13" t="s">
        <v>6</v>
      </c>
      <c r="LE63" s="27"/>
      <c r="LF63" s="1" t="s">
        <v>65</v>
      </c>
      <c r="LG63" s="53" t="s">
        <v>66</v>
      </c>
      <c r="LI63" s="24" t="s">
        <v>42</v>
      </c>
      <c r="LJ63" s="66" t="s">
        <v>43</v>
      </c>
      <c r="LK63" s="67"/>
      <c r="LL63" s="67"/>
      <c r="LM63" s="69"/>
      <c r="LN63" s="12" t="s">
        <v>18</v>
      </c>
      <c r="LO63" s="66" t="s">
        <v>19</v>
      </c>
      <c r="LP63" s="69"/>
      <c r="LQ63" s="66" t="s">
        <v>20</v>
      </c>
      <c r="LR63" s="69"/>
      <c r="LS63" s="12" t="s">
        <v>21</v>
      </c>
      <c r="LT63" s="13" t="s">
        <v>6</v>
      </c>
      <c r="LU63" s="27"/>
      <c r="LV63" s="1" t="s">
        <v>65</v>
      </c>
      <c r="LW63" s="53" t="s">
        <v>66</v>
      </c>
      <c r="LY63" s="24" t="s">
        <v>42</v>
      </c>
      <c r="LZ63" s="66" t="s">
        <v>43</v>
      </c>
      <c r="MA63" s="67"/>
      <c r="MB63" s="67"/>
      <c r="MC63" s="69"/>
      <c r="MD63" s="12" t="s">
        <v>18</v>
      </c>
      <c r="ME63" s="66" t="s">
        <v>19</v>
      </c>
      <c r="MF63" s="69"/>
      <c r="MG63" s="66" t="s">
        <v>20</v>
      </c>
      <c r="MH63" s="69"/>
      <c r="MI63" s="12" t="s">
        <v>21</v>
      </c>
      <c r="MJ63" s="13" t="s">
        <v>6</v>
      </c>
      <c r="MK63" s="27"/>
      <c r="ML63" s="1" t="s">
        <v>65</v>
      </c>
      <c r="MM63" s="53" t="s">
        <v>66</v>
      </c>
    </row>
    <row r="64" spans="1:352" ht="20.100000000000001" customHeight="1" x14ac:dyDescent="0.3">
      <c r="A64" s="41" t="s">
        <v>88</v>
      </c>
      <c r="B64" s="133" t="s">
        <v>89</v>
      </c>
      <c r="C64" s="134"/>
      <c r="D64" s="134"/>
      <c r="E64" s="135"/>
      <c r="F64" s="42"/>
      <c r="G64" s="105"/>
      <c r="H64" s="106"/>
      <c r="I64" s="107"/>
      <c r="J64" s="108"/>
      <c r="K64" s="29"/>
      <c r="L64" s="30"/>
      <c r="M64" s="27"/>
      <c r="O64" s="53"/>
      <c r="Q64" s="41" t="s">
        <v>88</v>
      </c>
      <c r="R64" s="133" t="s">
        <v>89</v>
      </c>
      <c r="S64" s="134"/>
      <c r="T64" s="134"/>
      <c r="U64" s="135"/>
      <c r="V64" s="42"/>
      <c r="W64" s="105"/>
      <c r="X64" s="106"/>
      <c r="Y64" s="107"/>
      <c r="Z64" s="108"/>
      <c r="AA64" s="29"/>
      <c r="AB64" s="30"/>
      <c r="AC64" s="27"/>
      <c r="AE64" s="53"/>
      <c r="AG64" s="41" t="s">
        <v>88</v>
      </c>
      <c r="AH64" s="133" t="s">
        <v>89</v>
      </c>
      <c r="AI64" s="134"/>
      <c r="AJ64" s="134"/>
      <c r="AK64" s="135"/>
      <c r="AL64" s="42"/>
      <c r="AM64" s="105"/>
      <c r="AN64" s="106"/>
      <c r="AO64" s="107"/>
      <c r="AP64" s="108"/>
      <c r="AQ64" s="29"/>
      <c r="AR64" s="30"/>
      <c r="AS64" s="27"/>
      <c r="AU64" s="53"/>
      <c r="AW64" s="41" t="s">
        <v>88</v>
      </c>
      <c r="AX64" s="133" t="s">
        <v>89</v>
      </c>
      <c r="AY64" s="134"/>
      <c r="AZ64" s="134"/>
      <c r="BA64" s="135"/>
      <c r="BB64" s="42"/>
      <c r="BC64" s="105"/>
      <c r="BD64" s="106"/>
      <c r="BE64" s="107"/>
      <c r="BF64" s="108"/>
      <c r="BG64" s="29"/>
      <c r="BH64" s="30"/>
      <c r="BI64" s="27"/>
      <c r="BK64" s="53"/>
      <c r="BM64" s="41" t="s">
        <v>88</v>
      </c>
      <c r="BN64" s="133" t="s">
        <v>89</v>
      </c>
      <c r="BO64" s="134"/>
      <c r="BP64" s="134"/>
      <c r="BQ64" s="135"/>
      <c r="BR64" s="42"/>
      <c r="BS64" s="105"/>
      <c r="BT64" s="106"/>
      <c r="BU64" s="107"/>
      <c r="BV64" s="108"/>
      <c r="BW64" s="29"/>
      <c r="BX64" s="30"/>
      <c r="BY64" s="27"/>
      <c r="CA64" s="53"/>
      <c r="CC64" s="41" t="s">
        <v>88</v>
      </c>
      <c r="CD64" s="133" t="s">
        <v>89</v>
      </c>
      <c r="CE64" s="134"/>
      <c r="CF64" s="134"/>
      <c r="CG64" s="135"/>
      <c r="CH64" s="42"/>
      <c r="CI64" s="105"/>
      <c r="CJ64" s="106"/>
      <c r="CK64" s="107"/>
      <c r="CL64" s="108"/>
      <c r="CM64" s="29"/>
      <c r="CN64" s="30"/>
      <c r="CO64" s="27"/>
      <c r="CQ64" s="53"/>
      <c r="CS64" s="41" t="s">
        <v>88</v>
      </c>
      <c r="CT64" s="133" t="s">
        <v>89</v>
      </c>
      <c r="CU64" s="134"/>
      <c r="CV64" s="134"/>
      <c r="CW64" s="135"/>
      <c r="CX64" s="42"/>
      <c r="CY64" s="105"/>
      <c r="CZ64" s="106"/>
      <c r="DA64" s="107"/>
      <c r="DB64" s="108"/>
      <c r="DC64" s="29"/>
      <c r="DD64" s="30"/>
      <c r="DE64" s="27"/>
      <c r="DG64" s="53"/>
      <c r="DI64" s="41" t="s">
        <v>88</v>
      </c>
      <c r="DJ64" s="133" t="s">
        <v>89</v>
      </c>
      <c r="DK64" s="134"/>
      <c r="DL64" s="134"/>
      <c r="DM64" s="135"/>
      <c r="DN64" s="42"/>
      <c r="DO64" s="105"/>
      <c r="DP64" s="106"/>
      <c r="DQ64" s="107"/>
      <c r="DR64" s="108"/>
      <c r="DS64" s="29"/>
      <c r="DT64" s="30"/>
      <c r="DU64" s="27"/>
      <c r="DW64" s="53"/>
      <c r="DY64" s="41" t="s">
        <v>88</v>
      </c>
      <c r="DZ64" s="133" t="s">
        <v>89</v>
      </c>
      <c r="EA64" s="134"/>
      <c r="EB64" s="134"/>
      <c r="EC64" s="135"/>
      <c r="ED64" s="42"/>
      <c r="EE64" s="105"/>
      <c r="EF64" s="106"/>
      <c r="EG64" s="107"/>
      <c r="EH64" s="108"/>
      <c r="EI64" s="29"/>
      <c r="EJ64" s="30"/>
      <c r="EK64" s="27"/>
      <c r="EM64" s="53"/>
      <c r="EO64" s="41" t="s">
        <v>88</v>
      </c>
      <c r="EP64" s="133" t="s">
        <v>89</v>
      </c>
      <c r="EQ64" s="134"/>
      <c r="ER64" s="134"/>
      <c r="ES64" s="135"/>
      <c r="ET64" s="42"/>
      <c r="EU64" s="105"/>
      <c r="EV64" s="106"/>
      <c r="EW64" s="107"/>
      <c r="EX64" s="108"/>
      <c r="EY64" s="29"/>
      <c r="EZ64" s="30"/>
      <c r="FA64" s="27"/>
      <c r="FC64" s="53"/>
      <c r="FE64" s="41" t="s">
        <v>88</v>
      </c>
      <c r="FF64" s="133" t="s">
        <v>89</v>
      </c>
      <c r="FG64" s="134"/>
      <c r="FH64" s="134"/>
      <c r="FI64" s="135"/>
      <c r="FJ64" s="42"/>
      <c r="FK64" s="105"/>
      <c r="FL64" s="106"/>
      <c r="FM64" s="107"/>
      <c r="FN64" s="108"/>
      <c r="FO64" s="29"/>
      <c r="FP64" s="30"/>
      <c r="FQ64" s="27"/>
      <c r="FS64" s="53"/>
      <c r="FU64" s="41" t="s">
        <v>88</v>
      </c>
      <c r="FV64" s="133" t="s">
        <v>89</v>
      </c>
      <c r="FW64" s="134"/>
      <c r="FX64" s="134"/>
      <c r="FY64" s="135"/>
      <c r="FZ64" s="42"/>
      <c r="GA64" s="105"/>
      <c r="GB64" s="106"/>
      <c r="GC64" s="107"/>
      <c r="GD64" s="108"/>
      <c r="GE64" s="29"/>
      <c r="GF64" s="30"/>
      <c r="GG64" s="27"/>
      <c r="GI64" s="53"/>
      <c r="GK64" s="41" t="s">
        <v>88</v>
      </c>
      <c r="GL64" s="133" t="s">
        <v>89</v>
      </c>
      <c r="GM64" s="134"/>
      <c r="GN64" s="134"/>
      <c r="GO64" s="135"/>
      <c r="GP64" s="42"/>
      <c r="GQ64" s="105"/>
      <c r="GR64" s="106"/>
      <c r="GS64" s="107"/>
      <c r="GT64" s="108"/>
      <c r="GU64" s="29"/>
      <c r="GV64" s="30"/>
      <c r="GW64" s="27"/>
      <c r="GY64" s="53"/>
      <c r="HA64" s="41" t="s">
        <v>88</v>
      </c>
      <c r="HB64" s="133" t="s">
        <v>89</v>
      </c>
      <c r="HC64" s="134"/>
      <c r="HD64" s="134"/>
      <c r="HE64" s="135"/>
      <c r="HF64" s="42"/>
      <c r="HG64" s="105"/>
      <c r="HH64" s="106"/>
      <c r="HI64" s="107"/>
      <c r="HJ64" s="108"/>
      <c r="HK64" s="29"/>
      <c r="HL64" s="30"/>
      <c r="HM64" s="27"/>
      <c r="HO64" s="53"/>
      <c r="HQ64" s="41" t="s">
        <v>88</v>
      </c>
      <c r="HR64" s="133" t="s">
        <v>89</v>
      </c>
      <c r="HS64" s="134"/>
      <c r="HT64" s="134"/>
      <c r="HU64" s="135"/>
      <c r="HV64" s="42"/>
      <c r="HW64" s="105"/>
      <c r="HX64" s="106"/>
      <c r="HY64" s="107"/>
      <c r="HZ64" s="108"/>
      <c r="IA64" s="29"/>
      <c r="IB64" s="30"/>
      <c r="IC64" s="27"/>
      <c r="IE64" s="53"/>
      <c r="IG64" s="41" t="s">
        <v>88</v>
      </c>
      <c r="IH64" s="133" t="s">
        <v>89</v>
      </c>
      <c r="II64" s="134"/>
      <c r="IJ64" s="134"/>
      <c r="IK64" s="135"/>
      <c r="IL64" s="42"/>
      <c r="IM64" s="105"/>
      <c r="IN64" s="106"/>
      <c r="IO64" s="107"/>
      <c r="IP64" s="108"/>
      <c r="IQ64" s="29"/>
      <c r="IR64" s="30"/>
      <c r="IS64" s="27"/>
      <c r="IU64" s="53"/>
      <c r="IW64" s="41" t="s">
        <v>88</v>
      </c>
      <c r="IX64" s="133" t="s">
        <v>89</v>
      </c>
      <c r="IY64" s="134"/>
      <c r="IZ64" s="134"/>
      <c r="JA64" s="135"/>
      <c r="JB64" s="42"/>
      <c r="JC64" s="105"/>
      <c r="JD64" s="106"/>
      <c r="JE64" s="107"/>
      <c r="JF64" s="108"/>
      <c r="JG64" s="29"/>
      <c r="JH64" s="30"/>
      <c r="JI64" s="27"/>
      <c r="JK64" s="53"/>
      <c r="JM64" s="41" t="s">
        <v>88</v>
      </c>
      <c r="JN64" s="133" t="s">
        <v>89</v>
      </c>
      <c r="JO64" s="134"/>
      <c r="JP64" s="134"/>
      <c r="JQ64" s="135"/>
      <c r="JR64" s="42"/>
      <c r="JS64" s="105"/>
      <c r="JT64" s="106"/>
      <c r="JU64" s="107"/>
      <c r="JV64" s="108"/>
      <c r="JW64" s="29"/>
      <c r="JX64" s="30"/>
      <c r="JY64" s="27"/>
      <c r="KA64" s="53"/>
      <c r="KC64" s="41" t="s">
        <v>88</v>
      </c>
      <c r="KD64" s="133" t="s">
        <v>89</v>
      </c>
      <c r="KE64" s="134"/>
      <c r="KF64" s="134"/>
      <c r="KG64" s="135"/>
      <c r="KH64" s="42"/>
      <c r="KI64" s="105"/>
      <c r="KJ64" s="106"/>
      <c r="KK64" s="107"/>
      <c r="KL64" s="108"/>
      <c r="KM64" s="29"/>
      <c r="KN64" s="30"/>
      <c r="KO64" s="27"/>
      <c r="KQ64" s="53"/>
      <c r="KS64" s="41" t="s">
        <v>88</v>
      </c>
      <c r="KT64" s="133" t="s">
        <v>89</v>
      </c>
      <c r="KU64" s="134"/>
      <c r="KV64" s="134"/>
      <c r="KW64" s="135"/>
      <c r="KX64" s="42"/>
      <c r="KY64" s="105"/>
      <c r="KZ64" s="106"/>
      <c r="LA64" s="107"/>
      <c r="LB64" s="108"/>
      <c r="LC64" s="29"/>
      <c r="LD64" s="30"/>
      <c r="LE64" s="27"/>
      <c r="LG64" s="53"/>
      <c r="LI64" s="41" t="s">
        <v>88</v>
      </c>
      <c r="LJ64" s="133" t="s">
        <v>89</v>
      </c>
      <c r="LK64" s="134"/>
      <c r="LL64" s="134"/>
      <c r="LM64" s="135"/>
      <c r="LN64" s="42"/>
      <c r="LO64" s="105"/>
      <c r="LP64" s="106"/>
      <c r="LQ64" s="107"/>
      <c r="LR64" s="108"/>
      <c r="LS64" s="29"/>
      <c r="LT64" s="30"/>
      <c r="LU64" s="27"/>
      <c r="LW64" s="53"/>
      <c r="LY64" s="41" t="s">
        <v>88</v>
      </c>
      <c r="LZ64" s="133" t="s">
        <v>89</v>
      </c>
      <c r="MA64" s="134"/>
      <c r="MB64" s="134"/>
      <c r="MC64" s="135"/>
      <c r="MD64" s="42"/>
      <c r="ME64" s="105"/>
      <c r="MF64" s="106"/>
      <c r="MG64" s="107"/>
      <c r="MH64" s="108"/>
      <c r="MI64" s="29"/>
      <c r="MJ64" s="30"/>
      <c r="MK64" s="27"/>
      <c r="MM64" s="53"/>
    </row>
    <row r="65" spans="1:351" ht="20.100000000000001" customHeight="1" x14ac:dyDescent="0.3">
      <c r="A65" s="41">
        <v>1</v>
      </c>
      <c r="B65" s="136" t="s">
        <v>90</v>
      </c>
      <c r="C65" s="137"/>
      <c r="D65" s="137"/>
      <c r="E65" s="138"/>
      <c r="F65" s="43" t="s">
        <v>91</v>
      </c>
      <c r="G65" s="79">
        <v>30</v>
      </c>
      <c r="H65" s="80"/>
      <c r="I65" s="105"/>
      <c r="J65" s="106"/>
      <c r="K65" s="36">
        <f>I65</f>
        <v>0</v>
      </c>
      <c r="L65" s="30"/>
      <c r="M65" s="27"/>
      <c r="N65" s="44">
        <v>2050</v>
      </c>
      <c r="O65" s="56">
        <f>I65*N65</f>
        <v>0</v>
      </c>
      <c r="Q65" s="41">
        <v>1</v>
      </c>
      <c r="R65" s="136" t="s">
        <v>90</v>
      </c>
      <c r="S65" s="137"/>
      <c r="T65" s="137"/>
      <c r="U65" s="138"/>
      <c r="V65" s="43" t="s">
        <v>91</v>
      </c>
      <c r="W65" s="79">
        <v>30</v>
      </c>
      <c r="X65" s="80"/>
      <c r="Y65" s="105">
        <v>5</v>
      </c>
      <c r="Z65" s="106"/>
      <c r="AA65" s="36">
        <f>Y65+K65</f>
        <v>5</v>
      </c>
      <c r="AB65" s="30"/>
      <c r="AC65" s="27"/>
      <c r="AD65" s="44">
        <v>2050</v>
      </c>
      <c r="AE65" s="56">
        <f>Y65*AD65</f>
        <v>10250</v>
      </c>
      <c r="AG65" s="41">
        <v>1</v>
      </c>
      <c r="AH65" s="136" t="s">
        <v>90</v>
      </c>
      <c r="AI65" s="137"/>
      <c r="AJ65" s="137"/>
      <c r="AK65" s="138"/>
      <c r="AL65" s="43" t="s">
        <v>91</v>
      </c>
      <c r="AM65" s="79">
        <v>30</v>
      </c>
      <c r="AN65" s="80"/>
      <c r="AO65" s="105">
        <v>10</v>
      </c>
      <c r="AP65" s="106"/>
      <c r="AQ65" s="36">
        <f>AO65+AA65</f>
        <v>15</v>
      </c>
      <c r="AR65" s="30"/>
      <c r="AS65" s="27"/>
      <c r="AT65" s="44">
        <v>2050</v>
      </c>
      <c r="AU65" s="56">
        <f>AO65*AT65</f>
        <v>20500</v>
      </c>
      <c r="AW65" s="41">
        <v>1</v>
      </c>
      <c r="AX65" s="136" t="s">
        <v>90</v>
      </c>
      <c r="AY65" s="137"/>
      <c r="AZ65" s="137"/>
      <c r="BA65" s="138"/>
      <c r="BB65" s="43" t="s">
        <v>91</v>
      </c>
      <c r="BC65" s="79">
        <v>30</v>
      </c>
      <c r="BD65" s="80"/>
      <c r="BE65" s="105">
        <v>10</v>
      </c>
      <c r="BF65" s="106"/>
      <c r="BG65" s="36">
        <f>BE65+AQ65</f>
        <v>25</v>
      </c>
      <c r="BH65" s="30"/>
      <c r="BI65" s="27"/>
      <c r="BJ65" s="44">
        <v>2050</v>
      </c>
      <c r="BK65" s="56">
        <f>BE65*BJ65</f>
        <v>20500</v>
      </c>
      <c r="BM65" s="41">
        <v>1</v>
      </c>
      <c r="BN65" s="136" t="s">
        <v>90</v>
      </c>
      <c r="BO65" s="137"/>
      <c r="BP65" s="137"/>
      <c r="BQ65" s="138"/>
      <c r="BR65" s="43" t="s">
        <v>91</v>
      </c>
      <c r="BS65" s="79">
        <v>30</v>
      </c>
      <c r="BT65" s="80"/>
      <c r="BU65" s="105"/>
      <c r="BV65" s="106"/>
      <c r="BW65" s="36">
        <f>BU65+BG65</f>
        <v>25</v>
      </c>
      <c r="BX65" s="30"/>
      <c r="BY65" s="27"/>
      <c r="BZ65" s="44">
        <v>2050</v>
      </c>
      <c r="CA65" s="56">
        <f>BU65*BZ65</f>
        <v>0</v>
      </c>
      <c r="CC65" s="41">
        <v>1</v>
      </c>
      <c r="CD65" s="136" t="s">
        <v>90</v>
      </c>
      <c r="CE65" s="137"/>
      <c r="CF65" s="137"/>
      <c r="CG65" s="138"/>
      <c r="CH65" s="43" t="s">
        <v>91</v>
      </c>
      <c r="CI65" s="79">
        <v>30</v>
      </c>
      <c r="CJ65" s="80"/>
      <c r="CK65" s="105"/>
      <c r="CL65" s="106"/>
      <c r="CM65" s="36">
        <f>CK65+BW65</f>
        <v>25</v>
      </c>
      <c r="CN65" s="30"/>
      <c r="CO65" s="27"/>
      <c r="CP65" s="44">
        <v>2050</v>
      </c>
      <c r="CQ65" s="56">
        <f>CK65*CP65</f>
        <v>0</v>
      </c>
      <c r="CS65" s="41">
        <v>1</v>
      </c>
      <c r="CT65" s="136" t="s">
        <v>90</v>
      </c>
      <c r="CU65" s="137"/>
      <c r="CV65" s="137"/>
      <c r="CW65" s="138"/>
      <c r="CX65" s="43" t="s">
        <v>91</v>
      </c>
      <c r="CY65" s="79">
        <v>30</v>
      </c>
      <c r="CZ65" s="80"/>
      <c r="DA65" s="105"/>
      <c r="DB65" s="106"/>
      <c r="DC65" s="36">
        <f>DA65+CM65</f>
        <v>25</v>
      </c>
      <c r="DD65" s="30"/>
      <c r="DE65" s="27"/>
      <c r="DF65" s="44">
        <v>2050</v>
      </c>
      <c r="DG65" s="56">
        <f>DA65*DF65</f>
        <v>0</v>
      </c>
      <c r="DI65" s="41">
        <v>1</v>
      </c>
      <c r="DJ65" s="136" t="s">
        <v>90</v>
      </c>
      <c r="DK65" s="137"/>
      <c r="DL65" s="137"/>
      <c r="DM65" s="138"/>
      <c r="DN65" s="43" t="s">
        <v>91</v>
      </c>
      <c r="DO65" s="79">
        <v>30</v>
      </c>
      <c r="DP65" s="80"/>
      <c r="DQ65" s="105"/>
      <c r="DR65" s="106"/>
      <c r="DS65" s="36">
        <f>DQ65+DC65</f>
        <v>25</v>
      </c>
      <c r="DT65" s="30"/>
      <c r="DU65" s="27"/>
      <c r="DV65" s="44">
        <v>2050</v>
      </c>
      <c r="DW65" s="56">
        <f>DQ65*DV65</f>
        <v>0</v>
      </c>
      <c r="DY65" s="41">
        <v>1</v>
      </c>
      <c r="DZ65" s="136" t="s">
        <v>90</v>
      </c>
      <c r="EA65" s="137"/>
      <c r="EB65" s="137"/>
      <c r="EC65" s="138"/>
      <c r="ED65" s="43" t="s">
        <v>91</v>
      </c>
      <c r="EE65" s="79">
        <v>30</v>
      </c>
      <c r="EF65" s="80"/>
      <c r="EG65" s="105"/>
      <c r="EH65" s="106"/>
      <c r="EI65" s="36">
        <f>EG65+DS65</f>
        <v>25</v>
      </c>
      <c r="EJ65" s="30"/>
      <c r="EK65" s="27"/>
      <c r="EL65" s="44">
        <v>2050</v>
      </c>
      <c r="EM65" s="56">
        <f>EG65*EL65</f>
        <v>0</v>
      </c>
      <c r="EO65" s="41">
        <v>1</v>
      </c>
      <c r="EP65" s="136" t="s">
        <v>90</v>
      </c>
      <c r="EQ65" s="137"/>
      <c r="ER65" s="137"/>
      <c r="ES65" s="138"/>
      <c r="ET65" s="43" t="s">
        <v>91</v>
      </c>
      <c r="EU65" s="79">
        <v>30</v>
      </c>
      <c r="EV65" s="80"/>
      <c r="EW65" s="105"/>
      <c r="EX65" s="106"/>
      <c r="EY65" s="36">
        <f>EW65+EI65</f>
        <v>25</v>
      </c>
      <c r="EZ65" s="30"/>
      <c r="FA65" s="27"/>
      <c r="FB65" s="44">
        <v>2050</v>
      </c>
      <c r="FC65" s="56">
        <f>EW65*FB65</f>
        <v>0</v>
      </c>
      <c r="FE65" s="41">
        <v>1</v>
      </c>
      <c r="FF65" s="136" t="s">
        <v>90</v>
      </c>
      <c r="FG65" s="137"/>
      <c r="FH65" s="137"/>
      <c r="FI65" s="138"/>
      <c r="FJ65" s="43" t="s">
        <v>91</v>
      </c>
      <c r="FK65" s="79">
        <v>30</v>
      </c>
      <c r="FL65" s="80"/>
      <c r="FM65" s="105"/>
      <c r="FN65" s="106"/>
      <c r="FO65" s="36">
        <f>FM65+EY65</f>
        <v>25</v>
      </c>
      <c r="FP65" s="30"/>
      <c r="FQ65" s="27"/>
      <c r="FR65" s="44">
        <v>2050</v>
      </c>
      <c r="FS65" s="56">
        <f>FM65*FR65</f>
        <v>0</v>
      </c>
      <c r="FU65" s="41">
        <v>1</v>
      </c>
      <c r="FV65" s="136" t="s">
        <v>90</v>
      </c>
      <c r="FW65" s="137"/>
      <c r="FX65" s="137"/>
      <c r="FY65" s="138"/>
      <c r="FZ65" s="43" t="s">
        <v>91</v>
      </c>
      <c r="GA65" s="79">
        <v>30</v>
      </c>
      <c r="GB65" s="80"/>
      <c r="GC65" s="105"/>
      <c r="GD65" s="106"/>
      <c r="GE65" s="36">
        <f>GC65+FO65</f>
        <v>25</v>
      </c>
      <c r="GF65" s="30"/>
      <c r="GG65" s="27"/>
      <c r="GH65" s="44">
        <v>2050</v>
      </c>
      <c r="GI65" s="56">
        <f>GC65*GH65</f>
        <v>0</v>
      </c>
      <c r="GK65" s="41">
        <v>1</v>
      </c>
      <c r="GL65" s="136" t="s">
        <v>90</v>
      </c>
      <c r="GM65" s="137"/>
      <c r="GN65" s="137"/>
      <c r="GO65" s="138"/>
      <c r="GP65" s="43" t="s">
        <v>91</v>
      </c>
      <c r="GQ65" s="79">
        <v>30</v>
      </c>
      <c r="GR65" s="80"/>
      <c r="GS65" s="105"/>
      <c r="GT65" s="106"/>
      <c r="GU65" s="36">
        <f>GS65+GE65</f>
        <v>25</v>
      </c>
      <c r="GV65" s="30"/>
      <c r="GW65" s="27"/>
      <c r="GX65" s="44">
        <v>2050</v>
      </c>
      <c r="GY65" s="56">
        <f>GS65*GX65</f>
        <v>0</v>
      </c>
      <c r="HA65" s="41">
        <v>1</v>
      </c>
      <c r="HB65" s="136" t="s">
        <v>90</v>
      </c>
      <c r="HC65" s="137"/>
      <c r="HD65" s="137"/>
      <c r="HE65" s="138"/>
      <c r="HF65" s="43" t="s">
        <v>91</v>
      </c>
      <c r="HG65" s="79">
        <v>30</v>
      </c>
      <c r="HH65" s="80"/>
      <c r="HI65" s="105"/>
      <c r="HJ65" s="106"/>
      <c r="HK65" s="36">
        <f>HI65+GU65</f>
        <v>25</v>
      </c>
      <c r="HL65" s="30"/>
      <c r="HM65" s="27"/>
      <c r="HN65" s="44">
        <v>2050</v>
      </c>
      <c r="HO65" s="56">
        <f>HI65*HN65</f>
        <v>0</v>
      </c>
      <c r="HQ65" s="41">
        <v>1</v>
      </c>
      <c r="HR65" s="136" t="s">
        <v>90</v>
      </c>
      <c r="HS65" s="137"/>
      <c r="HT65" s="137"/>
      <c r="HU65" s="138"/>
      <c r="HV65" s="43" t="s">
        <v>91</v>
      </c>
      <c r="HW65" s="79">
        <v>30</v>
      </c>
      <c r="HX65" s="80"/>
      <c r="HY65" s="105"/>
      <c r="HZ65" s="106"/>
      <c r="IA65" s="36">
        <f>HY65+HK65</f>
        <v>25</v>
      </c>
      <c r="IB65" s="30"/>
      <c r="IC65" s="27"/>
      <c r="ID65" s="44">
        <v>2050</v>
      </c>
      <c r="IE65" s="56">
        <f>HY65*ID65</f>
        <v>0</v>
      </c>
      <c r="IG65" s="41">
        <v>1</v>
      </c>
      <c r="IH65" s="136" t="s">
        <v>90</v>
      </c>
      <c r="II65" s="137"/>
      <c r="IJ65" s="137"/>
      <c r="IK65" s="138"/>
      <c r="IL65" s="43" t="s">
        <v>91</v>
      </c>
      <c r="IM65" s="79">
        <v>30</v>
      </c>
      <c r="IN65" s="80"/>
      <c r="IO65" s="105"/>
      <c r="IP65" s="106"/>
      <c r="IQ65" s="36">
        <f>IO65+IA65</f>
        <v>25</v>
      </c>
      <c r="IR65" s="30"/>
      <c r="IS65" s="27"/>
      <c r="IT65" s="44">
        <v>2050</v>
      </c>
      <c r="IU65" s="56">
        <f>IO65*IT65</f>
        <v>0</v>
      </c>
      <c r="IW65" s="41">
        <v>1</v>
      </c>
      <c r="IX65" s="136" t="s">
        <v>90</v>
      </c>
      <c r="IY65" s="137"/>
      <c r="IZ65" s="137"/>
      <c r="JA65" s="138"/>
      <c r="JB65" s="43" t="s">
        <v>91</v>
      </c>
      <c r="JC65" s="79">
        <v>30</v>
      </c>
      <c r="JD65" s="80"/>
      <c r="JE65" s="105"/>
      <c r="JF65" s="106"/>
      <c r="JG65" s="36">
        <f>JE65+IQ65</f>
        <v>25</v>
      </c>
      <c r="JH65" s="30"/>
      <c r="JI65" s="27"/>
      <c r="JJ65" s="44">
        <v>2050</v>
      </c>
      <c r="JK65" s="56">
        <f>JE65*JJ65</f>
        <v>0</v>
      </c>
      <c r="JM65" s="41">
        <v>1</v>
      </c>
      <c r="JN65" s="136" t="s">
        <v>90</v>
      </c>
      <c r="JO65" s="137"/>
      <c r="JP65" s="137"/>
      <c r="JQ65" s="138"/>
      <c r="JR65" s="43" t="s">
        <v>91</v>
      </c>
      <c r="JS65" s="79">
        <v>30</v>
      </c>
      <c r="JT65" s="80"/>
      <c r="JU65" s="105"/>
      <c r="JV65" s="106"/>
      <c r="JW65" s="36">
        <f>JU65+JG65</f>
        <v>25</v>
      </c>
      <c r="JX65" s="30"/>
      <c r="JY65" s="27"/>
      <c r="JZ65" s="44">
        <v>2050</v>
      </c>
      <c r="KA65" s="56">
        <f>JU65*JZ65</f>
        <v>0</v>
      </c>
      <c r="KC65" s="41">
        <v>1</v>
      </c>
      <c r="KD65" s="136" t="s">
        <v>90</v>
      </c>
      <c r="KE65" s="137"/>
      <c r="KF65" s="137"/>
      <c r="KG65" s="138"/>
      <c r="KH65" s="43" t="s">
        <v>91</v>
      </c>
      <c r="KI65" s="79">
        <v>30</v>
      </c>
      <c r="KJ65" s="80"/>
      <c r="KK65" s="105"/>
      <c r="KL65" s="106"/>
      <c r="KM65" s="36">
        <f t="shared" ref="KM65:KM74" si="0">KK65+JW65</f>
        <v>25</v>
      </c>
      <c r="KN65" s="30"/>
      <c r="KO65" s="27"/>
      <c r="KP65" s="44">
        <v>2050</v>
      </c>
      <c r="KQ65" s="56">
        <f>KK65*KP65</f>
        <v>0</v>
      </c>
      <c r="KS65" s="41">
        <v>1</v>
      </c>
      <c r="KT65" s="136" t="s">
        <v>90</v>
      </c>
      <c r="KU65" s="137"/>
      <c r="KV65" s="137"/>
      <c r="KW65" s="138"/>
      <c r="KX65" s="43" t="s">
        <v>91</v>
      </c>
      <c r="KY65" s="79">
        <v>30</v>
      </c>
      <c r="KZ65" s="80"/>
      <c r="LA65" s="105"/>
      <c r="LB65" s="106"/>
      <c r="LC65" s="36">
        <f>LA65+KM65</f>
        <v>25</v>
      </c>
      <c r="LD65" s="30"/>
      <c r="LE65" s="27"/>
      <c r="LF65" s="44">
        <v>2050</v>
      </c>
      <c r="LG65" s="56">
        <f>LA65*LF65</f>
        <v>0</v>
      </c>
      <c r="LI65" s="41">
        <v>1</v>
      </c>
      <c r="LJ65" s="136" t="s">
        <v>90</v>
      </c>
      <c r="LK65" s="137"/>
      <c r="LL65" s="137"/>
      <c r="LM65" s="138"/>
      <c r="LN65" s="43" t="s">
        <v>91</v>
      </c>
      <c r="LO65" s="79">
        <v>30</v>
      </c>
      <c r="LP65" s="80"/>
      <c r="LQ65" s="105"/>
      <c r="LR65" s="106"/>
      <c r="LS65" s="36">
        <f>LQ65+LC65</f>
        <v>25</v>
      </c>
      <c r="LT65" s="30"/>
      <c r="LU65" s="27"/>
      <c r="LV65" s="44">
        <v>2050</v>
      </c>
      <c r="LW65" s="56">
        <f>LQ65*LV65</f>
        <v>0</v>
      </c>
      <c r="LY65" s="41">
        <v>1</v>
      </c>
      <c r="LZ65" s="136" t="s">
        <v>90</v>
      </c>
      <c r="MA65" s="137"/>
      <c r="MB65" s="137"/>
      <c r="MC65" s="138"/>
      <c r="MD65" s="43" t="s">
        <v>91</v>
      </c>
      <c r="ME65" s="79">
        <v>30</v>
      </c>
      <c r="MF65" s="80"/>
      <c r="MG65" s="105"/>
      <c r="MH65" s="106"/>
      <c r="MI65" s="36">
        <f>MG65+LS65</f>
        <v>25</v>
      </c>
      <c r="MJ65" s="30"/>
      <c r="MK65" s="27"/>
      <c r="ML65" s="44">
        <v>2050</v>
      </c>
      <c r="MM65" s="56">
        <f>MG65*ML65</f>
        <v>0</v>
      </c>
    </row>
    <row r="66" spans="1:351" ht="20.100000000000001" customHeight="1" x14ac:dyDescent="0.3">
      <c r="A66" s="41">
        <v>2</v>
      </c>
      <c r="B66" s="122" t="s">
        <v>92</v>
      </c>
      <c r="C66" s="123"/>
      <c r="D66" s="123"/>
      <c r="E66" s="124"/>
      <c r="F66" s="45" t="s">
        <v>93</v>
      </c>
      <c r="G66" s="79">
        <v>12</v>
      </c>
      <c r="H66" s="80"/>
      <c r="I66" s="105"/>
      <c r="J66" s="106"/>
      <c r="K66" s="36">
        <f t="shared" ref="K66:K74" si="1">I66</f>
        <v>0</v>
      </c>
      <c r="L66" s="30"/>
      <c r="M66" s="27"/>
      <c r="N66" s="44">
        <v>4250</v>
      </c>
      <c r="O66" s="56">
        <f>I66*N66</f>
        <v>0</v>
      </c>
      <c r="Q66" s="41">
        <v>2</v>
      </c>
      <c r="R66" s="122" t="s">
        <v>92</v>
      </c>
      <c r="S66" s="123"/>
      <c r="T66" s="123"/>
      <c r="U66" s="124"/>
      <c r="V66" s="45" t="s">
        <v>93</v>
      </c>
      <c r="W66" s="79">
        <v>12</v>
      </c>
      <c r="X66" s="80"/>
      <c r="Y66" s="105"/>
      <c r="Z66" s="106"/>
      <c r="AA66" s="36">
        <f t="shared" ref="AA66:AA74" si="2">Y66+K66</f>
        <v>0</v>
      </c>
      <c r="AB66" s="30"/>
      <c r="AC66" s="27"/>
      <c r="AD66" s="44">
        <v>4250</v>
      </c>
      <c r="AE66" s="56">
        <f>Y66*AD66</f>
        <v>0</v>
      </c>
      <c r="AG66" s="41">
        <v>2</v>
      </c>
      <c r="AH66" s="122" t="s">
        <v>92</v>
      </c>
      <c r="AI66" s="123"/>
      <c r="AJ66" s="123"/>
      <c r="AK66" s="124"/>
      <c r="AL66" s="45" t="s">
        <v>93</v>
      </c>
      <c r="AM66" s="79">
        <v>12</v>
      </c>
      <c r="AN66" s="80"/>
      <c r="AO66" s="105"/>
      <c r="AP66" s="106"/>
      <c r="AQ66" s="36">
        <f t="shared" ref="AQ66:AQ74" si="3">AO66+AA66</f>
        <v>0</v>
      </c>
      <c r="AR66" s="30"/>
      <c r="AS66" s="27"/>
      <c r="AT66" s="44">
        <v>4250</v>
      </c>
      <c r="AU66" s="56">
        <f>AO66*AT66</f>
        <v>0</v>
      </c>
      <c r="AW66" s="41">
        <v>2</v>
      </c>
      <c r="AX66" s="122" t="s">
        <v>92</v>
      </c>
      <c r="AY66" s="123"/>
      <c r="AZ66" s="123"/>
      <c r="BA66" s="124"/>
      <c r="BB66" s="45" t="s">
        <v>93</v>
      </c>
      <c r="BC66" s="79">
        <v>12</v>
      </c>
      <c r="BD66" s="80"/>
      <c r="BE66" s="105"/>
      <c r="BF66" s="106"/>
      <c r="BG66" s="36">
        <f t="shared" ref="BG66:BG74" si="4">BE66+AQ66</f>
        <v>0</v>
      </c>
      <c r="BH66" s="30"/>
      <c r="BI66" s="27"/>
      <c r="BJ66" s="44">
        <v>4250</v>
      </c>
      <c r="BK66" s="56">
        <f>BE66*BJ66</f>
        <v>0</v>
      </c>
      <c r="BM66" s="41">
        <v>2</v>
      </c>
      <c r="BN66" s="122" t="s">
        <v>92</v>
      </c>
      <c r="BO66" s="123"/>
      <c r="BP66" s="123"/>
      <c r="BQ66" s="124"/>
      <c r="BR66" s="45" t="s">
        <v>93</v>
      </c>
      <c r="BS66" s="79">
        <v>12</v>
      </c>
      <c r="BT66" s="80"/>
      <c r="BU66" s="105"/>
      <c r="BV66" s="106"/>
      <c r="BW66" s="36">
        <f t="shared" ref="BW66:BW74" si="5">BU66+BG66</f>
        <v>0</v>
      </c>
      <c r="BX66" s="30"/>
      <c r="BY66" s="27"/>
      <c r="BZ66" s="44">
        <v>4250</v>
      </c>
      <c r="CA66" s="56">
        <f>BU66*BZ66</f>
        <v>0</v>
      </c>
      <c r="CC66" s="41">
        <v>2</v>
      </c>
      <c r="CD66" s="122" t="s">
        <v>92</v>
      </c>
      <c r="CE66" s="123"/>
      <c r="CF66" s="123"/>
      <c r="CG66" s="124"/>
      <c r="CH66" s="45" t="s">
        <v>93</v>
      </c>
      <c r="CI66" s="79">
        <v>12</v>
      </c>
      <c r="CJ66" s="80"/>
      <c r="CK66" s="105"/>
      <c r="CL66" s="106"/>
      <c r="CM66" s="36">
        <f t="shared" ref="CM66:CM74" si="6">CK66+BW66</f>
        <v>0</v>
      </c>
      <c r="CN66" s="30"/>
      <c r="CO66" s="27"/>
      <c r="CP66" s="44">
        <v>4250</v>
      </c>
      <c r="CQ66" s="56">
        <f>CK66*CP66</f>
        <v>0</v>
      </c>
      <c r="CS66" s="41">
        <v>2</v>
      </c>
      <c r="CT66" s="122" t="s">
        <v>92</v>
      </c>
      <c r="CU66" s="123"/>
      <c r="CV66" s="123"/>
      <c r="CW66" s="124"/>
      <c r="CX66" s="45" t="s">
        <v>93</v>
      </c>
      <c r="CY66" s="79">
        <v>12</v>
      </c>
      <c r="CZ66" s="80"/>
      <c r="DA66" s="105"/>
      <c r="DB66" s="106"/>
      <c r="DC66" s="36">
        <f t="shared" ref="DC66:DC74" si="7">DA66+CM66</f>
        <v>0</v>
      </c>
      <c r="DD66" s="30"/>
      <c r="DE66" s="27"/>
      <c r="DF66" s="44">
        <v>4250</v>
      </c>
      <c r="DG66" s="56">
        <f>DA66*DF66</f>
        <v>0</v>
      </c>
      <c r="DI66" s="41">
        <v>2</v>
      </c>
      <c r="DJ66" s="122" t="s">
        <v>92</v>
      </c>
      <c r="DK66" s="123"/>
      <c r="DL66" s="123"/>
      <c r="DM66" s="124"/>
      <c r="DN66" s="45" t="s">
        <v>93</v>
      </c>
      <c r="DO66" s="79">
        <v>12</v>
      </c>
      <c r="DP66" s="80"/>
      <c r="DQ66" s="105"/>
      <c r="DR66" s="106"/>
      <c r="DS66" s="36">
        <f t="shared" ref="DS66:DS74" si="8">DQ66+DC66</f>
        <v>0</v>
      </c>
      <c r="DT66" s="30"/>
      <c r="DU66" s="27"/>
      <c r="DV66" s="44">
        <v>4250</v>
      </c>
      <c r="DW66" s="56">
        <f>DQ66*DV66</f>
        <v>0</v>
      </c>
      <c r="DY66" s="41">
        <v>2</v>
      </c>
      <c r="DZ66" s="122" t="s">
        <v>92</v>
      </c>
      <c r="EA66" s="123"/>
      <c r="EB66" s="123"/>
      <c r="EC66" s="124"/>
      <c r="ED66" s="45" t="s">
        <v>93</v>
      </c>
      <c r="EE66" s="79">
        <v>12</v>
      </c>
      <c r="EF66" s="80"/>
      <c r="EG66" s="105"/>
      <c r="EH66" s="106"/>
      <c r="EI66" s="36">
        <f t="shared" ref="EI66:EI74" si="9">EG66+DS66</f>
        <v>0</v>
      </c>
      <c r="EJ66" s="30"/>
      <c r="EK66" s="27"/>
      <c r="EL66" s="44">
        <v>4250</v>
      </c>
      <c r="EM66" s="56">
        <f>EG66*EL66</f>
        <v>0</v>
      </c>
      <c r="EO66" s="41">
        <v>2</v>
      </c>
      <c r="EP66" s="122" t="s">
        <v>92</v>
      </c>
      <c r="EQ66" s="123"/>
      <c r="ER66" s="123"/>
      <c r="ES66" s="124"/>
      <c r="ET66" s="45" t="s">
        <v>93</v>
      </c>
      <c r="EU66" s="79">
        <v>12</v>
      </c>
      <c r="EV66" s="80"/>
      <c r="EW66" s="105"/>
      <c r="EX66" s="106"/>
      <c r="EY66" s="36">
        <f t="shared" ref="EY66:EY74" si="10">EW66+EI66</f>
        <v>0</v>
      </c>
      <c r="EZ66" s="30"/>
      <c r="FA66" s="27"/>
      <c r="FB66" s="44">
        <v>4250</v>
      </c>
      <c r="FC66" s="56">
        <f>EW66*FB66</f>
        <v>0</v>
      </c>
      <c r="FE66" s="41">
        <v>2</v>
      </c>
      <c r="FF66" s="122" t="s">
        <v>92</v>
      </c>
      <c r="FG66" s="123"/>
      <c r="FH66" s="123"/>
      <c r="FI66" s="124"/>
      <c r="FJ66" s="45" t="s">
        <v>93</v>
      </c>
      <c r="FK66" s="79">
        <v>12</v>
      </c>
      <c r="FL66" s="80"/>
      <c r="FM66" s="105"/>
      <c r="FN66" s="106"/>
      <c r="FO66" s="36">
        <f t="shared" ref="FO66:FO74" si="11">FM66+EY66</f>
        <v>0</v>
      </c>
      <c r="FP66" s="30"/>
      <c r="FQ66" s="27"/>
      <c r="FR66" s="44">
        <v>4250</v>
      </c>
      <c r="FS66" s="56">
        <f>FM66*FR66</f>
        <v>0</v>
      </c>
      <c r="FU66" s="41">
        <v>2</v>
      </c>
      <c r="FV66" s="122" t="s">
        <v>92</v>
      </c>
      <c r="FW66" s="123"/>
      <c r="FX66" s="123"/>
      <c r="FY66" s="124"/>
      <c r="FZ66" s="45" t="s">
        <v>93</v>
      </c>
      <c r="GA66" s="79">
        <v>12</v>
      </c>
      <c r="GB66" s="80"/>
      <c r="GC66" s="105"/>
      <c r="GD66" s="106"/>
      <c r="GE66" s="36">
        <f t="shared" ref="GE66:GE74" si="12">GC66+FO66</f>
        <v>0</v>
      </c>
      <c r="GF66" s="30"/>
      <c r="GG66" s="27"/>
      <c r="GH66" s="44">
        <v>4250</v>
      </c>
      <c r="GI66" s="56">
        <f>GC66*GH66</f>
        <v>0</v>
      </c>
      <c r="GK66" s="41">
        <v>2</v>
      </c>
      <c r="GL66" s="122" t="s">
        <v>92</v>
      </c>
      <c r="GM66" s="123"/>
      <c r="GN66" s="123"/>
      <c r="GO66" s="124"/>
      <c r="GP66" s="45" t="s">
        <v>93</v>
      </c>
      <c r="GQ66" s="79">
        <v>12</v>
      </c>
      <c r="GR66" s="80"/>
      <c r="GS66" s="105"/>
      <c r="GT66" s="106"/>
      <c r="GU66" s="36">
        <f t="shared" ref="GU66:GU74" si="13">GS66+GE66</f>
        <v>0</v>
      </c>
      <c r="GV66" s="30"/>
      <c r="GW66" s="27"/>
      <c r="GX66" s="44">
        <v>4250</v>
      </c>
      <c r="GY66" s="56">
        <f>GS66*GX66</f>
        <v>0</v>
      </c>
      <c r="HA66" s="41">
        <v>2</v>
      </c>
      <c r="HB66" s="122" t="s">
        <v>92</v>
      </c>
      <c r="HC66" s="123"/>
      <c r="HD66" s="123"/>
      <c r="HE66" s="124"/>
      <c r="HF66" s="45" t="s">
        <v>93</v>
      </c>
      <c r="HG66" s="79">
        <v>12</v>
      </c>
      <c r="HH66" s="80"/>
      <c r="HI66" s="105"/>
      <c r="HJ66" s="106"/>
      <c r="HK66" s="36">
        <f t="shared" ref="HK66:HK74" si="14">HI66+GU66</f>
        <v>0</v>
      </c>
      <c r="HL66" s="30"/>
      <c r="HM66" s="27"/>
      <c r="HN66" s="44">
        <v>4250</v>
      </c>
      <c r="HO66" s="56">
        <f>HI66*HN66</f>
        <v>0</v>
      </c>
      <c r="HQ66" s="41">
        <v>2</v>
      </c>
      <c r="HR66" s="122" t="s">
        <v>92</v>
      </c>
      <c r="HS66" s="123"/>
      <c r="HT66" s="123"/>
      <c r="HU66" s="124"/>
      <c r="HV66" s="45" t="s">
        <v>93</v>
      </c>
      <c r="HW66" s="79">
        <v>12</v>
      </c>
      <c r="HX66" s="80"/>
      <c r="HY66" s="105"/>
      <c r="HZ66" s="106"/>
      <c r="IA66" s="36">
        <f t="shared" ref="IA66:IA74" si="15">HY66+HK66</f>
        <v>0</v>
      </c>
      <c r="IB66" s="30"/>
      <c r="IC66" s="27"/>
      <c r="ID66" s="44">
        <v>4250</v>
      </c>
      <c r="IE66" s="56">
        <f>HY66*ID66</f>
        <v>0</v>
      </c>
      <c r="IG66" s="41">
        <v>2</v>
      </c>
      <c r="IH66" s="122" t="s">
        <v>92</v>
      </c>
      <c r="II66" s="123"/>
      <c r="IJ66" s="123"/>
      <c r="IK66" s="124"/>
      <c r="IL66" s="45" t="s">
        <v>93</v>
      </c>
      <c r="IM66" s="79">
        <v>12</v>
      </c>
      <c r="IN66" s="80"/>
      <c r="IO66" s="105"/>
      <c r="IP66" s="106"/>
      <c r="IQ66" s="36">
        <f t="shared" ref="IQ66:IQ74" si="16">IO66+IA66</f>
        <v>0</v>
      </c>
      <c r="IR66" s="30"/>
      <c r="IS66" s="27"/>
      <c r="IT66" s="44">
        <v>4250</v>
      </c>
      <c r="IU66" s="56">
        <f>IO66*IT66</f>
        <v>0</v>
      </c>
      <c r="IW66" s="41">
        <v>2</v>
      </c>
      <c r="IX66" s="122" t="s">
        <v>92</v>
      </c>
      <c r="IY66" s="123"/>
      <c r="IZ66" s="123"/>
      <c r="JA66" s="124"/>
      <c r="JB66" s="45" t="s">
        <v>93</v>
      </c>
      <c r="JC66" s="79">
        <v>12</v>
      </c>
      <c r="JD66" s="80"/>
      <c r="JE66" s="105"/>
      <c r="JF66" s="106"/>
      <c r="JG66" s="36">
        <f t="shared" ref="JG66:JG74" si="17">JE66+IQ66</f>
        <v>0</v>
      </c>
      <c r="JH66" s="30"/>
      <c r="JI66" s="27"/>
      <c r="JJ66" s="44">
        <v>4250</v>
      </c>
      <c r="JK66" s="56">
        <f>JE66*JJ66</f>
        <v>0</v>
      </c>
      <c r="JM66" s="41">
        <v>2</v>
      </c>
      <c r="JN66" s="122" t="s">
        <v>92</v>
      </c>
      <c r="JO66" s="123"/>
      <c r="JP66" s="123"/>
      <c r="JQ66" s="124"/>
      <c r="JR66" s="45" t="s">
        <v>93</v>
      </c>
      <c r="JS66" s="79">
        <v>12</v>
      </c>
      <c r="JT66" s="80"/>
      <c r="JU66" s="105"/>
      <c r="JV66" s="106"/>
      <c r="JW66" s="36">
        <f t="shared" ref="JW66:JW74" si="18">JU66+JG66</f>
        <v>0</v>
      </c>
      <c r="JX66" s="30"/>
      <c r="JY66" s="27"/>
      <c r="JZ66" s="44">
        <v>4250</v>
      </c>
      <c r="KA66" s="56">
        <f>JU66*JZ66</f>
        <v>0</v>
      </c>
      <c r="KC66" s="41">
        <v>2</v>
      </c>
      <c r="KD66" s="122" t="s">
        <v>92</v>
      </c>
      <c r="KE66" s="123"/>
      <c r="KF66" s="123"/>
      <c r="KG66" s="124"/>
      <c r="KH66" s="45" t="s">
        <v>93</v>
      </c>
      <c r="KI66" s="79">
        <v>12</v>
      </c>
      <c r="KJ66" s="80"/>
      <c r="KK66" s="105"/>
      <c r="KL66" s="106"/>
      <c r="KM66" s="36">
        <f t="shared" si="0"/>
        <v>0</v>
      </c>
      <c r="KN66" s="30"/>
      <c r="KO66" s="27"/>
      <c r="KP66" s="44">
        <v>4250</v>
      </c>
      <c r="KQ66" s="56">
        <f>KK66*KP66</f>
        <v>0</v>
      </c>
      <c r="KS66" s="41">
        <v>2</v>
      </c>
      <c r="KT66" s="122" t="s">
        <v>92</v>
      </c>
      <c r="KU66" s="123"/>
      <c r="KV66" s="123"/>
      <c r="KW66" s="124"/>
      <c r="KX66" s="45" t="s">
        <v>93</v>
      </c>
      <c r="KY66" s="79">
        <v>12</v>
      </c>
      <c r="KZ66" s="80"/>
      <c r="LA66" s="105"/>
      <c r="LB66" s="106"/>
      <c r="LC66" s="36">
        <f t="shared" ref="LC66:LC74" si="19">LA66+KM66</f>
        <v>0</v>
      </c>
      <c r="LD66" s="30"/>
      <c r="LE66" s="27"/>
      <c r="LF66" s="44">
        <v>4250</v>
      </c>
      <c r="LG66" s="56">
        <f>LA66*LF66</f>
        <v>0</v>
      </c>
      <c r="LI66" s="41">
        <v>2</v>
      </c>
      <c r="LJ66" s="122" t="s">
        <v>92</v>
      </c>
      <c r="LK66" s="123"/>
      <c r="LL66" s="123"/>
      <c r="LM66" s="124"/>
      <c r="LN66" s="45" t="s">
        <v>93</v>
      </c>
      <c r="LO66" s="79">
        <v>12</v>
      </c>
      <c r="LP66" s="80"/>
      <c r="LQ66" s="105"/>
      <c r="LR66" s="106"/>
      <c r="LS66" s="36">
        <f t="shared" ref="LS66:LS74" si="20">LQ66+LC66</f>
        <v>0</v>
      </c>
      <c r="LT66" s="30"/>
      <c r="LU66" s="27"/>
      <c r="LV66" s="44">
        <v>4250</v>
      </c>
      <c r="LW66" s="56">
        <f>LQ66*LV66</f>
        <v>0</v>
      </c>
      <c r="LY66" s="41">
        <v>2</v>
      </c>
      <c r="LZ66" s="122" t="s">
        <v>92</v>
      </c>
      <c r="MA66" s="123"/>
      <c r="MB66" s="123"/>
      <c r="MC66" s="124"/>
      <c r="MD66" s="45" t="s">
        <v>93</v>
      </c>
      <c r="ME66" s="79">
        <v>12</v>
      </c>
      <c r="MF66" s="80"/>
      <c r="MG66" s="105"/>
      <c r="MH66" s="106"/>
      <c r="MI66" s="36">
        <f t="shared" ref="MI66:MI74" si="21">MG66+LS66</f>
        <v>0</v>
      </c>
      <c r="MJ66" s="30"/>
      <c r="MK66" s="27"/>
      <c r="ML66" s="44">
        <v>4250</v>
      </c>
      <c r="MM66" s="56">
        <f>MG66*ML66</f>
        <v>0</v>
      </c>
    </row>
    <row r="67" spans="1:351" ht="20.100000000000001" customHeight="1" x14ac:dyDescent="0.3">
      <c r="A67" s="41">
        <v>3</v>
      </c>
      <c r="B67" s="122" t="s">
        <v>94</v>
      </c>
      <c r="C67" s="123"/>
      <c r="D67" s="123"/>
      <c r="E67" s="124"/>
      <c r="F67" s="45" t="s">
        <v>95</v>
      </c>
      <c r="G67" s="79">
        <v>22</v>
      </c>
      <c r="H67" s="80"/>
      <c r="I67" s="105"/>
      <c r="J67" s="106"/>
      <c r="K67" s="36">
        <f t="shared" si="1"/>
        <v>0</v>
      </c>
      <c r="L67" s="30"/>
      <c r="M67" s="27"/>
      <c r="N67" s="44">
        <v>7150</v>
      </c>
      <c r="O67" s="56">
        <f>I67*N67</f>
        <v>0</v>
      </c>
      <c r="Q67" s="41">
        <v>3</v>
      </c>
      <c r="R67" s="122" t="s">
        <v>94</v>
      </c>
      <c r="S67" s="123"/>
      <c r="T67" s="123"/>
      <c r="U67" s="124"/>
      <c r="V67" s="45" t="s">
        <v>95</v>
      </c>
      <c r="W67" s="79">
        <v>22</v>
      </c>
      <c r="X67" s="80"/>
      <c r="Y67" s="105"/>
      <c r="Z67" s="106"/>
      <c r="AA67" s="36">
        <f t="shared" si="2"/>
        <v>0</v>
      </c>
      <c r="AB67" s="30"/>
      <c r="AC67" s="27"/>
      <c r="AD67" s="44">
        <v>7150</v>
      </c>
      <c r="AE67" s="56">
        <f>Y67*AD67</f>
        <v>0</v>
      </c>
      <c r="AG67" s="41">
        <v>3</v>
      </c>
      <c r="AH67" s="122" t="s">
        <v>94</v>
      </c>
      <c r="AI67" s="123"/>
      <c r="AJ67" s="123"/>
      <c r="AK67" s="124"/>
      <c r="AL67" s="45" t="s">
        <v>95</v>
      </c>
      <c r="AM67" s="79">
        <v>22</v>
      </c>
      <c r="AN67" s="80"/>
      <c r="AO67" s="105"/>
      <c r="AP67" s="106"/>
      <c r="AQ67" s="36">
        <f t="shared" si="3"/>
        <v>0</v>
      </c>
      <c r="AR67" s="30"/>
      <c r="AS67" s="27"/>
      <c r="AT67" s="44">
        <v>7150</v>
      </c>
      <c r="AU67" s="56">
        <f>AO67*AT67</f>
        <v>0</v>
      </c>
      <c r="AW67" s="41">
        <v>3</v>
      </c>
      <c r="AX67" s="122" t="s">
        <v>94</v>
      </c>
      <c r="AY67" s="123"/>
      <c r="AZ67" s="123"/>
      <c r="BA67" s="124"/>
      <c r="BB67" s="45" t="s">
        <v>95</v>
      </c>
      <c r="BC67" s="79">
        <v>22</v>
      </c>
      <c r="BD67" s="80"/>
      <c r="BE67" s="105"/>
      <c r="BF67" s="106"/>
      <c r="BG67" s="36">
        <f t="shared" si="4"/>
        <v>0</v>
      </c>
      <c r="BH67" s="30"/>
      <c r="BI67" s="27"/>
      <c r="BJ67" s="44">
        <v>7150</v>
      </c>
      <c r="BK67" s="56">
        <f>BE67*BJ67</f>
        <v>0</v>
      </c>
      <c r="BM67" s="41">
        <v>3</v>
      </c>
      <c r="BN67" s="122" t="s">
        <v>94</v>
      </c>
      <c r="BO67" s="123"/>
      <c r="BP67" s="123"/>
      <c r="BQ67" s="124"/>
      <c r="BR67" s="45" t="s">
        <v>95</v>
      </c>
      <c r="BS67" s="79">
        <v>22</v>
      </c>
      <c r="BT67" s="80"/>
      <c r="BU67" s="105"/>
      <c r="BV67" s="106"/>
      <c r="BW67" s="36">
        <f t="shared" si="5"/>
        <v>0</v>
      </c>
      <c r="BX67" s="30"/>
      <c r="BY67" s="27"/>
      <c r="BZ67" s="44">
        <v>7150</v>
      </c>
      <c r="CA67" s="56">
        <f>BU67*BZ67</f>
        <v>0</v>
      </c>
      <c r="CC67" s="41">
        <v>3</v>
      </c>
      <c r="CD67" s="122" t="s">
        <v>94</v>
      </c>
      <c r="CE67" s="123"/>
      <c r="CF67" s="123"/>
      <c r="CG67" s="124"/>
      <c r="CH67" s="45" t="s">
        <v>95</v>
      </c>
      <c r="CI67" s="79">
        <v>22</v>
      </c>
      <c r="CJ67" s="80"/>
      <c r="CK67" s="105"/>
      <c r="CL67" s="106"/>
      <c r="CM67" s="36">
        <f t="shared" si="6"/>
        <v>0</v>
      </c>
      <c r="CN67" s="30"/>
      <c r="CO67" s="27"/>
      <c r="CP67" s="44">
        <v>7150</v>
      </c>
      <c r="CQ67" s="56">
        <f>CK67*CP67</f>
        <v>0</v>
      </c>
      <c r="CS67" s="41">
        <v>3</v>
      </c>
      <c r="CT67" s="122" t="s">
        <v>94</v>
      </c>
      <c r="CU67" s="123"/>
      <c r="CV67" s="123"/>
      <c r="CW67" s="124"/>
      <c r="CX67" s="45" t="s">
        <v>95</v>
      </c>
      <c r="CY67" s="79">
        <v>22</v>
      </c>
      <c r="CZ67" s="80"/>
      <c r="DA67" s="105"/>
      <c r="DB67" s="106"/>
      <c r="DC67" s="36">
        <f t="shared" si="7"/>
        <v>0</v>
      </c>
      <c r="DD67" s="30"/>
      <c r="DE67" s="27"/>
      <c r="DF67" s="44">
        <v>7150</v>
      </c>
      <c r="DG67" s="56">
        <f>DA67*DF67</f>
        <v>0</v>
      </c>
      <c r="DI67" s="41">
        <v>3</v>
      </c>
      <c r="DJ67" s="122" t="s">
        <v>94</v>
      </c>
      <c r="DK67" s="123"/>
      <c r="DL67" s="123"/>
      <c r="DM67" s="124"/>
      <c r="DN67" s="45" t="s">
        <v>95</v>
      </c>
      <c r="DO67" s="79">
        <v>22</v>
      </c>
      <c r="DP67" s="80"/>
      <c r="DQ67" s="105"/>
      <c r="DR67" s="106"/>
      <c r="DS67" s="36">
        <f t="shared" si="8"/>
        <v>0</v>
      </c>
      <c r="DT67" s="30"/>
      <c r="DU67" s="27"/>
      <c r="DV67" s="44">
        <v>7150</v>
      </c>
      <c r="DW67" s="56">
        <f>DQ67*DV67</f>
        <v>0</v>
      </c>
      <c r="DY67" s="41">
        <v>3</v>
      </c>
      <c r="DZ67" s="122" t="s">
        <v>94</v>
      </c>
      <c r="EA67" s="123"/>
      <c r="EB67" s="123"/>
      <c r="EC67" s="124"/>
      <c r="ED67" s="45" t="s">
        <v>95</v>
      </c>
      <c r="EE67" s="79">
        <v>22</v>
      </c>
      <c r="EF67" s="80"/>
      <c r="EG67" s="105"/>
      <c r="EH67" s="106"/>
      <c r="EI67" s="36">
        <f t="shared" si="9"/>
        <v>0</v>
      </c>
      <c r="EJ67" s="30"/>
      <c r="EK67" s="27"/>
      <c r="EL67" s="44">
        <v>7150</v>
      </c>
      <c r="EM67" s="56">
        <f>EG67*EL67</f>
        <v>0</v>
      </c>
      <c r="EO67" s="41">
        <v>3</v>
      </c>
      <c r="EP67" s="122" t="s">
        <v>94</v>
      </c>
      <c r="EQ67" s="123"/>
      <c r="ER67" s="123"/>
      <c r="ES67" s="124"/>
      <c r="ET67" s="45" t="s">
        <v>95</v>
      </c>
      <c r="EU67" s="79">
        <v>22</v>
      </c>
      <c r="EV67" s="80"/>
      <c r="EW67" s="105"/>
      <c r="EX67" s="106"/>
      <c r="EY67" s="36">
        <f t="shared" si="10"/>
        <v>0</v>
      </c>
      <c r="EZ67" s="30"/>
      <c r="FA67" s="27"/>
      <c r="FB67" s="44">
        <v>7150</v>
      </c>
      <c r="FC67" s="56">
        <f>EW67*FB67</f>
        <v>0</v>
      </c>
      <c r="FE67" s="41">
        <v>3</v>
      </c>
      <c r="FF67" s="122" t="s">
        <v>94</v>
      </c>
      <c r="FG67" s="123"/>
      <c r="FH67" s="123"/>
      <c r="FI67" s="124"/>
      <c r="FJ67" s="45" t="s">
        <v>95</v>
      </c>
      <c r="FK67" s="79">
        <v>22</v>
      </c>
      <c r="FL67" s="80"/>
      <c r="FM67" s="105"/>
      <c r="FN67" s="106"/>
      <c r="FO67" s="36">
        <f t="shared" si="11"/>
        <v>0</v>
      </c>
      <c r="FP67" s="30"/>
      <c r="FQ67" s="27"/>
      <c r="FR67" s="44">
        <v>7150</v>
      </c>
      <c r="FS67" s="56">
        <f>FM67*FR67</f>
        <v>0</v>
      </c>
      <c r="FU67" s="41">
        <v>3</v>
      </c>
      <c r="FV67" s="122" t="s">
        <v>94</v>
      </c>
      <c r="FW67" s="123"/>
      <c r="FX67" s="123"/>
      <c r="FY67" s="124"/>
      <c r="FZ67" s="45" t="s">
        <v>95</v>
      </c>
      <c r="GA67" s="79">
        <v>22</v>
      </c>
      <c r="GB67" s="80"/>
      <c r="GC67" s="105"/>
      <c r="GD67" s="106"/>
      <c r="GE67" s="36">
        <f t="shared" si="12"/>
        <v>0</v>
      </c>
      <c r="GF67" s="30"/>
      <c r="GG67" s="27"/>
      <c r="GH67" s="44">
        <v>7150</v>
      </c>
      <c r="GI67" s="56">
        <f>GC67*GH67</f>
        <v>0</v>
      </c>
      <c r="GK67" s="41">
        <v>3</v>
      </c>
      <c r="GL67" s="122" t="s">
        <v>94</v>
      </c>
      <c r="GM67" s="123"/>
      <c r="GN67" s="123"/>
      <c r="GO67" s="124"/>
      <c r="GP67" s="45" t="s">
        <v>95</v>
      </c>
      <c r="GQ67" s="79">
        <v>22</v>
      </c>
      <c r="GR67" s="80"/>
      <c r="GS67" s="105"/>
      <c r="GT67" s="106"/>
      <c r="GU67" s="36">
        <f t="shared" si="13"/>
        <v>0</v>
      </c>
      <c r="GV67" s="30"/>
      <c r="GW67" s="27"/>
      <c r="GX67" s="44">
        <v>7150</v>
      </c>
      <c r="GY67" s="56">
        <f>GS67*GX67</f>
        <v>0</v>
      </c>
      <c r="HA67" s="41">
        <v>3</v>
      </c>
      <c r="HB67" s="122" t="s">
        <v>94</v>
      </c>
      <c r="HC67" s="123"/>
      <c r="HD67" s="123"/>
      <c r="HE67" s="124"/>
      <c r="HF67" s="45" t="s">
        <v>95</v>
      </c>
      <c r="HG67" s="79">
        <v>22</v>
      </c>
      <c r="HH67" s="80"/>
      <c r="HI67" s="105"/>
      <c r="HJ67" s="106"/>
      <c r="HK67" s="36">
        <f t="shared" si="14"/>
        <v>0</v>
      </c>
      <c r="HL67" s="30"/>
      <c r="HM67" s="27"/>
      <c r="HN67" s="44">
        <v>7150</v>
      </c>
      <c r="HO67" s="56">
        <f>HI67*HN67</f>
        <v>0</v>
      </c>
      <c r="HQ67" s="41">
        <v>3</v>
      </c>
      <c r="HR67" s="122" t="s">
        <v>94</v>
      </c>
      <c r="HS67" s="123"/>
      <c r="HT67" s="123"/>
      <c r="HU67" s="124"/>
      <c r="HV67" s="45" t="s">
        <v>95</v>
      </c>
      <c r="HW67" s="79">
        <v>22</v>
      </c>
      <c r="HX67" s="80"/>
      <c r="HY67" s="105">
        <v>1</v>
      </c>
      <c r="HZ67" s="106"/>
      <c r="IA67" s="36">
        <f t="shared" si="15"/>
        <v>1</v>
      </c>
      <c r="IB67" s="30"/>
      <c r="IC67" s="27"/>
      <c r="ID67" s="44">
        <v>7150</v>
      </c>
      <c r="IE67" s="56">
        <f>HY67*ID67</f>
        <v>7150</v>
      </c>
      <c r="IG67" s="41">
        <v>3</v>
      </c>
      <c r="IH67" s="122" t="s">
        <v>94</v>
      </c>
      <c r="II67" s="123"/>
      <c r="IJ67" s="123"/>
      <c r="IK67" s="124"/>
      <c r="IL67" s="45" t="s">
        <v>95</v>
      </c>
      <c r="IM67" s="79">
        <v>22</v>
      </c>
      <c r="IN67" s="80"/>
      <c r="IO67" s="105">
        <v>1</v>
      </c>
      <c r="IP67" s="106"/>
      <c r="IQ67" s="36">
        <f t="shared" si="16"/>
        <v>2</v>
      </c>
      <c r="IR67" s="30"/>
      <c r="IS67" s="27"/>
      <c r="IT67" s="44">
        <v>7150</v>
      </c>
      <c r="IU67" s="56">
        <f>IO67*IT67</f>
        <v>7150</v>
      </c>
      <c r="IW67" s="41">
        <v>3</v>
      </c>
      <c r="IX67" s="122" t="s">
        <v>94</v>
      </c>
      <c r="IY67" s="123"/>
      <c r="IZ67" s="123"/>
      <c r="JA67" s="124"/>
      <c r="JB67" s="45" t="s">
        <v>95</v>
      </c>
      <c r="JC67" s="79">
        <v>22</v>
      </c>
      <c r="JD67" s="80"/>
      <c r="JE67" s="105">
        <v>1</v>
      </c>
      <c r="JF67" s="106"/>
      <c r="JG67" s="36">
        <f t="shared" si="17"/>
        <v>3</v>
      </c>
      <c r="JH67" s="30"/>
      <c r="JI67" s="27"/>
      <c r="JJ67" s="44">
        <v>7150</v>
      </c>
      <c r="JK67" s="56">
        <f>JE67*JJ67</f>
        <v>7150</v>
      </c>
      <c r="JM67" s="41">
        <v>3</v>
      </c>
      <c r="JN67" s="122" t="s">
        <v>94</v>
      </c>
      <c r="JO67" s="123"/>
      <c r="JP67" s="123"/>
      <c r="JQ67" s="124"/>
      <c r="JR67" s="45" t="s">
        <v>95</v>
      </c>
      <c r="JS67" s="79">
        <v>22</v>
      </c>
      <c r="JT67" s="80"/>
      <c r="JU67" s="105">
        <v>1</v>
      </c>
      <c r="JV67" s="106"/>
      <c r="JW67" s="36">
        <f t="shared" si="18"/>
        <v>4</v>
      </c>
      <c r="JX67" s="30"/>
      <c r="JY67" s="27"/>
      <c r="JZ67" s="44">
        <v>7150</v>
      </c>
      <c r="KA67" s="56">
        <f>JU67*JZ67</f>
        <v>7150</v>
      </c>
      <c r="KC67" s="41">
        <v>3</v>
      </c>
      <c r="KD67" s="122" t="s">
        <v>94</v>
      </c>
      <c r="KE67" s="123"/>
      <c r="KF67" s="123"/>
      <c r="KG67" s="124"/>
      <c r="KH67" s="45" t="s">
        <v>95</v>
      </c>
      <c r="KI67" s="79">
        <v>22</v>
      </c>
      <c r="KJ67" s="80"/>
      <c r="KK67" s="105">
        <v>1</v>
      </c>
      <c r="KL67" s="106"/>
      <c r="KM67" s="36">
        <f t="shared" si="0"/>
        <v>5</v>
      </c>
      <c r="KN67" s="30"/>
      <c r="KO67" s="27"/>
      <c r="KP67" s="44">
        <v>7150</v>
      </c>
      <c r="KQ67" s="56">
        <f>KK67*KP67</f>
        <v>7150</v>
      </c>
      <c r="KS67" s="41">
        <v>3</v>
      </c>
      <c r="KT67" s="122" t="s">
        <v>94</v>
      </c>
      <c r="KU67" s="123"/>
      <c r="KV67" s="123"/>
      <c r="KW67" s="124"/>
      <c r="KX67" s="45" t="s">
        <v>95</v>
      </c>
      <c r="KY67" s="79">
        <v>22</v>
      </c>
      <c r="KZ67" s="80"/>
      <c r="LA67" s="105">
        <v>1</v>
      </c>
      <c r="LB67" s="106"/>
      <c r="LC67" s="36">
        <f t="shared" si="19"/>
        <v>6</v>
      </c>
      <c r="LD67" s="30"/>
      <c r="LE67" s="27"/>
      <c r="LF67" s="44">
        <v>7150</v>
      </c>
      <c r="LG67" s="56">
        <f>LA67*LF67</f>
        <v>7150</v>
      </c>
      <c r="LI67" s="41">
        <v>3</v>
      </c>
      <c r="LJ67" s="122" t="s">
        <v>94</v>
      </c>
      <c r="LK67" s="123"/>
      <c r="LL67" s="123"/>
      <c r="LM67" s="124"/>
      <c r="LN67" s="45" t="s">
        <v>95</v>
      </c>
      <c r="LO67" s="79">
        <v>22</v>
      </c>
      <c r="LP67" s="80"/>
      <c r="LQ67" s="105">
        <v>1</v>
      </c>
      <c r="LR67" s="106"/>
      <c r="LS67" s="36">
        <f t="shared" si="20"/>
        <v>7</v>
      </c>
      <c r="LT67" s="30"/>
      <c r="LU67" s="27"/>
      <c r="LV67" s="44">
        <v>7150</v>
      </c>
      <c r="LW67" s="56">
        <f>LQ67*LV67</f>
        <v>7150</v>
      </c>
      <c r="LY67" s="41">
        <v>3</v>
      </c>
      <c r="LZ67" s="122" t="s">
        <v>94</v>
      </c>
      <c r="MA67" s="123"/>
      <c r="MB67" s="123"/>
      <c r="MC67" s="124"/>
      <c r="MD67" s="45" t="s">
        <v>95</v>
      </c>
      <c r="ME67" s="79">
        <v>22</v>
      </c>
      <c r="MF67" s="80"/>
      <c r="MG67" s="105">
        <v>1</v>
      </c>
      <c r="MH67" s="106"/>
      <c r="MI67" s="36">
        <f t="shared" si="21"/>
        <v>8</v>
      </c>
      <c r="MJ67" s="30"/>
      <c r="MK67" s="27"/>
      <c r="ML67" s="44">
        <v>7150</v>
      </c>
      <c r="MM67" s="56">
        <f>MG67*ML67</f>
        <v>7150</v>
      </c>
    </row>
    <row r="68" spans="1:351" ht="20.100000000000001" customHeight="1" x14ac:dyDescent="0.3">
      <c r="A68" s="41">
        <v>4</v>
      </c>
      <c r="B68" s="122" t="s">
        <v>96</v>
      </c>
      <c r="C68" s="123"/>
      <c r="D68" s="123"/>
      <c r="E68" s="124"/>
      <c r="F68" s="45" t="s">
        <v>95</v>
      </c>
      <c r="G68" s="79">
        <v>6</v>
      </c>
      <c r="H68" s="80"/>
      <c r="I68" s="105"/>
      <c r="J68" s="106"/>
      <c r="K68" s="36">
        <f t="shared" si="1"/>
        <v>0</v>
      </c>
      <c r="L68" s="30"/>
      <c r="M68" s="27"/>
      <c r="N68" s="44">
        <v>71500</v>
      </c>
      <c r="O68" s="56">
        <f>I68*N68</f>
        <v>0</v>
      </c>
      <c r="Q68" s="41">
        <v>4</v>
      </c>
      <c r="R68" s="122" t="s">
        <v>96</v>
      </c>
      <c r="S68" s="123"/>
      <c r="T68" s="123"/>
      <c r="U68" s="124"/>
      <c r="V68" s="45" t="s">
        <v>95</v>
      </c>
      <c r="W68" s="79">
        <v>6</v>
      </c>
      <c r="X68" s="80"/>
      <c r="Y68" s="105"/>
      <c r="Z68" s="106"/>
      <c r="AA68" s="36">
        <f t="shared" si="2"/>
        <v>0</v>
      </c>
      <c r="AB68" s="30"/>
      <c r="AC68" s="27"/>
      <c r="AD68" s="44">
        <v>71500</v>
      </c>
      <c r="AE68" s="56">
        <f>Y68*AD68</f>
        <v>0</v>
      </c>
      <c r="AG68" s="41">
        <v>4</v>
      </c>
      <c r="AH68" s="122" t="s">
        <v>96</v>
      </c>
      <c r="AI68" s="123"/>
      <c r="AJ68" s="123"/>
      <c r="AK68" s="124"/>
      <c r="AL68" s="45" t="s">
        <v>95</v>
      </c>
      <c r="AM68" s="79">
        <v>6</v>
      </c>
      <c r="AN68" s="80"/>
      <c r="AO68" s="105"/>
      <c r="AP68" s="106"/>
      <c r="AQ68" s="36">
        <f t="shared" si="3"/>
        <v>0</v>
      </c>
      <c r="AR68" s="30"/>
      <c r="AS68" s="27"/>
      <c r="AT68" s="44">
        <v>71500</v>
      </c>
      <c r="AU68" s="56">
        <f>AO68*AT68</f>
        <v>0</v>
      </c>
      <c r="AW68" s="41">
        <v>4</v>
      </c>
      <c r="AX68" s="122" t="s">
        <v>96</v>
      </c>
      <c r="AY68" s="123"/>
      <c r="AZ68" s="123"/>
      <c r="BA68" s="124"/>
      <c r="BB68" s="45" t="s">
        <v>95</v>
      </c>
      <c r="BC68" s="79">
        <v>6</v>
      </c>
      <c r="BD68" s="80"/>
      <c r="BE68" s="105"/>
      <c r="BF68" s="106"/>
      <c r="BG68" s="36">
        <f t="shared" si="4"/>
        <v>0</v>
      </c>
      <c r="BH68" s="30"/>
      <c r="BI68" s="27"/>
      <c r="BJ68" s="44">
        <v>71500</v>
      </c>
      <c r="BK68" s="56">
        <f>BE68*BJ68</f>
        <v>0</v>
      </c>
      <c r="BM68" s="41">
        <v>4</v>
      </c>
      <c r="BN68" s="122" t="s">
        <v>96</v>
      </c>
      <c r="BO68" s="123"/>
      <c r="BP68" s="123"/>
      <c r="BQ68" s="124"/>
      <c r="BR68" s="45" t="s">
        <v>95</v>
      </c>
      <c r="BS68" s="79">
        <v>6</v>
      </c>
      <c r="BT68" s="80"/>
      <c r="BU68" s="105"/>
      <c r="BV68" s="106"/>
      <c r="BW68" s="36">
        <f t="shared" si="5"/>
        <v>0</v>
      </c>
      <c r="BX68" s="30"/>
      <c r="BY68" s="27"/>
      <c r="BZ68" s="44">
        <v>71500</v>
      </c>
      <c r="CA68" s="56">
        <f>BU68*BZ68</f>
        <v>0</v>
      </c>
      <c r="CC68" s="41">
        <v>4</v>
      </c>
      <c r="CD68" s="122" t="s">
        <v>96</v>
      </c>
      <c r="CE68" s="123"/>
      <c r="CF68" s="123"/>
      <c r="CG68" s="124"/>
      <c r="CH68" s="45" t="s">
        <v>95</v>
      </c>
      <c r="CI68" s="79">
        <v>6</v>
      </c>
      <c r="CJ68" s="80"/>
      <c r="CK68" s="105"/>
      <c r="CL68" s="106"/>
      <c r="CM68" s="36">
        <f t="shared" si="6"/>
        <v>0</v>
      </c>
      <c r="CN68" s="30"/>
      <c r="CO68" s="27"/>
      <c r="CP68" s="44">
        <v>71500</v>
      </c>
      <c r="CQ68" s="56">
        <f>CK68*CP68</f>
        <v>0</v>
      </c>
      <c r="CS68" s="41">
        <v>4</v>
      </c>
      <c r="CT68" s="122" t="s">
        <v>96</v>
      </c>
      <c r="CU68" s="123"/>
      <c r="CV68" s="123"/>
      <c r="CW68" s="124"/>
      <c r="CX68" s="45" t="s">
        <v>95</v>
      </c>
      <c r="CY68" s="79">
        <v>6</v>
      </c>
      <c r="CZ68" s="80"/>
      <c r="DA68" s="105"/>
      <c r="DB68" s="106"/>
      <c r="DC68" s="36">
        <f t="shared" si="7"/>
        <v>0</v>
      </c>
      <c r="DD68" s="30"/>
      <c r="DE68" s="27"/>
      <c r="DF68" s="44">
        <v>71500</v>
      </c>
      <c r="DG68" s="56">
        <f>DA68*DF68</f>
        <v>0</v>
      </c>
      <c r="DI68" s="41">
        <v>4</v>
      </c>
      <c r="DJ68" s="122" t="s">
        <v>96</v>
      </c>
      <c r="DK68" s="123"/>
      <c r="DL68" s="123"/>
      <c r="DM68" s="124"/>
      <c r="DN68" s="45" t="s">
        <v>95</v>
      </c>
      <c r="DO68" s="79">
        <v>6</v>
      </c>
      <c r="DP68" s="80"/>
      <c r="DQ68" s="105"/>
      <c r="DR68" s="106"/>
      <c r="DS68" s="36">
        <f t="shared" si="8"/>
        <v>0</v>
      </c>
      <c r="DT68" s="30"/>
      <c r="DU68" s="27"/>
      <c r="DV68" s="44">
        <v>71500</v>
      </c>
      <c r="DW68" s="56">
        <f>DQ68*DV68</f>
        <v>0</v>
      </c>
      <c r="DY68" s="41">
        <v>4</v>
      </c>
      <c r="DZ68" s="122" t="s">
        <v>96</v>
      </c>
      <c r="EA68" s="123"/>
      <c r="EB68" s="123"/>
      <c r="EC68" s="124"/>
      <c r="ED68" s="45" t="s">
        <v>95</v>
      </c>
      <c r="EE68" s="79">
        <v>6</v>
      </c>
      <c r="EF68" s="80"/>
      <c r="EG68" s="105"/>
      <c r="EH68" s="106"/>
      <c r="EI68" s="36">
        <f t="shared" si="9"/>
        <v>0</v>
      </c>
      <c r="EJ68" s="30"/>
      <c r="EK68" s="27"/>
      <c r="EL68" s="44">
        <v>71500</v>
      </c>
      <c r="EM68" s="56">
        <f>EG68*EL68</f>
        <v>0</v>
      </c>
      <c r="EO68" s="41">
        <v>4</v>
      </c>
      <c r="EP68" s="122" t="s">
        <v>96</v>
      </c>
      <c r="EQ68" s="123"/>
      <c r="ER68" s="123"/>
      <c r="ES68" s="124"/>
      <c r="ET68" s="45" t="s">
        <v>95</v>
      </c>
      <c r="EU68" s="79">
        <v>6</v>
      </c>
      <c r="EV68" s="80"/>
      <c r="EW68" s="105"/>
      <c r="EX68" s="106"/>
      <c r="EY68" s="36">
        <f t="shared" si="10"/>
        <v>0</v>
      </c>
      <c r="EZ68" s="30"/>
      <c r="FA68" s="27"/>
      <c r="FB68" s="44">
        <v>71500</v>
      </c>
      <c r="FC68" s="56">
        <f>EW68*FB68</f>
        <v>0</v>
      </c>
      <c r="FE68" s="41">
        <v>4</v>
      </c>
      <c r="FF68" s="122" t="s">
        <v>96</v>
      </c>
      <c r="FG68" s="123"/>
      <c r="FH68" s="123"/>
      <c r="FI68" s="124"/>
      <c r="FJ68" s="45" t="s">
        <v>95</v>
      </c>
      <c r="FK68" s="79">
        <v>6</v>
      </c>
      <c r="FL68" s="80"/>
      <c r="FM68" s="105"/>
      <c r="FN68" s="106"/>
      <c r="FO68" s="36">
        <f t="shared" si="11"/>
        <v>0</v>
      </c>
      <c r="FP68" s="30"/>
      <c r="FQ68" s="27"/>
      <c r="FR68" s="44">
        <v>71500</v>
      </c>
      <c r="FS68" s="56">
        <f>FM68*FR68</f>
        <v>0</v>
      </c>
      <c r="FU68" s="41">
        <v>4</v>
      </c>
      <c r="FV68" s="122" t="s">
        <v>96</v>
      </c>
      <c r="FW68" s="123"/>
      <c r="FX68" s="123"/>
      <c r="FY68" s="124"/>
      <c r="FZ68" s="45" t="s">
        <v>95</v>
      </c>
      <c r="GA68" s="79">
        <v>6</v>
      </c>
      <c r="GB68" s="80"/>
      <c r="GC68" s="105"/>
      <c r="GD68" s="106"/>
      <c r="GE68" s="36">
        <f t="shared" si="12"/>
        <v>0</v>
      </c>
      <c r="GF68" s="30"/>
      <c r="GG68" s="27"/>
      <c r="GH68" s="44">
        <v>71500</v>
      </c>
      <c r="GI68" s="56">
        <f>GC68*GH68</f>
        <v>0</v>
      </c>
      <c r="GK68" s="41">
        <v>4</v>
      </c>
      <c r="GL68" s="122" t="s">
        <v>96</v>
      </c>
      <c r="GM68" s="123"/>
      <c r="GN68" s="123"/>
      <c r="GO68" s="124"/>
      <c r="GP68" s="45" t="s">
        <v>95</v>
      </c>
      <c r="GQ68" s="79">
        <v>6</v>
      </c>
      <c r="GR68" s="80"/>
      <c r="GS68" s="105"/>
      <c r="GT68" s="106"/>
      <c r="GU68" s="36">
        <f t="shared" si="13"/>
        <v>0</v>
      </c>
      <c r="GV68" s="30"/>
      <c r="GW68" s="27"/>
      <c r="GX68" s="44">
        <v>71500</v>
      </c>
      <c r="GY68" s="56">
        <f>GS68*GX68</f>
        <v>0</v>
      </c>
      <c r="HA68" s="41">
        <v>4</v>
      </c>
      <c r="HB68" s="122" t="s">
        <v>96</v>
      </c>
      <c r="HC68" s="123"/>
      <c r="HD68" s="123"/>
      <c r="HE68" s="124"/>
      <c r="HF68" s="45" t="s">
        <v>95</v>
      </c>
      <c r="HG68" s="79">
        <v>6</v>
      </c>
      <c r="HH68" s="80"/>
      <c r="HI68" s="105"/>
      <c r="HJ68" s="106"/>
      <c r="HK68" s="36">
        <f t="shared" si="14"/>
        <v>0</v>
      </c>
      <c r="HL68" s="30"/>
      <c r="HM68" s="27"/>
      <c r="HN68" s="44">
        <v>71500</v>
      </c>
      <c r="HO68" s="56">
        <f>HI68*HN68</f>
        <v>0</v>
      </c>
      <c r="HQ68" s="41">
        <v>4</v>
      </c>
      <c r="HR68" s="122" t="s">
        <v>96</v>
      </c>
      <c r="HS68" s="123"/>
      <c r="HT68" s="123"/>
      <c r="HU68" s="124"/>
      <c r="HV68" s="45" t="s">
        <v>95</v>
      </c>
      <c r="HW68" s="79">
        <v>6</v>
      </c>
      <c r="HX68" s="80"/>
      <c r="HY68" s="184">
        <v>0.2</v>
      </c>
      <c r="HZ68" s="185"/>
      <c r="IA68" s="61">
        <f>HY68+HK68</f>
        <v>0.2</v>
      </c>
      <c r="IB68" s="30"/>
      <c r="IC68" s="27"/>
      <c r="ID68" s="44">
        <v>71500</v>
      </c>
      <c r="IE68" s="56">
        <f>HY68*ID68</f>
        <v>14300</v>
      </c>
      <c r="IG68" s="41">
        <v>4</v>
      </c>
      <c r="IH68" s="122" t="s">
        <v>96</v>
      </c>
      <c r="II68" s="123"/>
      <c r="IJ68" s="123"/>
      <c r="IK68" s="124"/>
      <c r="IL68" s="45" t="s">
        <v>95</v>
      </c>
      <c r="IM68" s="79">
        <v>6</v>
      </c>
      <c r="IN68" s="80"/>
      <c r="IO68" s="125">
        <v>0.2</v>
      </c>
      <c r="IP68" s="126"/>
      <c r="IQ68" s="59">
        <f t="shared" si="16"/>
        <v>0.4</v>
      </c>
      <c r="IR68" s="30"/>
      <c r="IS68" s="27"/>
      <c r="IT68" s="44">
        <v>71500</v>
      </c>
      <c r="IU68" s="56">
        <f>IO68*IT68</f>
        <v>14300</v>
      </c>
      <c r="IW68" s="41">
        <v>4</v>
      </c>
      <c r="IX68" s="122" t="s">
        <v>96</v>
      </c>
      <c r="IY68" s="123"/>
      <c r="IZ68" s="123"/>
      <c r="JA68" s="124"/>
      <c r="JB68" s="45" t="s">
        <v>95</v>
      </c>
      <c r="JC68" s="79">
        <v>6</v>
      </c>
      <c r="JD68" s="80"/>
      <c r="JE68" s="125">
        <v>0.2</v>
      </c>
      <c r="JF68" s="126"/>
      <c r="JG68" s="59">
        <f t="shared" si="17"/>
        <v>0.60000000000000009</v>
      </c>
      <c r="JH68" s="30"/>
      <c r="JI68" s="27"/>
      <c r="JJ68" s="44">
        <v>71500</v>
      </c>
      <c r="JK68" s="56">
        <f>JE68*JJ68</f>
        <v>14300</v>
      </c>
      <c r="JM68" s="41">
        <v>4</v>
      </c>
      <c r="JN68" s="122" t="s">
        <v>96</v>
      </c>
      <c r="JO68" s="123"/>
      <c r="JP68" s="123"/>
      <c r="JQ68" s="124"/>
      <c r="JR68" s="45" t="s">
        <v>95</v>
      </c>
      <c r="JS68" s="79">
        <v>6</v>
      </c>
      <c r="JT68" s="80"/>
      <c r="JU68" s="125">
        <v>0.2</v>
      </c>
      <c r="JV68" s="126"/>
      <c r="JW68" s="59">
        <f t="shared" si="18"/>
        <v>0.8</v>
      </c>
      <c r="JX68" s="30"/>
      <c r="JY68" s="27"/>
      <c r="JZ68" s="44">
        <v>71500</v>
      </c>
      <c r="KA68" s="56">
        <f>JU68*JZ68</f>
        <v>14300</v>
      </c>
      <c r="KC68" s="41">
        <v>4</v>
      </c>
      <c r="KD68" s="122" t="s">
        <v>96</v>
      </c>
      <c r="KE68" s="123"/>
      <c r="KF68" s="123"/>
      <c r="KG68" s="124"/>
      <c r="KH68" s="45" t="s">
        <v>95</v>
      </c>
      <c r="KI68" s="79">
        <v>6</v>
      </c>
      <c r="KJ68" s="80"/>
      <c r="KK68" s="125">
        <v>0.2</v>
      </c>
      <c r="KL68" s="126"/>
      <c r="KM68" s="59">
        <f t="shared" si="0"/>
        <v>1</v>
      </c>
      <c r="KN68" s="30"/>
      <c r="KO68" s="27"/>
      <c r="KP68" s="44">
        <v>71500</v>
      </c>
      <c r="KQ68" s="56">
        <f>KK68*KP68</f>
        <v>14300</v>
      </c>
      <c r="KS68" s="41">
        <v>4</v>
      </c>
      <c r="KT68" s="122" t="s">
        <v>96</v>
      </c>
      <c r="KU68" s="123"/>
      <c r="KV68" s="123"/>
      <c r="KW68" s="124"/>
      <c r="KX68" s="45" t="s">
        <v>95</v>
      </c>
      <c r="KY68" s="79">
        <v>6</v>
      </c>
      <c r="KZ68" s="80"/>
      <c r="LA68" s="125">
        <v>0.2</v>
      </c>
      <c r="LB68" s="126"/>
      <c r="LC68" s="59">
        <f t="shared" si="19"/>
        <v>1.2</v>
      </c>
      <c r="LD68" s="30"/>
      <c r="LE68" s="27"/>
      <c r="LF68" s="44">
        <v>71500</v>
      </c>
      <c r="LG68" s="56">
        <f>LA68*LF68</f>
        <v>14300</v>
      </c>
      <c r="LI68" s="41">
        <v>4</v>
      </c>
      <c r="LJ68" s="122" t="s">
        <v>96</v>
      </c>
      <c r="LK68" s="123"/>
      <c r="LL68" s="123"/>
      <c r="LM68" s="124"/>
      <c r="LN68" s="45" t="s">
        <v>95</v>
      </c>
      <c r="LO68" s="79">
        <v>6</v>
      </c>
      <c r="LP68" s="80"/>
      <c r="LQ68" s="125">
        <v>0.2</v>
      </c>
      <c r="LR68" s="126"/>
      <c r="LS68" s="59">
        <f t="shared" si="20"/>
        <v>1.4</v>
      </c>
      <c r="LT68" s="30"/>
      <c r="LU68" s="27"/>
      <c r="LV68" s="44">
        <v>71500</v>
      </c>
      <c r="LW68" s="56">
        <f>LQ68*LV68</f>
        <v>14300</v>
      </c>
      <c r="LY68" s="41">
        <v>4</v>
      </c>
      <c r="LZ68" s="122" t="s">
        <v>96</v>
      </c>
      <c r="MA68" s="123"/>
      <c r="MB68" s="123"/>
      <c r="MC68" s="124"/>
      <c r="MD68" s="45" t="s">
        <v>95</v>
      </c>
      <c r="ME68" s="79">
        <v>6</v>
      </c>
      <c r="MF68" s="80"/>
      <c r="MG68" s="125">
        <v>0.2</v>
      </c>
      <c r="MH68" s="126"/>
      <c r="MI68" s="59">
        <f t="shared" si="21"/>
        <v>1.5999999999999999</v>
      </c>
      <c r="MJ68" s="30"/>
      <c r="MK68" s="27"/>
      <c r="ML68" s="44">
        <v>71500</v>
      </c>
      <c r="MM68" s="56">
        <f>MG68*ML68</f>
        <v>14300</v>
      </c>
    </row>
    <row r="69" spans="1:351" ht="20.100000000000001" customHeight="1" x14ac:dyDescent="0.3">
      <c r="A69" s="41">
        <v>5</v>
      </c>
      <c r="B69" s="122" t="s">
        <v>97</v>
      </c>
      <c r="C69" s="123"/>
      <c r="D69" s="123"/>
      <c r="E69" s="124"/>
      <c r="F69" s="45" t="s">
        <v>76</v>
      </c>
      <c r="G69" s="79">
        <v>70</v>
      </c>
      <c r="H69" s="80"/>
      <c r="I69" s="105"/>
      <c r="J69" s="106"/>
      <c r="K69" s="36">
        <f t="shared" si="1"/>
        <v>0</v>
      </c>
      <c r="L69" s="30"/>
      <c r="M69" s="27"/>
      <c r="N69" s="44">
        <v>400</v>
      </c>
      <c r="O69" s="56">
        <f>I69*N69</f>
        <v>0</v>
      </c>
      <c r="Q69" s="41">
        <v>5</v>
      </c>
      <c r="R69" s="122" t="s">
        <v>97</v>
      </c>
      <c r="S69" s="123"/>
      <c r="T69" s="123"/>
      <c r="U69" s="124"/>
      <c r="V69" s="45" t="s">
        <v>76</v>
      </c>
      <c r="W69" s="79">
        <v>70</v>
      </c>
      <c r="X69" s="80"/>
      <c r="Y69" s="105"/>
      <c r="Z69" s="106"/>
      <c r="AA69" s="36">
        <f t="shared" si="2"/>
        <v>0</v>
      </c>
      <c r="AB69" s="30"/>
      <c r="AC69" s="27"/>
      <c r="AD69" s="44">
        <v>400</v>
      </c>
      <c r="AE69" s="56">
        <f>Y69*AD69</f>
        <v>0</v>
      </c>
      <c r="AG69" s="41">
        <v>5</v>
      </c>
      <c r="AH69" s="122" t="s">
        <v>97</v>
      </c>
      <c r="AI69" s="123"/>
      <c r="AJ69" s="123"/>
      <c r="AK69" s="124"/>
      <c r="AL69" s="45" t="s">
        <v>76</v>
      </c>
      <c r="AM69" s="79">
        <v>70</v>
      </c>
      <c r="AN69" s="80"/>
      <c r="AO69" s="105"/>
      <c r="AP69" s="106"/>
      <c r="AQ69" s="36">
        <f t="shared" si="3"/>
        <v>0</v>
      </c>
      <c r="AR69" s="30"/>
      <c r="AS69" s="27"/>
      <c r="AT69" s="44">
        <v>400</v>
      </c>
      <c r="AU69" s="56">
        <f>AO69*AT69</f>
        <v>0</v>
      </c>
      <c r="AW69" s="41">
        <v>5</v>
      </c>
      <c r="AX69" s="122" t="s">
        <v>97</v>
      </c>
      <c r="AY69" s="123"/>
      <c r="AZ69" s="123"/>
      <c r="BA69" s="124"/>
      <c r="BB69" s="45" t="s">
        <v>76</v>
      </c>
      <c r="BC69" s="79">
        <v>70</v>
      </c>
      <c r="BD69" s="80"/>
      <c r="BE69" s="105"/>
      <c r="BF69" s="106"/>
      <c r="BG69" s="36">
        <f t="shared" si="4"/>
        <v>0</v>
      </c>
      <c r="BH69" s="30"/>
      <c r="BI69" s="27"/>
      <c r="BJ69" s="44">
        <v>400</v>
      </c>
      <c r="BK69" s="56">
        <f>BE69*BJ69</f>
        <v>0</v>
      </c>
      <c r="BM69" s="41">
        <v>5</v>
      </c>
      <c r="BN69" s="122" t="s">
        <v>97</v>
      </c>
      <c r="BO69" s="123"/>
      <c r="BP69" s="123"/>
      <c r="BQ69" s="124"/>
      <c r="BR69" s="45" t="s">
        <v>76</v>
      </c>
      <c r="BS69" s="79">
        <v>70</v>
      </c>
      <c r="BT69" s="80"/>
      <c r="BU69" s="105"/>
      <c r="BV69" s="106"/>
      <c r="BW69" s="36">
        <f t="shared" si="5"/>
        <v>0</v>
      </c>
      <c r="BX69" s="30"/>
      <c r="BY69" s="27"/>
      <c r="BZ69" s="44">
        <v>400</v>
      </c>
      <c r="CA69" s="56">
        <f>BU69*BZ69</f>
        <v>0</v>
      </c>
      <c r="CC69" s="41">
        <v>5</v>
      </c>
      <c r="CD69" s="122" t="s">
        <v>97</v>
      </c>
      <c r="CE69" s="123"/>
      <c r="CF69" s="123"/>
      <c r="CG69" s="124"/>
      <c r="CH69" s="45" t="s">
        <v>76</v>
      </c>
      <c r="CI69" s="79">
        <v>70</v>
      </c>
      <c r="CJ69" s="80"/>
      <c r="CK69" s="105"/>
      <c r="CL69" s="106"/>
      <c r="CM69" s="36">
        <f t="shared" si="6"/>
        <v>0</v>
      </c>
      <c r="CN69" s="30"/>
      <c r="CO69" s="27"/>
      <c r="CP69" s="44">
        <v>400</v>
      </c>
      <c r="CQ69" s="56">
        <f>CK69*CP69</f>
        <v>0</v>
      </c>
      <c r="CS69" s="41">
        <v>5</v>
      </c>
      <c r="CT69" s="122" t="s">
        <v>97</v>
      </c>
      <c r="CU69" s="123"/>
      <c r="CV69" s="123"/>
      <c r="CW69" s="124"/>
      <c r="CX69" s="45" t="s">
        <v>76</v>
      </c>
      <c r="CY69" s="79">
        <v>70</v>
      </c>
      <c r="CZ69" s="80"/>
      <c r="DA69" s="105"/>
      <c r="DB69" s="106"/>
      <c r="DC69" s="36">
        <f t="shared" si="7"/>
        <v>0</v>
      </c>
      <c r="DD69" s="30"/>
      <c r="DE69" s="27"/>
      <c r="DF69" s="44">
        <v>400</v>
      </c>
      <c r="DG69" s="56">
        <f>DA69*DF69</f>
        <v>0</v>
      </c>
      <c r="DI69" s="41">
        <v>5</v>
      </c>
      <c r="DJ69" s="122" t="s">
        <v>97</v>
      </c>
      <c r="DK69" s="123"/>
      <c r="DL69" s="123"/>
      <c r="DM69" s="124"/>
      <c r="DN69" s="45" t="s">
        <v>76</v>
      </c>
      <c r="DO69" s="79">
        <v>70</v>
      </c>
      <c r="DP69" s="80"/>
      <c r="DQ69" s="105"/>
      <c r="DR69" s="106"/>
      <c r="DS69" s="36">
        <f t="shared" si="8"/>
        <v>0</v>
      </c>
      <c r="DT69" s="30"/>
      <c r="DU69" s="27"/>
      <c r="DV69" s="44">
        <v>400</v>
      </c>
      <c r="DW69" s="56">
        <f>DQ69*DV69</f>
        <v>0</v>
      </c>
      <c r="DY69" s="41">
        <v>5</v>
      </c>
      <c r="DZ69" s="122" t="s">
        <v>97</v>
      </c>
      <c r="EA69" s="123"/>
      <c r="EB69" s="123"/>
      <c r="EC69" s="124"/>
      <c r="ED69" s="45" t="s">
        <v>76</v>
      </c>
      <c r="EE69" s="79">
        <v>70</v>
      </c>
      <c r="EF69" s="80"/>
      <c r="EG69" s="105"/>
      <c r="EH69" s="106"/>
      <c r="EI69" s="36">
        <f t="shared" si="9"/>
        <v>0</v>
      </c>
      <c r="EJ69" s="30"/>
      <c r="EK69" s="27"/>
      <c r="EL69" s="44">
        <v>400</v>
      </c>
      <c r="EM69" s="56">
        <f>EG69*EL69</f>
        <v>0</v>
      </c>
      <c r="EO69" s="41">
        <v>5</v>
      </c>
      <c r="EP69" s="122" t="s">
        <v>97</v>
      </c>
      <c r="EQ69" s="123"/>
      <c r="ER69" s="123"/>
      <c r="ES69" s="124"/>
      <c r="ET69" s="45" t="s">
        <v>76</v>
      </c>
      <c r="EU69" s="79">
        <v>70</v>
      </c>
      <c r="EV69" s="80"/>
      <c r="EW69" s="105"/>
      <c r="EX69" s="106"/>
      <c r="EY69" s="36">
        <f t="shared" si="10"/>
        <v>0</v>
      </c>
      <c r="EZ69" s="30"/>
      <c r="FA69" s="27"/>
      <c r="FB69" s="44">
        <v>400</v>
      </c>
      <c r="FC69" s="56">
        <f>EW69*FB69</f>
        <v>0</v>
      </c>
      <c r="FE69" s="41">
        <v>5</v>
      </c>
      <c r="FF69" s="122" t="s">
        <v>97</v>
      </c>
      <c r="FG69" s="123"/>
      <c r="FH69" s="123"/>
      <c r="FI69" s="124"/>
      <c r="FJ69" s="45" t="s">
        <v>76</v>
      </c>
      <c r="FK69" s="79">
        <v>70</v>
      </c>
      <c r="FL69" s="80"/>
      <c r="FM69" s="105"/>
      <c r="FN69" s="106"/>
      <c r="FO69" s="36">
        <f t="shared" si="11"/>
        <v>0</v>
      </c>
      <c r="FP69" s="30"/>
      <c r="FQ69" s="27"/>
      <c r="FR69" s="44">
        <v>400</v>
      </c>
      <c r="FS69" s="56">
        <f>FM69*FR69</f>
        <v>0</v>
      </c>
      <c r="FU69" s="41">
        <v>5</v>
      </c>
      <c r="FV69" s="122" t="s">
        <v>97</v>
      </c>
      <c r="FW69" s="123"/>
      <c r="FX69" s="123"/>
      <c r="FY69" s="124"/>
      <c r="FZ69" s="45" t="s">
        <v>76</v>
      </c>
      <c r="GA69" s="79">
        <v>70</v>
      </c>
      <c r="GB69" s="80"/>
      <c r="GC69" s="105"/>
      <c r="GD69" s="106"/>
      <c r="GE69" s="36">
        <f t="shared" si="12"/>
        <v>0</v>
      </c>
      <c r="GF69" s="30"/>
      <c r="GG69" s="27"/>
      <c r="GH69" s="44">
        <v>400</v>
      </c>
      <c r="GI69" s="56">
        <f>GC69*GH69</f>
        <v>0</v>
      </c>
      <c r="GK69" s="41">
        <v>5</v>
      </c>
      <c r="GL69" s="122" t="s">
        <v>97</v>
      </c>
      <c r="GM69" s="123"/>
      <c r="GN69" s="123"/>
      <c r="GO69" s="124"/>
      <c r="GP69" s="45" t="s">
        <v>76</v>
      </c>
      <c r="GQ69" s="79">
        <v>70</v>
      </c>
      <c r="GR69" s="80"/>
      <c r="GS69" s="105"/>
      <c r="GT69" s="106"/>
      <c r="GU69" s="36">
        <f t="shared" si="13"/>
        <v>0</v>
      </c>
      <c r="GV69" s="30"/>
      <c r="GW69" s="27"/>
      <c r="GX69" s="44">
        <v>400</v>
      </c>
      <c r="GY69" s="56">
        <f>GS69*GX69</f>
        <v>0</v>
      </c>
      <c r="HA69" s="41">
        <v>5</v>
      </c>
      <c r="HB69" s="122" t="s">
        <v>97</v>
      </c>
      <c r="HC69" s="123"/>
      <c r="HD69" s="123"/>
      <c r="HE69" s="124"/>
      <c r="HF69" s="45" t="s">
        <v>76</v>
      </c>
      <c r="HG69" s="79">
        <v>70</v>
      </c>
      <c r="HH69" s="80"/>
      <c r="HI69" s="105"/>
      <c r="HJ69" s="106"/>
      <c r="HK69" s="36">
        <f t="shared" si="14"/>
        <v>0</v>
      </c>
      <c r="HL69" s="30"/>
      <c r="HM69" s="27"/>
      <c r="HN69" s="44">
        <v>400</v>
      </c>
      <c r="HO69" s="56">
        <f>HI69*HN69</f>
        <v>0</v>
      </c>
      <c r="HQ69" s="41">
        <v>5</v>
      </c>
      <c r="HR69" s="122" t="s">
        <v>97</v>
      </c>
      <c r="HS69" s="123"/>
      <c r="HT69" s="123"/>
      <c r="HU69" s="124"/>
      <c r="HV69" s="45" t="s">
        <v>76</v>
      </c>
      <c r="HW69" s="79">
        <v>70</v>
      </c>
      <c r="HX69" s="80"/>
      <c r="HY69" s="105"/>
      <c r="HZ69" s="106"/>
      <c r="IA69" s="36">
        <f t="shared" si="15"/>
        <v>0</v>
      </c>
      <c r="IB69" s="30"/>
      <c r="IC69" s="27"/>
      <c r="ID69" s="44">
        <v>400</v>
      </c>
      <c r="IE69" s="56">
        <f>HY69*ID69</f>
        <v>0</v>
      </c>
      <c r="IG69" s="41">
        <v>5</v>
      </c>
      <c r="IH69" s="122" t="s">
        <v>97</v>
      </c>
      <c r="II69" s="123"/>
      <c r="IJ69" s="123"/>
      <c r="IK69" s="124"/>
      <c r="IL69" s="45" t="s">
        <v>76</v>
      </c>
      <c r="IM69" s="79">
        <v>70</v>
      </c>
      <c r="IN69" s="80"/>
      <c r="IO69" s="105"/>
      <c r="IP69" s="106"/>
      <c r="IQ69" s="36">
        <f t="shared" si="16"/>
        <v>0</v>
      </c>
      <c r="IR69" s="30"/>
      <c r="IS69" s="27"/>
      <c r="IT69" s="44">
        <v>400</v>
      </c>
      <c r="IU69" s="56">
        <f>IO69*IT69</f>
        <v>0</v>
      </c>
      <c r="IW69" s="41">
        <v>5</v>
      </c>
      <c r="IX69" s="122" t="s">
        <v>97</v>
      </c>
      <c r="IY69" s="123"/>
      <c r="IZ69" s="123"/>
      <c r="JA69" s="124"/>
      <c r="JB69" s="45" t="s">
        <v>76</v>
      </c>
      <c r="JC69" s="79">
        <v>70</v>
      </c>
      <c r="JD69" s="80"/>
      <c r="JE69" s="105"/>
      <c r="JF69" s="106"/>
      <c r="JG69" s="36">
        <f t="shared" si="17"/>
        <v>0</v>
      </c>
      <c r="JH69" s="30"/>
      <c r="JI69" s="27"/>
      <c r="JJ69" s="44">
        <v>400</v>
      </c>
      <c r="JK69" s="56">
        <f>JE69*JJ69</f>
        <v>0</v>
      </c>
      <c r="JM69" s="41">
        <v>5</v>
      </c>
      <c r="JN69" s="122" t="s">
        <v>97</v>
      </c>
      <c r="JO69" s="123"/>
      <c r="JP69" s="123"/>
      <c r="JQ69" s="124"/>
      <c r="JR69" s="45" t="s">
        <v>76</v>
      </c>
      <c r="JS69" s="79">
        <v>70</v>
      </c>
      <c r="JT69" s="80"/>
      <c r="JU69" s="105"/>
      <c r="JV69" s="106"/>
      <c r="JW69" s="36">
        <f t="shared" si="18"/>
        <v>0</v>
      </c>
      <c r="JX69" s="30"/>
      <c r="JY69" s="27"/>
      <c r="JZ69" s="44">
        <v>400</v>
      </c>
      <c r="KA69" s="56">
        <f>JU69*JZ69</f>
        <v>0</v>
      </c>
      <c r="KC69" s="41">
        <v>5</v>
      </c>
      <c r="KD69" s="122" t="s">
        <v>97</v>
      </c>
      <c r="KE69" s="123"/>
      <c r="KF69" s="123"/>
      <c r="KG69" s="124"/>
      <c r="KH69" s="45" t="s">
        <v>76</v>
      </c>
      <c r="KI69" s="79">
        <v>70</v>
      </c>
      <c r="KJ69" s="80"/>
      <c r="KK69" s="105"/>
      <c r="KL69" s="106"/>
      <c r="KM69" s="36">
        <f t="shared" si="0"/>
        <v>0</v>
      </c>
      <c r="KN69" s="30"/>
      <c r="KO69" s="27"/>
      <c r="KP69" s="44">
        <v>400</v>
      </c>
      <c r="KQ69" s="56">
        <f>KK69*KP69</f>
        <v>0</v>
      </c>
      <c r="KS69" s="41">
        <v>5</v>
      </c>
      <c r="KT69" s="122" t="s">
        <v>97</v>
      </c>
      <c r="KU69" s="123"/>
      <c r="KV69" s="123"/>
      <c r="KW69" s="124"/>
      <c r="KX69" s="45" t="s">
        <v>76</v>
      </c>
      <c r="KY69" s="79">
        <v>70</v>
      </c>
      <c r="KZ69" s="80"/>
      <c r="LA69" s="105"/>
      <c r="LB69" s="106"/>
      <c r="LC69" s="36">
        <f t="shared" si="19"/>
        <v>0</v>
      </c>
      <c r="LD69" s="30"/>
      <c r="LE69" s="27"/>
      <c r="LF69" s="44">
        <v>400</v>
      </c>
      <c r="LG69" s="56">
        <f>LA69*LF69</f>
        <v>0</v>
      </c>
      <c r="LI69" s="41">
        <v>5</v>
      </c>
      <c r="LJ69" s="122" t="s">
        <v>97</v>
      </c>
      <c r="LK69" s="123"/>
      <c r="LL69" s="123"/>
      <c r="LM69" s="124"/>
      <c r="LN69" s="45" t="s">
        <v>76</v>
      </c>
      <c r="LO69" s="79">
        <v>70</v>
      </c>
      <c r="LP69" s="80"/>
      <c r="LQ69" s="105"/>
      <c r="LR69" s="106"/>
      <c r="LS69" s="36">
        <f t="shared" si="20"/>
        <v>0</v>
      </c>
      <c r="LT69" s="30"/>
      <c r="LU69" s="27"/>
      <c r="LV69" s="44">
        <v>400</v>
      </c>
      <c r="LW69" s="56">
        <f>LQ69*LV69</f>
        <v>0</v>
      </c>
      <c r="LY69" s="41">
        <v>5</v>
      </c>
      <c r="LZ69" s="122" t="s">
        <v>97</v>
      </c>
      <c r="MA69" s="123"/>
      <c r="MB69" s="123"/>
      <c r="MC69" s="124"/>
      <c r="MD69" s="45" t="s">
        <v>76</v>
      </c>
      <c r="ME69" s="79">
        <v>70</v>
      </c>
      <c r="MF69" s="80"/>
      <c r="MG69" s="105"/>
      <c r="MH69" s="106"/>
      <c r="MI69" s="36">
        <f t="shared" si="21"/>
        <v>0</v>
      </c>
      <c r="MJ69" s="30"/>
      <c r="MK69" s="27"/>
      <c r="ML69" s="44">
        <v>400</v>
      </c>
      <c r="MM69" s="56">
        <f>MG69*ML69</f>
        <v>0</v>
      </c>
    </row>
    <row r="70" spans="1:351" ht="20.100000000000001" customHeight="1" x14ac:dyDescent="0.3">
      <c r="A70" s="41" t="s">
        <v>98</v>
      </c>
      <c r="B70" s="127" t="s">
        <v>103</v>
      </c>
      <c r="C70" s="128"/>
      <c r="D70" s="128"/>
      <c r="E70" s="129"/>
      <c r="F70" s="49" t="s">
        <v>64</v>
      </c>
      <c r="G70" s="105">
        <v>1</v>
      </c>
      <c r="H70" s="106"/>
      <c r="I70" s="105">
        <f>N70/90</f>
        <v>56.533333333333331</v>
      </c>
      <c r="J70" s="106"/>
      <c r="K70" s="36">
        <f t="shared" si="1"/>
        <v>56.533333333333331</v>
      </c>
      <c r="L70" s="15"/>
      <c r="M70" s="26"/>
      <c r="N70" s="44">
        <v>5088</v>
      </c>
      <c r="O70" s="56">
        <f>I70</f>
        <v>56.533333333333331</v>
      </c>
      <c r="Q70" s="41" t="s">
        <v>98</v>
      </c>
      <c r="R70" s="127" t="s">
        <v>103</v>
      </c>
      <c r="S70" s="128"/>
      <c r="T70" s="128"/>
      <c r="U70" s="129"/>
      <c r="V70" s="49" t="s">
        <v>64</v>
      </c>
      <c r="W70" s="105">
        <v>1</v>
      </c>
      <c r="X70" s="106"/>
      <c r="Y70" s="105">
        <f>AD70/90</f>
        <v>56.533333333333331</v>
      </c>
      <c r="Z70" s="106"/>
      <c r="AA70" s="36">
        <f t="shared" si="2"/>
        <v>113.06666666666666</v>
      </c>
      <c r="AB70" s="15"/>
      <c r="AC70" s="26"/>
      <c r="AD70" s="44">
        <v>5088</v>
      </c>
      <c r="AE70" s="56">
        <f>Y70</f>
        <v>56.533333333333331</v>
      </c>
      <c r="AG70" s="41" t="s">
        <v>98</v>
      </c>
      <c r="AH70" s="127" t="s">
        <v>103</v>
      </c>
      <c r="AI70" s="128"/>
      <c r="AJ70" s="128"/>
      <c r="AK70" s="129"/>
      <c r="AL70" s="49" t="s">
        <v>64</v>
      </c>
      <c r="AM70" s="105">
        <v>1</v>
      </c>
      <c r="AN70" s="106"/>
      <c r="AO70" s="105">
        <f>AT70/90</f>
        <v>56.533333333333331</v>
      </c>
      <c r="AP70" s="106"/>
      <c r="AQ70" s="36">
        <f t="shared" si="3"/>
        <v>169.6</v>
      </c>
      <c r="AR70" s="15"/>
      <c r="AS70" s="26"/>
      <c r="AT70" s="44">
        <v>5088</v>
      </c>
      <c r="AU70" s="56">
        <f>AO70</f>
        <v>56.533333333333331</v>
      </c>
      <c r="AW70" s="41" t="s">
        <v>98</v>
      </c>
      <c r="AX70" s="127" t="s">
        <v>103</v>
      </c>
      <c r="AY70" s="128"/>
      <c r="AZ70" s="128"/>
      <c r="BA70" s="129"/>
      <c r="BB70" s="49" t="s">
        <v>64</v>
      </c>
      <c r="BC70" s="105">
        <v>1</v>
      </c>
      <c r="BD70" s="106"/>
      <c r="BE70" s="105">
        <f>BJ70/90</f>
        <v>56.533333333333331</v>
      </c>
      <c r="BF70" s="106"/>
      <c r="BG70" s="36">
        <f t="shared" si="4"/>
        <v>226.13333333333333</v>
      </c>
      <c r="BH70" s="15"/>
      <c r="BI70" s="26"/>
      <c r="BJ70" s="44">
        <v>5088</v>
      </c>
      <c r="BK70" s="56">
        <f>BE70</f>
        <v>56.533333333333331</v>
      </c>
      <c r="BM70" s="41" t="s">
        <v>98</v>
      </c>
      <c r="BN70" s="127" t="s">
        <v>103</v>
      </c>
      <c r="BO70" s="128"/>
      <c r="BP70" s="128"/>
      <c r="BQ70" s="129"/>
      <c r="BR70" s="49" t="s">
        <v>64</v>
      </c>
      <c r="BS70" s="105">
        <v>1</v>
      </c>
      <c r="BT70" s="106"/>
      <c r="BU70" s="105">
        <f>BZ70/90</f>
        <v>56.533333333333331</v>
      </c>
      <c r="BV70" s="106"/>
      <c r="BW70" s="36">
        <f t="shared" si="5"/>
        <v>282.66666666666663</v>
      </c>
      <c r="BX70" s="15"/>
      <c r="BY70" s="26"/>
      <c r="BZ70" s="44">
        <v>5088</v>
      </c>
      <c r="CA70" s="56">
        <f>BU70</f>
        <v>56.533333333333331</v>
      </c>
      <c r="CC70" s="41" t="s">
        <v>98</v>
      </c>
      <c r="CD70" s="127" t="s">
        <v>103</v>
      </c>
      <c r="CE70" s="128"/>
      <c r="CF70" s="128"/>
      <c r="CG70" s="129"/>
      <c r="CH70" s="49" t="s">
        <v>64</v>
      </c>
      <c r="CI70" s="105">
        <v>1</v>
      </c>
      <c r="CJ70" s="106"/>
      <c r="CK70" s="105">
        <f>CP70/90</f>
        <v>56.533333333333331</v>
      </c>
      <c r="CL70" s="106"/>
      <c r="CM70" s="36">
        <f t="shared" si="6"/>
        <v>339.19999999999993</v>
      </c>
      <c r="CN70" s="15"/>
      <c r="CO70" s="26"/>
      <c r="CP70" s="44">
        <v>5088</v>
      </c>
      <c r="CQ70" s="56">
        <f>CK70</f>
        <v>56.533333333333331</v>
      </c>
      <c r="CS70" s="41" t="s">
        <v>98</v>
      </c>
      <c r="CT70" s="127" t="s">
        <v>103</v>
      </c>
      <c r="CU70" s="128"/>
      <c r="CV70" s="128"/>
      <c r="CW70" s="129"/>
      <c r="CX70" s="49" t="s">
        <v>64</v>
      </c>
      <c r="CY70" s="105">
        <v>1</v>
      </c>
      <c r="CZ70" s="106"/>
      <c r="DA70" s="105">
        <f>DF70/90</f>
        <v>56.533333333333331</v>
      </c>
      <c r="DB70" s="106"/>
      <c r="DC70" s="36">
        <f t="shared" si="7"/>
        <v>395.73333333333323</v>
      </c>
      <c r="DD70" s="15"/>
      <c r="DE70" s="26"/>
      <c r="DF70" s="44">
        <v>5088</v>
      </c>
      <c r="DG70" s="56">
        <f>DA70</f>
        <v>56.533333333333331</v>
      </c>
      <c r="DI70" s="41" t="s">
        <v>98</v>
      </c>
      <c r="DJ70" s="127" t="s">
        <v>103</v>
      </c>
      <c r="DK70" s="128"/>
      <c r="DL70" s="128"/>
      <c r="DM70" s="129"/>
      <c r="DN70" s="49" t="s">
        <v>64</v>
      </c>
      <c r="DO70" s="105">
        <v>1</v>
      </c>
      <c r="DP70" s="106"/>
      <c r="DQ70" s="105">
        <f>DV70/90</f>
        <v>56.533333333333331</v>
      </c>
      <c r="DR70" s="106"/>
      <c r="DS70" s="36">
        <f t="shared" si="8"/>
        <v>452.26666666666654</v>
      </c>
      <c r="DT70" s="15"/>
      <c r="DU70" s="26"/>
      <c r="DV70" s="44">
        <v>5088</v>
      </c>
      <c r="DW70" s="56">
        <f>DQ70</f>
        <v>56.533333333333331</v>
      </c>
      <c r="DY70" s="41" t="s">
        <v>98</v>
      </c>
      <c r="DZ70" s="127" t="s">
        <v>103</v>
      </c>
      <c r="EA70" s="128"/>
      <c r="EB70" s="128"/>
      <c r="EC70" s="129"/>
      <c r="ED70" s="49" t="s">
        <v>64</v>
      </c>
      <c r="EE70" s="105">
        <v>1</v>
      </c>
      <c r="EF70" s="106"/>
      <c r="EG70" s="105">
        <f>EL70/90</f>
        <v>56.533333333333331</v>
      </c>
      <c r="EH70" s="106"/>
      <c r="EI70" s="36">
        <f t="shared" si="9"/>
        <v>508.79999999999984</v>
      </c>
      <c r="EJ70" s="15"/>
      <c r="EK70" s="26"/>
      <c r="EL70" s="44">
        <v>5088</v>
      </c>
      <c r="EM70" s="56">
        <f>EG70</f>
        <v>56.533333333333331</v>
      </c>
      <c r="EO70" s="41" t="s">
        <v>98</v>
      </c>
      <c r="EP70" s="127" t="s">
        <v>103</v>
      </c>
      <c r="EQ70" s="128"/>
      <c r="ER70" s="128"/>
      <c r="ES70" s="129"/>
      <c r="ET70" s="49" t="s">
        <v>64</v>
      </c>
      <c r="EU70" s="105">
        <v>1</v>
      </c>
      <c r="EV70" s="106"/>
      <c r="EW70" s="105">
        <f>FB70/90</f>
        <v>56.533333333333331</v>
      </c>
      <c r="EX70" s="106"/>
      <c r="EY70" s="36">
        <f t="shared" si="10"/>
        <v>565.33333333333314</v>
      </c>
      <c r="EZ70" s="15"/>
      <c r="FA70" s="26"/>
      <c r="FB70" s="44">
        <v>5088</v>
      </c>
      <c r="FC70" s="56">
        <f>EW70</f>
        <v>56.533333333333331</v>
      </c>
      <c r="FE70" s="41" t="s">
        <v>98</v>
      </c>
      <c r="FF70" s="127" t="s">
        <v>103</v>
      </c>
      <c r="FG70" s="128"/>
      <c r="FH70" s="128"/>
      <c r="FI70" s="129"/>
      <c r="FJ70" s="49" t="s">
        <v>64</v>
      </c>
      <c r="FK70" s="105">
        <v>1</v>
      </c>
      <c r="FL70" s="106"/>
      <c r="FM70" s="105">
        <f>FR70/90</f>
        <v>56.533333333333331</v>
      </c>
      <c r="FN70" s="106"/>
      <c r="FO70" s="36">
        <f t="shared" si="11"/>
        <v>621.86666666666645</v>
      </c>
      <c r="FP70" s="15"/>
      <c r="FQ70" s="26"/>
      <c r="FR70" s="44">
        <v>5088</v>
      </c>
      <c r="FS70" s="56">
        <f>FM70</f>
        <v>56.533333333333331</v>
      </c>
      <c r="FU70" s="41" t="s">
        <v>98</v>
      </c>
      <c r="FV70" s="127" t="s">
        <v>103</v>
      </c>
      <c r="FW70" s="128"/>
      <c r="FX70" s="128"/>
      <c r="FY70" s="129"/>
      <c r="FZ70" s="49" t="s">
        <v>64</v>
      </c>
      <c r="GA70" s="105">
        <v>1</v>
      </c>
      <c r="GB70" s="106"/>
      <c r="GC70" s="105">
        <f>GH70/90</f>
        <v>56.533333333333331</v>
      </c>
      <c r="GD70" s="106"/>
      <c r="GE70" s="36">
        <f t="shared" si="12"/>
        <v>678.39999999999975</v>
      </c>
      <c r="GF70" s="15"/>
      <c r="GG70" s="26"/>
      <c r="GH70" s="44">
        <v>5088</v>
      </c>
      <c r="GI70" s="56">
        <f>GC70</f>
        <v>56.533333333333331</v>
      </c>
      <c r="GK70" s="41" t="s">
        <v>98</v>
      </c>
      <c r="GL70" s="127" t="s">
        <v>103</v>
      </c>
      <c r="GM70" s="128"/>
      <c r="GN70" s="128"/>
      <c r="GO70" s="129"/>
      <c r="GP70" s="49" t="s">
        <v>64</v>
      </c>
      <c r="GQ70" s="105">
        <v>1</v>
      </c>
      <c r="GR70" s="106"/>
      <c r="GS70" s="105">
        <f>GX70/90</f>
        <v>56.533333333333331</v>
      </c>
      <c r="GT70" s="106"/>
      <c r="GU70" s="36">
        <f t="shared" si="13"/>
        <v>734.93333333333305</v>
      </c>
      <c r="GV70" s="15"/>
      <c r="GW70" s="26"/>
      <c r="GX70" s="44">
        <v>5088</v>
      </c>
      <c r="GY70" s="56">
        <f>GS70</f>
        <v>56.533333333333331</v>
      </c>
      <c r="HA70" s="41" t="s">
        <v>98</v>
      </c>
      <c r="HB70" s="127" t="s">
        <v>103</v>
      </c>
      <c r="HC70" s="128"/>
      <c r="HD70" s="128"/>
      <c r="HE70" s="129"/>
      <c r="HF70" s="49" t="s">
        <v>64</v>
      </c>
      <c r="HG70" s="105">
        <v>1</v>
      </c>
      <c r="HH70" s="106"/>
      <c r="HI70" s="105">
        <f>HN70/90</f>
        <v>56.533333333333331</v>
      </c>
      <c r="HJ70" s="106"/>
      <c r="HK70" s="36">
        <f t="shared" si="14"/>
        <v>791.46666666666636</v>
      </c>
      <c r="HL70" s="15"/>
      <c r="HM70" s="26"/>
      <c r="HN70" s="44">
        <v>5088</v>
      </c>
      <c r="HO70" s="56">
        <f>HI70</f>
        <v>56.533333333333331</v>
      </c>
      <c r="HQ70" s="41" t="s">
        <v>98</v>
      </c>
      <c r="HR70" s="127" t="s">
        <v>103</v>
      </c>
      <c r="HS70" s="128"/>
      <c r="HT70" s="128"/>
      <c r="HU70" s="129"/>
      <c r="HV70" s="49" t="s">
        <v>64</v>
      </c>
      <c r="HW70" s="105">
        <v>1</v>
      </c>
      <c r="HX70" s="106"/>
      <c r="HY70" s="105">
        <f>ID70/90</f>
        <v>56.533333333333331</v>
      </c>
      <c r="HZ70" s="106"/>
      <c r="IA70" s="36">
        <f t="shared" si="15"/>
        <v>847.99999999999966</v>
      </c>
      <c r="IB70" s="15"/>
      <c r="IC70" s="26"/>
      <c r="ID70" s="44">
        <v>5088</v>
      </c>
      <c r="IE70" s="56">
        <f>HY70</f>
        <v>56.533333333333331</v>
      </c>
      <c r="IG70" s="41" t="s">
        <v>98</v>
      </c>
      <c r="IH70" s="127" t="s">
        <v>103</v>
      </c>
      <c r="II70" s="128"/>
      <c r="IJ70" s="128"/>
      <c r="IK70" s="129"/>
      <c r="IL70" s="49" t="s">
        <v>64</v>
      </c>
      <c r="IM70" s="105">
        <v>1</v>
      </c>
      <c r="IN70" s="106"/>
      <c r="IO70" s="105">
        <f>IT70/90</f>
        <v>56.533333333333331</v>
      </c>
      <c r="IP70" s="106"/>
      <c r="IQ70" s="36">
        <f t="shared" si="16"/>
        <v>904.53333333333296</v>
      </c>
      <c r="IR70" s="15"/>
      <c r="IS70" s="26"/>
      <c r="IT70" s="44">
        <v>5088</v>
      </c>
      <c r="IU70" s="56">
        <f>IO70</f>
        <v>56.533333333333331</v>
      </c>
      <c r="IW70" s="41" t="s">
        <v>98</v>
      </c>
      <c r="IX70" s="127" t="s">
        <v>103</v>
      </c>
      <c r="IY70" s="128"/>
      <c r="IZ70" s="128"/>
      <c r="JA70" s="129"/>
      <c r="JB70" s="49" t="s">
        <v>64</v>
      </c>
      <c r="JC70" s="105">
        <v>1</v>
      </c>
      <c r="JD70" s="106"/>
      <c r="JE70" s="105">
        <f>JJ70/90</f>
        <v>56.533333333333331</v>
      </c>
      <c r="JF70" s="106"/>
      <c r="JG70" s="36">
        <f t="shared" si="17"/>
        <v>961.06666666666626</v>
      </c>
      <c r="JH70" s="15"/>
      <c r="JI70" s="26"/>
      <c r="JJ70" s="44">
        <v>5088</v>
      </c>
      <c r="JK70" s="56">
        <f>JE70</f>
        <v>56.533333333333331</v>
      </c>
      <c r="JM70" s="41" t="s">
        <v>98</v>
      </c>
      <c r="JN70" s="127" t="s">
        <v>103</v>
      </c>
      <c r="JO70" s="128"/>
      <c r="JP70" s="128"/>
      <c r="JQ70" s="129"/>
      <c r="JR70" s="49" t="s">
        <v>64</v>
      </c>
      <c r="JS70" s="105">
        <v>1</v>
      </c>
      <c r="JT70" s="106"/>
      <c r="JU70" s="105">
        <f>JZ70/90</f>
        <v>56.533333333333331</v>
      </c>
      <c r="JV70" s="106"/>
      <c r="JW70" s="36">
        <f t="shared" si="18"/>
        <v>1017.5999999999996</v>
      </c>
      <c r="JX70" s="15"/>
      <c r="JY70" s="26"/>
      <c r="JZ70" s="44">
        <v>5088</v>
      </c>
      <c r="KA70" s="56">
        <f>JU70</f>
        <v>56.533333333333331</v>
      </c>
      <c r="KC70" s="41" t="s">
        <v>98</v>
      </c>
      <c r="KD70" s="127" t="s">
        <v>103</v>
      </c>
      <c r="KE70" s="128"/>
      <c r="KF70" s="128"/>
      <c r="KG70" s="129"/>
      <c r="KH70" s="49" t="s">
        <v>64</v>
      </c>
      <c r="KI70" s="105">
        <v>1</v>
      </c>
      <c r="KJ70" s="106"/>
      <c r="KK70" s="105">
        <f>KP70/90</f>
        <v>56.533333333333331</v>
      </c>
      <c r="KL70" s="106"/>
      <c r="KM70" s="36">
        <f t="shared" si="0"/>
        <v>1074.133333333333</v>
      </c>
      <c r="KN70" s="15"/>
      <c r="KO70" s="26"/>
      <c r="KP70" s="44">
        <v>5088</v>
      </c>
      <c r="KQ70" s="56">
        <f>KK70</f>
        <v>56.533333333333331</v>
      </c>
      <c r="KS70" s="41" t="s">
        <v>98</v>
      </c>
      <c r="KT70" s="127" t="s">
        <v>103</v>
      </c>
      <c r="KU70" s="128"/>
      <c r="KV70" s="128"/>
      <c r="KW70" s="129"/>
      <c r="KX70" s="49" t="s">
        <v>64</v>
      </c>
      <c r="KY70" s="105">
        <v>1</v>
      </c>
      <c r="KZ70" s="106"/>
      <c r="LA70" s="105">
        <f>LF70/90</f>
        <v>56.533333333333331</v>
      </c>
      <c r="LB70" s="106"/>
      <c r="LC70" s="36">
        <f t="shared" si="19"/>
        <v>1130.6666666666663</v>
      </c>
      <c r="LD70" s="15"/>
      <c r="LE70" s="26"/>
      <c r="LF70" s="44">
        <v>5088</v>
      </c>
      <c r="LG70" s="56">
        <f>LA70</f>
        <v>56.533333333333331</v>
      </c>
      <c r="LI70" s="41" t="s">
        <v>98</v>
      </c>
      <c r="LJ70" s="127" t="s">
        <v>103</v>
      </c>
      <c r="LK70" s="128"/>
      <c r="LL70" s="128"/>
      <c r="LM70" s="129"/>
      <c r="LN70" s="49" t="s">
        <v>64</v>
      </c>
      <c r="LO70" s="105">
        <v>1</v>
      </c>
      <c r="LP70" s="106"/>
      <c r="LQ70" s="105">
        <f>LV70/90</f>
        <v>56.533333333333331</v>
      </c>
      <c r="LR70" s="106"/>
      <c r="LS70" s="36">
        <f t="shared" si="20"/>
        <v>1187.1999999999996</v>
      </c>
      <c r="LT70" s="15"/>
      <c r="LU70" s="26"/>
      <c r="LV70" s="44">
        <v>5088</v>
      </c>
      <c r="LW70" s="56">
        <f>LQ70</f>
        <v>56.533333333333331</v>
      </c>
      <c r="LY70" s="41" t="s">
        <v>98</v>
      </c>
      <c r="LZ70" s="127" t="s">
        <v>103</v>
      </c>
      <c r="MA70" s="128"/>
      <c r="MB70" s="128"/>
      <c r="MC70" s="129"/>
      <c r="MD70" s="49" t="s">
        <v>64</v>
      </c>
      <c r="ME70" s="105">
        <v>1</v>
      </c>
      <c r="MF70" s="106"/>
      <c r="MG70" s="105">
        <f>ML70/90</f>
        <v>56.533333333333331</v>
      </c>
      <c r="MH70" s="106"/>
      <c r="MI70" s="36">
        <f t="shared" si="21"/>
        <v>1243.7333333333329</v>
      </c>
      <c r="MJ70" s="15"/>
      <c r="MK70" s="26"/>
      <c r="ML70" s="44">
        <v>5088</v>
      </c>
      <c r="MM70" s="56">
        <f>MG70</f>
        <v>56.533333333333331</v>
      </c>
    </row>
    <row r="71" spans="1:351" ht="20.100000000000001" customHeight="1" x14ac:dyDescent="0.3">
      <c r="A71" s="41" t="s">
        <v>99</v>
      </c>
      <c r="B71" s="127" t="s">
        <v>104</v>
      </c>
      <c r="C71" s="128"/>
      <c r="D71" s="128"/>
      <c r="E71" s="129"/>
      <c r="F71" s="49" t="s">
        <v>64</v>
      </c>
      <c r="G71" s="105">
        <v>1</v>
      </c>
      <c r="H71" s="106"/>
      <c r="I71" s="105">
        <f>N71/90</f>
        <v>56.533333333333331</v>
      </c>
      <c r="J71" s="106"/>
      <c r="K71" s="36">
        <f t="shared" si="1"/>
        <v>56.533333333333331</v>
      </c>
      <c r="L71" s="15"/>
      <c r="M71" s="26"/>
      <c r="N71" s="44">
        <v>5088</v>
      </c>
      <c r="O71" s="56">
        <f>I71</f>
        <v>56.533333333333331</v>
      </c>
      <c r="Q71" s="41" t="s">
        <v>99</v>
      </c>
      <c r="R71" s="127" t="s">
        <v>104</v>
      </c>
      <c r="S71" s="128"/>
      <c r="T71" s="128"/>
      <c r="U71" s="129"/>
      <c r="V71" s="49" t="s">
        <v>64</v>
      </c>
      <c r="W71" s="105">
        <v>1</v>
      </c>
      <c r="X71" s="106"/>
      <c r="Y71" s="105">
        <f>AD71/90</f>
        <v>56.533333333333331</v>
      </c>
      <c r="Z71" s="106"/>
      <c r="AA71" s="36">
        <f t="shared" si="2"/>
        <v>113.06666666666666</v>
      </c>
      <c r="AB71" s="15"/>
      <c r="AC71" s="26"/>
      <c r="AD71" s="44">
        <v>5088</v>
      </c>
      <c r="AE71" s="56">
        <f>Y71</f>
        <v>56.533333333333331</v>
      </c>
      <c r="AG71" s="41" t="s">
        <v>99</v>
      </c>
      <c r="AH71" s="127" t="s">
        <v>104</v>
      </c>
      <c r="AI71" s="128"/>
      <c r="AJ71" s="128"/>
      <c r="AK71" s="129"/>
      <c r="AL71" s="49" t="s">
        <v>64</v>
      </c>
      <c r="AM71" s="105">
        <v>1</v>
      </c>
      <c r="AN71" s="106"/>
      <c r="AO71" s="105">
        <f>AT71/90</f>
        <v>56.533333333333331</v>
      </c>
      <c r="AP71" s="106"/>
      <c r="AQ71" s="36">
        <f t="shared" si="3"/>
        <v>169.6</v>
      </c>
      <c r="AR71" s="15"/>
      <c r="AS71" s="26"/>
      <c r="AT71" s="44">
        <v>5088</v>
      </c>
      <c r="AU71" s="56">
        <f>AO71</f>
        <v>56.533333333333331</v>
      </c>
      <c r="AW71" s="41" t="s">
        <v>99</v>
      </c>
      <c r="AX71" s="127" t="s">
        <v>104</v>
      </c>
      <c r="AY71" s="128"/>
      <c r="AZ71" s="128"/>
      <c r="BA71" s="129"/>
      <c r="BB71" s="49" t="s">
        <v>64</v>
      </c>
      <c r="BC71" s="105">
        <v>1</v>
      </c>
      <c r="BD71" s="106"/>
      <c r="BE71" s="105">
        <f>BJ71/90</f>
        <v>56.533333333333331</v>
      </c>
      <c r="BF71" s="106"/>
      <c r="BG71" s="36">
        <f t="shared" si="4"/>
        <v>226.13333333333333</v>
      </c>
      <c r="BH71" s="15"/>
      <c r="BI71" s="26"/>
      <c r="BJ71" s="44">
        <v>5088</v>
      </c>
      <c r="BK71" s="56">
        <f>BE71</f>
        <v>56.533333333333331</v>
      </c>
      <c r="BM71" s="41" t="s">
        <v>99</v>
      </c>
      <c r="BN71" s="127" t="s">
        <v>104</v>
      </c>
      <c r="BO71" s="128"/>
      <c r="BP71" s="128"/>
      <c r="BQ71" s="129"/>
      <c r="BR71" s="49" t="s">
        <v>64</v>
      </c>
      <c r="BS71" s="105">
        <v>1</v>
      </c>
      <c r="BT71" s="106"/>
      <c r="BU71" s="105">
        <f>BZ71/90</f>
        <v>56.533333333333331</v>
      </c>
      <c r="BV71" s="106"/>
      <c r="BW71" s="36">
        <f t="shared" si="5"/>
        <v>282.66666666666663</v>
      </c>
      <c r="BX71" s="15"/>
      <c r="BY71" s="26"/>
      <c r="BZ71" s="44">
        <v>5088</v>
      </c>
      <c r="CA71" s="56">
        <f>BU71</f>
        <v>56.533333333333331</v>
      </c>
      <c r="CC71" s="41" t="s">
        <v>99</v>
      </c>
      <c r="CD71" s="127" t="s">
        <v>104</v>
      </c>
      <c r="CE71" s="128"/>
      <c r="CF71" s="128"/>
      <c r="CG71" s="129"/>
      <c r="CH71" s="49" t="s">
        <v>64</v>
      </c>
      <c r="CI71" s="105">
        <v>1</v>
      </c>
      <c r="CJ71" s="106"/>
      <c r="CK71" s="105">
        <f>CP71/90</f>
        <v>56.533333333333331</v>
      </c>
      <c r="CL71" s="106"/>
      <c r="CM71" s="36">
        <f t="shared" si="6"/>
        <v>339.19999999999993</v>
      </c>
      <c r="CN71" s="15"/>
      <c r="CO71" s="26"/>
      <c r="CP71" s="44">
        <v>5088</v>
      </c>
      <c r="CQ71" s="56">
        <f>CK71</f>
        <v>56.533333333333331</v>
      </c>
      <c r="CS71" s="41" t="s">
        <v>99</v>
      </c>
      <c r="CT71" s="127" t="s">
        <v>104</v>
      </c>
      <c r="CU71" s="128"/>
      <c r="CV71" s="128"/>
      <c r="CW71" s="129"/>
      <c r="CX71" s="49" t="s">
        <v>64</v>
      </c>
      <c r="CY71" s="105">
        <v>1</v>
      </c>
      <c r="CZ71" s="106"/>
      <c r="DA71" s="105">
        <f>DF71/90</f>
        <v>56.533333333333331</v>
      </c>
      <c r="DB71" s="106"/>
      <c r="DC71" s="36">
        <f t="shared" si="7"/>
        <v>395.73333333333323</v>
      </c>
      <c r="DD71" s="15"/>
      <c r="DE71" s="26"/>
      <c r="DF71" s="44">
        <v>5088</v>
      </c>
      <c r="DG71" s="56">
        <f>DA71</f>
        <v>56.533333333333331</v>
      </c>
      <c r="DI71" s="41" t="s">
        <v>99</v>
      </c>
      <c r="DJ71" s="127" t="s">
        <v>104</v>
      </c>
      <c r="DK71" s="128"/>
      <c r="DL71" s="128"/>
      <c r="DM71" s="129"/>
      <c r="DN71" s="49" t="s">
        <v>64</v>
      </c>
      <c r="DO71" s="105">
        <v>1</v>
      </c>
      <c r="DP71" s="106"/>
      <c r="DQ71" s="105">
        <f>DV71/90</f>
        <v>56.533333333333331</v>
      </c>
      <c r="DR71" s="106"/>
      <c r="DS71" s="36">
        <f t="shared" si="8"/>
        <v>452.26666666666654</v>
      </c>
      <c r="DT71" s="15"/>
      <c r="DU71" s="26"/>
      <c r="DV71" s="44">
        <v>5088</v>
      </c>
      <c r="DW71" s="56">
        <f>DQ71</f>
        <v>56.533333333333331</v>
      </c>
      <c r="DY71" s="41" t="s">
        <v>99</v>
      </c>
      <c r="DZ71" s="127" t="s">
        <v>104</v>
      </c>
      <c r="EA71" s="128"/>
      <c r="EB71" s="128"/>
      <c r="EC71" s="129"/>
      <c r="ED71" s="49" t="s">
        <v>64</v>
      </c>
      <c r="EE71" s="105">
        <v>1</v>
      </c>
      <c r="EF71" s="106"/>
      <c r="EG71" s="105">
        <f>EL71/90</f>
        <v>56.533333333333331</v>
      </c>
      <c r="EH71" s="106"/>
      <c r="EI71" s="36">
        <f t="shared" si="9"/>
        <v>508.79999999999984</v>
      </c>
      <c r="EJ71" s="15"/>
      <c r="EK71" s="26"/>
      <c r="EL71" s="44">
        <v>5088</v>
      </c>
      <c r="EM71" s="56">
        <f>EG71</f>
        <v>56.533333333333331</v>
      </c>
      <c r="EO71" s="41" t="s">
        <v>99</v>
      </c>
      <c r="EP71" s="127" t="s">
        <v>104</v>
      </c>
      <c r="EQ71" s="128"/>
      <c r="ER71" s="128"/>
      <c r="ES71" s="129"/>
      <c r="ET71" s="49" t="s">
        <v>64</v>
      </c>
      <c r="EU71" s="105">
        <v>1</v>
      </c>
      <c r="EV71" s="106"/>
      <c r="EW71" s="105">
        <f>FB71/90</f>
        <v>56.533333333333331</v>
      </c>
      <c r="EX71" s="106"/>
      <c r="EY71" s="36">
        <f t="shared" si="10"/>
        <v>565.33333333333314</v>
      </c>
      <c r="EZ71" s="15"/>
      <c r="FA71" s="26"/>
      <c r="FB71" s="44">
        <v>5088</v>
      </c>
      <c r="FC71" s="56">
        <f>EW71</f>
        <v>56.533333333333331</v>
      </c>
      <c r="FE71" s="41" t="s">
        <v>99</v>
      </c>
      <c r="FF71" s="127" t="s">
        <v>104</v>
      </c>
      <c r="FG71" s="128"/>
      <c r="FH71" s="128"/>
      <c r="FI71" s="129"/>
      <c r="FJ71" s="49" t="s">
        <v>64</v>
      </c>
      <c r="FK71" s="105">
        <v>1</v>
      </c>
      <c r="FL71" s="106"/>
      <c r="FM71" s="105">
        <f>FR71/90</f>
        <v>56.533333333333331</v>
      </c>
      <c r="FN71" s="106"/>
      <c r="FO71" s="36">
        <f t="shared" si="11"/>
        <v>621.86666666666645</v>
      </c>
      <c r="FP71" s="15"/>
      <c r="FQ71" s="26"/>
      <c r="FR71" s="44">
        <v>5088</v>
      </c>
      <c r="FS71" s="56">
        <f>FM71</f>
        <v>56.533333333333331</v>
      </c>
      <c r="FU71" s="41" t="s">
        <v>99</v>
      </c>
      <c r="FV71" s="127" t="s">
        <v>104</v>
      </c>
      <c r="FW71" s="128"/>
      <c r="FX71" s="128"/>
      <c r="FY71" s="129"/>
      <c r="FZ71" s="49" t="s">
        <v>64</v>
      </c>
      <c r="GA71" s="105">
        <v>1</v>
      </c>
      <c r="GB71" s="106"/>
      <c r="GC71" s="105">
        <f>GH71/90</f>
        <v>56.533333333333331</v>
      </c>
      <c r="GD71" s="106"/>
      <c r="GE71" s="36">
        <f t="shared" si="12"/>
        <v>678.39999999999975</v>
      </c>
      <c r="GF71" s="15"/>
      <c r="GG71" s="26"/>
      <c r="GH71" s="44">
        <v>5088</v>
      </c>
      <c r="GI71" s="56">
        <f>GC71</f>
        <v>56.533333333333331</v>
      </c>
      <c r="GK71" s="41" t="s">
        <v>99</v>
      </c>
      <c r="GL71" s="127" t="s">
        <v>104</v>
      </c>
      <c r="GM71" s="128"/>
      <c r="GN71" s="128"/>
      <c r="GO71" s="129"/>
      <c r="GP71" s="49" t="s">
        <v>64</v>
      </c>
      <c r="GQ71" s="105">
        <v>1</v>
      </c>
      <c r="GR71" s="106"/>
      <c r="GS71" s="105">
        <f>GX71/90</f>
        <v>56.533333333333331</v>
      </c>
      <c r="GT71" s="106"/>
      <c r="GU71" s="36">
        <f t="shared" si="13"/>
        <v>734.93333333333305</v>
      </c>
      <c r="GV71" s="15"/>
      <c r="GW71" s="26"/>
      <c r="GX71" s="44">
        <v>5088</v>
      </c>
      <c r="GY71" s="56">
        <f>GS71</f>
        <v>56.533333333333331</v>
      </c>
      <c r="HA71" s="41" t="s">
        <v>99</v>
      </c>
      <c r="HB71" s="127" t="s">
        <v>104</v>
      </c>
      <c r="HC71" s="128"/>
      <c r="HD71" s="128"/>
      <c r="HE71" s="129"/>
      <c r="HF71" s="49" t="s">
        <v>64</v>
      </c>
      <c r="HG71" s="105">
        <v>1</v>
      </c>
      <c r="HH71" s="106"/>
      <c r="HI71" s="105">
        <f>HN71/90</f>
        <v>56.533333333333331</v>
      </c>
      <c r="HJ71" s="106"/>
      <c r="HK71" s="36">
        <f t="shared" si="14"/>
        <v>791.46666666666636</v>
      </c>
      <c r="HL71" s="15"/>
      <c r="HM71" s="26"/>
      <c r="HN71" s="44">
        <v>5088</v>
      </c>
      <c r="HO71" s="56">
        <f>HI71</f>
        <v>56.533333333333331</v>
      </c>
      <c r="HQ71" s="41" t="s">
        <v>99</v>
      </c>
      <c r="HR71" s="127" t="s">
        <v>104</v>
      </c>
      <c r="HS71" s="128"/>
      <c r="HT71" s="128"/>
      <c r="HU71" s="129"/>
      <c r="HV71" s="49" t="s">
        <v>64</v>
      </c>
      <c r="HW71" s="105">
        <v>1</v>
      </c>
      <c r="HX71" s="106"/>
      <c r="HY71" s="105">
        <f>ID71/90</f>
        <v>56.533333333333331</v>
      </c>
      <c r="HZ71" s="106"/>
      <c r="IA71" s="36">
        <f t="shared" si="15"/>
        <v>847.99999999999966</v>
      </c>
      <c r="IB71" s="15"/>
      <c r="IC71" s="26"/>
      <c r="ID71" s="44">
        <v>5088</v>
      </c>
      <c r="IE71" s="56">
        <f>HY71</f>
        <v>56.533333333333331</v>
      </c>
      <c r="IG71" s="41" t="s">
        <v>99</v>
      </c>
      <c r="IH71" s="127" t="s">
        <v>104</v>
      </c>
      <c r="II71" s="128"/>
      <c r="IJ71" s="128"/>
      <c r="IK71" s="129"/>
      <c r="IL71" s="49" t="s">
        <v>64</v>
      </c>
      <c r="IM71" s="105">
        <v>1</v>
      </c>
      <c r="IN71" s="106"/>
      <c r="IO71" s="105">
        <f>IT71/90</f>
        <v>56.533333333333331</v>
      </c>
      <c r="IP71" s="106"/>
      <c r="IQ71" s="36">
        <f t="shared" si="16"/>
        <v>904.53333333333296</v>
      </c>
      <c r="IR71" s="15"/>
      <c r="IS71" s="26"/>
      <c r="IT71" s="44">
        <v>5088</v>
      </c>
      <c r="IU71" s="56">
        <f>IO71</f>
        <v>56.533333333333331</v>
      </c>
      <c r="IW71" s="41" t="s">
        <v>99</v>
      </c>
      <c r="IX71" s="127" t="s">
        <v>104</v>
      </c>
      <c r="IY71" s="128"/>
      <c r="IZ71" s="128"/>
      <c r="JA71" s="129"/>
      <c r="JB71" s="49" t="s">
        <v>64</v>
      </c>
      <c r="JC71" s="105">
        <v>1</v>
      </c>
      <c r="JD71" s="106"/>
      <c r="JE71" s="105">
        <f>JJ71/90</f>
        <v>56.533333333333331</v>
      </c>
      <c r="JF71" s="106"/>
      <c r="JG71" s="36">
        <f t="shared" si="17"/>
        <v>961.06666666666626</v>
      </c>
      <c r="JH71" s="15"/>
      <c r="JI71" s="26"/>
      <c r="JJ71" s="44">
        <v>5088</v>
      </c>
      <c r="JK71" s="56">
        <f>JE71</f>
        <v>56.533333333333331</v>
      </c>
      <c r="JM71" s="41" t="s">
        <v>99</v>
      </c>
      <c r="JN71" s="127" t="s">
        <v>104</v>
      </c>
      <c r="JO71" s="128"/>
      <c r="JP71" s="128"/>
      <c r="JQ71" s="129"/>
      <c r="JR71" s="49" t="s">
        <v>64</v>
      </c>
      <c r="JS71" s="105">
        <v>1</v>
      </c>
      <c r="JT71" s="106"/>
      <c r="JU71" s="105">
        <f>JZ71/90</f>
        <v>56.533333333333331</v>
      </c>
      <c r="JV71" s="106"/>
      <c r="JW71" s="36">
        <f t="shared" si="18"/>
        <v>1017.5999999999996</v>
      </c>
      <c r="JX71" s="15"/>
      <c r="JY71" s="26"/>
      <c r="JZ71" s="44">
        <v>5088</v>
      </c>
      <c r="KA71" s="56">
        <f>JU71</f>
        <v>56.533333333333331</v>
      </c>
      <c r="KC71" s="41" t="s">
        <v>99</v>
      </c>
      <c r="KD71" s="127" t="s">
        <v>104</v>
      </c>
      <c r="KE71" s="128"/>
      <c r="KF71" s="128"/>
      <c r="KG71" s="129"/>
      <c r="KH71" s="49" t="s">
        <v>64</v>
      </c>
      <c r="KI71" s="105">
        <v>1</v>
      </c>
      <c r="KJ71" s="106"/>
      <c r="KK71" s="105">
        <f>KP71/90</f>
        <v>56.533333333333331</v>
      </c>
      <c r="KL71" s="106"/>
      <c r="KM71" s="36">
        <f t="shared" si="0"/>
        <v>1074.133333333333</v>
      </c>
      <c r="KN71" s="15"/>
      <c r="KO71" s="26"/>
      <c r="KP71" s="44">
        <v>5088</v>
      </c>
      <c r="KQ71" s="56">
        <f>KK71</f>
        <v>56.533333333333331</v>
      </c>
      <c r="KS71" s="41" t="s">
        <v>99</v>
      </c>
      <c r="KT71" s="127" t="s">
        <v>104</v>
      </c>
      <c r="KU71" s="128"/>
      <c r="KV71" s="128"/>
      <c r="KW71" s="129"/>
      <c r="KX71" s="49" t="s">
        <v>64</v>
      </c>
      <c r="KY71" s="105">
        <v>1</v>
      </c>
      <c r="KZ71" s="106"/>
      <c r="LA71" s="105">
        <f>LF71/90</f>
        <v>56.533333333333331</v>
      </c>
      <c r="LB71" s="106"/>
      <c r="LC71" s="36">
        <f t="shared" si="19"/>
        <v>1130.6666666666663</v>
      </c>
      <c r="LD71" s="15"/>
      <c r="LE71" s="26"/>
      <c r="LF71" s="44">
        <v>5088</v>
      </c>
      <c r="LG71" s="56">
        <f>LA71</f>
        <v>56.533333333333331</v>
      </c>
      <c r="LI71" s="41" t="s">
        <v>99</v>
      </c>
      <c r="LJ71" s="127" t="s">
        <v>104</v>
      </c>
      <c r="LK71" s="128"/>
      <c r="LL71" s="128"/>
      <c r="LM71" s="129"/>
      <c r="LN71" s="49" t="s">
        <v>64</v>
      </c>
      <c r="LO71" s="105">
        <v>1</v>
      </c>
      <c r="LP71" s="106"/>
      <c r="LQ71" s="105">
        <f>LV71/90</f>
        <v>56.533333333333331</v>
      </c>
      <c r="LR71" s="106"/>
      <c r="LS71" s="36">
        <f t="shared" si="20"/>
        <v>1187.1999999999996</v>
      </c>
      <c r="LT71" s="15"/>
      <c r="LU71" s="26"/>
      <c r="LV71" s="44">
        <v>5088</v>
      </c>
      <c r="LW71" s="56">
        <f>LQ71</f>
        <v>56.533333333333331</v>
      </c>
      <c r="LY71" s="41" t="s">
        <v>99</v>
      </c>
      <c r="LZ71" s="127" t="s">
        <v>104</v>
      </c>
      <c r="MA71" s="128"/>
      <c r="MB71" s="128"/>
      <c r="MC71" s="129"/>
      <c r="MD71" s="49" t="s">
        <v>64</v>
      </c>
      <c r="ME71" s="105">
        <v>1</v>
      </c>
      <c r="MF71" s="106"/>
      <c r="MG71" s="105">
        <f>ML71/90</f>
        <v>56.533333333333331</v>
      </c>
      <c r="MH71" s="106"/>
      <c r="MI71" s="36">
        <f t="shared" si="21"/>
        <v>1243.7333333333329</v>
      </c>
      <c r="MJ71" s="15"/>
      <c r="MK71" s="26"/>
      <c r="ML71" s="44">
        <v>5088</v>
      </c>
      <c r="MM71" s="56">
        <f>MG71</f>
        <v>56.533333333333331</v>
      </c>
    </row>
    <row r="72" spans="1:351" ht="20.100000000000001" customHeight="1" x14ac:dyDescent="0.3">
      <c r="A72" s="41" t="s">
        <v>100</v>
      </c>
      <c r="B72" s="119" t="s">
        <v>105</v>
      </c>
      <c r="C72" s="120"/>
      <c r="D72" s="120"/>
      <c r="E72" s="121"/>
      <c r="F72" s="49" t="s">
        <v>64</v>
      </c>
      <c r="G72" s="105">
        <v>1</v>
      </c>
      <c r="H72" s="106"/>
      <c r="I72" s="105">
        <f>N72/90</f>
        <v>400.34920634920638</v>
      </c>
      <c r="J72" s="106"/>
      <c r="K72" s="36">
        <f t="shared" si="1"/>
        <v>400.34920634920638</v>
      </c>
      <c r="L72" s="15"/>
      <c r="M72" s="26"/>
      <c r="N72" s="44">
        <v>36031.428571428572</v>
      </c>
      <c r="O72" s="56">
        <f>I72</f>
        <v>400.34920634920638</v>
      </c>
      <c r="Q72" s="41" t="s">
        <v>100</v>
      </c>
      <c r="R72" s="119" t="s">
        <v>105</v>
      </c>
      <c r="S72" s="120"/>
      <c r="T72" s="120"/>
      <c r="U72" s="121"/>
      <c r="V72" s="49" t="s">
        <v>64</v>
      </c>
      <c r="W72" s="105">
        <v>1</v>
      </c>
      <c r="X72" s="106"/>
      <c r="Y72" s="105">
        <f>AD72/90</f>
        <v>400.34920634920638</v>
      </c>
      <c r="Z72" s="106"/>
      <c r="AA72" s="36">
        <f t="shared" si="2"/>
        <v>800.69841269841277</v>
      </c>
      <c r="AB72" s="15"/>
      <c r="AC72" s="26"/>
      <c r="AD72" s="44">
        <v>36031.428571428572</v>
      </c>
      <c r="AE72" s="56">
        <f>Y72</f>
        <v>400.34920634920638</v>
      </c>
      <c r="AG72" s="41" t="s">
        <v>100</v>
      </c>
      <c r="AH72" s="119" t="s">
        <v>105</v>
      </c>
      <c r="AI72" s="120"/>
      <c r="AJ72" s="120"/>
      <c r="AK72" s="121"/>
      <c r="AL72" s="49" t="s">
        <v>64</v>
      </c>
      <c r="AM72" s="105">
        <v>1</v>
      </c>
      <c r="AN72" s="106"/>
      <c r="AO72" s="105">
        <f>AT72/90</f>
        <v>400.34920634920638</v>
      </c>
      <c r="AP72" s="106"/>
      <c r="AQ72" s="36">
        <f t="shared" si="3"/>
        <v>1201.0476190476193</v>
      </c>
      <c r="AR72" s="15"/>
      <c r="AS72" s="26"/>
      <c r="AT72" s="44">
        <v>36031.428571428572</v>
      </c>
      <c r="AU72" s="56">
        <f>AO72</f>
        <v>400.34920634920638</v>
      </c>
      <c r="AW72" s="41" t="s">
        <v>100</v>
      </c>
      <c r="AX72" s="119" t="s">
        <v>105</v>
      </c>
      <c r="AY72" s="120"/>
      <c r="AZ72" s="120"/>
      <c r="BA72" s="121"/>
      <c r="BB72" s="49" t="s">
        <v>64</v>
      </c>
      <c r="BC72" s="105">
        <v>1</v>
      </c>
      <c r="BD72" s="106"/>
      <c r="BE72" s="105">
        <f>BJ72/90</f>
        <v>400.34920634920638</v>
      </c>
      <c r="BF72" s="106"/>
      <c r="BG72" s="36">
        <f t="shared" si="4"/>
        <v>1601.3968253968255</v>
      </c>
      <c r="BH72" s="15"/>
      <c r="BI72" s="26"/>
      <c r="BJ72" s="44">
        <v>36031.428571428572</v>
      </c>
      <c r="BK72" s="56">
        <f>BE72</f>
        <v>400.34920634920638</v>
      </c>
      <c r="BM72" s="41" t="s">
        <v>100</v>
      </c>
      <c r="BN72" s="119" t="s">
        <v>105</v>
      </c>
      <c r="BO72" s="120"/>
      <c r="BP72" s="120"/>
      <c r="BQ72" s="121"/>
      <c r="BR72" s="49" t="s">
        <v>64</v>
      </c>
      <c r="BS72" s="105">
        <v>1</v>
      </c>
      <c r="BT72" s="106"/>
      <c r="BU72" s="105">
        <f>BZ72/90</f>
        <v>400.34920634920638</v>
      </c>
      <c r="BV72" s="106"/>
      <c r="BW72" s="36">
        <f t="shared" si="5"/>
        <v>2001.7460317460318</v>
      </c>
      <c r="BX72" s="15"/>
      <c r="BY72" s="26"/>
      <c r="BZ72" s="44">
        <v>36031.428571428572</v>
      </c>
      <c r="CA72" s="56">
        <f>BU72</f>
        <v>400.34920634920638</v>
      </c>
      <c r="CC72" s="41" t="s">
        <v>100</v>
      </c>
      <c r="CD72" s="119" t="s">
        <v>105</v>
      </c>
      <c r="CE72" s="120"/>
      <c r="CF72" s="120"/>
      <c r="CG72" s="121"/>
      <c r="CH72" s="49" t="s">
        <v>64</v>
      </c>
      <c r="CI72" s="105">
        <v>1</v>
      </c>
      <c r="CJ72" s="106"/>
      <c r="CK72" s="105">
        <f>CP72/90</f>
        <v>400.34920634920638</v>
      </c>
      <c r="CL72" s="106"/>
      <c r="CM72" s="36">
        <f t="shared" si="6"/>
        <v>2402.0952380952381</v>
      </c>
      <c r="CN72" s="15"/>
      <c r="CO72" s="26"/>
      <c r="CP72" s="44">
        <v>36031.428571428572</v>
      </c>
      <c r="CQ72" s="56">
        <f>CK72</f>
        <v>400.34920634920638</v>
      </c>
      <c r="CS72" s="41" t="s">
        <v>100</v>
      </c>
      <c r="CT72" s="119" t="s">
        <v>105</v>
      </c>
      <c r="CU72" s="120"/>
      <c r="CV72" s="120"/>
      <c r="CW72" s="121"/>
      <c r="CX72" s="49" t="s">
        <v>64</v>
      </c>
      <c r="CY72" s="105">
        <v>1</v>
      </c>
      <c r="CZ72" s="106"/>
      <c r="DA72" s="105">
        <f>DF72/90</f>
        <v>400.34920634920638</v>
      </c>
      <c r="DB72" s="106"/>
      <c r="DC72" s="36">
        <f t="shared" si="7"/>
        <v>2802.4444444444443</v>
      </c>
      <c r="DD72" s="15"/>
      <c r="DE72" s="26"/>
      <c r="DF72" s="44">
        <v>36031.428571428572</v>
      </c>
      <c r="DG72" s="56">
        <f>DA72</f>
        <v>400.34920634920638</v>
      </c>
      <c r="DI72" s="41" t="s">
        <v>100</v>
      </c>
      <c r="DJ72" s="119" t="s">
        <v>105</v>
      </c>
      <c r="DK72" s="120"/>
      <c r="DL72" s="120"/>
      <c r="DM72" s="121"/>
      <c r="DN72" s="49" t="s">
        <v>64</v>
      </c>
      <c r="DO72" s="105">
        <v>1</v>
      </c>
      <c r="DP72" s="106"/>
      <c r="DQ72" s="105">
        <f>DV72/90</f>
        <v>400.34920634920638</v>
      </c>
      <c r="DR72" s="106"/>
      <c r="DS72" s="36">
        <f t="shared" si="8"/>
        <v>3202.7936507936506</v>
      </c>
      <c r="DT72" s="15"/>
      <c r="DU72" s="26"/>
      <c r="DV72" s="44">
        <v>36031.428571428572</v>
      </c>
      <c r="DW72" s="56">
        <f>DQ72</f>
        <v>400.34920634920638</v>
      </c>
      <c r="DY72" s="41" t="s">
        <v>100</v>
      </c>
      <c r="DZ72" s="119" t="s">
        <v>105</v>
      </c>
      <c r="EA72" s="120"/>
      <c r="EB72" s="120"/>
      <c r="EC72" s="121"/>
      <c r="ED72" s="49" t="s">
        <v>64</v>
      </c>
      <c r="EE72" s="105">
        <v>1</v>
      </c>
      <c r="EF72" s="106"/>
      <c r="EG72" s="105">
        <f>EL72/90</f>
        <v>400.34920634920638</v>
      </c>
      <c r="EH72" s="106"/>
      <c r="EI72" s="36">
        <f t="shared" si="9"/>
        <v>3603.1428571428569</v>
      </c>
      <c r="EJ72" s="15"/>
      <c r="EK72" s="26"/>
      <c r="EL72" s="44">
        <v>36031.428571428572</v>
      </c>
      <c r="EM72" s="56">
        <f>EG72</f>
        <v>400.34920634920638</v>
      </c>
      <c r="EO72" s="41" t="s">
        <v>100</v>
      </c>
      <c r="EP72" s="119" t="s">
        <v>105</v>
      </c>
      <c r="EQ72" s="120"/>
      <c r="ER72" s="120"/>
      <c r="ES72" s="121"/>
      <c r="ET72" s="49" t="s">
        <v>64</v>
      </c>
      <c r="EU72" s="105">
        <v>1</v>
      </c>
      <c r="EV72" s="106"/>
      <c r="EW72" s="105">
        <f>FB72/90</f>
        <v>400.34920634920638</v>
      </c>
      <c r="EX72" s="106"/>
      <c r="EY72" s="36">
        <f t="shared" si="10"/>
        <v>4003.4920634920632</v>
      </c>
      <c r="EZ72" s="15"/>
      <c r="FA72" s="26"/>
      <c r="FB72" s="44">
        <v>36031.428571428572</v>
      </c>
      <c r="FC72" s="56">
        <f>EW72</f>
        <v>400.34920634920638</v>
      </c>
      <c r="FE72" s="41" t="s">
        <v>100</v>
      </c>
      <c r="FF72" s="119" t="s">
        <v>105</v>
      </c>
      <c r="FG72" s="120"/>
      <c r="FH72" s="120"/>
      <c r="FI72" s="121"/>
      <c r="FJ72" s="49" t="s">
        <v>64</v>
      </c>
      <c r="FK72" s="105">
        <v>1</v>
      </c>
      <c r="FL72" s="106"/>
      <c r="FM72" s="105">
        <f>FR72/90</f>
        <v>400.34920634920638</v>
      </c>
      <c r="FN72" s="106"/>
      <c r="FO72" s="36">
        <f t="shared" si="11"/>
        <v>4403.8412698412694</v>
      </c>
      <c r="FP72" s="15"/>
      <c r="FQ72" s="26"/>
      <c r="FR72" s="44">
        <v>36031.428571428572</v>
      </c>
      <c r="FS72" s="56">
        <f>FM72</f>
        <v>400.34920634920638</v>
      </c>
      <c r="FU72" s="41" t="s">
        <v>100</v>
      </c>
      <c r="FV72" s="119" t="s">
        <v>105</v>
      </c>
      <c r="FW72" s="120"/>
      <c r="FX72" s="120"/>
      <c r="FY72" s="121"/>
      <c r="FZ72" s="49" t="s">
        <v>64</v>
      </c>
      <c r="GA72" s="105">
        <v>1</v>
      </c>
      <c r="GB72" s="106"/>
      <c r="GC72" s="105">
        <f>GH72/90</f>
        <v>400.34920634920638</v>
      </c>
      <c r="GD72" s="106"/>
      <c r="GE72" s="36">
        <f t="shared" si="12"/>
        <v>4804.1904761904761</v>
      </c>
      <c r="GF72" s="15"/>
      <c r="GG72" s="26"/>
      <c r="GH72" s="44">
        <v>36031.428571428572</v>
      </c>
      <c r="GI72" s="56">
        <f>GC72</f>
        <v>400.34920634920638</v>
      </c>
      <c r="GK72" s="41" t="s">
        <v>100</v>
      </c>
      <c r="GL72" s="119" t="s">
        <v>105</v>
      </c>
      <c r="GM72" s="120"/>
      <c r="GN72" s="120"/>
      <c r="GO72" s="121"/>
      <c r="GP72" s="49" t="s">
        <v>64</v>
      </c>
      <c r="GQ72" s="105">
        <v>1</v>
      </c>
      <c r="GR72" s="106"/>
      <c r="GS72" s="105">
        <f>GX72/90</f>
        <v>400.34920634920638</v>
      </c>
      <c r="GT72" s="106"/>
      <c r="GU72" s="36">
        <f t="shared" si="13"/>
        <v>5204.5396825396829</v>
      </c>
      <c r="GV72" s="15"/>
      <c r="GW72" s="26"/>
      <c r="GX72" s="44">
        <v>36031.428571428572</v>
      </c>
      <c r="GY72" s="56">
        <f>GS72</f>
        <v>400.34920634920638</v>
      </c>
      <c r="HA72" s="41" t="s">
        <v>100</v>
      </c>
      <c r="HB72" s="119" t="s">
        <v>105</v>
      </c>
      <c r="HC72" s="120"/>
      <c r="HD72" s="120"/>
      <c r="HE72" s="121"/>
      <c r="HF72" s="49" t="s">
        <v>64</v>
      </c>
      <c r="HG72" s="105">
        <v>1</v>
      </c>
      <c r="HH72" s="106"/>
      <c r="HI72" s="105">
        <f>HN72/90</f>
        <v>400.34920634920638</v>
      </c>
      <c r="HJ72" s="106"/>
      <c r="HK72" s="36">
        <f t="shared" si="14"/>
        <v>5604.8888888888896</v>
      </c>
      <c r="HL72" s="15"/>
      <c r="HM72" s="26"/>
      <c r="HN72" s="44">
        <v>36031.428571428572</v>
      </c>
      <c r="HO72" s="56">
        <f>HI72</f>
        <v>400.34920634920638</v>
      </c>
      <c r="HQ72" s="41" t="s">
        <v>100</v>
      </c>
      <c r="HR72" s="119" t="s">
        <v>105</v>
      </c>
      <c r="HS72" s="120"/>
      <c r="HT72" s="120"/>
      <c r="HU72" s="121"/>
      <c r="HV72" s="49" t="s">
        <v>64</v>
      </c>
      <c r="HW72" s="105">
        <v>1</v>
      </c>
      <c r="HX72" s="106"/>
      <c r="HY72" s="105">
        <f>ID72/90</f>
        <v>400.34920634920638</v>
      </c>
      <c r="HZ72" s="106"/>
      <c r="IA72" s="36">
        <f t="shared" si="15"/>
        <v>6005.2380952380963</v>
      </c>
      <c r="IB72" s="15"/>
      <c r="IC72" s="26"/>
      <c r="ID72" s="44">
        <v>36031.428571428572</v>
      </c>
      <c r="IE72" s="56">
        <f>HY72</f>
        <v>400.34920634920638</v>
      </c>
      <c r="IG72" s="41" t="s">
        <v>100</v>
      </c>
      <c r="IH72" s="119" t="s">
        <v>105</v>
      </c>
      <c r="II72" s="120"/>
      <c r="IJ72" s="120"/>
      <c r="IK72" s="121"/>
      <c r="IL72" s="49" t="s">
        <v>64</v>
      </c>
      <c r="IM72" s="105">
        <v>1</v>
      </c>
      <c r="IN72" s="106"/>
      <c r="IO72" s="105">
        <f>IT72/90</f>
        <v>400.34920634920638</v>
      </c>
      <c r="IP72" s="106"/>
      <c r="IQ72" s="36">
        <f t="shared" si="16"/>
        <v>6405.587301587303</v>
      </c>
      <c r="IR72" s="15"/>
      <c r="IS72" s="26"/>
      <c r="IT72" s="44">
        <v>36031.428571428572</v>
      </c>
      <c r="IU72" s="56">
        <f>IO72</f>
        <v>400.34920634920638</v>
      </c>
      <c r="IW72" s="41" t="s">
        <v>100</v>
      </c>
      <c r="IX72" s="119" t="s">
        <v>105</v>
      </c>
      <c r="IY72" s="120"/>
      <c r="IZ72" s="120"/>
      <c r="JA72" s="121"/>
      <c r="JB72" s="49" t="s">
        <v>64</v>
      </c>
      <c r="JC72" s="105">
        <v>1</v>
      </c>
      <c r="JD72" s="106"/>
      <c r="JE72" s="105">
        <f>JJ72/90</f>
        <v>400.34920634920638</v>
      </c>
      <c r="JF72" s="106"/>
      <c r="JG72" s="36">
        <f t="shared" si="17"/>
        <v>6805.9365079365098</v>
      </c>
      <c r="JH72" s="15"/>
      <c r="JI72" s="26"/>
      <c r="JJ72" s="44">
        <v>36031.428571428572</v>
      </c>
      <c r="JK72" s="56">
        <f>JE72</f>
        <v>400.34920634920638</v>
      </c>
      <c r="JM72" s="41" t="s">
        <v>100</v>
      </c>
      <c r="JN72" s="119" t="s">
        <v>105</v>
      </c>
      <c r="JO72" s="120"/>
      <c r="JP72" s="120"/>
      <c r="JQ72" s="121"/>
      <c r="JR72" s="49" t="s">
        <v>64</v>
      </c>
      <c r="JS72" s="105">
        <v>1</v>
      </c>
      <c r="JT72" s="106"/>
      <c r="JU72" s="105">
        <f>JZ72/90</f>
        <v>400.34920634920638</v>
      </c>
      <c r="JV72" s="106"/>
      <c r="JW72" s="36">
        <f t="shared" si="18"/>
        <v>7206.2857142857165</v>
      </c>
      <c r="JX72" s="15"/>
      <c r="JY72" s="26"/>
      <c r="JZ72" s="44">
        <v>36031.428571428572</v>
      </c>
      <c r="KA72" s="56">
        <f>JU72</f>
        <v>400.34920634920638</v>
      </c>
      <c r="KC72" s="41" t="s">
        <v>100</v>
      </c>
      <c r="KD72" s="119" t="s">
        <v>105</v>
      </c>
      <c r="KE72" s="120"/>
      <c r="KF72" s="120"/>
      <c r="KG72" s="121"/>
      <c r="KH72" s="49" t="s">
        <v>64</v>
      </c>
      <c r="KI72" s="105">
        <v>1</v>
      </c>
      <c r="KJ72" s="106"/>
      <c r="KK72" s="105">
        <f>KP72/90</f>
        <v>400.34920634920638</v>
      </c>
      <c r="KL72" s="106"/>
      <c r="KM72" s="36">
        <f t="shared" si="0"/>
        <v>7606.6349206349232</v>
      </c>
      <c r="KN72" s="15"/>
      <c r="KO72" s="26"/>
      <c r="KP72" s="44">
        <v>36031.428571428572</v>
      </c>
      <c r="KQ72" s="56">
        <f>KK72</f>
        <v>400.34920634920638</v>
      </c>
      <c r="KS72" s="41" t="s">
        <v>100</v>
      </c>
      <c r="KT72" s="119" t="s">
        <v>105</v>
      </c>
      <c r="KU72" s="120"/>
      <c r="KV72" s="120"/>
      <c r="KW72" s="121"/>
      <c r="KX72" s="49" t="s">
        <v>64</v>
      </c>
      <c r="KY72" s="105">
        <v>1</v>
      </c>
      <c r="KZ72" s="106"/>
      <c r="LA72" s="105">
        <f>LF72/90</f>
        <v>400.34920634920638</v>
      </c>
      <c r="LB72" s="106"/>
      <c r="LC72" s="36">
        <f t="shared" si="19"/>
        <v>8006.9841269841299</v>
      </c>
      <c r="LD72" s="15"/>
      <c r="LE72" s="26"/>
      <c r="LF72" s="44">
        <v>36031.428571428572</v>
      </c>
      <c r="LG72" s="56">
        <f>LA72</f>
        <v>400.34920634920638</v>
      </c>
      <c r="LI72" s="41" t="s">
        <v>100</v>
      </c>
      <c r="LJ72" s="119" t="s">
        <v>105</v>
      </c>
      <c r="LK72" s="120"/>
      <c r="LL72" s="120"/>
      <c r="LM72" s="121"/>
      <c r="LN72" s="49" t="s">
        <v>64</v>
      </c>
      <c r="LO72" s="105">
        <v>1</v>
      </c>
      <c r="LP72" s="106"/>
      <c r="LQ72" s="105">
        <f>LV72/90</f>
        <v>400.34920634920638</v>
      </c>
      <c r="LR72" s="106"/>
      <c r="LS72" s="36">
        <f t="shared" si="20"/>
        <v>8407.3333333333358</v>
      </c>
      <c r="LT72" s="15"/>
      <c r="LU72" s="26"/>
      <c r="LV72" s="44">
        <v>36031.428571428572</v>
      </c>
      <c r="LW72" s="56">
        <f>LQ72</f>
        <v>400.34920634920638</v>
      </c>
      <c r="LY72" s="41" t="s">
        <v>100</v>
      </c>
      <c r="LZ72" s="119" t="s">
        <v>105</v>
      </c>
      <c r="MA72" s="120"/>
      <c r="MB72" s="120"/>
      <c r="MC72" s="121"/>
      <c r="MD72" s="49" t="s">
        <v>64</v>
      </c>
      <c r="ME72" s="105">
        <v>1</v>
      </c>
      <c r="MF72" s="106"/>
      <c r="MG72" s="105">
        <f>ML72/90</f>
        <v>400.34920634920638</v>
      </c>
      <c r="MH72" s="106"/>
      <c r="MI72" s="36">
        <f t="shared" si="21"/>
        <v>8807.6825396825425</v>
      </c>
      <c r="MJ72" s="15"/>
      <c r="MK72" s="26"/>
      <c r="ML72" s="44">
        <v>36031.428571428572</v>
      </c>
      <c r="MM72" s="56">
        <f>MG72</f>
        <v>400.34920634920638</v>
      </c>
    </row>
    <row r="73" spans="1:351" ht="20.100000000000001" customHeight="1" x14ac:dyDescent="0.3">
      <c r="A73" s="41" t="s">
        <v>101</v>
      </c>
      <c r="B73" s="119" t="s">
        <v>106</v>
      </c>
      <c r="C73" s="120"/>
      <c r="D73" s="120"/>
      <c r="E73" s="121"/>
      <c r="F73" s="49" t="s">
        <v>64</v>
      </c>
      <c r="G73" s="105">
        <v>1</v>
      </c>
      <c r="H73" s="106"/>
      <c r="I73" s="105">
        <f>N73/90</f>
        <v>56.533333333333331</v>
      </c>
      <c r="J73" s="106"/>
      <c r="K73" s="36">
        <f t="shared" si="1"/>
        <v>56.533333333333331</v>
      </c>
      <c r="L73" s="15"/>
      <c r="M73" s="26"/>
      <c r="N73" s="44">
        <v>5088</v>
      </c>
      <c r="O73" s="56">
        <f>I73</f>
        <v>56.533333333333331</v>
      </c>
      <c r="Q73" s="41" t="s">
        <v>101</v>
      </c>
      <c r="R73" s="119" t="s">
        <v>106</v>
      </c>
      <c r="S73" s="120"/>
      <c r="T73" s="120"/>
      <c r="U73" s="121"/>
      <c r="V73" s="49" t="s">
        <v>64</v>
      </c>
      <c r="W73" s="105">
        <v>1</v>
      </c>
      <c r="X73" s="106"/>
      <c r="Y73" s="105">
        <f>AD73/90</f>
        <v>56.533333333333331</v>
      </c>
      <c r="Z73" s="106"/>
      <c r="AA73" s="36">
        <f t="shared" si="2"/>
        <v>113.06666666666666</v>
      </c>
      <c r="AB73" s="15"/>
      <c r="AC73" s="26"/>
      <c r="AD73" s="44">
        <v>5088</v>
      </c>
      <c r="AE73" s="56">
        <f>Y73</f>
        <v>56.533333333333331</v>
      </c>
      <c r="AG73" s="41" t="s">
        <v>101</v>
      </c>
      <c r="AH73" s="119" t="s">
        <v>106</v>
      </c>
      <c r="AI73" s="120"/>
      <c r="AJ73" s="120"/>
      <c r="AK73" s="121"/>
      <c r="AL73" s="49" t="s">
        <v>64</v>
      </c>
      <c r="AM73" s="105">
        <v>1</v>
      </c>
      <c r="AN73" s="106"/>
      <c r="AO73" s="105">
        <f>AT73/90</f>
        <v>56.533333333333331</v>
      </c>
      <c r="AP73" s="106"/>
      <c r="AQ73" s="36">
        <f t="shared" si="3"/>
        <v>169.6</v>
      </c>
      <c r="AR73" s="15"/>
      <c r="AS73" s="26"/>
      <c r="AT73" s="44">
        <v>5088</v>
      </c>
      <c r="AU73" s="56">
        <f>AO73</f>
        <v>56.533333333333331</v>
      </c>
      <c r="AW73" s="41" t="s">
        <v>101</v>
      </c>
      <c r="AX73" s="119" t="s">
        <v>106</v>
      </c>
      <c r="AY73" s="120"/>
      <c r="AZ73" s="120"/>
      <c r="BA73" s="121"/>
      <c r="BB73" s="49" t="s">
        <v>64</v>
      </c>
      <c r="BC73" s="105">
        <v>1</v>
      </c>
      <c r="BD73" s="106"/>
      <c r="BE73" s="105">
        <f>BJ73/90</f>
        <v>56.533333333333331</v>
      </c>
      <c r="BF73" s="106"/>
      <c r="BG73" s="36">
        <f t="shared" si="4"/>
        <v>226.13333333333333</v>
      </c>
      <c r="BH73" s="15"/>
      <c r="BI73" s="26"/>
      <c r="BJ73" s="44">
        <v>5088</v>
      </c>
      <c r="BK73" s="56">
        <f>BE73</f>
        <v>56.533333333333331</v>
      </c>
      <c r="BM73" s="41" t="s">
        <v>101</v>
      </c>
      <c r="BN73" s="119" t="s">
        <v>106</v>
      </c>
      <c r="BO73" s="120"/>
      <c r="BP73" s="120"/>
      <c r="BQ73" s="121"/>
      <c r="BR73" s="49" t="s">
        <v>64</v>
      </c>
      <c r="BS73" s="105">
        <v>1</v>
      </c>
      <c r="BT73" s="106"/>
      <c r="BU73" s="105">
        <f>BZ73/90</f>
        <v>56.533333333333331</v>
      </c>
      <c r="BV73" s="106"/>
      <c r="BW73" s="36">
        <f t="shared" si="5"/>
        <v>282.66666666666663</v>
      </c>
      <c r="BX73" s="15"/>
      <c r="BY73" s="26"/>
      <c r="BZ73" s="44">
        <v>5088</v>
      </c>
      <c r="CA73" s="56">
        <f>BU73</f>
        <v>56.533333333333331</v>
      </c>
      <c r="CC73" s="41" t="s">
        <v>101</v>
      </c>
      <c r="CD73" s="119" t="s">
        <v>106</v>
      </c>
      <c r="CE73" s="120"/>
      <c r="CF73" s="120"/>
      <c r="CG73" s="121"/>
      <c r="CH73" s="49" t="s">
        <v>64</v>
      </c>
      <c r="CI73" s="105">
        <v>1</v>
      </c>
      <c r="CJ73" s="106"/>
      <c r="CK73" s="105">
        <f>CP73/90</f>
        <v>56.533333333333331</v>
      </c>
      <c r="CL73" s="106"/>
      <c r="CM73" s="36">
        <f t="shared" si="6"/>
        <v>339.19999999999993</v>
      </c>
      <c r="CN73" s="15"/>
      <c r="CO73" s="26"/>
      <c r="CP73" s="44">
        <v>5088</v>
      </c>
      <c r="CQ73" s="56">
        <f>CK73</f>
        <v>56.533333333333331</v>
      </c>
      <c r="CS73" s="41" t="s">
        <v>101</v>
      </c>
      <c r="CT73" s="119" t="s">
        <v>106</v>
      </c>
      <c r="CU73" s="120"/>
      <c r="CV73" s="120"/>
      <c r="CW73" s="121"/>
      <c r="CX73" s="49" t="s">
        <v>64</v>
      </c>
      <c r="CY73" s="105">
        <v>1</v>
      </c>
      <c r="CZ73" s="106"/>
      <c r="DA73" s="105">
        <f>DF73/90</f>
        <v>56.533333333333331</v>
      </c>
      <c r="DB73" s="106"/>
      <c r="DC73" s="36">
        <f t="shared" si="7"/>
        <v>395.73333333333323</v>
      </c>
      <c r="DD73" s="15"/>
      <c r="DE73" s="26"/>
      <c r="DF73" s="44">
        <v>5088</v>
      </c>
      <c r="DG73" s="56">
        <f>DA73</f>
        <v>56.533333333333331</v>
      </c>
      <c r="DI73" s="41" t="s">
        <v>101</v>
      </c>
      <c r="DJ73" s="119" t="s">
        <v>106</v>
      </c>
      <c r="DK73" s="120"/>
      <c r="DL73" s="120"/>
      <c r="DM73" s="121"/>
      <c r="DN73" s="49" t="s">
        <v>64</v>
      </c>
      <c r="DO73" s="105">
        <v>1</v>
      </c>
      <c r="DP73" s="106"/>
      <c r="DQ73" s="105">
        <f>DV73/90</f>
        <v>56.533333333333331</v>
      </c>
      <c r="DR73" s="106"/>
      <c r="DS73" s="36">
        <f t="shared" si="8"/>
        <v>452.26666666666654</v>
      </c>
      <c r="DT73" s="15"/>
      <c r="DU73" s="26"/>
      <c r="DV73" s="44">
        <v>5088</v>
      </c>
      <c r="DW73" s="56">
        <f>DQ73</f>
        <v>56.533333333333331</v>
      </c>
      <c r="DY73" s="41" t="s">
        <v>101</v>
      </c>
      <c r="DZ73" s="119" t="s">
        <v>106</v>
      </c>
      <c r="EA73" s="120"/>
      <c r="EB73" s="120"/>
      <c r="EC73" s="121"/>
      <c r="ED73" s="49" t="s">
        <v>64</v>
      </c>
      <c r="EE73" s="105">
        <v>1</v>
      </c>
      <c r="EF73" s="106"/>
      <c r="EG73" s="105">
        <f>EL73/90</f>
        <v>56.533333333333331</v>
      </c>
      <c r="EH73" s="106"/>
      <c r="EI73" s="36">
        <f t="shared" si="9"/>
        <v>508.79999999999984</v>
      </c>
      <c r="EJ73" s="15"/>
      <c r="EK73" s="26"/>
      <c r="EL73" s="44">
        <v>5088</v>
      </c>
      <c r="EM73" s="56">
        <f>EG73</f>
        <v>56.533333333333331</v>
      </c>
      <c r="EO73" s="41" t="s">
        <v>101</v>
      </c>
      <c r="EP73" s="119" t="s">
        <v>106</v>
      </c>
      <c r="EQ73" s="120"/>
      <c r="ER73" s="120"/>
      <c r="ES73" s="121"/>
      <c r="ET73" s="49" t="s">
        <v>64</v>
      </c>
      <c r="EU73" s="105">
        <v>1</v>
      </c>
      <c r="EV73" s="106"/>
      <c r="EW73" s="105">
        <f>FB73/90</f>
        <v>56.533333333333331</v>
      </c>
      <c r="EX73" s="106"/>
      <c r="EY73" s="36">
        <f t="shared" si="10"/>
        <v>565.33333333333314</v>
      </c>
      <c r="EZ73" s="15"/>
      <c r="FA73" s="26"/>
      <c r="FB73" s="44">
        <v>5088</v>
      </c>
      <c r="FC73" s="56">
        <f>EW73</f>
        <v>56.533333333333331</v>
      </c>
      <c r="FE73" s="41" t="s">
        <v>101</v>
      </c>
      <c r="FF73" s="119" t="s">
        <v>106</v>
      </c>
      <c r="FG73" s="120"/>
      <c r="FH73" s="120"/>
      <c r="FI73" s="121"/>
      <c r="FJ73" s="49" t="s">
        <v>64</v>
      </c>
      <c r="FK73" s="105">
        <v>1</v>
      </c>
      <c r="FL73" s="106"/>
      <c r="FM73" s="105">
        <f>FR73/90</f>
        <v>56.533333333333331</v>
      </c>
      <c r="FN73" s="106"/>
      <c r="FO73" s="36">
        <f t="shared" si="11"/>
        <v>621.86666666666645</v>
      </c>
      <c r="FP73" s="15"/>
      <c r="FQ73" s="26"/>
      <c r="FR73" s="44">
        <v>5088</v>
      </c>
      <c r="FS73" s="56">
        <f>FM73</f>
        <v>56.533333333333331</v>
      </c>
      <c r="FU73" s="41" t="s">
        <v>101</v>
      </c>
      <c r="FV73" s="119" t="s">
        <v>106</v>
      </c>
      <c r="FW73" s="120"/>
      <c r="FX73" s="120"/>
      <c r="FY73" s="121"/>
      <c r="FZ73" s="49" t="s">
        <v>64</v>
      </c>
      <c r="GA73" s="105">
        <v>1</v>
      </c>
      <c r="GB73" s="106"/>
      <c r="GC73" s="105">
        <f>GH73/90</f>
        <v>56.533333333333331</v>
      </c>
      <c r="GD73" s="106"/>
      <c r="GE73" s="36">
        <f t="shared" si="12"/>
        <v>678.39999999999975</v>
      </c>
      <c r="GF73" s="15"/>
      <c r="GG73" s="26"/>
      <c r="GH73" s="44">
        <v>5088</v>
      </c>
      <c r="GI73" s="56">
        <f>GC73</f>
        <v>56.533333333333331</v>
      </c>
      <c r="GK73" s="41" t="s">
        <v>101</v>
      </c>
      <c r="GL73" s="119" t="s">
        <v>106</v>
      </c>
      <c r="GM73" s="120"/>
      <c r="GN73" s="120"/>
      <c r="GO73" s="121"/>
      <c r="GP73" s="49" t="s">
        <v>64</v>
      </c>
      <c r="GQ73" s="105">
        <v>1</v>
      </c>
      <c r="GR73" s="106"/>
      <c r="GS73" s="105">
        <f>GX73/90</f>
        <v>56.533333333333331</v>
      </c>
      <c r="GT73" s="106"/>
      <c r="GU73" s="36">
        <f t="shared" si="13"/>
        <v>734.93333333333305</v>
      </c>
      <c r="GV73" s="15"/>
      <c r="GW73" s="26"/>
      <c r="GX73" s="44">
        <v>5088</v>
      </c>
      <c r="GY73" s="56">
        <f>GS73</f>
        <v>56.533333333333331</v>
      </c>
      <c r="HA73" s="41" t="s">
        <v>101</v>
      </c>
      <c r="HB73" s="119" t="s">
        <v>106</v>
      </c>
      <c r="HC73" s="120"/>
      <c r="HD73" s="120"/>
      <c r="HE73" s="121"/>
      <c r="HF73" s="49" t="s">
        <v>64</v>
      </c>
      <c r="HG73" s="105">
        <v>1</v>
      </c>
      <c r="HH73" s="106"/>
      <c r="HI73" s="105">
        <f>HN73/90</f>
        <v>56.533333333333331</v>
      </c>
      <c r="HJ73" s="106"/>
      <c r="HK73" s="36">
        <f t="shared" si="14"/>
        <v>791.46666666666636</v>
      </c>
      <c r="HL73" s="15"/>
      <c r="HM73" s="26"/>
      <c r="HN73" s="44">
        <v>5088</v>
      </c>
      <c r="HO73" s="56">
        <f>HI73</f>
        <v>56.533333333333331</v>
      </c>
      <c r="HQ73" s="41" t="s">
        <v>101</v>
      </c>
      <c r="HR73" s="119" t="s">
        <v>106</v>
      </c>
      <c r="HS73" s="120"/>
      <c r="HT73" s="120"/>
      <c r="HU73" s="121"/>
      <c r="HV73" s="49" t="s">
        <v>64</v>
      </c>
      <c r="HW73" s="105">
        <v>1</v>
      </c>
      <c r="HX73" s="106"/>
      <c r="HY73" s="105">
        <f>ID73/90</f>
        <v>56.533333333333331</v>
      </c>
      <c r="HZ73" s="106"/>
      <c r="IA73" s="36">
        <f t="shared" si="15"/>
        <v>847.99999999999966</v>
      </c>
      <c r="IB73" s="15"/>
      <c r="IC73" s="26"/>
      <c r="ID73" s="44">
        <v>5088</v>
      </c>
      <c r="IE73" s="56">
        <f>HY73</f>
        <v>56.533333333333331</v>
      </c>
      <c r="IG73" s="41" t="s">
        <v>101</v>
      </c>
      <c r="IH73" s="119" t="s">
        <v>106</v>
      </c>
      <c r="II73" s="120"/>
      <c r="IJ73" s="120"/>
      <c r="IK73" s="121"/>
      <c r="IL73" s="49" t="s">
        <v>64</v>
      </c>
      <c r="IM73" s="105">
        <v>1</v>
      </c>
      <c r="IN73" s="106"/>
      <c r="IO73" s="105">
        <f>IT73/90</f>
        <v>56.533333333333331</v>
      </c>
      <c r="IP73" s="106"/>
      <c r="IQ73" s="36">
        <f t="shared" si="16"/>
        <v>904.53333333333296</v>
      </c>
      <c r="IR73" s="15"/>
      <c r="IS73" s="26"/>
      <c r="IT73" s="44">
        <v>5088</v>
      </c>
      <c r="IU73" s="56">
        <f>IO73</f>
        <v>56.533333333333331</v>
      </c>
      <c r="IW73" s="41" t="s">
        <v>101</v>
      </c>
      <c r="IX73" s="119" t="s">
        <v>106</v>
      </c>
      <c r="IY73" s="120"/>
      <c r="IZ73" s="120"/>
      <c r="JA73" s="121"/>
      <c r="JB73" s="49" t="s">
        <v>64</v>
      </c>
      <c r="JC73" s="105">
        <v>1</v>
      </c>
      <c r="JD73" s="106"/>
      <c r="JE73" s="105">
        <f>JJ73/90</f>
        <v>56.533333333333331</v>
      </c>
      <c r="JF73" s="106"/>
      <c r="JG73" s="36">
        <f t="shared" si="17"/>
        <v>961.06666666666626</v>
      </c>
      <c r="JH73" s="15"/>
      <c r="JI73" s="26"/>
      <c r="JJ73" s="44">
        <v>5088</v>
      </c>
      <c r="JK73" s="56">
        <f>JE73</f>
        <v>56.533333333333331</v>
      </c>
      <c r="JM73" s="41" t="s">
        <v>101</v>
      </c>
      <c r="JN73" s="119" t="s">
        <v>106</v>
      </c>
      <c r="JO73" s="120"/>
      <c r="JP73" s="120"/>
      <c r="JQ73" s="121"/>
      <c r="JR73" s="49" t="s">
        <v>64</v>
      </c>
      <c r="JS73" s="105">
        <v>1</v>
      </c>
      <c r="JT73" s="106"/>
      <c r="JU73" s="105">
        <f>JZ73/90</f>
        <v>56.533333333333331</v>
      </c>
      <c r="JV73" s="106"/>
      <c r="JW73" s="36">
        <f t="shared" si="18"/>
        <v>1017.5999999999996</v>
      </c>
      <c r="JX73" s="15"/>
      <c r="JY73" s="26"/>
      <c r="JZ73" s="44">
        <v>5088</v>
      </c>
      <c r="KA73" s="56">
        <f>JU73</f>
        <v>56.533333333333331</v>
      </c>
      <c r="KC73" s="41" t="s">
        <v>101</v>
      </c>
      <c r="KD73" s="119" t="s">
        <v>106</v>
      </c>
      <c r="KE73" s="120"/>
      <c r="KF73" s="120"/>
      <c r="KG73" s="121"/>
      <c r="KH73" s="49" t="s">
        <v>64</v>
      </c>
      <c r="KI73" s="105">
        <v>1</v>
      </c>
      <c r="KJ73" s="106"/>
      <c r="KK73" s="105">
        <f>KP73/90</f>
        <v>56.533333333333331</v>
      </c>
      <c r="KL73" s="106"/>
      <c r="KM73" s="36">
        <f t="shared" si="0"/>
        <v>1074.133333333333</v>
      </c>
      <c r="KN73" s="15"/>
      <c r="KO73" s="26"/>
      <c r="KP73" s="44">
        <v>5088</v>
      </c>
      <c r="KQ73" s="56">
        <f>KK73</f>
        <v>56.533333333333331</v>
      </c>
      <c r="KS73" s="41" t="s">
        <v>101</v>
      </c>
      <c r="KT73" s="119" t="s">
        <v>106</v>
      </c>
      <c r="KU73" s="120"/>
      <c r="KV73" s="120"/>
      <c r="KW73" s="121"/>
      <c r="KX73" s="49" t="s">
        <v>64</v>
      </c>
      <c r="KY73" s="105">
        <v>1</v>
      </c>
      <c r="KZ73" s="106"/>
      <c r="LA73" s="105">
        <f>LF73/90</f>
        <v>56.533333333333331</v>
      </c>
      <c r="LB73" s="106"/>
      <c r="LC73" s="36">
        <f t="shared" si="19"/>
        <v>1130.6666666666663</v>
      </c>
      <c r="LD73" s="15"/>
      <c r="LE73" s="26"/>
      <c r="LF73" s="44">
        <v>5088</v>
      </c>
      <c r="LG73" s="56">
        <f>LA73</f>
        <v>56.533333333333331</v>
      </c>
      <c r="LI73" s="41" t="s">
        <v>101</v>
      </c>
      <c r="LJ73" s="119" t="s">
        <v>106</v>
      </c>
      <c r="LK73" s="120"/>
      <c r="LL73" s="120"/>
      <c r="LM73" s="121"/>
      <c r="LN73" s="49" t="s">
        <v>64</v>
      </c>
      <c r="LO73" s="105">
        <v>1</v>
      </c>
      <c r="LP73" s="106"/>
      <c r="LQ73" s="105">
        <f>LV73/90</f>
        <v>56.533333333333331</v>
      </c>
      <c r="LR73" s="106"/>
      <c r="LS73" s="36">
        <f t="shared" si="20"/>
        <v>1187.1999999999996</v>
      </c>
      <c r="LT73" s="15"/>
      <c r="LU73" s="26"/>
      <c r="LV73" s="44">
        <v>5088</v>
      </c>
      <c r="LW73" s="56">
        <f>LQ73</f>
        <v>56.533333333333331</v>
      </c>
      <c r="LY73" s="41" t="s">
        <v>101</v>
      </c>
      <c r="LZ73" s="119" t="s">
        <v>106</v>
      </c>
      <c r="MA73" s="120"/>
      <c r="MB73" s="120"/>
      <c r="MC73" s="121"/>
      <c r="MD73" s="49" t="s">
        <v>64</v>
      </c>
      <c r="ME73" s="105">
        <v>1</v>
      </c>
      <c r="MF73" s="106"/>
      <c r="MG73" s="105">
        <f>ML73/90</f>
        <v>56.533333333333331</v>
      </c>
      <c r="MH73" s="106"/>
      <c r="MI73" s="36">
        <f t="shared" si="21"/>
        <v>1243.7333333333329</v>
      </c>
      <c r="MJ73" s="15"/>
      <c r="MK73" s="26"/>
      <c r="ML73" s="44">
        <v>5088</v>
      </c>
      <c r="MM73" s="56">
        <f>MG73</f>
        <v>56.533333333333331</v>
      </c>
    </row>
    <row r="74" spans="1:351" ht="20.100000000000001" customHeight="1" x14ac:dyDescent="0.3">
      <c r="A74" s="41" t="s">
        <v>102</v>
      </c>
      <c r="B74" s="119" t="s">
        <v>107</v>
      </c>
      <c r="C74" s="120"/>
      <c r="D74" s="120"/>
      <c r="E74" s="121"/>
      <c r="F74" s="49" t="s">
        <v>64</v>
      </c>
      <c r="G74" s="105">
        <v>1</v>
      </c>
      <c r="H74" s="106"/>
      <c r="I74" s="105">
        <f>N74/90</f>
        <v>432.27777777777777</v>
      </c>
      <c r="J74" s="106"/>
      <c r="K74" s="36">
        <f t="shared" si="1"/>
        <v>432.27777777777777</v>
      </c>
      <c r="L74" s="15"/>
      <c r="M74" s="26"/>
      <c r="N74" s="44">
        <v>38905</v>
      </c>
      <c r="O74" s="56">
        <f>I74</f>
        <v>432.27777777777777</v>
      </c>
      <c r="Q74" s="41" t="s">
        <v>102</v>
      </c>
      <c r="R74" s="119" t="s">
        <v>107</v>
      </c>
      <c r="S74" s="120"/>
      <c r="T74" s="120"/>
      <c r="U74" s="121"/>
      <c r="V74" s="49" t="s">
        <v>64</v>
      </c>
      <c r="W74" s="105">
        <v>1</v>
      </c>
      <c r="X74" s="106"/>
      <c r="Y74" s="105">
        <f>AD74/90</f>
        <v>432.27777777777777</v>
      </c>
      <c r="Z74" s="106"/>
      <c r="AA74" s="36">
        <f t="shared" si="2"/>
        <v>864.55555555555554</v>
      </c>
      <c r="AB74" s="15"/>
      <c r="AC74" s="26"/>
      <c r="AD74" s="44">
        <v>38905</v>
      </c>
      <c r="AE74" s="56">
        <f>Y74</f>
        <v>432.27777777777777</v>
      </c>
      <c r="AG74" s="41" t="s">
        <v>102</v>
      </c>
      <c r="AH74" s="119" t="s">
        <v>107</v>
      </c>
      <c r="AI74" s="120"/>
      <c r="AJ74" s="120"/>
      <c r="AK74" s="121"/>
      <c r="AL74" s="49" t="s">
        <v>64</v>
      </c>
      <c r="AM74" s="105">
        <v>1</v>
      </c>
      <c r="AN74" s="106"/>
      <c r="AO74" s="105">
        <f>AT74/90</f>
        <v>432.27777777777777</v>
      </c>
      <c r="AP74" s="106"/>
      <c r="AQ74" s="36">
        <f t="shared" si="3"/>
        <v>1296.8333333333333</v>
      </c>
      <c r="AR74" s="15"/>
      <c r="AS74" s="26"/>
      <c r="AT74" s="44">
        <v>38905</v>
      </c>
      <c r="AU74" s="56">
        <f>AO74</f>
        <v>432.27777777777777</v>
      </c>
      <c r="AW74" s="41" t="s">
        <v>102</v>
      </c>
      <c r="AX74" s="119" t="s">
        <v>107</v>
      </c>
      <c r="AY74" s="120"/>
      <c r="AZ74" s="120"/>
      <c r="BA74" s="121"/>
      <c r="BB74" s="49" t="s">
        <v>64</v>
      </c>
      <c r="BC74" s="105">
        <v>1</v>
      </c>
      <c r="BD74" s="106"/>
      <c r="BE74" s="105">
        <f>BJ74/90</f>
        <v>432.27777777777777</v>
      </c>
      <c r="BF74" s="106"/>
      <c r="BG74" s="36">
        <f t="shared" si="4"/>
        <v>1729.1111111111111</v>
      </c>
      <c r="BH74" s="15"/>
      <c r="BI74" s="26"/>
      <c r="BJ74" s="44">
        <v>38905</v>
      </c>
      <c r="BK74" s="56">
        <f>BE74</f>
        <v>432.27777777777777</v>
      </c>
      <c r="BM74" s="41" t="s">
        <v>102</v>
      </c>
      <c r="BN74" s="119" t="s">
        <v>107</v>
      </c>
      <c r="BO74" s="120"/>
      <c r="BP74" s="120"/>
      <c r="BQ74" s="121"/>
      <c r="BR74" s="49" t="s">
        <v>64</v>
      </c>
      <c r="BS74" s="105">
        <v>1</v>
      </c>
      <c r="BT74" s="106"/>
      <c r="BU74" s="105">
        <f>BZ74/90</f>
        <v>432.27777777777777</v>
      </c>
      <c r="BV74" s="106"/>
      <c r="BW74" s="36">
        <f t="shared" si="5"/>
        <v>2161.3888888888887</v>
      </c>
      <c r="BX74" s="15"/>
      <c r="BY74" s="26"/>
      <c r="BZ74" s="44">
        <v>38905</v>
      </c>
      <c r="CA74" s="56">
        <f>BU74</f>
        <v>432.27777777777777</v>
      </c>
      <c r="CC74" s="41" t="s">
        <v>102</v>
      </c>
      <c r="CD74" s="119" t="s">
        <v>107</v>
      </c>
      <c r="CE74" s="120"/>
      <c r="CF74" s="120"/>
      <c r="CG74" s="121"/>
      <c r="CH74" s="49" t="s">
        <v>64</v>
      </c>
      <c r="CI74" s="105">
        <v>1</v>
      </c>
      <c r="CJ74" s="106"/>
      <c r="CK74" s="105">
        <f>CP74/90</f>
        <v>432.27777777777777</v>
      </c>
      <c r="CL74" s="106"/>
      <c r="CM74" s="36">
        <f t="shared" si="6"/>
        <v>2593.6666666666665</v>
      </c>
      <c r="CN74" s="15"/>
      <c r="CO74" s="26"/>
      <c r="CP74" s="44">
        <v>38905</v>
      </c>
      <c r="CQ74" s="56">
        <f>CK74</f>
        <v>432.27777777777777</v>
      </c>
      <c r="CS74" s="41" t="s">
        <v>102</v>
      </c>
      <c r="CT74" s="119" t="s">
        <v>107</v>
      </c>
      <c r="CU74" s="120"/>
      <c r="CV74" s="120"/>
      <c r="CW74" s="121"/>
      <c r="CX74" s="49" t="s">
        <v>64</v>
      </c>
      <c r="CY74" s="105">
        <v>1</v>
      </c>
      <c r="CZ74" s="106"/>
      <c r="DA74" s="105">
        <f>DF74/90</f>
        <v>432.27777777777777</v>
      </c>
      <c r="DB74" s="106"/>
      <c r="DC74" s="36">
        <f t="shared" si="7"/>
        <v>3025.9444444444443</v>
      </c>
      <c r="DD74" s="15"/>
      <c r="DE74" s="26"/>
      <c r="DF74" s="44">
        <v>38905</v>
      </c>
      <c r="DG74" s="56">
        <f>DA74</f>
        <v>432.27777777777777</v>
      </c>
      <c r="DI74" s="41" t="s">
        <v>102</v>
      </c>
      <c r="DJ74" s="119" t="s">
        <v>107</v>
      </c>
      <c r="DK74" s="120"/>
      <c r="DL74" s="120"/>
      <c r="DM74" s="121"/>
      <c r="DN74" s="49" t="s">
        <v>64</v>
      </c>
      <c r="DO74" s="105">
        <v>1</v>
      </c>
      <c r="DP74" s="106"/>
      <c r="DQ74" s="105">
        <f>DV74/90</f>
        <v>432.27777777777777</v>
      </c>
      <c r="DR74" s="106"/>
      <c r="DS74" s="36">
        <f t="shared" si="8"/>
        <v>3458.2222222222222</v>
      </c>
      <c r="DT74" s="15"/>
      <c r="DU74" s="26"/>
      <c r="DV74" s="44">
        <v>38905</v>
      </c>
      <c r="DW74" s="56">
        <f>DQ74</f>
        <v>432.27777777777777</v>
      </c>
      <c r="DY74" s="41" t="s">
        <v>102</v>
      </c>
      <c r="DZ74" s="119" t="s">
        <v>107</v>
      </c>
      <c r="EA74" s="120"/>
      <c r="EB74" s="120"/>
      <c r="EC74" s="121"/>
      <c r="ED74" s="49" t="s">
        <v>64</v>
      </c>
      <c r="EE74" s="105">
        <v>1</v>
      </c>
      <c r="EF74" s="106"/>
      <c r="EG74" s="105">
        <f>EL74/90</f>
        <v>432.27777777777777</v>
      </c>
      <c r="EH74" s="106"/>
      <c r="EI74" s="36">
        <f t="shared" si="9"/>
        <v>3890.5</v>
      </c>
      <c r="EJ74" s="15"/>
      <c r="EK74" s="26"/>
      <c r="EL74" s="44">
        <v>38905</v>
      </c>
      <c r="EM74" s="56">
        <f>EG74</f>
        <v>432.27777777777777</v>
      </c>
      <c r="EO74" s="41" t="s">
        <v>102</v>
      </c>
      <c r="EP74" s="119" t="s">
        <v>107</v>
      </c>
      <c r="EQ74" s="120"/>
      <c r="ER74" s="120"/>
      <c r="ES74" s="121"/>
      <c r="ET74" s="49" t="s">
        <v>64</v>
      </c>
      <c r="EU74" s="105">
        <v>1</v>
      </c>
      <c r="EV74" s="106"/>
      <c r="EW74" s="105">
        <f>FB74/90</f>
        <v>432.27777777777777</v>
      </c>
      <c r="EX74" s="106"/>
      <c r="EY74" s="36">
        <f t="shared" si="10"/>
        <v>4322.7777777777774</v>
      </c>
      <c r="EZ74" s="15"/>
      <c r="FA74" s="26"/>
      <c r="FB74" s="44">
        <v>38905</v>
      </c>
      <c r="FC74" s="56">
        <f>EW74</f>
        <v>432.27777777777777</v>
      </c>
      <c r="FE74" s="41" t="s">
        <v>102</v>
      </c>
      <c r="FF74" s="119" t="s">
        <v>107</v>
      </c>
      <c r="FG74" s="120"/>
      <c r="FH74" s="120"/>
      <c r="FI74" s="121"/>
      <c r="FJ74" s="49" t="s">
        <v>64</v>
      </c>
      <c r="FK74" s="105">
        <v>1</v>
      </c>
      <c r="FL74" s="106"/>
      <c r="FM74" s="105">
        <f>FR74/90</f>
        <v>432.27777777777777</v>
      </c>
      <c r="FN74" s="106"/>
      <c r="FO74" s="36">
        <f t="shared" si="11"/>
        <v>4755.0555555555547</v>
      </c>
      <c r="FP74" s="15"/>
      <c r="FQ74" s="26"/>
      <c r="FR74" s="44">
        <v>38905</v>
      </c>
      <c r="FS74" s="56">
        <f>FM74</f>
        <v>432.27777777777777</v>
      </c>
      <c r="FU74" s="41" t="s">
        <v>102</v>
      </c>
      <c r="FV74" s="119" t="s">
        <v>107</v>
      </c>
      <c r="FW74" s="120"/>
      <c r="FX74" s="120"/>
      <c r="FY74" s="121"/>
      <c r="FZ74" s="49" t="s">
        <v>64</v>
      </c>
      <c r="GA74" s="105">
        <v>1</v>
      </c>
      <c r="GB74" s="106"/>
      <c r="GC74" s="105">
        <f>GH74/90</f>
        <v>432.27777777777777</v>
      </c>
      <c r="GD74" s="106"/>
      <c r="GE74" s="36">
        <f t="shared" si="12"/>
        <v>5187.3333333333321</v>
      </c>
      <c r="GF74" s="15"/>
      <c r="GG74" s="26"/>
      <c r="GH74" s="44">
        <v>38905</v>
      </c>
      <c r="GI74" s="56">
        <f>GC74</f>
        <v>432.27777777777777</v>
      </c>
      <c r="GK74" s="41" t="s">
        <v>102</v>
      </c>
      <c r="GL74" s="119" t="s">
        <v>107</v>
      </c>
      <c r="GM74" s="120"/>
      <c r="GN74" s="120"/>
      <c r="GO74" s="121"/>
      <c r="GP74" s="49" t="s">
        <v>64</v>
      </c>
      <c r="GQ74" s="105">
        <v>1</v>
      </c>
      <c r="GR74" s="106"/>
      <c r="GS74" s="105">
        <f>GX74/90</f>
        <v>432.27777777777777</v>
      </c>
      <c r="GT74" s="106"/>
      <c r="GU74" s="36">
        <f t="shared" si="13"/>
        <v>5619.6111111111095</v>
      </c>
      <c r="GV74" s="15"/>
      <c r="GW74" s="26"/>
      <c r="GX74" s="44">
        <v>38905</v>
      </c>
      <c r="GY74" s="56">
        <f>GS74</f>
        <v>432.27777777777777</v>
      </c>
      <c r="HA74" s="41" t="s">
        <v>102</v>
      </c>
      <c r="HB74" s="119" t="s">
        <v>107</v>
      </c>
      <c r="HC74" s="120"/>
      <c r="HD74" s="120"/>
      <c r="HE74" s="121"/>
      <c r="HF74" s="49" t="s">
        <v>64</v>
      </c>
      <c r="HG74" s="105">
        <v>1</v>
      </c>
      <c r="HH74" s="106"/>
      <c r="HI74" s="105">
        <f>HN74/90</f>
        <v>432.27777777777777</v>
      </c>
      <c r="HJ74" s="106"/>
      <c r="HK74" s="36">
        <f t="shared" si="14"/>
        <v>6051.8888888888869</v>
      </c>
      <c r="HL74" s="15"/>
      <c r="HM74" s="26"/>
      <c r="HN74" s="44">
        <v>38905</v>
      </c>
      <c r="HO74" s="56">
        <f>HI74</f>
        <v>432.27777777777777</v>
      </c>
      <c r="HQ74" s="41" t="s">
        <v>102</v>
      </c>
      <c r="HR74" s="119" t="s">
        <v>107</v>
      </c>
      <c r="HS74" s="120"/>
      <c r="HT74" s="120"/>
      <c r="HU74" s="121"/>
      <c r="HV74" s="49" t="s">
        <v>64</v>
      </c>
      <c r="HW74" s="105">
        <v>1</v>
      </c>
      <c r="HX74" s="106"/>
      <c r="HY74" s="105">
        <f>ID74/90</f>
        <v>432.27777777777777</v>
      </c>
      <c r="HZ74" s="106"/>
      <c r="IA74" s="36">
        <f t="shared" si="15"/>
        <v>6484.1666666666642</v>
      </c>
      <c r="IB74" s="15"/>
      <c r="IC74" s="26"/>
      <c r="ID74" s="44">
        <v>38905</v>
      </c>
      <c r="IE74" s="56">
        <f>HY74</f>
        <v>432.27777777777777</v>
      </c>
      <c r="IG74" s="41" t="s">
        <v>102</v>
      </c>
      <c r="IH74" s="119" t="s">
        <v>107</v>
      </c>
      <c r="II74" s="120"/>
      <c r="IJ74" s="120"/>
      <c r="IK74" s="121"/>
      <c r="IL74" s="49" t="s">
        <v>64</v>
      </c>
      <c r="IM74" s="105">
        <v>1</v>
      </c>
      <c r="IN74" s="106"/>
      <c r="IO74" s="105">
        <f>IT74/90</f>
        <v>432.27777777777777</v>
      </c>
      <c r="IP74" s="106"/>
      <c r="IQ74" s="36">
        <f t="shared" si="16"/>
        <v>6916.4444444444416</v>
      </c>
      <c r="IR74" s="15"/>
      <c r="IS74" s="26"/>
      <c r="IT74" s="44">
        <v>38905</v>
      </c>
      <c r="IU74" s="56">
        <f>IO74</f>
        <v>432.27777777777777</v>
      </c>
      <c r="IW74" s="41" t="s">
        <v>102</v>
      </c>
      <c r="IX74" s="119" t="s">
        <v>107</v>
      </c>
      <c r="IY74" s="120"/>
      <c r="IZ74" s="120"/>
      <c r="JA74" s="121"/>
      <c r="JB74" s="49" t="s">
        <v>64</v>
      </c>
      <c r="JC74" s="105">
        <v>1</v>
      </c>
      <c r="JD74" s="106"/>
      <c r="JE74" s="105">
        <f>JJ74/90</f>
        <v>432.27777777777777</v>
      </c>
      <c r="JF74" s="106"/>
      <c r="JG74" s="36">
        <f t="shared" si="17"/>
        <v>7348.722222222219</v>
      </c>
      <c r="JH74" s="15"/>
      <c r="JI74" s="26"/>
      <c r="JJ74" s="44">
        <v>38905</v>
      </c>
      <c r="JK74" s="56">
        <f>JE74</f>
        <v>432.27777777777777</v>
      </c>
      <c r="JM74" s="41" t="s">
        <v>102</v>
      </c>
      <c r="JN74" s="119" t="s">
        <v>107</v>
      </c>
      <c r="JO74" s="120"/>
      <c r="JP74" s="120"/>
      <c r="JQ74" s="121"/>
      <c r="JR74" s="49" t="s">
        <v>64</v>
      </c>
      <c r="JS74" s="105">
        <v>1</v>
      </c>
      <c r="JT74" s="106"/>
      <c r="JU74" s="105">
        <f>JZ74/90</f>
        <v>432.27777777777777</v>
      </c>
      <c r="JV74" s="106"/>
      <c r="JW74" s="36">
        <f t="shared" si="18"/>
        <v>7780.9999999999964</v>
      </c>
      <c r="JX74" s="15"/>
      <c r="JY74" s="26"/>
      <c r="JZ74" s="44">
        <v>38905</v>
      </c>
      <c r="KA74" s="56">
        <f>JU74</f>
        <v>432.27777777777777</v>
      </c>
      <c r="KC74" s="41" t="s">
        <v>102</v>
      </c>
      <c r="KD74" s="119" t="s">
        <v>107</v>
      </c>
      <c r="KE74" s="120"/>
      <c r="KF74" s="120"/>
      <c r="KG74" s="121"/>
      <c r="KH74" s="49" t="s">
        <v>64</v>
      </c>
      <c r="KI74" s="105">
        <v>1</v>
      </c>
      <c r="KJ74" s="106"/>
      <c r="KK74" s="105">
        <f>KP74/90</f>
        <v>432.27777777777777</v>
      </c>
      <c r="KL74" s="106"/>
      <c r="KM74" s="36">
        <f t="shared" si="0"/>
        <v>8213.2777777777737</v>
      </c>
      <c r="KN74" s="15"/>
      <c r="KO74" s="26"/>
      <c r="KP74" s="44">
        <v>38905</v>
      </c>
      <c r="KQ74" s="56">
        <f>KK74</f>
        <v>432.27777777777777</v>
      </c>
      <c r="KS74" s="41" t="s">
        <v>102</v>
      </c>
      <c r="KT74" s="119" t="s">
        <v>107</v>
      </c>
      <c r="KU74" s="120"/>
      <c r="KV74" s="120"/>
      <c r="KW74" s="121"/>
      <c r="KX74" s="49" t="s">
        <v>64</v>
      </c>
      <c r="KY74" s="105">
        <v>1</v>
      </c>
      <c r="KZ74" s="106"/>
      <c r="LA74" s="105">
        <f>LF74/90</f>
        <v>432.27777777777777</v>
      </c>
      <c r="LB74" s="106"/>
      <c r="LC74" s="36">
        <f t="shared" si="19"/>
        <v>8645.5555555555511</v>
      </c>
      <c r="LD74" s="15"/>
      <c r="LE74" s="26"/>
      <c r="LF74" s="44">
        <v>38905</v>
      </c>
      <c r="LG74" s="56">
        <f>LA74</f>
        <v>432.27777777777777</v>
      </c>
      <c r="LI74" s="41" t="s">
        <v>102</v>
      </c>
      <c r="LJ74" s="119" t="s">
        <v>107</v>
      </c>
      <c r="LK74" s="120"/>
      <c r="LL74" s="120"/>
      <c r="LM74" s="121"/>
      <c r="LN74" s="49" t="s">
        <v>64</v>
      </c>
      <c r="LO74" s="105">
        <v>1</v>
      </c>
      <c r="LP74" s="106"/>
      <c r="LQ74" s="105">
        <f>LV74/90</f>
        <v>432.27777777777777</v>
      </c>
      <c r="LR74" s="106"/>
      <c r="LS74" s="36">
        <f t="shared" si="20"/>
        <v>9077.8333333333285</v>
      </c>
      <c r="LT74" s="15"/>
      <c r="LU74" s="26"/>
      <c r="LV74" s="44">
        <v>38905</v>
      </c>
      <c r="LW74" s="56">
        <f>LQ74</f>
        <v>432.27777777777777</v>
      </c>
      <c r="LY74" s="41" t="s">
        <v>102</v>
      </c>
      <c r="LZ74" s="119" t="s">
        <v>107</v>
      </c>
      <c r="MA74" s="120"/>
      <c r="MB74" s="120"/>
      <c r="MC74" s="121"/>
      <c r="MD74" s="49" t="s">
        <v>64</v>
      </c>
      <c r="ME74" s="105">
        <v>1</v>
      </c>
      <c r="MF74" s="106"/>
      <c r="MG74" s="105">
        <f>ML74/90</f>
        <v>432.27777777777777</v>
      </c>
      <c r="MH74" s="106"/>
      <c r="MI74" s="36">
        <f t="shared" si="21"/>
        <v>9510.1111111111059</v>
      </c>
      <c r="MJ74" s="15"/>
      <c r="MK74" s="26"/>
      <c r="ML74" s="44">
        <v>38905</v>
      </c>
      <c r="MM74" s="56">
        <f>MG74</f>
        <v>432.27777777777777</v>
      </c>
    </row>
    <row r="75" spans="1:351" ht="20.100000000000001" customHeight="1" x14ac:dyDescent="0.3">
      <c r="A75" s="39"/>
      <c r="B75" s="46"/>
      <c r="C75" s="47"/>
      <c r="D75" s="47"/>
      <c r="E75" s="48"/>
      <c r="F75" s="8"/>
      <c r="G75" s="105"/>
      <c r="H75" s="106"/>
      <c r="I75" s="105"/>
      <c r="J75" s="106"/>
      <c r="K75" s="36"/>
      <c r="L75" s="15"/>
      <c r="M75" s="26"/>
      <c r="N75" s="33"/>
      <c r="O75" s="53">
        <f t="shared" ref="O75:O93" si="22">I75*N75</f>
        <v>0</v>
      </c>
      <c r="Q75" s="39"/>
      <c r="R75" s="46"/>
      <c r="S75" s="47"/>
      <c r="T75" s="47"/>
      <c r="U75" s="48"/>
      <c r="V75" s="8"/>
      <c r="W75" s="105"/>
      <c r="X75" s="106"/>
      <c r="Y75" s="105"/>
      <c r="Z75" s="106"/>
      <c r="AA75" s="36"/>
      <c r="AB75" s="15"/>
      <c r="AC75" s="26"/>
      <c r="AD75" s="33"/>
      <c r="AE75" s="53">
        <f t="shared" ref="AE75:AE93" si="23">Y75*AD75</f>
        <v>0</v>
      </c>
      <c r="AG75" s="39"/>
      <c r="AH75" s="46"/>
      <c r="AI75" s="47"/>
      <c r="AJ75" s="47"/>
      <c r="AK75" s="48"/>
      <c r="AL75" s="8"/>
      <c r="AM75" s="105"/>
      <c r="AN75" s="106"/>
      <c r="AO75" s="105"/>
      <c r="AP75" s="106"/>
      <c r="AQ75" s="36"/>
      <c r="AR75" s="15"/>
      <c r="AS75" s="26"/>
      <c r="AT75" s="33"/>
      <c r="AU75" s="53">
        <f t="shared" ref="AU75:AU93" si="24">AO75*AT75</f>
        <v>0</v>
      </c>
      <c r="AW75" s="39"/>
      <c r="AX75" s="46"/>
      <c r="AY75" s="47"/>
      <c r="AZ75" s="47"/>
      <c r="BA75" s="48"/>
      <c r="BB75" s="8"/>
      <c r="BC75" s="105"/>
      <c r="BD75" s="106"/>
      <c r="BE75" s="105"/>
      <c r="BF75" s="106"/>
      <c r="BG75" s="36"/>
      <c r="BH75" s="15"/>
      <c r="BI75" s="26"/>
      <c r="BJ75" s="33"/>
      <c r="BK75" s="53">
        <f t="shared" ref="BK75:BK93" si="25">BE75*BJ75</f>
        <v>0</v>
      </c>
      <c r="BM75" s="39"/>
      <c r="BN75" s="46"/>
      <c r="BO75" s="47"/>
      <c r="BP75" s="47"/>
      <c r="BQ75" s="48"/>
      <c r="BR75" s="8"/>
      <c r="BS75" s="105"/>
      <c r="BT75" s="106"/>
      <c r="BU75" s="105"/>
      <c r="BV75" s="106"/>
      <c r="BW75" s="36"/>
      <c r="BX75" s="15"/>
      <c r="BY75" s="26"/>
      <c r="BZ75" s="33"/>
      <c r="CA75" s="53">
        <f t="shared" ref="CA75:CA93" si="26">BU75*BZ75</f>
        <v>0</v>
      </c>
      <c r="CC75" s="39"/>
      <c r="CD75" s="46"/>
      <c r="CE75" s="47"/>
      <c r="CF75" s="47"/>
      <c r="CG75" s="48"/>
      <c r="CH75" s="8"/>
      <c r="CI75" s="105"/>
      <c r="CJ75" s="106"/>
      <c r="CK75" s="105"/>
      <c r="CL75" s="106"/>
      <c r="CM75" s="36"/>
      <c r="CN75" s="15"/>
      <c r="CO75" s="26"/>
      <c r="CP75" s="33"/>
      <c r="CQ75" s="53">
        <f t="shared" ref="CQ75:CQ93" si="27">CK75*CP75</f>
        <v>0</v>
      </c>
      <c r="CS75" s="39"/>
      <c r="CT75" s="46"/>
      <c r="CU75" s="47"/>
      <c r="CV75" s="47"/>
      <c r="CW75" s="48"/>
      <c r="CX75" s="8"/>
      <c r="CY75" s="105"/>
      <c r="CZ75" s="106"/>
      <c r="DA75" s="105"/>
      <c r="DB75" s="106"/>
      <c r="DC75" s="36"/>
      <c r="DD75" s="15"/>
      <c r="DE75" s="26"/>
      <c r="DF75" s="33"/>
      <c r="DG75" s="53">
        <f t="shared" ref="DG75:DG93" si="28">DA75*DF75</f>
        <v>0</v>
      </c>
      <c r="DI75" s="39"/>
      <c r="DJ75" s="46"/>
      <c r="DK75" s="47"/>
      <c r="DL75" s="47"/>
      <c r="DM75" s="48"/>
      <c r="DN75" s="8"/>
      <c r="DO75" s="105"/>
      <c r="DP75" s="106"/>
      <c r="DQ75" s="105"/>
      <c r="DR75" s="106"/>
      <c r="DS75" s="36"/>
      <c r="DT75" s="15"/>
      <c r="DU75" s="26"/>
      <c r="DV75" s="33"/>
      <c r="DW75" s="53">
        <f t="shared" ref="DW75:DW93" si="29">DQ75*DV75</f>
        <v>0</v>
      </c>
      <c r="DY75" s="39"/>
      <c r="DZ75" s="46"/>
      <c r="EA75" s="47"/>
      <c r="EB75" s="47"/>
      <c r="EC75" s="48"/>
      <c r="ED75" s="8"/>
      <c r="EE75" s="105"/>
      <c r="EF75" s="106"/>
      <c r="EG75" s="105"/>
      <c r="EH75" s="106"/>
      <c r="EI75" s="36"/>
      <c r="EJ75" s="15"/>
      <c r="EK75" s="26"/>
      <c r="EL75" s="33"/>
      <c r="EM75" s="53">
        <f t="shared" ref="EM75:EM93" si="30">EG75*EL75</f>
        <v>0</v>
      </c>
      <c r="EO75" s="39"/>
      <c r="EP75" s="46"/>
      <c r="EQ75" s="47"/>
      <c r="ER75" s="47"/>
      <c r="ES75" s="48"/>
      <c r="ET75" s="8"/>
      <c r="EU75" s="105"/>
      <c r="EV75" s="106"/>
      <c r="EW75" s="105"/>
      <c r="EX75" s="106"/>
      <c r="EY75" s="36"/>
      <c r="EZ75" s="15"/>
      <c r="FA75" s="26"/>
      <c r="FB75" s="33"/>
      <c r="FC75" s="53">
        <f t="shared" ref="FC75:FC93" si="31">EW75*FB75</f>
        <v>0</v>
      </c>
      <c r="FE75" s="39"/>
      <c r="FF75" s="46"/>
      <c r="FG75" s="47"/>
      <c r="FH75" s="47"/>
      <c r="FI75" s="48"/>
      <c r="FJ75" s="8"/>
      <c r="FK75" s="105"/>
      <c r="FL75" s="106"/>
      <c r="FM75" s="105"/>
      <c r="FN75" s="106"/>
      <c r="FO75" s="36"/>
      <c r="FP75" s="15"/>
      <c r="FQ75" s="26"/>
      <c r="FR75" s="33"/>
      <c r="FS75" s="53">
        <f t="shared" ref="FS75:FS93" si="32">FM75*FR75</f>
        <v>0</v>
      </c>
      <c r="FU75" s="39"/>
      <c r="FV75" s="46"/>
      <c r="FW75" s="47"/>
      <c r="FX75" s="47"/>
      <c r="FY75" s="48"/>
      <c r="FZ75" s="8"/>
      <c r="GA75" s="105"/>
      <c r="GB75" s="106"/>
      <c r="GC75" s="105"/>
      <c r="GD75" s="106"/>
      <c r="GE75" s="36"/>
      <c r="GF75" s="15"/>
      <c r="GG75" s="26"/>
      <c r="GH75" s="33"/>
      <c r="GI75" s="53">
        <f t="shared" ref="GI75:GI93" si="33">GC75*GH75</f>
        <v>0</v>
      </c>
      <c r="GK75" s="39"/>
      <c r="GL75" s="46"/>
      <c r="GM75" s="47"/>
      <c r="GN75" s="47"/>
      <c r="GO75" s="48"/>
      <c r="GP75" s="8"/>
      <c r="GQ75" s="105"/>
      <c r="GR75" s="106"/>
      <c r="GS75" s="105"/>
      <c r="GT75" s="106"/>
      <c r="GU75" s="36"/>
      <c r="GV75" s="15"/>
      <c r="GW75" s="26"/>
      <c r="GX75" s="33"/>
      <c r="GY75" s="53">
        <f t="shared" ref="GY75:GY93" si="34">GS75*GX75</f>
        <v>0</v>
      </c>
      <c r="HA75" s="39"/>
      <c r="HB75" s="46"/>
      <c r="HC75" s="47"/>
      <c r="HD75" s="47"/>
      <c r="HE75" s="48"/>
      <c r="HF75" s="8"/>
      <c r="HG75" s="105"/>
      <c r="HH75" s="106"/>
      <c r="HI75" s="105"/>
      <c r="HJ75" s="106"/>
      <c r="HK75" s="36"/>
      <c r="HL75" s="15"/>
      <c r="HM75" s="26"/>
      <c r="HN75" s="33"/>
      <c r="HO75" s="53">
        <f t="shared" ref="HO75:HO93" si="35">HI75*HN75</f>
        <v>0</v>
      </c>
      <c r="HQ75" s="39"/>
      <c r="HR75" s="46"/>
      <c r="HS75" s="47"/>
      <c r="HT75" s="47"/>
      <c r="HU75" s="48"/>
      <c r="HV75" s="8"/>
      <c r="HW75" s="105"/>
      <c r="HX75" s="106"/>
      <c r="HY75" s="105"/>
      <c r="HZ75" s="106"/>
      <c r="IA75" s="36"/>
      <c r="IB75" s="15"/>
      <c r="IC75" s="26"/>
      <c r="ID75" s="33"/>
      <c r="IE75" s="53">
        <f t="shared" ref="IE75:IE93" si="36">HY75*ID75</f>
        <v>0</v>
      </c>
      <c r="IG75" s="39"/>
      <c r="IH75" s="46"/>
      <c r="II75" s="47"/>
      <c r="IJ75" s="47"/>
      <c r="IK75" s="48"/>
      <c r="IL75" s="8"/>
      <c r="IM75" s="105"/>
      <c r="IN75" s="106"/>
      <c r="IO75" s="105"/>
      <c r="IP75" s="106"/>
      <c r="IQ75" s="36"/>
      <c r="IR75" s="15"/>
      <c r="IS75" s="26"/>
      <c r="IT75" s="33"/>
      <c r="IU75" s="53">
        <f t="shared" ref="IU75:IU93" si="37">IO75*IT75</f>
        <v>0</v>
      </c>
      <c r="IW75" s="39"/>
      <c r="IX75" s="46"/>
      <c r="IY75" s="47"/>
      <c r="IZ75" s="47"/>
      <c r="JA75" s="48"/>
      <c r="JB75" s="8"/>
      <c r="JC75" s="105"/>
      <c r="JD75" s="106"/>
      <c r="JE75" s="105"/>
      <c r="JF75" s="106"/>
      <c r="JG75" s="36"/>
      <c r="JH75" s="15"/>
      <c r="JI75" s="26"/>
      <c r="JJ75" s="33"/>
      <c r="JK75" s="53">
        <f t="shared" ref="JK75:JK93" si="38">JE75*JJ75</f>
        <v>0</v>
      </c>
      <c r="JM75" s="39"/>
      <c r="JN75" s="46"/>
      <c r="JO75" s="47"/>
      <c r="JP75" s="47"/>
      <c r="JQ75" s="48"/>
      <c r="JR75" s="8"/>
      <c r="JS75" s="105"/>
      <c r="JT75" s="106"/>
      <c r="JU75" s="105"/>
      <c r="JV75" s="106"/>
      <c r="JW75" s="36"/>
      <c r="JX75" s="15"/>
      <c r="JY75" s="26"/>
      <c r="JZ75" s="33"/>
      <c r="KA75" s="53">
        <f t="shared" ref="KA75:KA93" si="39">JU75*JZ75</f>
        <v>0</v>
      </c>
      <c r="KC75" s="39"/>
      <c r="KD75" s="46"/>
      <c r="KE75" s="47"/>
      <c r="KF75" s="47"/>
      <c r="KG75" s="48"/>
      <c r="KH75" s="8"/>
      <c r="KI75" s="105"/>
      <c r="KJ75" s="106"/>
      <c r="KK75" s="105"/>
      <c r="KL75" s="106"/>
      <c r="KM75" s="36"/>
      <c r="KN75" s="15"/>
      <c r="KO75" s="26"/>
      <c r="KP75" s="33"/>
      <c r="KQ75" s="53">
        <f t="shared" ref="KQ75:KQ93" si="40">KK75*KP75</f>
        <v>0</v>
      </c>
      <c r="KS75" s="39"/>
      <c r="KT75" s="46"/>
      <c r="KU75" s="47"/>
      <c r="KV75" s="47"/>
      <c r="KW75" s="48"/>
      <c r="KX75" s="8"/>
      <c r="KY75" s="105"/>
      <c r="KZ75" s="106"/>
      <c r="LA75" s="105"/>
      <c r="LB75" s="106"/>
      <c r="LC75" s="36"/>
      <c r="LD75" s="15"/>
      <c r="LE75" s="26"/>
      <c r="LF75" s="33"/>
      <c r="LG75" s="53">
        <f t="shared" ref="LG75:LG93" si="41">LA75*LF75</f>
        <v>0</v>
      </c>
      <c r="LI75" s="39"/>
      <c r="LJ75" s="46"/>
      <c r="LK75" s="47"/>
      <c r="LL75" s="47"/>
      <c r="LM75" s="48"/>
      <c r="LN75" s="8"/>
      <c r="LO75" s="105"/>
      <c r="LP75" s="106"/>
      <c r="LQ75" s="105"/>
      <c r="LR75" s="106"/>
      <c r="LS75" s="36"/>
      <c r="LT75" s="15"/>
      <c r="LU75" s="26"/>
      <c r="LV75" s="33"/>
      <c r="LW75" s="53">
        <f t="shared" ref="LW75:LW93" si="42">LQ75*LV75</f>
        <v>0</v>
      </c>
      <c r="LY75" s="39"/>
      <c r="LZ75" s="46"/>
      <c r="MA75" s="47"/>
      <c r="MB75" s="47"/>
      <c r="MC75" s="48"/>
      <c r="MD75" s="8"/>
      <c r="ME75" s="105"/>
      <c r="MF75" s="106"/>
      <c r="MG75" s="105"/>
      <c r="MH75" s="106"/>
      <c r="MI75" s="36"/>
      <c r="MJ75" s="15"/>
      <c r="MK75" s="26"/>
      <c r="ML75" s="33"/>
      <c r="MM75" s="53">
        <f t="shared" ref="MM75:MM93" si="43">MG75*ML75</f>
        <v>0</v>
      </c>
    </row>
    <row r="76" spans="1:351" ht="20.100000000000001" customHeight="1" x14ac:dyDescent="0.3">
      <c r="A76" s="31"/>
      <c r="B76" s="46"/>
      <c r="C76" s="47"/>
      <c r="D76" s="47"/>
      <c r="E76" s="48"/>
      <c r="F76" s="8"/>
      <c r="G76" s="105"/>
      <c r="H76" s="106"/>
      <c r="I76" s="105"/>
      <c r="J76" s="106"/>
      <c r="K76" s="36"/>
      <c r="L76" s="15"/>
      <c r="M76" s="26"/>
      <c r="N76" s="33"/>
      <c r="O76" s="53">
        <f t="shared" si="22"/>
        <v>0</v>
      </c>
      <c r="Q76" s="31"/>
      <c r="R76" s="46"/>
      <c r="S76" s="47"/>
      <c r="T76" s="47"/>
      <c r="U76" s="48"/>
      <c r="V76" s="8"/>
      <c r="W76" s="105"/>
      <c r="X76" s="106"/>
      <c r="Y76" s="105"/>
      <c r="Z76" s="106"/>
      <c r="AA76" s="36"/>
      <c r="AB76" s="15"/>
      <c r="AC76" s="26"/>
      <c r="AD76" s="33"/>
      <c r="AE76" s="53">
        <f t="shared" si="23"/>
        <v>0</v>
      </c>
      <c r="AG76" s="31"/>
      <c r="AH76" s="46"/>
      <c r="AI76" s="47"/>
      <c r="AJ76" s="47"/>
      <c r="AK76" s="48"/>
      <c r="AL76" s="8"/>
      <c r="AM76" s="105"/>
      <c r="AN76" s="106"/>
      <c r="AO76" s="105"/>
      <c r="AP76" s="106"/>
      <c r="AQ76" s="36"/>
      <c r="AR76" s="15"/>
      <c r="AS76" s="26"/>
      <c r="AT76" s="33"/>
      <c r="AU76" s="53">
        <f t="shared" si="24"/>
        <v>0</v>
      </c>
      <c r="AW76" s="31"/>
      <c r="AX76" s="46"/>
      <c r="AY76" s="47"/>
      <c r="AZ76" s="47"/>
      <c r="BA76" s="48"/>
      <c r="BB76" s="8"/>
      <c r="BC76" s="105"/>
      <c r="BD76" s="106"/>
      <c r="BE76" s="105"/>
      <c r="BF76" s="106"/>
      <c r="BG76" s="36"/>
      <c r="BH76" s="15"/>
      <c r="BI76" s="26"/>
      <c r="BJ76" s="33"/>
      <c r="BK76" s="53">
        <f t="shared" si="25"/>
        <v>0</v>
      </c>
      <c r="BM76" s="31"/>
      <c r="BN76" s="46"/>
      <c r="BO76" s="47"/>
      <c r="BP76" s="47"/>
      <c r="BQ76" s="48"/>
      <c r="BR76" s="8"/>
      <c r="BS76" s="105"/>
      <c r="BT76" s="106"/>
      <c r="BU76" s="105"/>
      <c r="BV76" s="106"/>
      <c r="BW76" s="36"/>
      <c r="BX76" s="15"/>
      <c r="BY76" s="26"/>
      <c r="BZ76" s="33"/>
      <c r="CA76" s="53">
        <f t="shared" si="26"/>
        <v>0</v>
      </c>
      <c r="CC76" s="31"/>
      <c r="CD76" s="46"/>
      <c r="CE76" s="47"/>
      <c r="CF76" s="47"/>
      <c r="CG76" s="48"/>
      <c r="CH76" s="8"/>
      <c r="CI76" s="105"/>
      <c r="CJ76" s="106"/>
      <c r="CK76" s="105"/>
      <c r="CL76" s="106"/>
      <c r="CM76" s="36"/>
      <c r="CN76" s="15"/>
      <c r="CO76" s="26"/>
      <c r="CP76" s="33"/>
      <c r="CQ76" s="53">
        <f t="shared" si="27"/>
        <v>0</v>
      </c>
      <c r="CS76" s="31"/>
      <c r="CT76" s="46"/>
      <c r="CU76" s="47"/>
      <c r="CV76" s="47"/>
      <c r="CW76" s="48"/>
      <c r="CX76" s="8"/>
      <c r="CY76" s="105"/>
      <c r="CZ76" s="106"/>
      <c r="DA76" s="105"/>
      <c r="DB76" s="106"/>
      <c r="DC76" s="36"/>
      <c r="DD76" s="15"/>
      <c r="DE76" s="26"/>
      <c r="DF76" s="33"/>
      <c r="DG76" s="53">
        <f t="shared" si="28"/>
        <v>0</v>
      </c>
      <c r="DI76" s="31"/>
      <c r="DJ76" s="46"/>
      <c r="DK76" s="47"/>
      <c r="DL76" s="47"/>
      <c r="DM76" s="48"/>
      <c r="DN76" s="8"/>
      <c r="DO76" s="105"/>
      <c r="DP76" s="106"/>
      <c r="DQ76" s="105"/>
      <c r="DR76" s="106"/>
      <c r="DS76" s="36"/>
      <c r="DT76" s="15"/>
      <c r="DU76" s="26"/>
      <c r="DV76" s="33"/>
      <c r="DW76" s="53">
        <f t="shared" si="29"/>
        <v>0</v>
      </c>
      <c r="DY76" s="31"/>
      <c r="DZ76" s="46"/>
      <c r="EA76" s="47"/>
      <c r="EB76" s="47"/>
      <c r="EC76" s="48"/>
      <c r="ED76" s="8"/>
      <c r="EE76" s="105"/>
      <c r="EF76" s="106"/>
      <c r="EG76" s="105"/>
      <c r="EH76" s="106"/>
      <c r="EI76" s="36"/>
      <c r="EJ76" s="15"/>
      <c r="EK76" s="26"/>
      <c r="EL76" s="33"/>
      <c r="EM76" s="53">
        <f t="shared" si="30"/>
        <v>0</v>
      </c>
      <c r="EO76" s="31"/>
      <c r="EP76" s="46"/>
      <c r="EQ76" s="47"/>
      <c r="ER76" s="47"/>
      <c r="ES76" s="48"/>
      <c r="ET76" s="8"/>
      <c r="EU76" s="105"/>
      <c r="EV76" s="106"/>
      <c r="EW76" s="105"/>
      <c r="EX76" s="106"/>
      <c r="EY76" s="36"/>
      <c r="EZ76" s="15"/>
      <c r="FA76" s="26"/>
      <c r="FB76" s="33"/>
      <c r="FC76" s="53">
        <f t="shared" si="31"/>
        <v>0</v>
      </c>
      <c r="FE76" s="31"/>
      <c r="FF76" s="46"/>
      <c r="FG76" s="47"/>
      <c r="FH76" s="47"/>
      <c r="FI76" s="48"/>
      <c r="FJ76" s="8"/>
      <c r="FK76" s="105"/>
      <c r="FL76" s="106"/>
      <c r="FM76" s="105"/>
      <c r="FN76" s="106"/>
      <c r="FO76" s="36"/>
      <c r="FP76" s="15"/>
      <c r="FQ76" s="26"/>
      <c r="FR76" s="33"/>
      <c r="FS76" s="53">
        <f t="shared" si="32"/>
        <v>0</v>
      </c>
      <c r="FU76" s="31"/>
      <c r="FV76" s="46"/>
      <c r="FW76" s="47"/>
      <c r="FX76" s="47"/>
      <c r="FY76" s="48"/>
      <c r="FZ76" s="8"/>
      <c r="GA76" s="105"/>
      <c r="GB76" s="106"/>
      <c r="GC76" s="105"/>
      <c r="GD76" s="106"/>
      <c r="GE76" s="36"/>
      <c r="GF76" s="15"/>
      <c r="GG76" s="26"/>
      <c r="GH76" s="33"/>
      <c r="GI76" s="53">
        <f t="shared" si="33"/>
        <v>0</v>
      </c>
      <c r="GK76" s="31"/>
      <c r="GL76" s="46"/>
      <c r="GM76" s="47"/>
      <c r="GN76" s="47"/>
      <c r="GO76" s="48"/>
      <c r="GP76" s="8"/>
      <c r="GQ76" s="105"/>
      <c r="GR76" s="106"/>
      <c r="GS76" s="105"/>
      <c r="GT76" s="106"/>
      <c r="GU76" s="36"/>
      <c r="GV76" s="15"/>
      <c r="GW76" s="26"/>
      <c r="GX76" s="33"/>
      <c r="GY76" s="53">
        <f t="shared" si="34"/>
        <v>0</v>
      </c>
      <c r="HA76" s="31"/>
      <c r="HB76" s="46"/>
      <c r="HC76" s="47"/>
      <c r="HD76" s="47"/>
      <c r="HE76" s="48"/>
      <c r="HF76" s="8"/>
      <c r="HG76" s="105"/>
      <c r="HH76" s="106"/>
      <c r="HI76" s="105"/>
      <c r="HJ76" s="106"/>
      <c r="HK76" s="36"/>
      <c r="HL76" s="15"/>
      <c r="HM76" s="26"/>
      <c r="HN76" s="33"/>
      <c r="HO76" s="53">
        <f t="shared" si="35"/>
        <v>0</v>
      </c>
      <c r="HQ76" s="31"/>
      <c r="HR76" s="46"/>
      <c r="HS76" s="47"/>
      <c r="HT76" s="47"/>
      <c r="HU76" s="48"/>
      <c r="HV76" s="8"/>
      <c r="HW76" s="105"/>
      <c r="HX76" s="106"/>
      <c r="HY76" s="105"/>
      <c r="HZ76" s="106"/>
      <c r="IA76" s="36"/>
      <c r="IB76" s="15"/>
      <c r="IC76" s="26"/>
      <c r="ID76" s="33"/>
      <c r="IE76" s="53">
        <f t="shared" si="36"/>
        <v>0</v>
      </c>
      <c r="IG76" s="31"/>
      <c r="IH76" s="46"/>
      <c r="II76" s="47"/>
      <c r="IJ76" s="47"/>
      <c r="IK76" s="48"/>
      <c r="IL76" s="8"/>
      <c r="IM76" s="105"/>
      <c r="IN76" s="106"/>
      <c r="IO76" s="105"/>
      <c r="IP76" s="106"/>
      <c r="IQ76" s="36"/>
      <c r="IR76" s="15"/>
      <c r="IS76" s="26"/>
      <c r="IT76" s="33"/>
      <c r="IU76" s="53">
        <f t="shared" si="37"/>
        <v>0</v>
      </c>
      <c r="IW76" s="31"/>
      <c r="IX76" s="46"/>
      <c r="IY76" s="47"/>
      <c r="IZ76" s="47"/>
      <c r="JA76" s="48"/>
      <c r="JB76" s="8"/>
      <c r="JC76" s="105"/>
      <c r="JD76" s="106"/>
      <c r="JE76" s="105"/>
      <c r="JF76" s="106"/>
      <c r="JG76" s="36"/>
      <c r="JH76" s="15"/>
      <c r="JI76" s="26"/>
      <c r="JJ76" s="33"/>
      <c r="JK76" s="53">
        <f t="shared" si="38"/>
        <v>0</v>
      </c>
      <c r="JM76" s="31"/>
      <c r="JN76" s="46"/>
      <c r="JO76" s="47"/>
      <c r="JP76" s="47"/>
      <c r="JQ76" s="48"/>
      <c r="JR76" s="8"/>
      <c r="JS76" s="105"/>
      <c r="JT76" s="106"/>
      <c r="JU76" s="105"/>
      <c r="JV76" s="106"/>
      <c r="JW76" s="36"/>
      <c r="JX76" s="15"/>
      <c r="JY76" s="26"/>
      <c r="JZ76" s="33"/>
      <c r="KA76" s="53">
        <f t="shared" si="39"/>
        <v>0</v>
      </c>
      <c r="KC76" s="31"/>
      <c r="KD76" s="46"/>
      <c r="KE76" s="47"/>
      <c r="KF76" s="47"/>
      <c r="KG76" s="48"/>
      <c r="KH76" s="8"/>
      <c r="KI76" s="105"/>
      <c r="KJ76" s="106"/>
      <c r="KK76" s="105"/>
      <c r="KL76" s="106"/>
      <c r="KM76" s="36"/>
      <c r="KN76" s="15"/>
      <c r="KO76" s="26"/>
      <c r="KP76" s="33"/>
      <c r="KQ76" s="53">
        <f t="shared" si="40"/>
        <v>0</v>
      </c>
      <c r="KS76" s="31"/>
      <c r="KT76" s="46"/>
      <c r="KU76" s="47"/>
      <c r="KV76" s="47"/>
      <c r="KW76" s="48"/>
      <c r="KX76" s="8"/>
      <c r="KY76" s="105"/>
      <c r="KZ76" s="106"/>
      <c r="LA76" s="105"/>
      <c r="LB76" s="106"/>
      <c r="LC76" s="36"/>
      <c r="LD76" s="15"/>
      <c r="LE76" s="26"/>
      <c r="LF76" s="33"/>
      <c r="LG76" s="53">
        <f t="shared" si="41"/>
        <v>0</v>
      </c>
      <c r="LI76" s="31"/>
      <c r="LJ76" s="46"/>
      <c r="LK76" s="47"/>
      <c r="LL76" s="47"/>
      <c r="LM76" s="48"/>
      <c r="LN76" s="8"/>
      <c r="LO76" s="105"/>
      <c r="LP76" s="106"/>
      <c r="LQ76" s="105"/>
      <c r="LR76" s="106"/>
      <c r="LS76" s="36"/>
      <c r="LT76" s="15"/>
      <c r="LU76" s="26"/>
      <c r="LV76" s="33"/>
      <c r="LW76" s="53">
        <f t="shared" si="42"/>
        <v>0</v>
      </c>
      <c r="LY76" s="31"/>
      <c r="LZ76" s="46"/>
      <c r="MA76" s="47"/>
      <c r="MB76" s="47"/>
      <c r="MC76" s="48"/>
      <c r="MD76" s="8"/>
      <c r="ME76" s="105"/>
      <c r="MF76" s="106"/>
      <c r="MG76" s="105"/>
      <c r="MH76" s="106"/>
      <c r="MI76" s="36"/>
      <c r="MJ76" s="15"/>
      <c r="MK76" s="26"/>
      <c r="ML76" s="33"/>
      <c r="MM76" s="53">
        <f t="shared" si="43"/>
        <v>0</v>
      </c>
    </row>
    <row r="77" spans="1:351" ht="20.100000000000001" customHeight="1" x14ac:dyDescent="0.3">
      <c r="A77" s="32"/>
      <c r="B77" s="46"/>
      <c r="C77" s="47"/>
      <c r="D77" s="47"/>
      <c r="E77" s="48"/>
      <c r="F77" s="8"/>
      <c r="G77" s="105"/>
      <c r="H77" s="106"/>
      <c r="I77" s="105"/>
      <c r="J77" s="106"/>
      <c r="K77" s="36"/>
      <c r="L77" s="15"/>
      <c r="M77" s="26"/>
      <c r="N77" s="33"/>
      <c r="O77" s="53">
        <f t="shared" si="22"/>
        <v>0</v>
      </c>
      <c r="Q77" s="32"/>
      <c r="R77" s="46"/>
      <c r="S77" s="47"/>
      <c r="T77" s="47"/>
      <c r="U77" s="48"/>
      <c r="V77" s="8"/>
      <c r="W77" s="105"/>
      <c r="X77" s="106"/>
      <c r="Y77" s="105"/>
      <c r="Z77" s="106"/>
      <c r="AA77" s="36"/>
      <c r="AB77" s="15"/>
      <c r="AC77" s="26"/>
      <c r="AD77" s="33"/>
      <c r="AE77" s="53">
        <f t="shared" si="23"/>
        <v>0</v>
      </c>
      <c r="AG77" s="32"/>
      <c r="AH77" s="46"/>
      <c r="AI77" s="47"/>
      <c r="AJ77" s="47"/>
      <c r="AK77" s="48"/>
      <c r="AL77" s="8"/>
      <c r="AM77" s="105"/>
      <c r="AN77" s="106"/>
      <c r="AO77" s="105"/>
      <c r="AP77" s="106"/>
      <c r="AQ77" s="36"/>
      <c r="AR77" s="15"/>
      <c r="AS77" s="26"/>
      <c r="AT77" s="33"/>
      <c r="AU77" s="53">
        <f t="shared" si="24"/>
        <v>0</v>
      </c>
      <c r="AW77" s="32"/>
      <c r="AX77" s="46"/>
      <c r="AY77" s="47"/>
      <c r="AZ77" s="47"/>
      <c r="BA77" s="48"/>
      <c r="BB77" s="8"/>
      <c r="BC77" s="105"/>
      <c r="BD77" s="106"/>
      <c r="BE77" s="105"/>
      <c r="BF77" s="106"/>
      <c r="BG77" s="36"/>
      <c r="BH77" s="15"/>
      <c r="BI77" s="26"/>
      <c r="BJ77" s="33"/>
      <c r="BK77" s="53">
        <f t="shared" si="25"/>
        <v>0</v>
      </c>
      <c r="BM77" s="32"/>
      <c r="BN77" s="46"/>
      <c r="BO77" s="47"/>
      <c r="BP77" s="47"/>
      <c r="BQ77" s="48"/>
      <c r="BR77" s="8"/>
      <c r="BS77" s="105"/>
      <c r="BT77" s="106"/>
      <c r="BU77" s="105"/>
      <c r="BV77" s="106"/>
      <c r="BW77" s="36"/>
      <c r="BX77" s="15"/>
      <c r="BY77" s="26"/>
      <c r="BZ77" s="33"/>
      <c r="CA77" s="53">
        <f t="shared" si="26"/>
        <v>0</v>
      </c>
      <c r="CC77" s="32"/>
      <c r="CD77" s="46"/>
      <c r="CE77" s="47"/>
      <c r="CF77" s="47"/>
      <c r="CG77" s="48"/>
      <c r="CH77" s="8"/>
      <c r="CI77" s="105"/>
      <c r="CJ77" s="106"/>
      <c r="CK77" s="105"/>
      <c r="CL77" s="106"/>
      <c r="CM77" s="36"/>
      <c r="CN77" s="15"/>
      <c r="CO77" s="26"/>
      <c r="CP77" s="33"/>
      <c r="CQ77" s="53">
        <f t="shared" si="27"/>
        <v>0</v>
      </c>
      <c r="CS77" s="32"/>
      <c r="CT77" s="46"/>
      <c r="CU77" s="47"/>
      <c r="CV77" s="47"/>
      <c r="CW77" s="48"/>
      <c r="CX77" s="8"/>
      <c r="CY77" s="105"/>
      <c r="CZ77" s="106"/>
      <c r="DA77" s="105"/>
      <c r="DB77" s="106"/>
      <c r="DC77" s="36"/>
      <c r="DD77" s="15"/>
      <c r="DE77" s="26"/>
      <c r="DF77" s="33"/>
      <c r="DG77" s="53">
        <f t="shared" si="28"/>
        <v>0</v>
      </c>
      <c r="DI77" s="32"/>
      <c r="DJ77" s="46"/>
      <c r="DK77" s="47"/>
      <c r="DL77" s="47"/>
      <c r="DM77" s="48"/>
      <c r="DN77" s="8"/>
      <c r="DO77" s="105"/>
      <c r="DP77" s="106"/>
      <c r="DQ77" s="105"/>
      <c r="DR77" s="106"/>
      <c r="DS77" s="36"/>
      <c r="DT77" s="15"/>
      <c r="DU77" s="26"/>
      <c r="DV77" s="33"/>
      <c r="DW77" s="53">
        <f t="shared" si="29"/>
        <v>0</v>
      </c>
      <c r="DY77" s="32"/>
      <c r="DZ77" s="46"/>
      <c r="EA77" s="47"/>
      <c r="EB77" s="47"/>
      <c r="EC77" s="48"/>
      <c r="ED77" s="8"/>
      <c r="EE77" s="105"/>
      <c r="EF77" s="106"/>
      <c r="EG77" s="105"/>
      <c r="EH77" s="106"/>
      <c r="EI77" s="36"/>
      <c r="EJ77" s="15"/>
      <c r="EK77" s="26"/>
      <c r="EL77" s="33"/>
      <c r="EM77" s="53">
        <f t="shared" si="30"/>
        <v>0</v>
      </c>
      <c r="EO77" s="32"/>
      <c r="EP77" s="46"/>
      <c r="EQ77" s="47"/>
      <c r="ER77" s="47"/>
      <c r="ES77" s="48"/>
      <c r="ET77" s="8"/>
      <c r="EU77" s="105"/>
      <c r="EV77" s="106"/>
      <c r="EW77" s="105"/>
      <c r="EX77" s="106"/>
      <c r="EY77" s="36"/>
      <c r="EZ77" s="15"/>
      <c r="FA77" s="26"/>
      <c r="FB77" s="33"/>
      <c r="FC77" s="53">
        <f t="shared" si="31"/>
        <v>0</v>
      </c>
      <c r="FE77" s="32"/>
      <c r="FF77" s="46"/>
      <c r="FG77" s="47"/>
      <c r="FH77" s="47"/>
      <c r="FI77" s="48"/>
      <c r="FJ77" s="8"/>
      <c r="FK77" s="105"/>
      <c r="FL77" s="106"/>
      <c r="FM77" s="105"/>
      <c r="FN77" s="106"/>
      <c r="FO77" s="36"/>
      <c r="FP77" s="15"/>
      <c r="FQ77" s="26"/>
      <c r="FR77" s="33"/>
      <c r="FS77" s="53">
        <f t="shared" si="32"/>
        <v>0</v>
      </c>
      <c r="FU77" s="32"/>
      <c r="FV77" s="46"/>
      <c r="FW77" s="47"/>
      <c r="FX77" s="47"/>
      <c r="FY77" s="48"/>
      <c r="FZ77" s="8"/>
      <c r="GA77" s="105"/>
      <c r="GB77" s="106"/>
      <c r="GC77" s="105"/>
      <c r="GD77" s="106"/>
      <c r="GE77" s="36"/>
      <c r="GF77" s="15"/>
      <c r="GG77" s="26"/>
      <c r="GH77" s="33"/>
      <c r="GI77" s="53">
        <f t="shared" si="33"/>
        <v>0</v>
      </c>
      <c r="GK77" s="32"/>
      <c r="GL77" s="46"/>
      <c r="GM77" s="47"/>
      <c r="GN77" s="47"/>
      <c r="GO77" s="48"/>
      <c r="GP77" s="8"/>
      <c r="GQ77" s="105"/>
      <c r="GR77" s="106"/>
      <c r="GS77" s="105"/>
      <c r="GT77" s="106"/>
      <c r="GU77" s="36"/>
      <c r="GV77" s="15"/>
      <c r="GW77" s="26"/>
      <c r="GX77" s="33"/>
      <c r="GY77" s="53">
        <f t="shared" si="34"/>
        <v>0</v>
      </c>
      <c r="HA77" s="32"/>
      <c r="HB77" s="46"/>
      <c r="HC77" s="47"/>
      <c r="HD77" s="47"/>
      <c r="HE77" s="48"/>
      <c r="HF77" s="8"/>
      <c r="HG77" s="105"/>
      <c r="HH77" s="106"/>
      <c r="HI77" s="105"/>
      <c r="HJ77" s="106"/>
      <c r="HK77" s="36"/>
      <c r="HL77" s="15"/>
      <c r="HM77" s="26"/>
      <c r="HN77" s="33"/>
      <c r="HO77" s="53">
        <f t="shared" si="35"/>
        <v>0</v>
      </c>
      <c r="HQ77" s="32"/>
      <c r="HR77" s="46"/>
      <c r="HS77" s="47"/>
      <c r="HT77" s="47"/>
      <c r="HU77" s="48"/>
      <c r="HV77" s="8"/>
      <c r="HW77" s="105"/>
      <c r="HX77" s="106"/>
      <c r="HY77" s="105"/>
      <c r="HZ77" s="106"/>
      <c r="IA77" s="36"/>
      <c r="IB77" s="15"/>
      <c r="IC77" s="26"/>
      <c r="ID77" s="33"/>
      <c r="IE77" s="53">
        <f t="shared" si="36"/>
        <v>0</v>
      </c>
      <c r="IG77" s="32"/>
      <c r="IH77" s="46"/>
      <c r="II77" s="47"/>
      <c r="IJ77" s="47"/>
      <c r="IK77" s="48"/>
      <c r="IL77" s="8"/>
      <c r="IM77" s="105"/>
      <c r="IN77" s="106"/>
      <c r="IO77" s="105"/>
      <c r="IP77" s="106"/>
      <c r="IQ77" s="36"/>
      <c r="IR77" s="15"/>
      <c r="IS77" s="26"/>
      <c r="IT77" s="33"/>
      <c r="IU77" s="53">
        <f t="shared" si="37"/>
        <v>0</v>
      </c>
      <c r="IW77" s="32"/>
      <c r="IX77" s="46"/>
      <c r="IY77" s="47"/>
      <c r="IZ77" s="47"/>
      <c r="JA77" s="48"/>
      <c r="JB77" s="8"/>
      <c r="JC77" s="105"/>
      <c r="JD77" s="106"/>
      <c r="JE77" s="105"/>
      <c r="JF77" s="106"/>
      <c r="JG77" s="36"/>
      <c r="JH77" s="15"/>
      <c r="JI77" s="26"/>
      <c r="JJ77" s="33"/>
      <c r="JK77" s="53">
        <f t="shared" si="38"/>
        <v>0</v>
      </c>
      <c r="JM77" s="32"/>
      <c r="JN77" s="46"/>
      <c r="JO77" s="47"/>
      <c r="JP77" s="47"/>
      <c r="JQ77" s="48"/>
      <c r="JR77" s="8"/>
      <c r="JS77" s="105"/>
      <c r="JT77" s="106"/>
      <c r="JU77" s="105"/>
      <c r="JV77" s="106"/>
      <c r="JW77" s="36"/>
      <c r="JX77" s="15"/>
      <c r="JY77" s="26"/>
      <c r="JZ77" s="33"/>
      <c r="KA77" s="53">
        <f t="shared" si="39"/>
        <v>0</v>
      </c>
      <c r="KC77" s="32"/>
      <c r="KD77" s="46"/>
      <c r="KE77" s="47"/>
      <c r="KF77" s="47"/>
      <c r="KG77" s="48"/>
      <c r="KH77" s="8"/>
      <c r="KI77" s="105"/>
      <c r="KJ77" s="106"/>
      <c r="KK77" s="105"/>
      <c r="KL77" s="106"/>
      <c r="KM77" s="36"/>
      <c r="KN77" s="15"/>
      <c r="KO77" s="26"/>
      <c r="KP77" s="33"/>
      <c r="KQ77" s="53">
        <f t="shared" si="40"/>
        <v>0</v>
      </c>
      <c r="KS77" s="32"/>
      <c r="KT77" s="46"/>
      <c r="KU77" s="47"/>
      <c r="KV77" s="47"/>
      <c r="KW77" s="48"/>
      <c r="KX77" s="8"/>
      <c r="KY77" s="105"/>
      <c r="KZ77" s="106"/>
      <c r="LA77" s="105"/>
      <c r="LB77" s="106"/>
      <c r="LC77" s="36"/>
      <c r="LD77" s="15"/>
      <c r="LE77" s="26"/>
      <c r="LF77" s="33"/>
      <c r="LG77" s="53">
        <f t="shared" si="41"/>
        <v>0</v>
      </c>
      <c r="LI77" s="32"/>
      <c r="LJ77" s="46"/>
      <c r="LK77" s="47"/>
      <c r="LL77" s="47"/>
      <c r="LM77" s="48"/>
      <c r="LN77" s="8"/>
      <c r="LO77" s="105"/>
      <c r="LP77" s="106"/>
      <c r="LQ77" s="105"/>
      <c r="LR77" s="106"/>
      <c r="LS77" s="36"/>
      <c r="LT77" s="15"/>
      <c r="LU77" s="26"/>
      <c r="LV77" s="33"/>
      <c r="LW77" s="53">
        <f t="shared" si="42"/>
        <v>0</v>
      </c>
      <c r="LY77" s="32"/>
      <c r="LZ77" s="46"/>
      <c r="MA77" s="47"/>
      <c r="MB77" s="47"/>
      <c r="MC77" s="48"/>
      <c r="MD77" s="8"/>
      <c r="ME77" s="105"/>
      <c r="MF77" s="106"/>
      <c r="MG77" s="105"/>
      <c r="MH77" s="106"/>
      <c r="MI77" s="36"/>
      <c r="MJ77" s="15"/>
      <c r="MK77" s="26"/>
      <c r="ML77" s="33"/>
      <c r="MM77" s="53">
        <f t="shared" si="43"/>
        <v>0</v>
      </c>
    </row>
    <row r="78" spans="1:351" ht="20.100000000000001" customHeight="1" x14ac:dyDescent="0.3">
      <c r="A78" s="31"/>
      <c r="B78" s="46"/>
      <c r="C78" s="47"/>
      <c r="D78" s="47"/>
      <c r="E78" s="48"/>
      <c r="F78" s="8"/>
      <c r="G78" s="105"/>
      <c r="H78" s="106"/>
      <c r="I78" s="105"/>
      <c r="J78" s="106"/>
      <c r="K78" s="36"/>
      <c r="L78" s="15"/>
      <c r="M78" s="26"/>
      <c r="N78" s="33"/>
      <c r="O78" s="53">
        <f t="shared" si="22"/>
        <v>0</v>
      </c>
      <c r="Q78" s="31"/>
      <c r="R78" s="46"/>
      <c r="S78" s="47"/>
      <c r="T78" s="47"/>
      <c r="U78" s="48"/>
      <c r="V78" s="8"/>
      <c r="W78" s="105"/>
      <c r="X78" s="106"/>
      <c r="Y78" s="105"/>
      <c r="Z78" s="106"/>
      <c r="AA78" s="36"/>
      <c r="AB78" s="15"/>
      <c r="AC78" s="26"/>
      <c r="AD78" s="33"/>
      <c r="AE78" s="53">
        <f t="shared" si="23"/>
        <v>0</v>
      </c>
      <c r="AG78" s="31"/>
      <c r="AH78" s="46"/>
      <c r="AI78" s="47"/>
      <c r="AJ78" s="47"/>
      <c r="AK78" s="48"/>
      <c r="AL78" s="8"/>
      <c r="AM78" s="105"/>
      <c r="AN78" s="106"/>
      <c r="AO78" s="105"/>
      <c r="AP78" s="106"/>
      <c r="AQ78" s="36"/>
      <c r="AR78" s="15"/>
      <c r="AS78" s="26"/>
      <c r="AT78" s="33"/>
      <c r="AU78" s="53">
        <f t="shared" si="24"/>
        <v>0</v>
      </c>
      <c r="AW78" s="31"/>
      <c r="AX78" s="46"/>
      <c r="AY78" s="47"/>
      <c r="AZ78" s="47"/>
      <c r="BA78" s="48"/>
      <c r="BB78" s="8"/>
      <c r="BC78" s="105"/>
      <c r="BD78" s="106"/>
      <c r="BE78" s="105"/>
      <c r="BF78" s="106"/>
      <c r="BG78" s="36"/>
      <c r="BH78" s="15"/>
      <c r="BI78" s="26"/>
      <c r="BJ78" s="33"/>
      <c r="BK78" s="53">
        <f t="shared" si="25"/>
        <v>0</v>
      </c>
      <c r="BM78" s="31"/>
      <c r="BN78" s="46"/>
      <c r="BO78" s="47"/>
      <c r="BP78" s="47"/>
      <c r="BQ78" s="48"/>
      <c r="BR78" s="8"/>
      <c r="BS78" s="105"/>
      <c r="BT78" s="106"/>
      <c r="BU78" s="105"/>
      <c r="BV78" s="106"/>
      <c r="BW78" s="36"/>
      <c r="BX78" s="15"/>
      <c r="BY78" s="26"/>
      <c r="BZ78" s="33"/>
      <c r="CA78" s="53">
        <f t="shared" si="26"/>
        <v>0</v>
      </c>
      <c r="CC78" s="31"/>
      <c r="CD78" s="46"/>
      <c r="CE78" s="47"/>
      <c r="CF78" s="47"/>
      <c r="CG78" s="48"/>
      <c r="CH78" s="8"/>
      <c r="CI78" s="105"/>
      <c r="CJ78" s="106"/>
      <c r="CK78" s="105"/>
      <c r="CL78" s="106"/>
      <c r="CM78" s="36"/>
      <c r="CN78" s="15"/>
      <c r="CO78" s="26"/>
      <c r="CP78" s="33"/>
      <c r="CQ78" s="53">
        <f t="shared" si="27"/>
        <v>0</v>
      </c>
      <c r="CS78" s="31"/>
      <c r="CT78" s="46"/>
      <c r="CU78" s="47"/>
      <c r="CV78" s="47"/>
      <c r="CW78" s="48"/>
      <c r="CX78" s="8"/>
      <c r="CY78" s="105"/>
      <c r="CZ78" s="106"/>
      <c r="DA78" s="105"/>
      <c r="DB78" s="106"/>
      <c r="DC78" s="36"/>
      <c r="DD78" s="15"/>
      <c r="DE78" s="26"/>
      <c r="DF78" s="33"/>
      <c r="DG78" s="53">
        <f t="shared" si="28"/>
        <v>0</v>
      </c>
      <c r="DI78" s="31"/>
      <c r="DJ78" s="46"/>
      <c r="DK78" s="47"/>
      <c r="DL78" s="47"/>
      <c r="DM78" s="48"/>
      <c r="DN78" s="8"/>
      <c r="DO78" s="105"/>
      <c r="DP78" s="106"/>
      <c r="DQ78" s="105"/>
      <c r="DR78" s="106"/>
      <c r="DS78" s="36"/>
      <c r="DT78" s="15"/>
      <c r="DU78" s="26"/>
      <c r="DV78" s="33"/>
      <c r="DW78" s="53">
        <f t="shared" si="29"/>
        <v>0</v>
      </c>
      <c r="DY78" s="31"/>
      <c r="DZ78" s="46"/>
      <c r="EA78" s="47"/>
      <c r="EB78" s="47"/>
      <c r="EC78" s="48"/>
      <c r="ED78" s="8"/>
      <c r="EE78" s="105"/>
      <c r="EF78" s="106"/>
      <c r="EG78" s="105"/>
      <c r="EH78" s="106"/>
      <c r="EI78" s="36"/>
      <c r="EJ78" s="15"/>
      <c r="EK78" s="26"/>
      <c r="EL78" s="33"/>
      <c r="EM78" s="53">
        <f t="shared" si="30"/>
        <v>0</v>
      </c>
      <c r="EO78" s="31"/>
      <c r="EP78" s="46"/>
      <c r="EQ78" s="47"/>
      <c r="ER78" s="47"/>
      <c r="ES78" s="48"/>
      <c r="ET78" s="8"/>
      <c r="EU78" s="105"/>
      <c r="EV78" s="106"/>
      <c r="EW78" s="105"/>
      <c r="EX78" s="106"/>
      <c r="EY78" s="36"/>
      <c r="EZ78" s="15"/>
      <c r="FA78" s="26"/>
      <c r="FB78" s="33"/>
      <c r="FC78" s="53">
        <f t="shared" si="31"/>
        <v>0</v>
      </c>
      <c r="FE78" s="31"/>
      <c r="FF78" s="46"/>
      <c r="FG78" s="47"/>
      <c r="FH78" s="47"/>
      <c r="FI78" s="48"/>
      <c r="FJ78" s="8"/>
      <c r="FK78" s="105"/>
      <c r="FL78" s="106"/>
      <c r="FM78" s="105"/>
      <c r="FN78" s="106"/>
      <c r="FO78" s="36"/>
      <c r="FP78" s="15"/>
      <c r="FQ78" s="26"/>
      <c r="FR78" s="33"/>
      <c r="FS78" s="53">
        <f t="shared" si="32"/>
        <v>0</v>
      </c>
      <c r="FU78" s="31"/>
      <c r="FV78" s="46"/>
      <c r="FW78" s="47"/>
      <c r="FX78" s="47"/>
      <c r="FY78" s="48"/>
      <c r="FZ78" s="8"/>
      <c r="GA78" s="105"/>
      <c r="GB78" s="106"/>
      <c r="GC78" s="105"/>
      <c r="GD78" s="106"/>
      <c r="GE78" s="36"/>
      <c r="GF78" s="15"/>
      <c r="GG78" s="26"/>
      <c r="GH78" s="33"/>
      <c r="GI78" s="53">
        <f t="shared" si="33"/>
        <v>0</v>
      </c>
      <c r="GK78" s="31"/>
      <c r="GL78" s="46"/>
      <c r="GM78" s="47"/>
      <c r="GN78" s="47"/>
      <c r="GO78" s="48"/>
      <c r="GP78" s="8"/>
      <c r="GQ78" s="105"/>
      <c r="GR78" s="106"/>
      <c r="GS78" s="105"/>
      <c r="GT78" s="106"/>
      <c r="GU78" s="36"/>
      <c r="GV78" s="15"/>
      <c r="GW78" s="26"/>
      <c r="GX78" s="33"/>
      <c r="GY78" s="53">
        <f t="shared" si="34"/>
        <v>0</v>
      </c>
      <c r="HA78" s="31"/>
      <c r="HB78" s="46"/>
      <c r="HC78" s="47"/>
      <c r="HD78" s="47"/>
      <c r="HE78" s="48"/>
      <c r="HF78" s="8"/>
      <c r="HG78" s="105"/>
      <c r="HH78" s="106"/>
      <c r="HI78" s="105"/>
      <c r="HJ78" s="106"/>
      <c r="HK78" s="36"/>
      <c r="HL78" s="15"/>
      <c r="HM78" s="26"/>
      <c r="HN78" s="33"/>
      <c r="HO78" s="53">
        <f t="shared" si="35"/>
        <v>0</v>
      </c>
      <c r="HQ78" s="31"/>
      <c r="HR78" s="46"/>
      <c r="HS78" s="47"/>
      <c r="HT78" s="47"/>
      <c r="HU78" s="48"/>
      <c r="HV78" s="8"/>
      <c r="HW78" s="105"/>
      <c r="HX78" s="106"/>
      <c r="HY78" s="105"/>
      <c r="HZ78" s="106"/>
      <c r="IA78" s="36"/>
      <c r="IB78" s="15"/>
      <c r="IC78" s="26"/>
      <c r="ID78" s="33"/>
      <c r="IE78" s="53">
        <f t="shared" si="36"/>
        <v>0</v>
      </c>
      <c r="IG78" s="31"/>
      <c r="IH78" s="46"/>
      <c r="II78" s="47"/>
      <c r="IJ78" s="47"/>
      <c r="IK78" s="48"/>
      <c r="IL78" s="8"/>
      <c r="IM78" s="105"/>
      <c r="IN78" s="106"/>
      <c r="IO78" s="105"/>
      <c r="IP78" s="106"/>
      <c r="IQ78" s="36"/>
      <c r="IR78" s="15"/>
      <c r="IS78" s="26"/>
      <c r="IT78" s="33"/>
      <c r="IU78" s="53">
        <f t="shared" si="37"/>
        <v>0</v>
      </c>
      <c r="IW78" s="31"/>
      <c r="IX78" s="46"/>
      <c r="IY78" s="47"/>
      <c r="IZ78" s="47"/>
      <c r="JA78" s="48"/>
      <c r="JB78" s="8"/>
      <c r="JC78" s="105"/>
      <c r="JD78" s="106"/>
      <c r="JE78" s="105"/>
      <c r="JF78" s="106"/>
      <c r="JG78" s="36"/>
      <c r="JH78" s="15"/>
      <c r="JI78" s="26"/>
      <c r="JJ78" s="33"/>
      <c r="JK78" s="53">
        <f t="shared" si="38"/>
        <v>0</v>
      </c>
      <c r="JM78" s="31"/>
      <c r="JN78" s="46"/>
      <c r="JO78" s="47"/>
      <c r="JP78" s="47"/>
      <c r="JQ78" s="48"/>
      <c r="JR78" s="8"/>
      <c r="JS78" s="105"/>
      <c r="JT78" s="106"/>
      <c r="JU78" s="105"/>
      <c r="JV78" s="106"/>
      <c r="JW78" s="36"/>
      <c r="JX78" s="15"/>
      <c r="JY78" s="26"/>
      <c r="JZ78" s="33"/>
      <c r="KA78" s="53">
        <f t="shared" si="39"/>
        <v>0</v>
      </c>
      <c r="KC78" s="31"/>
      <c r="KD78" s="46"/>
      <c r="KE78" s="47"/>
      <c r="KF78" s="47"/>
      <c r="KG78" s="48"/>
      <c r="KH78" s="8"/>
      <c r="KI78" s="105"/>
      <c r="KJ78" s="106"/>
      <c r="KK78" s="105"/>
      <c r="KL78" s="106"/>
      <c r="KM78" s="36"/>
      <c r="KN78" s="15"/>
      <c r="KO78" s="26"/>
      <c r="KP78" s="33"/>
      <c r="KQ78" s="53">
        <f t="shared" si="40"/>
        <v>0</v>
      </c>
      <c r="KS78" s="31"/>
      <c r="KT78" s="46"/>
      <c r="KU78" s="47"/>
      <c r="KV78" s="47"/>
      <c r="KW78" s="48"/>
      <c r="KX78" s="8"/>
      <c r="KY78" s="105"/>
      <c r="KZ78" s="106"/>
      <c r="LA78" s="105"/>
      <c r="LB78" s="106"/>
      <c r="LC78" s="36"/>
      <c r="LD78" s="15"/>
      <c r="LE78" s="26"/>
      <c r="LF78" s="33"/>
      <c r="LG78" s="53">
        <f t="shared" si="41"/>
        <v>0</v>
      </c>
      <c r="LI78" s="31"/>
      <c r="LJ78" s="46"/>
      <c r="LK78" s="47"/>
      <c r="LL78" s="47"/>
      <c r="LM78" s="48"/>
      <c r="LN78" s="8"/>
      <c r="LO78" s="105"/>
      <c r="LP78" s="106"/>
      <c r="LQ78" s="105"/>
      <c r="LR78" s="106"/>
      <c r="LS78" s="36"/>
      <c r="LT78" s="15"/>
      <c r="LU78" s="26"/>
      <c r="LV78" s="33"/>
      <c r="LW78" s="53">
        <f t="shared" si="42"/>
        <v>0</v>
      </c>
      <c r="LY78" s="31"/>
      <c r="LZ78" s="46"/>
      <c r="MA78" s="47"/>
      <c r="MB78" s="47"/>
      <c r="MC78" s="48"/>
      <c r="MD78" s="8"/>
      <c r="ME78" s="105"/>
      <c r="MF78" s="106"/>
      <c r="MG78" s="105"/>
      <c r="MH78" s="106"/>
      <c r="MI78" s="36"/>
      <c r="MJ78" s="15"/>
      <c r="MK78" s="26"/>
      <c r="ML78" s="33"/>
      <c r="MM78" s="53">
        <f t="shared" si="43"/>
        <v>0</v>
      </c>
    </row>
    <row r="79" spans="1:351" ht="20.100000000000001" customHeight="1" x14ac:dyDescent="0.3">
      <c r="A79" s="32"/>
      <c r="B79" s="116"/>
      <c r="C79" s="117"/>
      <c r="D79" s="117"/>
      <c r="E79" s="118"/>
      <c r="F79" s="8"/>
      <c r="G79" s="105"/>
      <c r="H79" s="106"/>
      <c r="I79" s="105"/>
      <c r="J79" s="106"/>
      <c r="K79" s="36"/>
      <c r="L79" s="15"/>
      <c r="M79" s="26"/>
      <c r="N79" s="33"/>
      <c r="O79" s="53">
        <f t="shared" si="22"/>
        <v>0</v>
      </c>
      <c r="Q79" s="32"/>
      <c r="R79" s="116"/>
      <c r="S79" s="117"/>
      <c r="T79" s="117"/>
      <c r="U79" s="118"/>
      <c r="V79" s="8"/>
      <c r="W79" s="105"/>
      <c r="X79" s="106"/>
      <c r="Y79" s="105"/>
      <c r="Z79" s="106"/>
      <c r="AA79" s="36"/>
      <c r="AB79" s="15"/>
      <c r="AC79" s="26"/>
      <c r="AD79" s="33"/>
      <c r="AE79" s="53">
        <f t="shared" si="23"/>
        <v>0</v>
      </c>
      <c r="AG79" s="32"/>
      <c r="AH79" s="116"/>
      <c r="AI79" s="117"/>
      <c r="AJ79" s="117"/>
      <c r="AK79" s="118"/>
      <c r="AL79" s="8"/>
      <c r="AM79" s="105"/>
      <c r="AN79" s="106"/>
      <c r="AO79" s="105"/>
      <c r="AP79" s="106"/>
      <c r="AQ79" s="36"/>
      <c r="AR79" s="15"/>
      <c r="AS79" s="26"/>
      <c r="AT79" s="33"/>
      <c r="AU79" s="53">
        <f t="shared" si="24"/>
        <v>0</v>
      </c>
      <c r="AW79" s="32"/>
      <c r="AX79" s="116"/>
      <c r="AY79" s="117"/>
      <c r="AZ79" s="117"/>
      <c r="BA79" s="118"/>
      <c r="BB79" s="8"/>
      <c r="BC79" s="105"/>
      <c r="BD79" s="106"/>
      <c r="BE79" s="105"/>
      <c r="BF79" s="106"/>
      <c r="BG79" s="36"/>
      <c r="BH79" s="15"/>
      <c r="BI79" s="26"/>
      <c r="BJ79" s="33"/>
      <c r="BK79" s="53">
        <f t="shared" si="25"/>
        <v>0</v>
      </c>
      <c r="BM79" s="32"/>
      <c r="BN79" s="116"/>
      <c r="BO79" s="117"/>
      <c r="BP79" s="117"/>
      <c r="BQ79" s="118"/>
      <c r="BR79" s="8"/>
      <c r="BS79" s="105"/>
      <c r="BT79" s="106"/>
      <c r="BU79" s="105"/>
      <c r="BV79" s="106"/>
      <c r="BW79" s="36"/>
      <c r="BX79" s="15"/>
      <c r="BY79" s="26"/>
      <c r="BZ79" s="33"/>
      <c r="CA79" s="53">
        <f t="shared" si="26"/>
        <v>0</v>
      </c>
      <c r="CC79" s="32"/>
      <c r="CD79" s="116"/>
      <c r="CE79" s="117"/>
      <c r="CF79" s="117"/>
      <c r="CG79" s="118"/>
      <c r="CH79" s="8"/>
      <c r="CI79" s="105"/>
      <c r="CJ79" s="106"/>
      <c r="CK79" s="105"/>
      <c r="CL79" s="106"/>
      <c r="CM79" s="36"/>
      <c r="CN79" s="15"/>
      <c r="CO79" s="26"/>
      <c r="CP79" s="33"/>
      <c r="CQ79" s="53">
        <f t="shared" si="27"/>
        <v>0</v>
      </c>
      <c r="CS79" s="32"/>
      <c r="CT79" s="116"/>
      <c r="CU79" s="117"/>
      <c r="CV79" s="117"/>
      <c r="CW79" s="118"/>
      <c r="CX79" s="8"/>
      <c r="CY79" s="105"/>
      <c r="CZ79" s="106"/>
      <c r="DA79" s="105"/>
      <c r="DB79" s="106"/>
      <c r="DC79" s="36"/>
      <c r="DD79" s="15"/>
      <c r="DE79" s="26"/>
      <c r="DF79" s="33"/>
      <c r="DG79" s="53">
        <f t="shared" si="28"/>
        <v>0</v>
      </c>
      <c r="DI79" s="32"/>
      <c r="DJ79" s="116"/>
      <c r="DK79" s="117"/>
      <c r="DL79" s="117"/>
      <c r="DM79" s="118"/>
      <c r="DN79" s="8"/>
      <c r="DO79" s="105"/>
      <c r="DP79" s="106"/>
      <c r="DQ79" s="105"/>
      <c r="DR79" s="106"/>
      <c r="DS79" s="36"/>
      <c r="DT79" s="15"/>
      <c r="DU79" s="26"/>
      <c r="DV79" s="33"/>
      <c r="DW79" s="53">
        <f t="shared" si="29"/>
        <v>0</v>
      </c>
      <c r="DY79" s="32"/>
      <c r="DZ79" s="116"/>
      <c r="EA79" s="117"/>
      <c r="EB79" s="117"/>
      <c r="EC79" s="118"/>
      <c r="ED79" s="8"/>
      <c r="EE79" s="105"/>
      <c r="EF79" s="106"/>
      <c r="EG79" s="105"/>
      <c r="EH79" s="106"/>
      <c r="EI79" s="36"/>
      <c r="EJ79" s="15"/>
      <c r="EK79" s="26"/>
      <c r="EL79" s="33"/>
      <c r="EM79" s="53">
        <f t="shared" si="30"/>
        <v>0</v>
      </c>
      <c r="EO79" s="32"/>
      <c r="EP79" s="116"/>
      <c r="EQ79" s="117"/>
      <c r="ER79" s="117"/>
      <c r="ES79" s="118"/>
      <c r="ET79" s="8"/>
      <c r="EU79" s="105"/>
      <c r="EV79" s="106"/>
      <c r="EW79" s="105"/>
      <c r="EX79" s="106"/>
      <c r="EY79" s="36"/>
      <c r="EZ79" s="15"/>
      <c r="FA79" s="26"/>
      <c r="FB79" s="33"/>
      <c r="FC79" s="53">
        <f t="shared" si="31"/>
        <v>0</v>
      </c>
      <c r="FE79" s="32"/>
      <c r="FF79" s="116"/>
      <c r="FG79" s="117"/>
      <c r="FH79" s="117"/>
      <c r="FI79" s="118"/>
      <c r="FJ79" s="8"/>
      <c r="FK79" s="105"/>
      <c r="FL79" s="106"/>
      <c r="FM79" s="105"/>
      <c r="FN79" s="106"/>
      <c r="FO79" s="36"/>
      <c r="FP79" s="15"/>
      <c r="FQ79" s="26"/>
      <c r="FR79" s="33"/>
      <c r="FS79" s="53">
        <f t="shared" si="32"/>
        <v>0</v>
      </c>
      <c r="FU79" s="32"/>
      <c r="FV79" s="116"/>
      <c r="FW79" s="117"/>
      <c r="FX79" s="117"/>
      <c r="FY79" s="118"/>
      <c r="FZ79" s="8"/>
      <c r="GA79" s="105"/>
      <c r="GB79" s="106"/>
      <c r="GC79" s="105"/>
      <c r="GD79" s="106"/>
      <c r="GE79" s="36"/>
      <c r="GF79" s="15"/>
      <c r="GG79" s="26"/>
      <c r="GH79" s="33"/>
      <c r="GI79" s="53">
        <f t="shared" si="33"/>
        <v>0</v>
      </c>
      <c r="GK79" s="32"/>
      <c r="GL79" s="116"/>
      <c r="GM79" s="117"/>
      <c r="GN79" s="117"/>
      <c r="GO79" s="118"/>
      <c r="GP79" s="8"/>
      <c r="GQ79" s="105"/>
      <c r="GR79" s="106"/>
      <c r="GS79" s="105"/>
      <c r="GT79" s="106"/>
      <c r="GU79" s="36"/>
      <c r="GV79" s="15"/>
      <c r="GW79" s="26"/>
      <c r="GX79" s="33"/>
      <c r="GY79" s="53">
        <f t="shared" si="34"/>
        <v>0</v>
      </c>
      <c r="HA79" s="32"/>
      <c r="HB79" s="116"/>
      <c r="HC79" s="117"/>
      <c r="HD79" s="117"/>
      <c r="HE79" s="118"/>
      <c r="HF79" s="8"/>
      <c r="HG79" s="105"/>
      <c r="HH79" s="106"/>
      <c r="HI79" s="105"/>
      <c r="HJ79" s="106"/>
      <c r="HK79" s="36"/>
      <c r="HL79" s="15"/>
      <c r="HM79" s="26"/>
      <c r="HN79" s="33"/>
      <c r="HO79" s="53">
        <f t="shared" si="35"/>
        <v>0</v>
      </c>
      <c r="HQ79" s="32"/>
      <c r="HR79" s="116"/>
      <c r="HS79" s="117"/>
      <c r="HT79" s="117"/>
      <c r="HU79" s="118"/>
      <c r="HV79" s="8"/>
      <c r="HW79" s="105"/>
      <c r="HX79" s="106"/>
      <c r="HY79" s="105"/>
      <c r="HZ79" s="106"/>
      <c r="IA79" s="36"/>
      <c r="IB79" s="15"/>
      <c r="IC79" s="26"/>
      <c r="ID79" s="33"/>
      <c r="IE79" s="53">
        <f t="shared" si="36"/>
        <v>0</v>
      </c>
      <c r="IG79" s="32"/>
      <c r="IH79" s="116"/>
      <c r="II79" s="117"/>
      <c r="IJ79" s="117"/>
      <c r="IK79" s="118"/>
      <c r="IL79" s="8"/>
      <c r="IM79" s="105"/>
      <c r="IN79" s="106"/>
      <c r="IO79" s="105"/>
      <c r="IP79" s="106"/>
      <c r="IQ79" s="36"/>
      <c r="IR79" s="15"/>
      <c r="IS79" s="26"/>
      <c r="IT79" s="33"/>
      <c r="IU79" s="53">
        <f t="shared" si="37"/>
        <v>0</v>
      </c>
      <c r="IW79" s="32"/>
      <c r="IX79" s="116"/>
      <c r="IY79" s="117"/>
      <c r="IZ79" s="117"/>
      <c r="JA79" s="118"/>
      <c r="JB79" s="8"/>
      <c r="JC79" s="105"/>
      <c r="JD79" s="106"/>
      <c r="JE79" s="105"/>
      <c r="JF79" s="106"/>
      <c r="JG79" s="36"/>
      <c r="JH79" s="15"/>
      <c r="JI79" s="26"/>
      <c r="JJ79" s="33"/>
      <c r="JK79" s="53">
        <f t="shared" si="38"/>
        <v>0</v>
      </c>
      <c r="JM79" s="32"/>
      <c r="JN79" s="116"/>
      <c r="JO79" s="117"/>
      <c r="JP79" s="117"/>
      <c r="JQ79" s="118"/>
      <c r="JR79" s="8"/>
      <c r="JS79" s="105"/>
      <c r="JT79" s="106"/>
      <c r="JU79" s="105"/>
      <c r="JV79" s="106"/>
      <c r="JW79" s="36"/>
      <c r="JX79" s="15"/>
      <c r="JY79" s="26"/>
      <c r="JZ79" s="33"/>
      <c r="KA79" s="53">
        <f t="shared" si="39"/>
        <v>0</v>
      </c>
      <c r="KC79" s="32"/>
      <c r="KD79" s="116"/>
      <c r="KE79" s="117"/>
      <c r="KF79" s="117"/>
      <c r="KG79" s="118"/>
      <c r="KH79" s="8"/>
      <c r="KI79" s="105"/>
      <c r="KJ79" s="106"/>
      <c r="KK79" s="105"/>
      <c r="KL79" s="106"/>
      <c r="KM79" s="36"/>
      <c r="KN79" s="15"/>
      <c r="KO79" s="26"/>
      <c r="KP79" s="33"/>
      <c r="KQ79" s="53">
        <f t="shared" si="40"/>
        <v>0</v>
      </c>
      <c r="KS79" s="32"/>
      <c r="KT79" s="116"/>
      <c r="KU79" s="117"/>
      <c r="KV79" s="117"/>
      <c r="KW79" s="118"/>
      <c r="KX79" s="8"/>
      <c r="KY79" s="105"/>
      <c r="KZ79" s="106"/>
      <c r="LA79" s="105"/>
      <c r="LB79" s="106"/>
      <c r="LC79" s="36"/>
      <c r="LD79" s="15"/>
      <c r="LE79" s="26"/>
      <c r="LF79" s="33"/>
      <c r="LG79" s="53">
        <f t="shared" si="41"/>
        <v>0</v>
      </c>
      <c r="LI79" s="32"/>
      <c r="LJ79" s="116"/>
      <c r="LK79" s="117"/>
      <c r="LL79" s="117"/>
      <c r="LM79" s="118"/>
      <c r="LN79" s="8"/>
      <c r="LO79" s="105"/>
      <c r="LP79" s="106"/>
      <c r="LQ79" s="105"/>
      <c r="LR79" s="106"/>
      <c r="LS79" s="36"/>
      <c r="LT79" s="15"/>
      <c r="LU79" s="26"/>
      <c r="LV79" s="33"/>
      <c r="LW79" s="53">
        <f t="shared" si="42"/>
        <v>0</v>
      </c>
      <c r="LY79" s="32"/>
      <c r="LZ79" s="116"/>
      <c r="MA79" s="117"/>
      <c r="MB79" s="117"/>
      <c r="MC79" s="118"/>
      <c r="MD79" s="8"/>
      <c r="ME79" s="105"/>
      <c r="MF79" s="106"/>
      <c r="MG79" s="105"/>
      <c r="MH79" s="106"/>
      <c r="MI79" s="36"/>
      <c r="MJ79" s="15"/>
      <c r="MK79" s="26"/>
      <c r="ML79" s="33"/>
      <c r="MM79" s="53">
        <f t="shared" si="43"/>
        <v>0</v>
      </c>
    </row>
    <row r="80" spans="1:351" ht="20.100000000000001" customHeight="1" x14ac:dyDescent="0.3">
      <c r="A80" s="31"/>
      <c r="B80" s="116"/>
      <c r="C80" s="117"/>
      <c r="D80" s="117"/>
      <c r="E80" s="118"/>
      <c r="F80" s="8"/>
      <c r="G80" s="105"/>
      <c r="H80" s="106"/>
      <c r="I80" s="105"/>
      <c r="J80" s="106"/>
      <c r="K80" s="36"/>
      <c r="L80" s="15"/>
      <c r="M80" s="26"/>
      <c r="N80" s="33"/>
      <c r="O80" s="53">
        <f t="shared" si="22"/>
        <v>0</v>
      </c>
      <c r="Q80" s="31"/>
      <c r="R80" s="116"/>
      <c r="S80" s="117"/>
      <c r="T80" s="117"/>
      <c r="U80" s="118"/>
      <c r="V80" s="8"/>
      <c r="W80" s="105"/>
      <c r="X80" s="106"/>
      <c r="Y80" s="105"/>
      <c r="Z80" s="106"/>
      <c r="AA80" s="36"/>
      <c r="AB80" s="15"/>
      <c r="AC80" s="26"/>
      <c r="AD80" s="33"/>
      <c r="AE80" s="53">
        <f t="shared" si="23"/>
        <v>0</v>
      </c>
      <c r="AG80" s="31"/>
      <c r="AH80" s="116"/>
      <c r="AI80" s="117"/>
      <c r="AJ80" s="117"/>
      <c r="AK80" s="118"/>
      <c r="AL80" s="8"/>
      <c r="AM80" s="105"/>
      <c r="AN80" s="106"/>
      <c r="AO80" s="105"/>
      <c r="AP80" s="106"/>
      <c r="AQ80" s="36"/>
      <c r="AR80" s="15"/>
      <c r="AS80" s="26"/>
      <c r="AT80" s="33"/>
      <c r="AU80" s="53">
        <f t="shared" si="24"/>
        <v>0</v>
      </c>
      <c r="AW80" s="31"/>
      <c r="AX80" s="116"/>
      <c r="AY80" s="117"/>
      <c r="AZ80" s="117"/>
      <c r="BA80" s="118"/>
      <c r="BB80" s="8"/>
      <c r="BC80" s="105"/>
      <c r="BD80" s="106"/>
      <c r="BE80" s="105"/>
      <c r="BF80" s="106"/>
      <c r="BG80" s="36"/>
      <c r="BH80" s="15"/>
      <c r="BI80" s="26"/>
      <c r="BJ80" s="33"/>
      <c r="BK80" s="53">
        <f t="shared" si="25"/>
        <v>0</v>
      </c>
      <c r="BM80" s="31"/>
      <c r="BN80" s="116"/>
      <c r="BO80" s="117"/>
      <c r="BP80" s="117"/>
      <c r="BQ80" s="118"/>
      <c r="BR80" s="8"/>
      <c r="BS80" s="105"/>
      <c r="BT80" s="106"/>
      <c r="BU80" s="105"/>
      <c r="BV80" s="106"/>
      <c r="BW80" s="36"/>
      <c r="BX80" s="15"/>
      <c r="BY80" s="26"/>
      <c r="BZ80" s="33"/>
      <c r="CA80" s="53">
        <f t="shared" si="26"/>
        <v>0</v>
      </c>
      <c r="CC80" s="31"/>
      <c r="CD80" s="116"/>
      <c r="CE80" s="117"/>
      <c r="CF80" s="117"/>
      <c r="CG80" s="118"/>
      <c r="CH80" s="8"/>
      <c r="CI80" s="105"/>
      <c r="CJ80" s="106"/>
      <c r="CK80" s="105"/>
      <c r="CL80" s="106"/>
      <c r="CM80" s="36"/>
      <c r="CN80" s="15"/>
      <c r="CO80" s="26"/>
      <c r="CP80" s="33"/>
      <c r="CQ80" s="53">
        <f t="shared" si="27"/>
        <v>0</v>
      </c>
      <c r="CS80" s="31"/>
      <c r="CT80" s="116"/>
      <c r="CU80" s="117"/>
      <c r="CV80" s="117"/>
      <c r="CW80" s="118"/>
      <c r="CX80" s="8"/>
      <c r="CY80" s="105"/>
      <c r="CZ80" s="106"/>
      <c r="DA80" s="105"/>
      <c r="DB80" s="106"/>
      <c r="DC80" s="36"/>
      <c r="DD80" s="15"/>
      <c r="DE80" s="26"/>
      <c r="DF80" s="33"/>
      <c r="DG80" s="53">
        <f t="shared" si="28"/>
        <v>0</v>
      </c>
      <c r="DI80" s="31"/>
      <c r="DJ80" s="116"/>
      <c r="DK80" s="117"/>
      <c r="DL80" s="117"/>
      <c r="DM80" s="118"/>
      <c r="DN80" s="8"/>
      <c r="DO80" s="105"/>
      <c r="DP80" s="106"/>
      <c r="DQ80" s="105"/>
      <c r="DR80" s="106"/>
      <c r="DS80" s="36"/>
      <c r="DT80" s="15"/>
      <c r="DU80" s="26"/>
      <c r="DV80" s="33"/>
      <c r="DW80" s="53">
        <f t="shared" si="29"/>
        <v>0</v>
      </c>
      <c r="DY80" s="31"/>
      <c r="DZ80" s="116"/>
      <c r="EA80" s="117"/>
      <c r="EB80" s="117"/>
      <c r="EC80" s="118"/>
      <c r="ED80" s="8"/>
      <c r="EE80" s="105"/>
      <c r="EF80" s="106"/>
      <c r="EG80" s="105"/>
      <c r="EH80" s="106"/>
      <c r="EI80" s="36"/>
      <c r="EJ80" s="15"/>
      <c r="EK80" s="26"/>
      <c r="EL80" s="33"/>
      <c r="EM80" s="53">
        <f t="shared" si="30"/>
        <v>0</v>
      </c>
      <c r="EO80" s="31"/>
      <c r="EP80" s="116"/>
      <c r="EQ80" s="117"/>
      <c r="ER80" s="117"/>
      <c r="ES80" s="118"/>
      <c r="ET80" s="8"/>
      <c r="EU80" s="105"/>
      <c r="EV80" s="106"/>
      <c r="EW80" s="105"/>
      <c r="EX80" s="106"/>
      <c r="EY80" s="36"/>
      <c r="EZ80" s="15"/>
      <c r="FA80" s="26"/>
      <c r="FB80" s="33"/>
      <c r="FC80" s="53">
        <f t="shared" si="31"/>
        <v>0</v>
      </c>
      <c r="FE80" s="31"/>
      <c r="FF80" s="116"/>
      <c r="FG80" s="117"/>
      <c r="FH80" s="117"/>
      <c r="FI80" s="118"/>
      <c r="FJ80" s="8"/>
      <c r="FK80" s="105"/>
      <c r="FL80" s="106"/>
      <c r="FM80" s="105"/>
      <c r="FN80" s="106"/>
      <c r="FO80" s="36"/>
      <c r="FP80" s="15"/>
      <c r="FQ80" s="26"/>
      <c r="FR80" s="33"/>
      <c r="FS80" s="53">
        <f t="shared" si="32"/>
        <v>0</v>
      </c>
      <c r="FU80" s="31"/>
      <c r="FV80" s="116"/>
      <c r="FW80" s="117"/>
      <c r="FX80" s="117"/>
      <c r="FY80" s="118"/>
      <c r="FZ80" s="8"/>
      <c r="GA80" s="105"/>
      <c r="GB80" s="106"/>
      <c r="GC80" s="105"/>
      <c r="GD80" s="106"/>
      <c r="GE80" s="36"/>
      <c r="GF80" s="15"/>
      <c r="GG80" s="26"/>
      <c r="GH80" s="33"/>
      <c r="GI80" s="53">
        <f t="shared" si="33"/>
        <v>0</v>
      </c>
      <c r="GK80" s="31"/>
      <c r="GL80" s="116"/>
      <c r="GM80" s="117"/>
      <c r="GN80" s="117"/>
      <c r="GO80" s="118"/>
      <c r="GP80" s="8"/>
      <c r="GQ80" s="105"/>
      <c r="GR80" s="106"/>
      <c r="GS80" s="105"/>
      <c r="GT80" s="106"/>
      <c r="GU80" s="36"/>
      <c r="GV80" s="15"/>
      <c r="GW80" s="26"/>
      <c r="GX80" s="33"/>
      <c r="GY80" s="53">
        <f t="shared" si="34"/>
        <v>0</v>
      </c>
      <c r="HA80" s="31"/>
      <c r="HB80" s="116"/>
      <c r="HC80" s="117"/>
      <c r="HD80" s="117"/>
      <c r="HE80" s="118"/>
      <c r="HF80" s="8"/>
      <c r="HG80" s="105"/>
      <c r="HH80" s="106"/>
      <c r="HI80" s="105"/>
      <c r="HJ80" s="106"/>
      <c r="HK80" s="36"/>
      <c r="HL80" s="15"/>
      <c r="HM80" s="26"/>
      <c r="HN80" s="33"/>
      <c r="HO80" s="53">
        <f t="shared" si="35"/>
        <v>0</v>
      </c>
      <c r="HQ80" s="31"/>
      <c r="HR80" s="116"/>
      <c r="HS80" s="117"/>
      <c r="HT80" s="117"/>
      <c r="HU80" s="118"/>
      <c r="HV80" s="8"/>
      <c r="HW80" s="105"/>
      <c r="HX80" s="106"/>
      <c r="HY80" s="105"/>
      <c r="HZ80" s="106"/>
      <c r="IA80" s="36"/>
      <c r="IB80" s="15"/>
      <c r="IC80" s="26"/>
      <c r="ID80" s="33"/>
      <c r="IE80" s="53">
        <f t="shared" si="36"/>
        <v>0</v>
      </c>
      <c r="IG80" s="31"/>
      <c r="IH80" s="116"/>
      <c r="II80" s="117"/>
      <c r="IJ80" s="117"/>
      <c r="IK80" s="118"/>
      <c r="IL80" s="8"/>
      <c r="IM80" s="105"/>
      <c r="IN80" s="106"/>
      <c r="IO80" s="105"/>
      <c r="IP80" s="106"/>
      <c r="IQ80" s="36"/>
      <c r="IR80" s="15"/>
      <c r="IS80" s="26"/>
      <c r="IT80" s="33"/>
      <c r="IU80" s="53">
        <f t="shared" si="37"/>
        <v>0</v>
      </c>
      <c r="IW80" s="31"/>
      <c r="IX80" s="116"/>
      <c r="IY80" s="117"/>
      <c r="IZ80" s="117"/>
      <c r="JA80" s="118"/>
      <c r="JB80" s="8"/>
      <c r="JC80" s="105"/>
      <c r="JD80" s="106"/>
      <c r="JE80" s="105"/>
      <c r="JF80" s="106"/>
      <c r="JG80" s="36"/>
      <c r="JH80" s="15"/>
      <c r="JI80" s="26"/>
      <c r="JJ80" s="33"/>
      <c r="JK80" s="53">
        <f t="shared" si="38"/>
        <v>0</v>
      </c>
      <c r="JM80" s="31"/>
      <c r="JN80" s="116"/>
      <c r="JO80" s="117"/>
      <c r="JP80" s="117"/>
      <c r="JQ80" s="118"/>
      <c r="JR80" s="8"/>
      <c r="JS80" s="105"/>
      <c r="JT80" s="106"/>
      <c r="JU80" s="105"/>
      <c r="JV80" s="106"/>
      <c r="JW80" s="36"/>
      <c r="JX80" s="15"/>
      <c r="JY80" s="26"/>
      <c r="JZ80" s="33"/>
      <c r="KA80" s="53">
        <f t="shared" si="39"/>
        <v>0</v>
      </c>
      <c r="KC80" s="31"/>
      <c r="KD80" s="116"/>
      <c r="KE80" s="117"/>
      <c r="KF80" s="117"/>
      <c r="KG80" s="118"/>
      <c r="KH80" s="8"/>
      <c r="KI80" s="105"/>
      <c r="KJ80" s="106"/>
      <c r="KK80" s="105"/>
      <c r="KL80" s="106"/>
      <c r="KM80" s="36"/>
      <c r="KN80" s="15"/>
      <c r="KO80" s="26"/>
      <c r="KP80" s="33"/>
      <c r="KQ80" s="53">
        <f t="shared" si="40"/>
        <v>0</v>
      </c>
      <c r="KS80" s="31"/>
      <c r="KT80" s="116"/>
      <c r="KU80" s="117"/>
      <c r="KV80" s="117"/>
      <c r="KW80" s="118"/>
      <c r="KX80" s="8"/>
      <c r="KY80" s="105"/>
      <c r="KZ80" s="106"/>
      <c r="LA80" s="105"/>
      <c r="LB80" s="106"/>
      <c r="LC80" s="36"/>
      <c r="LD80" s="15"/>
      <c r="LE80" s="26"/>
      <c r="LF80" s="33"/>
      <c r="LG80" s="53">
        <f t="shared" si="41"/>
        <v>0</v>
      </c>
      <c r="LI80" s="31"/>
      <c r="LJ80" s="116"/>
      <c r="LK80" s="117"/>
      <c r="LL80" s="117"/>
      <c r="LM80" s="118"/>
      <c r="LN80" s="8"/>
      <c r="LO80" s="105"/>
      <c r="LP80" s="106"/>
      <c r="LQ80" s="105"/>
      <c r="LR80" s="106"/>
      <c r="LS80" s="36"/>
      <c r="LT80" s="15"/>
      <c r="LU80" s="26"/>
      <c r="LV80" s="33"/>
      <c r="LW80" s="53">
        <f t="shared" si="42"/>
        <v>0</v>
      </c>
      <c r="LY80" s="31"/>
      <c r="LZ80" s="116"/>
      <c r="MA80" s="117"/>
      <c r="MB80" s="117"/>
      <c r="MC80" s="118"/>
      <c r="MD80" s="8"/>
      <c r="ME80" s="105"/>
      <c r="MF80" s="106"/>
      <c r="MG80" s="105"/>
      <c r="MH80" s="106"/>
      <c r="MI80" s="36"/>
      <c r="MJ80" s="15"/>
      <c r="MK80" s="26"/>
      <c r="ML80" s="33"/>
      <c r="MM80" s="53">
        <f t="shared" si="43"/>
        <v>0</v>
      </c>
    </row>
    <row r="81" spans="1:351" ht="20.100000000000001" customHeight="1" x14ac:dyDescent="0.3">
      <c r="A81" s="32"/>
      <c r="B81" s="102"/>
      <c r="C81" s="103"/>
      <c r="D81" s="103"/>
      <c r="E81" s="104"/>
      <c r="F81" s="8"/>
      <c r="G81" s="105"/>
      <c r="H81" s="106"/>
      <c r="I81" s="107"/>
      <c r="J81" s="108"/>
      <c r="K81" s="36"/>
      <c r="L81" s="15"/>
      <c r="M81" s="26"/>
      <c r="N81" s="33"/>
      <c r="O81" s="53">
        <f t="shared" si="22"/>
        <v>0</v>
      </c>
      <c r="Q81" s="32"/>
      <c r="R81" s="102"/>
      <c r="S81" s="103"/>
      <c r="T81" s="103"/>
      <c r="U81" s="104"/>
      <c r="V81" s="8"/>
      <c r="W81" s="105"/>
      <c r="X81" s="106"/>
      <c r="Y81" s="107"/>
      <c r="Z81" s="108"/>
      <c r="AA81" s="36"/>
      <c r="AB81" s="15"/>
      <c r="AC81" s="26"/>
      <c r="AD81" s="33"/>
      <c r="AE81" s="53">
        <f t="shared" si="23"/>
        <v>0</v>
      </c>
      <c r="AG81" s="32"/>
      <c r="AH81" s="102"/>
      <c r="AI81" s="103"/>
      <c r="AJ81" s="103"/>
      <c r="AK81" s="104"/>
      <c r="AL81" s="8"/>
      <c r="AM81" s="105"/>
      <c r="AN81" s="106"/>
      <c r="AO81" s="107"/>
      <c r="AP81" s="108"/>
      <c r="AQ81" s="36"/>
      <c r="AR81" s="15"/>
      <c r="AS81" s="26"/>
      <c r="AT81" s="33"/>
      <c r="AU81" s="53">
        <f t="shared" si="24"/>
        <v>0</v>
      </c>
      <c r="AW81" s="32"/>
      <c r="AX81" s="102"/>
      <c r="AY81" s="103"/>
      <c r="AZ81" s="103"/>
      <c r="BA81" s="104"/>
      <c r="BB81" s="8"/>
      <c r="BC81" s="105"/>
      <c r="BD81" s="106"/>
      <c r="BE81" s="107"/>
      <c r="BF81" s="108"/>
      <c r="BG81" s="36"/>
      <c r="BH81" s="15"/>
      <c r="BI81" s="26"/>
      <c r="BJ81" s="33"/>
      <c r="BK81" s="53">
        <f t="shared" si="25"/>
        <v>0</v>
      </c>
      <c r="BM81" s="32"/>
      <c r="BN81" s="102"/>
      <c r="BO81" s="103"/>
      <c r="BP81" s="103"/>
      <c r="BQ81" s="104"/>
      <c r="BR81" s="8"/>
      <c r="BS81" s="105"/>
      <c r="BT81" s="106"/>
      <c r="BU81" s="107"/>
      <c r="BV81" s="108"/>
      <c r="BW81" s="36"/>
      <c r="BX81" s="15"/>
      <c r="BY81" s="26"/>
      <c r="BZ81" s="33"/>
      <c r="CA81" s="53">
        <f t="shared" si="26"/>
        <v>0</v>
      </c>
      <c r="CC81" s="32"/>
      <c r="CD81" s="102"/>
      <c r="CE81" s="103"/>
      <c r="CF81" s="103"/>
      <c r="CG81" s="104"/>
      <c r="CH81" s="8"/>
      <c r="CI81" s="105"/>
      <c r="CJ81" s="106"/>
      <c r="CK81" s="107"/>
      <c r="CL81" s="108"/>
      <c r="CM81" s="36"/>
      <c r="CN81" s="15"/>
      <c r="CO81" s="26"/>
      <c r="CP81" s="33"/>
      <c r="CQ81" s="53">
        <f t="shared" si="27"/>
        <v>0</v>
      </c>
      <c r="CS81" s="32"/>
      <c r="CT81" s="102"/>
      <c r="CU81" s="103"/>
      <c r="CV81" s="103"/>
      <c r="CW81" s="104"/>
      <c r="CX81" s="8"/>
      <c r="CY81" s="105"/>
      <c r="CZ81" s="106"/>
      <c r="DA81" s="107"/>
      <c r="DB81" s="108"/>
      <c r="DC81" s="36"/>
      <c r="DD81" s="15"/>
      <c r="DE81" s="26"/>
      <c r="DF81" s="33"/>
      <c r="DG81" s="53">
        <f t="shared" si="28"/>
        <v>0</v>
      </c>
      <c r="DI81" s="32"/>
      <c r="DJ81" s="102"/>
      <c r="DK81" s="103"/>
      <c r="DL81" s="103"/>
      <c r="DM81" s="104"/>
      <c r="DN81" s="8"/>
      <c r="DO81" s="105"/>
      <c r="DP81" s="106"/>
      <c r="DQ81" s="107"/>
      <c r="DR81" s="108"/>
      <c r="DS81" s="36"/>
      <c r="DT81" s="15"/>
      <c r="DU81" s="26"/>
      <c r="DV81" s="33"/>
      <c r="DW81" s="53">
        <f t="shared" si="29"/>
        <v>0</v>
      </c>
      <c r="DY81" s="32"/>
      <c r="DZ81" s="102"/>
      <c r="EA81" s="103"/>
      <c r="EB81" s="103"/>
      <c r="EC81" s="104"/>
      <c r="ED81" s="8"/>
      <c r="EE81" s="105"/>
      <c r="EF81" s="106"/>
      <c r="EG81" s="107"/>
      <c r="EH81" s="108"/>
      <c r="EI81" s="36"/>
      <c r="EJ81" s="15"/>
      <c r="EK81" s="26"/>
      <c r="EL81" s="33"/>
      <c r="EM81" s="53">
        <f t="shared" si="30"/>
        <v>0</v>
      </c>
      <c r="EO81" s="32"/>
      <c r="EP81" s="102"/>
      <c r="EQ81" s="103"/>
      <c r="ER81" s="103"/>
      <c r="ES81" s="104"/>
      <c r="ET81" s="8"/>
      <c r="EU81" s="105"/>
      <c r="EV81" s="106"/>
      <c r="EW81" s="107"/>
      <c r="EX81" s="108"/>
      <c r="EY81" s="36"/>
      <c r="EZ81" s="15"/>
      <c r="FA81" s="26"/>
      <c r="FB81" s="33"/>
      <c r="FC81" s="53">
        <f t="shared" si="31"/>
        <v>0</v>
      </c>
      <c r="FE81" s="32"/>
      <c r="FF81" s="102"/>
      <c r="FG81" s="103"/>
      <c r="FH81" s="103"/>
      <c r="FI81" s="104"/>
      <c r="FJ81" s="8"/>
      <c r="FK81" s="105"/>
      <c r="FL81" s="106"/>
      <c r="FM81" s="107"/>
      <c r="FN81" s="108"/>
      <c r="FO81" s="36"/>
      <c r="FP81" s="15"/>
      <c r="FQ81" s="26"/>
      <c r="FR81" s="33"/>
      <c r="FS81" s="53">
        <f t="shared" si="32"/>
        <v>0</v>
      </c>
      <c r="FU81" s="32"/>
      <c r="FV81" s="102"/>
      <c r="FW81" s="103"/>
      <c r="FX81" s="103"/>
      <c r="FY81" s="104"/>
      <c r="FZ81" s="8"/>
      <c r="GA81" s="105"/>
      <c r="GB81" s="106"/>
      <c r="GC81" s="107"/>
      <c r="GD81" s="108"/>
      <c r="GE81" s="36"/>
      <c r="GF81" s="15"/>
      <c r="GG81" s="26"/>
      <c r="GH81" s="33"/>
      <c r="GI81" s="53">
        <f t="shared" si="33"/>
        <v>0</v>
      </c>
      <c r="GK81" s="32"/>
      <c r="GL81" s="102"/>
      <c r="GM81" s="103"/>
      <c r="GN81" s="103"/>
      <c r="GO81" s="104"/>
      <c r="GP81" s="8"/>
      <c r="GQ81" s="105"/>
      <c r="GR81" s="106"/>
      <c r="GS81" s="107"/>
      <c r="GT81" s="108"/>
      <c r="GU81" s="36"/>
      <c r="GV81" s="15"/>
      <c r="GW81" s="26"/>
      <c r="GX81" s="33"/>
      <c r="GY81" s="53">
        <f t="shared" si="34"/>
        <v>0</v>
      </c>
      <c r="HA81" s="32"/>
      <c r="HB81" s="102"/>
      <c r="HC81" s="103"/>
      <c r="HD81" s="103"/>
      <c r="HE81" s="104"/>
      <c r="HF81" s="8"/>
      <c r="HG81" s="105"/>
      <c r="HH81" s="106"/>
      <c r="HI81" s="107"/>
      <c r="HJ81" s="108"/>
      <c r="HK81" s="36"/>
      <c r="HL81" s="15"/>
      <c r="HM81" s="26"/>
      <c r="HN81" s="33"/>
      <c r="HO81" s="53">
        <f t="shared" si="35"/>
        <v>0</v>
      </c>
      <c r="HQ81" s="32"/>
      <c r="HR81" s="102"/>
      <c r="HS81" s="103"/>
      <c r="HT81" s="103"/>
      <c r="HU81" s="104"/>
      <c r="HV81" s="8"/>
      <c r="HW81" s="105"/>
      <c r="HX81" s="106"/>
      <c r="HY81" s="107"/>
      <c r="HZ81" s="108"/>
      <c r="IA81" s="36"/>
      <c r="IB81" s="15"/>
      <c r="IC81" s="26"/>
      <c r="ID81" s="33"/>
      <c r="IE81" s="53">
        <f t="shared" si="36"/>
        <v>0</v>
      </c>
      <c r="IG81" s="32"/>
      <c r="IH81" s="102"/>
      <c r="II81" s="103"/>
      <c r="IJ81" s="103"/>
      <c r="IK81" s="104"/>
      <c r="IL81" s="8"/>
      <c r="IM81" s="105"/>
      <c r="IN81" s="106"/>
      <c r="IO81" s="107"/>
      <c r="IP81" s="108"/>
      <c r="IQ81" s="36"/>
      <c r="IR81" s="15"/>
      <c r="IS81" s="26"/>
      <c r="IT81" s="33"/>
      <c r="IU81" s="53">
        <f t="shared" si="37"/>
        <v>0</v>
      </c>
      <c r="IW81" s="32"/>
      <c r="IX81" s="102"/>
      <c r="IY81" s="103"/>
      <c r="IZ81" s="103"/>
      <c r="JA81" s="104"/>
      <c r="JB81" s="8"/>
      <c r="JC81" s="105"/>
      <c r="JD81" s="106"/>
      <c r="JE81" s="107"/>
      <c r="JF81" s="108"/>
      <c r="JG81" s="36"/>
      <c r="JH81" s="15"/>
      <c r="JI81" s="26"/>
      <c r="JJ81" s="33"/>
      <c r="JK81" s="53">
        <f t="shared" si="38"/>
        <v>0</v>
      </c>
      <c r="JM81" s="32"/>
      <c r="JN81" s="102"/>
      <c r="JO81" s="103"/>
      <c r="JP81" s="103"/>
      <c r="JQ81" s="104"/>
      <c r="JR81" s="8"/>
      <c r="JS81" s="105"/>
      <c r="JT81" s="106"/>
      <c r="JU81" s="107"/>
      <c r="JV81" s="108"/>
      <c r="JW81" s="36"/>
      <c r="JX81" s="15"/>
      <c r="JY81" s="26"/>
      <c r="JZ81" s="33"/>
      <c r="KA81" s="53">
        <f t="shared" si="39"/>
        <v>0</v>
      </c>
      <c r="KC81" s="32"/>
      <c r="KD81" s="102"/>
      <c r="KE81" s="103"/>
      <c r="KF81" s="103"/>
      <c r="KG81" s="104"/>
      <c r="KH81" s="8"/>
      <c r="KI81" s="105"/>
      <c r="KJ81" s="106"/>
      <c r="KK81" s="107"/>
      <c r="KL81" s="108"/>
      <c r="KM81" s="36"/>
      <c r="KN81" s="15"/>
      <c r="KO81" s="26"/>
      <c r="KP81" s="33"/>
      <c r="KQ81" s="53">
        <f t="shared" si="40"/>
        <v>0</v>
      </c>
      <c r="KS81" s="32"/>
      <c r="KT81" s="102"/>
      <c r="KU81" s="103"/>
      <c r="KV81" s="103"/>
      <c r="KW81" s="104"/>
      <c r="KX81" s="8"/>
      <c r="KY81" s="105"/>
      <c r="KZ81" s="106"/>
      <c r="LA81" s="107"/>
      <c r="LB81" s="108"/>
      <c r="LC81" s="36"/>
      <c r="LD81" s="15"/>
      <c r="LE81" s="26"/>
      <c r="LF81" s="33"/>
      <c r="LG81" s="53">
        <f t="shared" si="41"/>
        <v>0</v>
      </c>
      <c r="LI81" s="32"/>
      <c r="LJ81" s="102"/>
      <c r="LK81" s="103"/>
      <c r="LL81" s="103"/>
      <c r="LM81" s="104"/>
      <c r="LN81" s="8"/>
      <c r="LO81" s="105"/>
      <c r="LP81" s="106"/>
      <c r="LQ81" s="107"/>
      <c r="LR81" s="108"/>
      <c r="LS81" s="36"/>
      <c r="LT81" s="15"/>
      <c r="LU81" s="26"/>
      <c r="LV81" s="33"/>
      <c r="LW81" s="53">
        <f t="shared" si="42"/>
        <v>0</v>
      </c>
      <c r="LY81" s="32"/>
      <c r="LZ81" s="102"/>
      <c r="MA81" s="103"/>
      <c r="MB81" s="103"/>
      <c r="MC81" s="104"/>
      <c r="MD81" s="8"/>
      <c r="ME81" s="105"/>
      <c r="MF81" s="106"/>
      <c r="MG81" s="107"/>
      <c r="MH81" s="108"/>
      <c r="MI81" s="36"/>
      <c r="MJ81" s="15"/>
      <c r="MK81" s="26"/>
      <c r="ML81" s="33"/>
      <c r="MM81" s="53">
        <f t="shared" si="43"/>
        <v>0</v>
      </c>
    </row>
    <row r="82" spans="1:351" ht="20.100000000000001" customHeight="1" x14ac:dyDescent="0.3">
      <c r="A82" s="31"/>
      <c r="B82" s="116"/>
      <c r="C82" s="117"/>
      <c r="D82" s="117"/>
      <c r="E82" s="118"/>
      <c r="F82" s="8"/>
      <c r="G82" s="105"/>
      <c r="H82" s="106"/>
      <c r="I82" s="107"/>
      <c r="J82" s="108"/>
      <c r="K82" s="36"/>
      <c r="L82" s="15"/>
      <c r="M82" s="26"/>
      <c r="N82" s="33"/>
      <c r="O82" s="53">
        <f t="shared" si="22"/>
        <v>0</v>
      </c>
      <c r="Q82" s="31"/>
      <c r="R82" s="116"/>
      <c r="S82" s="117"/>
      <c r="T82" s="117"/>
      <c r="U82" s="118"/>
      <c r="V82" s="8"/>
      <c r="W82" s="105"/>
      <c r="X82" s="106"/>
      <c r="Y82" s="107"/>
      <c r="Z82" s="108"/>
      <c r="AA82" s="36"/>
      <c r="AB82" s="15"/>
      <c r="AC82" s="26"/>
      <c r="AD82" s="33"/>
      <c r="AE82" s="53">
        <f t="shared" si="23"/>
        <v>0</v>
      </c>
      <c r="AG82" s="31"/>
      <c r="AH82" s="116"/>
      <c r="AI82" s="117"/>
      <c r="AJ82" s="117"/>
      <c r="AK82" s="118"/>
      <c r="AL82" s="8"/>
      <c r="AM82" s="105"/>
      <c r="AN82" s="106"/>
      <c r="AO82" s="107"/>
      <c r="AP82" s="108"/>
      <c r="AQ82" s="36"/>
      <c r="AR82" s="15"/>
      <c r="AS82" s="26"/>
      <c r="AT82" s="33"/>
      <c r="AU82" s="53">
        <f t="shared" si="24"/>
        <v>0</v>
      </c>
      <c r="AW82" s="31"/>
      <c r="AX82" s="116"/>
      <c r="AY82" s="117"/>
      <c r="AZ82" s="117"/>
      <c r="BA82" s="118"/>
      <c r="BB82" s="8"/>
      <c r="BC82" s="105"/>
      <c r="BD82" s="106"/>
      <c r="BE82" s="107"/>
      <c r="BF82" s="108"/>
      <c r="BG82" s="36"/>
      <c r="BH82" s="15"/>
      <c r="BI82" s="26"/>
      <c r="BJ82" s="33"/>
      <c r="BK82" s="53">
        <f t="shared" si="25"/>
        <v>0</v>
      </c>
      <c r="BM82" s="31"/>
      <c r="BN82" s="116"/>
      <c r="BO82" s="117"/>
      <c r="BP82" s="117"/>
      <c r="BQ82" s="118"/>
      <c r="BR82" s="8"/>
      <c r="BS82" s="105"/>
      <c r="BT82" s="106"/>
      <c r="BU82" s="107"/>
      <c r="BV82" s="108"/>
      <c r="BW82" s="36"/>
      <c r="BX82" s="15"/>
      <c r="BY82" s="26"/>
      <c r="BZ82" s="33"/>
      <c r="CA82" s="53">
        <f t="shared" si="26"/>
        <v>0</v>
      </c>
      <c r="CC82" s="31"/>
      <c r="CD82" s="116"/>
      <c r="CE82" s="117"/>
      <c r="CF82" s="117"/>
      <c r="CG82" s="118"/>
      <c r="CH82" s="8"/>
      <c r="CI82" s="105"/>
      <c r="CJ82" s="106"/>
      <c r="CK82" s="107"/>
      <c r="CL82" s="108"/>
      <c r="CM82" s="36"/>
      <c r="CN82" s="15"/>
      <c r="CO82" s="26"/>
      <c r="CP82" s="33"/>
      <c r="CQ82" s="53">
        <f t="shared" si="27"/>
        <v>0</v>
      </c>
      <c r="CS82" s="31"/>
      <c r="CT82" s="116"/>
      <c r="CU82" s="117"/>
      <c r="CV82" s="117"/>
      <c r="CW82" s="118"/>
      <c r="CX82" s="8"/>
      <c r="CY82" s="105"/>
      <c r="CZ82" s="106"/>
      <c r="DA82" s="107"/>
      <c r="DB82" s="108"/>
      <c r="DC82" s="36"/>
      <c r="DD82" s="15"/>
      <c r="DE82" s="26"/>
      <c r="DF82" s="33"/>
      <c r="DG82" s="53">
        <f t="shared" si="28"/>
        <v>0</v>
      </c>
      <c r="DI82" s="31"/>
      <c r="DJ82" s="116"/>
      <c r="DK82" s="117"/>
      <c r="DL82" s="117"/>
      <c r="DM82" s="118"/>
      <c r="DN82" s="8"/>
      <c r="DO82" s="105"/>
      <c r="DP82" s="106"/>
      <c r="DQ82" s="107"/>
      <c r="DR82" s="108"/>
      <c r="DS82" s="36"/>
      <c r="DT82" s="15"/>
      <c r="DU82" s="26"/>
      <c r="DV82" s="33"/>
      <c r="DW82" s="53">
        <f t="shared" si="29"/>
        <v>0</v>
      </c>
      <c r="DY82" s="31"/>
      <c r="DZ82" s="116"/>
      <c r="EA82" s="117"/>
      <c r="EB82" s="117"/>
      <c r="EC82" s="118"/>
      <c r="ED82" s="8"/>
      <c r="EE82" s="105"/>
      <c r="EF82" s="106"/>
      <c r="EG82" s="107"/>
      <c r="EH82" s="108"/>
      <c r="EI82" s="36"/>
      <c r="EJ82" s="15"/>
      <c r="EK82" s="26"/>
      <c r="EL82" s="33"/>
      <c r="EM82" s="53">
        <f t="shared" si="30"/>
        <v>0</v>
      </c>
      <c r="EO82" s="31"/>
      <c r="EP82" s="116"/>
      <c r="EQ82" s="117"/>
      <c r="ER82" s="117"/>
      <c r="ES82" s="118"/>
      <c r="ET82" s="8"/>
      <c r="EU82" s="105"/>
      <c r="EV82" s="106"/>
      <c r="EW82" s="107"/>
      <c r="EX82" s="108"/>
      <c r="EY82" s="36"/>
      <c r="EZ82" s="15"/>
      <c r="FA82" s="26"/>
      <c r="FB82" s="33"/>
      <c r="FC82" s="53">
        <f t="shared" si="31"/>
        <v>0</v>
      </c>
      <c r="FE82" s="31"/>
      <c r="FF82" s="116"/>
      <c r="FG82" s="117"/>
      <c r="FH82" s="117"/>
      <c r="FI82" s="118"/>
      <c r="FJ82" s="8"/>
      <c r="FK82" s="105"/>
      <c r="FL82" s="106"/>
      <c r="FM82" s="107"/>
      <c r="FN82" s="108"/>
      <c r="FO82" s="36"/>
      <c r="FP82" s="15"/>
      <c r="FQ82" s="26"/>
      <c r="FR82" s="33"/>
      <c r="FS82" s="53">
        <f t="shared" si="32"/>
        <v>0</v>
      </c>
      <c r="FU82" s="31"/>
      <c r="FV82" s="116"/>
      <c r="FW82" s="117"/>
      <c r="FX82" s="117"/>
      <c r="FY82" s="118"/>
      <c r="FZ82" s="8"/>
      <c r="GA82" s="105"/>
      <c r="GB82" s="106"/>
      <c r="GC82" s="107"/>
      <c r="GD82" s="108"/>
      <c r="GE82" s="36"/>
      <c r="GF82" s="15"/>
      <c r="GG82" s="26"/>
      <c r="GH82" s="33"/>
      <c r="GI82" s="53">
        <f t="shared" si="33"/>
        <v>0</v>
      </c>
      <c r="GK82" s="31"/>
      <c r="GL82" s="116"/>
      <c r="GM82" s="117"/>
      <c r="GN82" s="117"/>
      <c r="GO82" s="118"/>
      <c r="GP82" s="8"/>
      <c r="GQ82" s="105"/>
      <c r="GR82" s="106"/>
      <c r="GS82" s="107"/>
      <c r="GT82" s="108"/>
      <c r="GU82" s="36"/>
      <c r="GV82" s="15"/>
      <c r="GW82" s="26"/>
      <c r="GX82" s="33"/>
      <c r="GY82" s="53">
        <f t="shared" si="34"/>
        <v>0</v>
      </c>
      <c r="HA82" s="31"/>
      <c r="HB82" s="116"/>
      <c r="HC82" s="117"/>
      <c r="HD82" s="117"/>
      <c r="HE82" s="118"/>
      <c r="HF82" s="8"/>
      <c r="HG82" s="105"/>
      <c r="HH82" s="106"/>
      <c r="HI82" s="107"/>
      <c r="HJ82" s="108"/>
      <c r="HK82" s="36"/>
      <c r="HL82" s="15"/>
      <c r="HM82" s="26"/>
      <c r="HN82" s="33"/>
      <c r="HO82" s="53">
        <f t="shared" si="35"/>
        <v>0</v>
      </c>
      <c r="HQ82" s="31"/>
      <c r="HR82" s="116"/>
      <c r="HS82" s="117"/>
      <c r="HT82" s="117"/>
      <c r="HU82" s="118"/>
      <c r="HV82" s="8"/>
      <c r="HW82" s="105"/>
      <c r="HX82" s="106"/>
      <c r="HY82" s="107"/>
      <c r="HZ82" s="108"/>
      <c r="IA82" s="36"/>
      <c r="IB82" s="15"/>
      <c r="IC82" s="26"/>
      <c r="ID82" s="33"/>
      <c r="IE82" s="53">
        <f t="shared" si="36"/>
        <v>0</v>
      </c>
      <c r="IG82" s="31"/>
      <c r="IH82" s="116"/>
      <c r="II82" s="117"/>
      <c r="IJ82" s="117"/>
      <c r="IK82" s="118"/>
      <c r="IL82" s="8"/>
      <c r="IM82" s="105"/>
      <c r="IN82" s="106"/>
      <c r="IO82" s="107"/>
      <c r="IP82" s="108"/>
      <c r="IQ82" s="36"/>
      <c r="IR82" s="15"/>
      <c r="IS82" s="26"/>
      <c r="IT82" s="33"/>
      <c r="IU82" s="53">
        <f t="shared" si="37"/>
        <v>0</v>
      </c>
      <c r="IW82" s="31"/>
      <c r="IX82" s="116"/>
      <c r="IY82" s="117"/>
      <c r="IZ82" s="117"/>
      <c r="JA82" s="118"/>
      <c r="JB82" s="8"/>
      <c r="JC82" s="105"/>
      <c r="JD82" s="106"/>
      <c r="JE82" s="107"/>
      <c r="JF82" s="108"/>
      <c r="JG82" s="36"/>
      <c r="JH82" s="15"/>
      <c r="JI82" s="26"/>
      <c r="JJ82" s="33"/>
      <c r="JK82" s="53">
        <f t="shared" si="38"/>
        <v>0</v>
      </c>
      <c r="JM82" s="31"/>
      <c r="JN82" s="116"/>
      <c r="JO82" s="117"/>
      <c r="JP82" s="117"/>
      <c r="JQ82" s="118"/>
      <c r="JR82" s="8"/>
      <c r="JS82" s="105"/>
      <c r="JT82" s="106"/>
      <c r="JU82" s="107"/>
      <c r="JV82" s="108"/>
      <c r="JW82" s="36"/>
      <c r="JX82" s="15"/>
      <c r="JY82" s="26"/>
      <c r="JZ82" s="33"/>
      <c r="KA82" s="53">
        <f t="shared" si="39"/>
        <v>0</v>
      </c>
      <c r="KC82" s="31"/>
      <c r="KD82" s="116"/>
      <c r="KE82" s="117"/>
      <c r="KF82" s="117"/>
      <c r="KG82" s="118"/>
      <c r="KH82" s="8"/>
      <c r="KI82" s="105"/>
      <c r="KJ82" s="106"/>
      <c r="KK82" s="107"/>
      <c r="KL82" s="108"/>
      <c r="KM82" s="36"/>
      <c r="KN82" s="15"/>
      <c r="KO82" s="26"/>
      <c r="KP82" s="33"/>
      <c r="KQ82" s="53">
        <f t="shared" si="40"/>
        <v>0</v>
      </c>
      <c r="KS82" s="31"/>
      <c r="KT82" s="116"/>
      <c r="KU82" s="117"/>
      <c r="KV82" s="117"/>
      <c r="KW82" s="118"/>
      <c r="KX82" s="8"/>
      <c r="KY82" s="105"/>
      <c r="KZ82" s="106"/>
      <c r="LA82" s="107"/>
      <c r="LB82" s="108"/>
      <c r="LC82" s="36"/>
      <c r="LD82" s="15"/>
      <c r="LE82" s="26"/>
      <c r="LF82" s="33"/>
      <c r="LG82" s="53">
        <f t="shared" si="41"/>
        <v>0</v>
      </c>
      <c r="LI82" s="31"/>
      <c r="LJ82" s="116"/>
      <c r="LK82" s="117"/>
      <c r="LL82" s="117"/>
      <c r="LM82" s="118"/>
      <c r="LN82" s="8"/>
      <c r="LO82" s="105"/>
      <c r="LP82" s="106"/>
      <c r="LQ82" s="107"/>
      <c r="LR82" s="108"/>
      <c r="LS82" s="36"/>
      <c r="LT82" s="15"/>
      <c r="LU82" s="26"/>
      <c r="LV82" s="33"/>
      <c r="LW82" s="53">
        <f t="shared" si="42"/>
        <v>0</v>
      </c>
      <c r="LY82" s="31"/>
      <c r="LZ82" s="116"/>
      <c r="MA82" s="117"/>
      <c r="MB82" s="117"/>
      <c r="MC82" s="118"/>
      <c r="MD82" s="8"/>
      <c r="ME82" s="105"/>
      <c r="MF82" s="106"/>
      <c r="MG82" s="107"/>
      <c r="MH82" s="108"/>
      <c r="MI82" s="36"/>
      <c r="MJ82" s="15"/>
      <c r="MK82" s="26"/>
      <c r="ML82" s="33"/>
      <c r="MM82" s="53">
        <f t="shared" si="43"/>
        <v>0</v>
      </c>
    </row>
    <row r="83" spans="1:351" ht="20.100000000000001" customHeight="1" x14ac:dyDescent="0.3">
      <c r="A83" s="32"/>
      <c r="B83" s="102"/>
      <c r="C83" s="103"/>
      <c r="D83" s="103"/>
      <c r="E83" s="104"/>
      <c r="F83" s="8"/>
      <c r="G83" s="105"/>
      <c r="H83" s="106"/>
      <c r="I83" s="107"/>
      <c r="J83" s="108"/>
      <c r="K83" s="36"/>
      <c r="L83" s="15"/>
      <c r="M83" s="26"/>
      <c r="N83" s="33"/>
      <c r="O83" s="53">
        <f t="shared" si="22"/>
        <v>0</v>
      </c>
      <c r="Q83" s="32"/>
      <c r="R83" s="102"/>
      <c r="S83" s="103"/>
      <c r="T83" s="103"/>
      <c r="U83" s="104"/>
      <c r="V83" s="8"/>
      <c r="W83" s="105"/>
      <c r="X83" s="106"/>
      <c r="Y83" s="107"/>
      <c r="Z83" s="108"/>
      <c r="AA83" s="36"/>
      <c r="AB83" s="15"/>
      <c r="AC83" s="26"/>
      <c r="AD83" s="33"/>
      <c r="AE83" s="53">
        <f t="shared" si="23"/>
        <v>0</v>
      </c>
      <c r="AG83" s="32"/>
      <c r="AH83" s="102"/>
      <c r="AI83" s="103"/>
      <c r="AJ83" s="103"/>
      <c r="AK83" s="104"/>
      <c r="AL83" s="8"/>
      <c r="AM83" s="105"/>
      <c r="AN83" s="106"/>
      <c r="AO83" s="107"/>
      <c r="AP83" s="108"/>
      <c r="AQ83" s="36"/>
      <c r="AR83" s="15"/>
      <c r="AS83" s="26"/>
      <c r="AT83" s="33"/>
      <c r="AU83" s="53">
        <f t="shared" si="24"/>
        <v>0</v>
      </c>
      <c r="AW83" s="32"/>
      <c r="AX83" s="102"/>
      <c r="AY83" s="103"/>
      <c r="AZ83" s="103"/>
      <c r="BA83" s="104"/>
      <c r="BB83" s="8"/>
      <c r="BC83" s="105"/>
      <c r="BD83" s="106"/>
      <c r="BE83" s="107"/>
      <c r="BF83" s="108"/>
      <c r="BG83" s="36"/>
      <c r="BH83" s="15"/>
      <c r="BI83" s="26"/>
      <c r="BJ83" s="33"/>
      <c r="BK83" s="53">
        <f t="shared" si="25"/>
        <v>0</v>
      </c>
      <c r="BM83" s="32"/>
      <c r="BN83" s="102"/>
      <c r="BO83" s="103"/>
      <c r="BP83" s="103"/>
      <c r="BQ83" s="104"/>
      <c r="BR83" s="8"/>
      <c r="BS83" s="105"/>
      <c r="BT83" s="106"/>
      <c r="BU83" s="107"/>
      <c r="BV83" s="108"/>
      <c r="BW83" s="36"/>
      <c r="BX83" s="15"/>
      <c r="BY83" s="26"/>
      <c r="BZ83" s="33"/>
      <c r="CA83" s="53">
        <f t="shared" si="26"/>
        <v>0</v>
      </c>
      <c r="CC83" s="32"/>
      <c r="CD83" s="102"/>
      <c r="CE83" s="103"/>
      <c r="CF83" s="103"/>
      <c r="CG83" s="104"/>
      <c r="CH83" s="8"/>
      <c r="CI83" s="105"/>
      <c r="CJ83" s="106"/>
      <c r="CK83" s="107"/>
      <c r="CL83" s="108"/>
      <c r="CM83" s="36"/>
      <c r="CN83" s="15"/>
      <c r="CO83" s="26"/>
      <c r="CP83" s="33"/>
      <c r="CQ83" s="53">
        <f t="shared" si="27"/>
        <v>0</v>
      </c>
      <c r="CS83" s="32"/>
      <c r="CT83" s="102"/>
      <c r="CU83" s="103"/>
      <c r="CV83" s="103"/>
      <c r="CW83" s="104"/>
      <c r="CX83" s="8"/>
      <c r="CY83" s="105"/>
      <c r="CZ83" s="106"/>
      <c r="DA83" s="107"/>
      <c r="DB83" s="108"/>
      <c r="DC83" s="36"/>
      <c r="DD83" s="15"/>
      <c r="DE83" s="26"/>
      <c r="DF83" s="33"/>
      <c r="DG83" s="53">
        <f t="shared" si="28"/>
        <v>0</v>
      </c>
      <c r="DI83" s="32"/>
      <c r="DJ83" s="102"/>
      <c r="DK83" s="103"/>
      <c r="DL83" s="103"/>
      <c r="DM83" s="104"/>
      <c r="DN83" s="8"/>
      <c r="DO83" s="105"/>
      <c r="DP83" s="106"/>
      <c r="DQ83" s="107"/>
      <c r="DR83" s="108"/>
      <c r="DS83" s="36"/>
      <c r="DT83" s="15"/>
      <c r="DU83" s="26"/>
      <c r="DV83" s="33"/>
      <c r="DW83" s="53">
        <f t="shared" si="29"/>
        <v>0</v>
      </c>
      <c r="DY83" s="32"/>
      <c r="DZ83" s="102"/>
      <c r="EA83" s="103"/>
      <c r="EB83" s="103"/>
      <c r="EC83" s="104"/>
      <c r="ED83" s="8"/>
      <c r="EE83" s="105"/>
      <c r="EF83" s="106"/>
      <c r="EG83" s="107"/>
      <c r="EH83" s="108"/>
      <c r="EI83" s="36"/>
      <c r="EJ83" s="15"/>
      <c r="EK83" s="26"/>
      <c r="EL83" s="33"/>
      <c r="EM83" s="53">
        <f t="shared" si="30"/>
        <v>0</v>
      </c>
      <c r="EO83" s="32"/>
      <c r="EP83" s="102"/>
      <c r="EQ83" s="103"/>
      <c r="ER83" s="103"/>
      <c r="ES83" s="104"/>
      <c r="ET83" s="8"/>
      <c r="EU83" s="105"/>
      <c r="EV83" s="106"/>
      <c r="EW83" s="107"/>
      <c r="EX83" s="108"/>
      <c r="EY83" s="36"/>
      <c r="EZ83" s="15"/>
      <c r="FA83" s="26"/>
      <c r="FB83" s="33"/>
      <c r="FC83" s="53">
        <f t="shared" si="31"/>
        <v>0</v>
      </c>
      <c r="FE83" s="32"/>
      <c r="FF83" s="102"/>
      <c r="FG83" s="103"/>
      <c r="FH83" s="103"/>
      <c r="FI83" s="104"/>
      <c r="FJ83" s="8"/>
      <c r="FK83" s="105"/>
      <c r="FL83" s="106"/>
      <c r="FM83" s="107"/>
      <c r="FN83" s="108"/>
      <c r="FO83" s="36"/>
      <c r="FP83" s="15"/>
      <c r="FQ83" s="26"/>
      <c r="FR83" s="33"/>
      <c r="FS83" s="53">
        <f t="shared" si="32"/>
        <v>0</v>
      </c>
      <c r="FU83" s="32"/>
      <c r="FV83" s="102"/>
      <c r="FW83" s="103"/>
      <c r="FX83" s="103"/>
      <c r="FY83" s="104"/>
      <c r="FZ83" s="8"/>
      <c r="GA83" s="105"/>
      <c r="GB83" s="106"/>
      <c r="GC83" s="107"/>
      <c r="GD83" s="108"/>
      <c r="GE83" s="36"/>
      <c r="GF83" s="15"/>
      <c r="GG83" s="26"/>
      <c r="GH83" s="33"/>
      <c r="GI83" s="53">
        <f t="shared" si="33"/>
        <v>0</v>
      </c>
      <c r="GK83" s="32"/>
      <c r="GL83" s="102"/>
      <c r="GM83" s="103"/>
      <c r="GN83" s="103"/>
      <c r="GO83" s="104"/>
      <c r="GP83" s="8"/>
      <c r="GQ83" s="105"/>
      <c r="GR83" s="106"/>
      <c r="GS83" s="107"/>
      <c r="GT83" s="108"/>
      <c r="GU83" s="36"/>
      <c r="GV83" s="15"/>
      <c r="GW83" s="26"/>
      <c r="GX83" s="33"/>
      <c r="GY83" s="53">
        <f t="shared" si="34"/>
        <v>0</v>
      </c>
      <c r="HA83" s="32"/>
      <c r="HB83" s="102"/>
      <c r="HC83" s="103"/>
      <c r="HD83" s="103"/>
      <c r="HE83" s="104"/>
      <c r="HF83" s="8"/>
      <c r="HG83" s="105"/>
      <c r="HH83" s="106"/>
      <c r="HI83" s="107"/>
      <c r="HJ83" s="108"/>
      <c r="HK83" s="36"/>
      <c r="HL83" s="15"/>
      <c r="HM83" s="26"/>
      <c r="HN83" s="33"/>
      <c r="HO83" s="53">
        <f t="shared" si="35"/>
        <v>0</v>
      </c>
      <c r="HQ83" s="32"/>
      <c r="HR83" s="102"/>
      <c r="HS83" s="103"/>
      <c r="HT83" s="103"/>
      <c r="HU83" s="104"/>
      <c r="HV83" s="8"/>
      <c r="HW83" s="105"/>
      <c r="HX83" s="106"/>
      <c r="HY83" s="107"/>
      <c r="HZ83" s="108"/>
      <c r="IA83" s="36"/>
      <c r="IB83" s="15"/>
      <c r="IC83" s="26"/>
      <c r="ID83" s="33"/>
      <c r="IE83" s="53">
        <f t="shared" si="36"/>
        <v>0</v>
      </c>
      <c r="IG83" s="32"/>
      <c r="IH83" s="102"/>
      <c r="II83" s="103"/>
      <c r="IJ83" s="103"/>
      <c r="IK83" s="104"/>
      <c r="IL83" s="8"/>
      <c r="IM83" s="105"/>
      <c r="IN83" s="106"/>
      <c r="IO83" s="107"/>
      <c r="IP83" s="108"/>
      <c r="IQ83" s="36"/>
      <c r="IR83" s="15"/>
      <c r="IS83" s="26"/>
      <c r="IT83" s="33"/>
      <c r="IU83" s="53">
        <f t="shared" si="37"/>
        <v>0</v>
      </c>
      <c r="IW83" s="32"/>
      <c r="IX83" s="102"/>
      <c r="IY83" s="103"/>
      <c r="IZ83" s="103"/>
      <c r="JA83" s="104"/>
      <c r="JB83" s="8"/>
      <c r="JC83" s="105"/>
      <c r="JD83" s="106"/>
      <c r="JE83" s="107"/>
      <c r="JF83" s="108"/>
      <c r="JG83" s="36"/>
      <c r="JH83" s="15"/>
      <c r="JI83" s="26"/>
      <c r="JJ83" s="33"/>
      <c r="JK83" s="53">
        <f t="shared" si="38"/>
        <v>0</v>
      </c>
      <c r="JM83" s="32"/>
      <c r="JN83" s="102"/>
      <c r="JO83" s="103"/>
      <c r="JP83" s="103"/>
      <c r="JQ83" s="104"/>
      <c r="JR83" s="8"/>
      <c r="JS83" s="105"/>
      <c r="JT83" s="106"/>
      <c r="JU83" s="107"/>
      <c r="JV83" s="108"/>
      <c r="JW83" s="36"/>
      <c r="JX83" s="15"/>
      <c r="JY83" s="26"/>
      <c r="JZ83" s="33"/>
      <c r="KA83" s="53">
        <f t="shared" si="39"/>
        <v>0</v>
      </c>
      <c r="KC83" s="32"/>
      <c r="KD83" s="102"/>
      <c r="KE83" s="103"/>
      <c r="KF83" s="103"/>
      <c r="KG83" s="104"/>
      <c r="KH83" s="8"/>
      <c r="KI83" s="105"/>
      <c r="KJ83" s="106"/>
      <c r="KK83" s="107"/>
      <c r="KL83" s="108"/>
      <c r="KM83" s="36"/>
      <c r="KN83" s="15"/>
      <c r="KO83" s="26"/>
      <c r="KP83" s="33"/>
      <c r="KQ83" s="53">
        <f t="shared" si="40"/>
        <v>0</v>
      </c>
      <c r="KS83" s="32"/>
      <c r="KT83" s="102"/>
      <c r="KU83" s="103"/>
      <c r="KV83" s="103"/>
      <c r="KW83" s="104"/>
      <c r="KX83" s="8"/>
      <c r="KY83" s="105"/>
      <c r="KZ83" s="106"/>
      <c r="LA83" s="107"/>
      <c r="LB83" s="108"/>
      <c r="LC83" s="36"/>
      <c r="LD83" s="15"/>
      <c r="LE83" s="26"/>
      <c r="LF83" s="33"/>
      <c r="LG83" s="53">
        <f t="shared" si="41"/>
        <v>0</v>
      </c>
      <c r="LI83" s="32"/>
      <c r="LJ83" s="102"/>
      <c r="LK83" s="103"/>
      <c r="LL83" s="103"/>
      <c r="LM83" s="104"/>
      <c r="LN83" s="8"/>
      <c r="LO83" s="105"/>
      <c r="LP83" s="106"/>
      <c r="LQ83" s="107"/>
      <c r="LR83" s="108"/>
      <c r="LS83" s="36"/>
      <c r="LT83" s="15"/>
      <c r="LU83" s="26"/>
      <c r="LV83" s="33"/>
      <c r="LW83" s="53">
        <f t="shared" si="42"/>
        <v>0</v>
      </c>
      <c r="LY83" s="32"/>
      <c r="LZ83" s="102"/>
      <c r="MA83" s="103"/>
      <c r="MB83" s="103"/>
      <c r="MC83" s="104"/>
      <c r="MD83" s="8"/>
      <c r="ME83" s="105"/>
      <c r="MF83" s="106"/>
      <c r="MG83" s="107"/>
      <c r="MH83" s="108"/>
      <c r="MI83" s="36"/>
      <c r="MJ83" s="15"/>
      <c r="MK83" s="26"/>
      <c r="ML83" s="33"/>
      <c r="MM83" s="53">
        <f t="shared" si="43"/>
        <v>0</v>
      </c>
    </row>
    <row r="84" spans="1:351" ht="20.100000000000001" customHeight="1" x14ac:dyDescent="0.3">
      <c r="A84" s="31"/>
      <c r="B84" s="116"/>
      <c r="C84" s="117"/>
      <c r="D84" s="117"/>
      <c r="E84" s="118"/>
      <c r="F84" s="8"/>
      <c r="G84" s="105"/>
      <c r="H84" s="106"/>
      <c r="I84" s="107"/>
      <c r="J84" s="108"/>
      <c r="K84" s="36"/>
      <c r="L84" s="15"/>
      <c r="M84" s="26"/>
      <c r="N84" s="33"/>
      <c r="O84" s="53">
        <f t="shared" si="22"/>
        <v>0</v>
      </c>
      <c r="Q84" s="31"/>
      <c r="R84" s="116"/>
      <c r="S84" s="117"/>
      <c r="T84" s="117"/>
      <c r="U84" s="118"/>
      <c r="V84" s="8"/>
      <c r="W84" s="105"/>
      <c r="X84" s="106"/>
      <c r="Y84" s="107"/>
      <c r="Z84" s="108"/>
      <c r="AA84" s="36"/>
      <c r="AB84" s="15"/>
      <c r="AC84" s="26"/>
      <c r="AD84" s="33"/>
      <c r="AE84" s="53">
        <f t="shared" si="23"/>
        <v>0</v>
      </c>
      <c r="AG84" s="31"/>
      <c r="AH84" s="116"/>
      <c r="AI84" s="117"/>
      <c r="AJ84" s="117"/>
      <c r="AK84" s="118"/>
      <c r="AL84" s="8"/>
      <c r="AM84" s="105"/>
      <c r="AN84" s="106"/>
      <c r="AO84" s="107"/>
      <c r="AP84" s="108"/>
      <c r="AQ84" s="36"/>
      <c r="AR84" s="15"/>
      <c r="AS84" s="26"/>
      <c r="AT84" s="33"/>
      <c r="AU84" s="53">
        <f t="shared" si="24"/>
        <v>0</v>
      </c>
      <c r="AW84" s="31"/>
      <c r="AX84" s="116"/>
      <c r="AY84" s="117"/>
      <c r="AZ84" s="117"/>
      <c r="BA84" s="118"/>
      <c r="BB84" s="8"/>
      <c r="BC84" s="105"/>
      <c r="BD84" s="106"/>
      <c r="BE84" s="107"/>
      <c r="BF84" s="108"/>
      <c r="BG84" s="36"/>
      <c r="BH84" s="15"/>
      <c r="BI84" s="26"/>
      <c r="BJ84" s="33"/>
      <c r="BK84" s="53">
        <f t="shared" si="25"/>
        <v>0</v>
      </c>
      <c r="BM84" s="31"/>
      <c r="BN84" s="116"/>
      <c r="BO84" s="117"/>
      <c r="BP84" s="117"/>
      <c r="BQ84" s="118"/>
      <c r="BR84" s="8"/>
      <c r="BS84" s="105"/>
      <c r="BT84" s="106"/>
      <c r="BU84" s="107"/>
      <c r="BV84" s="108"/>
      <c r="BW84" s="36"/>
      <c r="BX84" s="15"/>
      <c r="BY84" s="26"/>
      <c r="BZ84" s="33"/>
      <c r="CA84" s="53">
        <f t="shared" si="26"/>
        <v>0</v>
      </c>
      <c r="CC84" s="31"/>
      <c r="CD84" s="116"/>
      <c r="CE84" s="117"/>
      <c r="CF84" s="117"/>
      <c r="CG84" s="118"/>
      <c r="CH84" s="8"/>
      <c r="CI84" s="105"/>
      <c r="CJ84" s="106"/>
      <c r="CK84" s="107"/>
      <c r="CL84" s="108"/>
      <c r="CM84" s="36"/>
      <c r="CN84" s="15"/>
      <c r="CO84" s="26"/>
      <c r="CP84" s="33"/>
      <c r="CQ84" s="53">
        <f t="shared" si="27"/>
        <v>0</v>
      </c>
      <c r="CS84" s="31"/>
      <c r="CT84" s="116"/>
      <c r="CU84" s="117"/>
      <c r="CV84" s="117"/>
      <c r="CW84" s="118"/>
      <c r="CX84" s="8"/>
      <c r="CY84" s="105"/>
      <c r="CZ84" s="106"/>
      <c r="DA84" s="107"/>
      <c r="DB84" s="108"/>
      <c r="DC84" s="36"/>
      <c r="DD84" s="15"/>
      <c r="DE84" s="26"/>
      <c r="DF84" s="33"/>
      <c r="DG84" s="53">
        <f t="shared" si="28"/>
        <v>0</v>
      </c>
      <c r="DI84" s="31"/>
      <c r="DJ84" s="116"/>
      <c r="DK84" s="117"/>
      <c r="DL84" s="117"/>
      <c r="DM84" s="118"/>
      <c r="DN84" s="8"/>
      <c r="DO84" s="105"/>
      <c r="DP84" s="106"/>
      <c r="DQ84" s="107"/>
      <c r="DR84" s="108"/>
      <c r="DS84" s="36"/>
      <c r="DT84" s="15"/>
      <c r="DU84" s="26"/>
      <c r="DV84" s="33"/>
      <c r="DW84" s="53">
        <f t="shared" si="29"/>
        <v>0</v>
      </c>
      <c r="DY84" s="31"/>
      <c r="DZ84" s="116"/>
      <c r="EA84" s="117"/>
      <c r="EB84" s="117"/>
      <c r="EC84" s="118"/>
      <c r="ED84" s="8"/>
      <c r="EE84" s="105"/>
      <c r="EF84" s="106"/>
      <c r="EG84" s="107"/>
      <c r="EH84" s="108"/>
      <c r="EI84" s="36"/>
      <c r="EJ84" s="15"/>
      <c r="EK84" s="26"/>
      <c r="EL84" s="33"/>
      <c r="EM84" s="53">
        <f t="shared" si="30"/>
        <v>0</v>
      </c>
      <c r="EO84" s="31"/>
      <c r="EP84" s="116"/>
      <c r="EQ84" s="117"/>
      <c r="ER84" s="117"/>
      <c r="ES84" s="118"/>
      <c r="ET84" s="8"/>
      <c r="EU84" s="105"/>
      <c r="EV84" s="106"/>
      <c r="EW84" s="107"/>
      <c r="EX84" s="108"/>
      <c r="EY84" s="36"/>
      <c r="EZ84" s="15"/>
      <c r="FA84" s="26"/>
      <c r="FB84" s="33"/>
      <c r="FC84" s="53">
        <f t="shared" si="31"/>
        <v>0</v>
      </c>
      <c r="FE84" s="31"/>
      <c r="FF84" s="116"/>
      <c r="FG84" s="117"/>
      <c r="FH84" s="117"/>
      <c r="FI84" s="118"/>
      <c r="FJ84" s="8"/>
      <c r="FK84" s="105"/>
      <c r="FL84" s="106"/>
      <c r="FM84" s="107"/>
      <c r="FN84" s="108"/>
      <c r="FO84" s="36"/>
      <c r="FP84" s="15"/>
      <c r="FQ84" s="26"/>
      <c r="FR84" s="33"/>
      <c r="FS84" s="53">
        <f t="shared" si="32"/>
        <v>0</v>
      </c>
      <c r="FU84" s="31"/>
      <c r="FV84" s="116"/>
      <c r="FW84" s="117"/>
      <c r="FX84" s="117"/>
      <c r="FY84" s="118"/>
      <c r="FZ84" s="8"/>
      <c r="GA84" s="105"/>
      <c r="GB84" s="106"/>
      <c r="GC84" s="107"/>
      <c r="GD84" s="108"/>
      <c r="GE84" s="36"/>
      <c r="GF84" s="15"/>
      <c r="GG84" s="26"/>
      <c r="GH84" s="33"/>
      <c r="GI84" s="53">
        <f t="shared" si="33"/>
        <v>0</v>
      </c>
      <c r="GK84" s="31"/>
      <c r="GL84" s="116"/>
      <c r="GM84" s="117"/>
      <c r="GN84" s="117"/>
      <c r="GO84" s="118"/>
      <c r="GP84" s="8"/>
      <c r="GQ84" s="105"/>
      <c r="GR84" s="106"/>
      <c r="GS84" s="107"/>
      <c r="GT84" s="108"/>
      <c r="GU84" s="36"/>
      <c r="GV84" s="15"/>
      <c r="GW84" s="26"/>
      <c r="GX84" s="33"/>
      <c r="GY84" s="53">
        <f t="shared" si="34"/>
        <v>0</v>
      </c>
      <c r="HA84" s="31"/>
      <c r="HB84" s="116"/>
      <c r="HC84" s="117"/>
      <c r="HD84" s="117"/>
      <c r="HE84" s="118"/>
      <c r="HF84" s="8"/>
      <c r="HG84" s="105"/>
      <c r="HH84" s="106"/>
      <c r="HI84" s="107"/>
      <c r="HJ84" s="108"/>
      <c r="HK84" s="36"/>
      <c r="HL84" s="15"/>
      <c r="HM84" s="26"/>
      <c r="HN84" s="33"/>
      <c r="HO84" s="53">
        <f t="shared" si="35"/>
        <v>0</v>
      </c>
      <c r="HQ84" s="31"/>
      <c r="HR84" s="116"/>
      <c r="HS84" s="117"/>
      <c r="HT84" s="117"/>
      <c r="HU84" s="118"/>
      <c r="HV84" s="8"/>
      <c r="HW84" s="105"/>
      <c r="HX84" s="106"/>
      <c r="HY84" s="107"/>
      <c r="HZ84" s="108"/>
      <c r="IA84" s="36"/>
      <c r="IB84" s="15"/>
      <c r="IC84" s="26"/>
      <c r="ID84" s="33"/>
      <c r="IE84" s="53">
        <f t="shared" si="36"/>
        <v>0</v>
      </c>
      <c r="IG84" s="31"/>
      <c r="IH84" s="116"/>
      <c r="II84" s="117"/>
      <c r="IJ84" s="117"/>
      <c r="IK84" s="118"/>
      <c r="IL84" s="8"/>
      <c r="IM84" s="105"/>
      <c r="IN84" s="106"/>
      <c r="IO84" s="107"/>
      <c r="IP84" s="108"/>
      <c r="IQ84" s="36"/>
      <c r="IR84" s="15"/>
      <c r="IS84" s="26"/>
      <c r="IT84" s="33"/>
      <c r="IU84" s="53">
        <f t="shared" si="37"/>
        <v>0</v>
      </c>
      <c r="IW84" s="31"/>
      <c r="IX84" s="116"/>
      <c r="IY84" s="117"/>
      <c r="IZ84" s="117"/>
      <c r="JA84" s="118"/>
      <c r="JB84" s="8"/>
      <c r="JC84" s="105"/>
      <c r="JD84" s="106"/>
      <c r="JE84" s="107"/>
      <c r="JF84" s="108"/>
      <c r="JG84" s="36"/>
      <c r="JH84" s="15"/>
      <c r="JI84" s="26"/>
      <c r="JJ84" s="33"/>
      <c r="JK84" s="53">
        <f t="shared" si="38"/>
        <v>0</v>
      </c>
      <c r="JM84" s="31"/>
      <c r="JN84" s="116"/>
      <c r="JO84" s="117"/>
      <c r="JP84" s="117"/>
      <c r="JQ84" s="118"/>
      <c r="JR84" s="8"/>
      <c r="JS84" s="105"/>
      <c r="JT84" s="106"/>
      <c r="JU84" s="107"/>
      <c r="JV84" s="108"/>
      <c r="JW84" s="36"/>
      <c r="JX84" s="15"/>
      <c r="JY84" s="26"/>
      <c r="JZ84" s="33"/>
      <c r="KA84" s="53">
        <f t="shared" si="39"/>
        <v>0</v>
      </c>
      <c r="KC84" s="31"/>
      <c r="KD84" s="116"/>
      <c r="KE84" s="117"/>
      <c r="KF84" s="117"/>
      <c r="KG84" s="118"/>
      <c r="KH84" s="8"/>
      <c r="KI84" s="105"/>
      <c r="KJ84" s="106"/>
      <c r="KK84" s="107"/>
      <c r="KL84" s="108"/>
      <c r="KM84" s="36"/>
      <c r="KN84" s="15"/>
      <c r="KO84" s="26"/>
      <c r="KP84" s="33"/>
      <c r="KQ84" s="53">
        <f t="shared" si="40"/>
        <v>0</v>
      </c>
      <c r="KS84" s="31"/>
      <c r="KT84" s="116"/>
      <c r="KU84" s="117"/>
      <c r="KV84" s="117"/>
      <c r="KW84" s="118"/>
      <c r="KX84" s="8"/>
      <c r="KY84" s="105"/>
      <c r="KZ84" s="106"/>
      <c r="LA84" s="107"/>
      <c r="LB84" s="108"/>
      <c r="LC84" s="36"/>
      <c r="LD84" s="15"/>
      <c r="LE84" s="26"/>
      <c r="LF84" s="33"/>
      <c r="LG84" s="53">
        <f t="shared" si="41"/>
        <v>0</v>
      </c>
      <c r="LI84" s="31"/>
      <c r="LJ84" s="116"/>
      <c r="LK84" s="117"/>
      <c r="LL84" s="117"/>
      <c r="LM84" s="118"/>
      <c r="LN84" s="8"/>
      <c r="LO84" s="105"/>
      <c r="LP84" s="106"/>
      <c r="LQ84" s="107"/>
      <c r="LR84" s="108"/>
      <c r="LS84" s="36"/>
      <c r="LT84" s="15"/>
      <c r="LU84" s="26"/>
      <c r="LV84" s="33"/>
      <c r="LW84" s="53">
        <f t="shared" si="42"/>
        <v>0</v>
      </c>
      <c r="LY84" s="31"/>
      <c r="LZ84" s="116"/>
      <c r="MA84" s="117"/>
      <c r="MB84" s="117"/>
      <c r="MC84" s="118"/>
      <c r="MD84" s="8"/>
      <c r="ME84" s="105"/>
      <c r="MF84" s="106"/>
      <c r="MG84" s="107"/>
      <c r="MH84" s="108"/>
      <c r="MI84" s="36"/>
      <c r="MJ84" s="15"/>
      <c r="MK84" s="26"/>
      <c r="ML84" s="33"/>
      <c r="MM84" s="53">
        <f t="shared" si="43"/>
        <v>0</v>
      </c>
    </row>
    <row r="85" spans="1:351" ht="20.100000000000001" customHeight="1" x14ac:dyDescent="0.3">
      <c r="A85" s="31"/>
      <c r="B85" s="116"/>
      <c r="C85" s="117"/>
      <c r="D85" s="117"/>
      <c r="E85" s="118"/>
      <c r="F85" s="8"/>
      <c r="G85" s="105"/>
      <c r="H85" s="106"/>
      <c r="I85" s="107"/>
      <c r="J85" s="108"/>
      <c r="K85" s="36"/>
      <c r="L85" s="15"/>
      <c r="M85" s="26"/>
      <c r="N85" s="33"/>
      <c r="O85" s="53">
        <f t="shared" si="22"/>
        <v>0</v>
      </c>
      <c r="Q85" s="31"/>
      <c r="R85" s="116"/>
      <c r="S85" s="117"/>
      <c r="T85" s="117"/>
      <c r="U85" s="118"/>
      <c r="V85" s="8"/>
      <c r="W85" s="105"/>
      <c r="X85" s="106"/>
      <c r="Y85" s="107"/>
      <c r="Z85" s="108"/>
      <c r="AA85" s="36"/>
      <c r="AB85" s="15"/>
      <c r="AC85" s="26"/>
      <c r="AD85" s="33"/>
      <c r="AE85" s="53">
        <f t="shared" si="23"/>
        <v>0</v>
      </c>
      <c r="AG85" s="31"/>
      <c r="AH85" s="116"/>
      <c r="AI85" s="117"/>
      <c r="AJ85" s="117"/>
      <c r="AK85" s="118"/>
      <c r="AL85" s="8"/>
      <c r="AM85" s="105"/>
      <c r="AN85" s="106"/>
      <c r="AO85" s="107"/>
      <c r="AP85" s="108"/>
      <c r="AQ85" s="36"/>
      <c r="AR85" s="15"/>
      <c r="AS85" s="26"/>
      <c r="AT85" s="33"/>
      <c r="AU85" s="53">
        <f t="shared" si="24"/>
        <v>0</v>
      </c>
      <c r="AW85" s="31"/>
      <c r="AX85" s="116"/>
      <c r="AY85" s="117"/>
      <c r="AZ85" s="117"/>
      <c r="BA85" s="118"/>
      <c r="BB85" s="8"/>
      <c r="BC85" s="105"/>
      <c r="BD85" s="106"/>
      <c r="BE85" s="107"/>
      <c r="BF85" s="108"/>
      <c r="BG85" s="36"/>
      <c r="BH85" s="15"/>
      <c r="BI85" s="26"/>
      <c r="BJ85" s="33"/>
      <c r="BK85" s="53">
        <f t="shared" si="25"/>
        <v>0</v>
      </c>
      <c r="BM85" s="31"/>
      <c r="BN85" s="116"/>
      <c r="BO85" s="117"/>
      <c r="BP85" s="117"/>
      <c r="BQ85" s="118"/>
      <c r="BR85" s="8"/>
      <c r="BS85" s="105"/>
      <c r="BT85" s="106"/>
      <c r="BU85" s="107"/>
      <c r="BV85" s="108"/>
      <c r="BW85" s="36"/>
      <c r="BX85" s="15"/>
      <c r="BY85" s="26"/>
      <c r="BZ85" s="33"/>
      <c r="CA85" s="53">
        <f t="shared" si="26"/>
        <v>0</v>
      </c>
      <c r="CC85" s="31"/>
      <c r="CD85" s="116"/>
      <c r="CE85" s="117"/>
      <c r="CF85" s="117"/>
      <c r="CG85" s="118"/>
      <c r="CH85" s="8"/>
      <c r="CI85" s="105"/>
      <c r="CJ85" s="106"/>
      <c r="CK85" s="107"/>
      <c r="CL85" s="108"/>
      <c r="CM85" s="36"/>
      <c r="CN85" s="15"/>
      <c r="CO85" s="26"/>
      <c r="CP85" s="33"/>
      <c r="CQ85" s="53">
        <f t="shared" si="27"/>
        <v>0</v>
      </c>
      <c r="CS85" s="31"/>
      <c r="CT85" s="116"/>
      <c r="CU85" s="117"/>
      <c r="CV85" s="117"/>
      <c r="CW85" s="118"/>
      <c r="CX85" s="8"/>
      <c r="CY85" s="105"/>
      <c r="CZ85" s="106"/>
      <c r="DA85" s="107"/>
      <c r="DB85" s="108"/>
      <c r="DC85" s="36"/>
      <c r="DD85" s="15"/>
      <c r="DE85" s="26"/>
      <c r="DF85" s="33"/>
      <c r="DG85" s="53">
        <f t="shared" si="28"/>
        <v>0</v>
      </c>
      <c r="DI85" s="31"/>
      <c r="DJ85" s="116"/>
      <c r="DK85" s="117"/>
      <c r="DL85" s="117"/>
      <c r="DM85" s="118"/>
      <c r="DN85" s="8"/>
      <c r="DO85" s="105"/>
      <c r="DP85" s="106"/>
      <c r="DQ85" s="107"/>
      <c r="DR85" s="108"/>
      <c r="DS85" s="36"/>
      <c r="DT85" s="15"/>
      <c r="DU85" s="26"/>
      <c r="DV85" s="33"/>
      <c r="DW85" s="53">
        <f t="shared" si="29"/>
        <v>0</v>
      </c>
      <c r="DY85" s="31"/>
      <c r="DZ85" s="116"/>
      <c r="EA85" s="117"/>
      <c r="EB85" s="117"/>
      <c r="EC85" s="118"/>
      <c r="ED85" s="8"/>
      <c r="EE85" s="105"/>
      <c r="EF85" s="106"/>
      <c r="EG85" s="107"/>
      <c r="EH85" s="108"/>
      <c r="EI85" s="36"/>
      <c r="EJ85" s="15"/>
      <c r="EK85" s="26"/>
      <c r="EL85" s="33"/>
      <c r="EM85" s="53">
        <f t="shared" si="30"/>
        <v>0</v>
      </c>
      <c r="EO85" s="31"/>
      <c r="EP85" s="116"/>
      <c r="EQ85" s="117"/>
      <c r="ER85" s="117"/>
      <c r="ES85" s="118"/>
      <c r="ET85" s="8"/>
      <c r="EU85" s="105"/>
      <c r="EV85" s="106"/>
      <c r="EW85" s="107"/>
      <c r="EX85" s="108"/>
      <c r="EY85" s="36"/>
      <c r="EZ85" s="15"/>
      <c r="FA85" s="26"/>
      <c r="FB85" s="33"/>
      <c r="FC85" s="53">
        <f t="shared" si="31"/>
        <v>0</v>
      </c>
      <c r="FE85" s="31"/>
      <c r="FF85" s="116"/>
      <c r="FG85" s="117"/>
      <c r="FH85" s="117"/>
      <c r="FI85" s="118"/>
      <c r="FJ85" s="8"/>
      <c r="FK85" s="105"/>
      <c r="FL85" s="106"/>
      <c r="FM85" s="107"/>
      <c r="FN85" s="108"/>
      <c r="FO85" s="36"/>
      <c r="FP85" s="15"/>
      <c r="FQ85" s="26"/>
      <c r="FR85" s="33"/>
      <c r="FS85" s="53">
        <f t="shared" si="32"/>
        <v>0</v>
      </c>
      <c r="FU85" s="31"/>
      <c r="FV85" s="116"/>
      <c r="FW85" s="117"/>
      <c r="FX85" s="117"/>
      <c r="FY85" s="118"/>
      <c r="FZ85" s="8"/>
      <c r="GA85" s="105"/>
      <c r="GB85" s="106"/>
      <c r="GC85" s="107"/>
      <c r="GD85" s="108"/>
      <c r="GE85" s="36"/>
      <c r="GF85" s="15"/>
      <c r="GG85" s="26"/>
      <c r="GH85" s="33"/>
      <c r="GI85" s="53">
        <f t="shared" si="33"/>
        <v>0</v>
      </c>
      <c r="GK85" s="31"/>
      <c r="GL85" s="116"/>
      <c r="GM85" s="117"/>
      <c r="GN85" s="117"/>
      <c r="GO85" s="118"/>
      <c r="GP85" s="8"/>
      <c r="GQ85" s="105"/>
      <c r="GR85" s="106"/>
      <c r="GS85" s="107"/>
      <c r="GT85" s="108"/>
      <c r="GU85" s="36"/>
      <c r="GV85" s="15"/>
      <c r="GW85" s="26"/>
      <c r="GX85" s="33"/>
      <c r="GY85" s="53">
        <f t="shared" si="34"/>
        <v>0</v>
      </c>
      <c r="HA85" s="31"/>
      <c r="HB85" s="116"/>
      <c r="HC85" s="117"/>
      <c r="HD85" s="117"/>
      <c r="HE85" s="118"/>
      <c r="HF85" s="8"/>
      <c r="HG85" s="105"/>
      <c r="HH85" s="106"/>
      <c r="HI85" s="107"/>
      <c r="HJ85" s="108"/>
      <c r="HK85" s="36"/>
      <c r="HL85" s="15"/>
      <c r="HM85" s="26"/>
      <c r="HN85" s="33"/>
      <c r="HO85" s="53">
        <f t="shared" si="35"/>
        <v>0</v>
      </c>
      <c r="HQ85" s="31"/>
      <c r="HR85" s="116"/>
      <c r="HS85" s="117"/>
      <c r="HT85" s="117"/>
      <c r="HU85" s="118"/>
      <c r="HV85" s="8"/>
      <c r="HW85" s="105"/>
      <c r="HX85" s="106"/>
      <c r="HY85" s="107"/>
      <c r="HZ85" s="108"/>
      <c r="IA85" s="36"/>
      <c r="IB85" s="15"/>
      <c r="IC85" s="26"/>
      <c r="ID85" s="33"/>
      <c r="IE85" s="53">
        <f t="shared" si="36"/>
        <v>0</v>
      </c>
      <c r="IG85" s="31"/>
      <c r="IH85" s="116"/>
      <c r="II85" s="117"/>
      <c r="IJ85" s="117"/>
      <c r="IK85" s="118"/>
      <c r="IL85" s="8"/>
      <c r="IM85" s="105"/>
      <c r="IN85" s="106"/>
      <c r="IO85" s="107"/>
      <c r="IP85" s="108"/>
      <c r="IQ85" s="36"/>
      <c r="IR85" s="15"/>
      <c r="IS85" s="26"/>
      <c r="IT85" s="33"/>
      <c r="IU85" s="53">
        <f t="shared" si="37"/>
        <v>0</v>
      </c>
      <c r="IW85" s="31"/>
      <c r="IX85" s="116"/>
      <c r="IY85" s="117"/>
      <c r="IZ85" s="117"/>
      <c r="JA85" s="118"/>
      <c r="JB85" s="8"/>
      <c r="JC85" s="105"/>
      <c r="JD85" s="106"/>
      <c r="JE85" s="107"/>
      <c r="JF85" s="108"/>
      <c r="JG85" s="36"/>
      <c r="JH85" s="15"/>
      <c r="JI85" s="26"/>
      <c r="JJ85" s="33"/>
      <c r="JK85" s="53">
        <f t="shared" si="38"/>
        <v>0</v>
      </c>
      <c r="JM85" s="31"/>
      <c r="JN85" s="116"/>
      <c r="JO85" s="117"/>
      <c r="JP85" s="117"/>
      <c r="JQ85" s="118"/>
      <c r="JR85" s="8"/>
      <c r="JS85" s="105"/>
      <c r="JT85" s="106"/>
      <c r="JU85" s="107"/>
      <c r="JV85" s="108"/>
      <c r="JW85" s="36"/>
      <c r="JX85" s="15"/>
      <c r="JY85" s="26"/>
      <c r="JZ85" s="33"/>
      <c r="KA85" s="53">
        <f t="shared" si="39"/>
        <v>0</v>
      </c>
      <c r="KC85" s="31"/>
      <c r="KD85" s="116"/>
      <c r="KE85" s="117"/>
      <c r="KF85" s="117"/>
      <c r="KG85" s="118"/>
      <c r="KH85" s="8"/>
      <c r="KI85" s="105"/>
      <c r="KJ85" s="106"/>
      <c r="KK85" s="107"/>
      <c r="KL85" s="108"/>
      <c r="KM85" s="36"/>
      <c r="KN85" s="15"/>
      <c r="KO85" s="26"/>
      <c r="KP85" s="33"/>
      <c r="KQ85" s="53">
        <f t="shared" si="40"/>
        <v>0</v>
      </c>
      <c r="KS85" s="31"/>
      <c r="KT85" s="116"/>
      <c r="KU85" s="117"/>
      <c r="KV85" s="117"/>
      <c r="KW85" s="118"/>
      <c r="KX85" s="8"/>
      <c r="KY85" s="105"/>
      <c r="KZ85" s="106"/>
      <c r="LA85" s="107"/>
      <c r="LB85" s="108"/>
      <c r="LC85" s="36"/>
      <c r="LD85" s="15"/>
      <c r="LE85" s="26"/>
      <c r="LF85" s="33"/>
      <c r="LG85" s="53">
        <f t="shared" si="41"/>
        <v>0</v>
      </c>
      <c r="LI85" s="31"/>
      <c r="LJ85" s="116"/>
      <c r="LK85" s="117"/>
      <c r="LL85" s="117"/>
      <c r="LM85" s="118"/>
      <c r="LN85" s="8"/>
      <c r="LO85" s="105"/>
      <c r="LP85" s="106"/>
      <c r="LQ85" s="107"/>
      <c r="LR85" s="108"/>
      <c r="LS85" s="36"/>
      <c r="LT85" s="15"/>
      <c r="LU85" s="26"/>
      <c r="LV85" s="33"/>
      <c r="LW85" s="53">
        <f t="shared" si="42"/>
        <v>0</v>
      </c>
      <c r="LY85" s="31"/>
      <c r="LZ85" s="116"/>
      <c r="MA85" s="117"/>
      <c r="MB85" s="117"/>
      <c r="MC85" s="118"/>
      <c r="MD85" s="8"/>
      <c r="ME85" s="105"/>
      <c r="MF85" s="106"/>
      <c r="MG85" s="107"/>
      <c r="MH85" s="108"/>
      <c r="MI85" s="36"/>
      <c r="MJ85" s="15"/>
      <c r="MK85" s="26"/>
      <c r="ML85" s="33"/>
      <c r="MM85" s="53">
        <f t="shared" si="43"/>
        <v>0</v>
      </c>
    </row>
    <row r="86" spans="1:351" ht="20.100000000000001" customHeight="1" x14ac:dyDescent="0.3">
      <c r="A86" s="31"/>
      <c r="B86" s="116"/>
      <c r="C86" s="117"/>
      <c r="D86" s="117"/>
      <c r="E86" s="118"/>
      <c r="F86" s="8"/>
      <c r="G86" s="105"/>
      <c r="H86" s="106"/>
      <c r="I86" s="107"/>
      <c r="J86" s="108"/>
      <c r="K86" s="36"/>
      <c r="L86" s="15"/>
      <c r="M86" s="26"/>
      <c r="N86" s="33"/>
      <c r="O86" s="53">
        <f t="shared" si="22"/>
        <v>0</v>
      </c>
      <c r="Q86" s="31"/>
      <c r="R86" s="116"/>
      <c r="S86" s="117"/>
      <c r="T86" s="117"/>
      <c r="U86" s="118"/>
      <c r="V86" s="8"/>
      <c r="W86" s="105"/>
      <c r="X86" s="106"/>
      <c r="Y86" s="107"/>
      <c r="Z86" s="108"/>
      <c r="AA86" s="36"/>
      <c r="AB86" s="15"/>
      <c r="AC86" s="26"/>
      <c r="AD86" s="33"/>
      <c r="AE86" s="53">
        <f t="shared" si="23"/>
        <v>0</v>
      </c>
      <c r="AG86" s="31"/>
      <c r="AH86" s="116"/>
      <c r="AI86" s="117"/>
      <c r="AJ86" s="117"/>
      <c r="AK86" s="118"/>
      <c r="AL86" s="8"/>
      <c r="AM86" s="105"/>
      <c r="AN86" s="106"/>
      <c r="AO86" s="107"/>
      <c r="AP86" s="108"/>
      <c r="AQ86" s="36"/>
      <c r="AR86" s="15"/>
      <c r="AS86" s="26"/>
      <c r="AT86" s="33"/>
      <c r="AU86" s="53">
        <f t="shared" si="24"/>
        <v>0</v>
      </c>
      <c r="AW86" s="31"/>
      <c r="AX86" s="116"/>
      <c r="AY86" s="117"/>
      <c r="AZ86" s="117"/>
      <c r="BA86" s="118"/>
      <c r="BB86" s="8"/>
      <c r="BC86" s="105"/>
      <c r="BD86" s="106"/>
      <c r="BE86" s="107"/>
      <c r="BF86" s="108"/>
      <c r="BG86" s="36"/>
      <c r="BH86" s="15"/>
      <c r="BI86" s="26"/>
      <c r="BJ86" s="33"/>
      <c r="BK86" s="53">
        <f t="shared" si="25"/>
        <v>0</v>
      </c>
      <c r="BM86" s="31"/>
      <c r="BN86" s="116"/>
      <c r="BO86" s="117"/>
      <c r="BP86" s="117"/>
      <c r="BQ86" s="118"/>
      <c r="BR86" s="8"/>
      <c r="BS86" s="105"/>
      <c r="BT86" s="106"/>
      <c r="BU86" s="107"/>
      <c r="BV86" s="108"/>
      <c r="BW86" s="36"/>
      <c r="BX86" s="15"/>
      <c r="BY86" s="26"/>
      <c r="BZ86" s="33"/>
      <c r="CA86" s="53">
        <f t="shared" si="26"/>
        <v>0</v>
      </c>
      <c r="CC86" s="31"/>
      <c r="CD86" s="116"/>
      <c r="CE86" s="117"/>
      <c r="CF86" s="117"/>
      <c r="CG86" s="118"/>
      <c r="CH86" s="8"/>
      <c r="CI86" s="105"/>
      <c r="CJ86" s="106"/>
      <c r="CK86" s="107"/>
      <c r="CL86" s="108"/>
      <c r="CM86" s="36"/>
      <c r="CN86" s="15"/>
      <c r="CO86" s="26"/>
      <c r="CP86" s="33"/>
      <c r="CQ86" s="53">
        <f t="shared" si="27"/>
        <v>0</v>
      </c>
      <c r="CS86" s="31"/>
      <c r="CT86" s="116"/>
      <c r="CU86" s="117"/>
      <c r="CV86" s="117"/>
      <c r="CW86" s="118"/>
      <c r="CX86" s="8"/>
      <c r="CY86" s="105"/>
      <c r="CZ86" s="106"/>
      <c r="DA86" s="107"/>
      <c r="DB86" s="108"/>
      <c r="DC86" s="36"/>
      <c r="DD86" s="15"/>
      <c r="DE86" s="26"/>
      <c r="DF86" s="33"/>
      <c r="DG86" s="53">
        <f t="shared" si="28"/>
        <v>0</v>
      </c>
      <c r="DI86" s="31"/>
      <c r="DJ86" s="116"/>
      <c r="DK86" s="117"/>
      <c r="DL86" s="117"/>
      <c r="DM86" s="118"/>
      <c r="DN86" s="8"/>
      <c r="DO86" s="105"/>
      <c r="DP86" s="106"/>
      <c r="DQ86" s="107"/>
      <c r="DR86" s="108"/>
      <c r="DS86" s="36"/>
      <c r="DT86" s="15"/>
      <c r="DU86" s="26"/>
      <c r="DV86" s="33"/>
      <c r="DW86" s="53">
        <f t="shared" si="29"/>
        <v>0</v>
      </c>
      <c r="DY86" s="31"/>
      <c r="DZ86" s="116"/>
      <c r="EA86" s="117"/>
      <c r="EB86" s="117"/>
      <c r="EC86" s="118"/>
      <c r="ED86" s="8"/>
      <c r="EE86" s="105"/>
      <c r="EF86" s="106"/>
      <c r="EG86" s="107"/>
      <c r="EH86" s="108"/>
      <c r="EI86" s="36"/>
      <c r="EJ86" s="15"/>
      <c r="EK86" s="26"/>
      <c r="EL86" s="33"/>
      <c r="EM86" s="53">
        <f t="shared" si="30"/>
        <v>0</v>
      </c>
      <c r="EO86" s="31"/>
      <c r="EP86" s="116"/>
      <c r="EQ86" s="117"/>
      <c r="ER86" s="117"/>
      <c r="ES86" s="118"/>
      <c r="ET86" s="8"/>
      <c r="EU86" s="105"/>
      <c r="EV86" s="106"/>
      <c r="EW86" s="107"/>
      <c r="EX86" s="108"/>
      <c r="EY86" s="36"/>
      <c r="EZ86" s="15"/>
      <c r="FA86" s="26"/>
      <c r="FB86" s="33"/>
      <c r="FC86" s="53">
        <f t="shared" si="31"/>
        <v>0</v>
      </c>
      <c r="FE86" s="31"/>
      <c r="FF86" s="116"/>
      <c r="FG86" s="117"/>
      <c r="FH86" s="117"/>
      <c r="FI86" s="118"/>
      <c r="FJ86" s="8"/>
      <c r="FK86" s="105"/>
      <c r="FL86" s="106"/>
      <c r="FM86" s="107"/>
      <c r="FN86" s="108"/>
      <c r="FO86" s="36"/>
      <c r="FP86" s="15"/>
      <c r="FQ86" s="26"/>
      <c r="FR86" s="33"/>
      <c r="FS86" s="53">
        <f t="shared" si="32"/>
        <v>0</v>
      </c>
      <c r="FU86" s="31"/>
      <c r="FV86" s="116"/>
      <c r="FW86" s="117"/>
      <c r="FX86" s="117"/>
      <c r="FY86" s="118"/>
      <c r="FZ86" s="8"/>
      <c r="GA86" s="105"/>
      <c r="GB86" s="106"/>
      <c r="GC86" s="107"/>
      <c r="GD86" s="108"/>
      <c r="GE86" s="36"/>
      <c r="GF86" s="15"/>
      <c r="GG86" s="26"/>
      <c r="GH86" s="33"/>
      <c r="GI86" s="53">
        <f t="shared" si="33"/>
        <v>0</v>
      </c>
      <c r="GK86" s="31"/>
      <c r="GL86" s="116"/>
      <c r="GM86" s="117"/>
      <c r="GN86" s="117"/>
      <c r="GO86" s="118"/>
      <c r="GP86" s="8"/>
      <c r="GQ86" s="105"/>
      <c r="GR86" s="106"/>
      <c r="GS86" s="107"/>
      <c r="GT86" s="108"/>
      <c r="GU86" s="36"/>
      <c r="GV86" s="15"/>
      <c r="GW86" s="26"/>
      <c r="GX86" s="33"/>
      <c r="GY86" s="53">
        <f t="shared" si="34"/>
        <v>0</v>
      </c>
      <c r="HA86" s="31"/>
      <c r="HB86" s="116"/>
      <c r="HC86" s="117"/>
      <c r="HD86" s="117"/>
      <c r="HE86" s="118"/>
      <c r="HF86" s="8"/>
      <c r="HG86" s="105"/>
      <c r="HH86" s="106"/>
      <c r="HI86" s="107"/>
      <c r="HJ86" s="108"/>
      <c r="HK86" s="36"/>
      <c r="HL86" s="15"/>
      <c r="HM86" s="26"/>
      <c r="HN86" s="33"/>
      <c r="HO86" s="53">
        <f t="shared" si="35"/>
        <v>0</v>
      </c>
      <c r="HQ86" s="31"/>
      <c r="HR86" s="116"/>
      <c r="HS86" s="117"/>
      <c r="HT86" s="117"/>
      <c r="HU86" s="118"/>
      <c r="HV86" s="8"/>
      <c r="HW86" s="105"/>
      <c r="HX86" s="106"/>
      <c r="HY86" s="107"/>
      <c r="HZ86" s="108"/>
      <c r="IA86" s="36"/>
      <c r="IB86" s="15"/>
      <c r="IC86" s="26"/>
      <c r="ID86" s="33"/>
      <c r="IE86" s="53">
        <f t="shared" si="36"/>
        <v>0</v>
      </c>
      <c r="IG86" s="31"/>
      <c r="IH86" s="116"/>
      <c r="II86" s="117"/>
      <c r="IJ86" s="117"/>
      <c r="IK86" s="118"/>
      <c r="IL86" s="8"/>
      <c r="IM86" s="105"/>
      <c r="IN86" s="106"/>
      <c r="IO86" s="107"/>
      <c r="IP86" s="108"/>
      <c r="IQ86" s="36"/>
      <c r="IR86" s="15"/>
      <c r="IS86" s="26"/>
      <c r="IT86" s="33"/>
      <c r="IU86" s="53">
        <f t="shared" si="37"/>
        <v>0</v>
      </c>
      <c r="IW86" s="31"/>
      <c r="IX86" s="116"/>
      <c r="IY86" s="117"/>
      <c r="IZ86" s="117"/>
      <c r="JA86" s="118"/>
      <c r="JB86" s="8"/>
      <c r="JC86" s="105"/>
      <c r="JD86" s="106"/>
      <c r="JE86" s="107"/>
      <c r="JF86" s="108"/>
      <c r="JG86" s="36"/>
      <c r="JH86" s="15"/>
      <c r="JI86" s="26"/>
      <c r="JJ86" s="33"/>
      <c r="JK86" s="53">
        <f t="shared" si="38"/>
        <v>0</v>
      </c>
      <c r="JM86" s="31"/>
      <c r="JN86" s="116"/>
      <c r="JO86" s="117"/>
      <c r="JP86" s="117"/>
      <c r="JQ86" s="118"/>
      <c r="JR86" s="8"/>
      <c r="JS86" s="105"/>
      <c r="JT86" s="106"/>
      <c r="JU86" s="107"/>
      <c r="JV86" s="108"/>
      <c r="JW86" s="36"/>
      <c r="JX86" s="15"/>
      <c r="JY86" s="26"/>
      <c r="JZ86" s="33"/>
      <c r="KA86" s="53">
        <f t="shared" si="39"/>
        <v>0</v>
      </c>
      <c r="KC86" s="31"/>
      <c r="KD86" s="116"/>
      <c r="KE86" s="117"/>
      <c r="KF86" s="117"/>
      <c r="KG86" s="118"/>
      <c r="KH86" s="8"/>
      <c r="KI86" s="105"/>
      <c r="KJ86" s="106"/>
      <c r="KK86" s="107"/>
      <c r="KL86" s="108"/>
      <c r="KM86" s="36"/>
      <c r="KN86" s="15"/>
      <c r="KO86" s="26"/>
      <c r="KP86" s="33"/>
      <c r="KQ86" s="53">
        <f t="shared" si="40"/>
        <v>0</v>
      </c>
      <c r="KS86" s="31"/>
      <c r="KT86" s="116"/>
      <c r="KU86" s="117"/>
      <c r="KV86" s="117"/>
      <c r="KW86" s="118"/>
      <c r="KX86" s="8"/>
      <c r="KY86" s="105"/>
      <c r="KZ86" s="106"/>
      <c r="LA86" s="107"/>
      <c r="LB86" s="108"/>
      <c r="LC86" s="36"/>
      <c r="LD86" s="15"/>
      <c r="LE86" s="26"/>
      <c r="LF86" s="33"/>
      <c r="LG86" s="53">
        <f t="shared" si="41"/>
        <v>0</v>
      </c>
      <c r="LI86" s="31"/>
      <c r="LJ86" s="116"/>
      <c r="LK86" s="117"/>
      <c r="LL86" s="117"/>
      <c r="LM86" s="118"/>
      <c r="LN86" s="8"/>
      <c r="LO86" s="105"/>
      <c r="LP86" s="106"/>
      <c r="LQ86" s="107"/>
      <c r="LR86" s="108"/>
      <c r="LS86" s="36"/>
      <c r="LT86" s="15"/>
      <c r="LU86" s="26"/>
      <c r="LV86" s="33"/>
      <c r="LW86" s="53">
        <f t="shared" si="42"/>
        <v>0</v>
      </c>
      <c r="LY86" s="31"/>
      <c r="LZ86" s="116"/>
      <c r="MA86" s="117"/>
      <c r="MB86" s="117"/>
      <c r="MC86" s="118"/>
      <c r="MD86" s="8"/>
      <c r="ME86" s="105"/>
      <c r="MF86" s="106"/>
      <c r="MG86" s="107"/>
      <c r="MH86" s="108"/>
      <c r="MI86" s="36"/>
      <c r="MJ86" s="15"/>
      <c r="MK86" s="26"/>
      <c r="ML86" s="33"/>
      <c r="MM86" s="53">
        <f t="shared" si="43"/>
        <v>0</v>
      </c>
    </row>
    <row r="87" spans="1:351" ht="20.100000000000001" customHeight="1" x14ac:dyDescent="0.3">
      <c r="A87" s="31"/>
      <c r="B87" s="116"/>
      <c r="C87" s="117"/>
      <c r="D87" s="117"/>
      <c r="E87" s="118"/>
      <c r="F87" s="8"/>
      <c r="G87" s="105"/>
      <c r="H87" s="106"/>
      <c r="I87" s="107"/>
      <c r="J87" s="108"/>
      <c r="K87" s="36"/>
      <c r="L87" s="15"/>
      <c r="M87" s="26"/>
      <c r="N87" s="33"/>
      <c r="O87" s="53">
        <f t="shared" si="22"/>
        <v>0</v>
      </c>
      <c r="Q87" s="31"/>
      <c r="R87" s="116"/>
      <c r="S87" s="117"/>
      <c r="T87" s="117"/>
      <c r="U87" s="118"/>
      <c r="V87" s="8"/>
      <c r="W87" s="105"/>
      <c r="X87" s="106"/>
      <c r="Y87" s="107"/>
      <c r="Z87" s="108"/>
      <c r="AA87" s="36"/>
      <c r="AB87" s="15"/>
      <c r="AC87" s="26"/>
      <c r="AD87" s="33"/>
      <c r="AE87" s="53">
        <f t="shared" si="23"/>
        <v>0</v>
      </c>
      <c r="AG87" s="31"/>
      <c r="AH87" s="116"/>
      <c r="AI87" s="117"/>
      <c r="AJ87" s="117"/>
      <c r="AK87" s="118"/>
      <c r="AL87" s="8"/>
      <c r="AM87" s="105"/>
      <c r="AN87" s="106"/>
      <c r="AO87" s="107"/>
      <c r="AP87" s="108"/>
      <c r="AQ87" s="36"/>
      <c r="AR87" s="15"/>
      <c r="AS87" s="26"/>
      <c r="AT87" s="33"/>
      <c r="AU87" s="53">
        <f t="shared" si="24"/>
        <v>0</v>
      </c>
      <c r="AW87" s="31"/>
      <c r="AX87" s="116"/>
      <c r="AY87" s="117"/>
      <c r="AZ87" s="117"/>
      <c r="BA87" s="118"/>
      <c r="BB87" s="8"/>
      <c r="BC87" s="105"/>
      <c r="BD87" s="106"/>
      <c r="BE87" s="107"/>
      <c r="BF87" s="108"/>
      <c r="BG87" s="36"/>
      <c r="BH87" s="15"/>
      <c r="BI87" s="26"/>
      <c r="BJ87" s="33"/>
      <c r="BK87" s="53">
        <f t="shared" si="25"/>
        <v>0</v>
      </c>
      <c r="BM87" s="31"/>
      <c r="BN87" s="116"/>
      <c r="BO87" s="117"/>
      <c r="BP87" s="117"/>
      <c r="BQ87" s="118"/>
      <c r="BR87" s="8"/>
      <c r="BS87" s="105"/>
      <c r="BT87" s="106"/>
      <c r="BU87" s="107"/>
      <c r="BV87" s="108"/>
      <c r="BW87" s="36"/>
      <c r="BX87" s="15"/>
      <c r="BY87" s="26"/>
      <c r="BZ87" s="33"/>
      <c r="CA87" s="53">
        <f t="shared" si="26"/>
        <v>0</v>
      </c>
      <c r="CC87" s="31"/>
      <c r="CD87" s="116"/>
      <c r="CE87" s="117"/>
      <c r="CF87" s="117"/>
      <c r="CG87" s="118"/>
      <c r="CH87" s="8"/>
      <c r="CI87" s="105"/>
      <c r="CJ87" s="106"/>
      <c r="CK87" s="107"/>
      <c r="CL87" s="108"/>
      <c r="CM87" s="36"/>
      <c r="CN87" s="15"/>
      <c r="CO87" s="26"/>
      <c r="CP87" s="33"/>
      <c r="CQ87" s="53">
        <f t="shared" si="27"/>
        <v>0</v>
      </c>
      <c r="CS87" s="31"/>
      <c r="CT87" s="116"/>
      <c r="CU87" s="117"/>
      <c r="CV87" s="117"/>
      <c r="CW87" s="118"/>
      <c r="CX87" s="8"/>
      <c r="CY87" s="105"/>
      <c r="CZ87" s="106"/>
      <c r="DA87" s="107"/>
      <c r="DB87" s="108"/>
      <c r="DC87" s="36"/>
      <c r="DD87" s="15"/>
      <c r="DE87" s="26"/>
      <c r="DF87" s="33"/>
      <c r="DG87" s="53">
        <f t="shared" si="28"/>
        <v>0</v>
      </c>
      <c r="DI87" s="31"/>
      <c r="DJ87" s="116"/>
      <c r="DK87" s="117"/>
      <c r="DL87" s="117"/>
      <c r="DM87" s="118"/>
      <c r="DN87" s="8"/>
      <c r="DO87" s="105"/>
      <c r="DP87" s="106"/>
      <c r="DQ87" s="107"/>
      <c r="DR87" s="108"/>
      <c r="DS87" s="36"/>
      <c r="DT87" s="15"/>
      <c r="DU87" s="26"/>
      <c r="DV87" s="33"/>
      <c r="DW87" s="53">
        <f t="shared" si="29"/>
        <v>0</v>
      </c>
      <c r="DY87" s="31"/>
      <c r="DZ87" s="116"/>
      <c r="EA87" s="117"/>
      <c r="EB87" s="117"/>
      <c r="EC87" s="118"/>
      <c r="ED87" s="8"/>
      <c r="EE87" s="105"/>
      <c r="EF87" s="106"/>
      <c r="EG87" s="107"/>
      <c r="EH87" s="108"/>
      <c r="EI87" s="36"/>
      <c r="EJ87" s="15"/>
      <c r="EK87" s="26"/>
      <c r="EL87" s="33"/>
      <c r="EM87" s="53">
        <f t="shared" si="30"/>
        <v>0</v>
      </c>
      <c r="EO87" s="31"/>
      <c r="EP87" s="116"/>
      <c r="EQ87" s="117"/>
      <c r="ER87" s="117"/>
      <c r="ES87" s="118"/>
      <c r="ET87" s="8"/>
      <c r="EU87" s="105"/>
      <c r="EV87" s="106"/>
      <c r="EW87" s="107"/>
      <c r="EX87" s="108"/>
      <c r="EY87" s="36"/>
      <c r="EZ87" s="15"/>
      <c r="FA87" s="26"/>
      <c r="FB87" s="33"/>
      <c r="FC87" s="53">
        <f t="shared" si="31"/>
        <v>0</v>
      </c>
      <c r="FE87" s="31"/>
      <c r="FF87" s="116"/>
      <c r="FG87" s="117"/>
      <c r="FH87" s="117"/>
      <c r="FI87" s="118"/>
      <c r="FJ87" s="8"/>
      <c r="FK87" s="105"/>
      <c r="FL87" s="106"/>
      <c r="FM87" s="107"/>
      <c r="FN87" s="108"/>
      <c r="FO87" s="36"/>
      <c r="FP87" s="15"/>
      <c r="FQ87" s="26"/>
      <c r="FR87" s="33"/>
      <c r="FS87" s="53">
        <f t="shared" si="32"/>
        <v>0</v>
      </c>
      <c r="FU87" s="31"/>
      <c r="FV87" s="116"/>
      <c r="FW87" s="117"/>
      <c r="FX87" s="117"/>
      <c r="FY87" s="118"/>
      <c r="FZ87" s="8"/>
      <c r="GA87" s="105"/>
      <c r="GB87" s="106"/>
      <c r="GC87" s="107"/>
      <c r="GD87" s="108"/>
      <c r="GE87" s="36"/>
      <c r="GF87" s="15"/>
      <c r="GG87" s="26"/>
      <c r="GH87" s="33"/>
      <c r="GI87" s="53">
        <f t="shared" si="33"/>
        <v>0</v>
      </c>
      <c r="GK87" s="31"/>
      <c r="GL87" s="116"/>
      <c r="GM87" s="117"/>
      <c r="GN87" s="117"/>
      <c r="GO87" s="118"/>
      <c r="GP87" s="8"/>
      <c r="GQ87" s="105"/>
      <c r="GR87" s="106"/>
      <c r="GS87" s="107"/>
      <c r="GT87" s="108"/>
      <c r="GU87" s="36"/>
      <c r="GV87" s="15"/>
      <c r="GW87" s="26"/>
      <c r="GX87" s="33"/>
      <c r="GY87" s="53">
        <f t="shared" si="34"/>
        <v>0</v>
      </c>
      <c r="HA87" s="31"/>
      <c r="HB87" s="116"/>
      <c r="HC87" s="117"/>
      <c r="HD87" s="117"/>
      <c r="HE87" s="118"/>
      <c r="HF87" s="8"/>
      <c r="HG87" s="105"/>
      <c r="HH87" s="106"/>
      <c r="HI87" s="107"/>
      <c r="HJ87" s="108"/>
      <c r="HK87" s="36"/>
      <c r="HL87" s="15"/>
      <c r="HM87" s="26"/>
      <c r="HN87" s="33"/>
      <c r="HO87" s="53">
        <f t="shared" si="35"/>
        <v>0</v>
      </c>
      <c r="HQ87" s="31"/>
      <c r="HR87" s="116"/>
      <c r="HS87" s="117"/>
      <c r="HT87" s="117"/>
      <c r="HU87" s="118"/>
      <c r="HV87" s="8"/>
      <c r="HW87" s="105"/>
      <c r="HX87" s="106"/>
      <c r="HY87" s="107"/>
      <c r="HZ87" s="108"/>
      <c r="IA87" s="36"/>
      <c r="IB87" s="15"/>
      <c r="IC87" s="26"/>
      <c r="ID87" s="33"/>
      <c r="IE87" s="53">
        <f t="shared" si="36"/>
        <v>0</v>
      </c>
      <c r="IG87" s="31"/>
      <c r="IH87" s="116"/>
      <c r="II87" s="117"/>
      <c r="IJ87" s="117"/>
      <c r="IK87" s="118"/>
      <c r="IL87" s="8"/>
      <c r="IM87" s="105"/>
      <c r="IN87" s="106"/>
      <c r="IO87" s="107"/>
      <c r="IP87" s="108"/>
      <c r="IQ87" s="36"/>
      <c r="IR87" s="15"/>
      <c r="IS87" s="26"/>
      <c r="IT87" s="33"/>
      <c r="IU87" s="53">
        <f t="shared" si="37"/>
        <v>0</v>
      </c>
      <c r="IW87" s="31"/>
      <c r="IX87" s="116"/>
      <c r="IY87" s="117"/>
      <c r="IZ87" s="117"/>
      <c r="JA87" s="118"/>
      <c r="JB87" s="8"/>
      <c r="JC87" s="105"/>
      <c r="JD87" s="106"/>
      <c r="JE87" s="107"/>
      <c r="JF87" s="108"/>
      <c r="JG87" s="36"/>
      <c r="JH87" s="15"/>
      <c r="JI87" s="26"/>
      <c r="JJ87" s="33"/>
      <c r="JK87" s="53">
        <f t="shared" si="38"/>
        <v>0</v>
      </c>
      <c r="JM87" s="31"/>
      <c r="JN87" s="116"/>
      <c r="JO87" s="117"/>
      <c r="JP87" s="117"/>
      <c r="JQ87" s="118"/>
      <c r="JR87" s="8"/>
      <c r="JS87" s="105"/>
      <c r="JT87" s="106"/>
      <c r="JU87" s="107"/>
      <c r="JV87" s="108"/>
      <c r="JW87" s="36"/>
      <c r="JX87" s="15"/>
      <c r="JY87" s="26"/>
      <c r="JZ87" s="33"/>
      <c r="KA87" s="53">
        <f t="shared" si="39"/>
        <v>0</v>
      </c>
      <c r="KC87" s="31"/>
      <c r="KD87" s="116"/>
      <c r="KE87" s="117"/>
      <c r="KF87" s="117"/>
      <c r="KG87" s="118"/>
      <c r="KH87" s="8"/>
      <c r="KI87" s="105"/>
      <c r="KJ87" s="106"/>
      <c r="KK87" s="107"/>
      <c r="KL87" s="108"/>
      <c r="KM87" s="36"/>
      <c r="KN87" s="15"/>
      <c r="KO87" s="26"/>
      <c r="KP87" s="33"/>
      <c r="KQ87" s="53">
        <f t="shared" si="40"/>
        <v>0</v>
      </c>
      <c r="KS87" s="31"/>
      <c r="KT87" s="116"/>
      <c r="KU87" s="117"/>
      <c r="KV87" s="117"/>
      <c r="KW87" s="118"/>
      <c r="KX87" s="8"/>
      <c r="KY87" s="105"/>
      <c r="KZ87" s="106"/>
      <c r="LA87" s="107"/>
      <c r="LB87" s="108"/>
      <c r="LC87" s="36"/>
      <c r="LD87" s="15"/>
      <c r="LE87" s="26"/>
      <c r="LF87" s="33"/>
      <c r="LG87" s="53">
        <f t="shared" si="41"/>
        <v>0</v>
      </c>
      <c r="LI87" s="31"/>
      <c r="LJ87" s="116"/>
      <c r="LK87" s="117"/>
      <c r="LL87" s="117"/>
      <c r="LM87" s="118"/>
      <c r="LN87" s="8"/>
      <c r="LO87" s="105"/>
      <c r="LP87" s="106"/>
      <c r="LQ87" s="107"/>
      <c r="LR87" s="108"/>
      <c r="LS87" s="36"/>
      <c r="LT87" s="15"/>
      <c r="LU87" s="26"/>
      <c r="LV87" s="33"/>
      <c r="LW87" s="53">
        <f t="shared" si="42"/>
        <v>0</v>
      </c>
      <c r="LY87" s="31"/>
      <c r="LZ87" s="116"/>
      <c r="MA87" s="117"/>
      <c r="MB87" s="117"/>
      <c r="MC87" s="118"/>
      <c r="MD87" s="8"/>
      <c r="ME87" s="105"/>
      <c r="MF87" s="106"/>
      <c r="MG87" s="107"/>
      <c r="MH87" s="108"/>
      <c r="MI87" s="36"/>
      <c r="MJ87" s="15"/>
      <c r="MK87" s="26"/>
      <c r="ML87" s="33"/>
      <c r="MM87" s="53">
        <f t="shared" si="43"/>
        <v>0</v>
      </c>
    </row>
    <row r="88" spans="1:351" ht="20.100000000000001" customHeight="1" x14ac:dyDescent="0.3">
      <c r="A88" s="31"/>
      <c r="B88" s="116"/>
      <c r="C88" s="117"/>
      <c r="D88" s="117"/>
      <c r="E88" s="118"/>
      <c r="F88" s="8"/>
      <c r="G88" s="105"/>
      <c r="H88" s="106"/>
      <c r="I88" s="107"/>
      <c r="J88" s="108"/>
      <c r="K88" s="36"/>
      <c r="L88" s="15"/>
      <c r="M88" s="26"/>
      <c r="N88" s="33"/>
      <c r="O88" s="53">
        <f t="shared" si="22"/>
        <v>0</v>
      </c>
      <c r="Q88" s="31"/>
      <c r="R88" s="116"/>
      <c r="S88" s="117"/>
      <c r="T88" s="117"/>
      <c r="U88" s="118"/>
      <c r="V88" s="8"/>
      <c r="W88" s="105"/>
      <c r="X88" s="106"/>
      <c r="Y88" s="107"/>
      <c r="Z88" s="108"/>
      <c r="AA88" s="36"/>
      <c r="AB88" s="15"/>
      <c r="AC88" s="26"/>
      <c r="AD88" s="33"/>
      <c r="AE88" s="53">
        <f t="shared" si="23"/>
        <v>0</v>
      </c>
      <c r="AG88" s="31"/>
      <c r="AH88" s="116"/>
      <c r="AI88" s="117"/>
      <c r="AJ88" s="117"/>
      <c r="AK88" s="118"/>
      <c r="AL88" s="8"/>
      <c r="AM88" s="105"/>
      <c r="AN88" s="106"/>
      <c r="AO88" s="107"/>
      <c r="AP88" s="108"/>
      <c r="AQ88" s="36"/>
      <c r="AR88" s="15"/>
      <c r="AS88" s="26"/>
      <c r="AT88" s="33"/>
      <c r="AU88" s="53">
        <f t="shared" si="24"/>
        <v>0</v>
      </c>
      <c r="AW88" s="31"/>
      <c r="AX88" s="116"/>
      <c r="AY88" s="117"/>
      <c r="AZ88" s="117"/>
      <c r="BA88" s="118"/>
      <c r="BB88" s="8"/>
      <c r="BC88" s="105"/>
      <c r="BD88" s="106"/>
      <c r="BE88" s="107"/>
      <c r="BF88" s="108"/>
      <c r="BG88" s="36"/>
      <c r="BH88" s="15"/>
      <c r="BI88" s="26"/>
      <c r="BJ88" s="33"/>
      <c r="BK88" s="53">
        <f t="shared" si="25"/>
        <v>0</v>
      </c>
      <c r="BM88" s="31"/>
      <c r="BN88" s="116"/>
      <c r="BO88" s="117"/>
      <c r="BP88" s="117"/>
      <c r="BQ88" s="118"/>
      <c r="BR88" s="8"/>
      <c r="BS88" s="105"/>
      <c r="BT88" s="106"/>
      <c r="BU88" s="107"/>
      <c r="BV88" s="108"/>
      <c r="BW88" s="36"/>
      <c r="BX88" s="15"/>
      <c r="BY88" s="26"/>
      <c r="BZ88" s="33"/>
      <c r="CA88" s="53">
        <f t="shared" si="26"/>
        <v>0</v>
      </c>
      <c r="CC88" s="31"/>
      <c r="CD88" s="116"/>
      <c r="CE88" s="117"/>
      <c r="CF88" s="117"/>
      <c r="CG88" s="118"/>
      <c r="CH88" s="8"/>
      <c r="CI88" s="105"/>
      <c r="CJ88" s="106"/>
      <c r="CK88" s="107"/>
      <c r="CL88" s="108"/>
      <c r="CM88" s="36"/>
      <c r="CN88" s="15"/>
      <c r="CO88" s="26"/>
      <c r="CP88" s="33"/>
      <c r="CQ88" s="53">
        <f t="shared" si="27"/>
        <v>0</v>
      </c>
      <c r="CS88" s="31"/>
      <c r="CT88" s="116"/>
      <c r="CU88" s="117"/>
      <c r="CV88" s="117"/>
      <c r="CW88" s="118"/>
      <c r="CX88" s="8"/>
      <c r="CY88" s="105"/>
      <c r="CZ88" s="106"/>
      <c r="DA88" s="107"/>
      <c r="DB88" s="108"/>
      <c r="DC88" s="36"/>
      <c r="DD88" s="15"/>
      <c r="DE88" s="26"/>
      <c r="DF88" s="33"/>
      <c r="DG88" s="53">
        <f t="shared" si="28"/>
        <v>0</v>
      </c>
      <c r="DI88" s="31"/>
      <c r="DJ88" s="116"/>
      <c r="DK88" s="117"/>
      <c r="DL88" s="117"/>
      <c r="DM88" s="118"/>
      <c r="DN88" s="8"/>
      <c r="DO88" s="105"/>
      <c r="DP88" s="106"/>
      <c r="DQ88" s="107"/>
      <c r="DR88" s="108"/>
      <c r="DS88" s="36"/>
      <c r="DT88" s="15"/>
      <c r="DU88" s="26"/>
      <c r="DV88" s="33"/>
      <c r="DW88" s="53">
        <f t="shared" si="29"/>
        <v>0</v>
      </c>
      <c r="DY88" s="31"/>
      <c r="DZ88" s="116"/>
      <c r="EA88" s="117"/>
      <c r="EB88" s="117"/>
      <c r="EC88" s="118"/>
      <c r="ED88" s="8"/>
      <c r="EE88" s="105"/>
      <c r="EF88" s="106"/>
      <c r="EG88" s="107"/>
      <c r="EH88" s="108"/>
      <c r="EI88" s="36"/>
      <c r="EJ88" s="15"/>
      <c r="EK88" s="26"/>
      <c r="EL88" s="33"/>
      <c r="EM88" s="53">
        <f t="shared" si="30"/>
        <v>0</v>
      </c>
      <c r="EO88" s="31"/>
      <c r="EP88" s="116"/>
      <c r="EQ88" s="117"/>
      <c r="ER88" s="117"/>
      <c r="ES88" s="118"/>
      <c r="ET88" s="8"/>
      <c r="EU88" s="105"/>
      <c r="EV88" s="106"/>
      <c r="EW88" s="107"/>
      <c r="EX88" s="108"/>
      <c r="EY88" s="36"/>
      <c r="EZ88" s="15"/>
      <c r="FA88" s="26"/>
      <c r="FB88" s="33"/>
      <c r="FC88" s="53">
        <f t="shared" si="31"/>
        <v>0</v>
      </c>
      <c r="FE88" s="31"/>
      <c r="FF88" s="116"/>
      <c r="FG88" s="117"/>
      <c r="FH88" s="117"/>
      <c r="FI88" s="118"/>
      <c r="FJ88" s="8"/>
      <c r="FK88" s="105"/>
      <c r="FL88" s="106"/>
      <c r="FM88" s="107"/>
      <c r="FN88" s="108"/>
      <c r="FO88" s="36"/>
      <c r="FP88" s="15"/>
      <c r="FQ88" s="26"/>
      <c r="FR88" s="33"/>
      <c r="FS88" s="53">
        <f t="shared" si="32"/>
        <v>0</v>
      </c>
      <c r="FU88" s="31"/>
      <c r="FV88" s="116"/>
      <c r="FW88" s="117"/>
      <c r="FX88" s="117"/>
      <c r="FY88" s="118"/>
      <c r="FZ88" s="8"/>
      <c r="GA88" s="105"/>
      <c r="GB88" s="106"/>
      <c r="GC88" s="107"/>
      <c r="GD88" s="108"/>
      <c r="GE88" s="36"/>
      <c r="GF88" s="15"/>
      <c r="GG88" s="26"/>
      <c r="GH88" s="33"/>
      <c r="GI88" s="53">
        <f t="shared" si="33"/>
        <v>0</v>
      </c>
      <c r="GK88" s="31"/>
      <c r="GL88" s="116"/>
      <c r="GM88" s="117"/>
      <c r="GN88" s="117"/>
      <c r="GO88" s="118"/>
      <c r="GP88" s="8"/>
      <c r="GQ88" s="105"/>
      <c r="GR88" s="106"/>
      <c r="GS88" s="107"/>
      <c r="GT88" s="108"/>
      <c r="GU88" s="36"/>
      <c r="GV88" s="15"/>
      <c r="GW88" s="26"/>
      <c r="GX88" s="33"/>
      <c r="GY88" s="53">
        <f t="shared" si="34"/>
        <v>0</v>
      </c>
      <c r="HA88" s="31"/>
      <c r="HB88" s="116"/>
      <c r="HC88" s="117"/>
      <c r="HD88" s="117"/>
      <c r="HE88" s="118"/>
      <c r="HF88" s="8"/>
      <c r="HG88" s="105"/>
      <c r="HH88" s="106"/>
      <c r="HI88" s="107"/>
      <c r="HJ88" s="108"/>
      <c r="HK88" s="36"/>
      <c r="HL88" s="15"/>
      <c r="HM88" s="26"/>
      <c r="HN88" s="33"/>
      <c r="HO88" s="53">
        <f t="shared" si="35"/>
        <v>0</v>
      </c>
      <c r="HQ88" s="31"/>
      <c r="HR88" s="116"/>
      <c r="HS88" s="117"/>
      <c r="HT88" s="117"/>
      <c r="HU88" s="118"/>
      <c r="HV88" s="8"/>
      <c r="HW88" s="105"/>
      <c r="HX88" s="106"/>
      <c r="HY88" s="107"/>
      <c r="HZ88" s="108"/>
      <c r="IA88" s="36"/>
      <c r="IB88" s="15"/>
      <c r="IC88" s="26"/>
      <c r="ID88" s="33"/>
      <c r="IE88" s="53">
        <f t="shared" si="36"/>
        <v>0</v>
      </c>
      <c r="IG88" s="31"/>
      <c r="IH88" s="116"/>
      <c r="II88" s="117"/>
      <c r="IJ88" s="117"/>
      <c r="IK88" s="118"/>
      <c r="IL88" s="8"/>
      <c r="IM88" s="105"/>
      <c r="IN88" s="106"/>
      <c r="IO88" s="107"/>
      <c r="IP88" s="108"/>
      <c r="IQ88" s="36"/>
      <c r="IR88" s="15"/>
      <c r="IS88" s="26"/>
      <c r="IT88" s="33"/>
      <c r="IU88" s="53">
        <f t="shared" si="37"/>
        <v>0</v>
      </c>
      <c r="IW88" s="31"/>
      <c r="IX88" s="116"/>
      <c r="IY88" s="117"/>
      <c r="IZ88" s="117"/>
      <c r="JA88" s="118"/>
      <c r="JB88" s="8"/>
      <c r="JC88" s="105"/>
      <c r="JD88" s="106"/>
      <c r="JE88" s="107"/>
      <c r="JF88" s="108"/>
      <c r="JG88" s="36"/>
      <c r="JH88" s="15"/>
      <c r="JI88" s="26"/>
      <c r="JJ88" s="33"/>
      <c r="JK88" s="53">
        <f t="shared" si="38"/>
        <v>0</v>
      </c>
      <c r="JM88" s="31"/>
      <c r="JN88" s="116"/>
      <c r="JO88" s="117"/>
      <c r="JP88" s="117"/>
      <c r="JQ88" s="118"/>
      <c r="JR88" s="8"/>
      <c r="JS88" s="105"/>
      <c r="JT88" s="106"/>
      <c r="JU88" s="107"/>
      <c r="JV88" s="108"/>
      <c r="JW88" s="36"/>
      <c r="JX88" s="15"/>
      <c r="JY88" s="26"/>
      <c r="JZ88" s="33"/>
      <c r="KA88" s="53">
        <f t="shared" si="39"/>
        <v>0</v>
      </c>
      <c r="KC88" s="31"/>
      <c r="KD88" s="116"/>
      <c r="KE88" s="117"/>
      <c r="KF88" s="117"/>
      <c r="KG88" s="118"/>
      <c r="KH88" s="8"/>
      <c r="KI88" s="105"/>
      <c r="KJ88" s="106"/>
      <c r="KK88" s="107"/>
      <c r="KL88" s="108"/>
      <c r="KM88" s="36"/>
      <c r="KN88" s="15"/>
      <c r="KO88" s="26"/>
      <c r="KP88" s="33"/>
      <c r="KQ88" s="53">
        <f t="shared" si="40"/>
        <v>0</v>
      </c>
      <c r="KS88" s="31"/>
      <c r="KT88" s="116"/>
      <c r="KU88" s="117"/>
      <c r="KV88" s="117"/>
      <c r="KW88" s="118"/>
      <c r="KX88" s="8"/>
      <c r="KY88" s="105"/>
      <c r="KZ88" s="106"/>
      <c r="LA88" s="107"/>
      <c r="LB88" s="108"/>
      <c r="LC88" s="36"/>
      <c r="LD88" s="15"/>
      <c r="LE88" s="26"/>
      <c r="LF88" s="33"/>
      <c r="LG88" s="53">
        <f t="shared" si="41"/>
        <v>0</v>
      </c>
      <c r="LI88" s="31"/>
      <c r="LJ88" s="116"/>
      <c r="LK88" s="117"/>
      <c r="LL88" s="117"/>
      <c r="LM88" s="118"/>
      <c r="LN88" s="8"/>
      <c r="LO88" s="105"/>
      <c r="LP88" s="106"/>
      <c r="LQ88" s="107"/>
      <c r="LR88" s="108"/>
      <c r="LS88" s="36"/>
      <c r="LT88" s="15"/>
      <c r="LU88" s="26"/>
      <c r="LV88" s="33"/>
      <c r="LW88" s="53">
        <f t="shared" si="42"/>
        <v>0</v>
      </c>
      <c r="LY88" s="31"/>
      <c r="LZ88" s="116"/>
      <c r="MA88" s="117"/>
      <c r="MB88" s="117"/>
      <c r="MC88" s="118"/>
      <c r="MD88" s="8"/>
      <c r="ME88" s="105"/>
      <c r="MF88" s="106"/>
      <c r="MG88" s="107"/>
      <c r="MH88" s="108"/>
      <c r="MI88" s="36"/>
      <c r="MJ88" s="15"/>
      <c r="MK88" s="26"/>
      <c r="ML88" s="33"/>
      <c r="MM88" s="53">
        <f t="shared" si="43"/>
        <v>0</v>
      </c>
    </row>
    <row r="89" spans="1:351" ht="20.100000000000001" customHeight="1" x14ac:dyDescent="0.3">
      <c r="A89" s="31"/>
      <c r="B89" s="116"/>
      <c r="C89" s="117"/>
      <c r="D89" s="117"/>
      <c r="E89" s="118"/>
      <c r="F89" s="8"/>
      <c r="G89" s="105"/>
      <c r="H89" s="106"/>
      <c r="I89" s="107"/>
      <c r="J89" s="108"/>
      <c r="K89" s="36"/>
      <c r="L89" s="15"/>
      <c r="M89" s="26"/>
      <c r="N89" s="33"/>
      <c r="O89" s="53">
        <f t="shared" si="22"/>
        <v>0</v>
      </c>
      <c r="Q89" s="31"/>
      <c r="R89" s="116"/>
      <c r="S89" s="117"/>
      <c r="T89" s="117"/>
      <c r="U89" s="118"/>
      <c r="V89" s="8"/>
      <c r="W89" s="105"/>
      <c r="X89" s="106"/>
      <c r="Y89" s="107"/>
      <c r="Z89" s="108"/>
      <c r="AA89" s="36"/>
      <c r="AB89" s="15"/>
      <c r="AC89" s="26"/>
      <c r="AD89" s="33"/>
      <c r="AE89" s="53">
        <f t="shared" si="23"/>
        <v>0</v>
      </c>
      <c r="AG89" s="31"/>
      <c r="AH89" s="116"/>
      <c r="AI89" s="117"/>
      <c r="AJ89" s="117"/>
      <c r="AK89" s="118"/>
      <c r="AL89" s="8"/>
      <c r="AM89" s="105"/>
      <c r="AN89" s="106"/>
      <c r="AO89" s="107"/>
      <c r="AP89" s="108"/>
      <c r="AQ89" s="36"/>
      <c r="AR89" s="15"/>
      <c r="AS89" s="26"/>
      <c r="AT89" s="33"/>
      <c r="AU89" s="53">
        <f t="shared" si="24"/>
        <v>0</v>
      </c>
      <c r="AW89" s="31"/>
      <c r="AX89" s="116"/>
      <c r="AY89" s="117"/>
      <c r="AZ89" s="117"/>
      <c r="BA89" s="118"/>
      <c r="BB89" s="8"/>
      <c r="BC89" s="105"/>
      <c r="BD89" s="106"/>
      <c r="BE89" s="107"/>
      <c r="BF89" s="108"/>
      <c r="BG89" s="36"/>
      <c r="BH89" s="15"/>
      <c r="BI89" s="26"/>
      <c r="BJ89" s="33"/>
      <c r="BK89" s="53">
        <f t="shared" si="25"/>
        <v>0</v>
      </c>
      <c r="BM89" s="31"/>
      <c r="BN89" s="116"/>
      <c r="BO89" s="117"/>
      <c r="BP89" s="117"/>
      <c r="BQ89" s="118"/>
      <c r="BR89" s="8"/>
      <c r="BS89" s="105"/>
      <c r="BT89" s="106"/>
      <c r="BU89" s="107"/>
      <c r="BV89" s="108"/>
      <c r="BW89" s="36"/>
      <c r="BX89" s="15"/>
      <c r="BY89" s="26"/>
      <c r="BZ89" s="33"/>
      <c r="CA89" s="53">
        <f t="shared" si="26"/>
        <v>0</v>
      </c>
      <c r="CC89" s="31"/>
      <c r="CD89" s="116"/>
      <c r="CE89" s="117"/>
      <c r="CF89" s="117"/>
      <c r="CG89" s="118"/>
      <c r="CH89" s="8"/>
      <c r="CI89" s="105"/>
      <c r="CJ89" s="106"/>
      <c r="CK89" s="107"/>
      <c r="CL89" s="108"/>
      <c r="CM89" s="36"/>
      <c r="CN89" s="15"/>
      <c r="CO89" s="26"/>
      <c r="CP89" s="33"/>
      <c r="CQ89" s="53">
        <f t="shared" si="27"/>
        <v>0</v>
      </c>
      <c r="CS89" s="31"/>
      <c r="CT89" s="116"/>
      <c r="CU89" s="117"/>
      <c r="CV89" s="117"/>
      <c r="CW89" s="118"/>
      <c r="CX89" s="8"/>
      <c r="CY89" s="105"/>
      <c r="CZ89" s="106"/>
      <c r="DA89" s="107"/>
      <c r="DB89" s="108"/>
      <c r="DC89" s="36"/>
      <c r="DD89" s="15"/>
      <c r="DE89" s="26"/>
      <c r="DF89" s="33"/>
      <c r="DG89" s="53">
        <f t="shared" si="28"/>
        <v>0</v>
      </c>
      <c r="DI89" s="31"/>
      <c r="DJ89" s="116"/>
      <c r="DK89" s="117"/>
      <c r="DL89" s="117"/>
      <c r="DM89" s="118"/>
      <c r="DN89" s="8"/>
      <c r="DO89" s="105"/>
      <c r="DP89" s="106"/>
      <c r="DQ89" s="107"/>
      <c r="DR89" s="108"/>
      <c r="DS89" s="36"/>
      <c r="DT89" s="15"/>
      <c r="DU89" s="26"/>
      <c r="DV89" s="33"/>
      <c r="DW89" s="53">
        <f t="shared" si="29"/>
        <v>0</v>
      </c>
      <c r="DY89" s="31"/>
      <c r="DZ89" s="116"/>
      <c r="EA89" s="117"/>
      <c r="EB89" s="117"/>
      <c r="EC89" s="118"/>
      <c r="ED89" s="8"/>
      <c r="EE89" s="105"/>
      <c r="EF89" s="106"/>
      <c r="EG89" s="107"/>
      <c r="EH89" s="108"/>
      <c r="EI89" s="36"/>
      <c r="EJ89" s="15"/>
      <c r="EK89" s="26"/>
      <c r="EL89" s="33"/>
      <c r="EM89" s="53">
        <f t="shared" si="30"/>
        <v>0</v>
      </c>
      <c r="EO89" s="31"/>
      <c r="EP89" s="116"/>
      <c r="EQ89" s="117"/>
      <c r="ER89" s="117"/>
      <c r="ES89" s="118"/>
      <c r="ET89" s="8"/>
      <c r="EU89" s="105"/>
      <c r="EV89" s="106"/>
      <c r="EW89" s="107"/>
      <c r="EX89" s="108"/>
      <c r="EY89" s="36"/>
      <c r="EZ89" s="15"/>
      <c r="FA89" s="26"/>
      <c r="FB89" s="33"/>
      <c r="FC89" s="53">
        <f t="shared" si="31"/>
        <v>0</v>
      </c>
      <c r="FE89" s="31"/>
      <c r="FF89" s="116"/>
      <c r="FG89" s="117"/>
      <c r="FH89" s="117"/>
      <c r="FI89" s="118"/>
      <c r="FJ89" s="8"/>
      <c r="FK89" s="105"/>
      <c r="FL89" s="106"/>
      <c r="FM89" s="107"/>
      <c r="FN89" s="108"/>
      <c r="FO89" s="36"/>
      <c r="FP89" s="15"/>
      <c r="FQ89" s="26"/>
      <c r="FR89" s="33"/>
      <c r="FS89" s="53">
        <f t="shared" si="32"/>
        <v>0</v>
      </c>
      <c r="FU89" s="31"/>
      <c r="FV89" s="116"/>
      <c r="FW89" s="117"/>
      <c r="FX89" s="117"/>
      <c r="FY89" s="118"/>
      <c r="FZ89" s="8"/>
      <c r="GA89" s="105"/>
      <c r="GB89" s="106"/>
      <c r="GC89" s="107"/>
      <c r="GD89" s="108"/>
      <c r="GE89" s="36"/>
      <c r="GF89" s="15"/>
      <c r="GG89" s="26"/>
      <c r="GH89" s="33"/>
      <c r="GI89" s="53">
        <f t="shared" si="33"/>
        <v>0</v>
      </c>
      <c r="GK89" s="31"/>
      <c r="GL89" s="116"/>
      <c r="GM89" s="117"/>
      <c r="GN89" s="117"/>
      <c r="GO89" s="118"/>
      <c r="GP89" s="8"/>
      <c r="GQ89" s="105"/>
      <c r="GR89" s="106"/>
      <c r="GS89" s="107"/>
      <c r="GT89" s="108"/>
      <c r="GU89" s="36"/>
      <c r="GV89" s="15"/>
      <c r="GW89" s="26"/>
      <c r="GX89" s="33"/>
      <c r="GY89" s="53">
        <f t="shared" si="34"/>
        <v>0</v>
      </c>
      <c r="HA89" s="31"/>
      <c r="HB89" s="116"/>
      <c r="HC89" s="117"/>
      <c r="HD89" s="117"/>
      <c r="HE89" s="118"/>
      <c r="HF89" s="8"/>
      <c r="HG89" s="105"/>
      <c r="HH89" s="106"/>
      <c r="HI89" s="107"/>
      <c r="HJ89" s="108"/>
      <c r="HK89" s="36"/>
      <c r="HL89" s="15"/>
      <c r="HM89" s="26"/>
      <c r="HN89" s="33"/>
      <c r="HO89" s="53">
        <f t="shared" si="35"/>
        <v>0</v>
      </c>
      <c r="HQ89" s="31"/>
      <c r="HR89" s="116"/>
      <c r="HS89" s="117"/>
      <c r="HT89" s="117"/>
      <c r="HU89" s="118"/>
      <c r="HV89" s="8"/>
      <c r="HW89" s="105"/>
      <c r="HX89" s="106"/>
      <c r="HY89" s="107"/>
      <c r="HZ89" s="108"/>
      <c r="IA89" s="36"/>
      <c r="IB89" s="15"/>
      <c r="IC89" s="26"/>
      <c r="ID89" s="33"/>
      <c r="IE89" s="53">
        <f t="shared" si="36"/>
        <v>0</v>
      </c>
      <c r="IG89" s="31"/>
      <c r="IH89" s="116"/>
      <c r="II89" s="117"/>
      <c r="IJ89" s="117"/>
      <c r="IK89" s="118"/>
      <c r="IL89" s="8"/>
      <c r="IM89" s="105"/>
      <c r="IN89" s="106"/>
      <c r="IO89" s="107"/>
      <c r="IP89" s="108"/>
      <c r="IQ89" s="36"/>
      <c r="IR89" s="15"/>
      <c r="IS89" s="26"/>
      <c r="IT89" s="33"/>
      <c r="IU89" s="53">
        <f t="shared" si="37"/>
        <v>0</v>
      </c>
      <c r="IW89" s="31"/>
      <c r="IX89" s="116"/>
      <c r="IY89" s="117"/>
      <c r="IZ89" s="117"/>
      <c r="JA89" s="118"/>
      <c r="JB89" s="8"/>
      <c r="JC89" s="105"/>
      <c r="JD89" s="106"/>
      <c r="JE89" s="107"/>
      <c r="JF89" s="108"/>
      <c r="JG89" s="36"/>
      <c r="JH89" s="15"/>
      <c r="JI89" s="26"/>
      <c r="JJ89" s="33"/>
      <c r="JK89" s="53">
        <f t="shared" si="38"/>
        <v>0</v>
      </c>
      <c r="JM89" s="31"/>
      <c r="JN89" s="116"/>
      <c r="JO89" s="117"/>
      <c r="JP89" s="117"/>
      <c r="JQ89" s="118"/>
      <c r="JR89" s="8"/>
      <c r="JS89" s="105"/>
      <c r="JT89" s="106"/>
      <c r="JU89" s="107"/>
      <c r="JV89" s="108"/>
      <c r="JW89" s="36"/>
      <c r="JX89" s="15"/>
      <c r="JY89" s="26"/>
      <c r="JZ89" s="33"/>
      <c r="KA89" s="53">
        <f t="shared" si="39"/>
        <v>0</v>
      </c>
      <c r="KC89" s="31"/>
      <c r="KD89" s="116"/>
      <c r="KE89" s="117"/>
      <c r="KF89" s="117"/>
      <c r="KG89" s="118"/>
      <c r="KH89" s="8"/>
      <c r="KI89" s="105"/>
      <c r="KJ89" s="106"/>
      <c r="KK89" s="107"/>
      <c r="KL89" s="108"/>
      <c r="KM89" s="36"/>
      <c r="KN89" s="15"/>
      <c r="KO89" s="26"/>
      <c r="KP89" s="33"/>
      <c r="KQ89" s="53">
        <f t="shared" si="40"/>
        <v>0</v>
      </c>
      <c r="KS89" s="31"/>
      <c r="KT89" s="116"/>
      <c r="KU89" s="117"/>
      <c r="KV89" s="117"/>
      <c r="KW89" s="118"/>
      <c r="KX89" s="8"/>
      <c r="KY89" s="105"/>
      <c r="KZ89" s="106"/>
      <c r="LA89" s="107"/>
      <c r="LB89" s="108"/>
      <c r="LC89" s="36"/>
      <c r="LD89" s="15"/>
      <c r="LE89" s="26"/>
      <c r="LF89" s="33"/>
      <c r="LG89" s="53">
        <f t="shared" si="41"/>
        <v>0</v>
      </c>
      <c r="LI89" s="31"/>
      <c r="LJ89" s="116"/>
      <c r="LK89" s="117"/>
      <c r="LL89" s="117"/>
      <c r="LM89" s="118"/>
      <c r="LN89" s="8"/>
      <c r="LO89" s="105"/>
      <c r="LP89" s="106"/>
      <c r="LQ89" s="107"/>
      <c r="LR89" s="108"/>
      <c r="LS89" s="36"/>
      <c r="LT89" s="15"/>
      <c r="LU89" s="26"/>
      <c r="LV89" s="33"/>
      <c r="LW89" s="53">
        <f t="shared" si="42"/>
        <v>0</v>
      </c>
      <c r="LY89" s="31"/>
      <c r="LZ89" s="116"/>
      <c r="MA89" s="117"/>
      <c r="MB89" s="117"/>
      <c r="MC89" s="118"/>
      <c r="MD89" s="8"/>
      <c r="ME89" s="105"/>
      <c r="MF89" s="106"/>
      <c r="MG89" s="107"/>
      <c r="MH89" s="108"/>
      <c r="MI89" s="36"/>
      <c r="MJ89" s="15"/>
      <c r="MK89" s="26"/>
      <c r="ML89" s="33"/>
      <c r="MM89" s="53">
        <f t="shared" si="43"/>
        <v>0</v>
      </c>
    </row>
    <row r="90" spans="1:351" ht="20.100000000000001" customHeight="1" x14ac:dyDescent="0.3">
      <c r="A90" s="32"/>
      <c r="B90" s="102"/>
      <c r="C90" s="103"/>
      <c r="D90" s="103"/>
      <c r="E90" s="104"/>
      <c r="F90" s="8"/>
      <c r="G90" s="105"/>
      <c r="H90" s="106"/>
      <c r="I90" s="109"/>
      <c r="J90" s="110"/>
      <c r="K90" s="37"/>
      <c r="L90" s="15"/>
      <c r="M90" s="26"/>
      <c r="N90" s="33"/>
      <c r="O90" s="53">
        <f t="shared" si="22"/>
        <v>0</v>
      </c>
      <c r="Q90" s="32"/>
      <c r="R90" s="102"/>
      <c r="S90" s="103"/>
      <c r="T90" s="103"/>
      <c r="U90" s="104"/>
      <c r="V90" s="8"/>
      <c r="W90" s="105"/>
      <c r="X90" s="106"/>
      <c r="Y90" s="109"/>
      <c r="Z90" s="110"/>
      <c r="AA90" s="37"/>
      <c r="AB90" s="15"/>
      <c r="AC90" s="26"/>
      <c r="AD90" s="33"/>
      <c r="AE90" s="53">
        <f t="shared" si="23"/>
        <v>0</v>
      </c>
      <c r="AG90" s="32"/>
      <c r="AH90" s="102"/>
      <c r="AI90" s="103"/>
      <c r="AJ90" s="103"/>
      <c r="AK90" s="104"/>
      <c r="AL90" s="8"/>
      <c r="AM90" s="105"/>
      <c r="AN90" s="106"/>
      <c r="AO90" s="109"/>
      <c r="AP90" s="110"/>
      <c r="AQ90" s="37"/>
      <c r="AR90" s="15"/>
      <c r="AS90" s="26"/>
      <c r="AT90" s="33"/>
      <c r="AU90" s="53">
        <f t="shared" si="24"/>
        <v>0</v>
      </c>
      <c r="AW90" s="32"/>
      <c r="AX90" s="102"/>
      <c r="AY90" s="103"/>
      <c r="AZ90" s="103"/>
      <c r="BA90" s="104"/>
      <c r="BB90" s="8"/>
      <c r="BC90" s="105"/>
      <c r="BD90" s="106"/>
      <c r="BE90" s="109"/>
      <c r="BF90" s="110"/>
      <c r="BG90" s="37"/>
      <c r="BH90" s="15"/>
      <c r="BI90" s="26"/>
      <c r="BJ90" s="33"/>
      <c r="BK90" s="53">
        <f t="shared" si="25"/>
        <v>0</v>
      </c>
      <c r="BM90" s="32"/>
      <c r="BN90" s="102"/>
      <c r="BO90" s="103"/>
      <c r="BP90" s="103"/>
      <c r="BQ90" s="104"/>
      <c r="BR90" s="8"/>
      <c r="BS90" s="105"/>
      <c r="BT90" s="106"/>
      <c r="BU90" s="109"/>
      <c r="BV90" s="110"/>
      <c r="BW90" s="37"/>
      <c r="BX90" s="15"/>
      <c r="BY90" s="26"/>
      <c r="BZ90" s="33"/>
      <c r="CA90" s="53">
        <f t="shared" si="26"/>
        <v>0</v>
      </c>
      <c r="CC90" s="32"/>
      <c r="CD90" s="102"/>
      <c r="CE90" s="103"/>
      <c r="CF90" s="103"/>
      <c r="CG90" s="104"/>
      <c r="CH90" s="8"/>
      <c r="CI90" s="105"/>
      <c r="CJ90" s="106"/>
      <c r="CK90" s="109"/>
      <c r="CL90" s="110"/>
      <c r="CM90" s="37"/>
      <c r="CN90" s="15"/>
      <c r="CO90" s="26"/>
      <c r="CP90" s="33"/>
      <c r="CQ90" s="53">
        <f t="shared" si="27"/>
        <v>0</v>
      </c>
      <c r="CS90" s="32"/>
      <c r="CT90" s="102"/>
      <c r="CU90" s="103"/>
      <c r="CV90" s="103"/>
      <c r="CW90" s="104"/>
      <c r="CX90" s="8"/>
      <c r="CY90" s="105"/>
      <c r="CZ90" s="106"/>
      <c r="DA90" s="109"/>
      <c r="DB90" s="110"/>
      <c r="DC90" s="37"/>
      <c r="DD90" s="15"/>
      <c r="DE90" s="26"/>
      <c r="DF90" s="33"/>
      <c r="DG90" s="53">
        <f t="shared" si="28"/>
        <v>0</v>
      </c>
      <c r="DI90" s="32"/>
      <c r="DJ90" s="102"/>
      <c r="DK90" s="103"/>
      <c r="DL90" s="103"/>
      <c r="DM90" s="104"/>
      <c r="DN90" s="8"/>
      <c r="DO90" s="105"/>
      <c r="DP90" s="106"/>
      <c r="DQ90" s="109"/>
      <c r="DR90" s="110"/>
      <c r="DS90" s="37"/>
      <c r="DT90" s="15"/>
      <c r="DU90" s="26"/>
      <c r="DV90" s="33"/>
      <c r="DW90" s="53">
        <f t="shared" si="29"/>
        <v>0</v>
      </c>
      <c r="DY90" s="32"/>
      <c r="DZ90" s="102"/>
      <c r="EA90" s="103"/>
      <c r="EB90" s="103"/>
      <c r="EC90" s="104"/>
      <c r="ED90" s="8"/>
      <c r="EE90" s="105"/>
      <c r="EF90" s="106"/>
      <c r="EG90" s="109"/>
      <c r="EH90" s="110"/>
      <c r="EI90" s="37"/>
      <c r="EJ90" s="15"/>
      <c r="EK90" s="26"/>
      <c r="EL90" s="33"/>
      <c r="EM90" s="53">
        <f t="shared" si="30"/>
        <v>0</v>
      </c>
      <c r="EO90" s="32"/>
      <c r="EP90" s="102"/>
      <c r="EQ90" s="103"/>
      <c r="ER90" s="103"/>
      <c r="ES90" s="104"/>
      <c r="ET90" s="8"/>
      <c r="EU90" s="105"/>
      <c r="EV90" s="106"/>
      <c r="EW90" s="109"/>
      <c r="EX90" s="110"/>
      <c r="EY90" s="37"/>
      <c r="EZ90" s="15"/>
      <c r="FA90" s="26"/>
      <c r="FB90" s="33"/>
      <c r="FC90" s="53">
        <f t="shared" si="31"/>
        <v>0</v>
      </c>
      <c r="FE90" s="32"/>
      <c r="FF90" s="102"/>
      <c r="FG90" s="103"/>
      <c r="FH90" s="103"/>
      <c r="FI90" s="104"/>
      <c r="FJ90" s="8"/>
      <c r="FK90" s="105"/>
      <c r="FL90" s="106"/>
      <c r="FM90" s="109"/>
      <c r="FN90" s="110"/>
      <c r="FO90" s="37"/>
      <c r="FP90" s="15"/>
      <c r="FQ90" s="26"/>
      <c r="FR90" s="33"/>
      <c r="FS90" s="53">
        <f t="shared" si="32"/>
        <v>0</v>
      </c>
      <c r="FU90" s="32"/>
      <c r="FV90" s="102"/>
      <c r="FW90" s="103"/>
      <c r="FX90" s="103"/>
      <c r="FY90" s="104"/>
      <c r="FZ90" s="8"/>
      <c r="GA90" s="105"/>
      <c r="GB90" s="106"/>
      <c r="GC90" s="109"/>
      <c r="GD90" s="110"/>
      <c r="GE90" s="37"/>
      <c r="GF90" s="15"/>
      <c r="GG90" s="26"/>
      <c r="GH90" s="33"/>
      <c r="GI90" s="53">
        <f t="shared" si="33"/>
        <v>0</v>
      </c>
      <c r="GK90" s="32"/>
      <c r="GL90" s="102"/>
      <c r="GM90" s="103"/>
      <c r="GN90" s="103"/>
      <c r="GO90" s="104"/>
      <c r="GP90" s="8"/>
      <c r="GQ90" s="105"/>
      <c r="GR90" s="106"/>
      <c r="GS90" s="109"/>
      <c r="GT90" s="110"/>
      <c r="GU90" s="37"/>
      <c r="GV90" s="15"/>
      <c r="GW90" s="26"/>
      <c r="GX90" s="33"/>
      <c r="GY90" s="53">
        <f t="shared" si="34"/>
        <v>0</v>
      </c>
      <c r="HA90" s="32"/>
      <c r="HB90" s="102"/>
      <c r="HC90" s="103"/>
      <c r="HD90" s="103"/>
      <c r="HE90" s="104"/>
      <c r="HF90" s="8"/>
      <c r="HG90" s="105"/>
      <c r="HH90" s="106"/>
      <c r="HI90" s="109"/>
      <c r="HJ90" s="110"/>
      <c r="HK90" s="37"/>
      <c r="HL90" s="15"/>
      <c r="HM90" s="26"/>
      <c r="HN90" s="33"/>
      <c r="HO90" s="53">
        <f t="shared" si="35"/>
        <v>0</v>
      </c>
      <c r="HQ90" s="32"/>
      <c r="HR90" s="102"/>
      <c r="HS90" s="103"/>
      <c r="HT90" s="103"/>
      <c r="HU90" s="104"/>
      <c r="HV90" s="8"/>
      <c r="HW90" s="105"/>
      <c r="HX90" s="106"/>
      <c r="HY90" s="109"/>
      <c r="HZ90" s="110"/>
      <c r="IA90" s="37"/>
      <c r="IB90" s="15"/>
      <c r="IC90" s="26"/>
      <c r="ID90" s="33"/>
      <c r="IE90" s="53">
        <f t="shared" si="36"/>
        <v>0</v>
      </c>
      <c r="IG90" s="32"/>
      <c r="IH90" s="102"/>
      <c r="II90" s="103"/>
      <c r="IJ90" s="103"/>
      <c r="IK90" s="104"/>
      <c r="IL90" s="8"/>
      <c r="IM90" s="105"/>
      <c r="IN90" s="106"/>
      <c r="IO90" s="109"/>
      <c r="IP90" s="110"/>
      <c r="IQ90" s="37"/>
      <c r="IR90" s="15"/>
      <c r="IS90" s="26"/>
      <c r="IT90" s="33"/>
      <c r="IU90" s="53">
        <f t="shared" si="37"/>
        <v>0</v>
      </c>
      <c r="IW90" s="32"/>
      <c r="IX90" s="102"/>
      <c r="IY90" s="103"/>
      <c r="IZ90" s="103"/>
      <c r="JA90" s="104"/>
      <c r="JB90" s="8"/>
      <c r="JC90" s="105"/>
      <c r="JD90" s="106"/>
      <c r="JE90" s="109"/>
      <c r="JF90" s="110"/>
      <c r="JG90" s="37"/>
      <c r="JH90" s="15"/>
      <c r="JI90" s="26"/>
      <c r="JJ90" s="33"/>
      <c r="JK90" s="53">
        <f t="shared" si="38"/>
        <v>0</v>
      </c>
      <c r="JM90" s="32"/>
      <c r="JN90" s="102"/>
      <c r="JO90" s="103"/>
      <c r="JP90" s="103"/>
      <c r="JQ90" s="104"/>
      <c r="JR90" s="8"/>
      <c r="JS90" s="105"/>
      <c r="JT90" s="106"/>
      <c r="JU90" s="109"/>
      <c r="JV90" s="110"/>
      <c r="JW90" s="37"/>
      <c r="JX90" s="15"/>
      <c r="JY90" s="26"/>
      <c r="JZ90" s="33"/>
      <c r="KA90" s="53">
        <f t="shared" si="39"/>
        <v>0</v>
      </c>
      <c r="KC90" s="32"/>
      <c r="KD90" s="102"/>
      <c r="KE90" s="103"/>
      <c r="KF90" s="103"/>
      <c r="KG90" s="104"/>
      <c r="KH90" s="8"/>
      <c r="KI90" s="105"/>
      <c r="KJ90" s="106"/>
      <c r="KK90" s="109"/>
      <c r="KL90" s="110"/>
      <c r="KM90" s="37"/>
      <c r="KN90" s="15"/>
      <c r="KO90" s="26"/>
      <c r="KP90" s="33"/>
      <c r="KQ90" s="53">
        <f t="shared" si="40"/>
        <v>0</v>
      </c>
      <c r="KS90" s="32"/>
      <c r="KT90" s="102"/>
      <c r="KU90" s="103"/>
      <c r="KV90" s="103"/>
      <c r="KW90" s="104"/>
      <c r="KX90" s="8"/>
      <c r="KY90" s="105"/>
      <c r="KZ90" s="106"/>
      <c r="LA90" s="109"/>
      <c r="LB90" s="110"/>
      <c r="LC90" s="37"/>
      <c r="LD90" s="15"/>
      <c r="LE90" s="26"/>
      <c r="LF90" s="33"/>
      <c r="LG90" s="53">
        <f t="shared" si="41"/>
        <v>0</v>
      </c>
      <c r="LI90" s="32"/>
      <c r="LJ90" s="102"/>
      <c r="LK90" s="103"/>
      <c r="LL90" s="103"/>
      <c r="LM90" s="104"/>
      <c r="LN90" s="8"/>
      <c r="LO90" s="105"/>
      <c r="LP90" s="106"/>
      <c r="LQ90" s="109"/>
      <c r="LR90" s="110"/>
      <c r="LS90" s="37"/>
      <c r="LT90" s="15"/>
      <c r="LU90" s="26"/>
      <c r="LV90" s="33"/>
      <c r="LW90" s="53">
        <f t="shared" si="42"/>
        <v>0</v>
      </c>
      <c r="LY90" s="32"/>
      <c r="LZ90" s="102"/>
      <c r="MA90" s="103"/>
      <c r="MB90" s="103"/>
      <c r="MC90" s="104"/>
      <c r="MD90" s="8"/>
      <c r="ME90" s="105"/>
      <c r="MF90" s="106"/>
      <c r="MG90" s="109"/>
      <c r="MH90" s="110"/>
      <c r="MI90" s="37"/>
      <c r="MJ90" s="15"/>
      <c r="MK90" s="26"/>
      <c r="ML90" s="33"/>
      <c r="MM90" s="53">
        <f t="shared" si="43"/>
        <v>0</v>
      </c>
    </row>
    <row r="91" spans="1:351" ht="20.100000000000001" customHeight="1" x14ac:dyDescent="0.3">
      <c r="A91" s="32"/>
      <c r="B91" s="102"/>
      <c r="C91" s="103"/>
      <c r="D91" s="103"/>
      <c r="E91" s="104"/>
      <c r="F91" s="8"/>
      <c r="G91" s="105"/>
      <c r="H91" s="106"/>
      <c r="I91" s="109"/>
      <c r="J91" s="110"/>
      <c r="K91" s="37"/>
      <c r="L91" s="15"/>
      <c r="M91" s="26"/>
      <c r="N91" s="33"/>
      <c r="O91" s="53">
        <f t="shared" si="22"/>
        <v>0</v>
      </c>
      <c r="Q91" s="32"/>
      <c r="R91" s="102"/>
      <c r="S91" s="103"/>
      <c r="T91" s="103"/>
      <c r="U91" s="104"/>
      <c r="V91" s="8"/>
      <c r="W91" s="105"/>
      <c r="X91" s="106"/>
      <c r="Y91" s="109"/>
      <c r="Z91" s="110"/>
      <c r="AA91" s="37"/>
      <c r="AB91" s="15"/>
      <c r="AC91" s="26"/>
      <c r="AD91" s="33"/>
      <c r="AE91" s="53">
        <f t="shared" si="23"/>
        <v>0</v>
      </c>
      <c r="AG91" s="32"/>
      <c r="AH91" s="102"/>
      <c r="AI91" s="103"/>
      <c r="AJ91" s="103"/>
      <c r="AK91" s="104"/>
      <c r="AL91" s="8"/>
      <c r="AM91" s="105"/>
      <c r="AN91" s="106"/>
      <c r="AO91" s="109"/>
      <c r="AP91" s="110"/>
      <c r="AQ91" s="37"/>
      <c r="AR91" s="15"/>
      <c r="AS91" s="26"/>
      <c r="AT91" s="33"/>
      <c r="AU91" s="53">
        <f t="shared" si="24"/>
        <v>0</v>
      </c>
      <c r="AW91" s="32"/>
      <c r="AX91" s="102"/>
      <c r="AY91" s="103"/>
      <c r="AZ91" s="103"/>
      <c r="BA91" s="104"/>
      <c r="BB91" s="8"/>
      <c r="BC91" s="105"/>
      <c r="BD91" s="106"/>
      <c r="BE91" s="109"/>
      <c r="BF91" s="110"/>
      <c r="BG91" s="37"/>
      <c r="BH91" s="15"/>
      <c r="BI91" s="26"/>
      <c r="BJ91" s="33"/>
      <c r="BK91" s="53">
        <f t="shared" si="25"/>
        <v>0</v>
      </c>
      <c r="BM91" s="32"/>
      <c r="BN91" s="102"/>
      <c r="BO91" s="103"/>
      <c r="BP91" s="103"/>
      <c r="BQ91" s="104"/>
      <c r="BR91" s="8"/>
      <c r="BS91" s="105"/>
      <c r="BT91" s="106"/>
      <c r="BU91" s="109"/>
      <c r="BV91" s="110"/>
      <c r="BW91" s="37"/>
      <c r="BX91" s="15"/>
      <c r="BY91" s="26"/>
      <c r="BZ91" s="33"/>
      <c r="CA91" s="53">
        <f t="shared" si="26"/>
        <v>0</v>
      </c>
      <c r="CC91" s="32"/>
      <c r="CD91" s="102"/>
      <c r="CE91" s="103"/>
      <c r="CF91" s="103"/>
      <c r="CG91" s="104"/>
      <c r="CH91" s="8"/>
      <c r="CI91" s="105"/>
      <c r="CJ91" s="106"/>
      <c r="CK91" s="109"/>
      <c r="CL91" s="110"/>
      <c r="CM91" s="37"/>
      <c r="CN91" s="15"/>
      <c r="CO91" s="26"/>
      <c r="CP91" s="33"/>
      <c r="CQ91" s="53">
        <f t="shared" si="27"/>
        <v>0</v>
      </c>
      <c r="CS91" s="32"/>
      <c r="CT91" s="102"/>
      <c r="CU91" s="103"/>
      <c r="CV91" s="103"/>
      <c r="CW91" s="104"/>
      <c r="CX91" s="8"/>
      <c r="CY91" s="105"/>
      <c r="CZ91" s="106"/>
      <c r="DA91" s="109"/>
      <c r="DB91" s="110"/>
      <c r="DC91" s="37"/>
      <c r="DD91" s="15"/>
      <c r="DE91" s="26"/>
      <c r="DF91" s="33"/>
      <c r="DG91" s="53">
        <f t="shared" si="28"/>
        <v>0</v>
      </c>
      <c r="DI91" s="32"/>
      <c r="DJ91" s="102"/>
      <c r="DK91" s="103"/>
      <c r="DL91" s="103"/>
      <c r="DM91" s="104"/>
      <c r="DN91" s="8"/>
      <c r="DO91" s="105"/>
      <c r="DP91" s="106"/>
      <c r="DQ91" s="109"/>
      <c r="DR91" s="110"/>
      <c r="DS91" s="37"/>
      <c r="DT91" s="15"/>
      <c r="DU91" s="26"/>
      <c r="DV91" s="33"/>
      <c r="DW91" s="53">
        <f t="shared" si="29"/>
        <v>0</v>
      </c>
      <c r="DY91" s="32"/>
      <c r="DZ91" s="102"/>
      <c r="EA91" s="103"/>
      <c r="EB91" s="103"/>
      <c r="EC91" s="104"/>
      <c r="ED91" s="8"/>
      <c r="EE91" s="105"/>
      <c r="EF91" s="106"/>
      <c r="EG91" s="109"/>
      <c r="EH91" s="110"/>
      <c r="EI91" s="37"/>
      <c r="EJ91" s="15"/>
      <c r="EK91" s="26"/>
      <c r="EL91" s="33"/>
      <c r="EM91" s="53">
        <f t="shared" si="30"/>
        <v>0</v>
      </c>
      <c r="EO91" s="32"/>
      <c r="EP91" s="102"/>
      <c r="EQ91" s="103"/>
      <c r="ER91" s="103"/>
      <c r="ES91" s="104"/>
      <c r="ET91" s="8"/>
      <c r="EU91" s="105"/>
      <c r="EV91" s="106"/>
      <c r="EW91" s="109"/>
      <c r="EX91" s="110"/>
      <c r="EY91" s="37"/>
      <c r="EZ91" s="15"/>
      <c r="FA91" s="26"/>
      <c r="FB91" s="33"/>
      <c r="FC91" s="53">
        <f t="shared" si="31"/>
        <v>0</v>
      </c>
      <c r="FE91" s="32"/>
      <c r="FF91" s="102"/>
      <c r="FG91" s="103"/>
      <c r="FH91" s="103"/>
      <c r="FI91" s="104"/>
      <c r="FJ91" s="8"/>
      <c r="FK91" s="105"/>
      <c r="FL91" s="106"/>
      <c r="FM91" s="109"/>
      <c r="FN91" s="110"/>
      <c r="FO91" s="37"/>
      <c r="FP91" s="15"/>
      <c r="FQ91" s="26"/>
      <c r="FR91" s="33"/>
      <c r="FS91" s="53">
        <f t="shared" si="32"/>
        <v>0</v>
      </c>
      <c r="FU91" s="32"/>
      <c r="FV91" s="102"/>
      <c r="FW91" s="103"/>
      <c r="FX91" s="103"/>
      <c r="FY91" s="104"/>
      <c r="FZ91" s="8"/>
      <c r="GA91" s="105"/>
      <c r="GB91" s="106"/>
      <c r="GC91" s="109"/>
      <c r="GD91" s="110"/>
      <c r="GE91" s="37"/>
      <c r="GF91" s="15"/>
      <c r="GG91" s="26"/>
      <c r="GH91" s="33"/>
      <c r="GI91" s="53">
        <f t="shared" si="33"/>
        <v>0</v>
      </c>
      <c r="GK91" s="32"/>
      <c r="GL91" s="102"/>
      <c r="GM91" s="103"/>
      <c r="GN91" s="103"/>
      <c r="GO91" s="104"/>
      <c r="GP91" s="8"/>
      <c r="GQ91" s="105"/>
      <c r="GR91" s="106"/>
      <c r="GS91" s="109"/>
      <c r="GT91" s="110"/>
      <c r="GU91" s="37"/>
      <c r="GV91" s="15"/>
      <c r="GW91" s="26"/>
      <c r="GX91" s="33"/>
      <c r="GY91" s="53">
        <f t="shared" si="34"/>
        <v>0</v>
      </c>
      <c r="HA91" s="32"/>
      <c r="HB91" s="102"/>
      <c r="HC91" s="103"/>
      <c r="HD91" s="103"/>
      <c r="HE91" s="104"/>
      <c r="HF91" s="8"/>
      <c r="HG91" s="105"/>
      <c r="HH91" s="106"/>
      <c r="HI91" s="109"/>
      <c r="HJ91" s="110"/>
      <c r="HK91" s="37"/>
      <c r="HL91" s="15"/>
      <c r="HM91" s="26"/>
      <c r="HN91" s="33"/>
      <c r="HO91" s="53">
        <f t="shared" si="35"/>
        <v>0</v>
      </c>
      <c r="HQ91" s="32"/>
      <c r="HR91" s="102"/>
      <c r="HS91" s="103"/>
      <c r="HT91" s="103"/>
      <c r="HU91" s="104"/>
      <c r="HV91" s="8"/>
      <c r="HW91" s="105"/>
      <c r="HX91" s="106"/>
      <c r="HY91" s="109"/>
      <c r="HZ91" s="110"/>
      <c r="IA91" s="37"/>
      <c r="IB91" s="15"/>
      <c r="IC91" s="26"/>
      <c r="ID91" s="33"/>
      <c r="IE91" s="53">
        <f t="shared" si="36"/>
        <v>0</v>
      </c>
      <c r="IG91" s="32"/>
      <c r="IH91" s="102"/>
      <c r="II91" s="103"/>
      <c r="IJ91" s="103"/>
      <c r="IK91" s="104"/>
      <c r="IL91" s="8"/>
      <c r="IM91" s="105"/>
      <c r="IN91" s="106"/>
      <c r="IO91" s="109"/>
      <c r="IP91" s="110"/>
      <c r="IQ91" s="37"/>
      <c r="IR91" s="15"/>
      <c r="IS91" s="26"/>
      <c r="IT91" s="33"/>
      <c r="IU91" s="53">
        <f t="shared" si="37"/>
        <v>0</v>
      </c>
      <c r="IW91" s="32"/>
      <c r="IX91" s="102"/>
      <c r="IY91" s="103"/>
      <c r="IZ91" s="103"/>
      <c r="JA91" s="104"/>
      <c r="JB91" s="8"/>
      <c r="JC91" s="105"/>
      <c r="JD91" s="106"/>
      <c r="JE91" s="109"/>
      <c r="JF91" s="110"/>
      <c r="JG91" s="37"/>
      <c r="JH91" s="15"/>
      <c r="JI91" s="26"/>
      <c r="JJ91" s="33"/>
      <c r="JK91" s="53">
        <f t="shared" si="38"/>
        <v>0</v>
      </c>
      <c r="JM91" s="32"/>
      <c r="JN91" s="102"/>
      <c r="JO91" s="103"/>
      <c r="JP91" s="103"/>
      <c r="JQ91" s="104"/>
      <c r="JR91" s="8"/>
      <c r="JS91" s="105"/>
      <c r="JT91" s="106"/>
      <c r="JU91" s="109"/>
      <c r="JV91" s="110"/>
      <c r="JW91" s="37"/>
      <c r="JX91" s="15"/>
      <c r="JY91" s="26"/>
      <c r="JZ91" s="33"/>
      <c r="KA91" s="53">
        <f t="shared" si="39"/>
        <v>0</v>
      </c>
      <c r="KC91" s="32"/>
      <c r="KD91" s="102"/>
      <c r="KE91" s="103"/>
      <c r="KF91" s="103"/>
      <c r="KG91" s="104"/>
      <c r="KH91" s="8"/>
      <c r="KI91" s="105"/>
      <c r="KJ91" s="106"/>
      <c r="KK91" s="109"/>
      <c r="KL91" s="110"/>
      <c r="KM91" s="37"/>
      <c r="KN91" s="15"/>
      <c r="KO91" s="26"/>
      <c r="KP91" s="33"/>
      <c r="KQ91" s="53">
        <f t="shared" si="40"/>
        <v>0</v>
      </c>
      <c r="KS91" s="32"/>
      <c r="KT91" s="102"/>
      <c r="KU91" s="103"/>
      <c r="KV91" s="103"/>
      <c r="KW91" s="104"/>
      <c r="KX91" s="8"/>
      <c r="KY91" s="105"/>
      <c r="KZ91" s="106"/>
      <c r="LA91" s="109"/>
      <c r="LB91" s="110"/>
      <c r="LC91" s="37"/>
      <c r="LD91" s="15"/>
      <c r="LE91" s="26"/>
      <c r="LF91" s="33"/>
      <c r="LG91" s="53">
        <f t="shared" si="41"/>
        <v>0</v>
      </c>
      <c r="LI91" s="32"/>
      <c r="LJ91" s="102"/>
      <c r="LK91" s="103"/>
      <c r="LL91" s="103"/>
      <c r="LM91" s="104"/>
      <c r="LN91" s="8"/>
      <c r="LO91" s="105"/>
      <c r="LP91" s="106"/>
      <c r="LQ91" s="109"/>
      <c r="LR91" s="110"/>
      <c r="LS91" s="37"/>
      <c r="LT91" s="15"/>
      <c r="LU91" s="26"/>
      <c r="LV91" s="33"/>
      <c r="LW91" s="53">
        <f t="shared" si="42"/>
        <v>0</v>
      </c>
      <c r="LY91" s="32"/>
      <c r="LZ91" s="102"/>
      <c r="MA91" s="103"/>
      <c r="MB91" s="103"/>
      <c r="MC91" s="104"/>
      <c r="MD91" s="8"/>
      <c r="ME91" s="105"/>
      <c r="MF91" s="106"/>
      <c r="MG91" s="109"/>
      <c r="MH91" s="110"/>
      <c r="MI91" s="37"/>
      <c r="MJ91" s="15"/>
      <c r="MK91" s="26"/>
      <c r="ML91" s="33"/>
      <c r="MM91" s="53">
        <f t="shared" si="43"/>
        <v>0</v>
      </c>
    </row>
    <row r="92" spans="1:351" ht="20.100000000000001" customHeight="1" x14ac:dyDescent="0.3">
      <c r="A92" s="32"/>
      <c r="B92" s="102"/>
      <c r="C92" s="103"/>
      <c r="D92" s="103"/>
      <c r="E92" s="104"/>
      <c r="F92" s="8"/>
      <c r="G92" s="105"/>
      <c r="H92" s="106"/>
      <c r="I92" s="107"/>
      <c r="J92" s="108"/>
      <c r="K92" s="36"/>
      <c r="L92" s="15"/>
      <c r="M92" s="26"/>
      <c r="N92" s="33"/>
      <c r="O92" s="53">
        <f t="shared" si="22"/>
        <v>0</v>
      </c>
      <c r="Q92" s="32"/>
      <c r="R92" s="102"/>
      <c r="S92" s="103"/>
      <c r="T92" s="103"/>
      <c r="U92" s="104"/>
      <c r="V92" s="8"/>
      <c r="W92" s="105"/>
      <c r="X92" s="106"/>
      <c r="Y92" s="107"/>
      <c r="Z92" s="108"/>
      <c r="AA92" s="36"/>
      <c r="AB92" s="15"/>
      <c r="AC92" s="26"/>
      <c r="AD92" s="33"/>
      <c r="AE92" s="53">
        <f t="shared" si="23"/>
        <v>0</v>
      </c>
      <c r="AG92" s="32"/>
      <c r="AH92" s="102"/>
      <c r="AI92" s="103"/>
      <c r="AJ92" s="103"/>
      <c r="AK92" s="104"/>
      <c r="AL92" s="8"/>
      <c r="AM92" s="105"/>
      <c r="AN92" s="106"/>
      <c r="AO92" s="107"/>
      <c r="AP92" s="108"/>
      <c r="AQ92" s="36"/>
      <c r="AR92" s="15"/>
      <c r="AS92" s="26"/>
      <c r="AT92" s="33"/>
      <c r="AU92" s="53">
        <f t="shared" si="24"/>
        <v>0</v>
      </c>
      <c r="AW92" s="32"/>
      <c r="AX92" s="102"/>
      <c r="AY92" s="103"/>
      <c r="AZ92" s="103"/>
      <c r="BA92" s="104"/>
      <c r="BB92" s="8"/>
      <c r="BC92" s="105"/>
      <c r="BD92" s="106"/>
      <c r="BE92" s="107"/>
      <c r="BF92" s="108"/>
      <c r="BG92" s="36"/>
      <c r="BH92" s="15"/>
      <c r="BI92" s="26"/>
      <c r="BJ92" s="33"/>
      <c r="BK92" s="53">
        <f t="shared" si="25"/>
        <v>0</v>
      </c>
      <c r="BM92" s="32"/>
      <c r="BN92" s="102"/>
      <c r="BO92" s="103"/>
      <c r="BP92" s="103"/>
      <c r="BQ92" s="104"/>
      <c r="BR92" s="8"/>
      <c r="BS92" s="105"/>
      <c r="BT92" s="106"/>
      <c r="BU92" s="107"/>
      <c r="BV92" s="108"/>
      <c r="BW92" s="36"/>
      <c r="BX92" s="15"/>
      <c r="BY92" s="26"/>
      <c r="BZ92" s="33"/>
      <c r="CA92" s="53">
        <f t="shared" si="26"/>
        <v>0</v>
      </c>
      <c r="CC92" s="32"/>
      <c r="CD92" s="102"/>
      <c r="CE92" s="103"/>
      <c r="CF92" s="103"/>
      <c r="CG92" s="104"/>
      <c r="CH92" s="8"/>
      <c r="CI92" s="105"/>
      <c r="CJ92" s="106"/>
      <c r="CK92" s="107"/>
      <c r="CL92" s="108"/>
      <c r="CM92" s="36"/>
      <c r="CN92" s="15"/>
      <c r="CO92" s="26"/>
      <c r="CP92" s="33"/>
      <c r="CQ92" s="53">
        <f t="shared" si="27"/>
        <v>0</v>
      </c>
      <c r="CS92" s="32"/>
      <c r="CT92" s="102"/>
      <c r="CU92" s="103"/>
      <c r="CV92" s="103"/>
      <c r="CW92" s="104"/>
      <c r="CX92" s="8"/>
      <c r="CY92" s="105"/>
      <c r="CZ92" s="106"/>
      <c r="DA92" s="107"/>
      <c r="DB92" s="108"/>
      <c r="DC92" s="36"/>
      <c r="DD92" s="15"/>
      <c r="DE92" s="26"/>
      <c r="DF92" s="33"/>
      <c r="DG92" s="53">
        <f t="shared" si="28"/>
        <v>0</v>
      </c>
      <c r="DI92" s="32"/>
      <c r="DJ92" s="102"/>
      <c r="DK92" s="103"/>
      <c r="DL92" s="103"/>
      <c r="DM92" s="104"/>
      <c r="DN92" s="8"/>
      <c r="DO92" s="105"/>
      <c r="DP92" s="106"/>
      <c r="DQ92" s="107"/>
      <c r="DR92" s="108"/>
      <c r="DS92" s="36"/>
      <c r="DT92" s="15"/>
      <c r="DU92" s="26"/>
      <c r="DV92" s="33"/>
      <c r="DW92" s="53">
        <f t="shared" si="29"/>
        <v>0</v>
      </c>
      <c r="DY92" s="32"/>
      <c r="DZ92" s="102"/>
      <c r="EA92" s="103"/>
      <c r="EB92" s="103"/>
      <c r="EC92" s="104"/>
      <c r="ED92" s="8"/>
      <c r="EE92" s="105"/>
      <c r="EF92" s="106"/>
      <c r="EG92" s="107"/>
      <c r="EH92" s="108"/>
      <c r="EI92" s="36"/>
      <c r="EJ92" s="15"/>
      <c r="EK92" s="26"/>
      <c r="EL92" s="33"/>
      <c r="EM92" s="53">
        <f t="shared" si="30"/>
        <v>0</v>
      </c>
      <c r="EO92" s="32"/>
      <c r="EP92" s="102"/>
      <c r="EQ92" s="103"/>
      <c r="ER92" s="103"/>
      <c r="ES92" s="104"/>
      <c r="ET92" s="8"/>
      <c r="EU92" s="105"/>
      <c r="EV92" s="106"/>
      <c r="EW92" s="107"/>
      <c r="EX92" s="108"/>
      <c r="EY92" s="36"/>
      <c r="EZ92" s="15"/>
      <c r="FA92" s="26"/>
      <c r="FB92" s="33"/>
      <c r="FC92" s="53">
        <f t="shared" si="31"/>
        <v>0</v>
      </c>
      <c r="FE92" s="32"/>
      <c r="FF92" s="102"/>
      <c r="FG92" s="103"/>
      <c r="FH92" s="103"/>
      <c r="FI92" s="104"/>
      <c r="FJ92" s="8"/>
      <c r="FK92" s="105"/>
      <c r="FL92" s="106"/>
      <c r="FM92" s="107"/>
      <c r="FN92" s="108"/>
      <c r="FO92" s="36"/>
      <c r="FP92" s="15"/>
      <c r="FQ92" s="26"/>
      <c r="FR92" s="33"/>
      <c r="FS92" s="53">
        <f t="shared" si="32"/>
        <v>0</v>
      </c>
      <c r="FU92" s="32"/>
      <c r="FV92" s="102"/>
      <c r="FW92" s="103"/>
      <c r="FX92" s="103"/>
      <c r="FY92" s="104"/>
      <c r="FZ92" s="8"/>
      <c r="GA92" s="105"/>
      <c r="GB92" s="106"/>
      <c r="GC92" s="107"/>
      <c r="GD92" s="108"/>
      <c r="GE92" s="36"/>
      <c r="GF92" s="15"/>
      <c r="GG92" s="26"/>
      <c r="GH92" s="33"/>
      <c r="GI92" s="53">
        <f t="shared" si="33"/>
        <v>0</v>
      </c>
      <c r="GK92" s="32"/>
      <c r="GL92" s="102"/>
      <c r="GM92" s="103"/>
      <c r="GN92" s="103"/>
      <c r="GO92" s="104"/>
      <c r="GP92" s="8"/>
      <c r="GQ92" s="105"/>
      <c r="GR92" s="106"/>
      <c r="GS92" s="107"/>
      <c r="GT92" s="108"/>
      <c r="GU92" s="36"/>
      <c r="GV92" s="15"/>
      <c r="GW92" s="26"/>
      <c r="GX92" s="33"/>
      <c r="GY92" s="53">
        <f t="shared" si="34"/>
        <v>0</v>
      </c>
      <c r="HA92" s="32"/>
      <c r="HB92" s="102"/>
      <c r="HC92" s="103"/>
      <c r="HD92" s="103"/>
      <c r="HE92" s="104"/>
      <c r="HF92" s="8"/>
      <c r="HG92" s="105"/>
      <c r="HH92" s="106"/>
      <c r="HI92" s="107"/>
      <c r="HJ92" s="108"/>
      <c r="HK92" s="36"/>
      <c r="HL92" s="15"/>
      <c r="HM92" s="26"/>
      <c r="HN92" s="33"/>
      <c r="HO92" s="53">
        <f t="shared" si="35"/>
        <v>0</v>
      </c>
      <c r="HQ92" s="32"/>
      <c r="HR92" s="102"/>
      <c r="HS92" s="103"/>
      <c r="HT92" s="103"/>
      <c r="HU92" s="104"/>
      <c r="HV92" s="8"/>
      <c r="HW92" s="105"/>
      <c r="HX92" s="106"/>
      <c r="HY92" s="107"/>
      <c r="HZ92" s="108"/>
      <c r="IA92" s="36"/>
      <c r="IB92" s="15"/>
      <c r="IC92" s="26"/>
      <c r="ID92" s="33"/>
      <c r="IE92" s="53">
        <f t="shared" si="36"/>
        <v>0</v>
      </c>
      <c r="IG92" s="32"/>
      <c r="IH92" s="102"/>
      <c r="II92" s="103"/>
      <c r="IJ92" s="103"/>
      <c r="IK92" s="104"/>
      <c r="IL92" s="8"/>
      <c r="IM92" s="105"/>
      <c r="IN92" s="106"/>
      <c r="IO92" s="107"/>
      <c r="IP92" s="108"/>
      <c r="IQ92" s="36"/>
      <c r="IR92" s="15"/>
      <c r="IS92" s="26"/>
      <c r="IT92" s="33"/>
      <c r="IU92" s="53">
        <f t="shared" si="37"/>
        <v>0</v>
      </c>
      <c r="IW92" s="32"/>
      <c r="IX92" s="102"/>
      <c r="IY92" s="103"/>
      <c r="IZ92" s="103"/>
      <c r="JA92" s="104"/>
      <c r="JB92" s="8"/>
      <c r="JC92" s="105"/>
      <c r="JD92" s="106"/>
      <c r="JE92" s="107"/>
      <c r="JF92" s="108"/>
      <c r="JG92" s="36"/>
      <c r="JH92" s="15"/>
      <c r="JI92" s="26"/>
      <c r="JJ92" s="33"/>
      <c r="JK92" s="53">
        <f t="shared" si="38"/>
        <v>0</v>
      </c>
      <c r="JM92" s="32"/>
      <c r="JN92" s="102"/>
      <c r="JO92" s="103"/>
      <c r="JP92" s="103"/>
      <c r="JQ92" s="104"/>
      <c r="JR92" s="8"/>
      <c r="JS92" s="105"/>
      <c r="JT92" s="106"/>
      <c r="JU92" s="107"/>
      <c r="JV92" s="108"/>
      <c r="JW92" s="36"/>
      <c r="JX92" s="15"/>
      <c r="JY92" s="26"/>
      <c r="JZ92" s="33"/>
      <c r="KA92" s="53">
        <f t="shared" si="39"/>
        <v>0</v>
      </c>
      <c r="KC92" s="32"/>
      <c r="KD92" s="102"/>
      <c r="KE92" s="103"/>
      <c r="KF92" s="103"/>
      <c r="KG92" s="104"/>
      <c r="KH92" s="8"/>
      <c r="KI92" s="105"/>
      <c r="KJ92" s="106"/>
      <c r="KK92" s="107"/>
      <c r="KL92" s="108"/>
      <c r="KM92" s="36"/>
      <c r="KN92" s="15"/>
      <c r="KO92" s="26"/>
      <c r="KP92" s="33"/>
      <c r="KQ92" s="53">
        <f t="shared" si="40"/>
        <v>0</v>
      </c>
      <c r="KS92" s="32"/>
      <c r="KT92" s="102"/>
      <c r="KU92" s="103"/>
      <c r="KV92" s="103"/>
      <c r="KW92" s="104"/>
      <c r="KX92" s="8"/>
      <c r="KY92" s="105"/>
      <c r="KZ92" s="106"/>
      <c r="LA92" s="107"/>
      <c r="LB92" s="108"/>
      <c r="LC92" s="36"/>
      <c r="LD92" s="15"/>
      <c r="LE92" s="26"/>
      <c r="LF92" s="33"/>
      <c r="LG92" s="53">
        <f t="shared" si="41"/>
        <v>0</v>
      </c>
      <c r="LI92" s="32"/>
      <c r="LJ92" s="102"/>
      <c r="LK92" s="103"/>
      <c r="LL92" s="103"/>
      <c r="LM92" s="104"/>
      <c r="LN92" s="8"/>
      <c r="LO92" s="105"/>
      <c r="LP92" s="106"/>
      <c r="LQ92" s="107"/>
      <c r="LR92" s="108"/>
      <c r="LS92" s="36"/>
      <c r="LT92" s="15"/>
      <c r="LU92" s="26"/>
      <c r="LV92" s="33"/>
      <c r="LW92" s="53">
        <f t="shared" si="42"/>
        <v>0</v>
      </c>
      <c r="LY92" s="32"/>
      <c r="LZ92" s="102"/>
      <c r="MA92" s="103"/>
      <c r="MB92" s="103"/>
      <c r="MC92" s="104"/>
      <c r="MD92" s="8"/>
      <c r="ME92" s="105"/>
      <c r="MF92" s="106"/>
      <c r="MG92" s="107"/>
      <c r="MH92" s="108"/>
      <c r="MI92" s="36"/>
      <c r="MJ92" s="15"/>
      <c r="MK92" s="26"/>
      <c r="ML92" s="33"/>
      <c r="MM92" s="53">
        <f t="shared" si="43"/>
        <v>0</v>
      </c>
    </row>
    <row r="93" spans="1:351" ht="20.100000000000001" customHeight="1" x14ac:dyDescent="0.3">
      <c r="A93" s="32"/>
      <c r="B93" s="102"/>
      <c r="C93" s="103"/>
      <c r="D93" s="103"/>
      <c r="E93" s="104"/>
      <c r="F93" s="8"/>
      <c r="G93" s="105"/>
      <c r="H93" s="106"/>
      <c r="I93" s="109"/>
      <c r="J93" s="110"/>
      <c r="K93" s="37"/>
      <c r="L93" s="15"/>
      <c r="M93" s="26"/>
      <c r="N93" s="33"/>
      <c r="O93" s="53">
        <f t="shared" si="22"/>
        <v>0</v>
      </c>
      <c r="Q93" s="32"/>
      <c r="R93" s="102"/>
      <c r="S93" s="103"/>
      <c r="T93" s="103"/>
      <c r="U93" s="104"/>
      <c r="V93" s="8"/>
      <c r="W93" s="105"/>
      <c r="X93" s="106"/>
      <c r="Y93" s="109"/>
      <c r="Z93" s="110"/>
      <c r="AA93" s="37"/>
      <c r="AB93" s="15"/>
      <c r="AC93" s="26"/>
      <c r="AD93" s="33"/>
      <c r="AE93" s="53">
        <f t="shared" si="23"/>
        <v>0</v>
      </c>
      <c r="AG93" s="32"/>
      <c r="AH93" s="102"/>
      <c r="AI93" s="103"/>
      <c r="AJ93" s="103"/>
      <c r="AK93" s="104"/>
      <c r="AL93" s="8"/>
      <c r="AM93" s="105"/>
      <c r="AN93" s="106"/>
      <c r="AO93" s="109"/>
      <c r="AP93" s="110"/>
      <c r="AQ93" s="37"/>
      <c r="AR93" s="15"/>
      <c r="AS93" s="26"/>
      <c r="AT93" s="33"/>
      <c r="AU93" s="53">
        <f t="shared" si="24"/>
        <v>0</v>
      </c>
      <c r="AW93" s="32"/>
      <c r="AX93" s="102"/>
      <c r="AY93" s="103"/>
      <c r="AZ93" s="103"/>
      <c r="BA93" s="104"/>
      <c r="BB93" s="8"/>
      <c r="BC93" s="105"/>
      <c r="BD93" s="106"/>
      <c r="BE93" s="109"/>
      <c r="BF93" s="110"/>
      <c r="BG93" s="37"/>
      <c r="BH93" s="15"/>
      <c r="BI93" s="26"/>
      <c r="BJ93" s="33"/>
      <c r="BK93" s="53">
        <f t="shared" si="25"/>
        <v>0</v>
      </c>
      <c r="BM93" s="32"/>
      <c r="BN93" s="102"/>
      <c r="BO93" s="103"/>
      <c r="BP93" s="103"/>
      <c r="BQ93" s="104"/>
      <c r="BR93" s="8"/>
      <c r="BS93" s="105"/>
      <c r="BT93" s="106"/>
      <c r="BU93" s="109"/>
      <c r="BV93" s="110"/>
      <c r="BW93" s="37"/>
      <c r="BX93" s="15"/>
      <c r="BY93" s="26"/>
      <c r="BZ93" s="33"/>
      <c r="CA93" s="53">
        <f t="shared" si="26"/>
        <v>0</v>
      </c>
      <c r="CC93" s="32"/>
      <c r="CD93" s="102"/>
      <c r="CE93" s="103"/>
      <c r="CF93" s="103"/>
      <c r="CG93" s="104"/>
      <c r="CH93" s="8"/>
      <c r="CI93" s="105"/>
      <c r="CJ93" s="106"/>
      <c r="CK93" s="109"/>
      <c r="CL93" s="110"/>
      <c r="CM93" s="37"/>
      <c r="CN93" s="15"/>
      <c r="CO93" s="26"/>
      <c r="CP93" s="33"/>
      <c r="CQ93" s="53">
        <f t="shared" si="27"/>
        <v>0</v>
      </c>
      <c r="CS93" s="32"/>
      <c r="CT93" s="102"/>
      <c r="CU93" s="103"/>
      <c r="CV93" s="103"/>
      <c r="CW93" s="104"/>
      <c r="CX93" s="8"/>
      <c r="CY93" s="105"/>
      <c r="CZ93" s="106"/>
      <c r="DA93" s="109"/>
      <c r="DB93" s="110"/>
      <c r="DC93" s="37"/>
      <c r="DD93" s="15"/>
      <c r="DE93" s="26"/>
      <c r="DF93" s="33"/>
      <c r="DG93" s="53">
        <f t="shared" si="28"/>
        <v>0</v>
      </c>
      <c r="DI93" s="32"/>
      <c r="DJ93" s="102"/>
      <c r="DK93" s="103"/>
      <c r="DL93" s="103"/>
      <c r="DM93" s="104"/>
      <c r="DN93" s="8"/>
      <c r="DO93" s="105"/>
      <c r="DP93" s="106"/>
      <c r="DQ93" s="109"/>
      <c r="DR93" s="110"/>
      <c r="DS93" s="37"/>
      <c r="DT93" s="15"/>
      <c r="DU93" s="26"/>
      <c r="DV93" s="33"/>
      <c r="DW93" s="53">
        <f t="shared" si="29"/>
        <v>0</v>
      </c>
      <c r="DY93" s="32"/>
      <c r="DZ93" s="102"/>
      <c r="EA93" s="103"/>
      <c r="EB93" s="103"/>
      <c r="EC93" s="104"/>
      <c r="ED93" s="8"/>
      <c r="EE93" s="105"/>
      <c r="EF93" s="106"/>
      <c r="EG93" s="109"/>
      <c r="EH93" s="110"/>
      <c r="EI93" s="37"/>
      <c r="EJ93" s="15"/>
      <c r="EK93" s="26"/>
      <c r="EL93" s="33"/>
      <c r="EM93" s="53">
        <f t="shared" si="30"/>
        <v>0</v>
      </c>
      <c r="EO93" s="32"/>
      <c r="EP93" s="102"/>
      <c r="EQ93" s="103"/>
      <c r="ER93" s="103"/>
      <c r="ES93" s="104"/>
      <c r="ET93" s="8"/>
      <c r="EU93" s="105"/>
      <c r="EV93" s="106"/>
      <c r="EW93" s="109"/>
      <c r="EX93" s="110"/>
      <c r="EY93" s="37"/>
      <c r="EZ93" s="15"/>
      <c r="FA93" s="26"/>
      <c r="FB93" s="33"/>
      <c r="FC93" s="53">
        <f t="shared" si="31"/>
        <v>0</v>
      </c>
      <c r="FE93" s="32"/>
      <c r="FF93" s="102"/>
      <c r="FG93" s="103"/>
      <c r="FH93" s="103"/>
      <c r="FI93" s="104"/>
      <c r="FJ93" s="8"/>
      <c r="FK93" s="105"/>
      <c r="FL93" s="106"/>
      <c r="FM93" s="109"/>
      <c r="FN93" s="110"/>
      <c r="FO93" s="37"/>
      <c r="FP93" s="15"/>
      <c r="FQ93" s="26"/>
      <c r="FR93" s="33"/>
      <c r="FS93" s="53">
        <f t="shared" si="32"/>
        <v>0</v>
      </c>
      <c r="FU93" s="32"/>
      <c r="FV93" s="102"/>
      <c r="FW93" s="103"/>
      <c r="FX93" s="103"/>
      <c r="FY93" s="104"/>
      <c r="FZ93" s="8"/>
      <c r="GA93" s="105"/>
      <c r="GB93" s="106"/>
      <c r="GC93" s="109"/>
      <c r="GD93" s="110"/>
      <c r="GE93" s="37"/>
      <c r="GF93" s="15"/>
      <c r="GG93" s="26"/>
      <c r="GH93" s="33"/>
      <c r="GI93" s="53">
        <f t="shared" si="33"/>
        <v>0</v>
      </c>
      <c r="GK93" s="32"/>
      <c r="GL93" s="102"/>
      <c r="GM93" s="103"/>
      <c r="GN93" s="103"/>
      <c r="GO93" s="104"/>
      <c r="GP93" s="8"/>
      <c r="GQ93" s="105"/>
      <c r="GR93" s="106"/>
      <c r="GS93" s="109"/>
      <c r="GT93" s="110"/>
      <c r="GU93" s="37"/>
      <c r="GV93" s="15"/>
      <c r="GW93" s="26"/>
      <c r="GX93" s="33"/>
      <c r="GY93" s="53">
        <f t="shared" si="34"/>
        <v>0</v>
      </c>
      <c r="HA93" s="32"/>
      <c r="HB93" s="102"/>
      <c r="HC93" s="103"/>
      <c r="HD93" s="103"/>
      <c r="HE93" s="104"/>
      <c r="HF93" s="8"/>
      <c r="HG93" s="105"/>
      <c r="HH93" s="106"/>
      <c r="HI93" s="109"/>
      <c r="HJ93" s="110"/>
      <c r="HK93" s="37"/>
      <c r="HL93" s="15"/>
      <c r="HM93" s="26"/>
      <c r="HN93" s="33"/>
      <c r="HO93" s="53">
        <f t="shared" si="35"/>
        <v>0</v>
      </c>
      <c r="HQ93" s="32"/>
      <c r="HR93" s="102"/>
      <c r="HS93" s="103"/>
      <c r="HT93" s="103"/>
      <c r="HU93" s="104"/>
      <c r="HV93" s="8"/>
      <c r="HW93" s="105"/>
      <c r="HX93" s="106"/>
      <c r="HY93" s="109"/>
      <c r="HZ93" s="110"/>
      <c r="IA93" s="37"/>
      <c r="IB93" s="15"/>
      <c r="IC93" s="26"/>
      <c r="ID93" s="33"/>
      <c r="IE93" s="53">
        <f t="shared" si="36"/>
        <v>0</v>
      </c>
      <c r="IG93" s="32"/>
      <c r="IH93" s="102"/>
      <c r="II93" s="103"/>
      <c r="IJ93" s="103"/>
      <c r="IK93" s="104"/>
      <c r="IL93" s="8"/>
      <c r="IM93" s="105"/>
      <c r="IN93" s="106"/>
      <c r="IO93" s="109"/>
      <c r="IP93" s="110"/>
      <c r="IQ93" s="37"/>
      <c r="IR93" s="15"/>
      <c r="IS93" s="26"/>
      <c r="IT93" s="33"/>
      <c r="IU93" s="53">
        <f t="shared" si="37"/>
        <v>0</v>
      </c>
      <c r="IW93" s="32"/>
      <c r="IX93" s="102"/>
      <c r="IY93" s="103"/>
      <c r="IZ93" s="103"/>
      <c r="JA93" s="104"/>
      <c r="JB93" s="8"/>
      <c r="JC93" s="105"/>
      <c r="JD93" s="106"/>
      <c r="JE93" s="109"/>
      <c r="JF93" s="110"/>
      <c r="JG93" s="37"/>
      <c r="JH93" s="15"/>
      <c r="JI93" s="26"/>
      <c r="JJ93" s="33"/>
      <c r="JK93" s="53">
        <f t="shared" si="38"/>
        <v>0</v>
      </c>
      <c r="JM93" s="32"/>
      <c r="JN93" s="102"/>
      <c r="JO93" s="103"/>
      <c r="JP93" s="103"/>
      <c r="JQ93" s="104"/>
      <c r="JR93" s="8"/>
      <c r="JS93" s="105"/>
      <c r="JT93" s="106"/>
      <c r="JU93" s="109"/>
      <c r="JV93" s="110"/>
      <c r="JW93" s="37"/>
      <c r="JX93" s="15"/>
      <c r="JY93" s="26"/>
      <c r="JZ93" s="33"/>
      <c r="KA93" s="53">
        <f t="shared" si="39"/>
        <v>0</v>
      </c>
      <c r="KC93" s="32"/>
      <c r="KD93" s="102"/>
      <c r="KE93" s="103"/>
      <c r="KF93" s="103"/>
      <c r="KG93" s="104"/>
      <c r="KH93" s="8"/>
      <c r="KI93" s="105"/>
      <c r="KJ93" s="106"/>
      <c r="KK93" s="109"/>
      <c r="KL93" s="110"/>
      <c r="KM93" s="37"/>
      <c r="KN93" s="15"/>
      <c r="KO93" s="26"/>
      <c r="KP93" s="33"/>
      <c r="KQ93" s="53">
        <f t="shared" si="40"/>
        <v>0</v>
      </c>
      <c r="KS93" s="32"/>
      <c r="KT93" s="102"/>
      <c r="KU93" s="103"/>
      <c r="KV93" s="103"/>
      <c r="KW93" s="104"/>
      <c r="KX93" s="8"/>
      <c r="KY93" s="105"/>
      <c r="KZ93" s="106"/>
      <c r="LA93" s="109"/>
      <c r="LB93" s="110"/>
      <c r="LC93" s="37"/>
      <c r="LD93" s="15"/>
      <c r="LE93" s="26"/>
      <c r="LF93" s="33"/>
      <c r="LG93" s="53">
        <f t="shared" si="41"/>
        <v>0</v>
      </c>
      <c r="LI93" s="32"/>
      <c r="LJ93" s="102"/>
      <c r="LK93" s="103"/>
      <c r="LL93" s="103"/>
      <c r="LM93" s="104"/>
      <c r="LN93" s="8"/>
      <c r="LO93" s="105"/>
      <c r="LP93" s="106"/>
      <c r="LQ93" s="109"/>
      <c r="LR93" s="110"/>
      <c r="LS93" s="37"/>
      <c r="LT93" s="15"/>
      <c r="LU93" s="26"/>
      <c r="LV93" s="33"/>
      <c r="LW93" s="53">
        <f t="shared" si="42"/>
        <v>0</v>
      </c>
      <c r="LY93" s="32"/>
      <c r="LZ93" s="102"/>
      <c r="MA93" s="103"/>
      <c r="MB93" s="103"/>
      <c r="MC93" s="104"/>
      <c r="MD93" s="8"/>
      <c r="ME93" s="105"/>
      <c r="MF93" s="106"/>
      <c r="MG93" s="109"/>
      <c r="MH93" s="110"/>
      <c r="MI93" s="37"/>
      <c r="MJ93" s="15"/>
      <c r="MK93" s="26"/>
      <c r="ML93" s="33"/>
      <c r="MM93" s="53">
        <f t="shared" si="43"/>
        <v>0</v>
      </c>
    </row>
    <row r="94" spans="1:351" ht="24" customHeight="1" x14ac:dyDescent="0.3">
      <c r="A94" s="92" t="s">
        <v>68</v>
      </c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78"/>
      <c r="M94" s="26"/>
      <c r="O94" s="57">
        <f>SUM(O64:O93)/817000</f>
        <v>1.22671601484331E-3</v>
      </c>
      <c r="Q94" s="92" t="s">
        <v>68</v>
      </c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78"/>
      <c r="AC94" s="26"/>
      <c r="AE94" s="57">
        <f>(SUM(AE64:AE93)/817000)+O94</f>
        <v>1.4999331662489556E-2</v>
      </c>
      <c r="AG94" s="92" t="s">
        <v>68</v>
      </c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78"/>
      <c r="AS94" s="26"/>
      <c r="AU94" s="57">
        <f>(SUM(AU64:AU93)/817000)+AE94</f>
        <v>4.1317846942938739E-2</v>
      </c>
      <c r="AW94" s="92" t="s">
        <v>68</v>
      </c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78"/>
      <c r="BI94" s="26"/>
      <c r="BK94" s="57">
        <f>(SUM(BK64:BK93)/817000)+AU94</f>
        <v>6.7636362223387925E-2</v>
      </c>
      <c r="BM94" s="92" t="s">
        <v>68</v>
      </c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78"/>
      <c r="BY94" s="26"/>
      <c r="CA94" s="57">
        <f>(SUM(CA64:CA93)/817000)+BK94</f>
        <v>6.8863078238231235E-2</v>
      </c>
      <c r="CC94" s="92" t="s">
        <v>68</v>
      </c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78"/>
      <c r="CO94" s="26"/>
      <c r="CQ94" s="57">
        <f>(SUM(CQ64:CQ93)/817000)+CA94</f>
        <v>7.0089794253074544E-2</v>
      </c>
      <c r="CS94" s="92" t="s">
        <v>68</v>
      </c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78"/>
      <c r="DE94" s="26"/>
      <c r="DG94" s="57">
        <f>(SUM(DG64:DG93)/817000)+CQ94</f>
        <v>7.1316510267917854E-2</v>
      </c>
      <c r="DI94" s="92" t="s">
        <v>68</v>
      </c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78"/>
      <c r="DU94" s="26"/>
      <c r="DW94" s="57">
        <f>(SUM(DW64:DW93)/817000)+DG94</f>
        <v>7.2543226282761164E-2</v>
      </c>
      <c r="DY94" s="92" t="s">
        <v>68</v>
      </c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78"/>
      <c r="EK94" s="26"/>
      <c r="EM94" s="57">
        <f>(SUM(EM64:EM93)/817000)+DW94</f>
        <v>7.3769942297604474E-2</v>
      </c>
      <c r="EO94" s="92" t="s">
        <v>68</v>
      </c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78"/>
      <c r="FA94" s="26"/>
      <c r="FC94" s="57">
        <f>(SUM(FC64:FC93)/817000)+EM94</f>
        <v>7.4996658312447784E-2</v>
      </c>
      <c r="FE94" s="92" t="s">
        <v>68</v>
      </c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78"/>
      <c r="FQ94" s="26"/>
      <c r="FS94" s="57">
        <f>(SUM(FS64:FS93)/817000)+FC94</f>
        <v>7.6223374327291094E-2</v>
      </c>
      <c r="FU94" s="92" t="s">
        <v>68</v>
      </c>
      <c r="FV94" s="84"/>
      <c r="FW94" s="84"/>
      <c r="FX94" s="84"/>
      <c r="FY94" s="84"/>
      <c r="FZ94" s="84"/>
      <c r="GA94" s="84"/>
      <c r="GB94" s="84"/>
      <c r="GC94" s="84"/>
      <c r="GD94" s="84"/>
      <c r="GE94" s="84"/>
      <c r="GF94" s="78"/>
      <c r="GG94" s="26"/>
      <c r="GI94" s="57">
        <f>(SUM(GI64:GI93)/817000)+FS94</f>
        <v>7.7450090342134403E-2</v>
      </c>
      <c r="GK94" s="92" t="s">
        <v>68</v>
      </c>
      <c r="GL94" s="84"/>
      <c r="GM94" s="84"/>
      <c r="GN94" s="84"/>
      <c r="GO94" s="84"/>
      <c r="GP94" s="84"/>
      <c r="GQ94" s="84"/>
      <c r="GR94" s="84"/>
      <c r="GS94" s="84"/>
      <c r="GT94" s="84"/>
      <c r="GU94" s="84"/>
      <c r="GV94" s="78"/>
      <c r="GW94" s="26"/>
      <c r="GY94" s="57">
        <f>(SUM(GY64:GY93)/817000)+GI94</f>
        <v>7.8676806356977713E-2</v>
      </c>
      <c r="HA94" s="92" t="s">
        <v>68</v>
      </c>
      <c r="HB94" s="84"/>
      <c r="HC94" s="84"/>
      <c r="HD94" s="84"/>
      <c r="HE94" s="84"/>
      <c r="HF94" s="84"/>
      <c r="HG94" s="84"/>
      <c r="HH94" s="84"/>
      <c r="HI94" s="84"/>
      <c r="HJ94" s="84"/>
      <c r="HK94" s="84"/>
      <c r="HL94" s="78"/>
      <c r="HM94" s="26"/>
      <c r="HO94" s="57">
        <f>(SUM(HO64:HO93)/817000)+GY94</f>
        <v>7.9903522371821023E-2</v>
      </c>
      <c r="HQ94" s="92" t="s">
        <v>68</v>
      </c>
      <c r="HR94" s="84"/>
      <c r="HS94" s="84"/>
      <c r="HT94" s="84"/>
      <c r="HU94" s="84"/>
      <c r="HV94" s="84"/>
      <c r="HW94" s="84"/>
      <c r="HX94" s="84"/>
      <c r="HY94" s="84"/>
      <c r="HZ94" s="84"/>
      <c r="IA94" s="84"/>
      <c r="IB94" s="78"/>
      <c r="IC94" s="26"/>
      <c r="IE94" s="57">
        <f>(SUM(IE64:IE93)/817000)+HO94</f>
        <v>0.10738482834994462</v>
      </c>
      <c r="IG94" s="92" t="s">
        <v>68</v>
      </c>
      <c r="IH94" s="84"/>
      <c r="II94" s="84"/>
      <c r="IJ94" s="84"/>
      <c r="IK94" s="84"/>
      <c r="IL94" s="84"/>
      <c r="IM94" s="84"/>
      <c r="IN94" s="84"/>
      <c r="IO94" s="84"/>
      <c r="IP94" s="84"/>
      <c r="IQ94" s="84"/>
      <c r="IR94" s="78"/>
      <c r="IS94" s="26"/>
      <c r="IU94" s="57">
        <f>(SUM(IU64:IU93)/817000)+IE94</f>
        <v>0.13486613432806821</v>
      </c>
      <c r="IW94" s="92" t="s">
        <v>68</v>
      </c>
      <c r="IX94" s="84"/>
      <c r="IY94" s="84"/>
      <c r="IZ94" s="84"/>
      <c r="JA94" s="84"/>
      <c r="JB94" s="84"/>
      <c r="JC94" s="84"/>
      <c r="JD94" s="84"/>
      <c r="JE94" s="84"/>
      <c r="JF94" s="84"/>
      <c r="JG94" s="84"/>
      <c r="JH94" s="78"/>
      <c r="JI94" s="26"/>
      <c r="JK94" s="57">
        <f>(SUM(JK64:JK93)/817000)+IU94</f>
        <v>0.1623474403061918</v>
      </c>
      <c r="JM94" s="92" t="s">
        <v>68</v>
      </c>
      <c r="JN94" s="84"/>
      <c r="JO94" s="84"/>
      <c r="JP94" s="84"/>
      <c r="JQ94" s="84"/>
      <c r="JR94" s="84"/>
      <c r="JS94" s="84"/>
      <c r="JT94" s="84"/>
      <c r="JU94" s="84"/>
      <c r="JV94" s="84"/>
      <c r="JW94" s="84"/>
      <c r="JX94" s="78"/>
      <c r="JY94" s="26"/>
      <c r="KA94" s="57">
        <f>(SUM(KA64:KA93)/817000)+JK94</f>
        <v>0.1898287462843154</v>
      </c>
      <c r="KC94" s="92" t="s">
        <v>68</v>
      </c>
      <c r="KD94" s="84"/>
      <c r="KE94" s="84"/>
      <c r="KF94" s="84"/>
      <c r="KG94" s="84"/>
      <c r="KH94" s="84"/>
      <c r="KI94" s="84"/>
      <c r="KJ94" s="84"/>
      <c r="KK94" s="84"/>
      <c r="KL94" s="84"/>
      <c r="KM94" s="84"/>
      <c r="KN94" s="78"/>
      <c r="KO94" s="26"/>
      <c r="KQ94" s="57">
        <f>(SUM(KQ64:KQ93)/817000)+KA94</f>
        <v>0.21731005226243899</v>
      </c>
      <c r="KS94" s="92" t="s">
        <v>68</v>
      </c>
      <c r="KT94" s="84"/>
      <c r="KU94" s="84"/>
      <c r="KV94" s="84"/>
      <c r="KW94" s="84"/>
      <c r="KX94" s="84"/>
      <c r="KY94" s="84"/>
      <c r="KZ94" s="84"/>
      <c r="LA94" s="84"/>
      <c r="LB94" s="84"/>
      <c r="LC94" s="84"/>
      <c r="LD94" s="78"/>
      <c r="LE94" s="26"/>
      <c r="LG94" s="57">
        <f>(SUM(LG64:LG93)/817000)+KQ94</f>
        <v>0.24479135824056258</v>
      </c>
      <c r="LI94" s="92" t="s">
        <v>68</v>
      </c>
      <c r="LJ94" s="84"/>
      <c r="LK94" s="84"/>
      <c r="LL94" s="84"/>
      <c r="LM94" s="84"/>
      <c r="LN94" s="84"/>
      <c r="LO94" s="84"/>
      <c r="LP94" s="84"/>
      <c r="LQ94" s="84"/>
      <c r="LR94" s="84"/>
      <c r="LS94" s="84"/>
      <c r="LT94" s="78"/>
      <c r="LU94" s="26"/>
      <c r="LW94" s="57">
        <f>(SUM(LW64:LW93)/817000)+LG94</f>
        <v>0.27227266421868618</v>
      </c>
      <c r="LY94" s="92" t="s">
        <v>68</v>
      </c>
      <c r="LZ94" s="84"/>
      <c r="MA94" s="84"/>
      <c r="MB94" s="84"/>
      <c r="MC94" s="84"/>
      <c r="MD94" s="84"/>
      <c r="ME94" s="84"/>
      <c r="MF94" s="84"/>
      <c r="MG94" s="84"/>
      <c r="MH94" s="84"/>
      <c r="MI94" s="84"/>
      <c r="MJ94" s="78"/>
      <c r="MK94" s="26"/>
      <c r="MM94" s="57">
        <f>(SUM(MM64:MM93)/817000)+LW94</f>
        <v>0.29975397019680977</v>
      </c>
    </row>
    <row r="95" spans="1:351" ht="50.1" customHeight="1" thickBot="1" x14ac:dyDescent="0.35">
      <c r="A95" s="25" t="s">
        <v>47</v>
      </c>
      <c r="B95" s="111"/>
      <c r="C95" s="112"/>
      <c r="D95" s="112"/>
      <c r="E95" s="112"/>
      <c r="F95" s="112"/>
      <c r="G95" s="112"/>
      <c r="H95" s="112"/>
      <c r="I95" s="112"/>
      <c r="J95" s="112"/>
      <c r="K95" s="112"/>
      <c r="L95" s="113"/>
      <c r="M95" s="26"/>
      <c r="O95" s="53"/>
      <c r="Q95" s="25" t="s">
        <v>47</v>
      </c>
      <c r="R95" s="111"/>
      <c r="S95" s="112"/>
      <c r="T95" s="112"/>
      <c r="U95" s="112"/>
      <c r="V95" s="112"/>
      <c r="W95" s="112"/>
      <c r="X95" s="112"/>
      <c r="Y95" s="112"/>
      <c r="Z95" s="112"/>
      <c r="AA95" s="112"/>
      <c r="AB95" s="113"/>
      <c r="AC95" s="26"/>
      <c r="AE95" s="53"/>
      <c r="AG95" s="25" t="s">
        <v>47</v>
      </c>
      <c r="AH95" s="111"/>
      <c r="AI95" s="112"/>
      <c r="AJ95" s="112"/>
      <c r="AK95" s="112"/>
      <c r="AL95" s="112"/>
      <c r="AM95" s="112"/>
      <c r="AN95" s="112"/>
      <c r="AO95" s="112"/>
      <c r="AP95" s="112"/>
      <c r="AQ95" s="112"/>
      <c r="AR95" s="113"/>
      <c r="AS95" s="26"/>
      <c r="AU95" s="53"/>
      <c r="AW95" s="25" t="s">
        <v>47</v>
      </c>
      <c r="AX95" s="111"/>
      <c r="AY95" s="112"/>
      <c r="AZ95" s="112"/>
      <c r="BA95" s="112"/>
      <c r="BB95" s="112"/>
      <c r="BC95" s="112"/>
      <c r="BD95" s="112"/>
      <c r="BE95" s="112"/>
      <c r="BF95" s="112"/>
      <c r="BG95" s="112"/>
      <c r="BH95" s="113"/>
      <c r="BI95" s="26"/>
      <c r="BK95" s="53"/>
      <c r="BM95" s="25" t="s">
        <v>47</v>
      </c>
      <c r="BN95" s="111"/>
      <c r="BO95" s="112"/>
      <c r="BP95" s="112"/>
      <c r="BQ95" s="112"/>
      <c r="BR95" s="112"/>
      <c r="BS95" s="112"/>
      <c r="BT95" s="112"/>
      <c r="BU95" s="112"/>
      <c r="BV95" s="112"/>
      <c r="BW95" s="112"/>
      <c r="BX95" s="113"/>
      <c r="BY95" s="26"/>
      <c r="CA95" s="53"/>
      <c r="CC95" s="25" t="s">
        <v>47</v>
      </c>
      <c r="CD95" s="111"/>
      <c r="CE95" s="112"/>
      <c r="CF95" s="112"/>
      <c r="CG95" s="112"/>
      <c r="CH95" s="112"/>
      <c r="CI95" s="112"/>
      <c r="CJ95" s="112"/>
      <c r="CK95" s="112"/>
      <c r="CL95" s="112"/>
      <c r="CM95" s="112"/>
      <c r="CN95" s="113"/>
      <c r="CO95" s="26"/>
      <c r="CQ95" s="53"/>
      <c r="CS95" s="25" t="s">
        <v>47</v>
      </c>
      <c r="CT95" s="111"/>
      <c r="CU95" s="112"/>
      <c r="CV95" s="112"/>
      <c r="CW95" s="112"/>
      <c r="CX95" s="112"/>
      <c r="CY95" s="112"/>
      <c r="CZ95" s="112"/>
      <c r="DA95" s="112"/>
      <c r="DB95" s="112"/>
      <c r="DC95" s="112"/>
      <c r="DD95" s="113"/>
      <c r="DE95" s="26"/>
      <c r="DG95" s="53"/>
      <c r="DI95" s="25" t="s">
        <v>47</v>
      </c>
      <c r="DJ95" s="111"/>
      <c r="DK95" s="112"/>
      <c r="DL95" s="112"/>
      <c r="DM95" s="112"/>
      <c r="DN95" s="112"/>
      <c r="DO95" s="112"/>
      <c r="DP95" s="112"/>
      <c r="DQ95" s="112"/>
      <c r="DR95" s="112"/>
      <c r="DS95" s="112"/>
      <c r="DT95" s="113"/>
      <c r="DU95" s="26"/>
      <c r="DW95" s="53"/>
      <c r="DY95" s="25" t="s">
        <v>47</v>
      </c>
      <c r="DZ95" s="111"/>
      <c r="EA95" s="112"/>
      <c r="EB95" s="112"/>
      <c r="EC95" s="112"/>
      <c r="ED95" s="112"/>
      <c r="EE95" s="112"/>
      <c r="EF95" s="112"/>
      <c r="EG95" s="112"/>
      <c r="EH95" s="112"/>
      <c r="EI95" s="112"/>
      <c r="EJ95" s="113"/>
      <c r="EK95" s="26"/>
      <c r="EM95" s="53"/>
      <c r="EO95" s="25" t="s">
        <v>47</v>
      </c>
      <c r="EP95" s="111"/>
      <c r="EQ95" s="112"/>
      <c r="ER95" s="112"/>
      <c r="ES95" s="112"/>
      <c r="ET95" s="112"/>
      <c r="EU95" s="112"/>
      <c r="EV95" s="112"/>
      <c r="EW95" s="112"/>
      <c r="EX95" s="112"/>
      <c r="EY95" s="112"/>
      <c r="EZ95" s="113"/>
      <c r="FA95" s="26"/>
      <c r="FC95" s="53"/>
      <c r="FE95" s="25" t="s">
        <v>47</v>
      </c>
      <c r="FF95" s="111"/>
      <c r="FG95" s="112"/>
      <c r="FH95" s="112"/>
      <c r="FI95" s="112"/>
      <c r="FJ95" s="112"/>
      <c r="FK95" s="112"/>
      <c r="FL95" s="112"/>
      <c r="FM95" s="112"/>
      <c r="FN95" s="112"/>
      <c r="FO95" s="112"/>
      <c r="FP95" s="113"/>
      <c r="FQ95" s="26"/>
      <c r="FS95" s="53"/>
      <c r="FU95" s="25" t="s">
        <v>47</v>
      </c>
      <c r="FV95" s="111"/>
      <c r="FW95" s="112"/>
      <c r="FX95" s="112"/>
      <c r="FY95" s="112"/>
      <c r="FZ95" s="112"/>
      <c r="GA95" s="112"/>
      <c r="GB95" s="112"/>
      <c r="GC95" s="112"/>
      <c r="GD95" s="112"/>
      <c r="GE95" s="112"/>
      <c r="GF95" s="113"/>
      <c r="GG95" s="26"/>
      <c r="GI95" s="53"/>
      <c r="GK95" s="25" t="s">
        <v>47</v>
      </c>
      <c r="GL95" s="111"/>
      <c r="GM95" s="112"/>
      <c r="GN95" s="112"/>
      <c r="GO95" s="112"/>
      <c r="GP95" s="112"/>
      <c r="GQ95" s="112"/>
      <c r="GR95" s="112"/>
      <c r="GS95" s="112"/>
      <c r="GT95" s="112"/>
      <c r="GU95" s="112"/>
      <c r="GV95" s="113"/>
      <c r="GW95" s="26"/>
      <c r="GY95" s="53"/>
      <c r="HA95" s="25" t="s">
        <v>47</v>
      </c>
      <c r="HB95" s="111"/>
      <c r="HC95" s="112"/>
      <c r="HD95" s="112"/>
      <c r="HE95" s="112"/>
      <c r="HF95" s="112"/>
      <c r="HG95" s="112"/>
      <c r="HH95" s="112"/>
      <c r="HI95" s="112"/>
      <c r="HJ95" s="112"/>
      <c r="HK95" s="112"/>
      <c r="HL95" s="113"/>
      <c r="HM95" s="26"/>
      <c r="HO95" s="53"/>
      <c r="HQ95" s="25" t="s">
        <v>47</v>
      </c>
      <c r="HR95" s="111"/>
      <c r="HS95" s="112"/>
      <c r="HT95" s="112"/>
      <c r="HU95" s="112"/>
      <c r="HV95" s="112"/>
      <c r="HW95" s="112"/>
      <c r="HX95" s="112"/>
      <c r="HY95" s="112"/>
      <c r="HZ95" s="112"/>
      <c r="IA95" s="112"/>
      <c r="IB95" s="113"/>
      <c r="IC95" s="26"/>
      <c r="IE95" s="53"/>
      <c r="IG95" s="25" t="s">
        <v>47</v>
      </c>
      <c r="IH95" s="111"/>
      <c r="II95" s="112"/>
      <c r="IJ95" s="112"/>
      <c r="IK95" s="112"/>
      <c r="IL95" s="112"/>
      <c r="IM95" s="112"/>
      <c r="IN95" s="112"/>
      <c r="IO95" s="112"/>
      <c r="IP95" s="112"/>
      <c r="IQ95" s="112"/>
      <c r="IR95" s="113"/>
      <c r="IS95" s="26"/>
      <c r="IU95" s="53"/>
      <c r="IW95" s="25" t="s">
        <v>47</v>
      </c>
      <c r="IX95" s="111"/>
      <c r="IY95" s="112"/>
      <c r="IZ95" s="112"/>
      <c r="JA95" s="112"/>
      <c r="JB95" s="112"/>
      <c r="JC95" s="112"/>
      <c r="JD95" s="112"/>
      <c r="JE95" s="112"/>
      <c r="JF95" s="112"/>
      <c r="JG95" s="112"/>
      <c r="JH95" s="113"/>
      <c r="JI95" s="26"/>
      <c r="JK95" s="53"/>
      <c r="JM95" s="25" t="s">
        <v>47</v>
      </c>
      <c r="JN95" s="111"/>
      <c r="JO95" s="112"/>
      <c r="JP95" s="112"/>
      <c r="JQ95" s="112"/>
      <c r="JR95" s="112"/>
      <c r="JS95" s="112"/>
      <c r="JT95" s="112"/>
      <c r="JU95" s="112"/>
      <c r="JV95" s="112"/>
      <c r="JW95" s="112"/>
      <c r="JX95" s="113"/>
      <c r="JY95" s="26"/>
      <c r="KA95" s="53"/>
      <c r="KC95" s="25" t="s">
        <v>47</v>
      </c>
      <c r="KD95" s="111"/>
      <c r="KE95" s="112"/>
      <c r="KF95" s="112"/>
      <c r="KG95" s="112"/>
      <c r="KH95" s="112"/>
      <c r="KI95" s="112"/>
      <c r="KJ95" s="112"/>
      <c r="KK95" s="112"/>
      <c r="KL95" s="112"/>
      <c r="KM95" s="112"/>
      <c r="KN95" s="113"/>
      <c r="KO95" s="26"/>
      <c r="KQ95" s="53"/>
      <c r="KS95" s="25" t="s">
        <v>47</v>
      </c>
      <c r="KT95" s="111"/>
      <c r="KU95" s="112"/>
      <c r="KV95" s="112"/>
      <c r="KW95" s="112"/>
      <c r="KX95" s="112"/>
      <c r="KY95" s="112"/>
      <c r="KZ95" s="112"/>
      <c r="LA95" s="112"/>
      <c r="LB95" s="112"/>
      <c r="LC95" s="112"/>
      <c r="LD95" s="113"/>
      <c r="LE95" s="26"/>
      <c r="LG95" s="53"/>
      <c r="LI95" s="25" t="s">
        <v>47</v>
      </c>
      <c r="LJ95" s="111"/>
      <c r="LK95" s="112"/>
      <c r="LL95" s="112"/>
      <c r="LM95" s="112"/>
      <c r="LN95" s="112"/>
      <c r="LO95" s="112"/>
      <c r="LP95" s="112"/>
      <c r="LQ95" s="112"/>
      <c r="LR95" s="112"/>
      <c r="LS95" s="112"/>
      <c r="LT95" s="113"/>
      <c r="LU95" s="26"/>
      <c r="LW95" s="53"/>
      <c r="LY95" s="25" t="s">
        <v>47</v>
      </c>
      <c r="LZ95" s="111"/>
      <c r="MA95" s="112"/>
      <c r="MB95" s="112"/>
      <c r="MC95" s="112"/>
      <c r="MD95" s="112"/>
      <c r="ME95" s="112"/>
      <c r="MF95" s="112"/>
      <c r="MG95" s="112"/>
      <c r="MH95" s="112"/>
      <c r="MI95" s="112"/>
      <c r="MJ95" s="113"/>
      <c r="MK95" s="26"/>
      <c r="MM95" s="53"/>
    </row>
    <row r="96" spans="1:351" s="20" customFormat="1" ht="14.1" customHeight="1" x14ac:dyDescent="0.3">
      <c r="A96" s="114" t="s">
        <v>48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28"/>
      <c r="O96" s="52"/>
      <c r="Q96" s="114" t="s">
        <v>48</v>
      </c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28"/>
      <c r="AE96" s="52"/>
      <c r="AG96" s="114" t="s">
        <v>48</v>
      </c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28"/>
      <c r="AU96" s="52"/>
      <c r="AW96" s="114" t="s">
        <v>48</v>
      </c>
      <c r="AX96" s="114"/>
      <c r="AY96" s="114"/>
      <c r="AZ96" s="114"/>
      <c r="BA96" s="114"/>
      <c r="BB96" s="114"/>
      <c r="BC96" s="114"/>
      <c r="BD96" s="114"/>
      <c r="BE96" s="114"/>
      <c r="BF96" s="114"/>
      <c r="BG96" s="114"/>
      <c r="BH96" s="114"/>
      <c r="BI96" s="28"/>
      <c r="BK96" s="52"/>
      <c r="BM96" s="114" t="s">
        <v>48</v>
      </c>
      <c r="BN96" s="114"/>
      <c r="BO96" s="114"/>
      <c r="BP96" s="114"/>
      <c r="BQ96" s="114"/>
      <c r="BR96" s="114"/>
      <c r="BS96" s="114"/>
      <c r="BT96" s="114"/>
      <c r="BU96" s="114"/>
      <c r="BV96" s="114"/>
      <c r="BW96" s="114"/>
      <c r="BX96" s="114"/>
      <c r="BY96" s="28"/>
      <c r="CA96" s="52"/>
      <c r="CC96" s="114" t="s">
        <v>48</v>
      </c>
      <c r="CD96" s="114"/>
      <c r="CE96" s="114"/>
      <c r="CF96" s="114"/>
      <c r="CG96" s="114"/>
      <c r="CH96" s="114"/>
      <c r="CI96" s="114"/>
      <c r="CJ96" s="114"/>
      <c r="CK96" s="114"/>
      <c r="CL96" s="114"/>
      <c r="CM96" s="114"/>
      <c r="CN96" s="114"/>
      <c r="CO96" s="28"/>
      <c r="CQ96" s="52"/>
      <c r="CS96" s="114" t="s">
        <v>48</v>
      </c>
      <c r="CT96" s="114"/>
      <c r="CU96" s="114"/>
      <c r="CV96" s="114"/>
      <c r="CW96" s="114"/>
      <c r="CX96" s="114"/>
      <c r="CY96" s="114"/>
      <c r="CZ96" s="114"/>
      <c r="DA96" s="114"/>
      <c r="DB96" s="114"/>
      <c r="DC96" s="114"/>
      <c r="DD96" s="114"/>
      <c r="DE96" s="28"/>
      <c r="DG96" s="52"/>
      <c r="DI96" s="114" t="s">
        <v>48</v>
      </c>
      <c r="DJ96" s="114"/>
      <c r="DK96" s="114"/>
      <c r="DL96" s="114"/>
      <c r="DM96" s="114"/>
      <c r="DN96" s="114"/>
      <c r="DO96" s="114"/>
      <c r="DP96" s="114"/>
      <c r="DQ96" s="114"/>
      <c r="DR96" s="114"/>
      <c r="DS96" s="114"/>
      <c r="DT96" s="114"/>
      <c r="DU96" s="28"/>
      <c r="DW96" s="52"/>
      <c r="DY96" s="114" t="s">
        <v>48</v>
      </c>
      <c r="DZ96" s="114"/>
      <c r="EA96" s="114"/>
      <c r="EB96" s="114"/>
      <c r="EC96" s="114"/>
      <c r="ED96" s="114"/>
      <c r="EE96" s="114"/>
      <c r="EF96" s="114"/>
      <c r="EG96" s="114"/>
      <c r="EH96" s="114"/>
      <c r="EI96" s="114"/>
      <c r="EJ96" s="114"/>
      <c r="EK96" s="28"/>
      <c r="EM96" s="52"/>
      <c r="EO96" s="114" t="s">
        <v>48</v>
      </c>
      <c r="EP96" s="114"/>
      <c r="EQ96" s="114"/>
      <c r="ER96" s="114"/>
      <c r="ES96" s="114"/>
      <c r="ET96" s="114"/>
      <c r="EU96" s="114"/>
      <c r="EV96" s="114"/>
      <c r="EW96" s="114"/>
      <c r="EX96" s="114"/>
      <c r="EY96" s="114"/>
      <c r="EZ96" s="114"/>
      <c r="FA96" s="28"/>
      <c r="FC96" s="52"/>
      <c r="FE96" s="114" t="s">
        <v>48</v>
      </c>
      <c r="FF96" s="114"/>
      <c r="FG96" s="114"/>
      <c r="FH96" s="114"/>
      <c r="FI96" s="114"/>
      <c r="FJ96" s="114"/>
      <c r="FK96" s="114"/>
      <c r="FL96" s="114"/>
      <c r="FM96" s="114"/>
      <c r="FN96" s="114"/>
      <c r="FO96" s="114"/>
      <c r="FP96" s="114"/>
      <c r="FQ96" s="28"/>
      <c r="FS96" s="52"/>
      <c r="FU96" s="114" t="s">
        <v>48</v>
      </c>
      <c r="FV96" s="114"/>
      <c r="FW96" s="114"/>
      <c r="FX96" s="114"/>
      <c r="FY96" s="114"/>
      <c r="FZ96" s="114"/>
      <c r="GA96" s="114"/>
      <c r="GB96" s="114"/>
      <c r="GC96" s="114"/>
      <c r="GD96" s="114"/>
      <c r="GE96" s="114"/>
      <c r="GF96" s="114"/>
      <c r="GG96" s="28"/>
      <c r="GI96" s="52"/>
      <c r="GK96" s="114" t="s">
        <v>48</v>
      </c>
      <c r="GL96" s="114"/>
      <c r="GM96" s="114"/>
      <c r="GN96" s="114"/>
      <c r="GO96" s="114"/>
      <c r="GP96" s="114"/>
      <c r="GQ96" s="114"/>
      <c r="GR96" s="114"/>
      <c r="GS96" s="114"/>
      <c r="GT96" s="114"/>
      <c r="GU96" s="114"/>
      <c r="GV96" s="114"/>
      <c r="GW96" s="28"/>
      <c r="GY96" s="52"/>
      <c r="HA96" s="114" t="s">
        <v>48</v>
      </c>
      <c r="HB96" s="114"/>
      <c r="HC96" s="114"/>
      <c r="HD96" s="114"/>
      <c r="HE96" s="114"/>
      <c r="HF96" s="114"/>
      <c r="HG96" s="114"/>
      <c r="HH96" s="114"/>
      <c r="HI96" s="114"/>
      <c r="HJ96" s="114"/>
      <c r="HK96" s="114"/>
      <c r="HL96" s="114"/>
      <c r="HM96" s="28"/>
      <c r="HO96" s="52"/>
      <c r="HQ96" s="114" t="s">
        <v>48</v>
      </c>
      <c r="HR96" s="114"/>
      <c r="HS96" s="114"/>
      <c r="HT96" s="114"/>
      <c r="HU96" s="114"/>
      <c r="HV96" s="114"/>
      <c r="HW96" s="114"/>
      <c r="HX96" s="114"/>
      <c r="HY96" s="114"/>
      <c r="HZ96" s="114"/>
      <c r="IA96" s="114"/>
      <c r="IB96" s="114"/>
      <c r="IC96" s="28"/>
      <c r="IE96" s="52"/>
      <c r="IG96" s="114" t="s">
        <v>48</v>
      </c>
      <c r="IH96" s="114"/>
      <c r="II96" s="114"/>
      <c r="IJ96" s="114"/>
      <c r="IK96" s="114"/>
      <c r="IL96" s="114"/>
      <c r="IM96" s="114"/>
      <c r="IN96" s="114"/>
      <c r="IO96" s="114"/>
      <c r="IP96" s="114"/>
      <c r="IQ96" s="114"/>
      <c r="IR96" s="114"/>
      <c r="IS96" s="28"/>
      <c r="IU96" s="52"/>
      <c r="IW96" s="114" t="s">
        <v>48</v>
      </c>
      <c r="IX96" s="114"/>
      <c r="IY96" s="114"/>
      <c r="IZ96" s="114"/>
      <c r="JA96" s="114"/>
      <c r="JB96" s="114"/>
      <c r="JC96" s="114"/>
      <c r="JD96" s="114"/>
      <c r="JE96" s="114"/>
      <c r="JF96" s="114"/>
      <c r="JG96" s="114"/>
      <c r="JH96" s="114"/>
      <c r="JI96" s="28"/>
      <c r="JK96" s="52"/>
      <c r="JM96" s="114" t="s">
        <v>48</v>
      </c>
      <c r="JN96" s="114"/>
      <c r="JO96" s="114"/>
      <c r="JP96" s="114"/>
      <c r="JQ96" s="114"/>
      <c r="JR96" s="114"/>
      <c r="JS96" s="114"/>
      <c r="JT96" s="114"/>
      <c r="JU96" s="114"/>
      <c r="JV96" s="114"/>
      <c r="JW96" s="114"/>
      <c r="JX96" s="114"/>
      <c r="JY96" s="28"/>
      <c r="KA96" s="52"/>
      <c r="KC96" s="114" t="s">
        <v>48</v>
      </c>
      <c r="KD96" s="114"/>
      <c r="KE96" s="114"/>
      <c r="KF96" s="114"/>
      <c r="KG96" s="114"/>
      <c r="KH96" s="114"/>
      <c r="KI96" s="114"/>
      <c r="KJ96" s="114"/>
      <c r="KK96" s="114"/>
      <c r="KL96" s="114"/>
      <c r="KM96" s="114"/>
      <c r="KN96" s="114"/>
      <c r="KO96" s="28"/>
      <c r="KQ96" s="52"/>
      <c r="KS96" s="114" t="s">
        <v>48</v>
      </c>
      <c r="KT96" s="114"/>
      <c r="KU96" s="114"/>
      <c r="KV96" s="114"/>
      <c r="KW96" s="114"/>
      <c r="KX96" s="114"/>
      <c r="KY96" s="114"/>
      <c r="KZ96" s="114"/>
      <c r="LA96" s="114"/>
      <c r="LB96" s="114"/>
      <c r="LC96" s="114"/>
      <c r="LD96" s="114"/>
      <c r="LE96" s="28"/>
      <c r="LG96" s="52"/>
      <c r="LI96" s="114" t="s">
        <v>48</v>
      </c>
      <c r="LJ96" s="114"/>
      <c r="LK96" s="114"/>
      <c r="LL96" s="114"/>
      <c r="LM96" s="114"/>
      <c r="LN96" s="114"/>
      <c r="LO96" s="114"/>
      <c r="LP96" s="114"/>
      <c r="LQ96" s="114"/>
      <c r="LR96" s="114"/>
      <c r="LS96" s="114"/>
      <c r="LT96" s="114"/>
      <c r="LU96" s="28"/>
      <c r="LW96" s="52"/>
      <c r="LY96" s="114" t="s">
        <v>48</v>
      </c>
      <c r="LZ96" s="114"/>
      <c r="MA96" s="114"/>
      <c r="MB96" s="114"/>
      <c r="MC96" s="114"/>
      <c r="MD96" s="114"/>
      <c r="ME96" s="114"/>
      <c r="MF96" s="114"/>
      <c r="MG96" s="114"/>
      <c r="MH96" s="114"/>
      <c r="MI96" s="114"/>
      <c r="MJ96" s="114"/>
      <c r="MK96" s="28"/>
      <c r="MM96" s="52"/>
    </row>
    <row r="97" spans="1:351" s="20" customFormat="1" ht="14.1" customHeight="1" x14ac:dyDescent="0.3">
      <c r="A97" s="115" t="s">
        <v>49</v>
      </c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28"/>
      <c r="O97" s="52"/>
      <c r="Q97" s="115" t="s">
        <v>49</v>
      </c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28"/>
      <c r="AE97" s="52"/>
      <c r="AG97" s="115" t="s">
        <v>49</v>
      </c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28"/>
      <c r="AU97" s="52"/>
      <c r="AW97" s="115" t="s">
        <v>49</v>
      </c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115"/>
      <c r="BI97" s="28"/>
      <c r="BK97" s="52"/>
      <c r="BM97" s="115" t="s">
        <v>49</v>
      </c>
      <c r="BN97" s="115"/>
      <c r="BO97" s="115"/>
      <c r="BP97" s="115"/>
      <c r="BQ97" s="115"/>
      <c r="BR97" s="115"/>
      <c r="BS97" s="115"/>
      <c r="BT97" s="115"/>
      <c r="BU97" s="115"/>
      <c r="BV97" s="115"/>
      <c r="BW97" s="115"/>
      <c r="BX97" s="115"/>
      <c r="BY97" s="28"/>
      <c r="CA97" s="52"/>
      <c r="CC97" s="115" t="s">
        <v>49</v>
      </c>
      <c r="CD97" s="115"/>
      <c r="CE97" s="115"/>
      <c r="CF97" s="115"/>
      <c r="CG97" s="115"/>
      <c r="CH97" s="115"/>
      <c r="CI97" s="115"/>
      <c r="CJ97" s="115"/>
      <c r="CK97" s="115"/>
      <c r="CL97" s="115"/>
      <c r="CM97" s="115"/>
      <c r="CN97" s="115"/>
      <c r="CO97" s="28"/>
      <c r="CQ97" s="52"/>
      <c r="CS97" s="115" t="s">
        <v>49</v>
      </c>
      <c r="CT97" s="115"/>
      <c r="CU97" s="115"/>
      <c r="CV97" s="115"/>
      <c r="CW97" s="115"/>
      <c r="CX97" s="115"/>
      <c r="CY97" s="115"/>
      <c r="CZ97" s="115"/>
      <c r="DA97" s="115"/>
      <c r="DB97" s="115"/>
      <c r="DC97" s="115"/>
      <c r="DD97" s="115"/>
      <c r="DE97" s="28"/>
      <c r="DG97" s="52"/>
      <c r="DI97" s="115" t="s">
        <v>49</v>
      </c>
      <c r="DJ97" s="115"/>
      <c r="DK97" s="115"/>
      <c r="DL97" s="115"/>
      <c r="DM97" s="115"/>
      <c r="DN97" s="115"/>
      <c r="DO97" s="115"/>
      <c r="DP97" s="115"/>
      <c r="DQ97" s="115"/>
      <c r="DR97" s="115"/>
      <c r="DS97" s="115"/>
      <c r="DT97" s="115"/>
      <c r="DU97" s="28"/>
      <c r="DW97" s="52"/>
      <c r="DY97" s="115" t="s">
        <v>49</v>
      </c>
      <c r="DZ97" s="115"/>
      <c r="EA97" s="115"/>
      <c r="EB97" s="115"/>
      <c r="EC97" s="115"/>
      <c r="ED97" s="115"/>
      <c r="EE97" s="115"/>
      <c r="EF97" s="115"/>
      <c r="EG97" s="115"/>
      <c r="EH97" s="115"/>
      <c r="EI97" s="115"/>
      <c r="EJ97" s="115"/>
      <c r="EK97" s="28"/>
      <c r="EM97" s="52"/>
      <c r="EO97" s="115" t="s">
        <v>49</v>
      </c>
      <c r="EP97" s="115"/>
      <c r="EQ97" s="115"/>
      <c r="ER97" s="115"/>
      <c r="ES97" s="115"/>
      <c r="ET97" s="115"/>
      <c r="EU97" s="115"/>
      <c r="EV97" s="115"/>
      <c r="EW97" s="115"/>
      <c r="EX97" s="115"/>
      <c r="EY97" s="115"/>
      <c r="EZ97" s="115"/>
      <c r="FA97" s="28"/>
      <c r="FC97" s="52"/>
      <c r="FE97" s="115" t="s">
        <v>49</v>
      </c>
      <c r="FF97" s="115"/>
      <c r="FG97" s="115"/>
      <c r="FH97" s="115"/>
      <c r="FI97" s="115"/>
      <c r="FJ97" s="115"/>
      <c r="FK97" s="115"/>
      <c r="FL97" s="115"/>
      <c r="FM97" s="115"/>
      <c r="FN97" s="115"/>
      <c r="FO97" s="115"/>
      <c r="FP97" s="115"/>
      <c r="FQ97" s="28"/>
      <c r="FS97" s="52"/>
      <c r="FU97" s="115" t="s">
        <v>49</v>
      </c>
      <c r="FV97" s="115"/>
      <c r="FW97" s="115"/>
      <c r="FX97" s="115"/>
      <c r="FY97" s="115"/>
      <c r="FZ97" s="115"/>
      <c r="GA97" s="115"/>
      <c r="GB97" s="115"/>
      <c r="GC97" s="115"/>
      <c r="GD97" s="115"/>
      <c r="GE97" s="115"/>
      <c r="GF97" s="115"/>
      <c r="GG97" s="28"/>
      <c r="GI97" s="52"/>
      <c r="GK97" s="115" t="s">
        <v>49</v>
      </c>
      <c r="GL97" s="115"/>
      <c r="GM97" s="115"/>
      <c r="GN97" s="115"/>
      <c r="GO97" s="115"/>
      <c r="GP97" s="115"/>
      <c r="GQ97" s="115"/>
      <c r="GR97" s="115"/>
      <c r="GS97" s="115"/>
      <c r="GT97" s="115"/>
      <c r="GU97" s="115"/>
      <c r="GV97" s="115"/>
      <c r="GW97" s="28"/>
      <c r="GY97" s="52"/>
      <c r="HA97" s="115" t="s">
        <v>49</v>
      </c>
      <c r="HB97" s="115"/>
      <c r="HC97" s="115"/>
      <c r="HD97" s="115"/>
      <c r="HE97" s="115"/>
      <c r="HF97" s="115"/>
      <c r="HG97" s="115"/>
      <c r="HH97" s="115"/>
      <c r="HI97" s="115"/>
      <c r="HJ97" s="115"/>
      <c r="HK97" s="115"/>
      <c r="HL97" s="115"/>
      <c r="HM97" s="28"/>
      <c r="HO97" s="52"/>
      <c r="HQ97" s="115" t="s">
        <v>49</v>
      </c>
      <c r="HR97" s="115"/>
      <c r="HS97" s="115"/>
      <c r="HT97" s="115"/>
      <c r="HU97" s="115"/>
      <c r="HV97" s="115"/>
      <c r="HW97" s="115"/>
      <c r="HX97" s="115"/>
      <c r="HY97" s="115"/>
      <c r="HZ97" s="115"/>
      <c r="IA97" s="115"/>
      <c r="IB97" s="115"/>
      <c r="IC97" s="28"/>
      <c r="IE97" s="52"/>
      <c r="IG97" s="115" t="s">
        <v>49</v>
      </c>
      <c r="IH97" s="115"/>
      <c r="II97" s="115"/>
      <c r="IJ97" s="115"/>
      <c r="IK97" s="115"/>
      <c r="IL97" s="115"/>
      <c r="IM97" s="115"/>
      <c r="IN97" s="115"/>
      <c r="IO97" s="115"/>
      <c r="IP97" s="115"/>
      <c r="IQ97" s="115"/>
      <c r="IR97" s="115"/>
      <c r="IS97" s="28"/>
      <c r="IU97" s="52"/>
      <c r="IW97" s="115" t="s">
        <v>49</v>
      </c>
      <c r="IX97" s="115"/>
      <c r="IY97" s="115"/>
      <c r="IZ97" s="115"/>
      <c r="JA97" s="115"/>
      <c r="JB97" s="115"/>
      <c r="JC97" s="115"/>
      <c r="JD97" s="115"/>
      <c r="JE97" s="115"/>
      <c r="JF97" s="115"/>
      <c r="JG97" s="115"/>
      <c r="JH97" s="115"/>
      <c r="JI97" s="28"/>
      <c r="JK97" s="52"/>
      <c r="JM97" s="115" t="s">
        <v>49</v>
      </c>
      <c r="JN97" s="115"/>
      <c r="JO97" s="115"/>
      <c r="JP97" s="115"/>
      <c r="JQ97" s="115"/>
      <c r="JR97" s="115"/>
      <c r="JS97" s="115"/>
      <c r="JT97" s="115"/>
      <c r="JU97" s="115"/>
      <c r="JV97" s="115"/>
      <c r="JW97" s="115"/>
      <c r="JX97" s="115"/>
      <c r="JY97" s="28"/>
      <c r="KA97" s="52"/>
      <c r="KC97" s="115" t="s">
        <v>49</v>
      </c>
      <c r="KD97" s="115"/>
      <c r="KE97" s="115"/>
      <c r="KF97" s="115"/>
      <c r="KG97" s="115"/>
      <c r="KH97" s="115"/>
      <c r="KI97" s="115"/>
      <c r="KJ97" s="115"/>
      <c r="KK97" s="115"/>
      <c r="KL97" s="115"/>
      <c r="KM97" s="115"/>
      <c r="KN97" s="115"/>
      <c r="KO97" s="28"/>
      <c r="KQ97" s="52"/>
      <c r="KS97" s="115" t="s">
        <v>49</v>
      </c>
      <c r="KT97" s="115"/>
      <c r="KU97" s="115"/>
      <c r="KV97" s="115"/>
      <c r="KW97" s="115"/>
      <c r="KX97" s="115"/>
      <c r="KY97" s="115"/>
      <c r="KZ97" s="115"/>
      <c r="LA97" s="115"/>
      <c r="LB97" s="115"/>
      <c r="LC97" s="115"/>
      <c r="LD97" s="115"/>
      <c r="LE97" s="28"/>
      <c r="LG97" s="52"/>
      <c r="LI97" s="115" t="s">
        <v>49</v>
      </c>
      <c r="LJ97" s="115"/>
      <c r="LK97" s="115"/>
      <c r="LL97" s="115"/>
      <c r="LM97" s="115"/>
      <c r="LN97" s="115"/>
      <c r="LO97" s="115"/>
      <c r="LP97" s="115"/>
      <c r="LQ97" s="115"/>
      <c r="LR97" s="115"/>
      <c r="LS97" s="115"/>
      <c r="LT97" s="115"/>
      <c r="LU97" s="28"/>
      <c r="LW97" s="52"/>
      <c r="LY97" s="115" t="s">
        <v>49</v>
      </c>
      <c r="LZ97" s="115"/>
      <c r="MA97" s="115"/>
      <c r="MB97" s="115"/>
      <c r="MC97" s="115"/>
      <c r="MD97" s="115"/>
      <c r="ME97" s="115"/>
      <c r="MF97" s="115"/>
      <c r="MG97" s="115"/>
      <c r="MH97" s="115"/>
      <c r="MI97" s="115"/>
      <c r="MJ97" s="115"/>
      <c r="MK97" s="28"/>
      <c r="MM97" s="52"/>
    </row>
    <row r="98" spans="1:351" s="20" customFormat="1" ht="14.1" customHeight="1" x14ac:dyDescent="0.3">
      <c r="A98" s="115" t="s">
        <v>50</v>
      </c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28"/>
      <c r="O98" s="52"/>
      <c r="Q98" s="115" t="s">
        <v>50</v>
      </c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28"/>
      <c r="AE98" s="52"/>
      <c r="AG98" s="115" t="s">
        <v>50</v>
      </c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28"/>
      <c r="AU98" s="52"/>
      <c r="AW98" s="115" t="s">
        <v>50</v>
      </c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28"/>
      <c r="BK98" s="52"/>
      <c r="BM98" s="115" t="s">
        <v>50</v>
      </c>
      <c r="BN98" s="115"/>
      <c r="BO98" s="115"/>
      <c r="BP98" s="115"/>
      <c r="BQ98" s="115"/>
      <c r="BR98" s="115"/>
      <c r="BS98" s="115"/>
      <c r="BT98" s="115"/>
      <c r="BU98" s="115"/>
      <c r="BV98" s="115"/>
      <c r="BW98" s="115"/>
      <c r="BX98" s="115"/>
      <c r="BY98" s="28"/>
      <c r="CA98" s="52"/>
      <c r="CC98" s="115" t="s">
        <v>50</v>
      </c>
      <c r="CD98" s="115"/>
      <c r="CE98" s="115"/>
      <c r="CF98" s="115"/>
      <c r="CG98" s="115"/>
      <c r="CH98" s="115"/>
      <c r="CI98" s="115"/>
      <c r="CJ98" s="115"/>
      <c r="CK98" s="115"/>
      <c r="CL98" s="115"/>
      <c r="CM98" s="115"/>
      <c r="CN98" s="115"/>
      <c r="CO98" s="28"/>
      <c r="CQ98" s="52"/>
      <c r="CS98" s="115" t="s">
        <v>50</v>
      </c>
      <c r="CT98" s="115"/>
      <c r="CU98" s="115"/>
      <c r="CV98" s="115"/>
      <c r="CW98" s="115"/>
      <c r="CX98" s="115"/>
      <c r="CY98" s="115"/>
      <c r="CZ98" s="115"/>
      <c r="DA98" s="115"/>
      <c r="DB98" s="115"/>
      <c r="DC98" s="115"/>
      <c r="DD98" s="115"/>
      <c r="DE98" s="28"/>
      <c r="DG98" s="52"/>
      <c r="DI98" s="115" t="s">
        <v>50</v>
      </c>
      <c r="DJ98" s="115"/>
      <c r="DK98" s="115"/>
      <c r="DL98" s="115"/>
      <c r="DM98" s="115"/>
      <c r="DN98" s="115"/>
      <c r="DO98" s="115"/>
      <c r="DP98" s="115"/>
      <c r="DQ98" s="115"/>
      <c r="DR98" s="115"/>
      <c r="DS98" s="115"/>
      <c r="DT98" s="115"/>
      <c r="DU98" s="28"/>
      <c r="DW98" s="52"/>
      <c r="DY98" s="115" t="s">
        <v>50</v>
      </c>
      <c r="DZ98" s="115"/>
      <c r="EA98" s="115"/>
      <c r="EB98" s="115"/>
      <c r="EC98" s="115"/>
      <c r="ED98" s="115"/>
      <c r="EE98" s="115"/>
      <c r="EF98" s="115"/>
      <c r="EG98" s="115"/>
      <c r="EH98" s="115"/>
      <c r="EI98" s="115"/>
      <c r="EJ98" s="115"/>
      <c r="EK98" s="28"/>
      <c r="EM98" s="52"/>
      <c r="EO98" s="115" t="s">
        <v>50</v>
      </c>
      <c r="EP98" s="115"/>
      <c r="EQ98" s="115"/>
      <c r="ER98" s="115"/>
      <c r="ES98" s="115"/>
      <c r="ET98" s="115"/>
      <c r="EU98" s="115"/>
      <c r="EV98" s="115"/>
      <c r="EW98" s="115"/>
      <c r="EX98" s="115"/>
      <c r="EY98" s="115"/>
      <c r="EZ98" s="115"/>
      <c r="FA98" s="28"/>
      <c r="FC98" s="52"/>
      <c r="FE98" s="115" t="s">
        <v>50</v>
      </c>
      <c r="FF98" s="115"/>
      <c r="FG98" s="115"/>
      <c r="FH98" s="115"/>
      <c r="FI98" s="115"/>
      <c r="FJ98" s="115"/>
      <c r="FK98" s="115"/>
      <c r="FL98" s="115"/>
      <c r="FM98" s="115"/>
      <c r="FN98" s="115"/>
      <c r="FO98" s="115"/>
      <c r="FP98" s="115"/>
      <c r="FQ98" s="28"/>
      <c r="FS98" s="52"/>
      <c r="FU98" s="115" t="s">
        <v>50</v>
      </c>
      <c r="FV98" s="115"/>
      <c r="FW98" s="115"/>
      <c r="FX98" s="115"/>
      <c r="FY98" s="115"/>
      <c r="FZ98" s="115"/>
      <c r="GA98" s="115"/>
      <c r="GB98" s="115"/>
      <c r="GC98" s="115"/>
      <c r="GD98" s="115"/>
      <c r="GE98" s="115"/>
      <c r="GF98" s="115"/>
      <c r="GG98" s="28"/>
      <c r="GI98" s="52"/>
      <c r="GK98" s="115" t="s">
        <v>50</v>
      </c>
      <c r="GL98" s="115"/>
      <c r="GM98" s="115"/>
      <c r="GN98" s="115"/>
      <c r="GO98" s="115"/>
      <c r="GP98" s="115"/>
      <c r="GQ98" s="115"/>
      <c r="GR98" s="115"/>
      <c r="GS98" s="115"/>
      <c r="GT98" s="115"/>
      <c r="GU98" s="115"/>
      <c r="GV98" s="115"/>
      <c r="GW98" s="28"/>
      <c r="GY98" s="52"/>
      <c r="HA98" s="115" t="s">
        <v>50</v>
      </c>
      <c r="HB98" s="115"/>
      <c r="HC98" s="115"/>
      <c r="HD98" s="115"/>
      <c r="HE98" s="115"/>
      <c r="HF98" s="115"/>
      <c r="HG98" s="115"/>
      <c r="HH98" s="115"/>
      <c r="HI98" s="115"/>
      <c r="HJ98" s="115"/>
      <c r="HK98" s="115"/>
      <c r="HL98" s="115"/>
      <c r="HM98" s="28"/>
      <c r="HO98" s="52"/>
      <c r="HQ98" s="115" t="s">
        <v>50</v>
      </c>
      <c r="HR98" s="115"/>
      <c r="HS98" s="115"/>
      <c r="HT98" s="115"/>
      <c r="HU98" s="115"/>
      <c r="HV98" s="115"/>
      <c r="HW98" s="115"/>
      <c r="HX98" s="115"/>
      <c r="HY98" s="115"/>
      <c r="HZ98" s="115"/>
      <c r="IA98" s="115"/>
      <c r="IB98" s="115"/>
      <c r="IC98" s="28"/>
      <c r="IE98" s="52"/>
      <c r="IG98" s="115" t="s">
        <v>50</v>
      </c>
      <c r="IH98" s="115"/>
      <c r="II98" s="115"/>
      <c r="IJ98" s="115"/>
      <c r="IK98" s="115"/>
      <c r="IL98" s="115"/>
      <c r="IM98" s="115"/>
      <c r="IN98" s="115"/>
      <c r="IO98" s="115"/>
      <c r="IP98" s="115"/>
      <c r="IQ98" s="115"/>
      <c r="IR98" s="115"/>
      <c r="IS98" s="28"/>
      <c r="IU98" s="52"/>
      <c r="IW98" s="115" t="s">
        <v>50</v>
      </c>
      <c r="IX98" s="115"/>
      <c r="IY98" s="115"/>
      <c r="IZ98" s="115"/>
      <c r="JA98" s="115"/>
      <c r="JB98" s="115"/>
      <c r="JC98" s="115"/>
      <c r="JD98" s="115"/>
      <c r="JE98" s="115"/>
      <c r="JF98" s="115"/>
      <c r="JG98" s="115"/>
      <c r="JH98" s="115"/>
      <c r="JI98" s="28"/>
      <c r="JK98" s="52"/>
      <c r="JM98" s="115" t="s">
        <v>50</v>
      </c>
      <c r="JN98" s="115"/>
      <c r="JO98" s="115"/>
      <c r="JP98" s="115"/>
      <c r="JQ98" s="115"/>
      <c r="JR98" s="115"/>
      <c r="JS98" s="115"/>
      <c r="JT98" s="115"/>
      <c r="JU98" s="115"/>
      <c r="JV98" s="115"/>
      <c r="JW98" s="115"/>
      <c r="JX98" s="115"/>
      <c r="JY98" s="28"/>
      <c r="KA98" s="52"/>
      <c r="KC98" s="115" t="s">
        <v>50</v>
      </c>
      <c r="KD98" s="115"/>
      <c r="KE98" s="115"/>
      <c r="KF98" s="115"/>
      <c r="KG98" s="115"/>
      <c r="KH98" s="115"/>
      <c r="KI98" s="115"/>
      <c r="KJ98" s="115"/>
      <c r="KK98" s="115"/>
      <c r="KL98" s="115"/>
      <c r="KM98" s="115"/>
      <c r="KN98" s="115"/>
      <c r="KO98" s="28"/>
      <c r="KQ98" s="52"/>
      <c r="KS98" s="115" t="s">
        <v>50</v>
      </c>
      <c r="KT98" s="115"/>
      <c r="KU98" s="115"/>
      <c r="KV98" s="115"/>
      <c r="KW98" s="115"/>
      <c r="KX98" s="115"/>
      <c r="KY98" s="115"/>
      <c r="KZ98" s="115"/>
      <c r="LA98" s="115"/>
      <c r="LB98" s="115"/>
      <c r="LC98" s="115"/>
      <c r="LD98" s="115"/>
      <c r="LE98" s="28"/>
      <c r="LG98" s="52"/>
      <c r="LI98" s="115" t="s">
        <v>50</v>
      </c>
      <c r="LJ98" s="115"/>
      <c r="LK98" s="115"/>
      <c r="LL98" s="115"/>
      <c r="LM98" s="115"/>
      <c r="LN98" s="115"/>
      <c r="LO98" s="115"/>
      <c r="LP98" s="115"/>
      <c r="LQ98" s="115"/>
      <c r="LR98" s="115"/>
      <c r="LS98" s="115"/>
      <c r="LT98" s="115"/>
      <c r="LU98" s="28"/>
      <c r="LW98" s="52"/>
      <c r="LY98" s="115" t="s">
        <v>50</v>
      </c>
      <c r="LZ98" s="115"/>
      <c r="MA98" s="115"/>
      <c r="MB98" s="115"/>
      <c r="MC98" s="115"/>
      <c r="MD98" s="115"/>
      <c r="ME98" s="115"/>
      <c r="MF98" s="115"/>
      <c r="MG98" s="115"/>
      <c r="MH98" s="115"/>
      <c r="MI98" s="115"/>
      <c r="MJ98" s="115"/>
      <c r="MK98" s="28"/>
      <c r="MM98" s="52"/>
    </row>
    <row r="99" spans="1:351" s="20" customFormat="1" ht="14.1" customHeight="1" x14ac:dyDescent="0.3">
      <c r="A99" s="115" t="s">
        <v>51</v>
      </c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28"/>
      <c r="O99" s="52"/>
      <c r="Q99" s="115" t="s">
        <v>51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28"/>
      <c r="AE99" s="52"/>
      <c r="AG99" s="115" t="s">
        <v>51</v>
      </c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28"/>
      <c r="AU99" s="52"/>
      <c r="AW99" s="115" t="s">
        <v>51</v>
      </c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28"/>
      <c r="BK99" s="52"/>
      <c r="BM99" s="115" t="s">
        <v>51</v>
      </c>
      <c r="BN99" s="115"/>
      <c r="BO99" s="115"/>
      <c r="BP99" s="115"/>
      <c r="BQ99" s="115"/>
      <c r="BR99" s="115"/>
      <c r="BS99" s="115"/>
      <c r="BT99" s="115"/>
      <c r="BU99" s="115"/>
      <c r="BV99" s="115"/>
      <c r="BW99" s="115"/>
      <c r="BX99" s="115"/>
      <c r="BY99" s="28"/>
      <c r="CA99" s="52"/>
      <c r="CC99" s="115" t="s">
        <v>51</v>
      </c>
      <c r="CD99" s="115"/>
      <c r="CE99" s="115"/>
      <c r="CF99" s="115"/>
      <c r="CG99" s="115"/>
      <c r="CH99" s="115"/>
      <c r="CI99" s="115"/>
      <c r="CJ99" s="115"/>
      <c r="CK99" s="115"/>
      <c r="CL99" s="115"/>
      <c r="CM99" s="115"/>
      <c r="CN99" s="115"/>
      <c r="CO99" s="28"/>
      <c r="CQ99" s="52"/>
      <c r="CS99" s="115" t="s">
        <v>51</v>
      </c>
      <c r="CT99" s="115"/>
      <c r="CU99" s="115"/>
      <c r="CV99" s="115"/>
      <c r="CW99" s="115"/>
      <c r="CX99" s="115"/>
      <c r="CY99" s="115"/>
      <c r="CZ99" s="115"/>
      <c r="DA99" s="115"/>
      <c r="DB99" s="115"/>
      <c r="DC99" s="115"/>
      <c r="DD99" s="115"/>
      <c r="DE99" s="28"/>
      <c r="DG99" s="52"/>
      <c r="DI99" s="115" t="s">
        <v>51</v>
      </c>
      <c r="DJ99" s="115"/>
      <c r="DK99" s="115"/>
      <c r="DL99" s="115"/>
      <c r="DM99" s="115"/>
      <c r="DN99" s="115"/>
      <c r="DO99" s="115"/>
      <c r="DP99" s="115"/>
      <c r="DQ99" s="115"/>
      <c r="DR99" s="115"/>
      <c r="DS99" s="115"/>
      <c r="DT99" s="115"/>
      <c r="DU99" s="28"/>
      <c r="DW99" s="52"/>
      <c r="DY99" s="115" t="s">
        <v>51</v>
      </c>
      <c r="DZ99" s="115"/>
      <c r="EA99" s="115"/>
      <c r="EB99" s="115"/>
      <c r="EC99" s="115"/>
      <c r="ED99" s="115"/>
      <c r="EE99" s="115"/>
      <c r="EF99" s="115"/>
      <c r="EG99" s="115"/>
      <c r="EH99" s="115"/>
      <c r="EI99" s="115"/>
      <c r="EJ99" s="115"/>
      <c r="EK99" s="28"/>
      <c r="EM99" s="52"/>
      <c r="EO99" s="115" t="s">
        <v>51</v>
      </c>
      <c r="EP99" s="115"/>
      <c r="EQ99" s="115"/>
      <c r="ER99" s="115"/>
      <c r="ES99" s="115"/>
      <c r="ET99" s="115"/>
      <c r="EU99" s="115"/>
      <c r="EV99" s="115"/>
      <c r="EW99" s="115"/>
      <c r="EX99" s="115"/>
      <c r="EY99" s="115"/>
      <c r="EZ99" s="115"/>
      <c r="FA99" s="28"/>
      <c r="FC99" s="52"/>
      <c r="FE99" s="115" t="s">
        <v>51</v>
      </c>
      <c r="FF99" s="115"/>
      <c r="FG99" s="115"/>
      <c r="FH99" s="115"/>
      <c r="FI99" s="115"/>
      <c r="FJ99" s="115"/>
      <c r="FK99" s="115"/>
      <c r="FL99" s="115"/>
      <c r="FM99" s="115"/>
      <c r="FN99" s="115"/>
      <c r="FO99" s="115"/>
      <c r="FP99" s="115"/>
      <c r="FQ99" s="28"/>
      <c r="FS99" s="52"/>
      <c r="FU99" s="115" t="s">
        <v>51</v>
      </c>
      <c r="FV99" s="115"/>
      <c r="FW99" s="115"/>
      <c r="FX99" s="115"/>
      <c r="FY99" s="115"/>
      <c r="FZ99" s="115"/>
      <c r="GA99" s="115"/>
      <c r="GB99" s="115"/>
      <c r="GC99" s="115"/>
      <c r="GD99" s="115"/>
      <c r="GE99" s="115"/>
      <c r="GF99" s="115"/>
      <c r="GG99" s="28"/>
      <c r="GI99" s="52"/>
      <c r="GK99" s="115" t="s">
        <v>51</v>
      </c>
      <c r="GL99" s="115"/>
      <c r="GM99" s="115"/>
      <c r="GN99" s="115"/>
      <c r="GO99" s="115"/>
      <c r="GP99" s="115"/>
      <c r="GQ99" s="115"/>
      <c r="GR99" s="115"/>
      <c r="GS99" s="115"/>
      <c r="GT99" s="115"/>
      <c r="GU99" s="115"/>
      <c r="GV99" s="115"/>
      <c r="GW99" s="28"/>
      <c r="GY99" s="52"/>
      <c r="HA99" s="115" t="s">
        <v>51</v>
      </c>
      <c r="HB99" s="115"/>
      <c r="HC99" s="115"/>
      <c r="HD99" s="115"/>
      <c r="HE99" s="115"/>
      <c r="HF99" s="115"/>
      <c r="HG99" s="115"/>
      <c r="HH99" s="115"/>
      <c r="HI99" s="115"/>
      <c r="HJ99" s="115"/>
      <c r="HK99" s="115"/>
      <c r="HL99" s="115"/>
      <c r="HM99" s="28"/>
      <c r="HO99" s="52"/>
      <c r="HQ99" s="115" t="s">
        <v>51</v>
      </c>
      <c r="HR99" s="115"/>
      <c r="HS99" s="115"/>
      <c r="HT99" s="115"/>
      <c r="HU99" s="115"/>
      <c r="HV99" s="115"/>
      <c r="HW99" s="115"/>
      <c r="HX99" s="115"/>
      <c r="HY99" s="115"/>
      <c r="HZ99" s="115"/>
      <c r="IA99" s="115"/>
      <c r="IB99" s="115"/>
      <c r="IC99" s="28"/>
      <c r="IE99" s="52"/>
      <c r="IG99" s="115" t="s">
        <v>51</v>
      </c>
      <c r="IH99" s="115"/>
      <c r="II99" s="115"/>
      <c r="IJ99" s="115"/>
      <c r="IK99" s="115"/>
      <c r="IL99" s="115"/>
      <c r="IM99" s="115"/>
      <c r="IN99" s="115"/>
      <c r="IO99" s="115"/>
      <c r="IP99" s="115"/>
      <c r="IQ99" s="115"/>
      <c r="IR99" s="115"/>
      <c r="IS99" s="28"/>
      <c r="IU99" s="52"/>
      <c r="IW99" s="115" t="s">
        <v>51</v>
      </c>
      <c r="IX99" s="115"/>
      <c r="IY99" s="115"/>
      <c r="IZ99" s="115"/>
      <c r="JA99" s="115"/>
      <c r="JB99" s="115"/>
      <c r="JC99" s="115"/>
      <c r="JD99" s="115"/>
      <c r="JE99" s="115"/>
      <c r="JF99" s="115"/>
      <c r="JG99" s="115"/>
      <c r="JH99" s="115"/>
      <c r="JI99" s="28"/>
      <c r="JK99" s="52"/>
      <c r="JM99" s="115" t="s">
        <v>51</v>
      </c>
      <c r="JN99" s="115"/>
      <c r="JO99" s="115"/>
      <c r="JP99" s="115"/>
      <c r="JQ99" s="115"/>
      <c r="JR99" s="115"/>
      <c r="JS99" s="115"/>
      <c r="JT99" s="115"/>
      <c r="JU99" s="115"/>
      <c r="JV99" s="115"/>
      <c r="JW99" s="115"/>
      <c r="JX99" s="115"/>
      <c r="JY99" s="28"/>
      <c r="KA99" s="52"/>
      <c r="KC99" s="115" t="s">
        <v>51</v>
      </c>
      <c r="KD99" s="115"/>
      <c r="KE99" s="115"/>
      <c r="KF99" s="115"/>
      <c r="KG99" s="115"/>
      <c r="KH99" s="115"/>
      <c r="KI99" s="115"/>
      <c r="KJ99" s="115"/>
      <c r="KK99" s="115"/>
      <c r="KL99" s="115"/>
      <c r="KM99" s="115"/>
      <c r="KN99" s="115"/>
      <c r="KO99" s="28"/>
      <c r="KQ99" s="52"/>
      <c r="KS99" s="115" t="s">
        <v>51</v>
      </c>
      <c r="KT99" s="115"/>
      <c r="KU99" s="115"/>
      <c r="KV99" s="115"/>
      <c r="KW99" s="115"/>
      <c r="KX99" s="115"/>
      <c r="KY99" s="115"/>
      <c r="KZ99" s="115"/>
      <c r="LA99" s="115"/>
      <c r="LB99" s="115"/>
      <c r="LC99" s="115"/>
      <c r="LD99" s="115"/>
      <c r="LE99" s="28"/>
      <c r="LG99" s="52"/>
      <c r="LI99" s="115" t="s">
        <v>51</v>
      </c>
      <c r="LJ99" s="115"/>
      <c r="LK99" s="115"/>
      <c r="LL99" s="115"/>
      <c r="LM99" s="115"/>
      <c r="LN99" s="115"/>
      <c r="LO99" s="115"/>
      <c r="LP99" s="115"/>
      <c r="LQ99" s="115"/>
      <c r="LR99" s="115"/>
      <c r="LS99" s="115"/>
      <c r="LT99" s="115"/>
      <c r="LU99" s="28"/>
      <c r="LW99" s="52"/>
      <c r="LY99" s="115" t="s">
        <v>51</v>
      </c>
      <c r="LZ99" s="115"/>
      <c r="MA99" s="115"/>
      <c r="MB99" s="115"/>
      <c r="MC99" s="115"/>
      <c r="MD99" s="115"/>
      <c r="ME99" s="115"/>
      <c r="MF99" s="115"/>
      <c r="MG99" s="115"/>
      <c r="MH99" s="115"/>
      <c r="MI99" s="115"/>
      <c r="MJ99" s="115"/>
      <c r="MK99" s="28"/>
      <c r="MM99" s="52"/>
    </row>
    <row r="100" spans="1:351" s="20" customFormat="1" ht="14.1" customHeight="1" x14ac:dyDescent="0.3">
      <c r="A100" s="115" t="s">
        <v>52</v>
      </c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28"/>
      <c r="O100" s="52"/>
      <c r="Q100" s="115" t="s">
        <v>52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28"/>
      <c r="AE100" s="52"/>
      <c r="AG100" s="115" t="s">
        <v>52</v>
      </c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28"/>
      <c r="AU100" s="52"/>
      <c r="AW100" s="115" t="s">
        <v>52</v>
      </c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28"/>
      <c r="BK100" s="52"/>
      <c r="BM100" s="115" t="s">
        <v>52</v>
      </c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28"/>
      <c r="CA100" s="52"/>
      <c r="CC100" s="115" t="s">
        <v>52</v>
      </c>
      <c r="CD100" s="115"/>
      <c r="CE100" s="115"/>
      <c r="CF100" s="115"/>
      <c r="CG100" s="115"/>
      <c r="CH100" s="115"/>
      <c r="CI100" s="115"/>
      <c r="CJ100" s="115"/>
      <c r="CK100" s="115"/>
      <c r="CL100" s="115"/>
      <c r="CM100" s="115"/>
      <c r="CN100" s="115"/>
      <c r="CO100" s="28"/>
      <c r="CQ100" s="52"/>
      <c r="CS100" s="115" t="s">
        <v>52</v>
      </c>
      <c r="CT100" s="115"/>
      <c r="CU100" s="115"/>
      <c r="CV100" s="115"/>
      <c r="CW100" s="115"/>
      <c r="CX100" s="115"/>
      <c r="CY100" s="115"/>
      <c r="CZ100" s="115"/>
      <c r="DA100" s="115"/>
      <c r="DB100" s="115"/>
      <c r="DC100" s="115"/>
      <c r="DD100" s="115"/>
      <c r="DE100" s="28"/>
      <c r="DG100" s="52"/>
      <c r="DI100" s="115" t="s">
        <v>52</v>
      </c>
      <c r="DJ100" s="115"/>
      <c r="DK100" s="115"/>
      <c r="DL100" s="115"/>
      <c r="DM100" s="115"/>
      <c r="DN100" s="115"/>
      <c r="DO100" s="115"/>
      <c r="DP100" s="115"/>
      <c r="DQ100" s="115"/>
      <c r="DR100" s="115"/>
      <c r="DS100" s="115"/>
      <c r="DT100" s="115"/>
      <c r="DU100" s="28"/>
      <c r="DW100" s="52"/>
      <c r="DY100" s="115" t="s">
        <v>52</v>
      </c>
      <c r="DZ100" s="115"/>
      <c r="EA100" s="115"/>
      <c r="EB100" s="115"/>
      <c r="EC100" s="115"/>
      <c r="ED100" s="115"/>
      <c r="EE100" s="115"/>
      <c r="EF100" s="115"/>
      <c r="EG100" s="115"/>
      <c r="EH100" s="115"/>
      <c r="EI100" s="115"/>
      <c r="EJ100" s="115"/>
      <c r="EK100" s="28"/>
      <c r="EM100" s="52"/>
      <c r="EO100" s="115" t="s">
        <v>52</v>
      </c>
      <c r="EP100" s="115"/>
      <c r="EQ100" s="115"/>
      <c r="ER100" s="115"/>
      <c r="ES100" s="115"/>
      <c r="ET100" s="115"/>
      <c r="EU100" s="115"/>
      <c r="EV100" s="115"/>
      <c r="EW100" s="115"/>
      <c r="EX100" s="115"/>
      <c r="EY100" s="115"/>
      <c r="EZ100" s="115"/>
      <c r="FA100" s="28"/>
      <c r="FC100" s="52"/>
      <c r="FE100" s="115" t="s">
        <v>52</v>
      </c>
      <c r="FF100" s="115"/>
      <c r="FG100" s="115"/>
      <c r="FH100" s="115"/>
      <c r="FI100" s="115"/>
      <c r="FJ100" s="115"/>
      <c r="FK100" s="115"/>
      <c r="FL100" s="115"/>
      <c r="FM100" s="115"/>
      <c r="FN100" s="115"/>
      <c r="FO100" s="115"/>
      <c r="FP100" s="115"/>
      <c r="FQ100" s="28"/>
      <c r="FS100" s="52"/>
      <c r="FU100" s="115" t="s">
        <v>52</v>
      </c>
      <c r="FV100" s="115"/>
      <c r="FW100" s="115"/>
      <c r="FX100" s="115"/>
      <c r="FY100" s="115"/>
      <c r="FZ100" s="115"/>
      <c r="GA100" s="115"/>
      <c r="GB100" s="115"/>
      <c r="GC100" s="115"/>
      <c r="GD100" s="115"/>
      <c r="GE100" s="115"/>
      <c r="GF100" s="115"/>
      <c r="GG100" s="28"/>
      <c r="GI100" s="52"/>
      <c r="GK100" s="115" t="s">
        <v>52</v>
      </c>
      <c r="GL100" s="115"/>
      <c r="GM100" s="115"/>
      <c r="GN100" s="115"/>
      <c r="GO100" s="115"/>
      <c r="GP100" s="115"/>
      <c r="GQ100" s="115"/>
      <c r="GR100" s="115"/>
      <c r="GS100" s="115"/>
      <c r="GT100" s="115"/>
      <c r="GU100" s="115"/>
      <c r="GV100" s="115"/>
      <c r="GW100" s="28"/>
      <c r="GY100" s="52"/>
      <c r="HA100" s="115" t="s">
        <v>52</v>
      </c>
      <c r="HB100" s="115"/>
      <c r="HC100" s="115"/>
      <c r="HD100" s="115"/>
      <c r="HE100" s="115"/>
      <c r="HF100" s="115"/>
      <c r="HG100" s="115"/>
      <c r="HH100" s="115"/>
      <c r="HI100" s="115"/>
      <c r="HJ100" s="115"/>
      <c r="HK100" s="115"/>
      <c r="HL100" s="115"/>
      <c r="HM100" s="28"/>
      <c r="HO100" s="52"/>
      <c r="HQ100" s="115" t="s">
        <v>52</v>
      </c>
      <c r="HR100" s="115"/>
      <c r="HS100" s="115"/>
      <c r="HT100" s="115"/>
      <c r="HU100" s="115"/>
      <c r="HV100" s="115"/>
      <c r="HW100" s="115"/>
      <c r="HX100" s="115"/>
      <c r="HY100" s="115"/>
      <c r="HZ100" s="115"/>
      <c r="IA100" s="115"/>
      <c r="IB100" s="115"/>
      <c r="IC100" s="28"/>
      <c r="IE100" s="52"/>
      <c r="IG100" s="115" t="s">
        <v>52</v>
      </c>
      <c r="IH100" s="115"/>
      <c r="II100" s="115"/>
      <c r="IJ100" s="115"/>
      <c r="IK100" s="115"/>
      <c r="IL100" s="115"/>
      <c r="IM100" s="115"/>
      <c r="IN100" s="115"/>
      <c r="IO100" s="115"/>
      <c r="IP100" s="115"/>
      <c r="IQ100" s="115"/>
      <c r="IR100" s="115"/>
      <c r="IS100" s="28"/>
      <c r="IU100" s="52"/>
      <c r="IW100" s="115" t="s">
        <v>52</v>
      </c>
      <c r="IX100" s="115"/>
      <c r="IY100" s="115"/>
      <c r="IZ100" s="115"/>
      <c r="JA100" s="115"/>
      <c r="JB100" s="115"/>
      <c r="JC100" s="115"/>
      <c r="JD100" s="115"/>
      <c r="JE100" s="115"/>
      <c r="JF100" s="115"/>
      <c r="JG100" s="115"/>
      <c r="JH100" s="115"/>
      <c r="JI100" s="28"/>
      <c r="JK100" s="52"/>
      <c r="JM100" s="115" t="s">
        <v>52</v>
      </c>
      <c r="JN100" s="115"/>
      <c r="JO100" s="115"/>
      <c r="JP100" s="115"/>
      <c r="JQ100" s="115"/>
      <c r="JR100" s="115"/>
      <c r="JS100" s="115"/>
      <c r="JT100" s="115"/>
      <c r="JU100" s="115"/>
      <c r="JV100" s="115"/>
      <c r="JW100" s="115"/>
      <c r="JX100" s="115"/>
      <c r="JY100" s="28"/>
      <c r="KA100" s="52"/>
      <c r="KC100" s="115" t="s">
        <v>52</v>
      </c>
      <c r="KD100" s="115"/>
      <c r="KE100" s="115"/>
      <c r="KF100" s="115"/>
      <c r="KG100" s="115"/>
      <c r="KH100" s="115"/>
      <c r="KI100" s="115"/>
      <c r="KJ100" s="115"/>
      <c r="KK100" s="115"/>
      <c r="KL100" s="115"/>
      <c r="KM100" s="115"/>
      <c r="KN100" s="115"/>
      <c r="KO100" s="28"/>
      <c r="KQ100" s="52"/>
      <c r="KS100" s="115" t="s">
        <v>52</v>
      </c>
      <c r="KT100" s="115"/>
      <c r="KU100" s="115"/>
      <c r="KV100" s="115"/>
      <c r="KW100" s="115"/>
      <c r="KX100" s="115"/>
      <c r="KY100" s="115"/>
      <c r="KZ100" s="115"/>
      <c r="LA100" s="115"/>
      <c r="LB100" s="115"/>
      <c r="LC100" s="115"/>
      <c r="LD100" s="115"/>
      <c r="LE100" s="28"/>
      <c r="LG100" s="52"/>
      <c r="LI100" s="115" t="s">
        <v>52</v>
      </c>
      <c r="LJ100" s="115"/>
      <c r="LK100" s="115"/>
      <c r="LL100" s="115"/>
      <c r="LM100" s="115"/>
      <c r="LN100" s="115"/>
      <c r="LO100" s="115"/>
      <c r="LP100" s="115"/>
      <c r="LQ100" s="115"/>
      <c r="LR100" s="115"/>
      <c r="LS100" s="115"/>
      <c r="LT100" s="115"/>
      <c r="LU100" s="28"/>
      <c r="LW100" s="52"/>
      <c r="LY100" s="115" t="s">
        <v>52</v>
      </c>
      <c r="LZ100" s="115"/>
      <c r="MA100" s="115"/>
      <c r="MB100" s="115"/>
      <c r="MC100" s="115"/>
      <c r="MD100" s="115"/>
      <c r="ME100" s="115"/>
      <c r="MF100" s="115"/>
      <c r="MG100" s="115"/>
      <c r="MH100" s="115"/>
      <c r="MI100" s="115"/>
      <c r="MJ100" s="115"/>
      <c r="MK100" s="28"/>
      <c r="MM100" s="52"/>
    </row>
  </sheetData>
  <mergeCells count="4818">
    <mergeCell ref="HQ97:IB97"/>
    <mergeCell ref="HQ98:IB98"/>
    <mergeCell ref="HQ99:IB99"/>
    <mergeCell ref="HQ100:IB100"/>
    <mergeCell ref="HR93:HU93"/>
    <mergeCell ref="HW93:HX93"/>
    <mergeCell ref="HY93:HZ93"/>
    <mergeCell ref="HQ94:IB94"/>
    <mergeCell ref="HR95:IB95"/>
    <mergeCell ref="HQ96:IB96"/>
    <mergeCell ref="HR91:HU91"/>
    <mergeCell ref="HW91:HX91"/>
    <mergeCell ref="HY91:HZ91"/>
    <mergeCell ref="HR92:HU92"/>
    <mergeCell ref="HW92:HX92"/>
    <mergeCell ref="HY92:HZ92"/>
    <mergeCell ref="HR89:HU89"/>
    <mergeCell ref="HW89:HX89"/>
    <mergeCell ref="HY89:HZ89"/>
    <mergeCell ref="HR90:HU90"/>
    <mergeCell ref="HW90:HX90"/>
    <mergeCell ref="HY90:HZ90"/>
    <mergeCell ref="HR87:HU87"/>
    <mergeCell ref="HW87:HX87"/>
    <mergeCell ref="HY87:HZ87"/>
    <mergeCell ref="HR88:HU88"/>
    <mergeCell ref="HW88:HX88"/>
    <mergeCell ref="HY88:HZ88"/>
    <mergeCell ref="HR85:HU85"/>
    <mergeCell ref="HW85:HX85"/>
    <mergeCell ref="HY85:HZ85"/>
    <mergeCell ref="HR86:HU86"/>
    <mergeCell ref="HW86:HX86"/>
    <mergeCell ref="HY86:HZ86"/>
    <mergeCell ref="HR83:HU83"/>
    <mergeCell ref="HW83:HX83"/>
    <mergeCell ref="HY83:HZ83"/>
    <mergeCell ref="HR84:HU84"/>
    <mergeCell ref="HW84:HX84"/>
    <mergeCell ref="HY84:HZ84"/>
    <mergeCell ref="HR81:HU81"/>
    <mergeCell ref="HW81:HX81"/>
    <mergeCell ref="HY81:HZ81"/>
    <mergeCell ref="HR82:HU82"/>
    <mergeCell ref="HW82:HX82"/>
    <mergeCell ref="HY82:HZ82"/>
    <mergeCell ref="HW78:HX78"/>
    <mergeCell ref="HY78:HZ78"/>
    <mergeCell ref="HR79:HU79"/>
    <mergeCell ref="HW79:HX79"/>
    <mergeCell ref="HY79:HZ79"/>
    <mergeCell ref="HR80:HU80"/>
    <mergeCell ref="HW80:HX80"/>
    <mergeCell ref="HY80:HZ80"/>
    <mergeCell ref="HW75:HX75"/>
    <mergeCell ref="HY75:HZ75"/>
    <mergeCell ref="HW76:HX76"/>
    <mergeCell ref="HY76:HZ76"/>
    <mergeCell ref="HW77:HX77"/>
    <mergeCell ref="HY77:HZ77"/>
    <mergeCell ref="HR73:HU73"/>
    <mergeCell ref="HW73:HX73"/>
    <mergeCell ref="HY73:HZ73"/>
    <mergeCell ref="HR74:HU74"/>
    <mergeCell ref="HW74:HX74"/>
    <mergeCell ref="HY74:HZ74"/>
    <mergeCell ref="HR71:HU71"/>
    <mergeCell ref="HW71:HX71"/>
    <mergeCell ref="HY71:HZ71"/>
    <mergeCell ref="HR72:HU72"/>
    <mergeCell ref="HW72:HX72"/>
    <mergeCell ref="HY72:HZ72"/>
    <mergeCell ref="HR69:HU69"/>
    <mergeCell ref="HW69:HX69"/>
    <mergeCell ref="HY69:HZ69"/>
    <mergeCell ref="HR70:HU70"/>
    <mergeCell ref="HW70:HX70"/>
    <mergeCell ref="HY70:HZ70"/>
    <mergeCell ref="HR67:HU67"/>
    <mergeCell ref="HW67:HX67"/>
    <mergeCell ref="HY67:HZ67"/>
    <mergeCell ref="HR68:HU68"/>
    <mergeCell ref="HW68:HX68"/>
    <mergeCell ref="HY68:HZ68"/>
    <mergeCell ref="HR65:HU65"/>
    <mergeCell ref="HW65:HX65"/>
    <mergeCell ref="HY65:HZ65"/>
    <mergeCell ref="HR66:HU66"/>
    <mergeCell ref="HW66:HX66"/>
    <mergeCell ref="HY66:HZ66"/>
    <mergeCell ref="HR63:HU63"/>
    <mergeCell ref="HW63:HX63"/>
    <mergeCell ref="HY63:HZ63"/>
    <mergeCell ref="HR64:HU64"/>
    <mergeCell ref="HW64:HX64"/>
    <mergeCell ref="HY64:HZ64"/>
    <mergeCell ref="HQ58:IB58"/>
    <mergeCell ref="HQ59:IB59"/>
    <mergeCell ref="HQ60:IB60"/>
    <mergeCell ref="HQ61:HW62"/>
    <mergeCell ref="HX61:IB61"/>
    <mergeCell ref="IA62:IB62"/>
    <mergeCell ref="HQ52:IB52"/>
    <mergeCell ref="HQ53:IB53"/>
    <mergeCell ref="HQ54:IB54"/>
    <mergeCell ref="HQ55:IB55"/>
    <mergeCell ref="HQ56:IB56"/>
    <mergeCell ref="HQ57:IB57"/>
    <mergeCell ref="HQ46:IB46"/>
    <mergeCell ref="HQ47:IB47"/>
    <mergeCell ref="HQ48:IB48"/>
    <mergeCell ref="HQ49:IB49"/>
    <mergeCell ref="HQ50:IB50"/>
    <mergeCell ref="HQ51:IB51"/>
    <mergeCell ref="HQ32:IB34"/>
    <mergeCell ref="HQ35:IB41"/>
    <mergeCell ref="HQ42:IB42"/>
    <mergeCell ref="HQ43:IB43"/>
    <mergeCell ref="HQ44:IB44"/>
    <mergeCell ref="HQ45:IB45"/>
    <mergeCell ref="HR30:HS30"/>
    <mergeCell ref="HT30:HV30"/>
    <mergeCell ref="HW30:HY30"/>
    <mergeCell ref="IA30:IB30"/>
    <mergeCell ref="HR31:HS31"/>
    <mergeCell ref="HT31:HV31"/>
    <mergeCell ref="HW31:HY31"/>
    <mergeCell ref="IA31:IB31"/>
    <mergeCell ref="HR28:HS28"/>
    <mergeCell ref="HT28:HV28"/>
    <mergeCell ref="HW28:HY28"/>
    <mergeCell ref="IA28:IB28"/>
    <mergeCell ref="HR29:HS29"/>
    <mergeCell ref="HT29:HV29"/>
    <mergeCell ref="HW29:HY29"/>
    <mergeCell ref="IA29:IB29"/>
    <mergeCell ref="HQ25:IB25"/>
    <mergeCell ref="HR26:HS26"/>
    <mergeCell ref="HT26:HV26"/>
    <mergeCell ref="HW26:HY26"/>
    <mergeCell ref="IA26:IB26"/>
    <mergeCell ref="HR27:HS27"/>
    <mergeCell ref="HT27:HV27"/>
    <mergeCell ref="HW27:HY27"/>
    <mergeCell ref="IA27:IB27"/>
    <mergeCell ref="HQ23:HS23"/>
    <mergeCell ref="HU23:HV23"/>
    <mergeCell ref="HW23:HY23"/>
    <mergeCell ref="IA23:IB23"/>
    <mergeCell ref="HQ24:HS24"/>
    <mergeCell ref="HU24:HV24"/>
    <mergeCell ref="HW24:HY24"/>
    <mergeCell ref="IA24:IB24"/>
    <mergeCell ref="HQ21:HS21"/>
    <mergeCell ref="HU21:HV21"/>
    <mergeCell ref="HW21:HY21"/>
    <mergeCell ref="IA21:IB21"/>
    <mergeCell ref="HQ22:HS22"/>
    <mergeCell ref="HU22:HV22"/>
    <mergeCell ref="HW22:HY22"/>
    <mergeCell ref="IA22:IB22"/>
    <mergeCell ref="HQ18:HS18"/>
    <mergeCell ref="HU18:HV18"/>
    <mergeCell ref="HW18:HY18"/>
    <mergeCell ref="IA18:IB18"/>
    <mergeCell ref="HQ19:IB19"/>
    <mergeCell ref="HQ20:HS20"/>
    <mergeCell ref="HU20:HV20"/>
    <mergeCell ref="HW20:HY20"/>
    <mergeCell ref="IA20:IB20"/>
    <mergeCell ref="HQ16:HS16"/>
    <mergeCell ref="HU16:HV16"/>
    <mergeCell ref="HW16:HY16"/>
    <mergeCell ref="IA16:IB16"/>
    <mergeCell ref="HQ17:HS17"/>
    <mergeCell ref="HU17:HV17"/>
    <mergeCell ref="HW17:HY17"/>
    <mergeCell ref="IA17:IB17"/>
    <mergeCell ref="HQ14:HS14"/>
    <mergeCell ref="HU14:HV14"/>
    <mergeCell ref="HW14:HY14"/>
    <mergeCell ref="IA14:IB14"/>
    <mergeCell ref="HQ15:HS15"/>
    <mergeCell ref="HU15:HV15"/>
    <mergeCell ref="HW15:HY15"/>
    <mergeCell ref="IA15:IB15"/>
    <mergeCell ref="HQ12:HS12"/>
    <mergeCell ref="HU12:HV12"/>
    <mergeCell ref="HW12:HY12"/>
    <mergeCell ref="IA12:IB12"/>
    <mergeCell ref="HQ13:HS13"/>
    <mergeCell ref="HU13:HV13"/>
    <mergeCell ref="HW13:HY13"/>
    <mergeCell ref="IA13:IB13"/>
    <mergeCell ref="HQ9:IB9"/>
    <mergeCell ref="HQ10:HS10"/>
    <mergeCell ref="HU10:HV10"/>
    <mergeCell ref="HW10:HY10"/>
    <mergeCell ref="IA10:IB10"/>
    <mergeCell ref="HQ11:HS11"/>
    <mergeCell ref="HU11:HV11"/>
    <mergeCell ref="HW11:HY11"/>
    <mergeCell ref="IA11:IB11"/>
    <mergeCell ref="HT7:HV7"/>
    <mergeCell ref="HW7:HY7"/>
    <mergeCell ref="HZ7:IB7"/>
    <mergeCell ref="HQ8:HS8"/>
    <mergeCell ref="HT8:HV8"/>
    <mergeCell ref="HW8:HY8"/>
    <mergeCell ref="HZ8:IB8"/>
    <mergeCell ref="HA100:HL100"/>
    <mergeCell ref="HI89:HJ89"/>
    <mergeCell ref="HB86:HE86"/>
    <mergeCell ref="HG86:HH86"/>
    <mergeCell ref="HI86:HJ86"/>
    <mergeCell ref="HB87:HE87"/>
    <mergeCell ref="HG87:HH87"/>
    <mergeCell ref="HI87:HJ87"/>
    <mergeCell ref="HB84:HE84"/>
    <mergeCell ref="HG84:HH84"/>
    <mergeCell ref="HI84:HJ84"/>
    <mergeCell ref="HB85:HE85"/>
    <mergeCell ref="HG85:HH85"/>
    <mergeCell ref="HI85:HJ85"/>
    <mergeCell ref="HB82:HE82"/>
    <mergeCell ref="HG82:HH82"/>
    <mergeCell ref="HQ1:IB1"/>
    <mergeCell ref="HQ2:IB2"/>
    <mergeCell ref="HQ3:HZ3"/>
    <mergeCell ref="HR4:HV4"/>
    <mergeCell ref="HX4:IB4"/>
    <mergeCell ref="HQ5:HV5"/>
    <mergeCell ref="HW5:HY5"/>
    <mergeCell ref="HZ5:IB5"/>
    <mergeCell ref="HQ7:HS7"/>
    <mergeCell ref="HA94:HL94"/>
    <mergeCell ref="HB95:HL95"/>
    <mergeCell ref="HA96:HL96"/>
    <mergeCell ref="HA97:HL97"/>
    <mergeCell ref="HA98:HL98"/>
    <mergeCell ref="HA99:HL99"/>
    <mergeCell ref="HB92:HE92"/>
    <mergeCell ref="HG92:HH92"/>
    <mergeCell ref="HI92:HJ92"/>
    <mergeCell ref="HB93:HE93"/>
    <mergeCell ref="HG93:HH93"/>
    <mergeCell ref="HI93:HJ93"/>
    <mergeCell ref="HB90:HE90"/>
    <mergeCell ref="HG90:HH90"/>
    <mergeCell ref="HI90:HJ90"/>
    <mergeCell ref="HB91:HE91"/>
    <mergeCell ref="HG91:HH91"/>
    <mergeCell ref="HI91:HJ91"/>
    <mergeCell ref="HB88:HE88"/>
    <mergeCell ref="HG88:HH88"/>
    <mergeCell ref="HI88:HJ88"/>
    <mergeCell ref="HB89:HE89"/>
    <mergeCell ref="HG89:HH89"/>
    <mergeCell ref="HI82:HJ82"/>
    <mergeCell ref="HB83:HE83"/>
    <mergeCell ref="HG83:HH83"/>
    <mergeCell ref="HI83:HJ83"/>
    <mergeCell ref="HB80:HE80"/>
    <mergeCell ref="HG80:HH80"/>
    <mergeCell ref="HI80:HJ80"/>
    <mergeCell ref="HB81:HE81"/>
    <mergeCell ref="HG81:HH81"/>
    <mergeCell ref="HI81:HJ81"/>
    <mergeCell ref="HG77:HH77"/>
    <mergeCell ref="HI77:HJ77"/>
    <mergeCell ref="HG78:HH78"/>
    <mergeCell ref="HI78:HJ78"/>
    <mergeCell ref="HB79:HE79"/>
    <mergeCell ref="HG79:HH79"/>
    <mergeCell ref="HI79:HJ79"/>
    <mergeCell ref="HB74:HE74"/>
    <mergeCell ref="HG74:HH74"/>
    <mergeCell ref="HI74:HJ74"/>
    <mergeCell ref="HG75:HH75"/>
    <mergeCell ref="HI75:HJ75"/>
    <mergeCell ref="HG76:HH76"/>
    <mergeCell ref="HI76:HJ76"/>
    <mergeCell ref="HB72:HE72"/>
    <mergeCell ref="HG72:HH72"/>
    <mergeCell ref="HI72:HJ72"/>
    <mergeCell ref="HB73:HE73"/>
    <mergeCell ref="HG73:HH73"/>
    <mergeCell ref="HI73:HJ73"/>
    <mergeCell ref="HB70:HE70"/>
    <mergeCell ref="HG70:HH70"/>
    <mergeCell ref="HI70:HJ70"/>
    <mergeCell ref="HB71:HE71"/>
    <mergeCell ref="HG71:HH71"/>
    <mergeCell ref="HI71:HJ71"/>
    <mergeCell ref="HB68:HE68"/>
    <mergeCell ref="HG68:HH68"/>
    <mergeCell ref="HI68:HJ68"/>
    <mergeCell ref="HB69:HE69"/>
    <mergeCell ref="HG69:HH69"/>
    <mergeCell ref="HI69:HJ69"/>
    <mergeCell ref="HB66:HE66"/>
    <mergeCell ref="HG66:HH66"/>
    <mergeCell ref="HI66:HJ66"/>
    <mergeCell ref="HB67:HE67"/>
    <mergeCell ref="HG67:HH67"/>
    <mergeCell ref="HI67:HJ67"/>
    <mergeCell ref="HB64:HE64"/>
    <mergeCell ref="HG64:HH64"/>
    <mergeCell ref="HI64:HJ64"/>
    <mergeCell ref="HB65:HE65"/>
    <mergeCell ref="HG65:HH65"/>
    <mergeCell ref="HI65:HJ65"/>
    <mergeCell ref="HA60:HL60"/>
    <mergeCell ref="HA61:HG62"/>
    <mergeCell ref="HH61:HL61"/>
    <mergeCell ref="HK62:HL62"/>
    <mergeCell ref="HB63:HE63"/>
    <mergeCell ref="HG63:HH63"/>
    <mergeCell ref="HI63:HJ63"/>
    <mergeCell ref="HA54:HL54"/>
    <mergeCell ref="HA55:HL55"/>
    <mergeCell ref="HA56:HL56"/>
    <mergeCell ref="HA57:HL57"/>
    <mergeCell ref="HA58:HL58"/>
    <mergeCell ref="HA59:HL59"/>
    <mergeCell ref="HA48:HL48"/>
    <mergeCell ref="HA49:HL49"/>
    <mergeCell ref="HA50:HL50"/>
    <mergeCell ref="HA51:HL51"/>
    <mergeCell ref="HA52:HL52"/>
    <mergeCell ref="HA53:HL53"/>
    <mergeCell ref="HA42:HL42"/>
    <mergeCell ref="HA43:HL43"/>
    <mergeCell ref="HA44:HL44"/>
    <mergeCell ref="HA45:HL45"/>
    <mergeCell ref="HA46:HL46"/>
    <mergeCell ref="HA47:HL47"/>
    <mergeCell ref="HB31:HC31"/>
    <mergeCell ref="HD31:HF31"/>
    <mergeCell ref="HG31:HI31"/>
    <mergeCell ref="HK31:HL31"/>
    <mergeCell ref="HA32:HL34"/>
    <mergeCell ref="HA35:HL41"/>
    <mergeCell ref="HB29:HC29"/>
    <mergeCell ref="HD29:HF29"/>
    <mergeCell ref="HG29:HI29"/>
    <mergeCell ref="HK29:HL29"/>
    <mergeCell ref="HB30:HC30"/>
    <mergeCell ref="HD30:HF30"/>
    <mergeCell ref="HG30:HI30"/>
    <mergeCell ref="HK30:HL30"/>
    <mergeCell ref="HB27:HC27"/>
    <mergeCell ref="HD27:HF27"/>
    <mergeCell ref="HG27:HI27"/>
    <mergeCell ref="HK27:HL27"/>
    <mergeCell ref="HB28:HC28"/>
    <mergeCell ref="HD28:HF28"/>
    <mergeCell ref="HG28:HI28"/>
    <mergeCell ref="HK28:HL28"/>
    <mergeCell ref="HA24:HC24"/>
    <mergeCell ref="HE24:HF24"/>
    <mergeCell ref="HG24:HI24"/>
    <mergeCell ref="HK24:HL24"/>
    <mergeCell ref="HA25:HL25"/>
    <mergeCell ref="HB26:HC26"/>
    <mergeCell ref="HD26:HF26"/>
    <mergeCell ref="HG26:HI26"/>
    <mergeCell ref="HK26:HL26"/>
    <mergeCell ref="HA22:HC22"/>
    <mergeCell ref="HE22:HF22"/>
    <mergeCell ref="HG22:HI22"/>
    <mergeCell ref="HK22:HL22"/>
    <mergeCell ref="HA23:HC23"/>
    <mergeCell ref="HE23:HF23"/>
    <mergeCell ref="HG23:HI23"/>
    <mergeCell ref="HK23:HL23"/>
    <mergeCell ref="HA19:HL19"/>
    <mergeCell ref="HA20:HC20"/>
    <mergeCell ref="HE20:HF20"/>
    <mergeCell ref="HG20:HI20"/>
    <mergeCell ref="HK20:HL20"/>
    <mergeCell ref="HA21:HC21"/>
    <mergeCell ref="HE21:HF21"/>
    <mergeCell ref="HG21:HI21"/>
    <mergeCell ref="HK21:HL21"/>
    <mergeCell ref="HA17:HC17"/>
    <mergeCell ref="HE17:HF17"/>
    <mergeCell ref="HG17:HI17"/>
    <mergeCell ref="HK17:HL17"/>
    <mergeCell ref="HA18:HC18"/>
    <mergeCell ref="HE18:HF18"/>
    <mergeCell ref="HG18:HI18"/>
    <mergeCell ref="HK18:HL18"/>
    <mergeCell ref="HA15:HC15"/>
    <mergeCell ref="HE15:HF15"/>
    <mergeCell ref="HG15:HI15"/>
    <mergeCell ref="HK15:HL15"/>
    <mergeCell ref="HA16:HC16"/>
    <mergeCell ref="HE16:HF16"/>
    <mergeCell ref="HG16:HI16"/>
    <mergeCell ref="HK16:HL16"/>
    <mergeCell ref="HA13:HC13"/>
    <mergeCell ref="HE13:HF13"/>
    <mergeCell ref="HG13:HI13"/>
    <mergeCell ref="HK13:HL13"/>
    <mergeCell ref="HA14:HC14"/>
    <mergeCell ref="HE14:HF14"/>
    <mergeCell ref="HG14:HI14"/>
    <mergeCell ref="HK14:HL14"/>
    <mergeCell ref="HA11:HC11"/>
    <mergeCell ref="HE11:HF11"/>
    <mergeCell ref="HG11:HI11"/>
    <mergeCell ref="HK11:HL11"/>
    <mergeCell ref="HA12:HC12"/>
    <mergeCell ref="HE12:HF12"/>
    <mergeCell ref="HG12:HI12"/>
    <mergeCell ref="HK12:HL12"/>
    <mergeCell ref="HA8:HC8"/>
    <mergeCell ref="HD8:HF8"/>
    <mergeCell ref="HG8:HI8"/>
    <mergeCell ref="HJ8:HL8"/>
    <mergeCell ref="HA9:HL9"/>
    <mergeCell ref="HA10:HC10"/>
    <mergeCell ref="HE10:HF10"/>
    <mergeCell ref="HG10:HI10"/>
    <mergeCell ref="HK10:HL10"/>
    <mergeCell ref="HG5:HI5"/>
    <mergeCell ref="HJ5:HL5"/>
    <mergeCell ref="HA7:HC7"/>
    <mergeCell ref="HD7:HF7"/>
    <mergeCell ref="HG7:HI7"/>
    <mergeCell ref="HJ7:HL7"/>
    <mergeCell ref="GK97:GV97"/>
    <mergeCell ref="GK98:GV98"/>
    <mergeCell ref="GK99:GV99"/>
    <mergeCell ref="GK100:GV100"/>
    <mergeCell ref="HA1:HL1"/>
    <mergeCell ref="HA2:HL2"/>
    <mergeCell ref="HA3:HJ3"/>
    <mergeCell ref="HB4:HF4"/>
    <mergeCell ref="HH4:HL4"/>
    <mergeCell ref="HA5:HF5"/>
    <mergeCell ref="GL93:GO93"/>
    <mergeCell ref="GQ93:GR93"/>
    <mergeCell ref="GS93:GT93"/>
    <mergeCell ref="GK94:GV94"/>
    <mergeCell ref="GL95:GV95"/>
    <mergeCell ref="GK96:GV96"/>
    <mergeCell ref="GL91:GO91"/>
    <mergeCell ref="GQ91:GR91"/>
    <mergeCell ref="GS91:GT91"/>
    <mergeCell ref="GL92:GO92"/>
    <mergeCell ref="GQ92:GR92"/>
    <mergeCell ref="GS92:GT92"/>
    <mergeCell ref="GL89:GO89"/>
    <mergeCell ref="GQ89:GR89"/>
    <mergeCell ref="GS89:GT89"/>
    <mergeCell ref="GL90:GO90"/>
    <mergeCell ref="GQ90:GR90"/>
    <mergeCell ref="GS90:GT90"/>
    <mergeCell ref="GL87:GO87"/>
    <mergeCell ref="GQ87:GR87"/>
    <mergeCell ref="GS87:GT87"/>
    <mergeCell ref="GL88:GO88"/>
    <mergeCell ref="GQ88:GR88"/>
    <mergeCell ref="GS88:GT88"/>
    <mergeCell ref="GL85:GO85"/>
    <mergeCell ref="GQ85:GR85"/>
    <mergeCell ref="GS85:GT85"/>
    <mergeCell ref="GL86:GO86"/>
    <mergeCell ref="GQ86:GR86"/>
    <mergeCell ref="GS86:GT86"/>
    <mergeCell ref="GL83:GO83"/>
    <mergeCell ref="GQ83:GR83"/>
    <mergeCell ref="GS83:GT83"/>
    <mergeCell ref="GL84:GO84"/>
    <mergeCell ref="GQ84:GR84"/>
    <mergeCell ref="GS84:GT84"/>
    <mergeCell ref="GL81:GO81"/>
    <mergeCell ref="GQ81:GR81"/>
    <mergeCell ref="GS81:GT81"/>
    <mergeCell ref="GL82:GO82"/>
    <mergeCell ref="GQ82:GR82"/>
    <mergeCell ref="GS82:GT82"/>
    <mergeCell ref="GQ78:GR78"/>
    <mergeCell ref="GS78:GT78"/>
    <mergeCell ref="GL79:GO79"/>
    <mergeCell ref="GQ79:GR79"/>
    <mergeCell ref="GS79:GT79"/>
    <mergeCell ref="GL80:GO80"/>
    <mergeCell ref="GQ80:GR80"/>
    <mergeCell ref="GS80:GT80"/>
    <mergeCell ref="GQ75:GR75"/>
    <mergeCell ref="GS75:GT75"/>
    <mergeCell ref="GQ76:GR76"/>
    <mergeCell ref="GS76:GT76"/>
    <mergeCell ref="GQ77:GR77"/>
    <mergeCell ref="GS77:GT77"/>
    <mergeCell ref="GL73:GO73"/>
    <mergeCell ref="GQ73:GR73"/>
    <mergeCell ref="GS73:GT73"/>
    <mergeCell ref="GL74:GO74"/>
    <mergeCell ref="GQ74:GR74"/>
    <mergeCell ref="GS74:GT74"/>
    <mergeCell ref="GL71:GO71"/>
    <mergeCell ref="GQ71:GR71"/>
    <mergeCell ref="GS71:GT71"/>
    <mergeCell ref="GL72:GO72"/>
    <mergeCell ref="GQ72:GR72"/>
    <mergeCell ref="GS72:GT72"/>
    <mergeCell ref="GL69:GO69"/>
    <mergeCell ref="GQ69:GR69"/>
    <mergeCell ref="GS69:GT69"/>
    <mergeCell ref="GL70:GO70"/>
    <mergeCell ref="GQ70:GR70"/>
    <mergeCell ref="GS70:GT70"/>
    <mergeCell ref="GL67:GO67"/>
    <mergeCell ref="GQ67:GR67"/>
    <mergeCell ref="GS67:GT67"/>
    <mergeCell ref="GL68:GO68"/>
    <mergeCell ref="GQ68:GR68"/>
    <mergeCell ref="GS68:GT68"/>
    <mergeCell ref="GL65:GO65"/>
    <mergeCell ref="GQ65:GR65"/>
    <mergeCell ref="GS65:GT65"/>
    <mergeCell ref="GL66:GO66"/>
    <mergeCell ref="GQ66:GR66"/>
    <mergeCell ref="GS66:GT66"/>
    <mergeCell ref="GL63:GO63"/>
    <mergeCell ref="GQ63:GR63"/>
    <mergeCell ref="GS63:GT63"/>
    <mergeCell ref="GL64:GO64"/>
    <mergeCell ref="GQ64:GR64"/>
    <mergeCell ref="GS64:GT64"/>
    <mergeCell ref="GK58:GV58"/>
    <mergeCell ref="GK59:GV59"/>
    <mergeCell ref="GK60:GV60"/>
    <mergeCell ref="GK61:GQ62"/>
    <mergeCell ref="GR61:GV61"/>
    <mergeCell ref="GU62:GV62"/>
    <mergeCell ref="GK52:GV52"/>
    <mergeCell ref="GK53:GV53"/>
    <mergeCell ref="GK54:GV54"/>
    <mergeCell ref="GK55:GV55"/>
    <mergeCell ref="GK56:GV56"/>
    <mergeCell ref="GK57:GV57"/>
    <mergeCell ref="GK46:GV46"/>
    <mergeCell ref="GK47:GV47"/>
    <mergeCell ref="GK48:GV48"/>
    <mergeCell ref="GK49:GV49"/>
    <mergeCell ref="GK50:GV50"/>
    <mergeCell ref="GK51:GV51"/>
    <mergeCell ref="GK32:GV34"/>
    <mergeCell ref="GK35:GV41"/>
    <mergeCell ref="GK42:GV42"/>
    <mergeCell ref="GK43:GV43"/>
    <mergeCell ref="GK44:GV44"/>
    <mergeCell ref="GK45:GV45"/>
    <mergeCell ref="GL30:GM30"/>
    <mergeCell ref="GN30:GP30"/>
    <mergeCell ref="GQ30:GS30"/>
    <mergeCell ref="GU30:GV30"/>
    <mergeCell ref="GL31:GM31"/>
    <mergeCell ref="GN31:GP31"/>
    <mergeCell ref="GQ31:GS31"/>
    <mergeCell ref="GU31:GV31"/>
    <mergeCell ref="GL28:GM28"/>
    <mergeCell ref="GN28:GP28"/>
    <mergeCell ref="GQ28:GS28"/>
    <mergeCell ref="GU28:GV28"/>
    <mergeCell ref="GL29:GM29"/>
    <mergeCell ref="GN29:GP29"/>
    <mergeCell ref="GQ29:GS29"/>
    <mergeCell ref="GU29:GV29"/>
    <mergeCell ref="GK25:GV25"/>
    <mergeCell ref="GL26:GM26"/>
    <mergeCell ref="GN26:GP26"/>
    <mergeCell ref="GQ26:GS26"/>
    <mergeCell ref="GU26:GV26"/>
    <mergeCell ref="GL27:GM27"/>
    <mergeCell ref="GN27:GP27"/>
    <mergeCell ref="GQ27:GS27"/>
    <mergeCell ref="GU27:GV27"/>
    <mergeCell ref="GK23:GM23"/>
    <mergeCell ref="GO23:GP23"/>
    <mergeCell ref="GQ23:GS23"/>
    <mergeCell ref="GU23:GV23"/>
    <mergeCell ref="GK24:GM24"/>
    <mergeCell ref="GO24:GP24"/>
    <mergeCell ref="GQ24:GS24"/>
    <mergeCell ref="GU24:GV24"/>
    <mergeCell ref="GK21:GM21"/>
    <mergeCell ref="GO21:GP21"/>
    <mergeCell ref="GQ21:GS21"/>
    <mergeCell ref="GU21:GV21"/>
    <mergeCell ref="GK22:GM22"/>
    <mergeCell ref="GO22:GP22"/>
    <mergeCell ref="GQ22:GS22"/>
    <mergeCell ref="GU22:GV22"/>
    <mergeCell ref="GK18:GM18"/>
    <mergeCell ref="GO18:GP18"/>
    <mergeCell ref="GQ18:GS18"/>
    <mergeCell ref="GU18:GV18"/>
    <mergeCell ref="GK19:GV19"/>
    <mergeCell ref="GK20:GM20"/>
    <mergeCell ref="GO20:GP20"/>
    <mergeCell ref="GQ20:GS20"/>
    <mergeCell ref="GU20:GV20"/>
    <mergeCell ref="GK16:GM16"/>
    <mergeCell ref="GO16:GP16"/>
    <mergeCell ref="GQ16:GS16"/>
    <mergeCell ref="GU16:GV16"/>
    <mergeCell ref="GK17:GM17"/>
    <mergeCell ref="GO17:GP17"/>
    <mergeCell ref="GQ17:GS17"/>
    <mergeCell ref="GU17:GV17"/>
    <mergeCell ref="GK14:GM14"/>
    <mergeCell ref="GO14:GP14"/>
    <mergeCell ref="GQ14:GS14"/>
    <mergeCell ref="GU14:GV14"/>
    <mergeCell ref="GK15:GM15"/>
    <mergeCell ref="GO15:GP15"/>
    <mergeCell ref="GQ15:GS15"/>
    <mergeCell ref="GU15:GV15"/>
    <mergeCell ref="GK12:GM12"/>
    <mergeCell ref="GO12:GP12"/>
    <mergeCell ref="GQ12:GS12"/>
    <mergeCell ref="GU12:GV12"/>
    <mergeCell ref="GK13:GM13"/>
    <mergeCell ref="GO13:GP13"/>
    <mergeCell ref="GQ13:GS13"/>
    <mergeCell ref="GU13:GV13"/>
    <mergeCell ref="GK9:GV9"/>
    <mergeCell ref="GK10:GM10"/>
    <mergeCell ref="GO10:GP10"/>
    <mergeCell ref="GQ10:GS10"/>
    <mergeCell ref="GU10:GV10"/>
    <mergeCell ref="GK11:GM11"/>
    <mergeCell ref="GO11:GP11"/>
    <mergeCell ref="GQ11:GS11"/>
    <mergeCell ref="GU11:GV11"/>
    <mergeCell ref="GN7:GP7"/>
    <mergeCell ref="GQ7:GS7"/>
    <mergeCell ref="GT7:GV7"/>
    <mergeCell ref="GK8:GM8"/>
    <mergeCell ref="GN8:GP8"/>
    <mergeCell ref="GQ8:GS8"/>
    <mergeCell ref="GT8:GV8"/>
    <mergeCell ref="FU100:GF100"/>
    <mergeCell ref="GC89:GD89"/>
    <mergeCell ref="FV86:FY86"/>
    <mergeCell ref="GA86:GB86"/>
    <mergeCell ref="GC86:GD86"/>
    <mergeCell ref="FV87:FY87"/>
    <mergeCell ref="GA87:GB87"/>
    <mergeCell ref="GC87:GD87"/>
    <mergeCell ref="FV84:FY84"/>
    <mergeCell ref="GA84:GB84"/>
    <mergeCell ref="GC84:GD84"/>
    <mergeCell ref="FV85:FY85"/>
    <mergeCell ref="GA85:GB85"/>
    <mergeCell ref="GC85:GD85"/>
    <mergeCell ref="FV82:FY82"/>
    <mergeCell ref="GA82:GB82"/>
    <mergeCell ref="GK1:GV1"/>
    <mergeCell ref="GK2:GV2"/>
    <mergeCell ref="GK3:GT3"/>
    <mergeCell ref="GL4:GP4"/>
    <mergeCell ref="GR4:GV4"/>
    <mergeCell ref="GK5:GP5"/>
    <mergeCell ref="GQ5:GS5"/>
    <mergeCell ref="GT5:GV5"/>
    <mergeCell ref="GK7:GM7"/>
    <mergeCell ref="FU94:GF94"/>
    <mergeCell ref="FV95:GF95"/>
    <mergeCell ref="FU96:GF96"/>
    <mergeCell ref="FU97:GF97"/>
    <mergeCell ref="FU98:GF98"/>
    <mergeCell ref="FU99:GF99"/>
    <mergeCell ref="FV92:FY92"/>
    <mergeCell ref="GA92:GB92"/>
    <mergeCell ref="GC92:GD92"/>
    <mergeCell ref="FV93:FY93"/>
    <mergeCell ref="GA93:GB93"/>
    <mergeCell ref="GC93:GD93"/>
    <mergeCell ref="FV90:FY90"/>
    <mergeCell ref="GA90:GB90"/>
    <mergeCell ref="GC90:GD90"/>
    <mergeCell ref="FV91:FY91"/>
    <mergeCell ref="GA91:GB91"/>
    <mergeCell ref="GC91:GD91"/>
    <mergeCell ref="FV88:FY88"/>
    <mergeCell ref="GA88:GB88"/>
    <mergeCell ref="GC88:GD88"/>
    <mergeCell ref="FV89:FY89"/>
    <mergeCell ref="GA89:GB89"/>
    <mergeCell ref="GC82:GD82"/>
    <mergeCell ref="FV83:FY83"/>
    <mergeCell ref="GA83:GB83"/>
    <mergeCell ref="GC83:GD83"/>
    <mergeCell ref="FV80:FY80"/>
    <mergeCell ref="GA80:GB80"/>
    <mergeCell ref="GC80:GD80"/>
    <mergeCell ref="FV81:FY81"/>
    <mergeCell ref="GA81:GB81"/>
    <mergeCell ref="GC81:GD81"/>
    <mergeCell ref="GA77:GB77"/>
    <mergeCell ref="GC77:GD77"/>
    <mergeCell ref="GA78:GB78"/>
    <mergeCell ref="GC78:GD78"/>
    <mergeCell ref="FV79:FY79"/>
    <mergeCell ref="GA79:GB79"/>
    <mergeCell ref="GC79:GD79"/>
    <mergeCell ref="FV74:FY74"/>
    <mergeCell ref="GA74:GB74"/>
    <mergeCell ref="GC74:GD74"/>
    <mergeCell ref="GA75:GB75"/>
    <mergeCell ref="GC75:GD75"/>
    <mergeCell ref="GA76:GB76"/>
    <mergeCell ref="GC76:GD76"/>
    <mergeCell ref="FV72:FY72"/>
    <mergeCell ref="GA72:GB72"/>
    <mergeCell ref="GC72:GD72"/>
    <mergeCell ref="FV73:FY73"/>
    <mergeCell ref="GA73:GB73"/>
    <mergeCell ref="GC73:GD73"/>
    <mergeCell ref="FV70:FY70"/>
    <mergeCell ref="GA70:GB70"/>
    <mergeCell ref="GC70:GD70"/>
    <mergeCell ref="FV71:FY71"/>
    <mergeCell ref="GA71:GB71"/>
    <mergeCell ref="GC71:GD71"/>
    <mergeCell ref="FV68:FY68"/>
    <mergeCell ref="GA68:GB68"/>
    <mergeCell ref="GC68:GD68"/>
    <mergeCell ref="FV69:FY69"/>
    <mergeCell ref="GA69:GB69"/>
    <mergeCell ref="GC69:GD69"/>
    <mergeCell ref="FV66:FY66"/>
    <mergeCell ref="GA66:GB66"/>
    <mergeCell ref="GC66:GD66"/>
    <mergeCell ref="FV67:FY67"/>
    <mergeCell ref="GA67:GB67"/>
    <mergeCell ref="GC67:GD67"/>
    <mergeCell ref="FV64:FY64"/>
    <mergeCell ref="GA64:GB64"/>
    <mergeCell ref="GC64:GD64"/>
    <mergeCell ref="FV65:FY65"/>
    <mergeCell ref="GA65:GB65"/>
    <mergeCell ref="GC65:GD65"/>
    <mergeCell ref="FU60:GF60"/>
    <mergeCell ref="FU61:GA62"/>
    <mergeCell ref="GB61:GF61"/>
    <mergeCell ref="GE62:GF62"/>
    <mergeCell ref="FV63:FY63"/>
    <mergeCell ref="GA63:GB63"/>
    <mergeCell ref="GC63:GD63"/>
    <mergeCell ref="FU54:GF54"/>
    <mergeCell ref="FU55:GF55"/>
    <mergeCell ref="FU56:GF56"/>
    <mergeCell ref="FU57:GF57"/>
    <mergeCell ref="FU58:GF58"/>
    <mergeCell ref="FU59:GF59"/>
    <mergeCell ref="FU48:GF48"/>
    <mergeCell ref="FU49:GF49"/>
    <mergeCell ref="FU50:GF50"/>
    <mergeCell ref="FU51:GF51"/>
    <mergeCell ref="FU52:GF52"/>
    <mergeCell ref="FU53:GF53"/>
    <mergeCell ref="FU42:GF42"/>
    <mergeCell ref="FU43:GF43"/>
    <mergeCell ref="FU44:GF44"/>
    <mergeCell ref="FU45:GF45"/>
    <mergeCell ref="FU46:GF46"/>
    <mergeCell ref="FU47:GF47"/>
    <mergeCell ref="FV31:FW31"/>
    <mergeCell ref="FX31:FZ31"/>
    <mergeCell ref="GA31:GC31"/>
    <mergeCell ref="GE31:GF31"/>
    <mergeCell ref="FU32:GF34"/>
    <mergeCell ref="FU35:GF41"/>
    <mergeCell ref="FV29:FW29"/>
    <mergeCell ref="FX29:FZ29"/>
    <mergeCell ref="GA29:GC29"/>
    <mergeCell ref="GE29:GF29"/>
    <mergeCell ref="FV30:FW30"/>
    <mergeCell ref="FX30:FZ30"/>
    <mergeCell ref="GA30:GC30"/>
    <mergeCell ref="GE30:GF30"/>
    <mergeCell ref="FV27:FW27"/>
    <mergeCell ref="FX27:FZ27"/>
    <mergeCell ref="GA27:GC27"/>
    <mergeCell ref="GE27:GF27"/>
    <mergeCell ref="FV28:FW28"/>
    <mergeCell ref="FX28:FZ28"/>
    <mergeCell ref="GA28:GC28"/>
    <mergeCell ref="GE28:GF28"/>
    <mergeCell ref="FU24:FW24"/>
    <mergeCell ref="FY24:FZ24"/>
    <mergeCell ref="GA24:GC24"/>
    <mergeCell ref="GE24:GF24"/>
    <mergeCell ref="FU25:GF25"/>
    <mergeCell ref="FV26:FW26"/>
    <mergeCell ref="FX26:FZ26"/>
    <mergeCell ref="GA26:GC26"/>
    <mergeCell ref="GE26:GF26"/>
    <mergeCell ref="FU22:FW22"/>
    <mergeCell ref="FY22:FZ22"/>
    <mergeCell ref="GA22:GC22"/>
    <mergeCell ref="GE22:GF22"/>
    <mergeCell ref="FU23:FW23"/>
    <mergeCell ref="FY23:FZ23"/>
    <mergeCell ref="GA23:GC23"/>
    <mergeCell ref="GE23:GF23"/>
    <mergeCell ref="FU19:GF19"/>
    <mergeCell ref="FU20:FW20"/>
    <mergeCell ref="FY20:FZ20"/>
    <mergeCell ref="GA20:GC20"/>
    <mergeCell ref="GE20:GF20"/>
    <mergeCell ref="FU21:FW21"/>
    <mergeCell ref="FY21:FZ21"/>
    <mergeCell ref="GA21:GC21"/>
    <mergeCell ref="GE21:GF21"/>
    <mergeCell ref="FU17:FW17"/>
    <mergeCell ref="FY17:FZ17"/>
    <mergeCell ref="GA17:GC17"/>
    <mergeCell ref="GE17:GF17"/>
    <mergeCell ref="FU18:FW18"/>
    <mergeCell ref="FY18:FZ18"/>
    <mergeCell ref="GA18:GC18"/>
    <mergeCell ref="GE18:GF18"/>
    <mergeCell ref="FU15:FW15"/>
    <mergeCell ref="FY15:FZ15"/>
    <mergeCell ref="GA15:GC15"/>
    <mergeCell ref="GE15:GF15"/>
    <mergeCell ref="FU16:FW16"/>
    <mergeCell ref="FY16:FZ16"/>
    <mergeCell ref="GA16:GC16"/>
    <mergeCell ref="GE16:GF16"/>
    <mergeCell ref="FU13:FW13"/>
    <mergeCell ref="FY13:FZ13"/>
    <mergeCell ref="GA13:GC13"/>
    <mergeCell ref="GE13:GF13"/>
    <mergeCell ref="FU14:FW14"/>
    <mergeCell ref="FY14:FZ14"/>
    <mergeCell ref="GA14:GC14"/>
    <mergeCell ref="GE14:GF14"/>
    <mergeCell ref="FU11:FW11"/>
    <mergeCell ref="FY11:FZ11"/>
    <mergeCell ref="GA11:GC11"/>
    <mergeCell ref="GE11:GF11"/>
    <mergeCell ref="FU12:FW12"/>
    <mergeCell ref="FY12:FZ12"/>
    <mergeCell ref="GA12:GC12"/>
    <mergeCell ref="GE12:GF12"/>
    <mergeCell ref="FU8:FW8"/>
    <mergeCell ref="FX8:FZ8"/>
    <mergeCell ref="GA8:GC8"/>
    <mergeCell ref="GD8:GF8"/>
    <mergeCell ref="FU9:GF9"/>
    <mergeCell ref="FU10:FW10"/>
    <mergeCell ref="FY10:FZ10"/>
    <mergeCell ref="GA10:GC10"/>
    <mergeCell ref="GE10:GF10"/>
    <mergeCell ref="GA5:GC5"/>
    <mergeCell ref="GD5:GF5"/>
    <mergeCell ref="FU7:FW7"/>
    <mergeCell ref="FX7:FZ7"/>
    <mergeCell ref="GA7:GC7"/>
    <mergeCell ref="GD7:GF7"/>
    <mergeCell ref="FE97:FP97"/>
    <mergeCell ref="FE98:FP98"/>
    <mergeCell ref="FE99:FP99"/>
    <mergeCell ref="FE100:FP100"/>
    <mergeCell ref="FU1:GF1"/>
    <mergeCell ref="FU2:GF2"/>
    <mergeCell ref="FU3:GD3"/>
    <mergeCell ref="FV4:FZ4"/>
    <mergeCell ref="GB4:GF4"/>
    <mergeCell ref="FU5:FZ5"/>
    <mergeCell ref="FF93:FI93"/>
    <mergeCell ref="FK93:FL93"/>
    <mergeCell ref="FM93:FN93"/>
    <mergeCell ref="FE94:FP94"/>
    <mergeCell ref="FF95:FP95"/>
    <mergeCell ref="FE96:FP96"/>
    <mergeCell ref="FF91:FI91"/>
    <mergeCell ref="FK91:FL91"/>
    <mergeCell ref="FM91:FN91"/>
    <mergeCell ref="FF92:FI92"/>
    <mergeCell ref="FK92:FL92"/>
    <mergeCell ref="FM92:FN92"/>
    <mergeCell ref="FF89:FI89"/>
    <mergeCell ref="FK89:FL89"/>
    <mergeCell ref="FM89:FN89"/>
    <mergeCell ref="FF90:FI90"/>
    <mergeCell ref="FK90:FL90"/>
    <mergeCell ref="FM90:FN90"/>
    <mergeCell ref="FF87:FI87"/>
    <mergeCell ref="FK87:FL87"/>
    <mergeCell ref="FM87:FN87"/>
    <mergeCell ref="FF88:FI88"/>
    <mergeCell ref="FK88:FL88"/>
    <mergeCell ref="FM88:FN88"/>
    <mergeCell ref="FF85:FI85"/>
    <mergeCell ref="FK85:FL85"/>
    <mergeCell ref="FM85:FN85"/>
    <mergeCell ref="FF86:FI86"/>
    <mergeCell ref="FK86:FL86"/>
    <mergeCell ref="FM86:FN86"/>
    <mergeCell ref="FF83:FI83"/>
    <mergeCell ref="FK83:FL83"/>
    <mergeCell ref="FM83:FN83"/>
    <mergeCell ref="FF84:FI84"/>
    <mergeCell ref="FK84:FL84"/>
    <mergeCell ref="FM84:FN84"/>
    <mergeCell ref="FF81:FI81"/>
    <mergeCell ref="FK81:FL81"/>
    <mergeCell ref="FM81:FN81"/>
    <mergeCell ref="FF82:FI82"/>
    <mergeCell ref="FK82:FL82"/>
    <mergeCell ref="FM82:FN82"/>
    <mergeCell ref="FK78:FL78"/>
    <mergeCell ref="FM78:FN78"/>
    <mergeCell ref="FF79:FI79"/>
    <mergeCell ref="FK79:FL79"/>
    <mergeCell ref="FM79:FN79"/>
    <mergeCell ref="FF80:FI80"/>
    <mergeCell ref="FK80:FL80"/>
    <mergeCell ref="FM80:FN80"/>
    <mergeCell ref="FK75:FL75"/>
    <mergeCell ref="FM75:FN75"/>
    <mergeCell ref="FK76:FL76"/>
    <mergeCell ref="FM76:FN76"/>
    <mergeCell ref="FK77:FL77"/>
    <mergeCell ref="FM77:FN77"/>
    <mergeCell ref="FF73:FI73"/>
    <mergeCell ref="FK73:FL73"/>
    <mergeCell ref="FM73:FN73"/>
    <mergeCell ref="FF74:FI74"/>
    <mergeCell ref="FK74:FL74"/>
    <mergeCell ref="FM74:FN74"/>
    <mergeCell ref="FF71:FI71"/>
    <mergeCell ref="FK71:FL71"/>
    <mergeCell ref="FM71:FN71"/>
    <mergeCell ref="FF72:FI72"/>
    <mergeCell ref="FK72:FL72"/>
    <mergeCell ref="FM72:FN72"/>
    <mergeCell ref="FF69:FI69"/>
    <mergeCell ref="FK69:FL69"/>
    <mergeCell ref="FM69:FN69"/>
    <mergeCell ref="FF70:FI70"/>
    <mergeCell ref="FK70:FL70"/>
    <mergeCell ref="FM70:FN70"/>
    <mergeCell ref="FF67:FI67"/>
    <mergeCell ref="FK67:FL67"/>
    <mergeCell ref="FM67:FN67"/>
    <mergeCell ref="FF68:FI68"/>
    <mergeCell ref="FK68:FL68"/>
    <mergeCell ref="FM68:FN68"/>
    <mergeCell ref="FF65:FI65"/>
    <mergeCell ref="FK65:FL65"/>
    <mergeCell ref="FM65:FN65"/>
    <mergeCell ref="FF66:FI66"/>
    <mergeCell ref="FK66:FL66"/>
    <mergeCell ref="FM66:FN66"/>
    <mergeCell ref="FF63:FI63"/>
    <mergeCell ref="FK63:FL63"/>
    <mergeCell ref="FM63:FN63"/>
    <mergeCell ref="FF64:FI64"/>
    <mergeCell ref="FK64:FL64"/>
    <mergeCell ref="FM64:FN64"/>
    <mergeCell ref="FE58:FP58"/>
    <mergeCell ref="FE59:FP59"/>
    <mergeCell ref="FE60:FP60"/>
    <mergeCell ref="FE61:FK62"/>
    <mergeCell ref="FL61:FP61"/>
    <mergeCell ref="FO62:FP62"/>
    <mergeCell ref="FE52:FP52"/>
    <mergeCell ref="FE53:FP53"/>
    <mergeCell ref="FE54:FP54"/>
    <mergeCell ref="FE55:FP55"/>
    <mergeCell ref="FE56:FP56"/>
    <mergeCell ref="FE57:FP57"/>
    <mergeCell ref="FE46:FP46"/>
    <mergeCell ref="FE47:FP47"/>
    <mergeCell ref="FE48:FP48"/>
    <mergeCell ref="FE49:FP49"/>
    <mergeCell ref="FE50:FP50"/>
    <mergeCell ref="FE51:FP51"/>
    <mergeCell ref="FE32:FP34"/>
    <mergeCell ref="FE35:FP41"/>
    <mergeCell ref="FE42:FP42"/>
    <mergeCell ref="FE43:FP43"/>
    <mergeCell ref="FE44:FP44"/>
    <mergeCell ref="FE45:FP45"/>
    <mergeCell ref="FF30:FG30"/>
    <mergeCell ref="FH30:FJ30"/>
    <mergeCell ref="FK30:FM30"/>
    <mergeCell ref="FO30:FP30"/>
    <mergeCell ref="FF31:FG31"/>
    <mergeCell ref="FH31:FJ31"/>
    <mergeCell ref="FK31:FM31"/>
    <mergeCell ref="FO31:FP31"/>
    <mergeCell ref="FF28:FG28"/>
    <mergeCell ref="FH28:FJ28"/>
    <mergeCell ref="FK28:FM28"/>
    <mergeCell ref="FO28:FP28"/>
    <mergeCell ref="FF29:FG29"/>
    <mergeCell ref="FH29:FJ29"/>
    <mergeCell ref="FK29:FM29"/>
    <mergeCell ref="FO29:FP29"/>
    <mergeCell ref="FE25:FP25"/>
    <mergeCell ref="FF26:FG26"/>
    <mergeCell ref="FH26:FJ26"/>
    <mergeCell ref="FK26:FM26"/>
    <mergeCell ref="FO26:FP26"/>
    <mergeCell ref="FF27:FG27"/>
    <mergeCell ref="FH27:FJ27"/>
    <mergeCell ref="FK27:FM27"/>
    <mergeCell ref="FO27:FP27"/>
    <mergeCell ref="FE23:FG23"/>
    <mergeCell ref="FI23:FJ23"/>
    <mergeCell ref="FK23:FM23"/>
    <mergeCell ref="FO23:FP23"/>
    <mergeCell ref="FE24:FG24"/>
    <mergeCell ref="FI24:FJ24"/>
    <mergeCell ref="FK24:FM24"/>
    <mergeCell ref="FO24:FP24"/>
    <mergeCell ref="FE21:FG21"/>
    <mergeCell ref="FI21:FJ21"/>
    <mergeCell ref="FK21:FM21"/>
    <mergeCell ref="FO21:FP21"/>
    <mergeCell ref="FE22:FG22"/>
    <mergeCell ref="FI22:FJ22"/>
    <mergeCell ref="FK22:FM22"/>
    <mergeCell ref="FO22:FP22"/>
    <mergeCell ref="FE18:FG18"/>
    <mergeCell ref="FI18:FJ18"/>
    <mergeCell ref="FK18:FM18"/>
    <mergeCell ref="FO18:FP18"/>
    <mergeCell ref="FE19:FP19"/>
    <mergeCell ref="FE20:FG20"/>
    <mergeCell ref="FI20:FJ20"/>
    <mergeCell ref="FK20:FM20"/>
    <mergeCell ref="FO20:FP20"/>
    <mergeCell ref="FE16:FG16"/>
    <mergeCell ref="FI16:FJ16"/>
    <mergeCell ref="FK16:FM16"/>
    <mergeCell ref="FO16:FP16"/>
    <mergeCell ref="FE17:FG17"/>
    <mergeCell ref="FI17:FJ17"/>
    <mergeCell ref="FK17:FM17"/>
    <mergeCell ref="FO17:FP17"/>
    <mergeCell ref="FE14:FG14"/>
    <mergeCell ref="FI14:FJ14"/>
    <mergeCell ref="FK14:FM14"/>
    <mergeCell ref="FO14:FP14"/>
    <mergeCell ref="FE15:FG15"/>
    <mergeCell ref="FI15:FJ15"/>
    <mergeCell ref="FK15:FM15"/>
    <mergeCell ref="FO15:FP15"/>
    <mergeCell ref="FE12:FG12"/>
    <mergeCell ref="FI12:FJ12"/>
    <mergeCell ref="FK12:FM12"/>
    <mergeCell ref="FO12:FP12"/>
    <mergeCell ref="FE13:FG13"/>
    <mergeCell ref="FI13:FJ13"/>
    <mergeCell ref="FK13:FM13"/>
    <mergeCell ref="FO13:FP13"/>
    <mergeCell ref="FE9:FP9"/>
    <mergeCell ref="FE10:FG10"/>
    <mergeCell ref="FI10:FJ10"/>
    <mergeCell ref="FK10:FM10"/>
    <mergeCell ref="FO10:FP10"/>
    <mergeCell ref="FE11:FG11"/>
    <mergeCell ref="FI11:FJ11"/>
    <mergeCell ref="FK11:FM11"/>
    <mergeCell ref="FO11:FP11"/>
    <mergeCell ref="FH7:FJ7"/>
    <mergeCell ref="FK7:FM7"/>
    <mergeCell ref="FN7:FP7"/>
    <mergeCell ref="FE8:FG8"/>
    <mergeCell ref="FH8:FJ8"/>
    <mergeCell ref="FK8:FM8"/>
    <mergeCell ref="FN8:FP8"/>
    <mergeCell ref="EO100:EZ100"/>
    <mergeCell ref="EW89:EX89"/>
    <mergeCell ref="EP86:ES86"/>
    <mergeCell ref="EU86:EV86"/>
    <mergeCell ref="EW86:EX86"/>
    <mergeCell ref="EP87:ES87"/>
    <mergeCell ref="EU87:EV87"/>
    <mergeCell ref="EW87:EX87"/>
    <mergeCell ref="EP84:ES84"/>
    <mergeCell ref="EU84:EV84"/>
    <mergeCell ref="EW84:EX84"/>
    <mergeCell ref="EP85:ES85"/>
    <mergeCell ref="EU85:EV85"/>
    <mergeCell ref="EW85:EX85"/>
    <mergeCell ref="EP82:ES82"/>
    <mergeCell ref="EU82:EV82"/>
    <mergeCell ref="FE1:FP1"/>
    <mergeCell ref="FE2:FP2"/>
    <mergeCell ref="FE3:FN3"/>
    <mergeCell ref="FF4:FJ4"/>
    <mergeCell ref="FL4:FP4"/>
    <mergeCell ref="FE5:FJ5"/>
    <mergeCell ref="FK5:FM5"/>
    <mergeCell ref="FN5:FP5"/>
    <mergeCell ref="FE7:FG7"/>
    <mergeCell ref="EO94:EZ94"/>
    <mergeCell ref="EP95:EZ95"/>
    <mergeCell ref="EO96:EZ96"/>
    <mergeCell ref="EO97:EZ97"/>
    <mergeCell ref="EO98:EZ98"/>
    <mergeCell ref="EO99:EZ99"/>
    <mergeCell ref="EP92:ES92"/>
    <mergeCell ref="EU92:EV92"/>
    <mergeCell ref="EW92:EX92"/>
    <mergeCell ref="EP93:ES93"/>
    <mergeCell ref="EU93:EV93"/>
    <mergeCell ref="EW93:EX93"/>
    <mergeCell ref="EP90:ES90"/>
    <mergeCell ref="EU90:EV90"/>
    <mergeCell ref="EW90:EX90"/>
    <mergeCell ref="EP91:ES91"/>
    <mergeCell ref="EU91:EV91"/>
    <mergeCell ref="EW91:EX91"/>
    <mergeCell ref="EP88:ES88"/>
    <mergeCell ref="EU88:EV88"/>
    <mergeCell ref="EW88:EX88"/>
    <mergeCell ref="EP89:ES89"/>
    <mergeCell ref="EU89:EV89"/>
    <mergeCell ref="EW82:EX82"/>
    <mergeCell ref="EP83:ES83"/>
    <mergeCell ref="EU83:EV83"/>
    <mergeCell ref="EW83:EX83"/>
    <mergeCell ref="EP80:ES80"/>
    <mergeCell ref="EU80:EV80"/>
    <mergeCell ref="EW80:EX80"/>
    <mergeCell ref="EP81:ES81"/>
    <mergeCell ref="EU81:EV81"/>
    <mergeCell ref="EW81:EX81"/>
    <mergeCell ref="EU77:EV77"/>
    <mergeCell ref="EW77:EX77"/>
    <mergeCell ref="EU78:EV78"/>
    <mergeCell ref="EW78:EX78"/>
    <mergeCell ref="EP79:ES79"/>
    <mergeCell ref="EU79:EV79"/>
    <mergeCell ref="EW79:EX79"/>
    <mergeCell ref="EP74:ES74"/>
    <mergeCell ref="EU74:EV74"/>
    <mergeCell ref="EW74:EX74"/>
    <mergeCell ref="EU75:EV75"/>
    <mergeCell ref="EW75:EX75"/>
    <mergeCell ref="EU76:EV76"/>
    <mergeCell ref="EW76:EX76"/>
    <mergeCell ref="EP72:ES72"/>
    <mergeCell ref="EU72:EV72"/>
    <mergeCell ref="EW72:EX72"/>
    <mergeCell ref="EP73:ES73"/>
    <mergeCell ref="EU73:EV73"/>
    <mergeCell ref="EW73:EX73"/>
    <mergeCell ref="EP70:ES70"/>
    <mergeCell ref="EU70:EV70"/>
    <mergeCell ref="EW70:EX70"/>
    <mergeCell ref="EP71:ES71"/>
    <mergeCell ref="EU71:EV71"/>
    <mergeCell ref="EW71:EX71"/>
    <mergeCell ref="EP68:ES68"/>
    <mergeCell ref="EU68:EV68"/>
    <mergeCell ref="EW68:EX68"/>
    <mergeCell ref="EP69:ES69"/>
    <mergeCell ref="EU69:EV69"/>
    <mergeCell ref="EW69:EX69"/>
    <mergeCell ref="EP66:ES66"/>
    <mergeCell ref="EU66:EV66"/>
    <mergeCell ref="EW66:EX66"/>
    <mergeCell ref="EP67:ES67"/>
    <mergeCell ref="EU67:EV67"/>
    <mergeCell ref="EW67:EX67"/>
    <mergeCell ref="EP64:ES64"/>
    <mergeCell ref="EU64:EV64"/>
    <mergeCell ref="EW64:EX64"/>
    <mergeCell ref="EP65:ES65"/>
    <mergeCell ref="EU65:EV65"/>
    <mergeCell ref="EW65:EX65"/>
    <mergeCell ref="EO60:EZ60"/>
    <mergeCell ref="EO61:EU62"/>
    <mergeCell ref="EV61:EZ61"/>
    <mergeCell ref="EY62:EZ62"/>
    <mergeCell ref="EP63:ES63"/>
    <mergeCell ref="EU63:EV63"/>
    <mergeCell ref="EW63:EX63"/>
    <mergeCell ref="EO54:EZ54"/>
    <mergeCell ref="EO55:EZ55"/>
    <mergeCell ref="EO56:EZ56"/>
    <mergeCell ref="EO57:EZ57"/>
    <mergeCell ref="EO58:EZ58"/>
    <mergeCell ref="EO59:EZ59"/>
    <mergeCell ref="EO48:EZ48"/>
    <mergeCell ref="EO49:EZ49"/>
    <mergeCell ref="EO50:EZ50"/>
    <mergeCell ref="EO51:EZ51"/>
    <mergeCell ref="EO52:EZ52"/>
    <mergeCell ref="EO53:EZ53"/>
    <mergeCell ref="EO42:EZ42"/>
    <mergeCell ref="EO43:EZ43"/>
    <mergeCell ref="EO44:EZ44"/>
    <mergeCell ref="EO45:EZ45"/>
    <mergeCell ref="EO46:EZ46"/>
    <mergeCell ref="EO47:EZ47"/>
    <mergeCell ref="EP31:EQ31"/>
    <mergeCell ref="ER31:ET31"/>
    <mergeCell ref="EU31:EW31"/>
    <mergeCell ref="EY31:EZ31"/>
    <mergeCell ref="EO32:EZ34"/>
    <mergeCell ref="EO35:EZ41"/>
    <mergeCell ref="EP29:EQ29"/>
    <mergeCell ref="ER29:ET29"/>
    <mergeCell ref="EU29:EW29"/>
    <mergeCell ref="EY29:EZ29"/>
    <mergeCell ref="EP30:EQ30"/>
    <mergeCell ref="ER30:ET30"/>
    <mergeCell ref="EU30:EW30"/>
    <mergeCell ref="EY30:EZ30"/>
    <mergeCell ref="EP27:EQ27"/>
    <mergeCell ref="ER27:ET27"/>
    <mergeCell ref="EU27:EW27"/>
    <mergeCell ref="EY27:EZ27"/>
    <mergeCell ref="EP28:EQ28"/>
    <mergeCell ref="ER28:ET28"/>
    <mergeCell ref="EU28:EW28"/>
    <mergeCell ref="EY28:EZ28"/>
    <mergeCell ref="EO24:EQ24"/>
    <mergeCell ref="ES24:ET24"/>
    <mergeCell ref="EU24:EW24"/>
    <mergeCell ref="EY24:EZ24"/>
    <mergeCell ref="EO25:EZ25"/>
    <mergeCell ref="EP26:EQ26"/>
    <mergeCell ref="ER26:ET26"/>
    <mergeCell ref="EU26:EW26"/>
    <mergeCell ref="EY26:EZ26"/>
    <mergeCell ref="EO22:EQ22"/>
    <mergeCell ref="ES22:ET22"/>
    <mergeCell ref="EU22:EW22"/>
    <mergeCell ref="EY22:EZ22"/>
    <mergeCell ref="EO23:EQ23"/>
    <mergeCell ref="ES23:ET23"/>
    <mergeCell ref="EU23:EW23"/>
    <mergeCell ref="EY23:EZ23"/>
    <mergeCell ref="EO19:EZ19"/>
    <mergeCell ref="EO20:EQ20"/>
    <mergeCell ref="ES20:ET20"/>
    <mergeCell ref="EU20:EW20"/>
    <mergeCell ref="EY20:EZ20"/>
    <mergeCell ref="EO21:EQ21"/>
    <mergeCell ref="ES21:ET21"/>
    <mergeCell ref="EU21:EW21"/>
    <mergeCell ref="EY21:EZ21"/>
    <mergeCell ref="EO17:EQ17"/>
    <mergeCell ref="ES17:ET17"/>
    <mergeCell ref="EU17:EW17"/>
    <mergeCell ref="EY17:EZ17"/>
    <mergeCell ref="EO18:EQ18"/>
    <mergeCell ref="ES18:ET18"/>
    <mergeCell ref="EU18:EW18"/>
    <mergeCell ref="EY18:EZ18"/>
    <mergeCell ref="EO15:EQ15"/>
    <mergeCell ref="ES15:ET15"/>
    <mergeCell ref="EU15:EW15"/>
    <mergeCell ref="EY15:EZ15"/>
    <mergeCell ref="EO16:EQ16"/>
    <mergeCell ref="ES16:ET16"/>
    <mergeCell ref="EU16:EW16"/>
    <mergeCell ref="EY16:EZ16"/>
    <mergeCell ref="EO13:EQ13"/>
    <mergeCell ref="ES13:ET13"/>
    <mergeCell ref="EU13:EW13"/>
    <mergeCell ref="EY13:EZ13"/>
    <mergeCell ref="EO14:EQ14"/>
    <mergeCell ref="ES14:ET14"/>
    <mergeCell ref="EU14:EW14"/>
    <mergeCell ref="EY14:EZ14"/>
    <mergeCell ref="EO11:EQ11"/>
    <mergeCell ref="ES11:ET11"/>
    <mergeCell ref="EU11:EW11"/>
    <mergeCell ref="EY11:EZ11"/>
    <mergeCell ref="EO12:EQ12"/>
    <mergeCell ref="ES12:ET12"/>
    <mergeCell ref="EU12:EW12"/>
    <mergeCell ref="EY12:EZ12"/>
    <mergeCell ref="EO8:EQ8"/>
    <mergeCell ref="ER8:ET8"/>
    <mergeCell ref="EU8:EW8"/>
    <mergeCell ref="EX8:EZ8"/>
    <mergeCell ref="EO9:EZ9"/>
    <mergeCell ref="EO10:EQ10"/>
    <mergeCell ref="ES10:ET10"/>
    <mergeCell ref="EU10:EW10"/>
    <mergeCell ref="EY10:EZ10"/>
    <mergeCell ref="EU5:EW5"/>
    <mergeCell ref="EX5:EZ5"/>
    <mergeCell ref="EO7:EQ7"/>
    <mergeCell ref="ER7:ET7"/>
    <mergeCell ref="EU7:EW7"/>
    <mergeCell ref="EX7:EZ7"/>
    <mergeCell ref="DY97:EJ97"/>
    <mergeCell ref="DY98:EJ98"/>
    <mergeCell ref="DY99:EJ99"/>
    <mergeCell ref="DY100:EJ100"/>
    <mergeCell ref="EO1:EZ1"/>
    <mergeCell ref="EO2:EZ2"/>
    <mergeCell ref="EO3:EX3"/>
    <mergeCell ref="EP4:ET4"/>
    <mergeCell ref="EV4:EZ4"/>
    <mergeCell ref="EO5:ET5"/>
    <mergeCell ref="DZ93:EC93"/>
    <mergeCell ref="EE93:EF93"/>
    <mergeCell ref="EG93:EH93"/>
    <mergeCell ref="DY94:EJ94"/>
    <mergeCell ref="DZ95:EJ95"/>
    <mergeCell ref="DY96:EJ96"/>
    <mergeCell ref="DZ91:EC91"/>
    <mergeCell ref="EE91:EF91"/>
    <mergeCell ref="EG91:EH91"/>
    <mergeCell ref="DZ92:EC92"/>
    <mergeCell ref="EE92:EF92"/>
    <mergeCell ref="EG92:EH92"/>
    <mergeCell ref="DZ89:EC89"/>
    <mergeCell ref="EE89:EF89"/>
    <mergeCell ref="EG89:EH89"/>
    <mergeCell ref="DZ90:EC90"/>
    <mergeCell ref="EE90:EF90"/>
    <mergeCell ref="EG90:EH90"/>
    <mergeCell ref="DZ87:EC87"/>
    <mergeCell ref="EE87:EF87"/>
    <mergeCell ref="EG87:EH87"/>
    <mergeCell ref="DZ88:EC88"/>
    <mergeCell ref="EE88:EF88"/>
    <mergeCell ref="EG88:EH88"/>
    <mergeCell ref="DZ85:EC85"/>
    <mergeCell ref="EE85:EF85"/>
    <mergeCell ref="EG85:EH85"/>
    <mergeCell ref="DZ86:EC86"/>
    <mergeCell ref="EE86:EF86"/>
    <mergeCell ref="EG86:EH86"/>
    <mergeCell ref="DZ83:EC83"/>
    <mergeCell ref="EE83:EF83"/>
    <mergeCell ref="EG83:EH83"/>
    <mergeCell ref="DZ84:EC84"/>
    <mergeCell ref="EE84:EF84"/>
    <mergeCell ref="EG84:EH84"/>
    <mergeCell ref="DZ81:EC81"/>
    <mergeCell ref="EE81:EF81"/>
    <mergeCell ref="EG81:EH81"/>
    <mergeCell ref="DZ82:EC82"/>
    <mergeCell ref="EE82:EF82"/>
    <mergeCell ref="EG82:EH82"/>
    <mergeCell ref="EE78:EF78"/>
    <mergeCell ref="EG78:EH78"/>
    <mergeCell ref="DZ79:EC79"/>
    <mergeCell ref="EE79:EF79"/>
    <mergeCell ref="EG79:EH79"/>
    <mergeCell ref="DZ80:EC80"/>
    <mergeCell ref="EE80:EF80"/>
    <mergeCell ref="EG80:EH80"/>
    <mergeCell ref="EE75:EF75"/>
    <mergeCell ref="EG75:EH75"/>
    <mergeCell ref="EE76:EF76"/>
    <mergeCell ref="EG76:EH76"/>
    <mergeCell ref="EE77:EF77"/>
    <mergeCell ref="EG77:EH77"/>
    <mergeCell ref="DZ73:EC73"/>
    <mergeCell ref="EE73:EF73"/>
    <mergeCell ref="EG73:EH73"/>
    <mergeCell ref="DZ74:EC74"/>
    <mergeCell ref="EE74:EF74"/>
    <mergeCell ref="EG74:EH74"/>
    <mergeCell ref="DZ71:EC71"/>
    <mergeCell ref="EE71:EF71"/>
    <mergeCell ref="EG71:EH71"/>
    <mergeCell ref="DZ72:EC72"/>
    <mergeCell ref="EE72:EF72"/>
    <mergeCell ref="EG72:EH72"/>
    <mergeCell ref="DZ69:EC69"/>
    <mergeCell ref="EE69:EF69"/>
    <mergeCell ref="EG69:EH69"/>
    <mergeCell ref="DZ70:EC70"/>
    <mergeCell ref="EE70:EF70"/>
    <mergeCell ref="EG70:EH70"/>
    <mergeCell ref="DZ67:EC67"/>
    <mergeCell ref="EE67:EF67"/>
    <mergeCell ref="EG67:EH67"/>
    <mergeCell ref="DZ68:EC68"/>
    <mergeCell ref="EE68:EF68"/>
    <mergeCell ref="EG68:EH68"/>
    <mergeCell ref="DZ65:EC65"/>
    <mergeCell ref="EE65:EF65"/>
    <mergeCell ref="EG65:EH65"/>
    <mergeCell ref="DZ66:EC66"/>
    <mergeCell ref="EE66:EF66"/>
    <mergeCell ref="EG66:EH66"/>
    <mergeCell ref="DZ63:EC63"/>
    <mergeCell ref="EE63:EF63"/>
    <mergeCell ref="EG63:EH63"/>
    <mergeCell ref="DZ64:EC64"/>
    <mergeCell ref="EE64:EF64"/>
    <mergeCell ref="EG64:EH64"/>
    <mergeCell ref="DY58:EJ58"/>
    <mergeCell ref="DY59:EJ59"/>
    <mergeCell ref="DY60:EJ60"/>
    <mergeCell ref="DY61:EE62"/>
    <mergeCell ref="EF61:EJ61"/>
    <mergeCell ref="EI62:EJ62"/>
    <mergeCell ref="DY52:EJ52"/>
    <mergeCell ref="DY53:EJ53"/>
    <mergeCell ref="DY54:EJ54"/>
    <mergeCell ref="DY55:EJ55"/>
    <mergeCell ref="DY56:EJ56"/>
    <mergeCell ref="DY57:EJ57"/>
    <mergeCell ref="DY46:EJ46"/>
    <mergeCell ref="DY47:EJ47"/>
    <mergeCell ref="DY48:EJ48"/>
    <mergeCell ref="DY49:EJ49"/>
    <mergeCell ref="DY50:EJ50"/>
    <mergeCell ref="DY51:EJ51"/>
    <mergeCell ref="DY32:EJ34"/>
    <mergeCell ref="DY35:EJ41"/>
    <mergeCell ref="DY42:EJ42"/>
    <mergeCell ref="DY43:EJ43"/>
    <mergeCell ref="DY44:EJ44"/>
    <mergeCell ref="DY45:EJ45"/>
    <mergeCell ref="DZ30:EA30"/>
    <mergeCell ref="EB30:ED30"/>
    <mergeCell ref="EE30:EG30"/>
    <mergeCell ref="EI30:EJ30"/>
    <mergeCell ref="DZ31:EA31"/>
    <mergeCell ref="EB31:ED31"/>
    <mergeCell ref="EE31:EG31"/>
    <mergeCell ref="EI31:EJ31"/>
    <mergeCell ref="DZ28:EA28"/>
    <mergeCell ref="EB28:ED28"/>
    <mergeCell ref="EE28:EG28"/>
    <mergeCell ref="EI28:EJ28"/>
    <mergeCell ref="DZ29:EA29"/>
    <mergeCell ref="EB29:ED29"/>
    <mergeCell ref="EE29:EG29"/>
    <mergeCell ref="EI29:EJ29"/>
    <mergeCell ref="DY25:EJ25"/>
    <mergeCell ref="DZ26:EA26"/>
    <mergeCell ref="EB26:ED26"/>
    <mergeCell ref="EE26:EG26"/>
    <mergeCell ref="EI26:EJ26"/>
    <mergeCell ref="DZ27:EA27"/>
    <mergeCell ref="EB27:ED27"/>
    <mergeCell ref="EE27:EG27"/>
    <mergeCell ref="EI27:EJ27"/>
    <mergeCell ref="DY23:EA23"/>
    <mergeCell ref="EC23:ED23"/>
    <mergeCell ref="EE23:EG23"/>
    <mergeCell ref="EI23:EJ23"/>
    <mergeCell ref="DY24:EA24"/>
    <mergeCell ref="EC24:ED24"/>
    <mergeCell ref="EE24:EG24"/>
    <mergeCell ref="EI24:EJ24"/>
    <mergeCell ref="DY21:EA21"/>
    <mergeCell ref="EC21:ED21"/>
    <mergeCell ref="EE21:EG21"/>
    <mergeCell ref="EI21:EJ21"/>
    <mergeCell ref="DY22:EA22"/>
    <mergeCell ref="EC22:ED22"/>
    <mergeCell ref="EE22:EG22"/>
    <mergeCell ref="EI22:EJ22"/>
    <mergeCell ref="DY18:EA18"/>
    <mergeCell ref="EC18:ED18"/>
    <mergeCell ref="EE18:EG18"/>
    <mergeCell ref="EI18:EJ18"/>
    <mergeCell ref="DY19:EJ19"/>
    <mergeCell ref="DY20:EA20"/>
    <mergeCell ref="EC20:ED20"/>
    <mergeCell ref="EE20:EG20"/>
    <mergeCell ref="EI20:EJ20"/>
    <mergeCell ref="DY16:EA16"/>
    <mergeCell ref="EC16:ED16"/>
    <mergeCell ref="EE16:EG16"/>
    <mergeCell ref="EI16:EJ16"/>
    <mergeCell ref="DY17:EA17"/>
    <mergeCell ref="EC17:ED17"/>
    <mergeCell ref="EE17:EG17"/>
    <mergeCell ref="EI17:EJ17"/>
    <mergeCell ref="DY14:EA14"/>
    <mergeCell ref="EC14:ED14"/>
    <mergeCell ref="EE14:EG14"/>
    <mergeCell ref="EI14:EJ14"/>
    <mergeCell ref="DY15:EA15"/>
    <mergeCell ref="EC15:ED15"/>
    <mergeCell ref="EE15:EG15"/>
    <mergeCell ref="EI15:EJ15"/>
    <mergeCell ref="DY12:EA12"/>
    <mergeCell ref="EC12:ED12"/>
    <mergeCell ref="EE12:EG12"/>
    <mergeCell ref="EI12:EJ12"/>
    <mergeCell ref="DY13:EA13"/>
    <mergeCell ref="EC13:ED13"/>
    <mergeCell ref="EE13:EG13"/>
    <mergeCell ref="EI13:EJ13"/>
    <mergeCell ref="DY9:EJ9"/>
    <mergeCell ref="DY10:EA10"/>
    <mergeCell ref="EC10:ED10"/>
    <mergeCell ref="EE10:EG10"/>
    <mergeCell ref="EI10:EJ10"/>
    <mergeCell ref="DY11:EA11"/>
    <mergeCell ref="EC11:ED11"/>
    <mergeCell ref="EE11:EG11"/>
    <mergeCell ref="EI11:EJ11"/>
    <mergeCell ref="EB7:ED7"/>
    <mergeCell ref="EE7:EG7"/>
    <mergeCell ref="EH7:EJ7"/>
    <mergeCell ref="DY8:EA8"/>
    <mergeCell ref="EB8:ED8"/>
    <mergeCell ref="EE8:EG8"/>
    <mergeCell ref="EH8:EJ8"/>
    <mergeCell ref="DI100:DT100"/>
    <mergeCell ref="DQ89:DR89"/>
    <mergeCell ref="DJ86:DM86"/>
    <mergeCell ref="DO86:DP86"/>
    <mergeCell ref="DQ86:DR86"/>
    <mergeCell ref="DJ87:DM87"/>
    <mergeCell ref="DO87:DP87"/>
    <mergeCell ref="DQ87:DR87"/>
    <mergeCell ref="DJ84:DM84"/>
    <mergeCell ref="DO84:DP84"/>
    <mergeCell ref="DQ84:DR84"/>
    <mergeCell ref="DJ85:DM85"/>
    <mergeCell ref="DO85:DP85"/>
    <mergeCell ref="DQ85:DR85"/>
    <mergeCell ref="DJ82:DM82"/>
    <mergeCell ref="DO82:DP82"/>
    <mergeCell ref="DY1:EJ1"/>
    <mergeCell ref="DY2:EJ2"/>
    <mergeCell ref="DY3:EH3"/>
    <mergeCell ref="DZ4:ED4"/>
    <mergeCell ref="EF4:EJ4"/>
    <mergeCell ref="DY5:ED5"/>
    <mergeCell ref="EE5:EG5"/>
    <mergeCell ref="EH5:EJ5"/>
    <mergeCell ref="DY7:EA7"/>
    <mergeCell ref="DI94:DT94"/>
    <mergeCell ref="DJ95:DT95"/>
    <mergeCell ref="DI96:DT96"/>
    <mergeCell ref="DI97:DT97"/>
    <mergeCell ref="DI98:DT98"/>
    <mergeCell ref="DI99:DT99"/>
    <mergeCell ref="DJ92:DM92"/>
    <mergeCell ref="DO92:DP92"/>
    <mergeCell ref="DQ92:DR92"/>
    <mergeCell ref="DJ93:DM93"/>
    <mergeCell ref="DO93:DP93"/>
    <mergeCell ref="DQ93:DR93"/>
    <mergeCell ref="DJ90:DM90"/>
    <mergeCell ref="DO90:DP90"/>
    <mergeCell ref="DQ90:DR90"/>
    <mergeCell ref="DJ91:DM91"/>
    <mergeCell ref="DO91:DP91"/>
    <mergeCell ref="DQ91:DR91"/>
    <mergeCell ref="DJ88:DM88"/>
    <mergeCell ref="DO88:DP88"/>
    <mergeCell ref="DQ88:DR88"/>
    <mergeCell ref="DJ89:DM89"/>
    <mergeCell ref="DO89:DP89"/>
    <mergeCell ref="DQ82:DR82"/>
    <mergeCell ref="DJ83:DM83"/>
    <mergeCell ref="DO83:DP83"/>
    <mergeCell ref="DQ83:DR83"/>
    <mergeCell ref="DJ80:DM80"/>
    <mergeCell ref="DO80:DP80"/>
    <mergeCell ref="DQ80:DR80"/>
    <mergeCell ref="DJ81:DM81"/>
    <mergeCell ref="DO81:DP81"/>
    <mergeCell ref="DQ81:DR81"/>
    <mergeCell ref="DO77:DP77"/>
    <mergeCell ref="DQ77:DR77"/>
    <mergeCell ref="DO78:DP78"/>
    <mergeCell ref="DQ78:DR78"/>
    <mergeCell ref="DJ79:DM79"/>
    <mergeCell ref="DO79:DP79"/>
    <mergeCell ref="DQ79:DR79"/>
    <mergeCell ref="DJ74:DM74"/>
    <mergeCell ref="DO74:DP74"/>
    <mergeCell ref="DQ74:DR74"/>
    <mergeCell ref="DO75:DP75"/>
    <mergeCell ref="DQ75:DR75"/>
    <mergeCell ref="DO76:DP76"/>
    <mergeCell ref="DQ76:DR76"/>
    <mergeCell ref="DJ72:DM72"/>
    <mergeCell ref="DO72:DP72"/>
    <mergeCell ref="DQ72:DR72"/>
    <mergeCell ref="DJ73:DM73"/>
    <mergeCell ref="DO73:DP73"/>
    <mergeCell ref="DQ73:DR73"/>
    <mergeCell ref="DJ70:DM70"/>
    <mergeCell ref="DO70:DP70"/>
    <mergeCell ref="DQ70:DR70"/>
    <mergeCell ref="DJ71:DM71"/>
    <mergeCell ref="DO71:DP71"/>
    <mergeCell ref="DQ71:DR71"/>
    <mergeCell ref="DJ68:DM68"/>
    <mergeCell ref="DO68:DP68"/>
    <mergeCell ref="DQ68:DR68"/>
    <mergeCell ref="DJ69:DM69"/>
    <mergeCell ref="DO69:DP69"/>
    <mergeCell ref="DQ69:DR69"/>
    <mergeCell ref="DJ66:DM66"/>
    <mergeCell ref="DO66:DP66"/>
    <mergeCell ref="DQ66:DR66"/>
    <mergeCell ref="DJ67:DM67"/>
    <mergeCell ref="DO67:DP67"/>
    <mergeCell ref="DQ67:DR67"/>
    <mergeCell ref="DJ64:DM64"/>
    <mergeCell ref="DO64:DP64"/>
    <mergeCell ref="DQ64:DR64"/>
    <mergeCell ref="DJ65:DM65"/>
    <mergeCell ref="DO65:DP65"/>
    <mergeCell ref="DQ65:DR65"/>
    <mergeCell ref="DI60:DT60"/>
    <mergeCell ref="DI61:DO62"/>
    <mergeCell ref="DP61:DT61"/>
    <mergeCell ref="DS62:DT62"/>
    <mergeCell ref="DJ63:DM63"/>
    <mergeCell ref="DO63:DP63"/>
    <mergeCell ref="DQ63:DR63"/>
    <mergeCell ref="DI54:DT54"/>
    <mergeCell ref="DI55:DT55"/>
    <mergeCell ref="DI56:DT56"/>
    <mergeCell ref="DI57:DT57"/>
    <mergeCell ref="DI58:DT58"/>
    <mergeCell ref="DI59:DT59"/>
    <mergeCell ref="DI48:DT48"/>
    <mergeCell ref="DI49:DT49"/>
    <mergeCell ref="DI50:DT50"/>
    <mergeCell ref="DI51:DT51"/>
    <mergeCell ref="DI52:DT52"/>
    <mergeCell ref="DI53:DT53"/>
    <mergeCell ref="DI42:DT42"/>
    <mergeCell ref="DI43:DT43"/>
    <mergeCell ref="DI44:DT44"/>
    <mergeCell ref="DI45:DT45"/>
    <mergeCell ref="DI46:DT46"/>
    <mergeCell ref="DI47:DT47"/>
    <mergeCell ref="DJ31:DK31"/>
    <mergeCell ref="DL31:DN31"/>
    <mergeCell ref="DO31:DQ31"/>
    <mergeCell ref="DS31:DT31"/>
    <mergeCell ref="DI32:DT34"/>
    <mergeCell ref="DI35:DT41"/>
    <mergeCell ref="DJ29:DK29"/>
    <mergeCell ref="DL29:DN29"/>
    <mergeCell ref="DO29:DQ29"/>
    <mergeCell ref="DS29:DT29"/>
    <mergeCell ref="DJ30:DK30"/>
    <mergeCell ref="DL30:DN30"/>
    <mergeCell ref="DO30:DQ30"/>
    <mergeCell ref="DS30:DT30"/>
    <mergeCell ref="DJ27:DK27"/>
    <mergeCell ref="DL27:DN27"/>
    <mergeCell ref="DO27:DQ27"/>
    <mergeCell ref="DS27:DT27"/>
    <mergeCell ref="DJ28:DK28"/>
    <mergeCell ref="DL28:DN28"/>
    <mergeCell ref="DO28:DQ28"/>
    <mergeCell ref="DS28:DT28"/>
    <mergeCell ref="DI24:DK24"/>
    <mergeCell ref="DM24:DN24"/>
    <mergeCell ref="DO24:DQ24"/>
    <mergeCell ref="DS24:DT24"/>
    <mergeCell ref="DI25:DT25"/>
    <mergeCell ref="DJ26:DK26"/>
    <mergeCell ref="DL26:DN26"/>
    <mergeCell ref="DO26:DQ26"/>
    <mergeCell ref="DS26:DT26"/>
    <mergeCell ref="DI22:DK22"/>
    <mergeCell ref="DM22:DN22"/>
    <mergeCell ref="DO22:DQ22"/>
    <mergeCell ref="DS22:DT22"/>
    <mergeCell ref="DI23:DK23"/>
    <mergeCell ref="DM23:DN23"/>
    <mergeCell ref="DO23:DQ23"/>
    <mergeCell ref="DS23:DT23"/>
    <mergeCell ref="DI19:DT19"/>
    <mergeCell ref="DI20:DK20"/>
    <mergeCell ref="DM20:DN20"/>
    <mergeCell ref="DO20:DQ20"/>
    <mergeCell ref="DS20:DT20"/>
    <mergeCell ref="DI21:DK21"/>
    <mergeCell ref="DM21:DN21"/>
    <mergeCell ref="DO21:DQ21"/>
    <mergeCell ref="DS21:DT21"/>
    <mergeCell ref="DI17:DK17"/>
    <mergeCell ref="DM17:DN17"/>
    <mergeCell ref="DO17:DQ17"/>
    <mergeCell ref="DS17:DT17"/>
    <mergeCell ref="DI18:DK18"/>
    <mergeCell ref="DM18:DN18"/>
    <mergeCell ref="DO18:DQ18"/>
    <mergeCell ref="DS18:DT18"/>
    <mergeCell ref="DI15:DK15"/>
    <mergeCell ref="DM15:DN15"/>
    <mergeCell ref="DO15:DQ15"/>
    <mergeCell ref="DS15:DT15"/>
    <mergeCell ref="DI16:DK16"/>
    <mergeCell ref="DM16:DN16"/>
    <mergeCell ref="DO16:DQ16"/>
    <mergeCell ref="DS16:DT16"/>
    <mergeCell ref="DI13:DK13"/>
    <mergeCell ref="DM13:DN13"/>
    <mergeCell ref="DO13:DQ13"/>
    <mergeCell ref="DS13:DT13"/>
    <mergeCell ref="DI14:DK14"/>
    <mergeCell ref="DM14:DN14"/>
    <mergeCell ref="DO14:DQ14"/>
    <mergeCell ref="DS14:DT14"/>
    <mergeCell ref="DI11:DK11"/>
    <mergeCell ref="DM11:DN11"/>
    <mergeCell ref="DO11:DQ11"/>
    <mergeCell ref="DS11:DT11"/>
    <mergeCell ref="DI12:DK12"/>
    <mergeCell ref="DM12:DN12"/>
    <mergeCell ref="DO12:DQ12"/>
    <mergeCell ref="DS12:DT12"/>
    <mergeCell ref="DI8:DK8"/>
    <mergeCell ref="DL8:DN8"/>
    <mergeCell ref="DO8:DQ8"/>
    <mergeCell ref="DR8:DT8"/>
    <mergeCell ref="DI9:DT9"/>
    <mergeCell ref="DI10:DK10"/>
    <mergeCell ref="DM10:DN10"/>
    <mergeCell ref="DO10:DQ10"/>
    <mergeCell ref="DS10:DT10"/>
    <mergeCell ref="DO5:DQ5"/>
    <mergeCell ref="DR5:DT5"/>
    <mergeCell ref="DI7:DK7"/>
    <mergeCell ref="DL7:DN7"/>
    <mergeCell ref="DO7:DQ7"/>
    <mergeCell ref="DR7:DT7"/>
    <mergeCell ref="CS97:DD97"/>
    <mergeCell ref="CS98:DD98"/>
    <mergeCell ref="CS99:DD99"/>
    <mergeCell ref="CS100:DD100"/>
    <mergeCell ref="DI1:DT1"/>
    <mergeCell ref="DI2:DT2"/>
    <mergeCell ref="DI3:DR3"/>
    <mergeCell ref="DJ4:DN4"/>
    <mergeCell ref="DP4:DT4"/>
    <mergeCell ref="DI5:DN5"/>
    <mergeCell ref="CT93:CW93"/>
    <mergeCell ref="CY93:CZ93"/>
    <mergeCell ref="DA93:DB93"/>
    <mergeCell ref="CS94:DD94"/>
    <mergeCell ref="CT95:DD95"/>
    <mergeCell ref="CS96:DD96"/>
    <mergeCell ref="CT91:CW91"/>
    <mergeCell ref="CY91:CZ91"/>
    <mergeCell ref="DA91:DB91"/>
    <mergeCell ref="CT92:CW92"/>
    <mergeCell ref="CY92:CZ92"/>
    <mergeCell ref="DA92:DB92"/>
    <mergeCell ref="CT89:CW89"/>
    <mergeCell ref="CY89:CZ89"/>
    <mergeCell ref="DA89:DB89"/>
    <mergeCell ref="CT90:CW90"/>
    <mergeCell ref="CY90:CZ90"/>
    <mergeCell ref="DA90:DB90"/>
    <mergeCell ref="CT87:CW87"/>
    <mergeCell ref="CY87:CZ87"/>
    <mergeCell ref="DA87:DB87"/>
    <mergeCell ref="CT88:CW88"/>
    <mergeCell ref="CY88:CZ88"/>
    <mergeCell ref="DA88:DB88"/>
    <mergeCell ref="CT85:CW85"/>
    <mergeCell ref="CY85:CZ85"/>
    <mergeCell ref="DA85:DB85"/>
    <mergeCell ref="CT86:CW86"/>
    <mergeCell ref="CY86:CZ86"/>
    <mergeCell ref="DA86:DB86"/>
    <mergeCell ref="CT83:CW83"/>
    <mergeCell ref="CY83:CZ83"/>
    <mergeCell ref="DA83:DB83"/>
    <mergeCell ref="CT84:CW84"/>
    <mergeCell ref="CY84:CZ84"/>
    <mergeCell ref="DA84:DB84"/>
    <mergeCell ref="CT81:CW81"/>
    <mergeCell ref="CY81:CZ81"/>
    <mergeCell ref="DA81:DB81"/>
    <mergeCell ref="CT82:CW82"/>
    <mergeCell ref="CY82:CZ82"/>
    <mergeCell ref="DA82:DB82"/>
    <mergeCell ref="CY78:CZ78"/>
    <mergeCell ref="DA78:DB78"/>
    <mergeCell ref="CT79:CW79"/>
    <mergeCell ref="CY79:CZ79"/>
    <mergeCell ref="DA79:DB79"/>
    <mergeCell ref="CT80:CW80"/>
    <mergeCell ref="CY80:CZ80"/>
    <mergeCell ref="DA80:DB80"/>
    <mergeCell ref="CY75:CZ75"/>
    <mergeCell ref="DA75:DB75"/>
    <mergeCell ref="CY76:CZ76"/>
    <mergeCell ref="DA76:DB76"/>
    <mergeCell ref="CY77:CZ77"/>
    <mergeCell ref="DA77:DB77"/>
    <mergeCell ref="CT73:CW73"/>
    <mergeCell ref="CY73:CZ73"/>
    <mergeCell ref="DA73:DB73"/>
    <mergeCell ref="CT74:CW74"/>
    <mergeCell ref="CY74:CZ74"/>
    <mergeCell ref="DA74:DB74"/>
    <mergeCell ref="CT71:CW71"/>
    <mergeCell ref="CY71:CZ71"/>
    <mergeCell ref="DA71:DB71"/>
    <mergeCell ref="CT72:CW72"/>
    <mergeCell ref="CY72:CZ72"/>
    <mergeCell ref="DA72:DB72"/>
    <mergeCell ref="CT69:CW69"/>
    <mergeCell ref="CY69:CZ69"/>
    <mergeCell ref="DA69:DB69"/>
    <mergeCell ref="CT70:CW70"/>
    <mergeCell ref="CY70:CZ70"/>
    <mergeCell ref="DA70:DB70"/>
    <mergeCell ref="CT67:CW67"/>
    <mergeCell ref="CY67:CZ67"/>
    <mergeCell ref="DA67:DB67"/>
    <mergeCell ref="CT68:CW68"/>
    <mergeCell ref="CY68:CZ68"/>
    <mergeCell ref="DA68:DB68"/>
    <mergeCell ref="CT65:CW65"/>
    <mergeCell ref="CY65:CZ65"/>
    <mergeCell ref="DA65:DB65"/>
    <mergeCell ref="CT66:CW66"/>
    <mergeCell ref="CY66:CZ66"/>
    <mergeCell ref="DA66:DB66"/>
    <mergeCell ref="CT63:CW63"/>
    <mergeCell ref="CY63:CZ63"/>
    <mergeCell ref="DA63:DB63"/>
    <mergeCell ref="CT64:CW64"/>
    <mergeCell ref="CY64:CZ64"/>
    <mergeCell ref="DA64:DB64"/>
    <mergeCell ref="CS58:DD58"/>
    <mergeCell ref="CS59:DD59"/>
    <mergeCell ref="CS60:DD60"/>
    <mergeCell ref="CS61:CY62"/>
    <mergeCell ref="CZ61:DD61"/>
    <mergeCell ref="DC62:DD62"/>
    <mergeCell ref="CS52:DD52"/>
    <mergeCell ref="CS53:DD53"/>
    <mergeCell ref="CS54:DD54"/>
    <mergeCell ref="CS55:DD55"/>
    <mergeCell ref="CS56:DD56"/>
    <mergeCell ref="CS57:DD57"/>
    <mergeCell ref="CS46:DD46"/>
    <mergeCell ref="CS47:DD47"/>
    <mergeCell ref="CS48:DD48"/>
    <mergeCell ref="CS49:DD49"/>
    <mergeCell ref="CS50:DD50"/>
    <mergeCell ref="CS51:DD51"/>
    <mergeCell ref="CS32:DD34"/>
    <mergeCell ref="CS35:DD41"/>
    <mergeCell ref="CS42:DD42"/>
    <mergeCell ref="CS43:DD43"/>
    <mergeCell ref="CS44:DD44"/>
    <mergeCell ref="CS45:DD45"/>
    <mergeCell ref="CT30:CU30"/>
    <mergeCell ref="CV30:CX30"/>
    <mergeCell ref="CY30:DA30"/>
    <mergeCell ref="DC30:DD30"/>
    <mergeCell ref="CT31:CU31"/>
    <mergeCell ref="CV31:CX31"/>
    <mergeCell ref="CY31:DA31"/>
    <mergeCell ref="DC31:DD31"/>
    <mergeCell ref="CT28:CU28"/>
    <mergeCell ref="CV28:CX28"/>
    <mergeCell ref="CY28:DA28"/>
    <mergeCell ref="DC28:DD28"/>
    <mergeCell ref="CT29:CU29"/>
    <mergeCell ref="CV29:CX29"/>
    <mergeCell ref="CY29:DA29"/>
    <mergeCell ref="DC29:DD29"/>
    <mergeCell ref="CS25:DD25"/>
    <mergeCell ref="CT26:CU26"/>
    <mergeCell ref="CV26:CX26"/>
    <mergeCell ref="CY26:DA26"/>
    <mergeCell ref="DC26:DD26"/>
    <mergeCell ref="CT27:CU27"/>
    <mergeCell ref="CV27:CX27"/>
    <mergeCell ref="CY27:DA27"/>
    <mergeCell ref="DC27:DD27"/>
    <mergeCell ref="CS23:CU23"/>
    <mergeCell ref="CW23:CX23"/>
    <mergeCell ref="CY23:DA23"/>
    <mergeCell ref="DC23:DD23"/>
    <mergeCell ref="CS24:CU24"/>
    <mergeCell ref="CW24:CX24"/>
    <mergeCell ref="CY24:DA24"/>
    <mergeCell ref="DC24:DD24"/>
    <mergeCell ref="CS21:CU21"/>
    <mergeCell ref="CW21:CX21"/>
    <mergeCell ref="CY21:DA21"/>
    <mergeCell ref="DC21:DD21"/>
    <mergeCell ref="CS22:CU22"/>
    <mergeCell ref="CW22:CX22"/>
    <mergeCell ref="CY22:DA22"/>
    <mergeCell ref="DC22:DD22"/>
    <mergeCell ref="CS18:CU18"/>
    <mergeCell ref="CW18:CX18"/>
    <mergeCell ref="CY18:DA18"/>
    <mergeCell ref="DC18:DD18"/>
    <mergeCell ref="CS19:DD19"/>
    <mergeCell ref="CS20:CU20"/>
    <mergeCell ref="CW20:CX20"/>
    <mergeCell ref="CY20:DA20"/>
    <mergeCell ref="DC20:DD20"/>
    <mergeCell ref="CS16:CU16"/>
    <mergeCell ref="CW16:CX16"/>
    <mergeCell ref="CY16:DA16"/>
    <mergeCell ref="DC16:DD16"/>
    <mergeCell ref="CS17:CU17"/>
    <mergeCell ref="CW17:CX17"/>
    <mergeCell ref="CY17:DA17"/>
    <mergeCell ref="DC17:DD17"/>
    <mergeCell ref="CS14:CU14"/>
    <mergeCell ref="CW14:CX14"/>
    <mergeCell ref="CY14:DA14"/>
    <mergeCell ref="DC14:DD14"/>
    <mergeCell ref="CS15:CU15"/>
    <mergeCell ref="CW15:CX15"/>
    <mergeCell ref="CY15:DA15"/>
    <mergeCell ref="DC15:DD15"/>
    <mergeCell ref="CS12:CU12"/>
    <mergeCell ref="CW12:CX12"/>
    <mergeCell ref="CY12:DA12"/>
    <mergeCell ref="DC12:DD12"/>
    <mergeCell ref="CS13:CU13"/>
    <mergeCell ref="CW13:CX13"/>
    <mergeCell ref="CY13:DA13"/>
    <mergeCell ref="DC13:DD13"/>
    <mergeCell ref="CS9:DD9"/>
    <mergeCell ref="CS10:CU10"/>
    <mergeCell ref="CW10:CX10"/>
    <mergeCell ref="CY10:DA10"/>
    <mergeCell ref="DC10:DD10"/>
    <mergeCell ref="CS11:CU11"/>
    <mergeCell ref="CW11:CX11"/>
    <mergeCell ref="CY11:DA11"/>
    <mergeCell ref="DC11:DD11"/>
    <mergeCell ref="CS7:CU7"/>
    <mergeCell ref="CV7:CX7"/>
    <mergeCell ref="CY7:DA7"/>
    <mergeCell ref="DB7:DD7"/>
    <mergeCell ref="CS8:CU8"/>
    <mergeCell ref="CV8:CX8"/>
    <mergeCell ref="CY8:DA8"/>
    <mergeCell ref="DB8:DD8"/>
    <mergeCell ref="CS1:DD1"/>
    <mergeCell ref="CS2:DD2"/>
    <mergeCell ref="CS3:DB3"/>
    <mergeCell ref="CT4:CX4"/>
    <mergeCell ref="CZ4:DD4"/>
    <mergeCell ref="CS5:CX5"/>
    <mergeCell ref="CY5:DA5"/>
    <mergeCell ref="DB5:DD5"/>
    <mergeCell ref="AG100:AR100"/>
    <mergeCell ref="AG94:AR94"/>
    <mergeCell ref="AH95:AR95"/>
    <mergeCell ref="AG96:AR96"/>
    <mergeCell ref="AG97:AR97"/>
    <mergeCell ref="AG98:AR98"/>
    <mergeCell ref="AG99:AR99"/>
    <mergeCell ref="AH92:AK92"/>
    <mergeCell ref="AM92:AN92"/>
    <mergeCell ref="AO92:AP92"/>
    <mergeCell ref="AH93:AK93"/>
    <mergeCell ref="AM93:AN93"/>
    <mergeCell ref="AO93:AP93"/>
    <mergeCell ref="AH90:AK90"/>
    <mergeCell ref="AM90:AN90"/>
    <mergeCell ref="AO90:AP90"/>
    <mergeCell ref="AH91:AK91"/>
    <mergeCell ref="AM91:AN91"/>
    <mergeCell ref="AO91:AP91"/>
    <mergeCell ref="AH88:AK88"/>
    <mergeCell ref="AM88:AN88"/>
    <mergeCell ref="AO88:AP88"/>
    <mergeCell ref="AH89:AK89"/>
    <mergeCell ref="AM89:AN89"/>
    <mergeCell ref="AO89:AP89"/>
    <mergeCell ref="AH86:AK86"/>
    <mergeCell ref="AM86:AN86"/>
    <mergeCell ref="AO86:AP86"/>
    <mergeCell ref="AH87:AK87"/>
    <mergeCell ref="AM87:AN87"/>
    <mergeCell ref="AO87:AP87"/>
    <mergeCell ref="AH84:AK84"/>
    <mergeCell ref="AM84:AN84"/>
    <mergeCell ref="AO84:AP84"/>
    <mergeCell ref="AH85:AK85"/>
    <mergeCell ref="AM85:AN85"/>
    <mergeCell ref="AO85:AP85"/>
    <mergeCell ref="AH82:AK82"/>
    <mergeCell ref="AM82:AN82"/>
    <mergeCell ref="AO82:AP82"/>
    <mergeCell ref="AH83:AK83"/>
    <mergeCell ref="AM83:AN83"/>
    <mergeCell ref="AO83:AP83"/>
    <mergeCell ref="AH80:AK80"/>
    <mergeCell ref="AM80:AN80"/>
    <mergeCell ref="AO80:AP80"/>
    <mergeCell ref="AH81:AK81"/>
    <mergeCell ref="AM81:AN81"/>
    <mergeCell ref="AO81:AP81"/>
    <mergeCell ref="AM77:AN77"/>
    <mergeCell ref="AO77:AP77"/>
    <mergeCell ref="AM78:AN78"/>
    <mergeCell ref="AO78:AP78"/>
    <mergeCell ref="AH79:AK79"/>
    <mergeCell ref="AM79:AN79"/>
    <mergeCell ref="AO79:AP79"/>
    <mergeCell ref="AH74:AK74"/>
    <mergeCell ref="AM74:AN74"/>
    <mergeCell ref="AO74:AP74"/>
    <mergeCell ref="AM75:AN75"/>
    <mergeCell ref="AO75:AP75"/>
    <mergeCell ref="AM76:AN76"/>
    <mergeCell ref="AO76:AP76"/>
    <mergeCell ref="AH72:AK72"/>
    <mergeCell ref="AM72:AN72"/>
    <mergeCell ref="AO72:AP72"/>
    <mergeCell ref="AH73:AK73"/>
    <mergeCell ref="AM73:AN73"/>
    <mergeCell ref="AO73:AP73"/>
    <mergeCell ref="AH70:AK70"/>
    <mergeCell ref="AM70:AN70"/>
    <mergeCell ref="AO70:AP70"/>
    <mergeCell ref="AH71:AK71"/>
    <mergeCell ref="AM71:AN71"/>
    <mergeCell ref="AO71:AP71"/>
    <mergeCell ref="AH68:AK68"/>
    <mergeCell ref="AM68:AN68"/>
    <mergeCell ref="AO68:AP68"/>
    <mergeCell ref="AH69:AK69"/>
    <mergeCell ref="AM69:AN69"/>
    <mergeCell ref="AO69:AP69"/>
    <mergeCell ref="AH66:AK66"/>
    <mergeCell ref="AM66:AN66"/>
    <mergeCell ref="AO66:AP66"/>
    <mergeCell ref="AH67:AK67"/>
    <mergeCell ref="AM67:AN67"/>
    <mergeCell ref="AO67:AP67"/>
    <mergeCell ref="AH64:AK64"/>
    <mergeCell ref="AM64:AN64"/>
    <mergeCell ref="AO64:AP64"/>
    <mergeCell ref="AH65:AK65"/>
    <mergeCell ref="AM65:AN65"/>
    <mergeCell ref="AO65:AP65"/>
    <mergeCell ref="AG60:AR60"/>
    <mergeCell ref="AG61:AM62"/>
    <mergeCell ref="AN61:AR61"/>
    <mergeCell ref="AQ62:AR62"/>
    <mergeCell ref="AH63:AK63"/>
    <mergeCell ref="AM63:AN63"/>
    <mergeCell ref="AO63:AP63"/>
    <mergeCell ref="AG54:AR54"/>
    <mergeCell ref="AG55:AR55"/>
    <mergeCell ref="AG56:AR56"/>
    <mergeCell ref="AG57:AR57"/>
    <mergeCell ref="AG58:AR58"/>
    <mergeCell ref="AG59:AR59"/>
    <mergeCell ref="AG48:AR48"/>
    <mergeCell ref="AG49:AR49"/>
    <mergeCell ref="AG50:AR50"/>
    <mergeCell ref="AG51:AR51"/>
    <mergeCell ref="AG52:AR52"/>
    <mergeCell ref="AG53:AR53"/>
    <mergeCell ref="AG42:AR42"/>
    <mergeCell ref="AG43:AR43"/>
    <mergeCell ref="AG44:AR44"/>
    <mergeCell ref="AG45:AR45"/>
    <mergeCell ref="AG46:AR46"/>
    <mergeCell ref="AG47:AR47"/>
    <mergeCell ref="AH31:AI31"/>
    <mergeCell ref="AJ31:AL31"/>
    <mergeCell ref="AM31:AO31"/>
    <mergeCell ref="AQ31:AR31"/>
    <mergeCell ref="AG32:AR34"/>
    <mergeCell ref="AG35:AR41"/>
    <mergeCell ref="AH29:AI29"/>
    <mergeCell ref="AJ29:AL29"/>
    <mergeCell ref="AM29:AO29"/>
    <mergeCell ref="AQ29:AR29"/>
    <mergeCell ref="AH30:AI30"/>
    <mergeCell ref="AJ30:AL30"/>
    <mergeCell ref="AM30:AO30"/>
    <mergeCell ref="AQ30:AR30"/>
    <mergeCell ref="AH27:AI27"/>
    <mergeCell ref="AJ27:AL27"/>
    <mergeCell ref="AM27:AO27"/>
    <mergeCell ref="AQ27:AR27"/>
    <mergeCell ref="AH28:AI28"/>
    <mergeCell ref="AJ28:AL28"/>
    <mergeCell ref="AM28:AO28"/>
    <mergeCell ref="AQ28:AR28"/>
    <mergeCell ref="AG24:AI24"/>
    <mergeCell ref="AK24:AL24"/>
    <mergeCell ref="AM24:AO24"/>
    <mergeCell ref="AQ24:AR24"/>
    <mergeCell ref="AG25:AR25"/>
    <mergeCell ref="AH26:AI26"/>
    <mergeCell ref="AJ26:AL26"/>
    <mergeCell ref="AM26:AO26"/>
    <mergeCell ref="AQ26:AR26"/>
    <mergeCell ref="AG22:AI22"/>
    <mergeCell ref="AK22:AL22"/>
    <mergeCell ref="AM22:AO22"/>
    <mergeCell ref="AQ22:AR22"/>
    <mergeCell ref="AG23:AI23"/>
    <mergeCell ref="AK23:AL23"/>
    <mergeCell ref="AM23:AO23"/>
    <mergeCell ref="AQ23:AR23"/>
    <mergeCell ref="AG19:AR19"/>
    <mergeCell ref="AG20:AI20"/>
    <mergeCell ref="AK20:AL20"/>
    <mergeCell ref="AM20:AO20"/>
    <mergeCell ref="AQ20:AR20"/>
    <mergeCell ref="AG21:AI21"/>
    <mergeCell ref="AK21:AL21"/>
    <mergeCell ref="AM21:AO21"/>
    <mergeCell ref="AQ21:AR21"/>
    <mergeCell ref="AG17:AI17"/>
    <mergeCell ref="AK17:AL17"/>
    <mergeCell ref="AM17:AO17"/>
    <mergeCell ref="AQ17:AR17"/>
    <mergeCell ref="AG18:AI18"/>
    <mergeCell ref="AK18:AL18"/>
    <mergeCell ref="AM18:AO18"/>
    <mergeCell ref="AQ18:AR18"/>
    <mergeCell ref="AG15:AI15"/>
    <mergeCell ref="AK15:AL15"/>
    <mergeCell ref="AM15:AO15"/>
    <mergeCell ref="AQ15:AR15"/>
    <mergeCell ref="AG16:AI16"/>
    <mergeCell ref="AK16:AL16"/>
    <mergeCell ref="AM16:AO16"/>
    <mergeCell ref="AQ16:AR16"/>
    <mergeCell ref="AG13:AI13"/>
    <mergeCell ref="AK13:AL13"/>
    <mergeCell ref="AM13:AO13"/>
    <mergeCell ref="AQ13:AR13"/>
    <mergeCell ref="AG14:AI14"/>
    <mergeCell ref="AK14:AL14"/>
    <mergeCell ref="AM14:AO14"/>
    <mergeCell ref="AQ14:AR14"/>
    <mergeCell ref="AG11:AI11"/>
    <mergeCell ref="AK11:AL11"/>
    <mergeCell ref="AM11:AO11"/>
    <mergeCell ref="AQ11:AR11"/>
    <mergeCell ref="AG12:AI12"/>
    <mergeCell ref="AK12:AL12"/>
    <mergeCell ref="AM12:AO12"/>
    <mergeCell ref="AQ12:AR12"/>
    <mergeCell ref="AG8:AI8"/>
    <mergeCell ref="AJ8:AL8"/>
    <mergeCell ref="AM8:AO8"/>
    <mergeCell ref="AP8:AR8"/>
    <mergeCell ref="AG9:AR9"/>
    <mergeCell ref="AG10:AI10"/>
    <mergeCell ref="AK10:AL10"/>
    <mergeCell ref="AM10:AO10"/>
    <mergeCell ref="AQ10:AR10"/>
    <mergeCell ref="AM5:AO5"/>
    <mergeCell ref="AP5:AR5"/>
    <mergeCell ref="AG7:AI7"/>
    <mergeCell ref="AJ7:AL7"/>
    <mergeCell ref="AM7:AO7"/>
    <mergeCell ref="AP7:AR7"/>
    <mergeCell ref="Q97:AB97"/>
    <mergeCell ref="Q98:AB98"/>
    <mergeCell ref="W86:X86"/>
    <mergeCell ref="Y86:Z86"/>
    <mergeCell ref="R83:U83"/>
    <mergeCell ref="W83:X83"/>
    <mergeCell ref="Y83:Z83"/>
    <mergeCell ref="R84:U84"/>
    <mergeCell ref="W84:X84"/>
    <mergeCell ref="Y84:Z84"/>
    <mergeCell ref="R81:U81"/>
    <mergeCell ref="W81:X81"/>
    <mergeCell ref="Y81:Z81"/>
    <mergeCell ref="R82:U82"/>
    <mergeCell ref="W82:X82"/>
    <mergeCell ref="Y82:Z82"/>
    <mergeCell ref="W78:X78"/>
    <mergeCell ref="Q99:AB99"/>
    <mergeCell ref="Q100:AB100"/>
    <mergeCell ref="Q59:AB59"/>
    <mergeCell ref="Q58:AB58"/>
    <mergeCell ref="R93:U93"/>
    <mergeCell ref="W93:X93"/>
    <mergeCell ref="Y93:Z93"/>
    <mergeCell ref="Q94:AB94"/>
    <mergeCell ref="R95:AB95"/>
    <mergeCell ref="Q96:AB96"/>
    <mergeCell ref="R91:U91"/>
    <mergeCell ref="W91:X91"/>
    <mergeCell ref="Y91:Z91"/>
    <mergeCell ref="R92:U92"/>
    <mergeCell ref="W92:X92"/>
    <mergeCell ref="Y92:Z92"/>
    <mergeCell ref="R89:U89"/>
    <mergeCell ref="W89:X89"/>
    <mergeCell ref="Y89:Z89"/>
    <mergeCell ref="R90:U90"/>
    <mergeCell ref="W90:X90"/>
    <mergeCell ref="Y90:Z90"/>
    <mergeCell ref="R87:U87"/>
    <mergeCell ref="W87:X87"/>
    <mergeCell ref="Y87:Z87"/>
    <mergeCell ref="R88:U88"/>
    <mergeCell ref="W88:X88"/>
    <mergeCell ref="Y88:Z88"/>
    <mergeCell ref="R85:U85"/>
    <mergeCell ref="W85:X85"/>
    <mergeCell ref="Y85:Z85"/>
    <mergeCell ref="R86:U86"/>
    <mergeCell ref="Y78:Z78"/>
    <mergeCell ref="R79:U79"/>
    <mergeCell ref="W79:X79"/>
    <mergeCell ref="Y79:Z79"/>
    <mergeCell ref="R80:U80"/>
    <mergeCell ref="W80:X80"/>
    <mergeCell ref="Y80:Z80"/>
    <mergeCell ref="W75:X75"/>
    <mergeCell ref="Y75:Z75"/>
    <mergeCell ref="W76:X76"/>
    <mergeCell ref="Y76:Z76"/>
    <mergeCell ref="W77:X77"/>
    <mergeCell ref="Y77:Z77"/>
    <mergeCell ref="R73:U73"/>
    <mergeCell ref="W73:X73"/>
    <mergeCell ref="Y73:Z73"/>
    <mergeCell ref="R74:U74"/>
    <mergeCell ref="W74:X74"/>
    <mergeCell ref="Y74:Z74"/>
    <mergeCell ref="R71:U71"/>
    <mergeCell ref="W71:X71"/>
    <mergeCell ref="Y71:Z71"/>
    <mergeCell ref="R72:U72"/>
    <mergeCell ref="W72:X72"/>
    <mergeCell ref="Y72:Z72"/>
    <mergeCell ref="R69:U69"/>
    <mergeCell ref="W69:X69"/>
    <mergeCell ref="Y69:Z69"/>
    <mergeCell ref="R70:U70"/>
    <mergeCell ref="W70:X70"/>
    <mergeCell ref="Y70:Z70"/>
    <mergeCell ref="R67:U67"/>
    <mergeCell ref="W67:X67"/>
    <mergeCell ref="Y67:Z67"/>
    <mergeCell ref="R68:U68"/>
    <mergeCell ref="W68:X68"/>
    <mergeCell ref="Y68:Z68"/>
    <mergeCell ref="R65:U65"/>
    <mergeCell ref="W65:X65"/>
    <mergeCell ref="Y65:Z65"/>
    <mergeCell ref="R66:U66"/>
    <mergeCell ref="W66:X66"/>
    <mergeCell ref="Y66:Z66"/>
    <mergeCell ref="R63:U63"/>
    <mergeCell ref="W63:X63"/>
    <mergeCell ref="Y63:Z63"/>
    <mergeCell ref="R64:U64"/>
    <mergeCell ref="W64:X64"/>
    <mergeCell ref="Y64:Z64"/>
    <mergeCell ref="Q60:AB60"/>
    <mergeCell ref="Q61:W62"/>
    <mergeCell ref="X61:AB61"/>
    <mergeCell ref="AA62:AB62"/>
    <mergeCell ref="AG1:AR1"/>
    <mergeCell ref="AG2:AR2"/>
    <mergeCell ref="AG3:AP3"/>
    <mergeCell ref="AH4:AL4"/>
    <mergeCell ref="AN4:AR4"/>
    <mergeCell ref="AG5:AL5"/>
    <mergeCell ref="Q52:AB52"/>
    <mergeCell ref="Q53:AB53"/>
    <mergeCell ref="Q54:AB54"/>
    <mergeCell ref="Q55:AB55"/>
    <mergeCell ref="Q56:AB56"/>
    <mergeCell ref="Q57:AB57"/>
    <mergeCell ref="Q46:AB46"/>
    <mergeCell ref="Q47:AB47"/>
    <mergeCell ref="Q48:AB48"/>
    <mergeCell ref="Q49:AB49"/>
    <mergeCell ref="Q50:AB50"/>
    <mergeCell ref="Q51:AB51"/>
    <mergeCell ref="Q32:AB34"/>
    <mergeCell ref="Q35:AB41"/>
    <mergeCell ref="Q42:AB42"/>
    <mergeCell ref="Q43:AB43"/>
    <mergeCell ref="Q44:AB44"/>
    <mergeCell ref="Q45:AB45"/>
    <mergeCell ref="R30:S30"/>
    <mergeCell ref="T30:V30"/>
    <mergeCell ref="W30:Y30"/>
    <mergeCell ref="AA30:AB30"/>
    <mergeCell ref="R31:S31"/>
    <mergeCell ref="T31:V31"/>
    <mergeCell ref="W31:Y31"/>
    <mergeCell ref="AA31:AB31"/>
    <mergeCell ref="R28:S28"/>
    <mergeCell ref="T28:V28"/>
    <mergeCell ref="W28:Y28"/>
    <mergeCell ref="AA28:AB28"/>
    <mergeCell ref="R29:S29"/>
    <mergeCell ref="T29:V29"/>
    <mergeCell ref="W29:Y29"/>
    <mergeCell ref="AA29:AB29"/>
    <mergeCell ref="Q25:AB25"/>
    <mergeCell ref="R26:S26"/>
    <mergeCell ref="T26:V26"/>
    <mergeCell ref="W26:Y26"/>
    <mergeCell ref="AA26:AB26"/>
    <mergeCell ref="R27:S27"/>
    <mergeCell ref="T27:V27"/>
    <mergeCell ref="W27:Y27"/>
    <mergeCell ref="AA27:AB27"/>
    <mergeCell ref="Q23:S23"/>
    <mergeCell ref="U23:V23"/>
    <mergeCell ref="W23:Y23"/>
    <mergeCell ref="AA23:AB23"/>
    <mergeCell ref="Q24:S24"/>
    <mergeCell ref="U24:V24"/>
    <mergeCell ref="W24:Y24"/>
    <mergeCell ref="AA24:AB24"/>
    <mergeCell ref="Q21:S21"/>
    <mergeCell ref="U21:V21"/>
    <mergeCell ref="W21:Y21"/>
    <mergeCell ref="AA21:AB21"/>
    <mergeCell ref="Q22:S22"/>
    <mergeCell ref="U22:V22"/>
    <mergeCell ref="W22:Y22"/>
    <mergeCell ref="AA22:AB22"/>
    <mergeCell ref="Q18:S18"/>
    <mergeCell ref="U18:V18"/>
    <mergeCell ref="W18:Y18"/>
    <mergeCell ref="AA18:AB18"/>
    <mergeCell ref="Q19:AB19"/>
    <mergeCell ref="Q20:S20"/>
    <mergeCell ref="U20:V20"/>
    <mergeCell ref="W20:Y20"/>
    <mergeCell ref="AA20:AB20"/>
    <mergeCell ref="Q16:S16"/>
    <mergeCell ref="U16:V16"/>
    <mergeCell ref="W16:Y16"/>
    <mergeCell ref="AA16:AB16"/>
    <mergeCell ref="Q17:S17"/>
    <mergeCell ref="U17:V17"/>
    <mergeCell ref="W17:Y17"/>
    <mergeCell ref="AA17:AB17"/>
    <mergeCell ref="Q14:S14"/>
    <mergeCell ref="U14:V14"/>
    <mergeCell ref="W14:Y14"/>
    <mergeCell ref="AA14:AB14"/>
    <mergeCell ref="Q15:S15"/>
    <mergeCell ref="U15:V15"/>
    <mergeCell ref="W15:Y15"/>
    <mergeCell ref="AA15:AB15"/>
    <mergeCell ref="Q12:S12"/>
    <mergeCell ref="U12:V12"/>
    <mergeCell ref="W12:Y12"/>
    <mergeCell ref="AA12:AB12"/>
    <mergeCell ref="Q13:S13"/>
    <mergeCell ref="U13:V13"/>
    <mergeCell ref="W13:Y13"/>
    <mergeCell ref="AA13:AB13"/>
    <mergeCell ref="Q9:AB9"/>
    <mergeCell ref="Q10:S10"/>
    <mergeCell ref="U10:V10"/>
    <mergeCell ref="W10:Y10"/>
    <mergeCell ref="AA10:AB10"/>
    <mergeCell ref="Q11:S11"/>
    <mergeCell ref="U11:V11"/>
    <mergeCell ref="W11:Y11"/>
    <mergeCell ref="AA11:AB11"/>
    <mergeCell ref="Q7:S7"/>
    <mergeCell ref="T7:V7"/>
    <mergeCell ref="W7:Y7"/>
    <mergeCell ref="Z7:AB7"/>
    <mergeCell ref="Q8:S8"/>
    <mergeCell ref="T8:V8"/>
    <mergeCell ref="W8:Y8"/>
    <mergeCell ref="Z8:AB8"/>
    <mergeCell ref="Q1:AB1"/>
    <mergeCell ref="Q2:AB2"/>
    <mergeCell ref="Q3:Z3"/>
    <mergeCell ref="R4:V4"/>
    <mergeCell ref="X4:AB4"/>
    <mergeCell ref="Q5:V5"/>
    <mergeCell ref="W5:Y5"/>
    <mergeCell ref="Z5:AB5"/>
    <mergeCell ref="D27:F27"/>
    <mergeCell ref="G27:I27"/>
    <mergeCell ref="K27:L27"/>
    <mergeCell ref="K23:L23"/>
    <mergeCell ref="K62:L62"/>
    <mergeCell ref="A61:G62"/>
    <mergeCell ref="G29:I29"/>
    <mergeCell ref="K29:L29"/>
    <mergeCell ref="K30:L30"/>
    <mergeCell ref="D26:F26"/>
    <mergeCell ref="G22:I22"/>
    <mergeCell ref="K22:L22"/>
    <mergeCell ref="A21:C21"/>
    <mergeCell ref="E21:F21"/>
    <mergeCell ref="K21:L21"/>
    <mergeCell ref="B28:C28"/>
    <mergeCell ref="D28:F28"/>
    <mergeCell ref="G28:I28"/>
    <mergeCell ref="K28:L28"/>
    <mergeCell ref="B27:C27"/>
    <mergeCell ref="E11:F11"/>
    <mergeCell ref="G11:I11"/>
    <mergeCell ref="K11:L11"/>
    <mergeCell ref="A12:C12"/>
    <mergeCell ref="A100:L100"/>
    <mergeCell ref="A96:L96"/>
    <mergeCell ref="B63:E63"/>
    <mergeCell ref="G63:H63"/>
    <mergeCell ref="I63:J63"/>
    <mergeCell ref="B70:E70"/>
    <mergeCell ref="G70:H70"/>
    <mergeCell ref="B95:L95"/>
    <mergeCell ref="A94:L94"/>
    <mergeCell ref="A24:C24"/>
    <mergeCell ref="A60:L60"/>
    <mergeCell ref="A55:L55"/>
    <mergeCell ref="A42:L42"/>
    <mergeCell ref="A32:L34"/>
    <mergeCell ref="A58:L58"/>
    <mergeCell ref="A59:L59"/>
    <mergeCell ref="D31:F31"/>
    <mergeCell ref="I70:J70"/>
    <mergeCell ref="A43:L43"/>
    <mergeCell ref="A56:L56"/>
    <mergeCell ref="B69:E69"/>
    <mergeCell ref="B67:E67"/>
    <mergeCell ref="B68:E68"/>
    <mergeCell ref="A45:L45"/>
    <mergeCell ref="A44:L44"/>
    <mergeCell ref="B74:E74"/>
    <mergeCell ref="G74:H74"/>
    <mergeCell ref="I74:J74"/>
    <mergeCell ref="B92:E92"/>
    <mergeCell ref="A48:L48"/>
    <mergeCell ref="E17:F17"/>
    <mergeCell ref="G17:I17"/>
    <mergeCell ref="A16:C16"/>
    <mergeCell ref="A17:C17"/>
    <mergeCell ref="D30:F30"/>
    <mergeCell ref="A47:L47"/>
    <mergeCell ref="B31:C31"/>
    <mergeCell ref="A35:L41"/>
    <mergeCell ref="K20:L20"/>
    <mergeCell ref="A23:C23"/>
    <mergeCell ref="G16:I16"/>
    <mergeCell ref="A18:C18"/>
    <mergeCell ref="E18:F18"/>
    <mergeCell ref="A97:L97"/>
    <mergeCell ref="A98:L98"/>
    <mergeCell ref="A99:L99"/>
    <mergeCell ref="K24:L24"/>
    <mergeCell ref="A25:L25"/>
    <mergeCell ref="B26:C26"/>
    <mergeCell ref="A22:C22"/>
    <mergeCell ref="E22:F22"/>
    <mergeCell ref="A14:C14"/>
    <mergeCell ref="E14:F14"/>
    <mergeCell ref="A15:C15"/>
    <mergeCell ref="E16:F16"/>
    <mergeCell ref="G85:H85"/>
    <mergeCell ref="I85:J85"/>
    <mergeCell ref="B84:E84"/>
    <mergeCell ref="B85:E85"/>
    <mergeCell ref="G15:I15"/>
    <mergeCell ref="D8:F8"/>
    <mergeCell ref="G8:I8"/>
    <mergeCell ref="A9:L9"/>
    <mergeCell ref="E10:F10"/>
    <mergeCell ref="G14:I14"/>
    <mergeCell ref="K13:L13"/>
    <mergeCell ref="K10:L10"/>
    <mergeCell ref="J8:L8"/>
    <mergeCell ref="A46:L46"/>
    <mergeCell ref="A49:L49"/>
    <mergeCell ref="G31:I31"/>
    <mergeCell ref="K31:L31"/>
    <mergeCell ref="G24:I24"/>
    <mergeCell ref="K15:L15"/>
    <mergeCell ref="K16:L16"/>
    <mergeCell ref="G26:I26"/>
    <mergeCell ref="K18:L18"/>
    <mergeCell ref="E24:F24"/>
    <mergeCell ref="B88:E88"/>
    <mergeCell ref="K14:L14"/>
    <mergeCell ref="B29:C29"/>
    <mergeCell ref="D29:F29"/>
    <mergeCell ref="E23:F23"/>
    <mergeCell ref="G23:I23"/>
    <mergeCell ref="K26:L26"/>
    <mergeCell ref="G69:H69"/>
    <mergeCell ref="G68:H68"/>
    <mergeCell ref="I68:J68"/>
    <mergeCell ref="G67:H67"/>
    <mergeCell ref="G65:H65"/>
    <mergeCell ref="H61:L61"/>
    <mergeCell ref="I65:J65"/>
    <mergeCell ref="I69:J69"/>
    <mergeCell ref="B73:E73"/>
    <mergeCell ref="G73:H73"/>
    <mergeCell ref="I73:J73"/>
    <mergeCell ref="B71:E71"/>
    <mergeCell ref="G71:H71"/>
    <mergeCell ref="I71:J71"/>
    <mergeCell ref="B72:E72"/>
    <mergeCell ref="G72:H72"/>
    <mergeCell ref="I72:J72"/>
    <mergeCell ref="A20:C20"/>
    <mergeCell ref="E20:F20"/>
    <mergeCell ref="G20:I20"/>
    <mergeCell ref="G21:I21"/>
    <mergeCell ref="G18:I18"/>
    <mergeCell ref="A19:L19"/>
    <mergeCell ref="K17:L17"/>
    <mergeCell ref="E15:F15"/>
    <mergeCell ref="B89:E89"/>
    <mergeCell ref="G89:H89"/>
    <mergeCell ref="B83:E83"/>
    <mergeCell ref="G83:H83"/>
    <mergeCell ref="G81:H81"/>
    <mergeCell ref="G92:H92"/>
    <mergeCell ref="I92:J92"/>
    <mergeCell ref="I79:J79"/>
    <mergeCell ref="G76:H76"/>
    <mergeCell ref="B81:E81"/>
    <mergeCell ref="G77:H77"/>
    <mergeCell ref="B93:E93"/>
    <mergeCell ref="G93:H93"/>
    <mergeCell ref="I93:J93"/>
    <mergeCell ref="B4:F4"/>
    <mergeCell ref="G75:H75"/>
    <mergeCell ref="I75:J75"/>
    <mergeCell ref="B64:E64"/>
    <mergeCell ref="B65:E65"/>
    <mergeCell ref="G84:H84"/>
    <mergeCell ref="I76:J76"/>
    <mergeCell ref="I77:J77"/>
    <mergeCell ref="I78:J78"/>
    <mergeCell ref="B82:E82"/>
    <mergeCell ref="G82:H82"/>
    <mergeCell ref="I82:J82"/>
    <mergeCell ref="B80:E80"/>
    <mergeCell ref="I86:J86"/>
    <mergeCell ref="I81:J81"/>
    <mergeCell ref="I80:J80"/>
    <mergeCell ref="G80:H80"/>
    <mergeCell ref="I83:J83"/>
    <mergeCell ref="G90:H90"/>
    <mergeCell ref="I90:J90"/>
    <mergeCell ref="B91:E91"/>
    <mergeCell ref="G91:H91"/>
    <mergeCell ref="I91:J91"/>
    <mergeCell ref="B90:E90"/>
    <mergeCell ref="A50:L50"/>
    <mergeCell ref="A54:L54"/>
    <mergeCell ref="A57:L57"/>
    <mergeCell ref="B30:C30"/>
    <mergeCell ref="I66:J66"/>
    <mergeCell ref="I67:J67"/>
    <mergeCell ref="G64:H64"/>
    <mergeCell ref="B66:E66"/>
    <mergeCell ref="G66:H66"/>
    <mergeCell ref="I64:J64"/>
    <mergeCell ref="A51:L51"/>
    <mergeCell ref="A52:L52"/>
    <mergeCell ref="A53:L53"/>
    <mergeCell ref="G30:I30"/>
    <mergeCell ref="I84:J84"/>
    <mergeCell ref="I89:J89"/>
    <mergeCell ref="G88:H88"/>
    <mergeCell ref="I88:J88"/>
    <mergeCell ref="B86:E86"/>
    <mergeCell ref="G87:H87"/>
    <mergeCell ref="B87:E87"/>
    <mergeCell ref="I87:J87"/>
    <mergeCell ref="G86:H86"/>
    <mergeCell ref="G78:H78"/>
    <mergeCell ref="B79:E79"/>
    <mergeCell ref="G79:H79"/>
    <mergeCell ref="A1:L1"/>
    <mergeCell ref="A2:L2"/>
    <mergeCell ref="G5:I5"/>
    <mergeCell ref="J5:L5"/>
    <mergeCell ref="A3:J3"/>
    <mergeCell ref="H4:L4"/>
    <mergeCell ref="A5:F5"/>
    <mergeCell ref="A13:C13"/>
    <mergeCell ref="A7:C7"/>
    <mergeCell ref="D7:F7"/>
    <mergeCell ref="G7:I7"/>
    <mergeCell ref="G10:I10"/>
    <mergeCell ref="E13:F13"/>
    <mergeCell ref="A8:C8"/>
    <mergeCell ref="G13:I13"/>
    <mergeCell ref="A10:C10"/>
    <mergeCell ref="A11:C11"/>
    <mergeCell ref="E12:F12"/>
    <mergeCell ref="G12:I12"/>
    <mergeCell ref="K12:L12"/>
    <mergeCell ref="J7:L7"/>
    <mergeCell ref="AW1:BH1"/>
    <mergeCell ref="AW2:BH2"/>
    <mergeCell ref="AW3:BF3"/>
    <mergeCell ref="AX4:BB4"/>
    <mergeCell ref="BD4:BH4"/>
    <mergeCell ref="AW5:BB5"/>
    <mergeCell ref="BC5:BE5"/>
    <mergeCell ref="BF5:BH5"/>
    <mergeCell ref="AW7:AY7"/>
    <mergeCell ref="AZ7:BB7"/>
    <mergeCell ref="BC7:BE7"/>
    <mergeCell ref="BF7:BH7"/>
    <mergeCell ref="AW8:AY8"/>
    <mergeCell ref="AZ8:BB8"/>
    <mergeCell ref="BC8:BE8"/>
    <mergeCell ref="BF8:BH8"/>
    <mergeCell ref="AW9:BH9"/>
    <mergeCell ref="AW10:AY10"/>
    <mergeCell ref="BA10:BB10"/>
    <mergeCell ref="BC10:BE10"/>
    <mergeCell ref="BG10:BH10"/>
    <mergeCell ref="AW11:AY11"/>
    <mergeCell ref="BA11:BB11"/>
    <mergeCell ref="BC11:BE11"/>
    <mergeCell ref="BG11:BH11"/>
    <mergeCell ref="AW12:AY12"/>
    <mergeCell ref="BA12:BB12"/>
    <mergeCell ref="BC12:BE12"/>
    <mergeCell ref="BG12:BH12"/>
    <mergeCell ref="AW13:AY13"/>
    <mergeCell ref="BA13:BB13"/>
    <mergeCell ref="BC13:BE13"/>
    <mergeCell ref="BG13:BH13"/>
    <mergeCell ref="AW14:AY14"/>
    <mergeCell ref="BA14:BB14"/>
    <mergeCell ref="BC14:BE14"/>
    <mergeCell ref="BG14:BH14"/>
    <mergeCell ref="AW15:AY15"/>
    <mergeCell ref="BA15:BB15"/>
    <mergeCell ref="BC15:BE15"/>
    <mergeCell ref="BG15:BH15"/>
    <mergeCell ref="AW16:AY16"/>
    <mergeCell ref="BA16:BB16"/>
    <mergeCell ref="BC16:BE16"/>
    <mergeCell ref="BG16:BH16"/>
    <mergeCell ref="AW17:AY17"/>
    <mergeCell ref="BA17:BB17"/>
    <mergeCell ref="BC17:BE17"/>
    <mergeCell ref="BG17:BH17"/>
    <mergeCell ref="AW18:AY18"/>
    <mergeCell ref="BA18:BB18"/>
    <mergeCell ref="BC18:BE18"/>
    <mergeCell ref="BG18:BH18"/>
    <mergeCell ref="AW19:BH19"/>
    <mergeCell ref="AW20:AY20"/>
    <mergeCell ref="BA20:BB20"/>
    <mergeCell ref="BC20:BE20"/>
    <mergeCell ref="BG20:BH20"/>
    <mergeCell ref="AW21:AY21"/>
    <mergeCell ref="BA21:BB21"/>
    <mergeCell ref="BC21:BE21"/>
    <mergeCell ref="BG21:BH21"/>
    <mergeCell ref="AW22:AY22"/>
    <mergeCell ref="BA22:BB22"/>
    <mergeCell ref="BC22:BE22"/>
    <mergeCell ref="BG22:BH22"/>
    <mergeCell ref="AW23:AY23"/>
    <mergeCell ref="BA23:BB23"/>
    <mergeCell ref="BC23:BE23"/>
    <mergeCell ref="BG23:BH23"/>
    <mergeCell ref="AW24:AY24"/>
    <mergeCell ref="BA24:BB24"/>
    <mergeCell ref="BC24:BE24"/>
    <mergeCell ref="BG24:BH24"/>
    <mergeCell ref="AW25:BH25"/>
    <mergeCell ref="AX26:AY26"/>
    <mergeCell ref="AZ26:BB26"/>
    <mergeCell ref="BC26:BE26"/>
    <mergeCell ref="BG26:BH26"/>
    <mergeCell ref="AX27:AY27"/>
    <mergeCell ref="AZ27:BB27"/>
    <mergeCell ref="BC27:BE27"/>
    <mergeCell ref="BG27:BH27"/>
    <mergeCell ref="AX28:AY28"/>
    <mergeCell ref="AZ28:BB28"/>
    <mergeCell ref="BC28:BE28"/>
    <mergeCell ref="BG28:BH28"/>
    <mergeCell ref="AX29:AY29"/>
    <mergeCell ref="AZ29:BB29"/>
    <mergeCell ref="BC29:BE29"/>
    <mergeCell ref="BG29:BH29"/>
    <mergeCell ref="AX30:AY30"/>
    <mergeCell ref="AZ30:BB30"/>
    <mergeCell ref="BC30:BE30"/>
    <mergeCell ref="BG30:BH30"/>
    <mergeCell ref="AX31:AY31"/>
    <mergeCell ref="AZ31:BB31"/>
    <mergeCell ref="BC31:BE31"/>
    <mergeCell ref="BG31:BH31"/>
    <mergeCell ref="AW32:BH34"/>
    <mergeCell ref="AW35:BH41"/>
    <mergeCell ref="AW42:BH42"/>
    <mergeCell ref="AW43:BH43"/>
    <mergeCell ref="AW44:BH44"/>
    <mergeCell ref="AW45:BH45"/>
    <mergeCell ref="AW46:BH46"/>
    <mergeCell ref="AW47:BH47"/>
    <mergeCell ref="AW48:BH48"/>
    <mergeCell ref="AW49:BH49"/>
    <mergeCell ref="AW50:BH50"/>
    <mergeCell ref="AW51:BH51"/>
    <mergeCell ref="AW52:BH52"/>
    <mergeCell ref="AW53:BH53"/>
    <mergeCell ref="AW54:BH54"/>
    <mergeCell ref="AW55:BH55"/>
    <mergeCell ref="AW56:BH56"/>
    <mergeCell ref="AW57:BH57"/>
    <mergeCell ref="AW58:BH58"/>
    <mergeCell ref="AW59:BH59"/>
    <mergeCell ref="AW60:BH60"/>
    <mergeCell ref="AW61:BC62"/>
    <mergeCell ref="BD61:BH61"/>
    <mergeCell ref="BG62:BH62"/>
    <mergeCell ref="AX63:BA63"/>
    <mergeCell ref="BC63:BD63"/>
    <mergeCell ref="BE63:BF63"/>
    <mergeCell ref="AX64:BA64"/>
    <mergeCell ref="BC64:BD64"/>
    <mergeCell ref="BE64:BF64"/>
    <mergeCell ref="AX65:BA65"/>
    <mergeCell ref="BC65:BD65"/>
    <mergeCell ref="BE65:BF65"/>
    <mergeCell ref="AX66:BA66"/>
    <mergeCell ref="BC66:BD66"/>
    <mergeCell ref="BE66:BF66"/>
    <mergeCell ref="AX67:BA67"/>
    <mergeCell ref="BC67:BD67"/>
    <mergeCell ref="BE67:BF67"/>
    <mergeCell ref="AX68:BA68"/>
    <mergeCell ref="BC68:BD68"/>
    <mergeCell ref="BE68:BF68"/>
    <mergeCell ref="AX69:BA69"/>
    <mergeCell ref="BC69:BD69"/>
    <mergeCell ref="BE69:BF69"/>
    <mergeCell ref="AX70:BA70"/>
    <mergeCell ref="BC70:BD70"/>
    <mergeCell ref="BE70:BF70"/>
    <mergeCell ref="AX71:BA71"/>
    <mergeCell ref="BC71:BD71"/>
    <mergeCell ref="BE71:BF71"/>
    <mergeCell ref="AX72:BA72"/>
    <mergeCell ref="BC72:BD72"/>
    <mergeCell ref="BE72:BF72"/>
    <mergeCell ref="AX73:BA73"/>
    <mergeCell ref="BC73:BD73"/>
    <mergeCell ref="BE73:BF73"/>
    <mergeCell ref="AX74:BA74"/>
    <mergeCell ref="BC74:BD74"/>
    <mergeCell ref="BE74:BF74"/>
    <mergeCell ref="BC75:BD75"/>
    <mergeCell ref="BE75:BF75"/>
    <mergeCell ref="BC76:BD76"/>
    <mergeCell ref="BE76:BF76"/>
    <mergeCell ref="BC77:BD77"/>
    <mergeCell ref="BE77:BF77"/>
    <mergeCell ref="BC78:BD78"/>
    <mergeCell ref="BE78:BF78"/>
    <mergeCell ref="AX79:BA79"/>
    <mergeCell ref="BC79:BD79"/>
    <mergeCell ref="BE79:BF79"/>
    <mergeCell ref="AX80:BA80"/>
    <mergeCell ref="BC80:BD80"/>
    <mergeCell ref="BE80:BF80"/>
    <mergeCell ref="AX81:BA81"/>
    <mergeCell ref="BC81:BD81"/>
    <mergeCell ref="BE81:BF81"/>
    <mergeCell ref="AX82:BA82"/>
    <mergeCell ref="BC82:BD82"/>
    <mergeCell ref="BE82:BF82"/>
    <mergeCell ref="AX83:BA83"/>
    <mergeCell ref="BC83:BD83"/>
    <mergeCell ref="BE83:BF83"/>
    <mergeCell ref="AX84:BA84"/>
    <mergeCell ref="BC84:BD84"/>
    <mergeCell ref="BE84:BF84"/>
    <mergeCell ref="AX85:BA85"/>
    <mergeCell ref="BC85:BD85"/>
    <mergeCell ref="BE85:BF85"/>
    <mergeCell ref="AX86:BA86"/>
    <mergeCell ref="BC86:BD86"/>
    <mergeCell ref="BE86:BF86"/>
    <mergeCell ref="AX87:BA87"/>
    <mergeCell ref="BC87:BD87"/>
    <mergeCell ref="BE87:BF87"/>
    <mergeCell ref="AX88:BA88"/>
    <mergeCell ref="BC88:BD88"/>
    <mergeCell ref="BE88:BF88"/>
    <mergeCell ref="AX89:BA89"/>
    <mergeCell ref="BC89:BD89"/>
    <mergeCell ref="BE89:BF89"/>
    <mergeCell ref="AX90:BA90"/>
    <mergeCell ref="BC90:BD90"/>
    <mergeCell ref="BE90:BF90"/>
    <mergeCell ref="AX91:BA91"/>
    <mergeCell ref="BC91:BD91"/>
    <mergeCell ref="BE91:BF91"/>
    <mergeCell ref="AX92:BA92"/>
    <mergeCell ref="BC92:BD92"/>
    <mergeCell ref="BE92:BF92"/>
    <mergeCell ref="AX93:BA93"/>
    <mergeCell ref="BC93:BD93"/>
    <mergeCell ref="BE93:BF93"/>
    <mergeCell ref="AW94:BH94"/>
    <mergeCell ref="AX95:BH95"/>
    <mergeCell ref="AW96:BH96"/>
    <mergeCell ref="AW97:BH97"/>
    <mergeCell ref="AW98:BH98"/>
    <mergeCell ref="AW99:BH99"/>
    <mergeCell ref="AW100:BH100"/>
    <mergeCell ref="BM1:BX1"/>
    <mergeCell ref="BM2:BX2"/>
    <mergeCell ref="BM3:BV3"/>
    <mergeCell ref="BN4:BR4"/>
    <mergeCell ref="BT4:BX4"/>
    <mergeCell ref="BM5:BR5"/>
    <mergeCell ref="BS5:BU5"/>
    <mergeCell ref="BV5:BX5"/>
    <mergeCell ref="BM7:BO7"/>
    <mergeCell ref="BP7:BR7"/>
    <mergeCell ref="BS7:BU7"/>
    <mergeCell ref="BV7:BX7"/>
    <mergeCell ref="BM8:BO8"/>
    <mergeCell ref="BP8:BR8"/>
    <mergeCell ref="BS8:BU8"/>
    <mergeCell ref="BV8:BX8"/>
    <mergeCell ref="BM9:BX9"/>
    <mergeCell ref="BM10:BO10"/>
    <mergeCell ref="BQ10:BR10"/>
    <mergeCell ref="BS10:BU10"/>
    <mergeCell ref="BW10:BX10"/>
    <mergeCell ref="BM11:BO11"/>
    <mergeCell ref="BQ11:BR11"/>
    <mergeCell ref="BS11:BU11"/>
    <mergeCell ref="BW11:BX11"/>
    <mergeCell ref="BM12:BO12"/>
    <mergeCell ref="BQ12:BR12"/>
    <mergeCell ref="BS12:BU12"/>
    <mergeCell ref="BW12:BX12"/>
    <mergeCell ref="BM13:BO13"/>
    <mergeCell ref="BQ13:BR13"/>
    <mergeCell ref="BS13:BU13"/>
    <mergeCell ref="BW13:BX13"/>
    <mergeCell ref="BM14:BO14"/>
    <mergeCell ref="BQ14:BR14"/>
    <mergeCell ref="BS14:BU14"/>
    <mergeCell ref="BW14:BX14"/>
    <mergeCell ref="BM15:BO15"/>
    <mergeCell ref="BQ15:BR15"/>
    <mergeCell ref="BS15:BU15"/>
    <mergeCell ref="BW15:BX15"/>
    <mergeCell ref="BM16:BO16"/>
    <mergeCell ref="BQ16:BR16"/>
    <mergeCell ref="BS16:BU16"/>
    <mergeCell ref="BW16:BX16"/>
    <mergeCell ref="BM17:BO17"/>
    <mergeCell ref="BQ17:BR17"/>
    <mergeCell ref="BS17:BU17"/>
    <mergeCell ref="BW17:BX17"/>
    <mergeCell ref="BM18:BO18"/>
    <mergeCell ref="BQ18:BR18"/>
    <mergeCell ref="BS18:BU18"/>
    <mergeCell ref="BW18:BX18"/>
    <mergeCell ref="BM19:BX19"/>
    <mergeCell ref="BM20:BO20"/>
    <mergeCell ref="BQ20:BR20"/>
    <mergeCell ref="BS20:BU20"/>
    <mergeCell ref="BW20:BX20"/>
    <mergeCell ref="BM21:BO21"/>
    <mergeCell ref="BQ21:BR21"/>
    <mergeCell ref="BS21:BU21"/>
    <mergeCell ref="BW21:BX21"/>
    <mergeCell ref="BM22:BO22"/>
    <mergeCell ref="BQ22:BR22"/>
    <mergeCell ref="BS22:BU22"/>
    <mergeCell ref="BW22:BX22"/>
    <mergeCell ref="BM23:BO23"/>
    <mergeCell ref="BQ23:BR23"/>
    <mergeCell ref="BS23:BU23"/>
    <mergeCell ref="BW23:BX23"/>
    <mergeCell ref="BM24:BO24"/>
    <mergeCell ref="BQ24:BR24"/>
    <mergeCell ref="BS24:BU24"/>
    <mergeCell ref="BW24:BX24"/>
    <mergeCell ref="BM25:BX25"/>
    <mergeCell ref="BN26:BO26"/>
    <mergeCell ref="BP26:BR26"/>
    <mergeCell ref="BS26:BU26"/>
    <mergeCell ref="BW26:BX26"/>
    <mergeCell ref="BN27:BO27"/>
    <mergeCell ref="BP27:BR27"/>
    <mergeCell ref="BS27:BU27"/>
    <mergeCell ref="BW27:BX27"/>
    <mergeCell ref="BN28:BO28"/>
    <mergeCell ref="BP28:BR28"/>
    <mergeCell ref="BS28:BU28"/>
    <mergeCell ref="BW28:BX28"/>
    <mergeCell ref="BN29:BO29"/>
    <mergeCell ref="BP29:BR29"/>
    <mergeCell ref="BS29:BU29"/>
    <mergeCell ref="BW29:BX29"/>
    <mergeCell ref="BN30:BO30"/>
    <mergeCell ref="BP30:BR30"/>
    <mergeCell ref="BS30:BU30"/>
    <mergeCell ref="BW30:BX30"/>
    <mergeCell ref="BN31:BO31"/>
    <mergeCell ref="BP31:BR31"/>
    <mergeCell ref="BS31:BU31"/>
    <mergeCell ref="BW31:BX31"/>
    <mergeCell ref="BM32:BX34"/>
    <mergeCell ref="BM35:BX41"/>
    <mergeCell ref="BM42:BX42"/>
    <mergeCell ref="BM43:BX43"/>
    <mergeCell ref="BM44:BX44"/>
    <mergeCell ref="BM45:BX45"/>
    <mergeCell ref="BM46:BX46"/>
    <mergeCell ref="BM47:BX47"/>
    <mergeCell ref="BM48:BX48"/>
    <mergeCell ref="BM49:BX49"/>
    <mergeCell ref="BM50:BX50"/>
    <mergeCell ref="BM51:BX51"/>
    <mergeCell ref="BM52:BX52"/>
    <mergeCell ref="BM53:BX53"/>
    <mergeCell ref="BM54:BX54"/>
    <mergeCell ref="BM55:BX55"/>
    <mergeCell ref="BM56:BX56"/>
    <mergeCell ref="BM57:BX57"/>
    <mergeCell ref="BM58:BX58"/>
    <mergeCell ref="BM59:BX59"/>
    <mergeCell ref="BM60:BX60"/>
    <mergeCell ref="BM61:BS62"/>
    <mergeCell ref="BT61:BX61"/>
    <mergeCell ref="BW62:BX62"/>
    <mergeCell ref="BN63:BQ63"/>
    <mergeCell ref="BS63:BT63"/>
    <mergeCell ref="BU63:BV63"/>
    <mergeCell ref="BN64:BQ64"/>
    <mergeCell ref="BS64:BT64"/>
    <mergeCell ref="BU64:BV64"/>
    <mergeCell ref="BN65:BQ65"/>
    <mergeCell ref="BS65:BT65"/>
    <mergeCell ref="BU65:BV65"/>
    <mergeCell ref="BN66:BQ66"/>
    <mergeCell ref="BS66:BT66"/>
    <mergeCell ref="BU66:BV66"/>
    <mergeCell ref="BN67:BQ67"/>
    <mergeCell ref="BS67:BT67"/>
    <mergeCell ref="BU67:BV67"/>
    <mergeCell ref="BN68:BQ68"/>
    <mergeCell ref="BS68:BT68"/>
    <mergeCell ref="BU68:BV68"/>
    <mergeCell ref="BN69:BQ69"/>
    <mergeCell ref="BS69:BT69"/>
    <mergeCell ref="BU69:BV69"/>
    <mergeCell ref="BN70:BQ70"/>
    <mergeCell ref="BS70:BT70"/>
    <mergeCell ref="BU70:BV70"/>
    <mergeCell ref="BN71:BQ71"/>
    <mergeCell ref="BS71:BT71"/>
    <mergeCell ref="BU71:BV71"/>
    <mergeCell ref="BN72:BQ72"/>
    <mergeCell ref="BS72:BT72"/>
    <mergeCell ref="BU72:BV72"/>
    <mergeCell ref="BN73:BQ73"/>
    <mergeCell ref="BS73:BT73"/>
    <mergeCell ref="BU73:BV73"/>
    <mergeCell ref="BN74:BQ74"/>
    <mergeCell ref="BS74:BT74"/>
    <mergeCell ref="BU74:BV74"/>
    <mergeCell ref="BS75:BT75"/>
    <mergeCell ref="BU75:BV75"/>
    <mergeCell ref="BS76:BT76"/>
    <mergeCell ref="BU76:BV76"/>
    <mergeCell ref="BS77:BT77"/>
    <mergeCell ref="BU77:BV77"/>
    <mergeCell ref="BS78:BT78"/>
    <mergeCell ref="BU78:BV78"/>
    <mergeCell ref="BN79:BQ79"/>
    <mergeCell ref="BS79:BT79"/>
    <mergeCell ref="BU79:BV79"/>
    <mergeCell ref="BN80:BQ80"/>
    <mergeCell ref="BS80:BT80"/>
    <mergeCell ref="BU80:BV80"/>
    <mergeCell ref="BN81:BQ81"/>
    <mergeCell ref="BS81:BT81"/>
    <mergeCell ref="BU81:BV81"/>
    <mergeCell ref="BN82:BQ82"/>
    <mergeCell ref="BS82:BT82"/>
    <mergeCell ref="BU82:BV82"/>
    <mergeCell ref="BN83:BQ83"/>
    <mergeCell ref="BS83:BT83"/>
    <mergeCell ref="BU83:BV83"/>
    <mergeCell ref="BN84:BQ84"/>
    <mergeCell ref="BS84:BT84"/>
    <mergeCell ref="BU84:BV84"/>
    <mergeCell ref="BN85:BQ85"/>
    <mergeCell ref="BS85:BT85"/>
    <mergeCell ref="BU85:BV85"/>
    <mergeCell ref="BN86:BQ86"/>
    <mergeCell ref="BS86:BT86"/>
    <mergeCell ref="BU86:BV86"/>
    <mergeCell ref="BN87:BQ87"/>
    <mergeCell ref="BS87:BT87"/>
    <mergeCell ref="BU87:BV87"/>
    <mergeCell ref="BN88:BQ88"/>
    <mergeCell ref="BS88:BT88"/>
    <mergeCell ref="BU88:BV88"/>
    <mergeCell ref="BN89:BQ89"/>
    <mergeCell ref="BS89:BT89"/>
    <mergeCell ref="BU89:BV89"/>
    <mergeCell ref="BN90:BQ90"/>
    <mergeCell ref="BS90:BT90"/>
    <mergeCell ref="BU90:BV90"/>
    <mergeCell ref="BN91:BQ91"/>
    <mergeCell ref="BS91:BT91"/>
    <mergeCell ref="BU91:BV91"/>
    <mergeCell ref="BN92:BQ92"/>
    <mergeCell ref="BS92:BT92"/>
    <mergeCell ref="BU92:BV92"/>
    <mergeCell ref="BN93:BQ93"/>
    <mergeCell ref="BS93:BT93"/>
    <mergeCell ref="BU93:BV93"/>
    <mergeCell ref="BM94:BX94"/>
    <mergeCell ref="BN95:BX95"/>
    <mergeCell ref="BM96:BX96"/>
    <mergeCell ref="BM97:BX97"/>
    <mergeCell ref="BM98:BX98"/>
    <mergeCell ref="BM99:BX99"/>
    <mergeCell ref="BM100:BX100"/>
    <mergeCell ref="CC1:CN1"/>
    <mergeCell ref="CC2:CN2"/>
    <mergeCell ref="CC3:CL3"/>
    <mergeCell ref="CD4:CH4"/>
    <mergeCell ref="CJ4:CN4"/>
    <mergeCell ref="CC5:CH5"/>
    <mergeCell ref="CI5:CK5"/>
    <mergeCell ref="CL5:CN5"/>
    <mergeCell ref="CC7:CE7"/>
    <mergeCell ref="CF7:CH7"/>
    <mergeCell ref="CI7:CK7"/>
    <mergeCell ref="CL7:CN7"/>
    <mergeCell ref="CC8:CE8"/>
    <mergeCell ref="CF8:CH8"/>
    <mergeCell ref="CI8:CK8"/>
    <mergeCell ref="CL8:CN8"/>
    <mergeCell ref="CC9:CN9"/>
    <mergeCell ref="CC10:CE10"/>
    <mergeCell ref="CG10:CH10"/>
    <mergeCell ref="CI10:CK10"/>
    <mergeCell ref="CM10:CN10"/>
    <mergeCell ref="CC11:CE11"/>
    <mergeCell ref="CG11:CH11"/>
    <mergeCell ref="CI11:CK11"/>
    <mergeCell ref="CM11:CN11"/>
    <mergeCell ref="CC12:CE12"/>
    <mergeCell ref="CG12:CH12"/>
    <mergeCell ref="CI12:CK12"/>
    <mergeCell ref="CM12:CN12"/>
    <mergeCell ref="CC13:CE13"/>
    <mergeCell ref="CG13:CH13"/>
    <mergeCell ref="CI13:CK13"/>
    <mergeCell ref="CM13:CN13"/>
    <mergeCell ref="CC14:CE14"/>
    <mergeCell ref="CG14:CH14"/>
    <mergeCell ref="CI14:CK14"/>
    <mergeCell ref="CM14:CN14"/>
    <mergeCell ref="CC15:CE15"/>
    <mergeCell ref="CG15:CH15"/>
    <mergeCell ref="CI15:CK15"/>
    <mergeCell ref="CM15:CN15"/>
    <mergeCell ref="CC16:CE16"/>
    <mergeCell ref="CG16:CH16"/>
    <mergeCell ref="CI16:CK16"/>
    <mergeCell ref="CM16:CN16"/>
    <mergeCell ref="CC17:CE17"/>
    <mergeCell ref="CG17:CH17"/>
    <mergeCell ref="CI17:CK17"/>
    <mergeCell ref="CM17:CN17"/>
    <mergeCell ref="CC18:CE18"/>
    <mergeCell ref="CG18:CH18"/>
    <mergeCell ref="CI18:CK18"/>
    <mergeCell ref="CM18:CN18"/>
    <mergeCell ref="CC19:CN19"/>
    <mergeCell ref="CC20:CE20"/>
    <mergeCell ref="CG20:CH20"/>
    <mergeCell ref="CI20:CK20"/>
    <mergeCell ref="CM20:CN20"/>
    <mergeCell ref="CC21:CE21"/>
    <mergeCell ref="CG21:CH21"/>
    <mergeCell ref="CI21:CK21"/>
    <mergeCell ref="CM21:CN21"/>
    <mergeCell ref="CC22:CE22"/>
    <mergeCell ref="CG22:CH22"/>
    <mergeCell ref="CI22:CK22"/>
    <mergeCell ref="CM22:CN22"/>
    <mergeCell ref="CC23:CE23"/>
    <mergeCell ref="CG23:CH23"/>
    <mergeCell ref="CI23:CK23"/>
    <mergeCell ref="CM23:CN23"/>
    <mergeCell ref="CC24:CE24"/>
    <mergeCell ref="CG24:CH24"/>
    <mergeCell ref="CI24:CK24"/>
    <mergeCell ref="CM24:CN24"/>
    <mergeCell ref="CC25:CN25"/>
    <mergeCell ref="CD26:CE26"/>
    <mergeCell ref="CF26:CH26"/>
    <mergeCell ref="CI26:CK26"/>
    <mergeCell ref="CM26:CN26"/>
    <mergeCell ref="CD27:CE27"/>
    <mergeCell ref="CF27:CH27"/>
    <mergeCell ref="CI27:CK27"/>
    <mergeCell ref="CM27:CN27"/>
    <mergeCell ref="CD28:CE28"/>
    <mergeCell ref="CF28:CH28"/>
    <mergeCell ref="CI28:CK28"/>
    <mergeCell ref="CM28:CN28"/>
    <mergeCell ref="CD29:CE29"/>
    <mergeCell ref="CF29:CH29"/>
    <mergeCell ref="CI29:CK29"/>
    <mergeCell ref="CM29:CN29"/>
    <mergeCell ref="CD30:CE30"/>
    <mergeCell ref="CF30:CH30"/>
    <mergeCell ref="CI30:CK30"/>
    <mergeCell ref="CM30:CN30"/>
    <mergeCell ref="CD31:CE31"/>
    <mergeCell ref="CF31:CH31"/>
    <mergeCell ref="CI31:CK31"/>
    <mergeCell ref="CM31:CN31"/>
    <mergeCell ref="CC32:CN34"/>
    <mergeCell ref="CC35:CN41"/>
    <mergeCell ref="CC42:CN42"/>
    <mergeCell ref="CC43:CN43"/>
    <mergeCell ref="CC44:CN44"/>
    <mergeCell ref="CC45:CN45"/>
    <mergeCell ref="CC46:CN46"/>
    <mergeCell ref="CC47:CN47"/>
    <mergeCell ref="CC48:CN48"/>
    <mergeCell ref="CC49:CN49"/>
    <mergeCell ref="CC50:CN50"/>
    <mergeCell ref="CC51:CN51"/>
    <mergeCell ref="CC52:CN52"/>
    <mergeCell ref="CC53:CN53"/>
    <mergeCell ref="CC54:CN54"/>
    <mergeCell ref="CC55:CN55"/>
    <mergeCell ref="CC56:CN56"/>
    <mergeCell ref="CC57:CN57"/>
    <mergeCell ref="CC58:CN58"/>
    <mergeCell ref="CC59:CN59"/>
    <mergeCell ref="CC60:CN60"/>
    <mergeCell ref="CC61:CI62"/>
    <mergeCell ref="CJ61:CN61"/>
    <mergeCell ref="CM62:CN62"/>
    <mergeCell ref="CD63:CG63"/>
    <mergeCell ref="CI63:CJ63"/>
    <mergeCell ref="CK63:CL63"/>
    <mergeCell ref="CD64:CG64"/>
    <mergeCell ref="CI64:CJ64"/>
    <mergeCell ref="CK64:CL64"/>
    <mergeCell ref="CD65:CG65"/>
    <mergeCell ref="CI65:CJ65"/>
    <mergeCell ref="CK65:CL65"/>
    <mergeCell ref="CD66:CG66"/>
    <mergeCell ref="CI66:CJ66"/>
    <mergeCell ref="CK66:CL66"/>
    <mergeCell ref="CD67:CG67"/>
    <mergeCell ref="CI67:CJ67"/>
    <mergeCell ref="CK67:CL67"/>
    <mergeCell ref="CD68:CG68"/>
    <mergeCell ref="CI68:CJ68"/>
    <mergeCell ref="CK68:CL68"/>
    <mergeCell ref="CD69:CG69"/>
    <mergeCell ref="CI69:CJ69"/>
    <mergeCell ref="CK69:CL69"/>
    <mergeCell ref="CD70:CG70"/>
    <mergeCell ref="CI70:CJ70"/>
    <mergeCell ref="CK70:CL70"/>
    <mergeCell ref="CD71:CG71"/>
    <mergeCell ref="CI71:CJ71"/>
    <mergeCell ref="CK71:CL71"/>
    <mergeCell ref="CD72:CG72"/>
    <mergeCell ref="CI72:CJ72"/>
    <mergeCell ref="CK72:CL72"/>
    <mergeCell ref="CD73:CG73"/>
    <mergeCell ref="CI73:CJ73"/>
    <mergeCell ref="CK73:CL73"/>
    <mergeCell ref="CD74:CG74"/>
    <mergeCell ref="CI74:CJ74"/>
    <mergeCell ref="CK74:CL74"/>
    <mergeCell ref="CI75:CJ75"/>
    <mergeCell ref="CK75:CL75"/>
    <mergeCell ref="CI76:CJ76"/>
    <mergeCell ref="CK76:CL76"/>
    <mergeCell ref="CI77:CJ77"/>
    <mergeCell ref="CK77:CL77"/>
    <mergeCell ref="CI78:CJ78"/>
    <mergeCell ref="CK78:CL78"/>
    <mergeCell ref="CD79:CG79"/>
    <mergeCell ref="CI79:CJ79"/>
    <mergeCell ref="CK79:CL79"/>
    <mergeCell ref="CD80:CG80"/>
    <mergeCell ref="CI80:CJ80"/>
    <mergeCell ref="CK80:CL80"/>
    <mergeCell ref="CD81:CG81"/>
    <mergeCell ref="CI81:CJ81"/>
    <mergeCell ref="CK81:CL81"/>
    <mergeCell ref="CD82:CG82"/>
    <mergeCell ref="CI82:CJ82"/>
    <mergeCell ref="CK82:CL82"/>
    <mergeCell ref="CD83:CG83"/>
    <mergeCell ref="CI83:CJ83"/>
    <mergeCell ref="CK83:CL83"/>
    <mergeCell ref="CD84:CG84"/>
    <mergeCell ref="CI84:CJ84"/>
    <mergeCell ref="CK84:CL84"/>
    <mergeCell ref="CD85:CG85"/>
    <mergeCell ref="CI85:CJ85"/>
    <mergeCell ref="CK85:CL85"/>
    <mergeCell ref="CD86:CG86"/>
    <mergeCell ref="CI86:CJ86"/>
    <mergeCell ref="CK86:CL86"/>
    <mergeCell ref="CD87:CG87"/>
    <mergeCell ref="CI87:CJ87"/>
    <mergeCell ref="CK87:CL87"/>
    <mergeCell ref="CD88:CG88"/>
    <mergeCell ref="CI88:CJ88"/>
    <mergeCell ref="CK88:CL88"/>
    <mergeCell ref="CD89:CG89"/>
    <mergeCell ref="CI89:CJ89"/>
    <mergeCell ref="CK89:CL89"/>
    <mergeCell ref="CD90:CG90"/>
    <mergeCell ref="CI90:CJ90"/>
    <mergeCell ref="CK90:CL90"/>
    <mergeCell ref="CD91:CG91"/>
    <mergeCell ref="CI91:CJ91"/>
    <mergeCell ref="CK91:CL91"/>
    <mergeCell ref="CD92:CG92"/>
    <mergeCell ref="CI92:CJ92"/>
    <mergeCell ref="CK92:CL92"/>
    <mergeCell ref="CC97:CN97"/>
    <mergeCell ref="CC98:CN98"/>
    <mergeCell ref="CC99:CN99"/>
    <mergeCell ref="CC100:CN100"/>
    <mergeCell ref="CD93:CG93"/>
    <mergeCell ref="CI93:CJ93"/>
    <mergeCell ref="CK93:CL93"/>
    <mergeCell ref="CC94:CN94"/>
    <mergeCell ref="CD95:CN95"/>
    <mergeCell ref="CC96:CN96"/>
    <mergeCell ref="IG1:IR1"/>
    <mergeCell ref="IG2:IR2"/>
    <mergeCell ref="IG3:IP3"/>
    <mergeCell ref="IH4:IL4"/>
    <mergeCell ref="IN4:IR4"/>
    <mergeCell ref="IG5:IL5"/>
    <mergeCell ref="IM5:IO5"/>
    <mergeCell ref="IP5:IR5"/>
    <mergeCell ref="IG7:II7"/>
    <mergeCell ref="IJ7:IL7"/>
    <mergeCell ref="IM7:IO7"/>
    <mergeCell ref="IP7:IR7"/>
    <mergeCell ref="IG8:II8"/>
    <mergeCell ref="IJ8:IL8"/>
    <mergeCell ref="IM8:IO8"/>
    <mergeCell ref="IP8:IR8"/>
    <mergeCell ref="IG9:IR9"/>
    <mergeCell ref="IG10:II10"/>
    <mergeCell ref="IK10:IL10"/>
    <mergeCell ref="IM10:IO10"/>
    <mergeCell ref="IQ10:IR10"/>
    <mergeCell ref="IG11:II11"/>
    <mergeCell ref="IK11:IL11"/>
    <mergeCell ref="IM11:IO11"/>
    <mergeCell ref="IQ11:IR11"/>
    <mergeCell ref="IG12:II12"/>
    <mergeCell ref="IK12:IL12"/>
    <mergeCell ref="IM12:IO12"/>
    <mergeCell ref="IQ12:IR12"/>
    <mergeCell ref="IG13:II13"/>
    <mergeCell ref="IK13:IL13"/>
    <mergeCell ref="IM13:IO13"/>
    <mergeCell ref="IQ13:IR13"/>
    <mergeCell ref="IG14:II14"/>
    <mergeCell ref="IK14:IL14"/>
    <mergeCell ref="IM14:IO14"/>
    <mergeCell ref="IQ14:IR14"/>
    <mergeCell ref="IG15:II15"/>
    <mergeCell ref="IK15:IL15"/>
    <mergeCell ref="IM15:IO15"/>
    <mergeCell ref="IQ15:IR15"/>
    <mergeCell ref="IG16:II16"/>
    <mergeCell ref="IK16:IL16"/>
    <mergeCell ref="IM16:IO16"/>
    <mergeCell ref="IQ16:IR16"/>
    <mergeCell ref="IG17:II17"/>
    <mergeCell ref="IK17:IL17"/>
    <mergeCell ref="IM17:IO17"/>
    <mergeCell ref="IQ17:IR17"/>
    <mergeCell ref="IG18:II18"/>
    <mergeCell ref="IK18:IL18"/>
    <mergeCell ref="IM18:IO18"/>
    <mergeCell ref="IQ18:IR18"/>
    <mergeCell ref="IG19:IR19"/>
    <mergeCell ref="IG20:II20"/>
    <mergeCell ref="IK20:IL20"/>
    <mergeCell ref="IM20:IO20"/>
    <mergeCell ref="IQ20:IR20"/>
    <mergeCell ref="IG21:II21"/>
    <mergeCell ref="IK21:IL21"/>
    <mergeCell ref="IM21:IO21"/>
    <mergeCell ref="IQ21:IR21"/>
    <mergeCell ref="IG22:II22"/>
    <mergeCell ref="IK22:IL22"/>
    <mergeCell ref="IM22:IO22"/>
    <mergeCell ref="IQ22:IR22"/>
    <mergeCell ref="IG23:II23"/>
    <mergeCell ref="IK23:IL23"/>
    <mergeCell ref="IM23:IO23"/>
    <mergeCell ref="IQ23:IR23"/>
    <mergeCell ref="IG24:II24"/>
    <mergeCell ref="IK24:IL24"/>
    <mergeCell ref="IM24:IO24"/>
    <mergeCell ref="IQ24:IR24"/>
    <mergeCell ref="IG25:IR25"/>
    <mergeCell ref="IH26:II26"/>
    <mergeCell ref="IJ26:IL26"/>
    <mergeCell ref="IM26:IO26"/>
    <mergeCell ref="IQ26:IR26"/>
    <mergeCell ref="IH27:II27"/>
    <mergeCell ref="IJ27:IL27"/>
    <mergeCell ref="IM27:IO27"/>
    <mergeCell ref="IQ27:IR27"/>
    <mergeCell ref="IH28:II28"/>
    <mergeCell ref="IJ28:IL28"/>
    <mergeCell ref="IM28:IO28"/>
    <mergeCell ref="IQ28:IR28"/>
    <mergeCell ref="IH29:II29"/>
    <mergeCell ref="IJ29:IL29"/>
    <mergeCell ref="IM29:IO29"/>
    <mergeCell ref="IQ29:IR29"/>
    <mergeCell ref="IH30:II30"/>
    <mergeCell ref="IJ30:IL30"/>
    <mergeCell ref="IM30:IO30"/>
    <mergeCell ref="IQ30:IR30"/>
    <mergeCell ref="IH31:II31"/>
    <mergeCell ref="IJ31:IL31"/>
    <mergeCell ref="IM31:IO31"/>
    <mergeCell ref="IQ31:IR31"/>
    <mergeCell ref="IG32:IR34"/>
    <mergeCell ref="IG35:IR41"/>
    <mergeCell ref="IG42:IR42"/>
    <mergeCell ref="IG43:IR43"/>
    <mergeCell ref="IG44:IR44"/>
    <mergeCell ref="IG45:IR45"/>
    <mergeCell ref="IG46:IR46"/>
    <mergeCell ref="IG47:IR47"/>
    <mergeCell ref="IG48:IR48"/>
    <mergeCell ref="IG49:IR49"/>
    <mergeCell ref="IG50:IR50"/>
    <mergeCell ref="IG51:IR51"/>
    <mergeCell ref="IG52:IR52"/>
    <mergeCell ref="IG53:IR53"/>
    <mergeCell ref="IG54:IR54"/>
    <mergeCell ref="IG55:IR55"/>
    <mergeCell ref="IG56:IR56"/>
    <mergeCell ref="IG57:IR57"/>
    <mergeCell ref="IG58:IR58"/>
    <mergeCell ref="IG59:IR59"/>
    <mergeCell ref="IG60:IR60"/>
    <mergeCell ref="IG61:IM62"/>
    <mergeCell ref="IN61:IR61"/>
    <mergeCell ref="IQ62:IR62"/>
    <mergeCell ref="IH63:IK63"/>
    <mergeCell ref="IM63:IN63"/>
    <mergeCell ref="IO63:IP63"/>
    <mergeCell ref="IH64:IK64"/>
    <mergeCell ref="IM64:IN64"/>
    <mergeCell ref="IO64:IP64"/>
    <mergeCell ref="IH65:IK65"/>
    <mergeCell ref="IM65:IN65"/>
    <mergeCell ref="IO65:IP65"/>
    <mergeCell ref="IH66:IK66"/>
    <mergeCell ref="IM66:IN66"/>
    <mergeCell ref="IO66:IP66"/>
    <mergeCell ref="IH67:IK67"/>
    <mergeCell ref="IM67:IN67"/>
    <mergeCell ref="IO67:IP67"/>
    <mergeCell ref="IH68:IK68"/>
    <mergeCell ref="IM68:IN68"/>
    <mergeCell ref="IO68:IP68"/>
    <mergeCell ref="IH69:IK69"/>
    <mergeCell ref="IM69:IN69"/>
    <mergeCell ref="IO69:IP69"/>
    <mergeCell ref="IH70:IK70"/>
    <mergeCell ref="IM70:IN70"/>
    <mergeCell ref="IO70:IP70"/>
    <mergeCell ref="IH71:IK71"/>
    <mergeCell ref="IM71:IN71"/>
    <mergeCell ref="IO71:IP71"/>
    <mergeCell ref="IH72:IK72"/>
    <mergeCell ref="IM72:IN72"/>
    <mergeCell ref="IO72:IP72"/>
    <mergeCell ref="IH73:IK73"/>
    <mergeCell ref="IM73:IN73"/>
    <mergeCell ref="IO73:IP73"/>
    <mergeCell ref="IH74:IK74"/>
    <mergeCell ref="IM74:IN74"/>
    <mergeCell ref="IO74:IP74"/>
    <mergeCell ref="IM75:IN75"/>
    <mergeCell ref="IO75:IP75"/>
    <mergeCell ref="IM76:IN76"/>
    <mergeCell ref="IO76:IP76"/>
    <mergeCell ref="IM77:IN77"/>
    <mergeCell ref="IO77:IP77"/>
    <mergeCell ref="IM78:IN78"/>
    <mergeCell ref="IO78:IP78"/>
    <mergeCell ref="IH79:IK79"/>
    <mergeCell ref="IM79:IN79"/>
    <mergeCell ref="IO79:IP79"/>
    <mergeCell ref="IH80:IK80"/>
    <mergeCell ref="IM80:IN80"/>
    <mergeCell ref="IO80:IP80"/>
    <mergeCell ref="IH81:IK81"/>
    <mergeCell ref="IM81:IN81"/>
    <mergeCell ref="IO81:IP81"/>
    <mergeCell ref="IH82:IK82"/>
    <mergeCell ref="IM82:IN82"/>
    <mergeCell ref="IO82:IP82"/>
    <mergeCell ref="IH83:IK83"/>
    <mergeCell ref="IM83:IN83"/>
    <mergeCell ref="IO83:IP83"/>
    <mergeCell ref="IH84:IK84"/>
    <mergeCell ref="IM84:IN84"/>
    <mergeCell ref="IO84:IP84"/>
    <mergeCell ref="IH85:IK85"/>
    <mergeCell ref="IM85:IN85"/>
    <mergeCell ref="IO85:IP85"/>
    <mergeCell ref="IH86:IK86"/>
    <mergeCell ref="IM86:IN86"/>
    <mergeCell ref="IO86:IP86"/>
    <mergeCell ref="IH87:IK87"/>
    <mergeCell ref="IM87:IN87"/>
    <mergeCell ref="IO87:IP87"/>
    <mergeCell ref="IH88:IK88"/>
    <mergeCell ref="IM88:IN88"/>
    <mergeCell ref="IO88:IP88"/>
    <mergeCell ref="IH89:IK89"/>
    <mergeCell ref="IM89:IN89"/>
    <mergeCell ref="IO89:IP89"/>
    <mergeCell ref="IH90:IK90"/>
    <mergeCell ref="IM90:IN90"/>
    <mergeCell ref="IO90:IP90"/>
    <mergeCell ref="IH91:IK91"/>
    <mergeCell ref="IM91:IN91"/>
    <mergeCell ref="IO91:IP91"/>
    <mergeCell ref="IH92:IK92"/>
    <mergeCell ref="IM92:IN92"/>
    <mergeCell ref="IO92:IP92"/>
    <mergeCell ref="IG97:IR97"/>
    <mergeCell ref="IG98:IR98"/>
    <mergeCell ref="IG99:IR99"/>
    <mergeCell ref="IG100:IR100"/>
    <mergeCell ref="IH93:IK93"/>
    <mergeCell ref="IM93:IN93"/>
    <mergeCell ref="IO93:IP93"/>
    <mergeCell ref="IG94:IR94"/>
    <mergeCell ref="IH95:IR95"/>
    <mergeCell ref="IG96:IR96"/>
    <mergeCell ref="IW1:JH1"/>
    <mergeCell ref="IW2:JH2"/>
    <mergeCell ref="IW3:JF3"/>
    <mergeCell ref="IX4:JB4"/>
    <mergeCell ref="JD4:JH4"/>
    <mergeCell ref="IW5:JB5"/>
    <mergeCell ref="JC5:JE5"/>
    <mergeCell ref="JF5:JH5"/>
    <mergeCell ref="IW7:IY7"/>
    <mergeCell ref="IZ7:JB7"/>
    <mergeCell ref="JC7:JE7"/>
    <mergeCell ref="JF7:JH7"/>
    <mergeCell ref="IW8:IY8"/>
    <mergeCell ref="IZ8:JB8"/>
    <mergeCell ref="JC8:JE8"/>
    <mergeCell ref="JF8:JH8"/>
    <mergeCell ref="IW9:JH9"/>
    <mergeCell ref="IW10:IY10"/>
    <mergeCell ref="JA10:JB10"/>
    <mergeCell ref="JC10:JE10"/>
    <mergeCell ref="JG10:JH10"/>
    <mergeCell ref="IW11:IY11"/>
    <mergeCell ref="JA11:JB11"/>
    <mergeCell ref="JC11:JE11"/>
    <mergeCell ref="JG11:JH11"/>
    <mergeCell ref="IW12:IY12"/>
    <mergeCell ref="JA12:JB12"/>
    <mergeCell ref="JC12:JE12"/>
    <mergeCell ref="JG12:JH12"/>
    <mergeCell ref="IW13:IY13"/>
    <mergeCell ref="JA13:JB13"/>
    <mergeCell ref="JC13:JE13"/>
    <mergeCell ref="JG13:JH13"/>
    <mergeCell ref="IW14:IY14"/>
    <mergeCell ref="JA14:JB14"/>
    <mergeCell ref="JC14:JE14"/>
    <mergeCell ref="JG14:JH14"/>
    <mergeCell ref="IW15:IY15"/>
    <mergeCell ref="JA15:JB15"/>
    <mergeCell ref="JC15:JE15"/>
    <mergeCell ref="JG15:JH15"/>
    <mergeCell ref="IW16:IY16"/>
    <mergeCell ref="JA16:JB16"/>
    <mergeCell ref="JC16:JE16"/>
    <mergeCell ref="JG16:JH16"/>
    <mergeCell ref="IW17:IY17"/>
    <mergeCell ref="JA17:JB17"/>
    <mergeCell ref="JC17:JE17"/>
    <mergeCell ref="JG17:JH17"/>
    <mergeCell ref="IW18:IY18"/>
    <mergeCell ref="JA18:JB18"/>
    <mergeCell ref="JC18:JE18"/>
    <mergeCell ref="JG18:JH18"/>
    <mergeCell ref="IW19:JH19"/>
    <mergeCell ref="IW20:IY20"/>
    <mergeCell ref="JA20:JB20"/>
    <mergeCell ref="JC20:JE20"/>
    <mergeCell ref="JG20:JH20"/>
    <mergeCell ref="IW21:IY21"/>
    <mergeCell ref="JA21:JB21"/>
    <mergeCell ref="JC21:JE21"/>
    <mergeCell ref="JG21:JH21"/>
    <mergeCell ref="IW22:IY22"/>
    <mergeCell ref="JA22:JB22"/>
    <mergeCell ref="JC22:JE22"/>
    <mergeCell ref="JG22:JH22"/>
    <mergeCell ref="IW23:IY23"/>
    <mergeCell ref="JA23:JB23"/>
    <mergeCell ref="JC23:JE23"/>
    <mergeCell ref="JG23:JH23"/>
    <mergeCell ref="IW24:IY24"/>
    <mergeCell ref="JA24:JB24"/>
    <mergeCell ref="JC24:JE24"/>
    <mergeCell ref="JG24:JH24"/>
    <mergeCell ref="IW25:JH25"/>
    <mergeCell ref="IX26:IY26"/>
    <mergeCell ref="IZ26:JB26"/>
    <mergeCell ref="JC26:JE26"/>
    <mergeCell ref="JG26:JH26"/>
    <mergeCell ref="IX27:IY27"/>
    <mergeCell ref="IZ27:JB27"/>
    <mergeCell ref="JC27:JE27"/>
    <mergeCell ref="JG27:JH27"/>
    <mergeCell ref="IX28:IY28"/>
    <mergeCell ref="IZ28:JB28"/>
    <mergeCell ref="JC28:JE28"/>
    <mergeCell ref="JG28:JH28"/>
    <mergeCell ref="IX29:IY29"/>
    <mergeCell ref="IZ29:JB29"/>
    <mergeCell ref="JC29:JE29"/>
    <mergeCell ref="JG29:JH29"/>
    <mergeCell ref="IX30:IY30"/>
    <mergeCell ref="IZ30:JB30"/>
    <mergeCell ref="JC30:JE30"/>
    <mergeCell ref="JG30:JH30"/>
    <mergeCell ref="IX31:IY31"/>
    <mergeCell ref="IZ31:JB31"/>
    <mergeCell ref="JC31:JE31"/>
    <mergeCell ref="JG31:JH31"/>
    <mergeCell ref="IW32:JH34"/>
    <mergeCell ref="IW35:JH41"/>
    <mergeCell ref="IW42:JH42"/>
    <mergeCell ref="IW43:JH43"/>
    <mergeCell ref="IW44:JH44"/>
    <mergeCell ref="IW45:JH45"/>
    <mergeCell ref="IW46:JH46"/>
    <mergeCell ref="IW47:JH47"/>
    <mergeCell ref="IW48:JH48"/>
    <mergeCell ref="IW49:JH49"/>
    <mergeCell ref="IW50:JH50"/>
    <mergeCell ref="IW51:JH51"/>
    <mergeCell ref="IW52:JH52"/>
    <mergeCell ref="IW53:JH53"/>
    <mergeCell ref="IW54:JH54"/>
    <mergeCell ref="IW55:JH55"/>
    <mergeCell ref="IW56:JH56"/>
    <mergeCell ref="IW57:JH57"/>
    <mergeCell ref="IW58:JH58"/>
    <mergeCell ref="IW59:JH59"/>
    <mergeCell ref="IW60:JH60"/>
    <mergeCell ref="IW61:JC62"/>
    <mergeCell ref="JD61:JH61"/>
    <mergeCell ref="JG62:JH62"/>
    <mergeCell ref="IX63:JA63"/>
    <mergeCell ref="JC63:JD63"/>
    <mergeCell ref="JE63:JF63"/>
    <mergeCell ref="IX64:JA64"/>
    <mergeCell ref="JC64:JD64"/>
    <mergeCell ref="JE64:JF64"/>
    <mergeCell ref="IX65:JA65"/>
    <mergeCell ref="JC65:JD65"/>
    <mergeCell ref="JE65:JF65"/>
    <mergeCell ref="IX66:JA66"/>
    <mergeCell ref="JC66:JD66"/>
    <mergeCell ref="JE66:JF66"/>
    <mergeCell ref="IX67:JA67"/>
    <mergeCell ref="JC67:JD67"/>
    <mergeCell ref="JE67:JF67"/>
    <mergeCell ref="IX68:JA68"/>
    <mergeCell ref="JC68:JD68"/>
    <mergeCell ref="JE68:JF68"/>
    <mergeCell ref="IX69:JA69"/>
    <mergeCell ref="JC69:JD69"/>
    <mergeCell ref="JE69:JF69"/>
    <mergeCell ref="IX70:JA70"/>
    <mergeCell ref="JC70:JD70"/>
    <mergeCell ref="JE70:JF70"/>
    <mergeCell ref="IX71:JA71"/>
    <mergeCell ref="JC71:JD71"/>
    <mergeCell ref="JE71:JF71"/>
    <mergeCell ref="IX72:JA72"/>
    <mergeCell ref="JC72:JD72"/>
    <mergeCell ref="JE72:JF72"/>
    <mergeCell ref="IX73:JA73"/>
    <mergeCell ref="JC73:JD73"/>
    <mergeCell ref="JE73:JF73"/>
    <mergeCell ref="IX74:JA74"/>
    <mergeCell ref="JC74:JD74"/>
    <mergeCell ref="JE74:JF74"/>
    <mergeCell ref="JC75:JD75"/>
    <mergeCell ref="JE75:JF75"/>
    <mergeCell ref="IX88:JA88"/>
    <mergeCell ref="JC88:JD88"/>
    <mergeCell ref="JE88:JF88"/>
    <mergeCell ref="JC76:JD76"/>
    <mergeCell ref="JE76:JF76"/>
    <mergeCell ref="JC77:JD77"/>
    <mergeCell ref="JE77:JF77"/>
    <mergeCell ref="JC78:JD78"/>
    <mergeCell ref="JE78:JF78"/>
    <mergeCell ref="IX79:JA79"/>
    <mergeCell ref="JC79:JD79"/>
    <mergeCell ref="JE79:JF79"/>
    <mergeCell ref="IX80:JA80"/>
    <mergeCell ref="JC80:JD80"/>
    <mergeCell ref="JE80:JF80"/>
    <mergeCell ref="IX81:JA81"/>
    <mergeCell ref="JC81:JD81"/>
    <mergeCell ref="JE81:JF81"/>
    <mergeCell ref="IX82:JA82"/>
    <mergeCell ref="JC82:JD82"/>
    <mergeCell ref="JE82:JF82"/>
    <mergeCell ref="IW97:JH97"/>
    <mergeCell ref="IW98:JH98"/>
    <mergeCell ref="IW99:JH99"/>
    <mergeCell ref="IW100:JH100"/>
    <mergeCell ref="IX89:JA89"/>
    <mergeCell ref="JC89:JD89"/>
    <mergeCell ref="JE89:JF89"/>
    <mergeCell ref="IX90:JA90"/>
    <mergeCell ref="JC90:JD90"/>
    <mergeCell ref="JE90:JF90"/>
    <mergeCell ref="IX91:JA91"/>
    <mergeCell ref="JC91:JD91"/>
    <mergeCell ref="JE91:JF91"/>
    <mergeCell ref="IX92:JA92"/>
    <mergeCell ref="JC92:JD92"/>
    <mergeCell ref="JE92:JF92"/>
    <mergeCell ref="IX93:JA93"/>
    <mergeCell ref="JC93:JD93"/>
    <mergeCell ref="JE93:JF93"/>
    <mergeCell ref="IW94:JH94"/>
    <mergeCell ref="IX95:JH95"/>
    <mergeCell ref="JM13:JO13"/>
    <mergeCell ref="JQ13:JR13"/>
    <mergeCell ref="JS13:JU13"/>
    <mergeCell ref="JW13:JX13"/>
    <mergeCell ref="JM14:JO14"/>
    <mergeCell ref="JQ14:JR14"/>
    <mergeCell ref="JS14:JU14"/>
    <mergeCell ref="JW14:JX14"/>
    <mergeCell ref="JM15:JO15"/>
    <mergeCell ref="JQ15:JR15"/>
    <mergeCell ref="JS15:JU15"/>
    <mergeCell ref="JW15:JX15"/>
    <mergeCell ref="JM16:JO16"/>
    <mergeCell ref="JQ16:JR16"/>
    <mergeCell ref="JS16:JU16"/>
    <mergeCell ref="JW16:JX16"/>
    <mergeCell ref="IW96:JH96"/>
    <mergeCell ref="IX83:JA83"/>
    <mergeCell ref="JC83:JD83"/>
    <mergeCell ref="JE83:JF83"/>
    <mergeCell ref="IX84:JA84"/>
    <mergeCell ref="JC84:JD84"/>
    <mergeCell ref="JE84:JF84"/>
    <mergeCell ref="IX85:JA85"/>
    <mergeCell ref="JC85:JD85"/>
    <mergeCell ref="JE85:JF85"/>
    <mergeCell ref="IX86:JA86"/>
    <mergeCell ref="JC86:JD86"/>
    <mergeCell ref="JE86:JF86"/>
    <mergeCell ref="IX87:JA87"/>
    <mergeCell ref="JC87:JD87"/>
    <mergeCell ref="JE87:JF87"/>
    <mergeCell ref="JM17:JO17"/>
    <mergeCell ref="JQ17:JR17"/>
    <mergeCell ref="JS17:JU17"/>
    <mergeCell ref="JW17:JX17"/>
    <mergeCell ref="JM18:JO18"/>
    <mergeCell ref="JQ18:JR18"/>
    <mergeCell ref="JS18:JU18"/>
    <mergeCell ref="JW18:JX18"/>
    <mergeCell ref="JM19:JX19"/>
    <mergeCell ref="JM20:JO20"/>
    <mergeCell ref="JQ20:JR20"/>
    <mergeCell ref="JS20:JU20"/>
    <mergeCell ref="JW20:JX20"/>
    <mergeCell ref="JM21:JO21"/>
    <mergeCell ref="JQ21:JR21"/>
    <mergeCell ref="JS21:JU21"/>
    <mergeCell ref="JW21:JX21"/>
    <mergeCell ref="JM22:JO22"/>
    <mergeCell ref="JQ22:JR22"/>
    <mergeCell ref="JS22:JU22"/>
    <mergeCell ref="JW22:JX22"/>
    <mergeCell ref="JM23:JO23"/>
    <mergeCell ref="JQ23:JR23"/>
    <mergeCell ref="JS23:JU23"/>
    <mergeCell ref="JW23:JX23"/>
    <mergeCell ref="JM24:JO24"/>
    <mergeCell ref="JQ24:JR24"/>
    <mergeCell ref="JS24:JU24"/>
    <mergeCell ref="JW24:JX24"/>
    <mergeCell ref="JM25:JX25"/>
    <mergeCell ref="JN26:JO26"/>
    <mergeCell ref="JP26:JR26"/>
    <mergeCell ref="JS26:JU26"/>
    <mergeCell ref="JW26:JX26"/>
    <mergeCell ref="JN27:JO27"/>
    <mergeCell ref="JP27:JR27"/>
    <mergeCell ref="JS27:JU27"/>
    <mergeCell ref="JW27:JX27"/>
    <mergeCell ref="JN28:JO28"/>
    <mergeCell ref="JP28:JR28"/>
    <mergeCell ref="JS28:JU28"/>
    <mergeCell ref="JW28:JX28"/>
    <mergeCell ref="JN29:JO29"/>
    <mergeCell ref="JP29:JR29"/>
    <mergeCell ref="JS29:JU29"/>
    <mergeCell ref="JW29:JX29"/>
    <mergeCell ref="JN30:JO30"/>
    <mergeCell ref="JP30:JR30"/>
    <mergeCell ref="JS30:JU30"/>
    <mergeCell ref="JW30:JX30"/>
    <mergeCell ref="JN31:JO31"/>
    <mergeCell ref="JP31:JR31"/>
    <mergeCell ref="JS31:JU31"/>
    <mergeCell ref="JW31:JX31"/>
    <mergeCell ref="JM32:JX34"/>
    <mergeCell ref="JM35:JX41"/>
    <mergeCell ref="JM42:JX42"/>
    <mergeCell ref="JM43:JX43"/>
    <mergeCell ref="JM44:JX44"/>
    <mergeCell ref="JM45:JX45"/>
    <mergeCell ref="JM46:JX46"/>
    <mergeCell ref="JM47:JX47"/>
    <mergeCell ref="JM48:JX48"/>
    <mergeCell ref="JM49:JX49"/>
    <mergeCell ref="JM50:JX50"/>
    <mergeCell ref="JM51:JX51"/>
    <mergeCell ref="JM52:JX52"/>
    <mergeCell ref="JM53:JX53"/>
    <mergeCell ref="JM54:JX54"/>
    <mergeCell ref="JM55:JX55"/>
    <mergeCell ref="JM56:JX56"/>
    <mergeCell ref="JM57:JX57"/>
    <mergeCell ref="JM58:JX58"/>
    <mergeCell ref="JM59:JX59"/>
    <mergeCell ref="JM60:JX60"/>
    <mergeCell ref="JM61:JS62"/>
    <mergeCell ref="JT61:JX61"/>
    <mergeCell ref="JW62:JX62"/>
    <mergeCell ref="JN63:JQ63"/>
    <mergeCell ref="JS63:JT63"/>
    <mergeCell ref="JU63:JV63"/>
    <mergeCell ref="JN64:JQ64"/>
    <mergeCell ref="JS64:JT64"/>
    <mergeCell ref="JU64:JV64"/>
    <mergeCell ref="JN65:JQ65"/>
    <mergeCell ref="JS65:JT65"/>
    <mergeCell ref="JU65:JV65"/>
    <mergeCell ref="JN66:JQ66"/>
    <mergeCell ref="JS66:JT66"/>
    <mergeCell ref="JU66:JV66"/>
    <mergeCell ref="JN67:JQ67"/>
    <mergeCell ref="JS67:JT67"/>
    <mergeCell ref="JU67:JV67"/>
    <mergeCell ref="JN68:JQ68"/>
    <mergeCell ref="JS68:JT68"/>
    <mergeCell ref="JU68:JV68"/>
    <mergeCell ref="JN69:JQ69"/>
    <mergeCell ref="JS69:JT69"/>
    <mergeCell ref="JU69:JV69"/>
    <mergeCell ref="JN70:JQ70"/>
    <mergeCell ref="JS70:JT70"/>
    <mergeCell ref="JU70:JV70"/>
    <mergeCell ref="JN71:JQ71"/>
    <mergeCell ref="JS71:JT71"/>
    <mergeCell ref="JU71:JV71"/>
    <mergeCell ref="JN72:JQ72"/>
    <mergeCell ref="JS72:JT72"/>
    <mergeCell ref="JU72:JV72"/>
    <mergeCell ref="JN73:JQ73"/>
    <mergeCell ref="JS73:JT73"/>
    <mergeCell ref="JU73:JV73"/>
    <mergeCell ref="JN74:JQ74"/>
    <mergeCell ref="JS74:JT74"/>
    <mergeCell ref="JU74:JV74"/>
    <mergeCell ref="JS75:JT75"/>
    <mergeCell ref="JU75:JV75"/>
    <mergeCell ref="JS76:JT76"/>
    <mergeCell ref="JU76:JV76"/>
    <mergeCell ref="JS77:JT77"/>
    <mergeCell ref="JU77:JV77"/>
    <mergeCell ref="JS78:JT78"/>
    <mergeCell ref="JU78:JV78"/>
    <mergeCell ref="JN79:JQ79"/>
    <mergeCell ref="JS79:JT79"/>
    <mergeCell ref="JU79:JV79"/>
    <mergeCell ref="JN80:JQ80"/>
    <mergeCell ref="JS80:JT80"/>
    <mergeCell ref="JU80:JV80"/>
    <mergeCell ref="JN81:JQ81"/>
    <mergeCell ref="JS81:JT81"/>
    <mergeCell ref="JU81:JV81"/>
    <mergeCell ref="JN82:JQ82"/>
    <mergeCell ref="JS82:JT82"/>
    <mergeCell ref="JU82:JV82"/>
    <mergeCell ref="JN83:JQ83"/>
    <mergeCell ref="JS83:JT83"/>
    <mergeCell ref="JU83:JV83"/>
    <mergeCell ref="JN84:JQ84"/>
    <mergeCell ref="JS84:JT84"/>
    <mergeCell ref="JU84:JV84"/>
    <mergeCell ref="JN85:JQ85"/>
    <mergeCell ref="JS85:JT85"/>
    <mergeCell ref="JU85:JV85"/>
    <mergeCell ref="JN86:JQ86"/>
    <mergeCell ref="JS86:JT86"/>
    <mergeCell ref="JU86:JV86"/>
    <mergeCell ref="JN87:JQ87"/>
    <mergeCell ref="JS87:JT87"/>
    <mergeCell ref="JU87:JV87"/>
    <mergeCell ref="JN88:JQ88"/>
    <mergeCell ref="JS88:JT88"/>
    <mergeCell ref="JU88:JV88"/>
    <mergeCell ref="JN89:JQ89"/>
    <mergeCell ref="JS89:JT89"/>
    <mergeCell ref="JU89:JV89"/>
    <mergeCell ref="JN90:JQ90"/>
    <mergeCell ref="JS90:JT90"/>
    <mergeCell ref="JU90:JV90"/>
    <mergeCell ref="JN91:JQ91"/>
    <mergeCell ref="JS91:JT91"/>
    <mergeCell ref="JU91:JV91"/>
    <mergeCell ref="JN92:JQ92"/>
    <mergeCell ref="JS92:JT92"/>
    <mergeCell ref="JU92:JV92"/>
    <mergeCell ref="JN93:JQ93"/>
    <mergeCell ref="JS93:JT93"/>
    <mergeCell ref="JU93:JV93"/>
    <mergeCell ref="JM94:JX94"/>
    <mergeCell ref="JN95:JX95"/>
    <mergeCell ref="JM96:JX96"/>
    <mergeCell ref="JM97:JX97"/>
    <mergeCell ref="JM98:JX98"/>
    <mergeCell ref="JM99:JX99"/>
    <mergeCell ref="JM100:JX100"/>
    <mergeCell ref="KC1:KN1"/>
    <mergeCell ref="KC2:KN2"/>
    <mergeCell ref="KC3:KL3"/>
    <mergeCell ref="KD4:KH4"/>
    <mergeCell ref="KJ4:KN4"/>
    <mergeCell ref="KC5:KH5"/>
    <mergeCell ref="KI5:KK5"/>
    <mergeCell ref="KL5:KN5"/>
    <mergeCell ref="KC7:KE7"/>
    <mergeCell ref="KF7:KH7"/>
    <mergeCell ref="KI7:KK7"/>
    <mergeCell ref="KL7:KN7"/>
    <mergeCell ref="KC8:KE8"/>
    <mergeCell ref="KF8:KH8"/>
    <mergeCell ref="KI8:KK8"/>
    <mergeCell ref="KL8:KN8"/>
    <mergeCell ref="KC9:KN9"/>
    <mergeCell ref="KC10:KE10"/>
    <mergeCell ref="KG10:KH10"/>
    <mergeCell ref="KI10:KK10"/>
    <mergeCell ref="KM10:KN10"/>
    <mergeCell ref="KC11:KE11"/>
    <mergeCell ref="KG11:KH11"/>
    <mergeCell ref="KI11:KK11"/>
    <mergeCell ref="KM11:KN11"/>
    <mergeCell ref="KC12:KE12"/>
    <mergeCell ref="KG12:KH12"/>
    <mergeCell ref="KI12:KK12"/>
    <mergeCell ref="KM12:KN12"/>
    <mergeCell ref="KC13:KE13"/>
    <mergeCell ref="KG13:KH13"/>
    <mergeCell ref="KI13:KK13"/>
    <mergeCell ref="KM13:KN13"/>
    <mergeCell ref="KC14:KE14"/>
    <mergeCell ref="KG14:KH14"/>
    <mergeCell ref="KI14:KK14"/>
    <mergeCell ref="KM14:KN14"/>
    <mergeCell ref="KC15:KE15"/>
    <mergeCell ref="KG15:KH15"/>
    <mergeCell ref="KI15:KK15"/>
    <mergeCell ref="KM15:KN15"/>
    <mergeCell ref="KC16:KE16"/>
    <mergeCell ref="KG16:KH16"/>
    <mergeCell ref="KI16:KK16"/>
    <mergeCell ref="KM16:KN16"/>
    <mergeCell ref="KC17:KE17"/>
    <mergeCell ref="KG17:KH17"/>
    <mergeCell ref="KI17:KK17"/>
    <mergeCell ref="KM17:KN17"/>
    <mergeCell ref="KC18:KE18"/>
    <mergeCell ref="KG18:KH18"/>
    <mergeCell ref="KI18:KK18"/>
    <mergeCell ref="KM18:KN18"/>
    <mergeCell ref="KC19:KN19"/>
    <mergeCell ref="KC20:KE20"/>
    <mergeCell ref="KG20:KH20"/>
    <mergeCell ref="KI20:KK20"/>
    <mergeCell ref="KM20:KN20"/>
    <mergeCell ref="KC21:KE21"/>
    <mergeCell ref="KG21:KH21"/>
    <mergeCell ref="KI21:KK21"/>
    <mergeCell ref="KM21:KN21"/>
    <mergeCell ref="KC22:KE22"/>
    <mergeCell ref="KG22:KH22"/>
    <mergeCell ref="KI22:KK22"/>
    <mergeCell ref="KM22:KN22"/>
    <mergeCell ref="KC23:KE23"/>
    <mergeCell ref="KG23:KH23"/>
    <mergeCell ref="KI23:KK23"/>
    <mergeCell ref="KM23:KN23"/>
    <mergeCell ref="KC24:KE24"/>
    <mergeCell ref="KG24:KH24"/>
    <mergeCell ref="KI24:KK24"/>
    <mergeCell ref="KM24:KN24"/>
    <mergeCell ref="KC25:KN25"/>
    <mergeCell ref="KD26:KE26"/>
    <mergeCell ref="KF26:KH26"/>
    <mergeCell ref="KI26:KK26"/>
    <mergeCell ref="KM26:KN26"/>
    <mergeCell ref="KD27:KE27"/>
    <mergeCell ref="KF27:KH27"/>
    <mergeCell ref="KI27:KK27"/>
    <mergeCell ref="KM27:KN27"/>
    <mergeCell ref="KD28:KE28"/>
    <mergeCell ref="KF28:KH28"/>
    <mergeCell ref="KI28:KK28"/>
    <mergeCell ref="KM28:KN28"/>
    <mergeCell ref="KD29:KE29"/>
    <mergeCell ref="KF29:KH29"/>
    <mergeCell ref="KI29:KK29"/>
    <mergeCell ref="KM29:KN29"/>
    <mergeCell ref="KD30:KE30"/>
    <mergeCell ref="KF30:KH30"/>
    <mergeCell ref="KI30:KK30"/>
    <mergeCell ref="KM30:KN30"/>
    <mergeCell ref="KD31:KE31"/>
    <mergeCell ref="KF31:KH31"/>
    <mergeCell ref="KI31:KK31"/>
    <mergeCell ref="KM31:KN31"/>
    <mergeCell ref="KC32:KN34"/>
    <mergeCell ref="KC35:KN41"/>
    <mergeCell ref="KC42:KN42"/>
    <mergeCell ref="KC43:KN43"/>
    <mergeCell ref="KC44:KN44"/>
    <mergeCell ref="KC45:KN45"/>
    <mergeCell ref="KC46:KN46"/>
    <mergeCell ref="KC47:KN47"/>
    <mergeCell ref="KC48:KN48"/>
    <mergeCell ref="KC49:KN49"/>
    <mergeCell ref="KC50:KN50"/>
    <mergeCell ref="KC51:KN51"/>
    <mergeCell ref="KC52:KN52"/>
    <mergeCell ref="KC53:KN53"/>
    <mergeCell ref="KC54:KN54"/>
    <mergeCell ref="KC55:KN55"/>
    <mergeCell ref="KC56:KN56"/>
    <mergeCell ref="KC57:KN57"/>
    <mergeCell ref="KC58:KN58"/>
    <mergeCell ref="KC59:KN59"/>
    <mergeCell ref="KC60:KN60"/>
    <mergeCell ref="KC61:KI62"/>
    <mergeCell ref="KJ61:KN61"/>
    <mergeCell ref="KM62:KN62"/>
    <mergeCell ref="KD63:KG63"/>
    <mergeCell ref="KI63:KJ63"/>
    <mergeCell ref="KK63:KL63"/>
    <mergeCell ref="KD64:KG64"/>
    <mergeCell ref="KI64:KJ64"/>
    <mergeCell ref="KK64:KL64"/>
    <mergeCell ref="KD65:KG65"/>
    <mergeCell ref="KI65:KJ65"/>
    <mergeCell ref="KK65:KL65"/>
    <mergeCell ref="KD66:KG66"/>
    <mergeCell ref="KI66:KJ66"/>
    <mergeCell ref="KK66:KL66"/>
    <mergeCell ref="KD67:KG67"/>
    <mergeCell ref="KI67:KJ67"/>
    <mergeCell ref="KK67:KL67"/>
    <mergeCell ref="KD68:KG68"/>
    <mergeCell ref="KI68:KJ68"/>
    <mergeCell ref="KK68:KL68"/>
    <mergeCell ref="KD69:KG69"/>
    <mergeCell ref="KI69:KJ69"/>
    <mergeCell ref="KK69:KL69"/>
    <mergeCell ref="KD70:KG70"/>
    <mergeCell ref="KI70:KJ70"/>
    <mergeCell ref="KK70:KL70"/>
    <mergeCell ref="KD71:KG71"/>
    <mergeCell ref="KI71:KJ71"/>
    <mergeCell ref="KK71:KL71"/>
    <mergeCell ref="KD72:KG72"/>
    <mergeCell ref="KI72:KJ72"/>
    <mergeCell ref="KK72:KL72"/>
    <mergeCell ref="KD73:KG73"/>
    <mergeCell ref="KI73:KJ73"/>
    <mergeCell ref="KK73:KL73"/>
    <mergeCell ref="KD74:KG74"/>
    <mergeCell ref="KI74:KJ74"/>
    <mergeCell ref="KK74:KL74"/>
    <mergeCell ref="KI75:KJ75"/>
    <mergeCell ref="KK75:KL75"/>
    <mergeCell ref="KI76:KJ76"/>
    <mergeCell ref="KK76:KL76"/>
    <mergeCell ref="KI77:KJ77"/>
    <mergeCell ref="KK77:KL77"/>
    <mergeCell ref="KI78:KJ78"/>
    <mergeCell ref="KK78:KL78"/>
    <mergeCell ref="KD79:KG79"/>
    <mergeCell ref="KI79:KJ79"/>
    <mergeCell ref="KK79:KL79"/>
    <mergeCell ref="KD80:KG80"/>
    <mergeCell ref="KI80:KJ80"/>
    <mergeCell ref="KK80:KL80"/>
    <mergeCell ref="KD81:KG81"/>
    <mergeCell ref="KI81:KJ81"/>
    <mergeCell ref="KK81:KL81"/>
    <mergeCell ref="KD82:KG82"/>
    <mergeCell ref="KI82:KJ82"/>
    <mergeCell ref="KK82:KL82"/>
    <mergeCell ref="KD83:KG83"/>
    <mergeCell ref="KI83:KJ83"/>
    <mergeCell ref="KK83:KL83"/>
    <mergeCell ref="KD84:KG84"/>
    <mergeCell ref="KI84:KJ84"/>
    <mergeCell ref="KK84:KL84"/>
    <mergeCell ref="KD85:KG85"/>
    <mergeCell ref="KI85:KJ85"/>
    <mergeCell ref="KK85:KL85"/>
    <mergeCell ref="KD86:KG86"/>
    <mergeCell ref="KI86:KJ86"/>
    <mergeCell ref="KK86:KL86"/>
    <mergeCell ref="KD87:KG87"/>
    <mergeCell ref="KI87:KJ87"/>
    <mergeCell ref="KK87:KL87"/>
    <mergeCell ref="KD88:KG88"/>
    <mergeCell ref="KI88:KJ88"/>
    <mergeCell ref="KK88:KL88"/>
    <mergeCell ref="KD89:KG89"/>
    <mergeCell ref="KI89:KJ89"/>
    <mergeCell ref="KK89:KL89"/>
    <mergeCell ref="KD90:KG90"/>
    <mergeCell ref="KI90:KJ90"/>
    <mergeCell ref="KK90:KL90"/>
    <mergeCell ref="KD91:KG91"/>
    <mergeCell ref="KI91:KJ91"/>
    <mergeCell ref="KK91:KL91"/>
    <mergeCell ref="KD92:KG92"/>
    <mergeCell ref="KI92:KJ92"/>
    <mergeCell ref="KK92:KL92"/>
    <mergeCell ref="KD93:KG93"/>
    <mergeCell ref="KI93:KJ93"/>
    <mergeCell ref="KK93:KL93"/>
    <mergeCell ref="KC94:KN94"/>
    <mergeCell ref="KD95:KN95"/>
    <mergeCell ref="KC96:KN96"/>
    <mergeCell ref="KC97:KN97"/>
    <mergeCell ref="KC98:KN98"/>
    <mergeCell ref="KC99:KN99"/>
    <mergeCell ref="KC100:KN100"/>
    <mergeCell ref="KS1:LD1"/>
    <mergeCell ref="KS2:LD2"/>
    <mergeCell ref="KS3:LB3"/>
    <mergeCell ref="KT4:KX4"/>
    <mergeCell ref="KZ4:LD4"/>
    <mergeCell ref="KS5:KX5"/>
    <mergeCell ref="KY5:LA5"/>
    <mergeCell ref="LB5:LD5"/>
    <mergeCell ref="KS7:KU7"/>
    <mergeCell ref="KV7:KX7"/>
    <mergeCell ref="KY7:LA7"/>
    <mergeCell ref="LB7:LD7"/>
    <mergeCell ref="KS8:KU8"/>
    <mergeCell ref="KV8:KX8"/>
    <mergeCell ref="KY8:LA8"/>
    <mergeCell ref="LB8:LD8"/>
    <mergeCell ref="KS9:LD9"/>
    <mergeCell ref="KS10:KU10"/>
    <mergeCell ref="KW10:KX10"/>
    <mergeCell ref="KY10:LA10"/>
    <mergeCell ref="LC10:LD10"/>
    <mergeCell ref="KS11:KU11"/>
    <mergeCell ref="KW11:KX11"/>
    <mergeCell ref="KY11:LA11"/>
    <mergeCell ref="LC11:LD11"/>
    <mergeCell ref="KS12:KU12"/>
    <mergeCell ref="KW12:KX12"/>
    <mergeCell ref="KY12:LA12"/>
    <mergeCell ref="LC12:LD12"/>
    <mergeCell ref="KS13:KU13"/>
    <mergeCell ref="KW13:KX13"/>
    <mergeCell ref="KY13:LA13"/>
    <mergeCell ref="LC13:LD13"/>
    <mergeCell ref="KS14:KU14"/>
    <mergeCell ref="KW14:KX14"/>
    <mergeCell ref="KY14:LA14"/>
    <mergeCell ref="LC14:LD14"/>
    <mergeCell ref="KS15:KU15"/>
    <mergeCell ref="KW15:KX15"/>
    <mergeCell ref="KY15:LA15"/>
    <mergeCell ref="LC15:LD15"/>
    <mergeCell ref="KS16:KU16"/>
    <mergeCell ref="KW16:KX16"/>
    <mergeCell ref="KY16:LA16"/>
    <mergeCell ref="LC16:LD16"/>
    <mergeCell ref="KS17:KU17"/>
    <mergeCell ref="KW17:KX17"/>
    <mergeCell ref="KY17:LA17"/>
    <mergeCell ref="LC17:LD17"/>
    <mergeCell ref="KS18:KU18"/>
    <mergeCell ref="KW18:KX18"/>
    <mergeCell ref="KY18:LA18"/>
    <mergeCell ref="LC18:LD18"/>
    <mergeCell ref="KS19:LD19"/>
    <mergeCell ref="KS20:KU20"/>
    <mergeCell ref="KW20:KX20"/>
    <mergeCell ref="KY20:LA20"/>
    <mergeCell ref="LC20:LD20"/>
    <mergeCell ref="KS21:KU21"/>
    <mergeCell ref="KW21:KX21"/>
    <mergeCell ref="KY21:LA21"/>
    <mergeCell ref="LC21:LD21"/>
    <mergeCell ref="KS22:KU22"/>
    <mergeCell ref="KW22:KX22"/>
    <mergeCell ref="KY22:LA22"/>
    <mergeCell ref="LC22:LD22"/>
    <mergeCell ref="KS23:KU23"/>
    <mergeCell ref="KW23:KX23"/>
    <mergeCell ref="KY23:LA23"/>
    <mergeCell ref="LC23:LD23"/>
    <mergeCell ref="KS24:KU24"/>
    <mergeCell ref="KW24:KX24"/>
    <mergeCell ref="KY24:LA24"/>
    <mergeCell ref="LC24:LD24"/>
    <mergeCell ref="KS25:LD25"/>
    <mergeCell ref="KT26:KU26"/>
    <mergeCell ref="KV26:KX26"/>
    <mergeCell ref="KY26:LA26"/>
    <mergeCell ref="LC26:LD26"/>
    <mergeCell ref="KT27:KU27"/>
    <mergeCell ref="KV27:KX27"/>
    <mergeCell ref="KY27:LA27"/>
    <mergeCell ref="LC27:LD27"/>
    <mergeCell ref="KT28:KU28"/>
    <mergeCell ref="KV28:KX28"/>
    <mergeCell ref="KY28:LA28"/>
    <mergeCell ref="LC28:LD28"/>
    <mergeCell ref="KT29:KU29"/>
    <mergeCell ref="KV29:KX29"/>
    <mergeCell ref="KY29:LA29"/>
    <mergeCell ref="LC29:LD29"/>
    <mergeCell ref="KT30:KU30"/>
    <mergeCell ref="KV30:KX30"/>
    <mergeCell ref="KY30:LA30"/>
    <mergeCell ref="LC30:LD30"/>
    <mergeCell ref="KT31:KU31"/>
    <mergeCell ref="KV31:KX31"/>
    <mergeCell ref="KY31:LA31"/>
    <mergeCell ref="LC31:LD31"/>
    <mergeCell ref="KS32:LD34"/>
    <mergeCell ref="KS35:LD41"/>
    <mergeCell ref="KS42:LD42"/>
    <mergeCell ref="KS43:LD43"/>
    <mergeCell ref="KS44:LD44"/>
    <mergeCell ref="KS45:LD45"/>
    <mergeCell ref="KS46:LD46"/>
    <mergeCell ref="KS47:LD47"/>
    <mergeCell ref="KS48:LD48"/>
    <mergeCell ref="KS49:LD49"/>
    <mergeCell ref="KS50:LD50"/>
    <mergeCell ref="KS51:LD51"/>
    <mergeCell ref="KS52:LD52"/>
    <mergeCell ref="KS53:LD53"/>
    <mergeCell ref="KS54:LD54"/>
    <mergeCell ref="KS55:LD55"/>
    <mergeCell ref="KS56:LD56"/>
    <mergeCell ref="KS57:LD57"/>
    <mergeCell ref="KS58:LD58"/>
    <mergeCell ref="KS59:LD59"/>
    <mergeCell ref="KS60:LD60"/>
    <mergeCell ref="KS61:KY62"/>
    <mergeCell ref="KZ61:LD61"/>
    <mergeCell ref="LC62:LD62"/>
    <mergeCell ref="KT63:KW63"/>
    <mergeCell ref="KY63:KZ63"/>
    <mergeCell ref="LA63:LB63"/>
    <mergeCell ref="KT64:KW64"/>
    <mergeCell ref="KY64:KZ64"/>
    <mergeCell ref="LA64:LB64"/>
    <mergeCell ref="KT65:KW65"/>
    <mergeCell ref="KY65:KZ65"/>
    <mergeCell ref="LA65:LB65"/>
    <mergeCell ref="KT66:KW66"/>
    <mergeCell ref="KY66:KZ66"/>
    <mergeCell ref="LA66:LB66"/>
    <mergeCell ref="KT67:KW67"/>
    <mergeCell ref="KY67:KZ67"/>
    <mergeCell ref="LA67:LB67"/>
    <mergeCell ref="KT68:KW68"/>
    <mergeCell ref="KY68:KZ68"/>
    <mergeCell ref="LA68:LB68"/>
    <mergeCell ref="KT69:KW69"/>
    <mergeCell ref="KY69:KZ69"/>
    <mergeCell ref="LA69:LB69"/>
    <mergeCell ref="KT70:KW70"/>
    <mergeCell ref="KY70:KZ70"/>
    <mergeCell ref="LA70:LB70"/>
    <mergeCell ref="KT71:KW71"/>
    <mergeCell ref="KY71:KZ71"/>
    <mergeCell ref="LA71:LB71"/>
    <mergeCell ref="KT72:KW72"/>
    <mergeCell ref="KY72:KZ72"/>
    <mergeCell ref="LA72:LB72"/>
    <mergeCell ref="KT73:KW73"/>
    <mergeCell ref="KY73:KZ73"/>
    <mergeCell ref="LA73:LB73"/>
    <mergeCell ref="KT74:KW74"/>
    <mergeCell ref="KY74:KZ74"/>
    <mergeCell ref="LA74:LB74"/>
    <mergeCell ref="KY75:KZ75"/>
    <mergeCell ref="LA75:LB75"/>
    <mergeCell ref="KY76:KZ76"/>
    <mergeCell ref="LA76:LB76"/>
    <mergeCell ref="KY77:KZ77"/>
    <mergeCell ref="LA77:LB77"/>
    <mergeCell ref="KY78:KZ78"/>
    <mergeCell ref="LA78:LB78"/>
    <mergeCell ref="KT79:KW79"/>
    <mergeCell ref="KY79:KZ79"/>
    <mergeCell ref="LA79:LB79"/>
    <mergeCell ref="KT80:KW80"/>
    <mergeCell ref="KY80:KZ80"/>
    <mergeCell ref="LA80:LB80"/>
    <mergeCell ref="KT81:KW81"/>
    <mergeCell ref="KY81:KZ81"/>
    <mergeCell ref="LA81:LB81"/>
    <mergeCell ref="KT82:KW82"/>
    <mergeCell ref="KY82:KZ82"/>
    <mergeCell ref="LA82:LB82"/>
    <mergeCell ref="KT83:KW83"/>
    <mergeCell ref="KY83:KZ83"/>
    <mergeCell ref="LA83:LB83"/>
    <mergeCell ref="KT84:KW84"/>
    <mergeCell ref="KY84:KZ84"/>
    <mergeCell ref="LA84:LB84"/>
    <mergeCell ref="KT85:KW85"/>
    <mergeCell ref="KY85:KZ85"/>
    <mergeCell ref="LA85:LB85"/>
    <mergeCell ref="KT86:KW86"/>
    <mergeCell ref="KY86:KZ86"/>
    <mergeCell ref="LA86:LB86"/>
    <mergeCell ref="KT87:KW87"/>
    <mergeCell ref="KY87:KZ87"/>
    <mergeCell ref="LA87:LB87"/>
    <mergeCell ref="KT88:KW88"/>
    <mergeCell ref="KY88:KZ88"/>
    <mergeCell ref="LA88:LB88"/>
    <mergeCell ref="KT89:KW89"/>
    <mergeCell ref="KY89:KZ89"/>
    <mergeCell ref="LA89:LB89"/>
    <mergeCell ref="KT90:KW90"/>
    <mergeCell ref="KY90:KZ90"/>
    <mergeCell ref="LA90:LB90"/>
    <mergeCell ref="KT91:KW91"/>
    <mergeCell ref="KY91:KZ91"/>
    <mergeCell ref="LA91:LB91"/>
    <mergeCell ref="KT92:KW92"/>
    <mergeCell ref="KY92:KZ92"/>
    <mergeCell ref="LA92:LB92"/>
    <mergeCell ref="KT93:KW93"/>
    <mergeCell ref="KY93:KZ93"/>
    <mergeCell ref="LA93:LB93"/>
    <mergeCell ref="KS94:LD94"/>
    <mergeCell ref="KT95:LD95"/>
    <mergeCell ref="KS96:LD96"/>
    <mergeCell ref="KS97:LD97"/>
    <mergeCell ref="KS98:LD98"/>
    <mergeCell ref="KS99:LD99"/>
    <mergeCell ref="KS100:LD100"/>
    <mergeCell ref="LI1:LT1"/>
    <mergeCell ref="LI2:LT2"/>
    <mergeCell ref="LI3:LR3"/>
    <mergeCell ref="LJ4:LN4"/>
    <mergeCell ref="LP4:LT4"/>
    <mergeCell ref="LI5:LN5"/>
    <mergeCell ref="LO5:LQ5"/>
    <mergeCell ref="LR5:LT5"/>
    <mergeCell ref="LI7:LK7"/>
    <mergeCell ref="LL7:LN7"/>
    <mergeCell ref="LO7:LQ7"/>
    <mergeCell ref="LR7:LT7"/>
    <mergeCell ref="LI8:LK8"/>
    <mergeCell ref="LL8:LN8"/>
    <mergeCell ref="LO8:LQ8"/>
    <mergeCell ref="LR8:LT8"/>
    <mergeCell ref="LI9:LT9"/>
    <mergeCell ref="LI10:LK10"/>
    <mergeCell ref="LM10:LN10"/>
    <mergeCell ref="LO10:LQ10"/>
    <mergeCell ref="LS10:LT10"/>
    <mergeCell ref="LI11:LK11"/>
    <mergeCell ref="LM11:LN11"/>
    <mergeCell ref="LO11:LQ11"/>
    <mergeCell ref="LS11:LT11"/>
    <mergeCell ref="LI12:LK12"/>
    <mergeCell ref="LM12:LN12"/>
    <mergeCell ref="LO12:LQ12"/>
    <mergeCell ref="LS12:LT12"/>
    <mergeCell ref="LI13:LK13"/>
    <mergeCell ref="LM13:LN13"/>
    <mergeCell ref="LO13:LQ13"/>
    <mergeCell ref="LS13:LT13"/>
    <mergeCell ref="LI14:LK14"/>
    <mergeCell ref="LM14:LN14"/>
    <mergeCell ref="LO14:LQ14"/>
    <mergeCell ref="LS14:LT14"/>
    <mergeCell ref="LI15:LK15"/>
    <mergeCell ref="LM15:LN15"/>
    <mergeCell ref="LO15:LQ15"/>
    <mergeCell ref="LS15:LT15"/>
    <mergeCell ref="LI16:LK16"/>
    <mergeCell ref="LM16:LN16"/>
    <mergeCell ref="LO16:LQ16"/>
    <mergeCell ref="LS16:LT16"/>
    <mergeCell ref="LI17:LK17"/>
    <mergeCell ref="LM17:LN17"/>
    <mergeCell ref="LO17:LQ17"/>
    <mergeCell ref="LS17:LT17"/>
    <mergeCell ref="LI18:LK18"/>
    <mergeCell ref="LM18:LN18"/>
    <mergeCell ref="LO18:LQ18"/>
    <mergeCell ref="LS18:LT18"/>
    <mergeCell ref="LI19:LT19"/>
    <mergeCell ref="LI20:LK20"/>
    <mergeCell ref="LM20:LN20"/>
    <mergeCell ref="LO20:LQ20"/>
    <mergeCell ref="LS20:LT20"/>
    <mergeCell ref="LI21:LK21"/>
    <mergeCell ref="LM21:LN21"/>
    <mergeCell ref="LO21:LQ21"/>
    <mergeCell ref="LS21:LT21"/>
    <mergeCell ref="LI22:LK22"/>
    <mergeCell ref="LM22:LN22"/>
    <mergeCell ref="LO22:LQ22"/>
    <mergeCell ref="LS22:LT22"/>
    <mergeCell ref="LI23:LK23"/>
    <mergeCell ref="LM23:LN23"/>
    <mergeCell ref="LO23:LQ23"/>
    <mergeCell ref="LS23:LT23"/>
    <mergeCell ref="LI24:LK24"/>
    <mergeCell ref="LM24:LN24"/>
    <mergeCell ref="LO24:LQ24"/>
    <mergeCell ref="LS24:LT24"/>
    <mergeCell ref="LI25:LT25"/>
    <mergeCell ref="LJ26:LK26"/>
    <mergeCell ref="LL26:LN26"/>
    <mergeCell ref="LO26:LQ26"/>
    <mergeCell ref="LS26:LT26"/>
    <mergeCell ref="LJ27:LK27"/>
    <mergeCell ref="LL27:LN27"/>
    <mergeCell ref="LO27:LQ27"/>
    <mergeCell ref="LS27:LT27"/>
    <mergeCell ref="LJ28:LK28"/>
    <mergeCell ref="LL28:LN28"/>
    <mergeCell ref="LO28:LQ28"/>
    <mergeCell ref="LS28:LT28"/>
    <mergeCell ref="LJ29:LK29"/>
    <mergeCell ref="LL29:LN29"/>
    <mergeCell ref="LO29:LQ29"/>
    <mergeCell ref="LS29:LT29"/>
    <mergeCell ref="LJ30:LK30"/>
    <mergeCell ref="LL30:LN30"/>
    <mergeCell ref="LO30:LQ30"/>
    <mergeCell ref="LS30:LT30"/>
    <mergeCell ref="LJ31:LK31"/>
    <mergeCell ref="LL31:LN31"/>
    <mergeCell ref="LO31:LQ31"/>
    <mergeCell ref="LS31:LT31"/>
    <mergeCell ref="LI32:LT34"/>
    <mergeCell ref="LI35:LT41"/>
    <mergeCell ref="LI42:LT42"/>
    <mergeCell ref="LI43:LT43"/>
    <mergeCell ref="LI44:LT44"/>
    <mergeCell ref="LI45:LT45"/>
    <mergeCell ref="LI46:LT46"/>
    <mergeCell ref="LI47:LT47"/>
    <mergeCell ref="LI48:LT48"/>
    <mergeCell ref="LI49:LT49"/>
    <mergeCell ref="LI50:LT50"/>
    <mergeCell ref="LI51:LT51"/>
    <mergeCell ref="LI52:LT52"/>
    <mergeCell ref="LI53:LT53"/>
    <mergeCell ref="LI54:LT54"/>
    <mergeCell ref="LI55:LT55"/>
    <mergeCell ref="LI56:LT56"/>
    <mergeCell ref="LI57:LT57"/>
    <mergeCell ref="LI58:LT58"/>
    <mergeCell ref="LI59:LT59"/>
    <mergeCell ref="LI60:LT60"/>
    <mergeCell ref="LI61:LO62"/>
    <mergeCell ref="LP61:LT61"/>
    <mergeCell ref="LS62:LT62"/>
    <mergeCell ref="LJ63:LM63"/>
    <mergeCell ref="LO63:LP63"/>
    <mergeCell ref="LQ63:LR63"/>
    <mergeCell ref="LJ64:LM64"/>
    <mergeCell ref="LO64:LP64"/>
    <mergeCell ref="LQ64:LR64"/>
    <mergeCell ref="LJ65:LM65"/>
    <mergeCell ref="LO65:LP65"/>
    <mergeCell ref="LQ65:LR65"/>
    <mergeCell ref="LJ66:LM66"/>
    <mergeCell ref="LO66:LP66"/>
    <mergeCell ref="LQ66:LR66"/>
    <mergeCell ref="LJ67:LM67"/>
    <mergeCell ref="LO67:LP67"/>
    <mergeCell ref="LQ67:LR67"/>
    <mergeCell ref="LJ68:LM68"/>
    <mergeCell ref="LO68:LP68"/>
    <mergeCell ref="LQ68:LR68"/>
    <mergeCell ref="LJ69:LM69"/>
    <mergeCell ref="LO69:LP69"/>
    <mergeCell ref="LQ69:LR69"/>
    <mergeCell ref="LJ70:LM70"/>
    <mergeCell ref="LO70:LP70"/>
    <mergeCell ref="LQ70:LR70"/>
    <mergeCell ref="LJ71:LM71"/>
    <mergeCell ref="LO71:LP71"/>
    <mergeCell ref="LQ71:LR71"/>
    <mergeCell ref="LJ72:LM72"/>
    <mergeCell ref="LO72:LP72"/>
    <mergeCell ref="LQ72:LR72"/>
    <mergeCell ref="LJ73:LM73"/>
    <mergeCell ref="LO73:LP73"/>
    <mergeCell ref="LQ73:LR73"/>
    <mergeCell ref="LJ74:LM74"/>
    <mergeCell ref="LO74:LP74"/>
    <mergeCell ref="LQ74:LR74"/>
    <mergeCell ref="LO75:LP75"/>
    <mergeCell ref="LQ75:LR75"/>
    <mergeCell ref="LO76:LP76"/>
    <mergeCell ref="LQ76:LR76"/>
    <mergeCell ref="LO77:LP77"/>
    <mergeCell ref="LQ77:LR77"/>
    <mergeCell ref="LO78:LP78"/>
    <mergeCell ref="LQ78:LR78"/>
    <mergeCell ref="LJ79:LM79"/>
    <mergeCell ref="LO79:LP79"/>
    <mergeCell ref="LQ79:LR79"/>
    <mergeCell ref="LJ80:LM80"/>
    <mergeCell ref="LO80:LP80"/>
    <mergeCell ref="LQ80:LR80"/>
    <mergeCell ref="LJ81:LM81"/>
    <mergeCell ref="LO81:LP81"/>
    <mergeCell ref="LQ81:LR81"/>
    <mergeCell ref="LJ82:LM82"/>
    <mergeCell ref="LO82:LP82"/>
    <mergeCell ref="LQ82:LR82"/>
    <mergeCell ref="LJ83:LM83"/>
    <mergeCell ref="LO83:LP83"/>
    <mergeCell ref="LQ83:LR83"/>
    <mergeCell ref="LJ84:LM84"/>
    <mergeCell ref="LO84:LP84"/>
    <mergeCell ref="LQ84:LR84"/>
    <mergeCell ref="LJ85:LM85"/>
    <mergeCell ref="LO85:LP85"/>
    <mergeCell ref="LQ85:LR85"/>
    <mergeCell ref="LJ86:LM86"/>
    <mergeCell ref="LO86:LP86"/>
    <mergeCell ref="LQ86:LR86"/>
    <mergeCell ref="LJ87:LM87"/>
    <mergeCell ref="LO87:LP87"/>
    <mergeCell ref="LQ87:LR87"/>
    <mergeCell ref="LJ88:LM88"/>
    <mergeCell ref="LO88:LP88"/>
    <mergeCell ref="LQ88:LR88"/>
    <mergeCell ref="LJ89:LM89"/>
    <mergeCell ref="LO89:LP89"/>
    <mergeCell ref="LQ89:LR89"/>
    <mergeCell ref="LJ90:LM90"/>
    <mergeCell ref="LO90:LP90"/>
    <mergeCell ref="LQ90:LR90"/>
    <mergeCell ref="LJ91:LM91"/>
    <mergeCell ref="LO91:LP91"/>
    <mergeCell ref="LQ91:LR91"/>
    <mergeCell ref="LJ92:LM92"/>
    <mergeCell ref="LO92:LP92"/>
    <mergeCell ref="LQ92:LR92"/>
    <mergeCell ref="LJ93:LM93"/>
    <mergeCell ref="LO93:LP93"/>
    <mergeCell ref="LQ93:LR93"/>
    <mergeCell ref="LI94:LT94"/>
    <mergeCell ref="LJ95:LT95"/>
    <mergeCell ref="LI96:LT96"/>
    <mergeCell ref="LI97:LT97"/>
    <mergeCell ref="LI98:LT98"/>
    <mergeCell ref="LI99:LT99"/>
    <mergeCell ref="LI100:LT100"/>
    <mergeCell ref="LY1:MJ1"/>
    <mergeCell ref="LY2:MJ2"/>
    <mergeCell ref="LY3:MH3"/>
    <mergeCell ref="LZ4:MD4"/>
    <mergeCell ref="MF4:MJ4"/>
    <mergeCell ref="LY5:MD5"/>
    <mergeCell ref="ME5:MG5"/>
    <mergeCell ref="MH5:MJ5"/>
    <mergeCell ref="LY7:MA7"/>
    <mergeCell ref="MB7:MD7"/>
    <mergeCell ref="ME7:MG7"/>
    <mergeCell ref="MH7:MJ7"/>
    <mergeCell ref="LY8:MA8"/>
    <mergeCell ref="MB8:MD8"/>
    <mergeCell ref="ME8:MG8"/>
    <mergeCell ref="MH8:MJ8"/>
    <mergeCell ref="LY9:MJ9"/>
    <mergeCell ref="LY10:MA10"/>
    <mergeCell ref="MC10:MD10"/>
    <mergeCell ref="ME10:MG10"/>
    <mergeCell ref="MI10:MJ10"/>
    <mergeCell ref="LY11:MA11"/>
    <mergeCell ref="MC11:MD11"/>
    <mergeCell ref="ME11:MG11"/>
    <mergeCell ref="MI11:MJ11"/>
    <mergeCell ref="LY12:MA12"/>
    <mergeCell ref="MC12:MD12"/>
    <mergeCell ref="ME12:MG12"/>
    <mergeCell ref="MI12:MJ12"/>
    <mergeCell ref="LY13:MA13"/>
    <mergeCell ref="MC13:MD13"/>
    <mergeCell ref="ME13:MG13"/>
    <mergeCell ref="MI13:MJ13"/>
    <mergeCell ref="LY14:MA14"/>
    <mergeCell ref="MC14:MD14"/>
    <mergeCell ref="ME14:MG14"/>
    <mergeCell ref="MI14:MJ14"/>
    <mergeCell ref="LY15:MA15"/>
    <mergeCell ref="MC15:MD15"/>
    <mergeCell ref="ME15:MG15"/>
    <mergeCell ref="MI15:MJ15"/>
    <mergeCell ref="LY16:MA16"/>
    <mergeCell ref="MC16:MD16"/>
    <mergeCell ref="ME16:MG16"/>
    <mergeCell ref="MI16:MJ16"/>
    <mergeCell ref="LY17:MA17"/>
    <mergeCell ref="MC17:MD17"/>
    <mergeCell ref="ME17:MG17"/>
    <mergeCell ref="MI17:MJ17"/>
    <mergeCell ref="LY18:MA18"/>
    <mergeCell ref="MC18:MD18"/>
    <mergeCell ref="ME18:MG18"/>
    <mergeCell ref="MI18:MJ18"/>
    <mergeCell ref="LY19:MJ19"/>
    <mergeCell ref="LY20:MA20"/>
    <mergeCell ref="MC20:MD20"/>
    <mergeCell ref="ME20:MG20"/>
    <mergeCell ref="MI20:MJ20"/>
    <mergeCell ref="LY21:MA21"/>
    <mergeCell ref="MC21:MD21"/>
    <mergeCell ref="ME21:MG21"/>
    <mergeCell ref="MI21:MJ21"/>
    <mergeCell ref="LY22:MA22"/>
    <mergeCell ref="MC22:MD22"/>
    <mergeCell ref="ME22:MG22"/>
    <mergeCell ref="MI22:MJ22"/>
    <mergeCell ref="LY23:MA23"/>
    <mergeCell ref="MC23:MD23"/>
    <mergeCell ref="ME23:MG23"/>
    <mergeCell ref="MI23:MJ23"/>
    <mergeCell ref="LY24:MA24"/>
    <mergeCell ref="MC24:MD24"/>
    <mergeCell ref="ME24:MG24"/>
    <mergeCell ref="MI24:MJ24"/>
    <mergeCell ref="LY25:MJ25"/>
    <mergeCell ref="LZ26:MA26"/>
    <mergeCell ref="MB26:MD26"/>
    <mergeCell ref="ME26:MG26"/>
    <mergeCell ref="MI26:MJ26"/>
    <mergeCell ref="LZ27:MA27"/>
    <mergeCell ref="MB27:MD27"/>
    <mergeCell ref="ME27:MG27"/>
    <mergeCell ref="MI27:MJ27"/>
    <mergeCell ref="LZ28:MA28"/>
    <mergeCell ref="MB28:MD28"/>
    <mergeCell ref="ME28:MG28"/>
    <mergeCell ref="MI28:MJ28"/>
    <mergeCell ref="LZ29:MA29"/>
    <mergeCell ref="MB29:MD29"/>
    <mergeCell ref="ME29:MG29"/>
    <mergeCell ref="MI29:MJ29"/>
    <mergeCell ref="LZ30:MA30"/>
    <mergeCell ref="MB30:MD30"/>
    <mergeCell ref="ME30:MG30"/>
    <mergeCell ref="MI30:MJ30"/>
    <mergeCell ref="LZ31:MA31"/>
    <mergeCell ref="MB31:MD31"/>
    <mergeCell ref="ME31:MG31"/>
    <mergeCell ref="MI31:MJ31"/>
    <mergeCell ref="LY32:MJ34"/>
    <mergeCell ref="LY35:MJ41"/>
    <mergeCell ref="LY42:MJ42"/>
    <mergeCell ref="LY43:MJ43"/>
    <mergeCell ref="LY44:MJ44"/>
    <mergeCell ref="LY45:MJ45"/>
    <mergeCell ref="LY46:MJ46"/>
    <mergeCell ref="LY47:MJ47"/>
    <mergeCell ref="LY48:MJ48"/>
    <mergeCell ref="LY49:MJ49"/>
    <mergeCell ref="LY50:MJ50"/>
    <mergeCell ref="LY51:MJ51"/>
    <mergeCell ref="LY52:MJ52"/>
    <mergeCell ref="LY53:MJ53"/>
    <mergeCell ref="LY54:MJ54"/>
    <mergeCell ref="LY55:MJ55"/>
    <mergeCell ref="LY56:MJ56"/>
    <mergeCell ref="LY57:MJ57"/>
    <mergeCell ref="LY58:MJ58"/>
    <mergeCell ref="LY59:MJ59"/>
    <mergeCell ref="LY60:MJ60"/>
    <mergeCell ref="LY61:ME62"/>
    <mergeCell ref="MF61:MJ61"/>
    <mergeCell ref="MI62:MJ62"/>
    <mergeCell ref="LZ63:MC63"/>
    <mergeCell ref="ME63:MF63"/>
    <mergeCell ref="MG63:MH63"/>
    <mergeCell ref="LZ64:MC64"/>
    <mergeCell ref="ME64:MF64"/>
    <mergeCell ref="MG64:MH64"/>
    <mergeCell ref="LZ65:MC65"/>
    <mergeCell ref="ME65:MF65"/>
    <mergeCell ref="MG65:MH65"/>
    <mergeCell ref="LZ66:MC66"/>
    <mergeCell ref="ME66:MF66"/>
    <mergeCell ref="MG66:MH66"/>
    <mergeCell ref="LZ67:MC67"/>
    <mergeCell ref="ME67:MF67"/>
    <mergeCell ref="MG67:MH67"/>
    <mergeCell ref="LZ68:MC68"/>
    <mergeCell ref="ME68:MF68"/>
    <mergeCell ref="MG68:MH68"/>
    <mergeCell ref="LZ69:MC69"/>
    <mergeCell ref="ME69:MF69"/>
    <mergeCell ref="MG69:MH69"/>
    <mergeCell ref="LZ70:MC70"/>
    <mergeCell ref="ME70:MF70"/>
    <mergeCell ref="MG70:MH70"/>
    <mergeCell ref="LZ71:MC71"/>
    <mergeCell ref="ME71:MF71"/>
    <mergeCell ref="MG71:MH71"/>
    <mergeCell ref="LZ72:MC72"/>
    <mergeCell ref="ME72:MF72"/>
    <mergeCell ref="MG72:MH72"/>
    <mergeCell ref="LZ73:MC73"/>
    <mergeCell ref="ME73:MF73"/>
    <mergeCell ref="MG73:MH73"/>
    <mergeCell ref="LZ74:MC74"/>
    <mergeCell ref="ME74:MF74"/>
    <mergeCell ref="MG74:MH74"/>
    <mergeCell ref="ME75:MF75"/>
    <mergeCell ref="MG75:MH75"/>
    <mergeCell ref="ME76:MF76"/>
    <mergeCell ref="MG76:MH76"/>
    <mergeCell ref="ME77:MF77"/>
    <mergeCell ref="MG77:MH77"/>
    <mergeCell ref="ME78:MF78"/>
    <mergeCell ref="MG78:MH78"/>
    <mergeCell ref="LZ79:MC79"/>
    <mergeCell ref="ME79:MF79"/>
    <mergeCell ref="MG79:MH79"/>
    <mergeCell ref="LZ80:MC80"/>
    <mergeCell ref="ME80:MF80"/>
    <mergeCell ref="MG80:MH80"/>
    <mergeCell ref="LZ81:MC81"/>
    <mergeCell ref="ME81:MF81"/>
    <mergeCell ref="MG81:MH81"/>
    <mergeCell ref="LZ82:MC82"/>
    <mergeCell ref="ME82:MF82"/>
    <mergeCell ref="MG82:MH82"/>
    <mergeCell ref="LZ83:MC83"/>
    <mergeCell ref="ME83:MF83"/>
    <mergeCell ref="MG83:MH83"/>
    <mergeCell ref="LZ84:MC84"/>
    <mergeCell ref="ME84:MF84"/>
    <mergeCell ref="MG84:MH84"/>
    <mergeCell ref="LZ85:MC85"/>
    <mergeCell ref="ME85:MF85"/>
    <mergeCell ref="MG85:MH85"/>
    <mergeCell ref="LZ92:MC92"/>
    <mergeCell ref="ME92:MF92"/>
    <mergeCell ref="MG92:MH92"/>
    <mergeCell ref="LZ93:MC93"/>
    <mergeCell ref="ME93:MF93"/>
    <mergeCell ref="MG93:MH93"/>
    <mergeCell ref="LY94:MJ94"/>
    <mergeCell ref="LZ95:MJ95"/>
    <mergeCell ref="LY96:MJ96"/>
    <mergeCell ref="LY97:MJ97"/>
    <mergeCell ref="LY98:MJ98"/>
    <mergeCell ref="LY99:MJ99"/>
    <mergeCell ref="LY100:MJ100"/>
    <mergeCell ref="LZ86:MC86"/>
    <mergeCell ref="ME86:MF86"/>
    <mergeCell ref="MG86:MH86"/>
    <mergeCell ref="LZ87:MC87"/>
    <mergeCell ref="ME87:MF87"/>
    <mergeCell ref="MG87:MH87"/>
    <mergeCell ref="LZ88:MC88"/>
    <mergeCell ref="ME88:MF88"/>
    <mergeCell ref="MG88:MH88"/>
    <mergeCell ref="LZ89:MC89"/>
    <mergeCell ref="ME89:MF89"/>
    <mergeCell ref="MG89:MH89"/>
    <mergeCell ref="LZ90:MC90"/>
    <mergeCell ref="ME90:MF90"/>
    <mergeCell ref="MG90:MH90"/>
    <mergeCell ref="LZ91:MC91"/>
    <mergeCell ref="ME91:MF91"/>
    <mergeCell ref="MG91:MH91"/>
    <mergeCell ref="JV5:JX5"/>
    <mergeCell ref="JS5:JU5"/>
    <mergeCell ref="JM5:JR5"/>
    <mergeCell ref="JT4:JX4"/>
    <mergeCell ref="JN4:JR4"/>
    <mergeCell ref="JM3:JV3"/>
    <mergeCell ref="JM2:JX2"/>
    <mergeCell ref="JM1:JX1"/>
    <mergeCell ref="JW11:JX11"/>
    <mergeCell ref="JW10:JX10"/>
    <mergeCell ref="JQ12:JR12"/>
    <mergeCell ref="JS11:JU11"/>
    <mergeCell ref="JQ11:JR11"/>
    <mergeCell ref="JS10:JU10"/>
    <mergeCell ref="JQ10:JR10"/>
    <mergeCell ref="JM12:JO12"/>
    <mergeCell ref="JM11:JO11"/>
    <mergeCell ref="JM10:JO10"/>
    <mergeCell ref="JM9:JX9"/>
    <mergeCell ref="JV8:JX8"/>
    <mergeCell ref="JS8:JU8"/>
    <mergeCell ref="JP8:JR8"/>
    <mergeCell ref="JM8:JO8"/>
    <mergeCell ref="JV7:JX7"/>
    <mergeCell ref="JS7:JU7"/>
    <mergeCell ref="JP7:JR7"/>
    <mergeCell ref="JM7:JO7"/>
    <mergeCell ref="JS12:JU12"/>
    <mergeCell ref="JW12:JX12"/>
  </mergeCells>
  <phoneticPr fontId="2" type="noConversion"/>
  <printOptions horizontalCentered="1"/>
  <pageMargins left="0.35433070866141736" right="0.15748031496062992" top="0.39370078740157483" bottom="0.19685039370078741" header="0.19685039370078741" footer="0.19685039370078741"/>
  <pageSetup paperSize="9" scale="77" orientation="portrait" r:id="rId1"/>
  <headerFooter alignWithMargins="0"/>
  <rowBreaks count="1" manualBreakCount="1">
    <brk id="5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封面</vt:lpstr>
      <vt:lpstr>預定進度表</vt:lpstr>
      <vt:lpstr>日誌</vt:lpstr>
      <vt:lpstr>日誌!Print_Area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</dc:creator>
  <cp:lastModifiedBy>user</cp:lastModifiedBy>
  <cp:lastPrinted>2026-03-30T11:29:07Z</cp:lastPrinted>
  <dcterms:created xsi:type="dcterms:W3CDTF">2009-02-10T00:52:21Z</dcterms:created>
  <dcterms:modified xsi:type="dcterms:W3CDTF">2026-03-30T11:29:15Z</dcterms:modified>
</cp:coreProperties>
</file>