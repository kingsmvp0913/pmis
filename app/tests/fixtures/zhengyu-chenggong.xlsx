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\\S1\Office_5.84T\41_施工案26_319G\墩_11314_翔霈_雲林縣成功國小思源堂整修工程_契\51_監造品管\21_施工日報表\"/>
    </mc:Choice>
  </mc:AlternateContent>
  <xr:revisionPtr revIDLastSave="0" documentId="13_ncr:1_{5B32091D-9552-4848-B1A3-6076DC4BE4FF}" xr6:coauthVersionLast="47" xr6:coauthVersionMax="47" xr10:uidLastSave="{00000000-0000-0000-0000-000000000000}"/>
  <bookViews>
    <workbookView xWindow="17130" yWindow="0" windowWidth="14370" windowHeight="15180" xr2:uid="{00000000-000D-0000-FFFF-FFFF00000000}"/>
  </bookViews>
  <sheets>
    <sheet name="12月 " sheetId="9" r:id="rId1"/>
  </sheets>
  <definedNames>
    <definedName name="_xlnm.Print_Area" localSheetId="0">'12月 '!$A$1:$J$1184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44" i="9" l="1"/>
  <c r="H1118" i="9"/>
  <c r="H822" i="9"/>
  <c r="H230" i="9"/>
  <c r="M1145" i="9"/>
  <c r="M997" i="9"/>
  <c r="M923" i="9"/>
  <c r="M405" i="9"/>
  <c r="M35" i="9"/>
  <c r="H8" i="9"/>
  <c r="L1144" i="9"/>
  <c r="L1143" i="9"/>
  <c r="L1142" i="9"/>
  <c r="L1141" i="9"/>
  <c r="L1140" i="9"/>
  <c r="L1139" i="9"/>
  <c r="L1138" i="9"/>
  <c r="L1137" i="9"/>
  <c r="L1136" i="9"/>
  <c r="L1135" i="9"/>
  <c r="L1134" i="9"/>
  <c r="L1133" i="9"/>
  <c r="L1132" i="9"/>
  <c r="L1131" i="9"/>
  <c r="L1130" i="9"/>
  <c r="L1129" i="9"/>
  <c r="L1128" i="9"/>
  <c r="L1127" i="9"/>
  <c r="L1126" i="9"/>
  <c r="L1125" i="9"/>
  <c r="L1124" i="9"/>
  <c r="L1123" i="9"/>
  <c r="L1122" i="9"/>
  <c r="L1070" i="9"/>
  <c r="L1069" i="9"/>
  <c r="L1068" i="9"/>
  <c r="L1067" i="9"/>
  <c r="L1066" i="9"/>
  <c r="L1065" i="9"/>
  <c r="L1064" i="9"/>
  <c r="L1063" i="9"/>
  <c r="L1062" i="9"/>
  <c r="L1061" i="9"/>
  <c r="L1060" i="9"/>
  <c r="L1059" i="9"/>
  <c r="L1058" i="9"/>
  <c r="L1057" i="9"/>
  <c r="L1056" i="9"/>
  <c r="L1055" i="9"/>
  <c r="L1054" i="9"/>
  <c r="L1053" i="9"/>
  <c r="L1052" i="9"/>
  <c r="L1051" i="9"/>
  <c r="L1050" i="9"/>
  <c r="L1049" i="9"/>
  <c r="L1048" i="9"/>
  <c r="L996" i="9"/>
  <c r="L995" i="9"/>
  <c r="L994" i="9"/>
  <c r="L993" i="9"/>
  <c r="L992" i="9"/>
  <c r="L991" i="9"/>
  <c r="L990" i="9"/>
  <c r="L989" i="9"/>
  <c r="L988" i="9"/>
  <c r="L987" i="9"/>
  <c r="L986" i="9"/>
  <c r="L985" i="9"/>
  <c r="L984" i="9"/>
  <c r="L983" i="9"/>
  <c r="L982" i="9"/>
  <c r="L981" i="9"/>
  <c r="L980" i="9"/>
  <c r="L979" i="9"/>
  <c r="L978" i="9"/>
  <c r="L977" i="9"/>
  <c r="L976" i="9"/>
  <c r="L975" i="9"/>
  <c r="L974" i="9"/>
  <c r="L922" i="9"/>
  <c r="L921" i="9"/>
  <c r="L920" i="9"/>
  <c r="L919" i="9"/>
  <c r="L918" i="9"/>
  <c r="L917" i="9"/>
  <c r="L916" i="9"/>
  <c r="L915" i="9"/>
  <c r="L914" i="9"/>
  <c r="L913" i="9"/>
  <c r="L912" i="9"/>
  <c r="L911" i="9"/>
  <c r="L910" i="9"/>
  <c r="L909" i="9"/>
  <c r="L908" i="9"/>
  <c r="L907" i="9"/>
  <c r="L906" i="9"/>
  <c r="L905" i="9"/>
  <c r="L904" i="9"/>
  <c r="L903" i="9"/>
  <c r="L902" i="9"/>
  <c r="L901" i="9"/>
  <c r="L900" i="9"/>
  <c r="L848" i="9"/>
  <c r="L847" i="9"/>
  <c r="L846" i="9"/>
  <c r="L845" i="9"/>
  <c r="L844" i="9"/>
  <c r="L843" i="9"/>
  <c r="L842" i="9"/>
  <c r="L841" i="9"/>
  <c r="L840" i="9"/>
  <c r="L839" i="9"/>
  <c r="L838" i="9"/>
  <c r="L837" i="9"/>
  <c r="L836" i="9"/>
  <c r="L835" i="9"/>
  <c r="L834" i="9"/>
  <c r="L833" i="9"/>
  <c r="L832" i="9"/>
  <c r="L831" i="9"/>
  <c r="L830" i="9"/>
  <c r="L829" i="9"/>
  <c r="L828" i="9"/>
  <c r="L827" i="9"/>
  <c r="L826" i="9"/>
  <c r="L774" i="9"/>
  <c r="L773" i="9"/>
  <c r="L772" i="9"/>
  <c r="L771" i="9"/>
  <c r="L770" i="9"/>
  <c r="L769" i="9"/>
  <c r="L768" i="9"/>
  <c r="L767" i="9"/>
  <c r="L766" i="9"/>
  <c r="L765" i="9"/>
  <c r="L764" i="9"/>
  <c r="L763" i="9"/>
  <c r="L762" i="9"/>
  <c r="L761" i="9"/>
  <c r="L760" i="9"/>
  <c r="L759" i="9"/>
  <c r="L758" i="9"/>
  <c r="L757" i="9"/>
  <c r="L756" i="9"/>
  <c r="L755" i="9"/>
  <c r="L754" i="9"/>
  <c r="L753" i="9"/>
  <c r="L752" i="9"/>
  <c r="L700" i="9"/>
  <c r="L699" i="9"/>
  <c r="L698" i="9"/>
  <c r="L697" i="9"/>
  <c r="L696" i="9"/>
  <c r="L695" i="9"/>
  <c r="L694" i="9"/>
  <c r="L693" i="9"/>
  <c r="L692" i="9"/>
  <c r="L691" i="9"/>
  <c r="L690" i="9"/>
  <c r="L689" i="9"/>
  <c r="L688" i="9"/>
  <c r="L687" i="9"/>
  <c r="L686" i="9"/>
  <c r="L685" i="9"/>
  <c r="L684" i="9"/>
  <c r="L683" i="9"/>
  <c r="L682" i="9"/>
  <c r="L681" i="9"/>
  <c r="L680" i="9"/>
  <c r="L679" i="9"/>
  <c r="L678" i="9"/>
  <c r="L626" i="9"/>
  <c r="L625" i="9"/>
  <c r="L624" i="9"/>
  <c r="L623" i="9"/>
  <c r="L622" i="9"/>
  <c r="L621" i="9"/>
  <c r="L620" i="9"/>
  <c r="L619" i="9"/>
  <c r="L618" i="9"/>
  <c r="L617" i="9"/>
  <c r="L616" i="9"/>
  <c r="L615" i="9"/>
  <c r="L614" i="9"/>
  <c r="L613" i="9"/>
  <c r="L612" i="9"/>
  <c r="L611" i="9"/>
  <c r="L610" i="9"/>
  <c r="L609" i="9"/>
  <c r="L608" i="9"/>
  <c r="L607" i="9"/>
  <c r="L606" i="9"/>
  <c r="L605" i="9"/>
  <c r="L604" i="9"/>
  <c r="L552" i="9"/>
  <c r="L551" i="9"/>
  <c r="L550" i="9"/>
  <c r="L549" i="9"/>
  <c r="L548" i="9"/>
  <c r="L547" i="9"/>
  <c r="L546" i="9"/>
  <c r="L545" i="9"/>
  <c r="L544" i="9"/>
  <c r="L543" i="9"/>
  <c r="L542" i="9"/>
  <c r="L541" i="9"/>
  <c r="L540" i="9"/>
  <c r="L539" i="9"/>
  <c r="L538" i="9"/>
  <c r="L537" i="9"/>
  <c r="L536" i="9"/>
  <c r="L535" i="9"/>
  <c r="L534" i="9"/>
  <c r="L533" i="9"/>
  <c r="L532" i="9"/>
  <c r="L531" i="9"/>
  <c r="L530" i="9"/>
  <c r="L478" i="9"/>
  <c r="L477" i="9"/>
  <c r="L476" i="9"/>
  <c r="L475" i="9"/>
  <c r="L474" i="9"/>
  <c r="L473" i="9"/>
  <c r="L472" i="9"/>
  <c r="L471" i="9"/>
  <c r="L470" i="9"/>
  <c r="L469" i="9"/>
  <c r="L468" i="9"/>
  <c r="L467" i="9"/>
  <c r="L466" i="9"/>
  <c r="L465" i="9"/>
  <c r="L464" i="9"/>
  <c r="L463" i="9"/>
  <c r="L462" i="9"/>
  <c r="L461" i="9"/>
  <c r="L460" i="9"/>
  <c r="L459" i="9"/>
  <c r="L458" i="9"/>
  <c r="L457" i="9"/>
  <c r="L456" i="9"/>
  <c r="L404" i="9"/>
  <c r="L403" i="9"/>
  <c r="L402" i="9"/>
  <c r="L401" i="9"/>
  <c r="L400" i="9"/>
  <c r="L399" i="9"/>
  <c r="L398" i="9"/>
  <c r="L397" i="9"/>
  <c r="L396" i="9"/>
  <c r="L395" i="9"/>
  <c r="L394" i="9"/>
  <c r="L393" i="9"/>
  <c r="L392" i="9"/>
  <c r="L391" i="9"/>
  <c r="L390" i="9"/>
  <c r="L389" i="9"/>
  <c r="L388" i="9"/>
  <c r="L387" i="9"/>
  <c r="L386" i="9"/>
  <c r="L385" i="9"/>
  <c r="L384" i="9"/>
  <c r="L383" i="9"/>
  <c r="L382" i="9"/>
  <c r="L330" i="9"/>
  <c r="L329" i="9"/>
  <c r="L328" i="9"/>
  <c r="L327" i="9"/>
  <c r="L326" i="9"/>
  <c r="L325" i="9"/>
  <c r="L324" i="9"/>
  <c r="L323" i="9"/>
  <c r="L322" i="9"/>
  <c r="L321" i="9"/>
  <c r="L320" i="9"/>
  <c r="L319" i="9"/>
  <c r="L318" i="9"/>
  <c r="L317" i="9"/>
  <c r="L316" i="9"/>
  <c r="L315" i="9"/>
  <c r="L314" i="9"/>
  <c r="L313" i="9"/>
  <c r="L312" i="9"/>
  <c r="L311" i="9"/>
  <c r="L310" i="9"/>
  <c r="L309" i="9"/>
  <c r="L308" i="9"/>
  <c r="L256" i="9"/>
  <c r="L255" i="9"/>
  <c r="L254" i="9"/>
  <c r="L253" i="9"/>
  <c r="L252" i="9"/>
  <c r="L251" i="9"/>
  <c r="L250" i="9"/>
  <c r="L249" i="9"/>
  <c r="L248" i="9"/>
  <c r="L247" i="9"/>
  <c r="L246" i="9"/>
  <c r="L245" i="9"/>
  <c r="L244" i="9"/>
  <c r="L243" i="9"/>
  <c r="L242" i="9"/>
  <c r="L241" i="9"/>
  <c r="L240" i="9"/>
  <c r="L239" i="9"/>
  <c r="L238" i="9"/>
  <c r="L237" i="9"/>
  <c r="L236" i="9"/>
  <c r="L235" i="9"/>
  <c r="L234" i="9"/>
  <c r="L182" i="9"/>
  <c r="L181" i="9"/>
  <c r="L180" i="9"/>
  <c r="L179" i="9"/>
  <c r="L178" i="9"/>
  <c r="L177" i="9"/>
  <c r="L176" i="9"/>
  <c r="L175" i="9"/>
  <c r="L174" i="9"/>
  <c r="L173" i="9"/>
  <c r="L172" i="9"/>
  <c r="L171" i="9"/>
  <c r="L170" i="9"/>
  <c r="L169" i="9"/>
  <c r="L168" i="9"/>
  <c r="L167" i="9"/>
  <c r="L166" i="9"/>
  <c r="L165" i="9"/>
  <c r="L164" i="9"/>
  <c r="L163" i="9"/>
  <c r="L162" i="9"/>
  <c r="L161" i="9"/>
  <c r="L160" i="9"/>
  <c r="L108" i="9"/>
  <c r="L107" i="9"/>
  <c r="L106" i="9"/>
  <c r="L105" i="9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1145" i="9"/>
  <c r="H1144" i="9"/>
  <c r="H1143" i="9"/>
  <c r="H1142" i="9"/>
  <c r="H1141" i="9"/>
  <c r="H1140" i="9"/>
  <c r="H1139" i="9"/>
  <c r="H1138" i="9"/>
  <c r="H1137" i="9"/>
  <c r="H1133" i="9"/>
  <c r="H1132" i="9"/>
  <c r="H1131" i="9"/>
  <c r="H1129" i="9"/>
  <c r="H1126" i="9"/>
  <c r="H1125" i="9"/>
  <c r="H1124" i="9"/>
  <c r="H1123" i="9"/>
  <c r="H1122" i="9"/>
  <c r="H1070" i="9"/>
  <c r="H1069" i="9"/>
  <c r="H1068" i="9"/>
  <c r="H1067" i="9"/>
  <c r="H1066" i="9"/>
  <c r="H1065" i="9"/>
  <c r="H1064" i="9"/>
  <c r="H1063" i="9"/>
  <c r="H1061" i="9"/>
  <c r="H1135" i="9" s="1"/>
  <c r="H1059" i="9"/>
  <c r="H1058" i="9"/>
  <c r="H1057" i="9"/>
  <c r="H1056" i="9"/>
  <c r="H1130" i="9" s="1"/>
  <c r="H1055" i="9"/>
  <c r="H1052" i="9"/>
  <c r="H1051" i="9"/>
  <c r="H1050" i="9"/>
  <c r="H1049" i="9"/>
  <c r="H1048" i="9"/>
  <c r="H996" i="9"/>
  <c r="H995" i="9"/>
  <c r="H994" i="9"/>
  <c r="H993" i="9"/>
  <c r="H992" i="9"/>
  <c r="H991" i="9"/>
  <c r="H990" i="9"/>
  <c r="H989" i="9"/>
  <c r="H987" i="9"/>
  <c r="H985" i="9"/>
  <c r="H984" i="9"/>
  <c r="H983" i="9"/>
  <c r="H982" i="9"/>
  <c r="H981" i="9"/>
  <c r="H978" i="9"/>
  <c r="H977" i="9"/>
  <c r="H976" i="9"/>
  <c r="H975" i="9"/>
  <c r="H974" i="9"/>
  <c r="L997" i="9" s="1"/>
  <c r="H922" i="9"/>
  <c r="H921" i="9"/>
  <c r="H920" i="9"/>
  <c r="H919" i="9"/>
  <c r="H918" i="9"/>
  <c r="H917" i="9"/>
  <c r="H916" i="9"/>
  <c r="H915" i="9"/>
  <c r="H913" i="9"/>
  <c r="H911" i="9"/>
  <c r="H910" i="9"/>
  <c r="H909" i="9"/>
  <c r="H908" i="9"/>
  <c r="H907" i="9"/>
  <c r="H904" i="9"/>
  <c r="H903" i="9"/>
  <c r="H902" i="9"/>
  <c r="H901" i="9"/>
  <c r="H900" i="9"/>
  <c r="H848" i="9"/>
  <c r="H847" i="9"/>
  <c r="H846" i="9"/>
  <c r="H845" i="9"/>
  <c r="H844" i="9"/>
  <c r="H843" i="9"/>
  <c r="H842" i="9"/>
  <c r="H841" i="9"/>
  <c r="H839" i="9"/>
  <c r="H837" i="9"/>
  <c r="H836" i="9"/>
  <c r="H835" i="9"/>
  <c r="H834" i="9"/>
  <c r="H833" i="9"/>
  <c r="H830" i="9"/>
  <c r="H829" i="9"/>
  <c r="H828" i="9"/>
  <c r="H827" i="9"/>
  <c r="H826" i="9"/>
  <c r="H774" i="9"/>
  <c r="H773" i="9"/>
  <c r="H772" i="9"/>
  <c r="H771" i="9"/>
  <c r="H770" i="9"/>
  <c r="H769" i="9"/>
  <c r="H768" i="9"/>
  <c r="H767" i="9"/>
  <c r="H765" i="9"/>
  <c r="H763" i="9"/>
  <c r="H762" i="9"/>
  <c r="H761" i="9"/>
  <c r="H760" i="9"/>
  <c r="H759" i="9"/>
  <c r="H756" i="9"/>
  <c r="H755" i="9"/>
  <c r="H754" i="9"/>
  <c r="H753" i="9"/>
  <c r="H752" i="9"/>
  <c r="H626" i="9"/>
  <c r="H625" i="9"/>
  <c r="H699" i="9" s="1"/>
  <c r="H624" i="9"/>
  <c r="H698" i="9" s="1"/>
  <c r="H623" i="9"/>
  <c r="H622" i="9"/>
  <c r="H696" i="9" s="1"/>
  <c r="H621" i="9"/>
  <c r="H620" i="9"/>
  <c r="H619" i="9"/>
  <c r="H693" i="9" s="1"/>
  <c r="H617" i="9"/>
  <c r="H691" i="9" s="1"/>
  <c r="H615" i="9"/>
  <c r="H614" i="9"/>
  <c r="H613" i="9"/>
  <c r="H612" i="9"/>
  <c r="H611" i="9"/>
  <c r="H685" i="9" s="1"/>
  <c r="H608" i="9"/>
  <c r="H682" i="9" s="1"/>
  <c r="H607" i="9"/>
  <c r="H606" i="9"/>
  <c r="H605" i="9"/>
  <c r="H604" i="9"/>
  <c r="H700" i="9"/>
  <c r="H697" i="9"/>
  <c r="H695" i="9"/>
  <c r="H694" i="9"/>
  <c r="H689" i="9"/>
  <c r="H688" i="9"/>
  <c r="H687" i="9"/>
  <c r="H686" i="9"/>
  <c r="H681" i="9"/>
  <c r="H680" i="9"/>
  <c r="H679" i="9"/>
  <c r="H678" i="9"/>
  <c r="H552" i="9"/>
  <c r="H551" i="9"/>
  <c r="H550" i="9"/>
  <c r="H549" i="9"/>
  <c r="H548" i="9"/>
  <c r="H547" i="9"/>
  <c r="H546" i="9"/>
  <c r="H545" i="9"/>
  <c r="H543" i="9"/>
  <c r="H542" i="9"/>
  <c r="H616" i="9" s="1"/>
  <c r="H690" i="9" s="1"/>
  <c r="H764" i="9" s="1"/>
  <c r="H838" i="9" s="1"/>
  <c r="H912" i="9" s="1"/>
  <c r="H986" i="9" s="1"/>
  <c r="H1060" i="9" s="1"/>
  <c r="H1134" i="9" s="1"/>
  <c r="H541" i="9"/>
  <c r="H540" i="9"/>
  <c r="H539" i="9"/>
  <c r="H538" i="9"/>
  <c r="H537" i="9"/>
  <c r="H534" i="9"/>
  <c r="H533" i="9"/>
  <c r="H532" i="9"/>
  <c r="H531" i="9"/>
  <c r="H530" i="9"/>
  <c r="H478" i="9"/>
  <c r="H477" i="9"/>
  <c r="H476" i="9"/>
  <c r="H475" i="9"/>
  <c r="H474" i="9"/>
  <c r="H473" i="9"/>
  <c r="H472" i="9"/>
  <c r="H471" i="9"/>
  <c r="H469" i="9"/>
  <c r="H468" i="9"/>
  <c r="H467" i="9"/>
  <c r="H466" i="9"/>
  <c r="H465" i="9"/>
  <c r="H464" i="9"/>
  <c r="H463" i="9"/>
  <c r="H460" i="9"/>
  <c r="H459" i="9"/>
  <c r="H458" i="9"/>
  <c r="H457" i="9"/>
  <c r="H456" i="9"/>
  <c r="H404" i="9"/>
  <c r="H403" i="9"/>
  <c r="H402" i="9"/>
  <c r="H401" i="9"/>
  <c r="H400" i="9"/>
  <c r="H399" i="9"/>
  <c r="H398" i="9"/>
  <c r="H397" i="9"/>
  <c r="H395" i="9"/>
  <c r="H394" i="9"/>
  <c r="H393" i="9"/>
  <c r="H392" i="9"/>
  <c r="H391" i="9"/>
  <c r="H390" i="9"/>
  <c r="H389" i="9"/>
  <c r="H386" i="9"/>
  <c r="H385" i="9"/>
  <c r="H384" i="9"/>
  <c r="H383" i="9"/>
  <c r="H382" i="9"/>
  <c r="H330" i="9"/>
  <c r="H329" i="9"/>
  <c r="H328" i="9"/>
  <c r="H327" i="9"/>
  <c r="H326" i="9"/>
  <c r="H325" i="9"/>
  <c r="H324" i="9"/>
  <c r="H323" i="9"/>
  <c r="H321" i="9"/>
  <c r="H320" i="9"/>
  <c r="H319" i="9"/>
  <c r="H318" i="9"/>
  <c r="H317" i="9"/>
  <c r="H316" i="9"/>
  <c r="H315" i="9"/>
  <c r="H314" i="9"/>
  <c r="H388" i="9" s="1"/>
  <c r="H462" i="9" s="1"/>
  <c r="H536" i="9" s="1"/>
  <c r="H610" i="9" s="1"/>
  <c r="H684" i="9" s="1"/>
  <c r="H758" i="9" s="1"/>
  <c r="H832" i="9" s="1"/>
  <c r="H906" i="9" s="1"/>
  <c r="H980" i="9" s="1"/>
  <c r="H1054" i="9" s="1"/>
  <c r="H1128" i="9" s="1"/>
  <c r="H313" i="9"/>
  <c r="H387" i="9" s="1"/>
  <c r="H461" i="9" s="1"/>
  <c r="H535" i="9" s="1"/>
  <c r="H609" i="9" s="1"/>
  <c r="H683" i="9" s="1"/>
  <c r="H757" i="9" s="1"/>
  <c r="H831" i="9" s="1"/>
  <c r="H905" i="9" s="1"/>
  <c r="H979" i="9" s="1"/>
  <c r="H1053" i="9" s="1"/>
  <c r="H1127" i="9" s="1"/>
  <c r="H312" i="9"/>
  <c r="H311" i="9"/>
  <c r="H310" i="9"/>
  <c r="H309" i="9"/>
  <c r="H308" i="9"/>
  <c r="H256" i="9"/>
  <c r="H255" i="9"/>
  <c r="H254" i="9"/>
  <c r="H253" i="9"/>
  <c r="H252" i="9"/>
  <c r="H251" i="9"/>
  <c r="H250" i="9"/>
  <c r="H249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182" i="9"/>
  <c r="H181" i="9"/>
  <c r="H180" i="9"/>
  <c r="H179" i="9"/>
  <c r="H178" i="9"/>
  <c r="H177" i="9"/>
  <c r="H176" i="9"/>
  <c r="H175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08" i="9"/>
  <c r="H107" i="9"/>
  <c r="H106" i="9"/>
  <c r="H105" i="9"/>
  <c r="H104" i="9"/>
  <c r="H103" i="9"/>
  <c r="H102" i="9"/>
  <c r="H101" i="9"/>
  <c r="H100" i="9"/>
  <c r="H174" i="9" s="1"/>
  <c r="H248" i="9" s="1"/>
  <c r="H322" i="9" s="1"/>
  <c r="H396" i="9" s="1"/>
  <c r="H470" i="9" s="1"/>
  <c r="H544" i="9" s="1"/>
  <c r="H618" i="9" s="1"/>
  <c r="H692" i="9" s="1"/>
  <c r="H766" i="9" s="1"/>
  <c r="H840" i="9" s="1"/>
  <c r="H914" i="9" s="1"/>
  <c r="H988" i="9" s="1"/>
  <c r="H1062" i="9" s="1"/>
  <c r="H1136" i="9" s="1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C1118" i="9"/>
  <c r="C1044" i="9"/>
  <c r="C970" i="9"/>
  <c r="C896" i="9"/>
  <c r="C822" i="9"/>
  <c r="C748" i="9"/>
  <c r="C674" i="9"/>
  <c r="C600" i="9"/>
  <c r="C526" i="9"/>
  <c r="C452" i="9"/>
  <c r="C378" i="9"/>
  <c r="C304" i="9"/>
  <c r="C230" i="9"/>
  <c r="C156" i="9"/>
  <c r="H1117" i="9"/>
  <c r="C1117" i="9"/>
  <c r="J1116" i="9"/>
  <c r="E1116" i="9"/>
  <c r="B1116" i="9"/>
  <c r="G1116" i="9" s="1"/>
  <c r="H1114" i="9"/>
  <c r="C1114" i="9"/>
  <c r="J1113" i="9"/>
  <c r="H1113" i="9"/>
  <c r="B1112" i="9"/>
  <c r="H1043" i="9"/>
  <c r="C1043" i="9"/>
  <c r="J1042" i="9"/>
  <c r="G1042" i="9"/>
  <c r="E1042" i="9"/>
  <c r="B1042" i="9"/>
  <c r="H1040" i="9"/>
  <c r="C1040" i="9"/>
  <c r="J1039" i="9"/>
  <c r="H1039" i="9"/>
  <c r="B1038" i="9"/>
  <c r="H969" i="9"/>
  <c r="C969" i="9"/>
  <c r="J968" i="9"/>
  <c r="E968" i="9"/>
  <c r="B964" i="9" s="1"/>
  <c r="B968" i="9"/>
  <c r="H966" i="9"/>
  <c r="C966" i="9"/>
  <c r="J965" i="9"/>
  <c r="H965" i="9"/>
  <c r="H895" i="9"/>
  <c r="C895" i="9"/>
  <c r="J894" i="9"/>
  <c r="E894" i="9"/>
  <c r="B894" i="9"/>
  <c r="G894" i="9" s="1"/>
  <c r="H892" i="9"/>
  <c r="C892" i="9"/>
  <c r="J891" i="9"/>
  <c r="H891" i="9"/>
  <c r="B890" i="9"/>
  <c r="H821" i="9"/>
  <c r="C821" i="9"/>
  <c r="J820" i="9"/>
  <c r="E820" i="9"/>
  <c r="B816" i="9" s="1"/>
  <c r="B820" i="9"/>
  <c r="H818" i="9"/>
  <c r="C818" i="9"/>
  <c r="J817" i="9"/>
  <c r="H817" i="9"/>
  <c r="H747" i="9"/>
  <c r="C747" i="9"/>
  <c r="J746" i="9"/>
  <c r="E746" i="9"/>
  <c r="B742" i="9" s="1"/>
  <c r="B746" i="9"/>
  <c r="H744" i="9"/>
  <c r="C744" i="9"/>
  <c r="J743" i="9"/>
  <c r="H743" i="9"/>
  <c r="H673" i="9"/>
  <c r="C673" i="9"/>
  <c r="J672" i="9"/>
  <c r="E672" i="9"/>
  <c r="B668" i="9" s="1"/>
  <c r="B672" i="9"/>
  <c r="H670" i="9"/>
  <c r="C670" i="9"/>
  <c r="J669" i="9"/>
  <c r="H669" i="9"/>
  <c r="H599" i="9"/>
  <c r="C599" i="9"/>
  <c r="J598" i="9"/>
  <c r="E598" i="9"/>
  <c r="B594" i="9" s="1"/>
  <c r="B598" i="9"/>
  <c r="G598" i="9" s="1"/>
  <c r="H596" i="9"/>
  <c r="C596" i="9"/>
  <c r="J595" i="9"/>
  <c r="H595" i="9"/>
  <c r="H525" i="9"/>
  <c r="C525" i="9"/>
  <c r="J524" i="9"/>
  <c r="E524" i="9"/>
  <c r="B520" i="9" s="1"/>
  <c r="B524" i="9"/>
  <c r="H522" i="9"/>
  <c r="C522" i="9"/>
  <c r="J521" i="9"/>
  <c r="H521" i="9"/>
  <c r="H451" i="9"/>
  <c r="C451" i="9"/>
  <c r="J450" i="9"/>
  <c r="E450" i="9"/>
  <c r="B446" i="9" s="1"/>
  <c r="B450" i="9"/>
  <c r="H448" i="9"/>
  <c r="C448" i="9"/>
  <c r="H447" i="9"/>
  <c r="J447" i="9" s="1"/>
  <c r="H377" i="9"/>
  <c r="C377" i="9"/>
  <c r="J376" i="9"/>
  <c r="E376" i="9"/>
  <c r="G376" i="9" s="1"/>
  <c r="B376" i="9"/>
  <c r="H374" i="9"/>
  <c r="C374" i="9"/>
  <c r="J373" i="9"/>
  <c r="H373" i="9"/>
  <c r="H303" i="9"/>
  <c r="C303" i="9"/>
  <c r="J302" i="9"/>
  <c r="E302" i="9"/>
  <c r="B298" i="9" s="1"/>
  <c r="B302" i="9"/>
  <c r="H300" i="9"/>
  <c r="C300" i="9"/>
  <c r="J299" i="9"/>
  <c r="H299" i="9"/>
  <c r="H229" i="9"/>
  <c r="C229" i="9"/>
  <c r="J228" i="9"/>
  <c r="E228" i="9"/>
  <c r="B224" i="9" s="1"/>
  <c r="B228" i="9"/>
  <c r="H226" i="9"/>
  <c r="C226" i="9"/>
  <c r="H225" i="9"/>
  <c r="J225" i="9" s="1"/>
  <c r="H155" i="9"/>
  <c r="C155" i="9"/>
  <c r="J154" i="9"/>
  <c r="E154" i="9"/>
  <c r="G154" i="9" s="1"/>
  <c r="B154" i="9"/>
  <c r="H152" i="9"/>
  <c r="C152" i="9"/>
  <c r="H151" i="9"/>
  <c r="J151" i="9" s="1"/>
  <c r="B150" i="9"/>
  <c r="C82" i="9"/>
  <c r="C8" i="9"/>
  <c r="H34" i="9"/>
  <c r="H33" i="9"/>
  <c r="H32" i="9"/>
  <c r="H31" i="9"/>
  <c r="H30" i="9"/>
  <c r="H29" i="9"/>
  <c r="L29" i="9" s="1"/>
  <c r="H28" i="9"/>
  <c r="L28" i="9" s="1"/>
  <c r="H27" i="9"/>
  <c r="L27" i="9" s="1"/>
  <c r="H26" i="9"/>
  <c r="L26" i="9" s="1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81" i="9"/>
  <c r="C81" i="9"/>
  <c r="J80" i="9"/>
  <c r="E80" i="9"/>
  <c r="B80" i="9"/>
  <c r="H78" i="9"/>
  <c r="C78" i="9"/>
  <c r="H77" i="9"/>
  <c r="J77" i="9" s="1"/>
  <c r="G6" i="9"/>
  <c r="J3" i="9"/>
  <c r="L923" i="9" l="1"/>
  <c r="L849" i="9"/>
  <c r="M849" i="9" s="1"/>
  <c r="L553" i="9"/>
  <c r="M553" i="9" s="1"/>
  <c r="L405" i="9"/>
  <c r="L1071" i="9"/>
  <c r="M1071" i="9" s="1"/>
  <c r="G968" i="9"/>
  <c r="G820" i="9"/>
  <c r="L775" i="9"/>
  <c r="M775" i="9" s="1"/>
  <c r="G746" i="9"/>
  <c r="L701" i="9"/>
  <c r="M701" i="9" s="1"/>
  <c r="G672" i="9"/>
  <c r="L627" i="9"/>
  <c r="M627" i="9" s="1"/>
  <c r="G524" i="9"/>
  <c r="L479" i="9"/>
  <c r="M479" i="9" s="1"/>
  <c r="G450" i="9"/>
  <c r="B372" i="9"/>
  <c r="L331" i="9"/>
  <c r="M331" i="9" s="1"/>
  <c r="G302" i="9"/>
  <c r="L257" i="9"/>
  <c r="M257" i="9" s="1"/>
  <c r="G228" i="9"/>
  <c r="L183" i="9"/>
  <c r="M183" i="9" s="1"/>
  <c r="L109" i="9"/>
  <c r="G80" i="9"/>
  <c r="B76" i="9"/>
  <c r="H82" i="9" l="1"/>
  <c r="H156" i="9" s="1"/>
  <c r="H304" i="9" s="1"/>
  <c r="H378" i="9" s="1"/>
  <c r="M109" i="9"/>
  <c r="L14" i="9"/>
  <c r="L20" i="9"/>
  <c r="L30" i="9"/>
  <c r="L18" i="9" l="1"/>
  <c r="L25" i="9"/>
  <c r="L13" i="9"/>
  <c r="L23" i="9"/>
  <c r="L22" i="9"/>
  <c r="L33" i="9"/>
  <c r="L12" i="9"/>
  <c r="L19" i="9"/>
  <c r="L17" i="9"/>
  <c r="L32" i="9"/>
  <c r="L24" i="9"/>
  <c r="L16" i="9"/>
  <c r="L34" i="9"/>
  <c r="L15" i="9" l="1"/>
  <c r="L21" i="9"/>
  <c r="L31" i="9"/>
  <c r="L35" i="9" l="1"/>
  <c r="H452" i="9" s="1"/>
  <c r="H526" i="9" s="1"/>
  <c r="H600" i="9" s="1"/>
  <c r="H674" i="9" s="1"/>
  <c r="H748" i="9" s="1"/>
  <c r="H896" i="9" s="1"/>
  <c r="H970" i="9" s="1"/>
</calcChain>
</file>

<file path=xl/sharedStrings.xml><?xml version="1.0" encoding="utf-8"?>
<sst xmlns="http://schemas.openxmlformats.org/spreadsheetml/2006/main" count="1718" uniqueCount="111">
  <si>
    <t>公共工程施工日誌</t>
    <phoneticPr fontId="2" type="noConversion"/>
  </si>
  <si>
    <t>表報編號：</t>
    <phoneticPr fontId="2" type="noConversion"/>
  </si>
  <si>
    <t>本日天氣：上午：晴天 　下午：晴天</t>
    <phoneticPr fontId="2" type="noConversion"/>
  </si>
  <si>
    <t>填表日期：</t>
    <phoneticPr fontId="2" type="noConversion"/>
  </si>
  <si>
    <t>工程名稱</t>
    <phoneticPr fontId="2" type="noConversion"/>
  </si>
  <si>
    <t>承攬商名稱</t>
    <phoneticPr fontId="2" type="noConversion"/>
  </si>
  <si>
    <t>正郁室內裝修</t>
    <phoneticPr fontId="2" type="noConversion"/>
  </si>
  <si>
    <t>核定工期</t>
    <phoneticPr fontId="2" type="noConversion"/>
  </si>
  <si>
    <t>累計工期</t>
    <phoneticPr fontId="2" type="noConversion"/>
  </si>
  <si>
    <t>剩餘工期</t>
    <phoneticPr fontId="2" type="noConversion"/>
  </si>
  <si>
    <t>工期展延天數</t>
    <phoneticPr fontId="2" type="noConversion"/>
  </si>
  <si>
    <t>0天</t>
    <phoneticPr fontId="2" type="noConversion"/>
  </si>
  <si>
    <t>開工日期</t>
    <phoneticPr fontId="2" type="noConversion"/>
  </si>
  <si>
    <t>完工日期</t>
    <phoneticPr fontId="2" type="noConversion"/>
  </si>
  <si>
    <t>預定進度(%)</t>
    <phoneticPr fontId="2" type="noConversion"/>
  </si>
  <si>
    <t>實際進度(%)</t>
    <phoneticPr fontId="2" type="noConversion"/>
  </si>
  <si>
    <t>一、依施工計畫書執行按圖施工概況（含約定之重要施工項目及完成數量等）：</t>
    <phoneticPr fontId="2" type="noConversion"/>
  </si>
  <si>
    <t>施工項目</t>
    <phoneticPr fontId="2" type="noConversion"/>
  </si>
  <si>
    <t>單位</t>
    <phoneticPr fontId="2" type="noConversion"/>
  </si>
  <si>
    <t>契約數量</t>
    <phoneticPr fontId="2" type="noConversion"/>
  </si>
  <si>
    <t>本日完成數量</t>
    <phoneticPr fontId="2" type="noConversion"/>
  </si>
  <si>
    <t>累計完成數量</t>
    <phoneticPr fontId="2" type="noConversion"/>
  </si>
  <si>
    <t>備註</t>
    <phoneticPr fontId="2" type="noConversion"/>
  </si>
  <si>
    <t>二、工地材料管理概況（含約定之重要材料使用狀況及數量等）：</t>
    <phoneticPr fontId="2" type="noConversion"/>
  </si>
  <si>
    <t>材料名稱</t>
    <phoneticPr fontId="2" type="noConversion"/>
  </si>
  <si>
    <t>設計數量</t>
    <phoneticPr fontId="2" type="noConversion"/>
  </si>
  <si>
    <t>本日使用數量</t>
    <phoneticPr fontId="2" type="noConversion"/>
  </si>
  <si>
    <t>累計使用數量</t>
    <phoneticPr fontId="2" type="noConversion"/>
  </si>
  <si>
    <t>三、工地人員及機具管理（含約定之出工人數及機具使用情形及數量）：</t>
    <phoneticPr fontId="2" type="noConversion"/>
  </si>
  <si>
    <t>工別</t>
    <phoneticPr fontId="2" type="noConversion"/>
  </si>
  <si>
    <t>本日人數</t>
    <phoneticPr fontId="2" type="noConversion"/>
  </si>
  <si>
    <t>累計人數</t>
    <phoneticPr fontId="2" type="noConversion"/>
  </si>
  <si>
    <t>機具名稱</t>
    <phoneticPr fontId="2" type="noConversion"/>
  </si>
  <si>
    <t>六、施工取樣試驗紀錄：</t>
    <phoneticPr fontId="2" type="noConversion"/>
  </si>
  <si>
    <t>七、通知協力廠商辦理事項：</t>
    <phoneticPr fontId="2" type="noConversion"/>
  </si>
  <si>
    <t>簽章：【工地主任】（註3）：</t>
    <phoneticPr fontId="2" type="noConversion"/>
  </si>
  <si>
    <t xml:space="preserve">註：
</t>
    <phoneticPr fontId="2" type="noConversion"/>
  </si>
  <si>
    <t>1.依營造業法第32條第1項第2款規定，工地主任應按日填報施工日誌</t>
    <phoneticPr fontId="2" type="noConversion"/>
  </si>
  <si>
    <t>2.本施工日誌格式僅供參考，惟原則應包含上開欄位，各機關亦得依工程性質及契約約定事項自行增訂之。</t>
    <phoneticPr fontId="2" type="noConversion"/>
  </si>
  <si>
    <t>3.本工程依營造業法第30條規定須置工地主任者，由工地主任簽章；依上開規定免置工地主任者，則由營造業法第32條第2項</t>
    <phoneticPr fontId="2" type="noConversion"/>
  </si>
  <si>
    <t>　所定之人員簽章。廠商非屬營造業者，由工地負責人簽章。</t>
    <phoneticPr fontId="2" type="noConversion"/>
  </si>
  <si>
    <t>4.契約工期如有修正，應填修正後之契約工期，含展延工期及不計工期天數；如有依契約變更設計，預定進度及實際進度應填</t>
    <phoneticPr fontId="2" type="noConversion"/>
  </si>
  <si>
    <t>　變更設計後計算之進度。</t>
    <phoneticPr fontId="2" type="noConversion"/>
  </si>
  <si>
    <t>5.上開重要事項記錄包含（1）主辦機關及監造單位指示（2）工地遇緊急異常狀況之通報處理情形（3）本日是否由專任工程</t>
    <phoneticPr fontId="2" type="noConversion"/>
  </si>
  <si>
    <t>　人員督察按圖施工、解決施工技術問題等。</t>
    <phoneticPr fontId="2" type="noConversion"/>
  </si>
  <si>
    <t>四、本日施工項目是否有須依「營造業專業工程特定施工項目應置之技術士種類、比率或人數標準表」規定應設置技術士之專業工程：□有 □無（此項如勾選”有”，則應填寫後附「公共工程施工日誌之技術士簽章表」）</t>
    <phoneticPr fontId="2" type="noConversion"/>
  </si>
  <si>
    <t>營造業專業工程特定施工項目</t>
    <phoneticPr fontId="2" type="noConversion"/>
  </si>
  <si>
    <t xml:space="preserve">A.     </t>
    <phoneticPr fontId="2" type="noConversion"/>
  </si>
  <si>
    <t>B.</t>
    <phoneticPr fontId="2" type="noConversion"/>
  </si>
  <si>
    <t>7.公共工程屬建築物者，請依內政部最新訂頒之「建築物施工日誌」填寫。</t>
    <phoneticPr fontId="2" type="noConversion"/>
  </si>
  <si>
    <t>1天</t>
    <phoneticPr fontId="2" type="noConversion"/>
  </si>
  <si>
    <t>6.上開施工前檢查事項所列工作應由職業安全衛生管理辦法第3條規定所置職業安全衛生人員於每日施工前辦理(檢查紀錄參考範例如附工地職業安全衛生施工前檢查紀錄表)，工地主任負責督導及確認該事項完成後於施工日誌填載。</t>
    <phoneticPr fontId="2" type="noConversion"/>
  </si>
  <si>
    <t xml:space="preserve">五、工地職業安全衛生事項之督導、公共環境與安全之維護及其他工地行政事務：
  (ㄧ)施工前檢查事項：
   1.實施勤前教育(含工地預防災變及危害告知)：☑有 □無
   2.確認新進勞工是否提報勞工保險(或其他商業保險)資料及安全衛生教育訓練紀錄：□有 □無 ☑無新進勞工
   3.檢查勞工個人防護具：☑有 □無
  (二)其他事項：
</t>
    <phoneticPr fontId="2" type="noConversion"/>
  </si>
  <si>
    <t>GD-001</t>
    <phoneticPr fontId="2" type="noConversion"/>
  </si>
  <si>
    <t>八、重要事項記錄：今日無派工</t>
    <phoneticPr fontId="2" type="noConversion"/>
  </si>
  <si>
    <t>60天</t>
    <phoneticPr fontId="2" type="noConversion"/>
  </si>
  <si>
    <t>壹、直接工程費</t>
    <phoneticPr fontId="2" type="noConversion"/>
  </si>
  <si>
    <t>1 工程告示牌(租用)</t>
    <phoneticPr fontId="2" type="noConversion"/>
  </si>
  <si>
    <t>3 施工圍籬(租用)</t>
    <phoneticPr fontId="2" type="noConversion"/>
  </si>
  <si>
    <t>面</t>
    <phoneticPr fontId="74" type="noConversion"/>
  </si>
  <si>
    <t>式</t>
    <phoneticPr fontId="74" type="noConversion"/>
  </si>
  <si>
    <t>M</t>
    <phoneticPr fontId="74" type="noConversion"/>
  </si>
  <si>
    <t>M2</t>
    <phoneticPr fontId="74" type="noConversion"/>
  </si>
  <si>
    <t>木工</t>
    <phoneticPr fontId="2" type="noConversion"/>
  </si>
  <si>
    <t>肆 包商管理及利潤費（約壹*7%）</t>
    <phoneticPr fontId="2" type="noConversion"/>
  </si>
  <si>
    <t>伍 營造綜合保險費</t>
    <phoneticPr fontId="2" type="noConversion"/>
  </si>
  <si>
    <t>陸 營業稅（(壹~伍)*5％）</t>
    <phoneticPr fontId="2" type="noConversion"/>
  </si>
  <si>
    <t>發包金額:</t>
    <phoneticPr fontId="2" type="noConversion"/>
  </si>
  <si>
    <t>本日完成合計:</t>
    <phoneticPr fontId="2" type="noConversion"/>
  </si>
  <si>
    <t>實際進度=本日完成金額/發包金額+前1天累積進度</t>
    <phoneticPr fontId="2" type="noConversion"/>
  </si>
  <si>
    <t>八、重要事項記錄： 今日無派工</t>
    <phoneticPr fontId="2" type="noConversion"/>
  </si>
  <si>
    <t>清運</t>
    <phoneticPr fontId="2" type="noConversion"/>
  </si>
  <si>
    <t>113年12月16日</t>
    <phoneticPr fontId="2" type="noConversion"/>
  </si>
  <si>
    <t>114年02月13日</t>
    <phoneticPr fontId="2" type="noConversion"/>
  </si>
  <si>
    <t>雲林縣成功國小思源堂整修工程</t>
    <phoneticPr fontId="2" type="noConversion"/>
  </si>
  <si>
    <t>2 職安衛告示牌(租用)</t>
    <phoneticPr fontId="2" type="noConversion"/>
  </si>
  <si>
    <t>4 施工架、施工輔助機具與保護措施(租用)</t>
    <phoneticPr fontId="2" type="noConversion"/>
  </si>
  <si>
    <t>5 施工動線開闢及損害復原；測量與放樣</t>
    <phoneticPr fontId="2" type="noConversion"/>
  </si>
  <si>
    <t>6 屋頂樓板面、柱子與女兒牆清除雜物，打除脫層與剝落面層見堅硬層，全面以高壓水槍清潔</t>
    <phoneticPr fontId="2" type="noConversion"/>
  </si>
  <si>
    <t>7 植D10鋼筋，設置RC止水墩，刷不垂流PU與耐候面漆</t>
    <phoneticPr fontId="2" type="noConversion"/>
  </si>
  <si>
    <t>8 屋頂樓板低點女兒牆最底部洗洞，設置不鏽鋼排水孔接PVC排水立管排水至地面層水溝</t>
    <phoneticPr fontId="2" type="noConversion"/>
  </si>
  <si>
    <t>組</t>
    <phoneticPr fontId="74" type="noConversion"/>
  </si>
  <si>
    <t>9 屋頂樓板1:3水泥砂漿粉刷調整洩水坡度</t>
    <phoneticPr fontId="2" type="noConversion"/>
  </si>
  <si>
    <t>10 鋼柱底部清潔，刷底漆、不垂流PU與耐候防水面漆(H30cm)</t>
    <phoneticPr fontId="2" type="noConversion"/>
  </si>
  <si>
    <t>11 屋頂樓板與女兒牆及柱子底部30cm，刷3mm 
PU防水層與耐候防水面漆</t>
    <phoneticPr fontId="2" type="noConversion"/>
  </si>
  <si>
    <t>12 女兒牆頂面、內側面與柱子刷油性底漆與耐候防水面漆</t>
    <phoneticPr fontId="2" type="noConversion"/>
  </si>
  <si>
    <t>13 外牆以高壓水槍清潔，噴刷磁磚專用底漆與抗UV
不變黃透明防水漆</t>
    <phoneticPr fontId="2" type="noConversion"/>
  </si>
  <si>
    <t>14 拆除清運既有舞台(含清運證明)</t>
    <phoneticPr fontId="2" type="noConversion"/>
  </si>
  <si>
    <t>15 新設舞台工程(含舞台牆面、階梯、踼腳板)</t>
    <phoneticPr fontId="2" type="noConversion"/>
  </si>
  <si>
    <t>16 牆面壁癌處理，全面清潔，噴刷水泥漆(1底2度)</t>
    <phoneticPr fontId="2" type="noConversion"/>
  </si>
  <si>
    <t>17 拆除清運舞台既有背牆，壁癌處理，全面清潔，
噴刷水泥漆(1底2度)，釘PVC輸出</t>
    <phoneticPr fontId="2" type="noConversion"/>
  </si>
  <si>
    <t>18 雜項工程</t>
    <phoneticPr fontId="2" type="noConversion"/>
  </si>
  <si>
    <t>貳 職業安全衛生管理費（壹*1%）</t>
    <phoneticPr fontId="2" type="noConversion"/>
  </si>
  <si>
    <t>參 公共工程品質管制作業費（壹*1%）</t>
    <phoneticPr fontId="2" type="noConversion"/>
  </si>
  <si>
    <t>八、重要事項記錄：</t>
    <phoneticPr fontId="2" type="noConversion"/>
  </si>
  <si>
    <t>本日天氣：上午：雨天 　下午：晴天</t>
    <phoneticPr fontId="2" type="noConversion"/>
  </si>
  <si>
    <t>八、重要事項記錄：1.申報開工  2.假設、拆除工程施作</t>
    <phoneticPr fontId="2" type="noConversion"/>
  </si>
  <si>
    <t>本日完成</t>
    <phoneticPr fontId="2" type="noConversion"/>
  </si>
  <si>
    <t>八、重要事項記錄： 1.新設舞台工程施做</t>
    <phoneticPr fontId="2" type="noConversion"/>
  </si>
  <si>
    <t>八、重要事項記錄：1.屋頂樓板面、柱子與女兒牆清除雜物，打除脫層與剝落面層見堅硬層施做 2.植D10鋼筋</t>
    <phoneticPr fontId="2" type="noConversion"/>
  </si>
  <si>
    <t>粗工</t>
    <phoneticPr fontId="2" type="noConversion"/>
  </si>
  <si>
    <t>八、重要事項記錄：1.屋頂樓板面、柱子與女兒牆清除雜物，打除脫層與剝落面層見堅硬層施做 2.植D10鋼筋
                  3.拆除清運既有舞台 4.新設舞台工程</t>
    <phoneticPr fontId="2" type="noConversion"/>
  </si>
  <si>
    <t>本日天氣：上午：雨天 　下午：雨天</t>
    <phoneticPr fontId="2" type="noConversion"/>
  </si>
  <si>
    <t>八、重要事項記錄：1.屋頂樓板面、柱子與女兒牆清除雜物，打除脫層與剝落面層見堅硬層，全面以高壓水槍清潔
2.新設舞台工程</t>
    <phoneticPr fontId="2" type="noConversion"/>
  </si>
  <si>
    <t>小工</t>
    <phoneticPr fontId="2" type="noConversion"/>
  </si>
  <si>
    <t>八、重要事項記錄： 1.屋頂樓板面、柱子與女兒牆清除雜物，打除脫層與剝落面層見堅硬層，全面以高壓水槍清潔
2.新設舞台工程</t>
    <phoneticPr fontId="2" type="noConversion"/>
  </si>
  <si>
    <t>泥水工</t>
    <phoneticPr fontId="2" type="noConversion"/>
  </si>
  <si>
    <t>八、重要事項記錄： 1.植D10鋼筋，設置RC止水墩</t>
    <phoneticPr fontId="2" type="noConversion"/>
  </si>
  <si>
    <t>八、重要事項記錄：1.植D10鋼筋，設置RC止水墩</t>
    <phoneticPr fontId="2" type="noConversion"/>
  </si>
  <si>
    <t>八、重要事項記錄：屋頂水泥砂漿施作</t>
    <phoneticPr fontId="2" type="noConversion"/>
  </si>
  <si>
    <t>八、重要事項記錄： 屋頂水泥砂漿施作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</si>
</sst>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[$-404]e&quot;年&quot;m&quot;月&quot;d&quot;日&quot;;@"/>
    <numFmt numFmtId="177" formatCode="#,##0.0;[Red]#,##0.0"/>
    <numFmt numFmtId="178" formatCode="#,##0.0_);\(#,##0.0\)"/>
    <numFmt numFmtId="179" formatCode="General_)"/>
    <numFmt numFmtId="180" formatCode="0.00_)"/>
    <numFmt numFmtId="181" formatCode="\300.00"/>
    <numFmt numFmtId="182" formatCode="\300"/>
    <numFmt numFmtId="183" formatCode="_-* #,##0.00\ &quot;ден.&quot;_-;\-* #,##0.00\ &quot;ден.&quot;_-;_-* &quot;-&quot;??\ &quot;ден.&quot;_-;_-@_-"/>
    <numFmt numFmtId="184" formatCode="_-* #,##0\ &quot;ден.&quot;_-;\-* #,##0\ &quot;ден.&quot;_-;_-* &quot;-&quot;\ &quot;ден.&quot;_-;_-@_-"/>
    <numFmt numFmtId="185" formatCode="0.0"/>
    <numFmt numFmtId="186" formatCode="#,##0.00_);[Red]\(#,##0.00\)"/>
    <numFmt numFmtId="187" formatCode="#,##0_);[Red]\(#,##0\)"/>
  </numFmts>
  <fonts count="75">
    <font>
      <sz val="12"/>
      <color theme="1"/>
      <name val="新細明體"/>
      <family val="2"/>
      <scheme val="minor"/>
    </font>
    <font>
      <b/>
      <sz val="12"/>
      <name val="標楷體"/>
      <family val="4"/>
      <charset val="136"/>
    </font>
    <font>
      <sz val="9"/>
      <name val="新細明體"/>
      <family val="3"/>
      <charset val="136"/>
      <scheme val="minor"/>
    </font>
    <font>
      <sz val="10"/>
      <color theme="1"/>
      <name val="標楷體"/>
      <family val="4"/>
      <charset val="136"/>
    </font>
    <font>
      <sz val="10"/>
      <name val="標楷體"/>
      <family val="4"/>
      <charset val="136"/>
    </font>
    <font>
      <b/>
      <sz val="10"/>
      <color theme="1"/>
      <name val="標楷體"/>
      <family val="4"/>
      <charset val="136"/>
    </font>
    <font>
      <sz val="9"/>
      <color theme="1"/>
      <name val="標楷體"/>
      <family val="4"/>
      <charset val="136"/>
    </font>
    <font>
      <b/>
      <sz val="10"/>
      <color theme="1"/>
      <name val="Adobe 繁黑體 Std B"/>
      <family val="2"/>
      <charset val="136"/>
    </font>
    <font>
      <sz val="10"/>
      <name val="Arial"/>
      <family val="2"/>
    </font>
    <font>
      <sz val="12"/>
      <name val="新細明體"/>
      <family val="1"/>
      <charset val="136"/>
    </font>
    <font>
      <sz val="12"/>
      <name val="Times New Roman"/>
      <family val="1"/>
    </font>
    <font>
      <u/>
      <sz val="12"/>
      <color indexed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0"/>
      <name val="Helv"/>
      <family val="2"/>
    </font>
    <font>
      <sz val="12"/>
      <name val="Courier"/>
      <family val="3"/>
    </font>
    <font>
      <u/>
      <sz val="12"/>
      <color indexed="36"/>
      <name val="Times New Roman"/>
      <family val="1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19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1"/>
      <name val=""/>
      <family val="1"/>
      <charset val="136"/>
    </font>
    <font>
      <sz val="12"/>
      <name val="標楷體"/>
      <family val="4"/>
      <charset val="136"/>
    </font>
    <font>
      <sz val="12"/>
      <name val="細明體"/>
      <family val="3"/>
      <charset val="136"/>
    </font>
    <font>
      <sz val="8"/>
      <name val="Times"/>
      <family val="1"/>
    </font>
    <font>
      <b/>
      <sz val="8.3000000000000007"/>
      <name val="Helv"/>
      <family val="2"/>
    </font>
    <font>
      <sz val="9"/>
      <name val="Times New Roman"/>
      <family val="1"/>
    </font>
    <font>
      <sz val="8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1"/>
      <name val="Times New Roman"/>
      <family val="1"/>
    </font>
    <font>
      <u/>
      <sz val="10"/>
      <color indexed="14"/>
      <name val="MS Sans Serif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0"/>
      <name val="Times"/>
      <family val="1"/>
    </font>
    <font>
      <sz val="9"/>
      <name val="CG Times (W1)"/>
      <family val="1"/>
    </font>
    <font>
      <i/>
      <sz val="8"/>
      <name val="Times"/>
      <family val="1"/>
    </font>
    <font>
      <sz val="7"/>
      <name val="Small Fonts"/>
      <family val="2"/>
    </font>
    <font>
      <b/>
      <i/>
      <sz val="16"/>
      <name val="Helv"/>
      <family val="2"/>
    </font>
    <font>
      <sz val="12"/>
      <color indexed="8"/>
      <name val="Times New Roman"/>
      <family val="1"/>
    </font>
    <font>
      <b/>
      <sz val="24"/>
      <name val="AngsanaUPC"/>
      <family val="1"/>
    </font>
    <font>
      <sz val="10"/>
      <name val="微軟細明"/>
      <family val="2"/>
    </font>
    <font>
      <sz val="12"/>
      <name val="華康中楷體"/>
      <family val="3"/>
      <charset val="136"/>
    </font>
    <font>
      <sz val="12"/>
      <color indexed="60"/>
      <name val="新細明體"/>
      <family val="1"/>
      <charset val="136"/>
    </font>
    <font>
      <sz val="11"/>
      <name val="DLC-KM"/>
      <family val="2"/>
    </font>
    <font>
      <sz val="24"/>
      <name val="DLC-KM"/>
      <family val="2"/>
    </font>
    <font>
      <sz val="16"/>
      <name val="華康中楷體"/>
      <family val="3"/>
      <charset val="136"/>
    </font>
    <font>
      <sz val="11"/>
      <name val="元易細明體"/>
      <family val="3"/>
      <charset val="136"/>
    </font>
    <font>
      <sz val="12"/>
      <name val="Arial Narrow"/>
      <family val="2"/>
    </font>
    <font>
      <sz val="9"/>
      <name val="華康仿宋體"/>
      <family val="3"/>
      <charset val="136"/>
    </font>
    <font>
      <sz val="10"/>
      <name val="華康中楷體"/>
      <family val="3"/>
      <charset val="136"/>
    </font>
    <font>
      <i/>
      <sz val="24"/>
      <color indexed="14"/>
      <name val="DLC-KM"/>
      <family val="2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2"/>
      <color indexed="52"/>
      <name val="新細明體"/>
      <family val="1"/>
      <charset val="136"/>
    </font>
    <font>
      <sz val="24"/>
      <name val="細明體"/>
      <family val="3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0"/>
      <color indexed="12"/>
      <name val="華康中楷體"/>
      <family val="3"/>
      <charset val="136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12"/>
      <name val="標楷體"/>
      <family val="4"/>
    </font>
    <font>
      <sz val="9"/>
      <name val="新細明體"/>
      <family val="1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gray0625">
        <fgColor indexed="12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30">
    <xf numFmtId="0" fontId="0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0"/>
    <xf numFmtId="0" fontId="10" fillId="0" borderId="0"/>
    <xf numFmtId="0" fontId="15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1" fillId="0" borderId="0"/>
    <xf numFmtId="0" fontId="10" fillId="0" borderId="0"/>
    <xf numFmtId="0" fontId="10" fillId="0" borderId="0"/>
    <xf numFmtId="0" fontId="15" fillId="0" borderId="0"/>
    <xf numFmtId="0" fontId="15" fillId="0" borderId="0"/>
    <xf numFmtId="0" fontId="10" fillId="0" borderId="0"/>
    <xf numFmtId="0" fontId="15" fillId="0" borderId="0"/>
    <xf numFmtId="0" fontId="10" fillId="0" borderId="0"/>
    <xf numFmtId="0" fontId="15" fillId="0" borderId="0"/>
    <xf numFmtId="3" fontId="32" fillId="0" borderId="0">
      <alignment horizontal="left" vertical="center"/>
    </xf>
    <xf numFmtId="0" fontId="15" fillId="0" borderId="0"/>
    <xf numFmtId="0" fontId="15" fillId="0" borderId="0"/>
    <xf numFmtId="0" fontId="10" fillId="0" borderId="0"/>
    <xf numFmtId="0" fontId="10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/>
    <xf numFmtId="0" fontId="15" fillId="0" borderId="0"/>
    <xf numFmtId="0" fontId="15" fillId="0" borderId="0">
      <alignment vertical="center" shrinkToFit="1"/>
    </xf>
    <xf numFmtId="0" fontId="15" fillId="0" borderId="0"/>
    <xf numFmtId="0" fontId="1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0"/>
    <xf numFmtId="0" fontId="10" fillId="0" borderId="0"/>
    <xf numFmtId="0" fontId="15" fillId="0" borderId="0"/>
    <xf numFmtId="0" fontId="15" fillId="0" borderId="0"/>
    <xf numFmtId="0" fontId="10" fillId="0" borderId="0"/>
    <xf numFmtId="0" fontId="15" fillId="0" borderId="0"/>
    <xf numFmtId="0" fontId="9" fillId="0" borderId="0"/>
    <xf numFmtId="0" fontId="33" fillId="0" borderId="0"/>
    <xf numFmtId="0" fontId="9" fillId="0" borderId="0"/>
    <xf numFmtId="0" fontId="9" fillId="0" borderId="0"/>
    <xf numFmtId="0" fontId="9" fillId="2" borderId="7" applyBorder="0">
      <alignment horizontal="center"/>
    </xf>
    <xf numFmtId="0" fontId="12" fillId="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3" fillId="0" borderId="0"/>
    <xf numFmtId="0" fontId="34" fillId="0" borderId="0"/>
    <xf numFmtId="0" fontId="35" fillId="20" borderId="27" applyNumberFormat="0" applyAlignment="0"/>
    <xf numFmtId="0" fontId="16" fillId="0" borderId="0" applyFill="0" applyBorder="0" applyAlignment="0"/>
    <xf numFmtId="0" fontId="36" fillId="0" borderId="0" applyFill="0" applyBorder="0" applyAlignment="0"/>
    <xf numFmtId="0" fontId="36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6" fillId="0" borderId="0" applyFill="0" applyBorder="0" applyAlignment="0"/>
    <xf numFmtId="0" fontId="10" fillId="0" borderId="0" applyFill="0" applyBorder="0" applyAlignment="0"/>
    <xf numFmtId="0" fontId="36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 applyFont="0" applyFill="0" applyBorder="0" applyAlignment="0" applyProtection="0"/>
    <xf numFmtId="0" fontId="16" fillId="0" borderId="0" applyFont="0" applyFill="0" applyBorder="0" applyAlignment="0" applyProtection="0"/>
    <xf numFmtId="37" fontId="37" fillId="0" borderId="0" applyFill="0" applyBorder="0" applyAlignment="0" applyProtection="0"/>
    <xf numFmtId="178" fontId="37" fillId="0" borderId="0" applyFill="0" applyBorder="0" applyAlignment="0" applyProtection="0"/>
    <xf numFmtId="0" fontId="1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 applyFont="0" applyFill="0" applyBorder="0" applyAlignment="0" applyProtection="0"/>
    <xf numFmtId="14" fontId="38" fillId="0" borderId="0" applyFill="0" applyBorder="0" applyAlignment="0"/>
    <xf numFmtId="38" fontId="39" fillId="0" borderId="28">
      <alignment vertical="center"/>
    </xf>
    <xf numFmtId="38" fontId="40" fillId="0" borderId="0" applyBorder="0" applyAlignment="0"/>
    <xf numFmtId="0" fontId="16" fillId="0" borderId="0" applyFill="0" applyBorder="0" applyAlignment="0"/>
    <xf numFmtId="0" fontId="36" fillId="0" borderId="0" applyFill="0" applyBorder="0" applyAlignment="0"/>
    <xf numFmtId="0" fontId="16" fillId="0" borderId="0" applyFill="0" applyBorder="0" applyAlignment="0"/>
    <xf numFmtId="0" fontId="10" fillId="0" borderId="0" applyFill="0" applyBorder="0" applyAlignment="0"/>
    <xf numFmtId="0" fontId="36" fillId="0" borderId="0" applyFill="0" applyBorder="0" applyAlignment="0"/>
    <xf numFmtId="0" fontId="41" fillId="0" borderId="0" applyNumberFormat="0" applyFill="0" applyBorder="0" applyAlignment="0" applyProtection="0"/>
    <xf numFmtId="38" fontId="37" fillId="21" borderId="0" applyNumberFormat="0" applyBorder="0" applyAlignment="0" applyProtection="0"/>
    <xf numFmtId="0" fontId="42" fillId="0" borderId="29" applyNumberFormat="0" applyAlignment="0" applyProtection="0">
      <alignment horizontal="left" vertical="center"/>
    </xf>
    <xf numFmtId="0" fontId="42" fillId="0" borderId="8">
      <alignment horizontal="left" vertical="center"/>
    </xf>
    <xf numFmtId="0" fontId="43" fillId="0" borderId="0" applyNumberFormat="0" applyFill="0" applyBorder="0" applyAlignment="0" applyProtection="0"/>
    <xf numFmtId="10" fontId="37" fillId="22" borderId="2" applyNumberFormat="0" applyBorder="0" applyAlignment="0" applyProtection="0"/>
    <xf numFmtId="0" fontId="16" fillId="0" borderId="0" applyFill="0" applyBorder="0" applyAlignment="0"/>
    <xf numFmtId="0" fontId="36" fillId="0" borderId="0" applyFill="0" applyBorder="0" applyAlignment="0"/>
    <xf numFmtId="0" fontId="16" fillId="0" borderId="0" applyFill="0" applyBorder="0" applyAlignment="0"/>
    <xf numFmtId="0" fontId="10" fillId="0" borderId="0" applyFill="0" applyBorder="0" applyAlignment="0"/>
    <xf numFmtId="0" fontId="36" fillId="0" borderId="0" applyFill="0" applyBorder="0" applyAlignment="0"/>
    <xf numFmtId="179" fontId="16" fillId="23" borderId="2" applyNumberFormat="0" applyFont="0" applyFill="0" applyBorder="0">
      <alignment horizontal="center" vertical="center"/>
    </xf>
    <xf numFmtId="0" fontId="44" fillId="0" borderId="0"/>
    <xf numFmtId="0" fontId="45" fillId="0" borderId="30" applyNumberFormat="0">
      <alignment horizontal="left" vertical="center"/>
    </xf>
    <xf numFmtId="0" fontId="46" fillId="0" borderId="0"/>
    <xf numFmtId="37" fontId="47" fillId="0" borderId="0"/>
    <xf numFmtId="180" fontId="48" fillId="0" borderId="0"/>
    <xf numFmtId="0" fontId="8" fillId="0" borderId="0"/>
    <xf numFmtId="0" fontId="8" fillId="0" borderId="0"/>
    <xf numFmtId="0" fontId="10" fillId="0" borderId="0"/>
    <xf numFmtId="0" fontId="49" fillId="23" borderId="0"/>
    <xf numFmtId="0" fontId="10" fillId="0" borderId="0" applyFont="0" applyFill="0" applyBorder="0" applyAlignment="0" applyProtection="0"/>
    <xf numFmtId="0" fontId="16" fillId="0" borderId="0" applyFont="0" applyFill="0" applyBorder="0" applyAlignment="0" applyProtection="0"/>
    <xf numFmtId="10" fontId="8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6" fillId="0" borderId="0" applyFill="0" applyBorder="0" applyAlignment="0"/>
    <xf numFmtId="0" fontId="36" fillId="0" borderId="0" applyFill="0" applyBorder="0" applyAlignment="0"/>
    <xf numFmtId="0" fontId="16" fillId="0" borderId="0" applyFill="0" applyBorder="0" applyAlignment="0"/>
    <xf numFmtId="0" fontId="10" fillId="0" borderId="0" applyFill="0" applyBorder="0" applyAlignment="0"/>
    <xf numFmtId="0" fontId="36" fillId="0" borderId="0" applyFill="0" applyBorder="0" applyAlignment="0"/>
    <xf numFmtId="4" fontId="37" fillId="0" borderId="0"/>
    <xf numFmtId="0" fontId="10" fillId="0" borderId="0"/>
    <xf numFmtId="3" fontId="37" fillId="0" borderId="0" applyNumberFormat="0" applyFont="0" applyAlignment="0"/>
    <xf numFmtId="0" fontId="8" fillId="24" borderId="0"/>
    <xf numFmtId="0" fontId="45" fillId="0" borderId="31">
      <alignment horizontal="left" vertical="center"/>
    </xf>
    <xf numFmtId="49" fontId="38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45" fillId="0" borderId="32" applyNumberFormat="0" applyFill="0" applyProtection="0">
      <alignment horizontal="left" vertical="center"/>
    </xf>
    <xf numFmtId="3" fontId="50" fillId="0" borderId="33">
      <alignment horizontal="center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71" fillId="0" borderId="0">
      <alignment vertical="center"/>
    </xf>
    <xf numFmtId="0" fontId="8" fillId="0" borderId="0"/>
    <xf numFmtId="0" fontId="71" fillId="0" borderId="0"/>
    <xf numFmtId="0" fontId="9" fillId="0" borderId="0"/>
    <xf numFmtId="0" fontId="9" fillId="0" borderId="0"/>
    <xf numFmtId="0" fontId="9" fillId="0" borderId="0">
      <alignment vertical="center"/>
    </xf>
    <xf numFmtId="0" fontId="8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12" fillId="0" borderId="0">
      <alignment vertical="center"/>
    </xf>
    <xf numFmtId="178" fontId="16" fillId="0" borderId="0"/>
    <xf numFmtId="0" fontId="12" fillId="0" borderId="0"/>
    <xf numFmtId="178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8" fontId="16" fillId="0" borderId="0"/>
    <xf numFmtId="178" fontId="16" fillId="0" borderId="0"/>
    <xf numFmtId="0" fontId="9" fillId="0" borderId="0"/>
    <xf numFmtId="0" fontId="9" fillId="0" borderId="0">
      <alignment vertical="center"/>
    </xf>
    <xf numFmtId="0" fontId="8" fillId="0" borderId="0"/>
    <xf numFmtId="178" fontId="1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>
      <alignment vertical="center"/>
    </xf>
    <xf numFmtId="0" fontId="71" fillId="0" borderId="0">
      <alignment vertical="center"/>
    </xf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1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71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9" fillId="0" borderId="0"/>
    <xf numFmtId="0" fontId="9" fillId="0" borderId="0"/>
    <xf numFmtId="0" fontId="71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71" fillId="0" borderId="0">
      <alignment vertical="center"/>
    </xf>
    <xf numFmtId="0" fontId="32" fillId="0" borderId="0" applyNumberFormat="0">
      <alignment vertical="center"/>
    </xf>
    <xf numFmtId="181" fontId="52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8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8" fillId="0" borderId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0" borderId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0" borderId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8" fillId="0" borderId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54" fillId="0" borderId="0" applyNumberFormat="0" applyFont="0" applyBorder="0" applyAlignment="0">
      <alignment horizontal="left" vertical="center"/>
    </xf>
    <xf numFmtId="0" fontId="55" fillId="0" borderId="0">
      <alignment vertical="center"/>
    </xf>
    <xf numFmtId="0" fontId="56" fillId="0" borderId="0">
      <alignment vertical="center"/>
    </xf>
    <xf numFmtId="0" fontId="16" fillId="0" borderId="0"/>
    <xf numFmtId="0" fontId="18" fillId="0" borderId="35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57" fillId="0" borderId="36" applyAlignment="0">
      <alignment horizontal="center" vertical="center" wrapText="1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58" fillId="0" borderId="2">
      <alignment vertical="center"/>
    </xf>
    <xf numFmtId="0" fontId="59" fillId="0" borderId="2">
      <alignment vertical="center" wrapText="1"/>
    </xf>
    <xf numFmtId="0" fontId="59" fillId="0" borderId="2">
      <alignment vertical="center" wrapText="1"/>
    </xf>
    <xf numFmtId="182" fontId="60" fillId="0" borderId="37">
      <alignment vertical="center"/>
    </xf>
    <xf numFmtId="0" fontId="61" fillId="0" borderId="0">
      <alignment vertical="center"/>
    </xf>
    <xf numFmtId="0" fontId="62" fillId="26" borderId="38" applyNumberFormat="0" applyAlignment="0" applyProtection="0">
      <alignment vertical="center"/>
    </xf>
    <xf numFmtId="0" fontId="21" fillId="25" borderId="38" applyNumberFormat="0" applyAlignment="0" applyProtection="0">
      <alignment vertical="center"/>
    </xf>
    <xf numFmtId="0" fontId="62" fillId="26" borderId="38" applyNumberFormat="0" applyAlignment="0" applyProtection="0">
      <alignment vertical="center"/>
    </xf>
    <xf numFmtId="0" fontId="21" fillId="25" borderId="38" applyNumberFormat="0" applyAlignment="0" applyProtection="0">
      <alignment vertical="center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9" fillId="0" borderId="8">
      <alignment horizontal="center" vertical="center"/>
    </xf>
    <xf numFmtId="0" fontId="63" fillId="0" borderId="0"/>
    <xf numFmtId="44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183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64" fillId="0" borderId="40" applyNumberFormat="0" applyFill="0" applyAlignment="0" applyProtection="0">
      <alignment vertical="center"/>
    </xf>
    <xf numFmtId="0" fontId="22" fillId="0" borderId="39" applyNumberFormat="0" applyFill="0" applyAlignment="0" applyProtection="0">
      <alignment vertical="center"/>
    </xf>
    <xf numFmtId="0" fontId="64" fillId="0" borderId="40" applyNumberFormat="0" applyFill="0" applyAlignment="0" applyProtection="0">
      <alignment vertical="center"/>
    </xf>
    <xf numFmtId="0" fontId="22" fillId="0" borderId="39" applyNumberFormat="0" applyFill="0" applyAlignment="0" applyProtection="0">
      <alignment vertical="center"/>
    </xf>
    <xf numFmtId="0" fontId="9" fillId="7" borderId="4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65" fillId="0" borderId="0"/>
    <xf numFmtId="0" fontId="8" fillId="0" borderId="0"/>
    <xf numFmtId="0" fontId="66" fillId="0" borderId="43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66" fillId="0" borderId="43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67" fillId="0" borderId="45" applyNumberFormat="0" applyFill="0" applyAlignment="0" applyProtection="0">
      <alignment vertical="center"/>
    </xf>
    <xf numFmtId="0" fontId="26" fillId="0" borderId="44" applyNumberFormat="0" applyFill="0" applyAlignment="0" applyProtection="0">
      <alignment vertical="center"/>
    </xf>
    <xf numFmtId="0" fontId="67" fillId="0" borderId="45" applyNumberFormat="0" applyFill="0" applyAlignment="0" applyProtection="0">
      <alignment vertical="center"/>
    </xf>
    <xf numFmtId="0" fontId="26" fillId="0" borderId="44" applyNumberFormat="0" applyFill="0" applyAlignment="0" applyProtection="0">
      <alignment vertical="center"/>
    </xf>
    <xf numFmtId="0" fontId="68" fillId="0" borderId="47" applyNumberFormat="0" applyFill="0" applyAlignment="0" applyProtection="0">
      <alignment vertical="center"/>
    </xf>
    <xf numFmtId="0" fontId="27" fillId="0" borderId="46" applyNumberFormat="0" applyFill="0" applyAlignment="0" applyProtection="0">
      <alignment vertical="center"/>
    </xf>
    <xf numFmtId="0" fontId="68" fillId="0" borderId="47" applyNumberFormat="0" applyFill="0" applyAlignment="0" applyProtection="0">
      <alignment vertical="center"/>
    </xf>
    <xf numFmtId="0" fontId="27" fillId="0" borderId="46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0" borderId="0"/>
    <xf numFmtId="39" fontId="70" fillId="0" borderId="5">
      <alignment horizontal="right"/>
    </xf>
    <xf numFmtId="0" fontId="28" fillId="9" borderId="38" applyNumberFormat="0" applyAlignment="0" applyProtection="0">
      <alignment vertical="center"/>
    </xf>
    <xf numFmtId="0" fontId="28" fillId="12" borderId="38" applyNumberFormat="0" applyAlignment="0" applyProtection="0">
      <alignment vertical="center"/>
    </xf>
    <xf numFmtId="0" fontId="28" fillId="9" borderId="38" applyNumberFormat="0" applyAlignment="0" applyProtection="0">
      <alignment vertical="center"/>
    </xf>
    <xf numFmtId="0" fontId="28" fillId="12" borderId="38" applyNumberFormat="0" applyAlignment="0" applyProtection="0">
      <alignment vertical="center"/>
    </xf>
    <xf numFmtId="0" fontId="29" fillId="26" borderId="48" applyNumberFormat="0" applyAlignment="0" applyProtection="0">
      <alignment vertical="center"/>
    </xf>
    <xf numFmtId="0" fontId="29" fillId="25" borderId="48" applyNumberFormat="0" applyAlignment="0" applyProtection="0">
      <alignment vertical="center"/>
    </xf>
    <xf numFmtId="0" fontId="29" fillId="26" borderId="48" applyNumberFormat="0" applyAlignment="0" applyProtection="0">
      <alignment vertical="center"/>
    </xf>
    <xf numFmtId="0" fontId="29" fillId="25" borderId="4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30" fillId="32" borderId="49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72" fillId="0" borderId="0" applyFont="0" applyFill="0" applyBorder="0" applyAlignment="0" applyProtection="0">
      <alignment vertical="center"/>
    </xf>
    <xf numFmtId="0" fontId="10" fillId="0" borderId="0"/>
  </cellStyleXfs>
  <cellXfs count="102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0" fontId="3" fillId="0" borderId="0" xfId="0" applyNumberFormat="1" applyFont="1" applyAlignment="1">
      <alignment vertical="center"/>
    </xf>
    <xf numFmtId="10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77" fontId="4" fillId="0" borderId="24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0" fontId="3" fillId="0" borderId="0" xfId="728" applyNumberFormat="1" applyFont="1" applyAlignment="1">
      <alignment horizontal="center" vertical="center"/>
    </xf>
    <xf numFmtId="10" fontId="3" fillId="0" borderId="0" xfId="728" applyNumberFormat="1" applyFont="1" applyAlignment="1">
      <alignment vertical="center"/>
    </xf>
    <xf numFmtId="185" fontId="4" fillId="33" borderId="2" xfId="356" applyNumberFormat="1" applyFont="1" applyFill="1" applyBorder="1" applyAlignment="1">
      <alignment horizontal="center" vertical="center"/>
    </xf>
    <xf numFmtId="186" fontId="73" fillId="0" borderId="2" xfId="729" applyNumberFormat="1" applyFont="1" applyBorder="1" applyAlignment="1">
      <alignment horizontal="center" vertical="center"/>
    </xf>
    <xf numFmtId="187" fontId="73" fillId="0" borderId="2" xfId="729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34" borderId="0" xfId="0" applyFont="1" applyFill="1" applyAlignment="1">
      <alignment horizontal="right" vertical="center"/>
    </xf>
    <xf numFmtId="0" fontId="3" fillId="0" borderId="0" xfId="728" applyNumberFormat="1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2" fontId="3" fillId="0" borderId="7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185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185" fontId="3" fillId="0" borderId="9" xfId="0" applyNumberFormat="1" applyFont="1" applyBorder="1" applyAlignment="1">
      <alignment horizontal="center" vertical="center"/>
    </xf>
    <xf numFmtId="10" fontId="3" fillId="0" borderId="7" xfId="0" applyNumberFormat="1" applyFont="1" applyBorder="1" applyAlignment="1">
      <alignment horizontal="center" vertical="center"/>
    </xf>
    <xf numFmtId="10" fontId="3" fillId="0" borderId="8" xfId="0" applyNumberFormat="1" applyFont="1" applyBorder="1" applyAlignment="1">
      <alignment horizontal="center" vertical="center"/>
    </xf>
    <xf numFmtId="10" fontId="3" fillId="0" borderId="9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left" vertical="center"/>
    </xf>
    <xf numFmtId="0" fontId="3" fillId="0" borderId="50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5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5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52" xfId="0" applyFont="1" applyBorder="1" applyAlignment="1">
      <alignment horizontal="left" vertical="top"/>
    </xf>
    <xf numFmtId="0" fontId="6" fillId="0" borderId="52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</cellXfs>
  <cellStyles count="730">
    <cellStyle name="_x000a_386grabber=s" xfId="3" xr:uid="{E6C76019-D09A-42F3-A956-75D5892FB340}"/>
    <cellStyle name="_1000425-定案預算" xfId="4" xr:uid="{31EF7369-CAB6-49D3-ABB5-4F4CE2792C30}"/>
    <cellStyle name="_1000515-鹿中活動中心定案預算" xfId="5" xr:uid="{BE37CF3E-0A01-467B-A94C-E62EE5FFB979}"/>
    <cellStyle name="_1000621-和美國小體育館地板-預算書" xfId="6" xr:uid="{379D8CD4-A50A-47C0-904B-0F10EAD94597}"/>
    <cellStyle name="_1000803第一次變更設計(正確板-2元修正1)" xfId="7" xr:uid="{3DD12156-FD37-4FB3-9816-C0BD0DD8B331}"/>
    <cellStyle name="_1000820--泳池鋼構屋頂預算" xfId="8" xr:uid="{8B7C60AB-B1E4-4CFC-A764-ECCE493E8A87}"/>
    <cellStyle name="_1000902預算" xfId="9" xr:uid="{8E11A1FA-8543-449E-AC66-28169C192DCC}"/>
    <cellStyle name="_1001001-擋球網預算" xfId="10" xr:uid="{125ECE54-66A9-44F7-BBA0-0410B312E025}"/>
    <cellStyle name="_1001212預算" xfId="11" xr:uid="{EFE3FCE3-17E0-40A8-9E96-BE1F258524BB}"/>
    <cellStyle name="_100年桌球場地廁所整修工程(預算)" xfId="12" xr:uid="{EA171D4C-FA80-463F-A254-D8CE17E0BDC3}"/>
    <cellStyle name="_1010619-五光國小" xfId="13" xr:uid="{0158C825-82ED-4F03-940E-DF3F3A7E6923}"/>
    <cellStyle name="_1010623-五光國小" xfId="14" xr:uid="{C97A01DE-B929-4B91-B14A-3CF3A171BBD8}"/>
    <cellStyle name="_1010720預算" xfId="15" xr:uid="{2CC755AE-C6ED-48DF-B73B-25494DE7A9D4}"/>
    <cellStyle name="_1020808-1-跑道概算" xfId="16" xr:uid="{D45281FE-E501-4E2B-BF58-CE9DDE489750}"/>
    <cellStyle name="_1021022-線西跑道" xfId="17" xr:uid="{01B5057D-CCCD-4564-B1D1-BADA6FC8F3A5}"/>
    <cellStyle name="_970129田徑跑道及周邊環境預算(二次發包金額)-1" xfId="18" xr:uid="{F58299B3-5967-45FC-9B61-7E6A9F08F6A7}"/>
    <cellStyle name="_970421規劃預算-修正" xfId="19" xr:uid="{342E1194-082F-4979-A6CE-516FB4F30FDD}"/>
    <cellStyle name="_970521內部預算" xfId="20" xr:uid="{881B05BE-5D5C-4E0F-9B8E-5867962154F9}"/>
    <cellStyle name="_970811知行樓門窗更新工程預算+" xfId="21" xr:uid="{C128D159-8ED7-4530-BAE9-F75CFF6EF20D}"/>
    <cellStyle name="_970912植櫻計畫" xfId="22" xr:uid="{0B998CB9-82B8-4D0C-AF75-3E2919A2B25A}"/>
    <cellStyle name="_970930形象商圈預算" xfId="23" xr:uid="{7465B944-676F-43A8-8A1D-DDA5ABDF2F54}"/>
    <cellStyle name="_971007平林預算" xfId="24" xr:uid="{09B3B4CC-9C66-4500-8D3A-AD05A41DEF23}"/>
    <cellStyle name="_97年改善校園無障礙環境工程－無障礙樓梯" xfId="25" xr:uid="{E894ECC9-7BD3-4148-BD94-6B7D2213CA27}"/>
    <cellStyle name="_980602圖書館預算" xfId="26" xr:uid="{49648232-DF24-4E98-AA5B-AE8400D299D6}"/>
    <cellStyle name="_98年改善校園無障礙環境計畫(經費概算)" xfId="27" xr:uid="{5F97C3B4-8710-478D-AE48-15FCB9A607DB}"/>
    <cellStyle name="_991210預算" xfId="28" xr:uid="{5304A278-66EF-4CEA-84EA-8A95F475BD0F}"/>
    <cellStyle name="_Book2" xfId="29" xr:uid="{B2346E05-E38C-47A0-8337-CB2D15838B29}"/>
    <cellStyle name="_台南市立醫院-工程估價單" xfId="30" xr:uid="{D79A1A5E-9D91-492B-996A-4B0BFE856148}"/>
    <cellStyle name="_伸港國民中學零星整修工程-預算" xfId="31" xr:uid="{77562433-ED87-418C-A1D4-A55CAC8005C3}"/>
    <cellStyle name="_和仁風雨操場競圖概算" xfId="32" xr:uid="{555EF8F3-97A0-40E2-9EE1-D229444FFF4D}"/>
    <cellStyle name="_和仁預算" xfId="33" xr:uid="{9C30B663-DCF5-4474-A1B6-8625A9CE5C69}"/>
    <cellStyle name="_和美國小行動不便者廁所預算" xfId="34" xr:uid="{85C33A06-C31E-4651-BC0C-32FCE80C6120}"/>
    <cellStyle name="_和美國小教室及走廊油漆-預算" xfId="35" xr:uid="{9FF4412B-8077-4C74-80A1-33608B6350AC}"/>
    <cellStyle name="_和美國中體育館整修(預算)" xfId="36" xr:uid="{76BA7784-7B70-4A52-94FB-D329652387B4}"/>
    <cellStyle name="_和美鎮公有零售市場建築風貌整修工程(預算)" xfId="37" xr:uid="{69A046B0-FE2A-4025-88BE-9FF98283EABD}"/>
    <cellStyle name="_美群國小預算" xfId="38" xr:uid="{3AB91B4E-81C1-4954-9A85-04F75F974CFE}"/>
    <cellStyle name="_神腦國際-成本(消防追加)1014" xfId="39" xr:uid="{FEFB1E00-D47D-42D6-9E2C-0CDE502AA1A9}"/>
    <cellStyle name="_神腦國際-成本1013" xfId="40" xr:uid="{5040D146-FA01-4AAD-A2B2-9EEE5254610C}"/>
    <cellStyle name="_宿舍閒置空間再利用工程預算-1" xfId="41" xr:uid="{93F19D20-DF8D-4681-BC45-9135C66637E4}"/>
    <cellStyle name="_單價分析" xfId="42" xr:uid="{35A21A91-F31A-40E9-B914-F22E2C2C7A4C}"/>
    <cellStyle name="_單價分析 2" xfId="43" xr:uid="{90CC266F-57E8-40F5-BF83-2E5EA061B4FC}"/>
    <cellStyle name="_單價分析 3" xfId="44" xr:uid="{5016176C-2B03-4A31-A1ED-49D7989F08FE}"/>
    <cellStyle name="_單價分析 4" xfId="45" xr:uid="{3C5D27BB-4443-4245-A777-A7733EC18614}"/>
    <cellStyle name="_單價分析_1021005-競圖預算" xfId="46" xr:uid="{0C883BA0-6530-497B-8152-9E0AA5A45E59}"/>
    <cellStyle name="_單價分析_單價分析" xfId="47" xr:uid="{B09B9741-91D4-46A7-ADAD-8F71835935F2}"/>
    <cellStyle name="_單價分析_預算書" xfId="48" xr:uid="{8483E474-685B-46DC-913F-B4F9CCB0807C}"/>
    <cellStyle name="_單價分析_預算書 " xfId="49" xr:uid="{45B69F8E-B2B2-4B90-AD7E-A701959AF5C1}"/>
    <cellStyle name="_單價分析表" xfId="50" xr:uid="{1F87BD27-9EC4-4AE6-85DE-92EBBBECFE8C}"/>
    <cellStyle name="_圍牆塌陷及週邊修復工程2" xfId="51" xr:uid="{51243E58-6126-45D3-A0FE-98348E4ED190}"/>
    <cellStyle name="_運動場跑道整建工程(預算書)C970104_ap_bdgt" xfId="52" xr:uid="{45295636-7E32-4BC6-9D89-D593A4DFAC16}"/>
    <cellStyle name="_預算" xfId="53" xr:uid="{BA083F9A-08C6-4897-822C-EC554C93DA89}"/>
    <cellStyle name="_預算 (2)" xfId="54" xr:uid="{F67A0225-B2CE-443F-A271-F832A12AB299}"/>
    <cellStyle name="_預算 2" xfId="55" xr:uid="{84F1EDD7-DAC7-40BA-B0F9-2878909CD07B}"/>
    <cellStyle name="_預算 2 2" xfId="56" xr:uid="{9C75EC85-AD68-48D8-B99D-63DB887C42EE}"/>
    <cellStyle name="_預算 3" xfId="57" xr:uid="{42B2E67D-90FD-43B8-B1E7-592842A17541}"/>
    <cellStyle name="_預算 4" xfId="58" xr:uid="{01D50DB0-51D2-4EBA-9F71-42A7738BE4C7}"/>
    <cellStyle name="_預算 5" xfId="59" xr:uid="{281A5D99-8D1C-4BAB-BB93-2A87316A2BC6}"/>
    <cellStyle name="_預算 6" xfId="60" xr:uid="{316D694A-3C7B-475C-B3F6-B82F600CBF1E}"/>
    <cellStyle name="_預算 7" xfId="61" xr:uid="{8A157194-90F1-4E01-87E2-5BD4BAA4EF1F}"/>
    <cellStyle name="_預算 8" xfId="62" xr:uid="{F6D032EA-6B08-49F3-B5C5-222D5270C4AF}"/>
    <cellStyle name="_預算 9" xfId="63" xr:uid="{C227CE23-DB70-480E-BF76-C1D815349D79}"/>
    <cellStyle name="_預算_1031124-北斗家商跑道預算" xfId="64" xr:uid="{E79825AD-25E3-4FC8-BF68-4C3B11D49629}"/>
    <cellStyle name="_預算_競圖概算" xfId="65" xr:uid="{4563D3B4-114B-4D74-9CFA-4C8D4F314B4C}"/>
    <cellStyle name="_預算0" xfId="66" xr:uid="{E9F02433-F22E-46B5-A2BF-EA0C3268D8DA}"/>
    <cellStyle name="_預算書" xfId="67" xr:uid="{8A29B9B8-0004-4534-BC9E-FA47E9EC93E8}"/>
    <cellStyle name="_預算書_1" xfId="68" xr:uid="{1ADE04FD-F073-4C06-8635-2A63BB1E547A}"/>
    <cellStyle name="_彰師大預算書961226" xfId="69" xr:uid="{ED8236F1-30EF-43EB-B906-BC6094EEBA8C}"/>
    <cellStyle name="_禮堂(體育館)整修(預算)-420" xfId="70" xr:uid="{EBDCE957-D8A8-4854-8FEE-17FE7F1CF1A6}"/>
    <cellStyle name="_競圖預算" xfId="71" xr:uid="{D75BCAA5-6B94-42D8-916A-DEC71FB18C31}"/>
    <cellStyle name="0,0_x000d__x000a_NA_x000d__x000a_" xfId="72" xr:uid="{1CB5B807-A9D1-4160-BCD0-0FFB755B6AA4}"/>
    <cellStyle name="0,0_x000d__x000a_NA_x000d__x000a_ 2" xfId="73" xr:uid="{E6D598F6-EC6C-4087-927D-4C161E8E1F18}"/>
    <cellStyle name="0,0_x000d__x000a_NA_x000d__x000a_ 2 2" xfId="74" xr:uid="{7C16270D-6995-485B-8A52-712EF5092DD5}"/>
    <cellStyle name="0,0_x000d__x000a_NA_x000d__x000a__980813-笠豐食品" xfId="75" xr:uid="{90F82488-B494-4C83-A7A7-6B6BCFCD534F}"/>
    <cellStyle name="120948713" xfId="76" xr:uid="{2FD4B772-B94E-49F5-8AB3-802833771DE5}"/>
    <cellStyle name="20% - 輔色1 2" xfId="77" xr:uid="{C690FEFF-878C-492E-8704-D48AA1F91384}"/>
    <cellStyle name="20% - 輔色1 2 2" xfId="78" xr:uid="{DC879C5C-6847-4330-BA8C-F636574C0ECF}"/>
    <cellStyle name="20% - 輔色1 2 3" xfId="79" xr:uid="{0D64D3C0-92E0-4BB0-AA1D-ED568AFD7889}"/>
    <cellStyle name="20% - 輔色1 3" xfId="80" xr:uid="{05BB7DAC-FE49-42EE-BFF5-853C5EA2360D}"/>
    <cellStyle name="20% - 輔色1 4" xfId="81" xr:uid="{DA802A0D-F30F-4B90-8D40-33A6117AF5C7}"/>
    <cellStyle name="20% - 輔色2 2" xfId="82" xr:uid="{9BFEF29B-9862-4B80-8151-962883D60B08}"/>
    <cellStyle name="20% - 輔色2 2 2" xfId="83" xr:uid="{A9ACA115-4B62-43CA-B519-33B2FAF8A36C}"/>
    <cellStyle name="20% - 輔色2 2 3" xfId="84" xr:uid="{06A2892E-89CF-4D4A-8CDE-53800F5319F8}"/>
    <cellStyle name="20% - 輔色2 3" xfId="85" xr:uid="{DE5A9ED1-FAAE-4A7F-B367-6A8444DFED9D}"/>
    <cellStyle name="20% - 輔色2 4" xfId="86" xr:uid="{F5E679A7-0E02-4BC8-9BAD-FA37AF65D734}"/>
    <cellStyle name="20% - 輔色3 2" xfId="87" xr:uid="{C7CB5F57-F174-4142-A752-BA272E14787A}"/>
    <cellStyle name="20% - 輔色3 2 2" xfId="88" xr:uid="{509297FC-98CF-4899-B4CA-B6255EF189D0}"/>
    <cellStyle name="20% - 輔色3 2 3" xfId="89" xr:uid="{E5929E00-EFE4-43D7-89E9-210E3CAA8D52}"/>
    <cellStyle name="20% - 輔色3 3" xfId="90" xr:uid="{1A64FE85-6F40-402B-8402-EFC36C698487}"/>
    <cellStyle name="20% - 輔色3 4" xfId="91" xr:uid="{90E4ADC5-FD81-4FBC-BA6E-626FAB6DD4DE}"/>
    <cellStyle name="20% - 輔色4 2" xfId="92" xr:uid="{83390466-1C56-430A-A8C9-B68E5F17F218}"/>
    <cellStyle name="20% - 輔色4 2 2" xfId="93" xr:uid="{A65C7200-6931-448B-A44A-71E7A9512732}"/>
    <cellStyle name="20% - 輔色4 2 3" xfId="94" xr:uid="{7AF63920-EAB5-4AF8-B6A4-6DB8255F2564}"/>
    <cellStyle name="20% - 輔色4 3" xfId="95" xr:uid="{8E8E3509-D2F1-49F6-857F-27F3F56965A4}"/>
    <cellStyle name="20% - 輔色4 4" xfId="96" xr:uid="{BA68A571-9B86-4010-B323-AAA5F45730B1}"/>
    <cellStyle name="20% - 輔色5 2" xfId="97" xr:uid="{4F46D2CA-4A04-4DAB-99BD-EB2ACC2F720A}"/>
    <cellStyle name="20% - 輔色5 3" xfId="98" xr:uid="{7CF74A9D-3157-4EA1-A95E-0C995B81AE5A}"/>
    <cellStyle name="20% - 輔色6 2" xfId="99" xr:uid="{162ECA0E-15F6-41BB-B459-AB6187394B7C}"/>
    <cellStyle name="20% - 輔色6 2 2" xfId="100" xr:uid="{D2FF397D-396C-43BD-82E1-E27FB53522CF}"/>
    <cellStyle name="20% - 輔色6 2 3" xfId="101" xr:uid="{7F751195-6BB5-4DF5-93AE-426AB7C3AB1A}"/>
    <cellStyle name="20% - 輔色6 3" xfId="102" xr:uid="{1CAE7FA0-B13A-446B-BC1D-1228B8BFA1A9}"/>
    <cellStyle name="20% - 輔色6 4" xfId="103" xr:uid="{DF4906DB-D051-4349-A981-F197403E92DF}"/>
    <cellStyle name="40% - 輔色1 2" xfId="104" xr:uid="{2D6E91AD-C41C-41BE-BD0C-7B7087111F1D}"/>
    <cellStyle name="40% - 輔色1 2 2" xfId="105" xr:uid="{79F18745-A9A3-40F1-87F6-9E56241E876B}"/>
    <cellStyle name="40% - 輔色1 2 3" xfId="106" xr:uid="{55C7AFAD-E121-4557-913B-10346EA2E581}"/>
    <cellStyle name="40% - 輔色1 3" xfId="107" xr:uid="{1B3A6430-9ABA-4A66-AB2F-CEE6138D8A14}"/>
    <cellStyle name="40% - 輔色1 4" xfId="108" xr:uid="{3B146B48-3BFF-4083-AA6B-DCCD3F1B94EE}"/>
    <cellStyle name="40% - 輔色2 2" xfId="109" xr:uid="{C5F8A2C5-0D66-4A7F-A7AA-9D81650AE0D4}"/>
    <cellStyle name="40% - 輔色2 3" xfId="110" xr:uid="{801A03E8-AD64-4A57-A564-FD2ADC648B1C}"/>
    <cellStyle name="40% - 輔色3 2" xfId="111" xr:uid="{79FFECFC-682B-48ED-A08A-7DACF1E57A80}"/>
    <cellStyle name="40% - 輔色3 2 2" xfId="112" xr:uid="{7500F636-56D0-4167-B902-31786C54C6E1}"/>
    <cellStyle name="40% - 輔色3 2 3" xfId="113" xr:uid="{69804DA5-6F1B-4C66-87AF-19056D37E509}"/>
    <cellStyle name="40% - 輔色3 3" xfId="114" xr:uid="{5AC55706-6FCC-4E51-AF45-8FAE375C2C89}"/>
    <cellStyle name="40% - 輔色3 4" xfId="115" xr:uid="{0D425487-F92A-469C-874A-180CA39D5D9A}"/>
    <cellStyle name="40% - 輔色4 2" xfId="116" xr:uid="{8C5601FC-3725-4343-9F07-65B1C5D53CCB}"/>
    <cellStyle name="40% - 輔色4 2 2" xfId="117" xr:uid="{59380350-6C06-4F31-A69C-97A9B6655126}"/>
    <cellStyle name="40% - 輔色4 2 3" xfId="118" xr:uid="{5B2C4A01-54DE-4B82-B71E-75CF6CFCA109}"/>
    <cellStyle name="40% - 輔色4 3" xfId="119" xr:uid="{881AB324-03C3-47BD-A469-8C90136FCDBF}"/>
    <cellStyle name="40% - 輔色4 4" xfId="120" xr:uid="{F1332FD6-353E-4DF5-9DDD-48EBEE6546F6}"/>
    <cellStyle name="40% - 輔色5 2" xfId="121" xr:uid="{81A87793-BEB1-4D88-9A3E-0263014EF958}"/>
    <cellStyle name="40% - 輔色5 2 2" xfId="122" xr:uid="{582C8752-10D5-490A-8C18-ED35188964AB}"/>
    <cellStyle name="40% - 輔色5 2 3" xfId="123" xr:uid="{B5A2FD2E-E69C-4D12-911C-A4A3A0AB4669}"/>
    <cellStyle name="40% - 輔色5 3" xfId="124" xr:uid="{1C9F1CEE-A214-4B72-9F9F-252BC9401BCB}"/>
    <cellStyle name="40% - 輔色5 4" xfId="125" xr:uid="{A7562DD5-55EA-4B60-ADA6-B2D442503C55}"/>
    <cellStyle name="40% - 輔色6 2" xfId="126" xr:uid="{682E4BD8-D542-481A-ABEA-DA4FB6BF3B35}"/>
    <cellStyle name="40% - 輔色6 2 2" xfId="127" xr:uid="{1C9C7EA9-3238-4869-962E-6718F7969F27}"/>
    <cellStyle name="40% - 輔色6 2 3" xfId="128" xr:uid="{4A681FE7-B2B4-4A55-92A8-26054C4F216F}"/>
    <cellStyle name="40% - 輔色6 3" xfId="129" xr:uid="{907FC103-9001-44F6-AFE6-875FF3D69436}"/>
    <cellStyle name="40% - 輔色6 4" xfId="130" xr:uid="{9BF49F8F-5CD2-463A-9388-B3B026616B02}"/>
    <cellStyle name="60% - 輔色1 2" xfId="131" xr:uid="{2AC363AB-B5ED-4DD5-A6B0-5AD0C4DE2450}"/>
    <cellStyle name="60% - 輔色1 2 2" xfId="132" xr:uid="{C04F1A70-5E76-4018-9CE7-D049776C3492}"/>
    <cellStyle name="60% - 輔色1 2 3" xfId="133" xr:uid="{DF0A3C8A-5102-4457-9225-C7933AE8EA5A}"/>
    <cellStyle name="60% - 輔色1 3" xfId="134" xr:uid="{4A8FE4C8-ED0D-4837-858A-A5548848FB2E}"/>
    <cellStyle name="60% - 輔色2 2" xfId="135" xr:uid="{FB2FF42F-069F-4978-9837-FF3D590BFB65}"/>
    <cellStyle name="60% - 輔色2 2 2" xfId="136" xr:uid="{6B3483F8-8A5D-4851-9E5F-0600B931BC94}"/>
    <cellStyle name="60% - 輔色2 2 3" xfId="137" xr:uid="{40CC1D7C-8311-4923-A32E-184E07AC27C9}"/>
    <cellStyle name="60% - 輔色2 3" xfId="138" xr:uid="{E8A31478-28B3-49E7-B154-0980688A4382}"/>
    <cellStyle name="60% - 輔色3 2" xfId="139" xr:uid="{B75193DB-1952-487C-AAED-60EB36D2927B}"/>
    <cellStyle name="60% - 輔色3 2 2" xfId="140" xr:uid="{F12F891E-71C1-4590-A5C2-666517DFB980}"/>
    <cellStyle name="60% - 輔色3 2 3" xfId="141" xr:uid="{755CF1CB-1A31-4FC1-AE8F-68DB432DC057}"/>
    <cellStyle name="60% - 輔色3 3" xfId="142" xr:uid="{6AB27EF1-3E5A-4B33-A077-6A422DF76285}"/>
    <cellStyle name="60% - 輔色4 2" xfId="143" xr:uid="{DBCB98EE-5033-40A7-8289-D848A1FD3326}"/>
    <cellStyle name="60% - 輔色4 2 2" xfId="144" xr:uid="{8DCAF4C5-75F6-40BC-9591-7F81F2B1A7D5}"/>
    <cellStyle name="60% - 輔色4 2 3" xfId="145" xr:uid="{A8017D33-963E-4C91-BBDA-2F0ADCDDE3ED}"/>
    <cellStyle name="60% - 輔色4 3" xfId="146" xr:uid="{86462063-DF62-4434-AB32-CA87E22C8B2C}"/>
    <cellStyle name="60% - 輔色5 2" xfId="147" xr:uid="{C7B03CBD-8A9B-4439-9291-3D94D63B10DC}"/>
    <cellStyle name="60% - 輔色5 2 2" xfId="148" xr:uid="{EB6A527C-66EE-4D42-995E-CD99AD80845A}"/>
    <cellStyle name="60% - 輔色5 2 3" xfId="149" xr:uid="{7AFB8F48-33BB-4C75-8F8C-7CA9631E1987}"/>
    <cellStyle name="60% - 輔色5 3" xfId="150" xr:uid="{129F594D-8249-4DFD-B767-4CBB44E689EA}"/>
    <cellStyle name="60% - 輔色6 2" xfId="151" xr:uid="{344ABC90-6DB8-486F-B68F-D0B0DC9FA47D}"/>
    <cellStyle name="60% - 輔色6 2 2" xfId="152" xr:uid="{D6D5BB82-5DDF-40E5-8D62-BE78CC4CBF53}"/>
    <cellStyle name="60% - 輔色6 2 3" xfId="153" xr:uid="{E68C397E-93AF-4856-B63B-A10566A8FFE8}"/>
    <cellStyle name="60% - 輔色6 3" xfId="154" xr:uid="{9046AB7B-A68A-42B5-AB54-B67BC0F3EDE9}"/>
    <cellStyle name="aa" xfId="155" xr:uid="{0E23B9A3-340E-4198-8887-42495CDCF6AE}"/>
    <cellStyle name="BROAD SCOPE" xfId="156" xr:uid="{7A9CB309-F085-4807-8423-9770AA57C3DC}"/>
    <cellStyle name="BROAD_SCOPE" xfId="157" xr:uid="{6248CD29-4D82-4B46-B582-44946C75F689}"/>
    <cellStyle name="Calc Currency (0)" xfId="158" xr:uid="{312DFBC2-E248-4C3C-B990-2F67417104C9}"/>
    <cellStyle name="Calc Currency (2)" xfId="159" xr:uid="{3F08BF97-1FA4-483A-9EB8-E44AD876F940}"/>
    <cellStyle name="Calc Percent (0)" xfId="160" xr:uid="{68E1CDA9-77BC-4178-97D7-9033BB3FC556}"/>
    <cellStyle name="Calc Percent (1)" xfId="161" xr:uid="{A7D6FC86-CCD0-4CE8-A49A-565F51B67EA5}"/>
    <cellStyle name="Calc Percent (2)" xfId="162" xr:uid="{3F11F206-ED3C-4181-8B77-278366E8D7C2}"/>
    <cellStyle name="Calc Units (0)" xfId="163" xr:uid="{2ED71A78-4E62-40D7-BAD6-14EA39332A89}"/>
    <cellStyle name="Calc Units (1)" xfId="164" xr:uid="{A8CC75F2-C458-43CD-9955-6041811F2F4C}"/>
    <cellStyle name="Calc Units (2)" xfId="165" xr:uid="{9F670488-BB19-4B6D-B0D1-DE49184997FE}"/>
    <cellStyle name="Comma  - Style1" xfId="166" xr:uid="{38A14D76-4343-427D-9370-4490E83C334E}"/>
    <cellStyle name="Comma  - Style2" xfId="167" xr:uid="{C0AC297B-1E73-4B94-A29C-3C0836F25A94}"/>
    <cellStyle name="Comma  - Style3" xfId="168" xr:uid="{3D3C6EFB-B719-4BA7-85DD-8E8CB75F916F}"/>
    <cellStyle name="Comma  - Style4" xfId="169" xr:uid="{89D58EAC-A476-4CD4-93DF-36C1C6175B85}"/>
    <cellStyle name="Comma  - Style5" xfId="170" xr:uid="{F9B6ECBD-EED7-4DE5-8407-3C832483B371}"/>
    <cellStyle name="Comma  - Style6" xfId="171" xr:uid="{E9180A8C-F06D-436C-93C4-78154DD89F50}"/>
    <cellStyle name="Comma  - Style7" xfId="172" xr:uid="{18DE4EFF-4DB6-4518-9DB0-7A16F8CF4737}"/>
    <cellStyle name="Comma  - Style8" xfId="173" xr:uid="{D5539FD3-C90B-4CCF-8406-49485C767042}"/>
    <cellStyle name="Comma [0]_#6 Temps &amp; Contractors" xfId="174" xr:uid="{BF9B0370-ABED-4830-9542-939F96D5DA3B}"/>
    <cellStyle name="Comma [00]" xfId="175" xr:uid="{B8F2F1E4-CB22-4958-996D-20DC5106867B}"/>
    <cellStyle name="Comma(0)" xfId="176" xr:uid="{44C73122-3603-4341-BDC3-0FA96501C18E}"/>
    <cellStyle name="Comma(1)" xfId="177" xr:uid="{8365C5BB-EB8C-4E96-B898-567D5A2ABA6B}"/>
    <cellStyle name="Comma_#6 Temps &amp; Contractors" xfId="178" xr:uid="{CAE1C124-F4A4-40EF-9C70-FE5394CD8F7F}"/>
    <cellStyle name="Currency [0]_#6 Temps &amp; Contractors" xfId="179" xr:uid="{3D587EB2-FEB3-4475-97C2-D013E6E974B3}"/>
    <cellStyle name="Currency [00]" xfId="180" xr:uid="{D4821F82-4F38-48E4-AF02-92EEE15BE3BA}"/>
    <cellStyle name="Currency_#6 Temps &amp; Contractors" xfId="181" xr:uid="{3B2E715A-3A22-46A6-AFD1-E903CFD04850}"/>
    <cellStyle name="Date Short" xfId="182" xr:uid="{3D83A27F-FDCC-423B-97A0-CC86EFF47C7A}"/>
    <cellStyle name="DELTA" xfId="183" xr:uid="{DB15B35A-8CB8-4348-A47B-D295AD184B57}"/>
    <cellStyle name="eng" xfId="184" xr:uid="{C69DBD99-888D-491A-8C9B-41948AF158C5}"/>
    <cellStyle name="Enter Currency (0)" xfId="185" xr:uid="{9C4C57CF-EC18-4BB3-BCBF-F5EBECAAFB06}"/>
    <cellStyle name="Enter Currency (2)" xfId="186" xr:uid="{F38AEC00-001E-49BC-9400-D9ED63D99245}"/>
    <cellStyle name="Enter Units (0)" xfId="187" xr:uid="{15628D24-74D7-4BC3-966C-3762CEF2683C}"/>
    <cellStyle name="Enter Units (1)" xfId="188" xr:uid="{B47614C1-0D73-4DA1-9084-38CAA05AF077}"/>
    <cellStyle name="Enter Units (2)" xfId="189" xr:uid="{F9FE1DCD-2C0D-4449-A50A-64B953BBE2F0}"/>
    <cellStyle name="Followed Hyperlink_0331longsht" xfId="190" xr:uid="{BA2146E9-CD69-4697-AC98-0DE7A98D7E19}"/>
    <cellStyle name="Grey" xfId="191" xr:uid="{45586B16-952C-4558-A3E6-177ADC46AFBD}"/>
    <cellStyle name="Header1" xfId="192" xr:uid="{3096876F-72B6-450F-820C-4602F718F096}"/>
    <cellStyle name="Header2" xfId="193" xr:uid="{6047C935-2B22-4F2B-A3B7-932F97F504B7}"/>
    <cellStyle name="Hyperlink_0331ytd_cal" xfId="194" xr:uid="{0BFE61C9-67F4-4EDF-897F-058675915B6B}"/>
    <cellStyle name="Input [yellow]" xfId="195" xr:uid="{B469D0ED-4EFF-447C-A195-1F53935D8DA1}"/>
    <cellStyle name="Link Currency (0)" xfId="196" xr:uid="{DEB23F4D-A03F-47BC-8BFC-E237E9E12598}"/>
    <cellStyle name="Link Currency (2)" xfId="197" xr:uid="{61D04804-D5DC-4FDF-A08A-537F8198E8C4}"/>
    <cellStyle name="Link Units (0)" xfId="198" xr:uid="{BEB9FDA2-D91A-43EF-89B6-9E309E259418}"/>
    <cellStyle name="Link Units (1)" xfId="199" xr:uid="{E4980270-DCE1-4BDB-9556-AB0AB226EE8B}"/>
    <cellStyle name="Link Units (2)" xfId="200" xr:uid="{FCA6F75F-2476-4C20-B07D-77E5BE833A5D}"/>
    <cellStyle name="lu" xfId="201" xr:uid="{E4A681F4-C22C-415A-A460-FAE9D22152E9}"/>
    <cellStyle name="MEDIUM SCOPE" xfId="202" xr:uid="{038313CA-10ED-4EAA-9283-E417CDC78DBE}"/>
    <cellStyle name="name" xfId="203" xr:uid="{228659CE-9AD8-4C13-8EFB-FBB8C91AB175}"/>
    <cellStyle name="NARROW SCOPE" xfId="204" xr:uid="{D13029C0-7C84-4CA3-87E3-21B39D20778F}"/>
    <cellStyle name="no dec" xfId="205" xr:uid="{98189B56-BC21-4227-999D-D434E9582ED1}"/>
    <cellStyle name="Normal - Style1" xfId="206" xr:uid="{E0AFCC07-A6F6-4CF7-A1C3-CEEBF0DB3C22}"/>
    <cellStyle name="Normal_# 41-Market &amp;Trends" xfId="207" xr:uid="{258A3D29-19F0-4158-A289-EBA9AD818B07}"/>
    <cellStyle name="oft Excel]_x000d__x000a_Comment=The open=/f lines load custom functions into the Paste Function list._x000d__x000a_Maximized=3_x000d__x000a_AutoFormat=" xfId="208" xr:uid="{81488B96-E3EE-44D8-B84E-3BC2182B1D94}"/>
    <cellStyle name="oft Excel]_x000d__x000a_Comment=The open=/f lines load custom functions into the Paste Function list._x000d__x000a_Maximized=3_x000d__x000a_AutoFormat= 2" xfId="209" xr:uid="{4A5A3A6D-CB17-4B11-B35F-B08D98504203}"/>
    <cellStyle name="paint" xfId="210" xr:uid="{EB4E5F63-C4B8-4116-8ABC-0F246E3A04E3}"/>
    <cellStyle name="Percent [0]" xfId="211" xr:uid="{3EE10D16-33B4-4974-949B-F50D9750637A}"/>
    <cellStyle name="Percent [00]" xfId="212" xr:uid="{05DBAFAA-B813-4992-9E02-FC98AC048FEA}"/>
    <cellStyle name="Percent [2]" xfId="213" xr:uid="{58D8DD35-7807-4A1B-9131-1BA53D37BC4F}"/>
    <cellStyle name="Percent_#6 Temps &amp; Contractors" xfId="214" xr:uid="{6230ABB9-71FF-422A-8575-CB484790E6D5}"/>
    <cellStyle name="PrePop Currency (0)" xfId="215" xr:uid="{052C7E88-6790-4B80-BD83-E9CA9EE69BA2}"/>
    <cellStyle name="PrePop Currency (2)" xfId="216" xr:uid="{B9C14EBD-535C-428E-A927-04F140B53980}"/>
    <cellStyle name="PrePop Units (0)" xfId="217" xr:uid="{A73167DC-32B3-4365-84A4-3D42DEAD70FE}"/>
    <cellStyle name="PrePop Units (1)" xfId="218" xr:uid="{0B1B97F8-7B0D-43F4-970E-566F8C90119B}"/>
    <cellStyle name="PrePop Units (2)" xfId="219" xr:uid="{26868A00-1913-4F72-BE2C-BD9FF7D00AB8}"/>
    <cellStyle name="Rate_1" xfId="220" xr:uid="{3A5967D3-8B90-48D6-A7CD-393DAC8D32F9}"/>
    <cellStyle name="s]_x000d__x000a_spooler=no_x000d__x000a_load=C:\MEDIAPRO\vi_grm.exe C:\GNET31\NETMOUSE.EXE Essdaemn.exe_x000d__x000a_run=_x000d__x000a_Beep=yes_x000d__x000a_NullPort=None_x000d__x000a_BorderW" xfId="221" xr:uid="{1D2B7916-BCDF-4280-9A50-8F5D069B1D43}"/>
    <cellStyle name="Schedule" xfId="222" xr:uid="{4867DE3C-632D-4BB3-A745-868E9C00BC44}"/>
    <cellStyle name="Standard_Anpassen der Amortisation" xfId="223" xr:uid="{E4A60DCB-7051-47F2-932A-213E68061CF8}"/>
    <cellStyle name="t1" xfId="224" xr:uid="{2338F4F4-1F9B-442D-BAF3-D5EDD077C7FD}"/>
    <cellStyle name="Text Indent A" xfId="225" xr:uid="{88C8AF01-DBBB-435A-B546-DE3347C3CCD4}"/>
    <cellStyle name="Text Indent B" xfId="226" xr:uid="{AC8D4535-13D5-492F-ABC3-7A0B5141B5B1}"/>
    <cellStyle name="Text Indent C" xfId="227" xr:uid="{72390ADD-F7D2-4E69-94A7-21E3F06DED6F}"/>
    <cellStyle name="title" xfId="228" xr:uid="{B5BF90D6-8EAA-4D52-AD5E-A018AAE4DFA8}"/>
    <cellStyle name="Total" xfId="229" xr:uid="{9E47C4EF-D663-40F7-9B25-E64FBF66C75C}"/>
    <cellStyle name="Währung [0]_Compiling Utility Macros" xfId="230" xr:uid="{E03B8AE6-1877-4AFB-9D9A-6A30C3769709}"/>
    <cellStyle name="Währung_Compiling Utility Macros" xfId="231" xr:uid="{9AB8E75D-71FD-4AD7-9306-8D684BC371C4}"/>
    <cellStyle name="一舨_第59次會議表" xfId="232" xr:uid="{63FA4951-6D72-4F97-B536-4AEBBA8FFA95}"/>
    <cellStyle name="一般" xfId="0" builtinId="0"/>
    <cellStyle name="一般 10" xfId="233" xr:uid="{D21201A4-7BAE-4B8A-A085-4836F92A09F2}"/>
    <cellStyle name="一般 10 2" xfId="234" xr:uid="{AA7981D9-0C21-4D98-94A0-760750BEE791}"/>
    <cellStyle name="一般 10 3" xfId="235" xr:uid="{67A1A84B-D6F9-4B44-BD79-F89CB21B5B66}"/>
    <cellStyle name="一般 10 4" xfId="236" xr:uid="{A99E0C6E-0731-4EB9-9943-8738DBEAD9DD}"/>
    <cellStyle name="一般 10 5" xfId="237" xr:uid="{C3B6490F-CEA7-4EB5-8CB9-0A72AA6A78B8}"/>
    <cellStyle name="一般 11" xfId="238" xr:uid="{F5717815-D043-4400-B364-400038BF7EBF}"/>
    <cellStyle name="一般 11 2" xfId="239" xr:uid="{BDF60959-D661-4ABD-B617-27F2D6558D4A}"/>
    <cellStyle name="一般 11 3" xfId="240" xr:uid="{DC960354-57FD-404B-827D-85418CBAB013}"/>
    <cellStyle name="一般 11 4" xfId="241" xr:uid="{44B57372-A664-46B6-8107-678D3594906A}"/>
    <cellStyle name="一般 12" xfId="242" xr:uid="{F2B6CF98-616B-425A-9A41-AFE6DADB0C90}"/>
    <cellStyle name="一般 12 2" xfId="243" xr:uid="{915998F8-2AE2-475F-A7BD-9124AE468959}"/>
    <cellStyle name="一般 12 3" xfId="244" xr:uid="{FD90B9B7-B22B-4650-9065-6DA4AB13E631}"/>
    <cellStyle name="一般 13" xfId="245" xr:uid="{20BD81D9-8CD1-4C0C-BBC5-E181B5AFA045}"/>
    <cellStyle name="一般 13 2" xfId="246" xr:uid="{4EA70CE5-0CD0-4457-9463-7C232EDD09BE}"/>
    <cellStyle name="一般 13 3" xfId="247" xr:uid="{D596AFA4-9989-4C7A-8697-8F3B15139A2B}"/>
    <cellStyle name="一般 13 4" xfId="248" xr:uid="{BEF63D08-E254-44FF-B084-46911E641C83}"/>
    <cellStyle name="一般 14" xfId="249" xr:uid="{76BE3F66-90C6-45B0-B6F5-F3F4C449283C}"/>
    <cellStyle name="一般 14 2" xfId="250" xr:uid="{ABDF4DB8-D026-4036-B4B0-660985FD2844}"/>
    <cellStyle name="一般 14 3" xfId="251" xr:uid="{373E5C59-3827-4212-80ED-329543404CA9}"/>
    <cellStyle name="一般 15" xfId="252" xr:uid="{2B0D8125-953C-4454-B653-53A8990E48E3}"/>
    <cellStyle name="一般 15 2" xfId="253" xr:uid="{BAA8E949-4A08-4260-B0B4-3F6E6327656F}"/>
    <cellStyle name="一般 15 3" xfId="254" xr:uid="{11257E45-1E88-4E42-9EB2-8D2C00FB0942}"/>
    <cellStyle name="一般 16" xfId="255" xr:uid="{2611AB64-BECC-4746-A052-D55AF9453E29}"/>
    <cellStyle name="一般 16 2" xfId="256" xr:uid="{7015EC27-C3A7-474A-8D48-2CCA85F94029}"/>
    <cellStyle name="一般 16 3" xfId="257" xr:uid="{0199DB93-8767-4E5F-96E3-8D4E4834A5C6}"/>
    <cellStyle name="一般 17" xfId="258" xr:uid="{CE1C208A-D26A-4241-AE22-D94F610F1E70}"/>
    <cellStyle name="一般 18" xfId="2" xr:uid="{7D20BA69-9E28-4A39-ADAF-8BF0FE3440C7}"/>
    <cellStyle name="一般 18 2" xfId="259" xr:uid="{395DE68B-96A5-4AE9-827F-AE611852AD88}"/>
    <cellStyle name="一般 18 3" xfId="260" xr:uid="{B1732017-670D-4C40-87AF-CB089E9607B2}"/>
    <cellStyle name="一般 19 2" xfId="261" xr:uid="{ACE98F39-D643-41BD-A822-D599C0736F3D}"/>
    <cellStyle name="一般 19 3" xfId="262" xr:uid="{97D66EAE-1756-4648-AD59-0790D3883F10}"/>
    <cellStyle name="一般 2" xfId="1" xr:uid="{63575378-AF40-4B88-AF2A-461536251FD4}"/>
    <cellStyle name="一般 2 2" xfId="264" xr:uid="{832F8544-6270-4976-BE4B-0060786ED6E0}"/>
    <cellStyle name="一般 2 2 2" xfId="265" xr:uid="{C5150BE8-91A5-4E3C-999F-ECD70EA254C6}"/>
    <cellStyle name="一般 2 3" xfId="266" xr:uid="{ACF63E6C-7B3B-4972-8E78-2165DA72C0E4}"/>
    <cellStyle name="一般 2 3 2" xfId="267" xr:uid="{B3C1CC60-17AB-498D-9AFD-EA03C626D797}"/>
    <cellStyle name="一般 2 4" xfId="268" xr:uid="{0044B4B8-7A9A-47E9-9FCD-6F3C16B24173}"/>
    <cellStyle name="一般 2 5" xfId="269" xr:uid="{2458CA29-578C-4E15-83A4-51D3ECC78283}"/>
    <cellStyle name="一般 2 6" xfId="263" xr:uid="{FF417851-1CD7-4303-85E1-0F3B08A4B999}"/>
    <cellStyle name="一般 2_1000515-鹿中活動中心定案預算" xfId="270" xr:uid="{EE79F74D-D3E1-4613-9224-9D5C16D642D8}"/>
    <cellStyle name="一般 20 2" xfId="271" xr:uid="{FCD12AE2-5B5E-4A78-BBF5-3CD8B459B1DE}"/>
    <cellStyle name="一般 20 3" xfId="272" xr:uid="{4872DC46-7647-46E4-BA4B-EFA123594D78}"/>
    <cellStyle name="一般 21 2" xfId="273" xr:uid="{EC3F27B4-C1C7-48B8-B316-A0F6CA94F888}"/>
    <cellStyle name="一般 21 3" xfId="274" xr:uid="{534E385F-33E4-4A32-8430-4D408A9D8E23}"/>
    <cellStyle name="一般 22 2" xfId="275" xr:uid="{8B25291F-C1CF-4A0D-A7C6-92A57A0E1562}"/>
    <cellStyle name="一般 22 3" xfId="276" xr:uid="{B2B88C22-3B6E-4871-8F21-9053BA4E251E}"/>
    <cellStyle name="一般 29 2" xfId="277" xr:uid="{B8C14894-97D0-44BF-BB4A-1285EFD035A0}"/>
    <cellStyle name="一般 29 3" xfId="278" xr:uid="{37717642-BCC8-400A-A64A-AE7904E52A66}"/>
    <cellStyle name="一般 3" xfId="279" xr:uid="{5017D0F3-C99B-4D19-B1D0-089A5CF4DFB5}"/>
    <cellStyle name="一般 3 2" xfId="280" xr:uid="{4DFAC495-7616-4DB5-A8AE-CF21EAAF9C85}"/>
    <cellStyle name="一般 3 3" xfId="281" xr:uid="{158547AB-684B-4A6F-8969-D468363DBB39}"/>
    <cellStyle name="一般 3 4" xfId="282" xr:uid="{B1BD0183-34D4-4559-B4F2-DB6F8D7E90A6}"/>
    <cellStyle name="一般 3 5" xfId="283" xr:uid="{27ABE009-6439-4C7E-887A-12034D15141D}"/>
    <cellStyle name="一般 3_1030902-大同球場概算" xfId="284" xr:uid="{9ABFD842-5766-47B1-9C55-D7E6D9EDB099}"/>
    <cellStyle name="一般 30 2" xfId="285" xr:uid="{96C5DBF2-DD09-4481-8841-CDF7E5623537}"/>
    <cellStyle name="一般 30 3" xfId="286" xr:uid="{DB3D9C8C-F0FE-4942-BF44-A09B34A93B53}"/>
    <cellStyle name="一般 31 2" xfId="287" xr:uid="{70FA00F7-1706-49FD-811B-E70EBEB36756}"/>
    <cellStyle name="一般 31 3" xfId="288" xr:uid="{1768A3C7-0569-47EF-8250-9654DAD38448}"/>
    <cellStyle name="一般 32 2" xfId="289" xr:uid="{0DAC6B1E-BA00-4448-9906-6BAD0671F48D}"/>
    <cellStyle name="一般 32 3" xfId="290" xr:uid="{AA2BCB03-DB16-4766-9ED4-CFBFB395B25C}"/>
    <cellStyle name="一般 33 2" xfId="291" xr:uid="{E1415B68-81F5-4571-A03C-C454E8966331}"/>
    <cellStyle name="一般 33 3" xfId="292" xr:uid="{3466F89D-C902-41C5-9CDE-FA29B1E0D75E}"/>
    <cellStyle name="一般 34 2" xfId="293" xr:uid="{9942FB33-0368-47B6-BA70-3AB7D78F09D7}"/>
    <cellStyle name="一般 34 3" xfId="294" xr:uid="{8EF7E49C-5BB2-49C2-B537-C6011E00CAD3}"/>
    <cellStyle name="一般 35 2" xfId="295" xr:uid="{E3093EA4-55CA-4983-BAB5-F0FB8A00B961}"/>
    <cellStyle name="一般 35 3" xfId="296" xr:uid="{624A1B50-AD9F-42B5-9BE4-C6ABC0CB8E26}"/>
    <cellStyle name="一般 36 2" xfId="297" xr:uid="{8559DF6D-608F-46BC-9762-8F3CFD320B38}"/>
    <cellStyle name="一般 36 3" xfId="298" xr:uid="{222CF298-CA20-457F-B5B4-7EB02AB05ED6}"/>
    <cellStyle name="一般 37 2" xfId="299" xr:uid="{D62A77D8-8A5E-4C17-B092-9B69432AE314}"/>
    <cellStyle name="一般 37 3" xfId="300" xr:uid="{9CB703A1-A2B6-41B2-9C9D-A6CA13A434E3}"/>
    <cellStyle name="一般 38 2" xfId="301" xr:uid="{5EC0B064-C83F-43F0-9450-14E551787D23}"/>
    <cellStyle name="一般 38 3" xfId="302" xr:uid="{340DDB5A-1D1A-4E26-8EA0-78259C76EECE}"/>
    <cellStyle name="一般 39 2" xfId="303" xr:uid="{4CEF13B9-78E7-4447-9AB6-6322ABAFB4D9}"/>
    <cellStyle name="一般 39 3" xfId="304" xr:uid="{1D3FE1A6-316A-4762-BD9F-B3785435C0CC}"/>
    <cellStyle name="一般 4" xfId="305" xr:uid="{E897444E-25A9-4157-95DB-14DAC17E05EF}"/>
    <cellStyle name="一般 4 2" xfId="306" xr:uid="{7D2E9B36-1F17-4B1C-97DE-978FF12B7AD5}"/>
    <cellStyle name="一般 40 2" xfId="307" xr:uid="{7A5CBC31-02CB-4191-8961-2B22DE655C4A}"/>
    <cellStyle name="一般 40 3" xfId="308" xr:uid="{E7478555-3283-42AC-AF60-F6820D8444D9}"/>
    <cellStyle name="一般 41 2" xfId="309" xr:uid="{C20CAE1D-08B7-4CD9-A28B-85BDAB03714C}"/>
    <cellStyle name="一般 41 3" xfId="310" xr:uid="{75E440ED-A23D-4608-8A33-360B38A6E148}"/>
    <cellStyle name="一般 47 2" xfId="311" xr:uid="{3471A2C0-09FC-4226-B85C-5F0272EAD5E7}"/>
    <cellStyle name="一般 47 3" xfId="312" xr:uid="{5559B54B-1A40-4144-834D-1A43AC3D8F4D}"/>
    <cellStyle name="一般 48 2" xfId="313" xr:uid="{BC3A6A27-269F-462E-AD2F-9669748A569B}"/>
    <cellStyle name="一般 48 3" xfId="314" xr:uid="{1B346ACD-5A14-4FC4-8A1E-F2616788FD97}"/>
    <cellStyle name="一般 49 2" xfId="315" xr:uid="{0A5A51BA-F9A9-4A2C-89BF-822969918129}"/>
    <cellStyle name="一般 49 3" xfId="316" xr:uid="{10ECDEE8-96F9-4189-8769-ED4224AB99BE}"/>
    <cellStyle name="一般 5" xfId="317" xr:uid="{EA3882B7-7D76-44B2-8965-1F60D7CBF8A4}"/>
    <cellStyle name="一般 5 2" xfId="318" xr:uid="{0F674C9D-D466-402E-B34F-4D97BD7AB29C}"/>
    <cellStyle name="一般 5 2 2" xfId="319" xr:uid="{6723C0F0-69F0-4E07-8E8A-E9F61A02C366}"/>
    <cellStyle name="一般 5 3" xfId="320" xr:uid="{D233DEC7-7995-4EB5-B2D2-2D4E32087176}"/>
    <cellStyle name="一般 50 2" xfId="321" xr:uid="{B55AF92F-35BF-4F38-95C5-77312C4D2459}"/>
    <cellStyle name="一般 50 3" xfId="322" xr:uid="{F15CC926-0A9A-4CAA-83F3-5E987AAA290E}"/>
    <cellStyle name="一般 51 2" xfId="323" xr:uid="{9AAD1977-D702-494A-ADE0-C451FD8E3D52}"/>
    <cellStyle name="一般 51 3" xfId="324" xr:uid="{058885DD-2E4C-4790-AC46-76CD36480514}"/>
    <cellStyle name="一般 52 2" xfId="325" xr:uid="{925E5F53-3022-4F79-9638-7BF1D2C32AEC}"/>
    <cellStyle name="一般 52 3" xfId="326" xr:uid="{F2D675B4-8559-409A-90F6-84CBA35DAA2F}"/>
    <cellStyle name="一般 53 2" xfId="327" xr:uid="{A4D40BB1-3DB2-4767-A1B7-B5B9F406EFD1}"/>
    <cellStyle name="一般 53 3" xfId="328" xr:uid="{65FA78E6-2DC2-4F59-911D-36E5C8B2F1A0}"/>
    <cellStyle name="一般 54 2" xfId="329" xr:uid="{81795D6E-CA1E-4890-A18B-671516A8F283}"/>
    <cellStyle name="一般 54 3" xfId="330" xr:uid="{8CF1ADBF-7226-404C-9C97-CDD83809F8AC}"/>
    <cellStyle name="一般 55 2" xfId="331" xr:uid="{E10C5E9B-CC7A-4BC2-B790-538A0A750051}"/>
    <cellStyle name="一般 55 3" xfId="332" xr:uid="{DC3D6ED1-0154-4A80-A20F-8AF1696FD3D7}"/>
    <cellStyle name="一般 56 2" xfId="333" xr:uid="{F9B1D898-53BC-4C28-8332-5350A92CD717}"/>
    <cellStyle name="一般 56 3" xfId="334" xr:uid="{E1094D55-3F26-447C-B539-0E59AC51C21D}"/>
    <cellStyle name="一般 57" xfId="335" xr:uid="{59486998-6E18-4956-BE1D-331C91815989}"/>
    <cellStyle name="一般 6" xfId="336" xr:uid="{AAEC1DA5-B4A2-4C43-9173-2440F00E179F}"/>
    <cellStyle name="一般 7" xfId="337" xr:uid="{67EDF296-CE50-49C7-AE80-5757465304CE}"/>
    <cellStyle name="一般 7 2" xfId="338" xr:uid="{BF8EED30-62E7-4561-8862-3A825F2BB593}"/>
    <cellStyle name="一般 7 3" xfId="339" xr:uid="{DCF677AB-4E67-48AF-899C-03A1C1813F96}"/>
    <cellStyle name="一般 7 4" xfId="340" xr:uid="{A67D51AD-B917-4E3E-915B-9E9BD68D6886}"/>
    <cellStyle name="一般 7 4 2" xfId="341" xr:uid="{F4F93AEE-0D5A-4799-9CC6-98A2345AB106}"/>
    <cellStyle name="一般 7 5" xfId="342" xr:uid="{5F647268-D073-4635-B348-CF7BD43D86C0}"/>
    <cellStyle name="一般 8" xfId="343" xr:uid="{7BC7A25F-2EEE-4EA7-909F-0DAC2A434710}"/>
    <cellStyle name="一般 8 2" xfId="344" xr:uid="{FAB2AEDA-4FB4-478C-8EFB-A4D117883A58}"/>
    <cellStyle name="一般 8 3" xfId="345" xr:uid="{655258D8-9CE0-4EEF-9E7A-15C6EF381E80}"/>
    <cellStyle name="一般 8 4" xfId="346" xr:uid="{FB657985-A1C6-413D-BBC7-6F9266164755}"/>
    <cellStyle name="一般 8 5" xfId="347" xr:uid="{A8113649-DE6C-401F-8DD0-A887AA405B16}"/>
    <cellStyle name="一般 83" xfId="348" xr:uid="{36D25679-6E1E-40E1-A9FC-003FD2B0AC5D}"/>
    <cellStyle name="一般 9" xfId="349" xr:uid="{8F3B8A5C-6A9C-4ACA-BA30-FC7E5D75F1BC}"/>
    <cellStyle name="一般 9 2" xfId="350" xr:uid="{A2832FD2-CBB1-45BA-8571-5162596D6CA3}"/>
    <cellStyle name="一般 9 3" xfId="351" xr:uid="{4FC3118A-BD89-4ACC-8EBF-6FF286AE98DC}"/>
    <cellStyle name="一般 9 4" xfId="352" xr:uid="{FC984A60-1799-4EAF-8F24-38E60FBE5F54}"/>
    <cellStyle name="一般_預算書-1" xfId="729" xr:uid="{8689E919-2416-4154-B2E6-C5D35E6201A4}"/>
    <cellStyle name="一般2" xfId="353" xr:uid="{49172F6C-5A29-4A02-B933-7B1759411116}"/>
    <cellStyle name="人工挖方" xfId="354" xr:uid="{AA4B16B9-1F21-414D-855F-0BA60581321F}"/>
    <cellStyle name="千分位 10" xfId="356" xr:uid="{D66B8D53-2661-4264-AA45-FBC870E40A9B}"/>
    <cellStyle name="千分位 10 2" xfId="357" xr:uid="{1826BBBF-CC5C-4A91-99F3-3CF63255E2BC}"/>
    <cellStyle name="千分位 11" xfId="358" xr:uid="{D5BC9D38-0C33-405A-A2B5-4173A509C4D2}"/>
    <cellStyle name="千分位 11 2" xfId="359" xr:uid="{3A2DCFF2-F9BF-48CC-9CD7-1A1ED1353478}"/>
    <cellStyle name="千分位 11 2 2" xfId="360" xr:uid="{88154A1E-ECDC-4A38-B3F2-CFA24D983B17}"/>
    <cellStyle name="千分位 11 3" xfId="361" xr:uid="{1C89E0AB-D751-4EA2-A85D-2BDBAAD48CE7}"/>
    <cellStyle name="千分位 12" xfId="362" xr:uid="{27F1DC1B-B7B8-40B9-A39F-ACFFD7C0D068}"/>
    <cellStyle name="千分位 12 2" xfId="363" xr:uid="{C917C3D8-8607-43C7-9ACF-F4A1B48AA5DC}"/>
    <cellStyle name="千分位 12 2 2" xfId="364" xr:uid="{78465683-A01F-498C-BC7D-6082A66D6047}"/>
    <cellStyle name="千分位 12 3" xfId="365" xr:uid="{8E5B3E4F-BBEE-4948-8486-460EA5DF52B3}"/>
    <cellStyle name="千分位 13" xfId="366" xr:uid="{C43B8E09-A904-4288-95C1-8B9E09BB73FA}"/>
    <cellStyle name="千分位 14" xfId="355" xr:uid="{583BB678-2145-4295-8222-FEC17A8EBCBC}"/>
    <cellStyle name="千分位 2" xfId="367" xr:uid="{FC80CE16-DF83-43FD-9B27-FEDB366933F7}"/>
    <cellStyle name="千分位 2 2" xfId="368" xr:uid="{8CA6066D-35AF-40AC-96AA-8B3E0A70D4EB}"/>
    <cellStyle name="千分位 2 2 2" xfId="369" xr:uid="{C164C8A8-4976-4B3E-B5EF-8C0E5B0F5B91}"/>
    <cellStyle name="千分位 2 2 2 2" xfId="370" xr:uid="{B917C6C9-A25E-42AF-B5AA-8EA1323F1C07}"/>
    <cellStyle name="千分位 2 2 3" xfId="371" xr:uid="{AC0DE3BF-2D8C-4049-A151-84FBE3BEF7CD}"/>
    <cellStyle name="千分位 2 2 3 2" xfId="372" xr:uid="{1030E891-2098-4364-9E42-F8887EA6AF66}"/>
    <cellStyle name="千分位 2 2 3 2 2" xfId="373" xr:uid="{D18D97D0-2415-48EC-8B7D-F38ACA175B2E}"/>
    <cellStyle name="千分位 2 2 4" xfId="374" xr:uid="{89FADAAC-3B57-431E-A900-8E4A5C5DCB44}"/>
    <cellStyle name="千分位 2 2 4 2" xfId="375" xr:uid="{6672C904-EFA8-4A0D-A291-BBFF89D35D02}"/>
    <cellStyle name="千分位 2 2 4 2 2" xfId="376" xr:uid="{C11147C6-726E-44C6-A803-8A22F7D6A651}"/>
    <cellStyle name="千分位 2 2 4 3" xfId="377" xr:uid="{FCCBE94A-464A-42C6-AA20-8CAF886A004C}"/>
    <cellStyle name="千分位 2 2 5" xfId="378" xr:uid="{74AD7482-F73A-4541-A8C6-BAEE07862688}"/>
    <cellStyle name="千分位 2 2 5 2" xfId="379" xr:uid="{5FD74FC5-DE96-49CC-8353-0F5C781BC538}"/>
    <cellStyle name="千分位 2 2 6" xfId="380" xr:uid="{9B537BDD-921F-414A-9180-7C0EE94C0230}"/>
    <cellStyle name="千分位 2 2 6 2" xfId="381" xr:uid="{316248B3-77A1-4A37-A552-343AE7FF40DF}"/>
    <cellStyle name="千分位 2 2 7" xfId="382" xr:uid="{B6F6A322-53E1-47AB-A487-325920C9C189}"/>
    <cellStyle name="千分位 2 3" xfId="383" xr:uid="{20515085-0A2F-408E-B57A-E12774156132}"/>
    <cellStyle name="千分位 2 3 2" xfId="384" xr:uid="{A86E4876-80D6-4931-AC3D-F7C9C6F8E963}"/>
    <cellStyle name="千分位 2 3 2 2" xfId="385" xr:uid="{72B18ED3-76DE-4A5C-A1AA-E04716D9C5A1}"/>
    <cellStyle name="千分位 2 3 2 2 2" xfId="386" xr:uid="{E892D935-F51C-466C-B1D5-D32837587A7E}"/>
    <cellStyle name="千分位 2 3 2 3" xfId="387" xr:uid="{659316F0-2CF1-4C15-A254-E66BFA29145E}"/>
    <cellStyle name="千分位 2 3 3" xfId="388" xr:uid="{060FCFBD-13DF-4815-9D87-1C98CAFB219E}"/>
    <cellStyle name="千分位 2 3 3 2" xfId="389" xr:uid="{ACB575A1-8CDE-4B4C-B9E0-42F2BC865262}"/>
    <cellStyle name="千分位 2 3 4" xfId="390" xr:uid="{770404D7-9634-4341-9580-E107D4977376}"/>
    <cellStyle name="千分位 2 3 4 2" xfId="391" xr:uid="{ED70E931-6FEA-411A-A57E-53B5183FA2A6}"/>
    <cellStyle name="千分位 2 3 5" xfId="392" xr:uid="{0BB4F2E0-8FAE-45BA-8B46-392609E64306}"/>
    <cellStyle name="千分位 2 4" xfId="393" xr:uid="{8EABC971-0DF1-42D8-BD54-2E3DAFD0F4DC}"/>
    <cellStyle name="千分位 2 4 2" xfId="394" xr:uid="{5726D401-6634-432B-9E4C-22F38D00F39C}"/>
    <cellStyle name="千分位 2 5" xfId="395" xr:uid="{AB7F2B94-8CFC-4121-B79E-5EB7D33217A9}"/>
    <cellStyle name="千分位 2 5 2" xfId="396" xr:uid="{50AF42B1-A78B-420D-8FF1-77858DAD7A0A}"/>
    <cellStyle name="千分位 2 6" xfId="397" xr:uid="{4971052B-1781-44D9-BE3A-E5AEF9524307}"/>
    <cellStyle name="千分位 2_1010720預算" xfId="398" xr:uid="{41CEAF55-A752-4324-B032-C5FBD07B2700}"/>
    <cellStyle name="千分位 3" xfId="399" xr:uid="{D968EAF7-DF86-4411-ADEF-15036B73E5C4}"/>
    <cellStyle name="千分位 3 2" xfId="400" xr:uid="{899612EA-FCE6-4A27-A6CE-8891B4B6B34E}"/>
    <cellStyle name="千分位 3 2 2" xfId="401" xr:uid="{62492C7A-61B8-456F-986A-482938FD4E52}"/>
    <cellStyle name="千分位 3 3" xfId="402" xr:uid="{94926EBF-8FF5-4C20-8B50-5395019DF5B9}"/>
    <cellStyle name="千分位 3 3 2" xfId="403" xr:uid="{E06AB930-0A1D-451B-887E-86BADBBD1E80}"/>
    <cellStyle name="千分位 3 4" xfId="404" xr:uid="{D06102A8-EFD9-4AF9-A8FE-14048D1B844C}"/>
    <cellStyle name="千分位 3 4 2" xfId="405" xr:uid="{B5FC1C5A-5F0F-4FF8-9C94-680732FEDB24}"/>
    <cellStyle name="千分位 3 5" xfId="406" xr:uid="{5766B70F-6346-4A23-91AA-D37D23B67759}"/>
    <cellStyle name="千分位 3_1030902-大同球場概算" xfId="407" xr:uid="{5714FC92-7EA3-4289-A500-F5F62B61E08B}"/>
    <cellStyle name="千分位 36" xfId="408" xr:uid="{DB485163-9B89-4EAE-BE0B-89745016AD96}"/>
    <cellStyle name="千分位 36 2" xfId="409" xr:uid="{DDB298E7-60CD-469A-82BF-E29BFA95E2AB}"/>
    <cellStyle name="千分位 4" xfId="410" xr:uid="{D1562FB0-76EF-4F6A-AB11-AAF983CB2E5A}"/>
    <cellStyle name="千分位 4 2" xfId="411" xr:uid="{214B520E-1172-4FB6-A874-53385F14166B}"/>
    <cellStyle name="千分位 4 2 2" xfId="412" xr:uid="{74A53AF3-2B9B-4D9E-85DF-91C21882BF57}"/>
    <cellStyle name="千分位 4 3" xfId="413" xr:uid="{F97D8D22-6554-4265-9FB6-5291712BDCCE}"/>
    <cellStyle name="千分位 5" xfId="414" xr:uid="{3380FA73-BCAF-499D-8D71-E36D006E39E1}"/>
    <cellStyle name="千分位 5 2" xfId="415" xr:uid="{D9855AB2-9A59-4D1E-932F-86D43959117B}"/>
    <cellStyle name="千分位 5 2 2" xfId="416" xr:uid="{1C191A56-D8DD-4AE3-A036-4B1202B6D22E}"/>
    <cellStyle name="千分位 5 3" xfId="417" xr:uid="{69DC6696-52BC-45C9-A545-A7AB66822623}"/>
    <cellStyle name="千分位 5 3 2" xfId="418" xr:uid="{0D0BB0AD-AFDF-427E-8A1E-A3997161B064}"/>
    <cellStyle name="千分位 5 3 2 2" xfId="419" xr:uid="{95567405-ACAA-4855-AA22-3FCEC8386007}"/>
    <cellStyle name="千分位 5 3 3" xfId="420" xr:uid="{59C2156F-6716-43A7-A9C1-812FD62E7665}"/>
    <cellStyle name="千分位 5 4" xfId="421" xr:uid="{07E95791-7A7B-485C-8057-2C07ADCFEE67}"/>
    <cellStyle name="千分位 5 4 2" xfId="422" xr:uid="{681A870E-6F97-4F04-96A5-398024C43DFD}"/>
    <cellStyle name="千分位 5 5" xfId="423" xr:uid="{535AB3A7-E290-4A6B-A41E-7EBF67761697}"/>
    <cellStyle name="千分位 6" xfId="424" xr:uid="{7ECBDA10-F25C-40C1-9962-DBA68985428F}"/>
    <cellStyle name="千分位 6 2" xfId="425" xr:uid="{3296C950-FA54-47AE-86BF-3C7566098563}"/>
    <cellStyle name="千分位 7" xfId="426" xr:uid="{26649093-D1A6-42D5-810F-4E8B66A20220}"/>
    <cellStyle name="千分位 7 2" xfId="427" xr:uid="{380CE6D7-AE9F-4B1C-9D7A-AA043F33F4C5}"/>
    <cellStyle name="千分位 7 2 2" xfId="428" xr:uid="{0F3EFDEF-537C-498E-AEC7-9E499DD57B45}"/>
    <cellStyle name="千分位 7 3" xfId="429" xr:uid="{B3F25DC7-40C1-4D8D-B13D-408BB871420B}"/>
    <cellStyle name="千分位 7 3 2" xfId="430" xr:uid="{02F34B17-1722-4904-A644-B70020198BAA}"/>
    <cellStyle name="千分位 7 4" xfId="431" xr:uid="{65AA7405-F3B7-464C-ABB5-6A83345A0557}"/>
    <cellStyle name="千分位 7 4 2" xfId="432" xr:uid="{BBBEB650-00F9-4D03-97B9-FB1FE46C8CB3}"/>
    <cellStyle name="千分位 7 4 2 2" xfId="433" xr:uid="{DBCB44C5-0FC9-411C-8707-8EEEF6F18D64}"/>
    <cellStyle name="千分位 7 4 3" xfId="434" xr:uid="{60DE9F74-C1F8-4E97-8942-6BF85E6FCEFE}"/>
    <cellStyle name="千分位 7 5" xfId="435" xr:uid="{CCB57550-5F6D-4595-B797-C6EBC1D2EDFF}"/>
    <cellStyle name="千分位 8" xfId="436" xr:uid="{0B845211-1AAC-45BD-9A81-EC8E08FB2D3F}"/>
    <cellStyle name="千分位 8 2" xfId="437" xr:uid="{C246FF0C-9F88-4358-9BFA-8392F1C16E43}"/>
    <cellStyle name="千分位 9" xfId="438" xr:uid="{6882DF0C-BEC4-4195-B72D-F4FACEA851C2}"/>
    <cellStyle name="千分位 9 2" xfId="439" xr:uid="{2338E9A7-087B-460B-B8BF-A5AD3B969492}"/>
    <cellStyle name="千分位[0] 10" xfId="440" xr:uid="{8A01CB2D-C64F-4399-9903-784E13528244}"/>
    <cellStyle name="千分位[0] 10 2" xfId="441" xr:uid="{77A61456-503E-4E64-A300-A0CA87A1FA4D}"/>
    <cellStyle name="千分位[0] 11" xfId="442" xr:uid="{8F6C991B-CF02-473A-AB96-1C7A554D907B}"/>
    <cellStyle name="千分位[0] 11 2" xfId="443" xr:uid="{410770CB-3A15-4029-84E0-EEECC026372C}"/>
    <cellStyle name="千分位[0] 12" xfId="444" xr:uid="{AC78797F-F259-46BE-A26A-CCAD26260308}"/>
    <cellStyle name="千分位[0] 12 2" xfId="445" xr:uid="{1CEBAD79-C629-44CF-A424-66DDC21A8586}"/>
    <cellStyle name="千分位[0] 13" xfId="446" xr:uid="{D5E5E3F0-8E58-4737-A194-1C75F078FA1D}"/>
    <cellStyle name="千分位[0] 13 2" xfId="447" xr:uid="{9882671D-D3B6-4806-9A21-1719013B3772}"/>
    <cellStyle name="千分位[0] 14" xfId="448" xr:uid="{C827C432-7AFA-4FBA-993B-452C92BF78FE}"/>
    <cellStyle name="千分位[0] 14 2" xfId="449" xr:uid="{5B8D532C-AD38-4B95-8E11-0D902C630310}"/>
    <cellStyle name="千分位[0] 15" xfId="450" xr:uid="{740C47B4-04B9-499B-BC09-A42434A8C126}"/>
    <cellStyle name="千分位[0] 15 2" xfId="451" xr:uid="{65A1FA0A-28DF-47F1-A74F-90A17CE2F20A}"/>
    <cellStyle name="千分位[0] 16" xfId="452" xr:uid="{1A6F5C0F-BC44-44FA-9504-5A47494A19A2}"/>
    <cellStyle name="千分位[0] 16 2" xfId="453" xr:uid="{8DBC6E99-C558-434F-B7AF-DB72E1C85809}"/>
    <cellStyle name="千分位[0] 17" xfId="454" xr:uid="{8C37B038-A79A-4F8E-A609-20C6BA86CA58}"/>
    <cellStyle name="千分位[0] 17 2" xfId="455" xr:uid="{BAA86510-8090-4FCD-9DE6-0E96DEDE23ED}"/>
    <cellStyle name="千分位[0] 18" xfId="456" xr:uid="{4F2CCBA3-58B2-465F-B908-34CBBCA12878}"/>
    <cellStyle name="千分位[0] 18 2" xfId="457" xr:uid="{17A0953B-93B9-47FD-A393-2E156F396D49}"/>
    <cellStyle name="千分位[0] 19" xfId="458" xr:uid="{E483D62B-EB5D-4745-8D21-1AF6DA97690A}"/>
    <cellStyle name="千分位[0] 19 2" xfId="459" xr:uid="{4C826ACD-1093-49B5-8A30-FD079B5A2053}"/>
    <cellStyle name="千分位[0] 2" xfId="460" xr:uid="{A408D74D-7EAA-4AD0-9D07-C7EE6282E596}"/>
    <cellStyle name="千分位[0] 2 2" xfId="461" xr:uid="{B99E11EB-DB07-4DBE-9832-B1D4C5CD2158}"/>
    <cellStyle name="千分位[0] 2 2 2" xfId="462" xr:uid="{97F97324-26A2-41E3-9C70-089FD92B7152}"/>
    <cellStyle name="千分位[0] 2 2 3" xfId="463" xr:uid="{F82DA421-9429-400B-BD7D-7EE40A640CF5}"/>
    <cellStyle name="千分位[0] 2 2 3 2" xfId="464" xr:uid="{1C4E114D-F656-44B9-B4EB-94621F55DB77}"/>
    <cellStyle name="千分位[0] 2 2 4" xfId="465" xr:uid="{123E602F-3E72-4AE2-A823-EA19A13E66DA}"/>
    <cellStyle name="千分位[0] 2 2 4 2" xfId="466" xr:uid="{945117AD-D07A-4FA1-AEAA-3D0D324A2EE0}"/>
    <cellStyle name="千分位[0] 2 2 5" xfId="467" xr:uid="{18DBBE5C-B342-497E-A3FD-F211801B80CB}"/>
    <cellStyle name="千分位[0] 2 3" xfId="468" xr:uid="{E4DF860F-3048-4183-A488-B8A90E9E5AFF}"/>
    <cellStyle name="千分位[0] 2 3 2" xfId="469" xr:uid="{20E63289-C95B-4AE7-9E2B-865C22AFD25F}"/>
    <cellStyle name="千分位[0] 2 3 2 2" xfId="470" xr:uid="{ECC0B51B-F2A5-4374-B199-1E24B54CEA01}"/>
    <cellStyle name="千分位[0] 2 3 2 2 2" xfId="471" xr:uid="{199C7D89-26C3-42FF-9736-1BA7AA7AE6F7}"/>
    <cellStyle name="千分位[0] 2 3 3" xfId="472" xr:uid="{D1F287FE-628C-4952-AD81-6F04249D3486}"/>
    <cellStyle name="千分位[0] 2 3 3 2" xfId="473" xr:uid="{244F6E0A-4848-4D36-875C-41F0A998A426}"/>
    <cellStyle name="千分位[0] 2 3 4" xfId="474" xr:uid="{375CE463-6D5C-47D6-A201-C2E3A0D8A9C1}"/>
    <cellStyle name="千分位[0] 2 3 4 2" xfId="475" xr:uid="{B88B5E73-9B7F-4500-86AE-9AAD74BE4490}"/>
    <cellStyle name="千分位[0] 2 3 5" xfId="476" xr:uid="{32049E8D-4E6E-451F-B90C-4D52255E30E3}"/>
    <cellStyle name="千分位[0] 2 4" xfId="477" xr:uid="{E862233B-18BA-4F56-BC38-5BE2D27CB4F3}"/>
    <cellStyle name="千分位[0] 2 4 2" xfId="478" xr:uid="{9AFF6496-8505-4244-BC6B-B4A1BBCFB29C}"/>
    <cellStyle name="千分位[0] 2 4 2 2" xfId="479" xr:uid="{18AB7B60-7C73-461B-8F8F-91516E1263C9}"/>
    <cellStyle name="千分位[0] 2 5" xfId="480" xr:uid="{8BB3D007-0C68-43CC-9934-D41E66330C09}"/>
    <cellStyle name="千分位[0] 2_1020521-東興跑道預算" xfId="481" xr:uid="{522A5EEB-8C31-43C5-A9DB-39797F0615B5}"/>
    <cellStyle name="千分位[0] 20" xfId="482" xr:uid="{F41AAAD4-08FE-4925-9D54-E4B0BD14E753}"/>
    <cellStyle name="千分位[0] 20 2" xfId="483" xr:uid="{E22E0EA5-8350-4E5B-A559-75D8C2705FAA}"/>
    <cellStyle name="千分位[0] 21" xfId="484" xr:uid="{4A20DE09-23D5-492A-91F6-788F7C06C8B5}"/>
    <cellStyle name="千分位[0] 21 2" xfId="485" xr:uid="{07E411C5-4E4A-49DF-9479-D524F86031EB}"/>
    <cellStyle name="千分位[0] 22" xfId="486" xr:uid="{2F5C0851-4956-4B8E-B349-A8E3043646B2}"/>
    <cellStyle name="千分位[0] 22 2" xfId="487" xr:uid="{C75484E7-CD90-4A44-BF76-253FCC4B2221}"/>
    <cellStyle name="千分位[0] 29" xfId="488" xr:uid="{97F8DC61-B43B-4FAB-8153-78908A2860C2}"/>
    <cellStyle name="千分位[0] 29 2" xfId="489" xr:uid="{536C6E3D-2BAD-4514-82B7-5FF188310370}"/>
    <cellStyle name="千分位[0] 3" xfId="490" xr:uid="{586CADB6-4F94-46FE-B2C4-25F0DFE782AB}"/>
    <cellStyle name="千分位[0] 3 2" xfId="491" xr:uid="{49F69998-1B1E-4B2F-AB5E-53D942CF58D9}"/>
    <cellStyle name="千分位[0] 3 2 2" xfId="492" xr:uid="{7B431044-C648-4DF1-93EB-ED80781C4592}"/>
    <cellStyle name="千分位[0] 3 3" xfId="493" xr:uid="{4A9127B7-18FF-4715-85D1-CA24C654B181}"/>
    <cellStyle name="千分位[0] 30" xfId="494" xr:uid="{0A3A07D5-2077-402F-8E61-0F2A9716124B}"/>
    <cellStyle name="千分位[0] 30 2" xfId="495" xr:uid="{FB7277C7-50D8-45DF-82EA-4195C3CABE9D}"/>
    <cellStyle name="千分位[0] 31" xfId="496" xr:uid="{508789F2-84ED-4788-9CC9-27264B2BBBD1}"/>
    <cellStyle name="千分位[0] 31 2" xfId="497" xr:uid="{51A7CABF-1181-4E80-87E4-F24BF66518D5}"/>
    <cellStyle name="千分位[0] 4" xfId="498" xr:uid="{36710BB1-F774-4CC2-AC48-4304270404C4}"/>
    <cellStyle name="千分位[0] 4 2" xfId="499" xr:uid="{35EE9938-4AFC-4DE2-9C6A-D11274C7AFCE}"/>
    <cellStyle name="千分位[0] 5" xfId="500" xr:uid="{9423EDE4-FC6A-4459-9A9F-5DF000948B61}"/>
    <cellStyle name="千分位[0] 5 2" xfId="501" xr:uid="{61EE6778-ADDF-458A-A0DC-6E1601653DAF}"/>
    <cellStyle name="千分位[0] 6" xfId="502" xr:uid="{EB178B07-1140-4EFB-90D7-9FCDC1FDE148}"/>
    <cellStyle name="千分位[0] 6 2" xfId="503" xr:uid="{35BC64BA-F14D-4EE0-9713-BF067B601A73}"/>
    <cellStyle name="千分位[0] 7" xfId="504" xr:uid="{9E5F90A7-42A5-4D6E-8538-7846A25A29D0}"/>
    <cellStyle name="千分位[0] 7 2" xfId="505" xr:uid="{DDEDBF0F-14C8-48A0-8743-4BD3BD3313D2}"/>
    <cellStyle name="千分位[0] 8" xfId="506" xr:uid="{F096A1C5-A608-460E-BBA5-0C058505609B}"/>
    <cellStyle name="千分位[0] 8 2" xfId="507" xr:uid="{B8B64198-644F-4003-B8B2-F2FD99012599}"/>
    <cellStyle name="千分位[0] 84" xfId="508" xr:uid="{771324A0-6F28-49AA-A7A3-CFCF914E018E}"/>
    <cellStyle name="千分位[0] 84 2" xfId="509" xr:uid="{81D65FF2-E895-48E6-844A-DA245FCB0573}"/>
    <cellStyle name="千分位[0] 9" xfId="510" xr:uid="{078980D6-27D2-4297-B882-B153C0F94474}"/>
    <cellStyle name="千分位[0] 9 2" xfId="511" xr:uid="{1F0A4745-1440-4486-992D-AFAC966A6F5A}"/>
    <cellStyle name="中等 2" xfId="512" xr:uid="{94B9E05B-C602-4A99-939A-99989921406F}"/>
    <cellStyle name="中等 2 2" xfId="513" xr:uid="{FD4DE299-6109-48D7-B45D-495FA3FDAB46}"/>
    <cellStyle name="中等 2 3" xfId="514" xr:uid="{5AA11502-E776-4020-984C-1E942229BADB}"/>
    <cellStyle name="中等 3" xfId="515" xr:uid="{411C4489-5377-45E8-BDC1-A48E8CE223F1}"/>
    <cellStyle name="內文" xfId="516" xr:uid="{CB8EA6FB-F580-4164-82DC-74C49D10D3BC}"/>
    <cellStyle name="公司標題" xfId="517" xr:uid="{34E92226-FF22-40FF-AFF8-B837C9D7E117}"/>
    <cellStyle name="水保計畫書" xfId="518" xr:uid="{F3AB9E9D-DBF0-462B-942C-28CA8A47B37D}"/>
    <cellStyle name="未定義" xfId="519" xr:uid="{21EFB54F-CBCC-41A6-B320-6D53B6336518}"/>
    <cellStyle name="合計 2" xfId="520" xr:uid="{2C70B8C8-9770-4625-8CE3-61E6F1584C3F}"/>
    <cellStyle name="合計 2 2" xfId="521" xr:uid="{58687E2D-4776-4E3F-BDFD-3A5469F7E594}"/>
    <cellStyle name="合計 2 3" xfId="522" xr:uid="{F6864999-8E18-4729-A0A8-BDBD4522A884}"/>
    <cellStyle name="合計 3" xfId="523" xr:uid="{12107FF0-FB0C-4632-809F-F0C2942C42E3}"/>
    <cellStyle name="好 2" xfId="524" xr:uid="{F2CF7546-8A80-4798-8224-CE37594FE0A8}"/>
    <cellStyle name="好 2 2" xfId="525" xr:uid="{A29FD78C-721E-4D49-BBF3-9C84796881BB}"/>
    <cellStyle name="好 2 3" xfId="526" xr:uid="{0BB28899-4F36-4378-AF19-B67E7DFA27F1}"/>
    <cellStyle name="好 3" xfId="527" xr:uid="{98A810A1-2A10-47AF-A785-4663775A2209}"/>
    <cellStyle name="好_1001111-9" xfId="528" xr:uid="{59DAFE8C-B50B-40BD-ACE2-A763F8B10B3A}"/>
    <cellStyle name="好_1010628-475萬-6.65%計算" xfId="529" xr:uid="{31DEC27E-E8AE-49B7-BD43-64E2AFE3A0BE}"/>
    <cellStyle name="好_1010723宜蘭大學跑道球場整修工程-競圖預算-B案(人工草皮)" xfId="530" xr:uid="{DB383961-0746-4991-AA0B-E31605E6525B}"/>
    <cellStyle name="好_1010801宜蘭大學跑道球場整修工程-預算" xfId="531" xr:uid="{547B3339-6A84-408F-8643-B5DC206A78DA}"/>
    <cellStyle name="好_1020108桃園縣立田徑場整修工程-後續擴充工程預算書1" xfId="532" xr:uid="{F31678CD-315A-48D9-9C17-93C9D7D4516B}"/>
    <cellStyle name="好_1020521-東興跑道預算" xfId="533" xr:uid="{E6D50C95-6FED-47B9-A872-004D33925951}"/>
    <cellStyle name="好_1020819-中華跑道預算" xfId="534" xr:uid="{DFC591A6-D1E6-4FF4-B269-85BBF1766B69}"/>
    <cellStyle name="好_1021025預算" xfId="535" xr:uid="{01469697-9624-45EA-93A9-288DDC3640BB}"/>
    <cellStyle name="好_1021106預算" xfId="536" xr:uid="{E6E32CD8-7E2F-4EB2-86D0-181CBB8FF205}"/>
    <cellStyle name="好_1021115-3預算" xfId="537" xr:uid="{E678FEFA-AB83-4DBA-BB13-720B742A1026}"/>
    <cellStyle name="好_1030825-明倫體育場修繕競圖" xfId="538" xr:uid="{4CA6D74A-3EA1-45CE-A667-D72907A30544}"/>
    <cellStyle name="好_1030902-大同球場概算" xfId="539" xr:uid="{FC11D59F-F3C7-401C-993F-172D47CA9560}"/>
    <cellStyle name="好_1031124-北斗家商跑道預算" xfId="540" xr:uid="{713DDEB4-8DC7-468B-AC2D-0FC68FD78458}"/>
    <cellStyle name="好_1040203-跑道、籃球場、遊戲區整修工程整修概算" xfId="541" xr:uid="{ABB5CEE1-7082-476D-A610-115BD9ED25ED}"/>
    <cellStyle name="好_1040811-跑道整修及新增跳遠砂坑工程整修概算" xfId="542" xr:uid="{4A603966-4A95-4FA6-A00B-7789C4431D06}"/>
    <cellStyle name="好_1041109預算" xfId="543" xr:uid="{7FF9B4BA-7C6E-4F58-ADAC-464E42907521}"/>
    <cellStyle name="好_1041208-潮州競圖概算1" xfId="544" xr:uid="{EDF4EEA9-F4CF-46CA-A369-3B5E50646947}"/>
    <cellStyle name="好_160萬-預算1010702" xfId="545" xr:uid="{32CBC79D-4938-469D-ACAC-2CFFE9104207}"/>
    <cellStyle name="好_WC及AC及外牆刷漆案" xfId="546" xr:uid="{58D257E5-6AA8-45D3-8316-EBC7648E742A}"/>
    <cellStyle name="好_大城第1次變更設計-20101122定稿" xfId="547" xr:uid="{7D4C8C6B-19E3-4924-BEA8-FF4D15757143}"/>
    <cellStyle name="好_工程預算(草稿)-6調成83000000" xfId="548" xr:uid="{DB4A3EC3-FEC2-455D-A404-E52D420D5641}"/>
    <cellStyle name="好_半圓草皮" xfId="549" xr:uid="{A21F2A60-3EAE-4F0C-A1DB-E2D18D836C4E}"/>
    <cellStyle name="好_田徑場" xfId="550" xr:uid="{5E3922A0-75D3-4659-BAAA-009BC6A10347}"/>
    <cellStyle name="好_田徑場變更設計" xfId="551" xr:uid="{6BB49A82-781B-4F02-9630-CA8E743530E4}"/>
    <cellStyle name="好_后里" xfId="552" xr:uid="{510605D6-49E7-4DBE-9360-5FE278CB0C24}"/>
    <cellStyle name="好_和仁風雨操場競圖概算" xfId="553" xr:uid="{F9FF1E26-6EBD-4451-B8A4-B28DD523E26D}"/>
    <cellStyle name="好_宜蘭大學跑道球場整修工程-競圖預算-B案(人工草皮)" xfId="554" xr:uid="{526CF466-8153-4A55-AE5E-8532272B2AD0}"/>
    <cellStyle name="好_虎尾" xfId="555" xr:uid="{702101DD-AB8B-4B7A-84F0-AD6F86234372}"/>
    <cellStyle name="好_封面及數量計算" xfId="556" xr:uid="{0E713325-5802-48BE-8B02-767625431068}"/>
    <cellStyle name="好_計算式" xfId="557" xr:uid="{FDCCE5A3-4CF9-4028-A257-D0E37C72005C}"/>
    <cellStyle name="好_桃園體育場- 競圖" xfId="558" xr:uid="{3B1C65DF-7BEE-469C-92BB-9226BDE23291}"/>
    <cellStyle name="好_單價分析" xfId="559" xr:uid="{4F6F7F38-4940-4D61-8207-198487DACEDD}"/>
    <cellStyle name="好_單價分析表" xfId="560" xr:uid="{CD8FF99D-510F-446B-8B80-36D874AD8008}"/>
    <cellStyle name="好_預算" xfId="561" xr:uid="{2368DC8C-6441-4576-9C05-629C4F9C7B99}"/>
    <cellStyle name="好_預算 2" xfId="562" xr:uid="{CDD06636-165D-41A8-8519-D22E10FFD6AC}"/>
    <cellStyle name="好_預算 2 2" xfId="563" xr:uid="{B82F01C5-9B02-40FA-A5F6-F15EDFA98AE6}"/>
    <cellStyle name="好_預算 2 2 2" xfId="564" xr:uid="{C27AB739-E37B-47D9-98D0-A2A9A1822F07}"/>
    <cellStyle name="好_預算 2 3" xfId="565" xr:uid="{FB670503-D5A6-4C00-9079-35EF8DA5A573}"/>
    <cellStyle name="好_預算 3" xfId="566" xr:uid="{B4CD9992-8DA7-4CA0-833F-CB1060FDAC5C}"/>
    <cellStyle name="好_預算_1" xfId="567" xr:uid="{564EAD5E-56F0-407A-B1C1-A95EEC862297}"/>
    <cellStyle name="好_預算_1031124-北斗家商跑道預算" xfId="568" xr:uid="{423F7D9E-0C91-4F3C-A924-B0F022CF2927}"/>
    <cellStyle name="好_預算0" xfId="569" xr:uid="{DBD7DA4D-82DD-4675-B39A-75FE22790B71}"/>
    <cellStyle name="好_預算封面" xfId="570" xr:uid="{703C9F24-F6DE-4C4C-AF19-D215D44AB3F1}"/>
    <cellStyle name="好_預算書" xfId="571" xr:uid="{BC7D104B-FE1F-4DCE-8B60-9AD0F536E745}"/>
    <cellStyle name="好_預算書 " xfId="572" xr:uid="{3D85C4AF-1201-4483-9255-7674B7E0691C}"/>
    <cellStyle name="好_預算詳細表" xfId="573" xr:uid="{32BFB700-2B35-4352-A1DB-7B3617122F28}"/>
    <cellStyle name="好_彰化縣立體育場、體育館、游泳池及其周邊空間修繕整建工程(預算書100.01.07" xfId="574" xr:uid="{6A447D4C-9D7C-45EB-BC88-7339057974C7}"/>
    <cellStyle name="好_廠商調整-高工網場預算" xfId="575" xr:uid="{364B56CF-D452-4083-B863-2A761FDADDD6}"/>
    <cellStyle name="好_競圖" xfId="576" xr:uid="{B2D8BC58-C245-4DEB-A44D-2C4037E4964F}"/>
    <cellStyle name="好_競圖-設計費" xfId="577" xr:uid="{F9C7E518-42C7-4084-8A8F-595AF3753197}"/>
    <cellStyle name="好_競圖概算" xfId="578" xr:uid="{E3EF41F6-190D-4AF5-9788-22AC9DDF9380}"/>
    <cellStyle name="好_競圖概算-1" xfId="579" xr:uid="{F778BCCF-017D-47BC-897C-418B3543640F}"/>
    <cellStyle name="好_警衛室概算" xfId="580" xr:uid="{9AE28EA6-1366-45EE-96BE-E40C9ABC6025}"/>
    <cellStyle name="次表" xfId="581" xr:uid="{16BF2317-01CB-478E-8B85-B101E4BF77DA}"/>
    <cellStyle name="百分比" xfId="728" builtinId="5"/>
    <cellStyle name="百分比 2" xfId="582" xr:uid="{D32BDCDA-A516-41A0-8593-56DC4C51B418}"/>
    <cellStyle name="百分比 2 2" xfId="583" xr:uid="{20FA575A-EE6E-46A8-BB71-AE63D2F5E7DC}"/>
    <cellStyle name="百分比 2 3" xfId="584" xr:uid="{805E001D-7CE9-456A-805E-978DD3C82EE8}"/>
    <cellStyle name="百分比 6 2" xfId="585" xr:uid="{8A0C9BF1-9B79-499F-9CD4-DB0EFE18F245}"/>
    <cellStyle name="百分比 6 3" xfId="586" xr:uid="{CA467DFA-8957-4BBD-B177-58EB7FFD844D}"/>
    <cellStyle name="金額" xfId="587" xr:uid="{EEFFBBA0-A75F-4735-80A1-6652DDEE652D}"/>
    <cellStyle name="附註" xfId="588" xr:uid="{A19B8789-7A00-4DD0-9EE6-B92D27439EB8}"/>
    <cellStyle name="附註 2" xfId="589" xr:uid="{1059F35E-4763-4D3E-8710-2ADEC2DA2438}"/>
    <cellStyle name="挖方" xfId="590" xr:uid="{4A3FD64B-2168-4A68-8BBB-9445773E6F2B}"/>
    <cellStyle name="紅" xfId="591" xr:uid="{F0C67698-F7BA-46FE-9E9F-368B747B20F0}"/>
    <cellStyle name="計算方式 2" xfId="592" xr:uid="{6FBC0A0F-DBBD-4728-BBED-779438D8151E}"/>
    <cellStyle name="計算方式 2 2" xfId="593" xr:uid="{77C5FD1A-7328-4FB7-914B-53FE1F4A258F}"/>
    <cellStyle name="計算方式 2 3" xfId="594" xr:uid="{28665D27-5311-4601-984D-9D36E1F7A833}"/>
    <cellStyle name="計算方式 3" xfId="595" xr:uid="{0750C24C-DF6B-4DB1-84D0-35A6CE77451B}"/>
    <cellStyle name="桁?切? [0.00]_PERSONAL" xfId="596" xr:uid="{DC1B805C-C4CE-4AC6-B3C4-B618F5E0244C}"/>
    <cellStyle name="桁?切?_PERSONAL" xfId="597" xr:uid="{91010923-26D6-40A9-BE1D-BE889FEDC776}"/>
    <cellStyle name="基本單價" xfId="598" xr:uid="{C8B7D10F-199F-40FB-A045-8391E1D886EE}"/>
    <cellStyle name="常规_HE0411" xfId="599" xr:uid="{F228FA13-93A0-4376-8CCD-2DF05E4CF794}"/>
    <cellStyle name="貨幣 2" xfId="600" xr:uid="{F6B15BF5-65A1-4BEC-BEF2-3B4CF2D0163A}"/>
    <cellStyle name="貨幣 2 2" xfId="601" xr:uid="{CCDED2AC-AE15-482A-8109-670553E87FB9}"/>
    <cellStyle name="貨幣 3" xfId="602" xr:uid="{D15E1FCB-3B9D-4C42-BB52-A8D17280C753}"/>
    <cellStyle name="貨幣 3 2" xfId="603" xr:uid="{EFE4777F-78D8-4E78-ACF2-BD6E848911D7}"/>
    <cellStyle name="貨幣[0]" xfId="604" xr:uid="{64860C90-4FEC-4181-B9B1-9EE6557B8DBF}"/>
    <cellStyle name="貨幣[0] 2" xfId="605" xr:uid="{499DB9C9-4811-4E07-8B11-C0322049A78A}"/>
    <cellStyle name="通貨 [0.00]_PERSONAL" xfId="606" xr:uid="{4944BA4C-4524-434B-858C-CC53BF70519C}"/>
    <cellStyle name="通貨_PERSONAL" xfId="607" xr:uid="{23069E04-434B-45DC-8F94-7469BA6CDAAD}"/>
    <cellStyle name="連結的儲存格 2" xfId="608" xr:uid="{1B977549-B9F1-4778-8AF3-2FAE14273BD1}"/>
    <cellStyle name="連結的儲存格 2 2" xfId="609" xr:uid="{6AC17870-0712-4B70-B1BB-4522EAC0CE94}"/>
    <cellStyle name="連結的儲存格 2 3" xfId="610" xr:uid="{C65315C7-8755-40BB-AEAB-140CD6AAE54F}"/>
    <cellStyle name="連結的儲存格 3" xfId="611" xr:uid="{03855E12-8EC9-42EB-AB01-281FF4532C48}"/>
    <cellStyle name="備註 2" xfId="612" xr:uid="{959C393A-FE73-4CC0-B107-2EB8351063D0}"/>
    <cellStyle name="超連結 2" xfId="613" xr:uid="{52D4522D-8852-445F-8027-056C3553E622}"/>
    <cellStyle name="說明文字 2" xfId="614" xr:uid="{28246510-9FDA-4679-9174-C694C3801495}"/>
    <cellStyle name="輔色1 2" xfId="615" xr:uid="{58423035-3941-469B-8AAB-789EA10EA916}"/>
    <cellStyle name="輔色1 2 2" xfId="616" xr:uid="{4DBF911F-7F3D-48FC-AC63-87C17F9AD10B}"/>
    <cellStyle name="輔色1 2 3" xfId="617" xr:uid="{8A2AE8C6-B8E5-4EC2-86B9-BA5E057F0CFB}"/>
    <cellStyle name="輔色1 3" xfId="618" xr:uid="{71AB29E4-957A-486E-8664-0BF45EC04C9D}"/>
    <cellStyle name="輔色2 2" xfId="619" xr:uid="{82119A9F-423A-4F65-86DA-2F347C911F23}"/>
    <cellStyle name="輔色2 2 2" xfId="620" xr:uid="{DD478542-81B3-41D4-91CE-A29485DCAEEA}"/>
    <cellStyle name="輔色2 2 3" xfId="621" xr:uid="{031001BF-A32F-4F9B-B261-382EECDA26B2}"/>
    <cellStyle name="輔色2 3" xfId="622" xr:uid="{92D4DE04-023E-4F1F-9F28-A622ABE0B35E}"/>
    <cellStyle name="輔色3 2" xfId="623" xr:uid="{0D40FDF9-7388-4020-9512-533EAE11E3D7}"/>
    <cellStyle name="輔色3 2 2" xfId="624" xr:uid="{F18DD0E6-F53E-468D-8B78-E029EDCC2505}"/>
    <cellStyle name="輔色3 2 3" xfId="625" xr:uid="{371744ED-ADC7-4CC1-A4B0-646F151807D2}"/>
    <cellStyle name="輔色3 3" xfId="626" xr:uid="{E6CD3655-F70B-484B-A7FA-914B58AB3317}"/>
    <cellStyle name="輔色4 2" xfId="627" xr:uid="{EFFFBE6B-5204-4D3F-9421-939D65CEC410}"/>
    <cellStyle name="輔色4 2 2" xfId="628" xr:uid="{3AA17731-FB5B-4291-A7BA-961A2F384D8E}"/>
    <cellStyle name="輔色4 2 3" xfId="629" xr:uid="{27883BE9-C985-42FA-A7C4-3F53369ED8F0}"/>
    <cellStyle name="輔色4 3" xfId="630" xr:uid="{630F9504-F3F1-49E3-B610-94807D71BF2A}"/>
    <cellStyle name="輔色5 2" xfId="631" xr:uid="{B9EB78FB-6F4C-459E-A68E-30AB81606D77}"/>
    <cellStyle name="輔色6 2" xfId="632" xr:uid="{F0602F85-330D-4749-A36A-F807E9C33A2D}"/>
    <cellStyle name="輔色6 2 2" xfId="633" xr:uid="{FEF45255-7DCE-43E9-8A94-F3D9E8A5CDB0}"/>
    <cellStyle name="輔色6 2 3" xfId="634" xr:uid="{AECE6162-367D-459D-AB90-D9DED2DFBD80}"/>
    <cellStyle name="輔色6 3" xfId="635" xr:uid="{BF76943F-2626-430C-97BA-F6233F6D4123}"/>
    <cellStyle name="數量計算表" xfId="636" xr:uid="{DA649C6E-D6E6-4792-A3B0-9398629E2ABD}"/>
    <cellStyle name="標準_PERSONAL" xfId="637" xr:uid="{2644A67B-9484-4B37-A3C6-C341BB97B4B6}"/>
    <cellStyle name="標題 1 2" xfId="638" xr:uid="{945A6D63-B336-4B8F-A3AE-1E26F2F8E259}"/>
    <cellStyle name="標題 1 2 2" xfId="639" xr:uid="{223F2717-C602-48E0-B45E-FE2955A8ED2C}"/>
    <cellStyle name="標題 1 2 3" xfId="640" xr:uid="{49D9D0E1-D5DB-4626-8664-1E49FED5A901}"/>
    <cellStyle name="標題 1 3" xfId="641" xr:uid="{5F5C6F48-AC37-4050-ADF1-A17C7EFFCAD3}"/>
    <cellStyle name="標題 2 2" xfId="642" xr:uid="{FB7ED446-6CDA-40BD-BC65-C2CE999160FD}"/>
    <cellStyle name="標題 2 2 2" xfId="643" xr:uid="{E7561EED-6130-43A3-AAB8-883C5379BE2A}"/>
    <cellStyle name="標題 2 2 3" xfId="644" xr:uid="{729FD763-5103-4E49-BD05-8C4A6B2A08F2}"/>
    <cellStyle name="標題 2 3" xfId="645" xr:uid="{52BABD48-C387-41F3-A54D-9A0C5647A472}"/>
    <cellStyle name="標題 3 2" xfId="646" xr:uid="{F7313199-76F7-43D6-B6A9-324AC9C188D7}"/>
    <cellStyle name="標題 3 2 2" xfId="647" xr:uid="{0E93AC94-8544-4B8E-8070-F5678C9B28E4}"/>
    <cellStyle name="標題 3 2 3" xfId="648" xr:uid="{C23F474D-5451-44B3-BAFF-9C844C81DB78}"/>
    <cellStyle name="標題 3 3" xfId="649" xr:uid="{6879D185-1C7A-4186-8F7F-67BFEB7C9144}"/>
    <cellStyle name="標題 4 2" xfId="650" xr:uid="{0F2D5D15-8FFD-4B1C-A677-0B3C8208FC8F}"/>
    <cellStyle name="標題 4 2 2" xfId="651" xr:uid="{117A6E75-66D1-44C9-A5A4-4F792516CB70}"/>
    <cellStyle name="標題 4 2 3" xfId="652" xr:uid="{37A7FC53-5FEF-4FA5-9AC6-F58F7606FBA1}"/>
    <cellStyle name="標題 4 3" xfId="653" xr:uid="{3C6C5612-9933-4B1C-AC8F-E846DCF7E9CE}"/>
    <cellStyle name="標題 5" xfId="654" xr:uid="{EFCAF00F-14B1-4CF2-89C2-33AA3C6B8741}"/>
    <cellStyle name="標題 5 2" xfId="655" xr:uid="{F563951D-1EE9-4EC9-B741-35D9976893FC}"/>
    <cellStyle name="標題 5 3" xfId="656" xr:uid="{3921B131-48B5-4544-AB67-97E4A11D0EA1}"/>
    <cellStyle name="標題 6" xfId="657" xr:uid="{B2C6C9FF-C980-4736-B88F-762C95E2303B}"/>
    <cellStyle name="樣式 1" xfId="658" xr:uid="{F317C432-0D0B-404C-B058-C4D870B1A09C}"/>
    <cellStyle name="機械挖方" xfId="659" xr:uid="{2EC28634-C9DD-416F-8CC4-DB0D2ECD50FF}"/>
    <cellStyle name="輸入 2" xfId="660" xr:uid="{F2EDC7F9-FAD5-4597-A731-B3D4BD5316DC}"/>
    <cellStyle name="輸入 2 2" xfId="661" xr:uid="{3C4C3290-749A-4F6B-9C7E-DBE510CC2129}"/>
    <cellStyle name="輸入 2 3" xfId="662" xr:uid="{1FD4E2DF-FCFA-4DC3-BBB3-98689EA61283}"/>
    <cellStyle name="輸入 3" xfId="663" xr:uid="{6CFF33E4-507A-4872-8A29-719FB2C54380}"/>
    <cellStyle name="輸出 2" xfId="664" xr:uid="{8464EC70-67B0-4899-8C1D-FF4AE8817749}"/>
    <cellStyle name="輸出 2 2" xfId="665" xr:uid="{48474AF7-C6BD-4448-A0A0-91FE5C5F56A7}"/>
    <cellStyle name="輸出 2 3" xfId="666" xr:uid="{A6FAF20F-282F-4CD8-91A9-01ED5365599E}"/>
    <cellStyle name="輸出 3" xfId="667" xr:uid="{151451C9-3605-4D92-8601-939989B120B4}"/>
    <cellStyle name="隨後的超連結" xfId="668" xr:uid="{D3F8898C-98C9-43D5-ADC7-CF078176C512}"/>
    <cellStyle name="檢查儲存格 2" xfId="669" xr:uid="{043806E4-B380-4FCB-9F13-7C23C9401EA2}"/>
    <cellStyle name="壞 2" xfId="670" xr:uid="{5981FD1C-9C16-4023-B52B-E898E60F5B4A}"/>
    <cellStyle name="壞 2 2" xfId="671" xr:uid="{F228ABE1-8C96-42DD-AD21-71EE38A4CA00}"/>
    <cellStyle name="壞 2 3" xfId="672" xr:uid="{115C2C6A-C77A-449F-9C6F-C20DE68F88B3}"/>
    <cellStyle name="壞 3" xfId="673" xr:uid="{0CB52374-F532-4E17-A721-3FDA05561C5D}"/>
    <cellStyle name="壞_1001111-9" xfId="674" xr:uid="{80D78CAF-CC45-4B9E-AAEB-737E21018A63}"/>
    <cellStyle name="壞_1010628-475萬-6.65%計算" xfId="675" xr:uid="{F058E021-AB9C-46D4-B7CB-137757CBFC37}"/>
    <cellStyle name="壞_1010723宜蘭大學跑道球場整修工程-競圖預算-B案(人工草皮)" xfId="676" xr:uid="{F2EA1534-9934-488E-9F0F-4550E9BE3AC9}"/>
    <cellStyle name="壞_1010801宜蘭大學跑道球場整修工程-預算" xfId="677" xr:uid="{64DF62BA-85BD-496A-8497-1605380DB682}"/>
    <cellStyle name="壞_1020108桃園縣立田徑場整修工程-後續擴充工程預算書1" xfId="678" xr:uid="{5FCC2E19-889B-4AED-96F8-E449C514015E}"/>
    <cellStyle name="壞_1020521-東興跑道預算" xfId="679" xr:uid="{85B4F134-7A2A-4AAC-8CE4-797DC7EE0A3C}"/>
    <cellStyle name="壞_1020819-中華跑道預算" xfId="680" xr:uid="{C7F7E45E-179C-4982-88E8-433F4F606D3F}"/>
    <cellStyle name="壞_1021025預算" xfId="681" xr:uid="{A7804B18-A26B-4E4D-BE67-D3C0A7E972B8}"/>
    <cellStyle name="壞_1021106預算" xfId="682" xr:uid="{231A5E99-3341-48F4-BD15-F81B3EF839CD}"/>
    <cellStyle name="壞_1021115-3預算" xfId="683" xr:uid="{5054B32D-DC33-4A05-BA00-A37945B51DE6}"/>
    <cellStyle name="壞_1030825-明倫體育場修繕競圖" xfId="684" xr:uid="{8FB9757C-1B59-4176-82F2-6F2332F39F15}"/>
    <cellStyle name="壞_1030902-大同球場概算" xfId="685" xr:uid="{09A6E957-373B-40C2-BC81-12F9E6D8F476}"/>
    <cellStyle name="壞_1031124-北斗家商跑道預算" xfId="686" xr:uid="{9C0D209A-69AA-4EF8-9133-5F93D3B4F2B4}"/>
    <cellStyle name="壞_1040203-跑道、籃球場、遊戲區整修工程整修概算" xfId="687" xr:uid="{88F5CEFB-1C97-485E-A580-0561BF5ABA54}"/>
    <cellStyle name="壞_1040811-跑道整修及新增跳遠砂坑工程整修概算" xfId="688" xr:uid="{64BAC0BF-1A7E-425B-8FA7-E72E9B7D4EDB}"/>
    <cellStyle name="壞_1041109預算" xfId="689" xr:uid="{195DA57E-B137-400F-A841-060149C515F2}"/>
    <cellStyle name="壞_1041208-潮州競圖概算1" xfId="690" xr:uid="{5B44B358-1A18-44E4-8133-7FBB421971FF}"/>
    <cellStyle name="壞_160萬-預算1010702" xfId="691" xr:uid="{DB0F5864-4874-4416-9A90-F85671E4C7CC}"/>
    <cellStyle name="壞_WC及AC及外牆刷漆案" xfId="692" xr:uid="{A1EE55A3-490D-477A-A844-42E5875D8749}"/>
    <cellStyle name="壞_大城第1次變更設計-20101122定稿" xfId="693" xr:uid="{7E0E633A-4324-4B32-BDA2-9DD7C1F5AFA8}"/>
    <cellStyle name="壞_工程預算(草稿)-6調成83000000" xfId="694" xr:uid="{4EA37EE7-10BE-4094-B78F-42FE15F7EC6D}"/>
    <cellStyle name="壞_半圓草皮" xfId="695" xr:uid="{5CC0EF4E-C59D-416B-81B6-9358D672C406}"/>
    <cellStyle name="壞_田徑場" xfId="696" xr:uid="{45B5FF0B-E482-4457-986C-98E7C682DCEA}"/>
    <cellStyle name="壞_田徑場變更設計" xfId="697" xr:uid="{2F5C9A6D-90B4-49F0-A753-2AA573D0A926}"/>
    <cellStyle name="壞_后里" xfId="698" xr:uid="{8CA44A03-7FF2-4AAC-9612-4B5F1DF7F2A2}"/>
    <cellStyle name="壞_和仁風雨操場競圖概算" xfId="699" xr:uid="{6D4FC598-BC9B-422C-A2F7-64EFE90BD4BE}"/>
    <cellStyle name="壞_宜蘭大學跑道球場整修工程-競圖預算-B案(人工草皮)" xfId="700" xr:uid="{BC0F0B53-B4B6-422E-860B-D657BC45B2A7}"/>
    <cellStyle name="壞_虎尾" xfId="701" xr:uid="{6358937F-8C1D-42D3-A1FB-C06EDB9E2A7D}"/>
    <cellStyle name="壞_封面及數量計算" xfId="702" xr:uid="{FF6283EA-62E2-47F0-9EC0-79F7360588D0}"/>
    <cellStyle name="壞_計算式" xfId="703" xr:uid="{AA2B23E8-AF6D-4E01-889C-E32D863A92F4}"/>
    <cellStyle name="壞_桃園體育場- 競圖" xfId="704" xr:uid="{880EDE47-5F56-4519-99C2-9734CFD77670}"/>
    <cellStyle name="壞_單價分析" xfId="705" xr:uid="{575687C0-C47C-43C0-92D0-0A570DF8843C}"/>
    <cellStyle name="壞_單價分析表" xfId="706" xr:uid="{65EAB286-740D-4C39-8212-B138A99D06BD}"/>
    <cellStyle name="壞_預算" xfId="707" xr:uid="{0A99D230-015A-46C8-A372-DEB6A3DC43B8}"/>
    <cellStyle name="壞_預算 2" xfId="708" xr:uid="{ADA56280-60C9-439F-9110-ECF4F697F1C8}"/>
    <cellStyle name="壞_預算 2 2" xfId="709" xr:uid="{F45AE3C8-2B6D-4A27-9815-86A601CF8C68}"/>
    <cellStyle name="壞_預算 2 2 2" xfId="710" xr:uid="{D351D0CE-6565-4BBB-A550-3C31097D4579}"/>
    <cellStyle name="壞_預算 2 3" xfId="711" xr:uid="{54EDDF62-05D5-4DFE-9E75-4F493C89B73D}"/>
    <cellStyle name="壞_預算 3" xfId="712" xr:uid="{F4B41E24-55E8-4BB7-99A9-D06DD6133C1B}"/>
    <cellStyle name="壞_預算_1" xfId="713" xr:uid="{76EAEC95-7054-46DF-BE55-AA167153DCCB}"/>
    <cellStyle name="壞_預算_1031124-北斗家商跑道預算" xfId="714" xr:uid="{08C57364-3C76-4567-A218-420C03EBECA1}"/>
    <cellStyle name="壞_預算0" xfId="715" xr:uid="{BEA9E727-3FCB-4127-972C-3B8D8A4ED37B}"/>
    <cellStyle name="壞_預算封面" xfId="716" xr:uid="{A369B35E-BC2A-45F8-97C6-325D8C5787C0}"/>
    <cellStyle name="壞_預算書" xfId="717" xr:uid="{D75B86C5-F7E3-4A45-A523-D06B73A694BC}"/>
    <cellStyle name="壞_預算書 " xfId="718" xr:uid="{B94F394E-80B5-48EC-BD63-56B16F7FE787}"/>
    <cellStyle name="壞_預算詳細表" xfId="719" xr:uid="{347B1519-5CF2-4156-8704-65CD0D18BC5C}"/>
    <cellStyle name="壞_彰化縣立體育場、體育館、游泳池及其周邊空間修繕整建工程(預算書100.01.07" xfId="720" xr:uid="{765F652F-C131-4A02-8768-62867DB37C7E}"/>
    <cellStyle name="壞_廠商調整-高工網場預算" xfId="721" xr:uid="{79770011-B2FF-4842-9089-421C1462AAE3}"/>
    <cellStyle name="壞_競圖" xfId="722" xr:uid="{E6DAD368-4FD4-4ACF-BC21-A1F7C6D7FC6C}"/>
    <cellStyle name="壞_競圖-設計費" xfId="723" xr:uid="{47CB895F-19BB-4453-AF29-3A5F22F2376F}"/>
    <cellStyle name="壞_競圖概算" xfId="724" xr:uid="{D6BC61A9-62BF-40BC-8967-E834E9909FF9}"/>
    <cellStyle name="壞_競圖概算-1" xfId="725" xr:uid="{D8021D6E-3BCF-4AC9-A676-DFE2A6B92209}"/>
    <cellStyle name="壞_警衛室概算" xfId="726" xr:uid="{86484AD3-7F05-42F9-9A3B-DB4E8E8684F2}"/>
    <cellStyle name="警告文字 2" xfId="727" xr:uid="{8A0321A0-E197-4621-B8E8-E97CBD43B2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44A2D-8D79-472F-966E-FD194DC1005F}">
  <sheetPr>
    <tabColor rgb="FFFFFF00"/>
  </sheetPr>
  <dimension ref="A1:AA1184"/>
  <sheetViews>
    <sheetView showZeros="0" tabSelected="1" view="pageBreakPreview" topLeftCell="B1118" zoomScaleNormal="100" zoomScaleSheetLayoutView="100" zoomScalePageLayoutView="106" workbookViewId="0">
      <selection activeCell="F1122" sqref="F1122:G1144"/>
    </sheetView>
  </sheetViews>
  <sheetFormatPr defaultRowHeight="14.25"/>
  <cols>
    <col min="1" max="1" width="9" style="1"/>
    <col min="2" max="2" width="11" style="1" customWidth="1"/>
    <col min="3" max="3" width="22.25" style="1" customWidth="1"/>
    <col min="4" max="4" width="9" style="1"/>
    <col min="5" max="5" width="10.25" style="1" customWidth="1"/>
    <col min="6" max="6" width="7.875" style="1" customWidth="1"/>
    <col min="7" max="7" width="5.625" style="1" customWidth="1"/>
    <col min="8" max="8" width="6.75" style="1" customWidth="1"/>
    <col min="9" max="9" width="7.75" style="1" customWidth="1"/>
    <col min="10" max="10" width="9" style="1" customWidth="1"/>
    <col min="11" max="11" width="12.25" style="27" bestFit="1" customWidth="1"/>
    <col min="12" max="12" width="13.625" style="21" bestFit="1" customWidth="1"/>
    <col min="13" max="14" width="9.125" style="1" bestFit="1" customWidth="1"/>
    <col min="15" max="15" width="13.25" style="1" bestFit="1" customWidth="1"/>
    <col min="16" max="18" width="4.125" style="1" customWidth="1"/>
    <col min="19" max="19" width="13.25" style="1" bestFit="1" customWidth="1"/>
    <col min="20" max="22" width="4.125" style="1" customWidth="1"/>
    <col min="23" max="23" width="13.625" style="1" bestFit="1" customWidth="1"/>
    <col min="24" max="26" width="4.125" style="1" customWidth="1"/>
    <col min="27" max="27" width="13.625" style="1" bestFit="1" customWidth="1"/>
    <col min="28" max="30" width="3.875" style="1" customWidth="1"/>
    <col min="31" max="16384" width="9" style="1"/>
  </cols>
  <sheetData>
    <row r="1" spans="1:27" ht="14.25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</row>
    <row r="2" spans="1:27">
      <c r="A2" s="2" t="s">
        <v>1</v>
      </c>
      <c r="B2" s="3" t="s">
        <v>53</v>
      </c>
      <c r="C2" s="2"/>
      <c r="D2" s="2"/>
      <c r="E2" s="2"/>
      <c r="F2" s="2"/>
      <c r="G2" s="2"/>
      <c r="H2" s="2"/>
      <c r="I2" s="2"/>
      <c r="J2" s="2"/>
      <c r="L2" s="22"/>
      <c r="M2" s="4"/>
      <c r="N2" s="5"/>
      <c r="O2" s="6"/>
      <c r="S2" s="6"/>
      <c r="W2" s="6"/>
      <c r="AA2" s="6"/>
    </row>
    <row r="3" spans="1:27" ht="14.25" customHeight="1">
      <c r="A3" s="34" t="s">
        <v>2</v>
      </c>
      <c r="B3" s="34"/>
      <c r="C3" s="34"/>
      <c r="D3" s="34"/>
      <c r="E3" s="34"/>
      <c r="F3" s="35" t="s">
        <v>3</v>
      </c>
      <c r="G3" s="35"/>
      <c r="H3" s="36">
        <v>45642</v>
      </c>
      <c r="I3" s="36"/>
      <c r="J3" s="7" t="str">
        <f>"("&amp;TEXT(H3,"[$-404]aaaa;@")&amp;")"</f>
        <v>(星期一)</v>
      </c>
      <c r="L3" s="22"/>
      <c r="M3" s="4"/>
      <c r="N3" s="5"/>
      <c r="O3" s="6"/>
      <c r="S3" s="6"/>
      <c r="W3" s="6"/>
      <c r="AA3" s="6"/>
    </row>
    <row r="4" spans="1:27" ht="14.25" customHeight="1">
      <c r="A4" s="37" t="s">
        <v>4</v>
      </c>
      <c r="B4" s="38"/>
      <c r="C4" s="41" t="s">
        <v>74</v>
      </c>
      <c r="D4" s="42"/>
      <c r="E4" s="43"/>
      <c r="F4" s="37" t="s">
        <v>5</v>
      </c>
      <c r="G4" s="38"/>
      <c r="H4" s="37" t="s">
        <v>6</v>
      </c>
      <c r="I4" s="47"/>
      <c r="J4" s="38"/>
      <c r="L4" s="22"/>
      <c r="M4" s="4"/>
      <c r="N4" s="5"/>
      <c r="O4" s="6"/>
      <c r="S4" s="6"/>
      <c r="W4" s="6"/>
      <c r="AA4" s="6"/>
    </row>
    <row r="5" spans="1:27" ht="14.25" customHeight="1">
      <c r="A5" s="39"/>
      <c r="B5" s="40"/>
      <c r="C5" s="44"/>
      <c r="D5" s="45"/>
      <c r="E5" s="46"/>
      <c r="F5" s="39"/>
      <c r="G5" s="40"/>
      <c r="H5" s="39"/>
      <c r="I5" s="48"/>
      <c r="J5" s="40"/>
      <c r="L5" s="22"/>
      <c r="M5" s="4"/>
      <c r="N5" s="5"/>
      <c r="O5" s="6"/>
      <c r="S5" s="6"/>
      <c r="W5" s="6"/>
      <c r="AA5" s="6"/>
    </row>
    <row r="6" spans="1:27" ht="14.25" customHeight="1">
      <c r="A6" s="8" t="s">
        <v>7</v>
      </c>
      <c r="B6" s="8" t="s">
        <v>55</v>
      </c>
      <c r="C6" s="30" t="s">
        <v>8</v>
      </c>
      <c r="D6" s="31"/>
      <c r="E6" s="8" t="s">
        <v>50</v>
      </c>
      <c r="F6" s="8" t="s">
        <v>9</v>
      </c>
      <c r="G6" s="8" t="str">
        <f>IF(LEN(E6)&gt;2,LEFT(B6,2)-LEFT(E6,2),LEFT(B6,2)-LEFT(E6,1))&amp;"天"</f>
        <v>59天</v>
      </c>
      <c r="H6" s="30" t="s">
        <v>10</v>
      </c>
      <c r="I6" s="31"/>
      <c r="J6" s="8" t="s">
        <v>11</v>
      </c>
      <c r="L6" s="22"/>
      <c r="M6" s="4"/>
      <c r="N6" s="5"/>
      <c r="O6" s="6"/>
      <c r="S6" s="6"/>
      <c r="W6" s="6"/>
      <c r="AA6" s="6"/>
    </row>
    <row r="7" spans="1:27" ht="14.25" customHeight="1">
      <c r="A7" s="30" t="s">
        <v>12</v>
      </c>
      <c r="B7" s="31"/>
      <c r="C7" s="30" t="s">
        <v>72</v>
      </c>
      <c r="D7" s="32"/>
      <c r="E7" s="31"/>
      <c r="F7" s="30" t="s">
        <v>13</v>
      </c>
      <c r="G7" s="31"/>
      <c r="H7" s="30" t="s">
        <v>73</v>
      </c>
      <c r="I7" s="32"/>
      <c r="J7" s="31"/>
      <c r="L7" s="22"/>
      <c r="M7" s="4"/>
      <c r="N7" s="5"/>
      <c r="O7" s="6"/>
      <c r="S7" s="6"/>
      <c r="W7" s="6"/>
      <c r="AA7" s="6"/>
    </row>
    <row r="8" spans="1:27" ht="14.25" customHeight="1">
      <c r="A8" s="30" t="s">
        <v>14</v>
      </c>
      <c r="B8" s="31"/>
      <c r="C8" s="57">
        <f>(5%/12)*1</f>
        <v>4.1666666666666666E-3</v>
      </c>
      <c r="D8" s="58"/>
      <c r="E8" s="59"/>
      <c r="F8" s="30" t="s">
        <v>15</v>
      </c>
      <c r="G8" s="31"/>
      <c r="H8" s="57">
        <f>ROUND(L35/L36,5)</f>
        <v>2.1690000000000001E-2</v>
      </c>
      <c r="I8" s="58"/>
      <c r="J8" s="59"/>
      <c r="K8" s="26" t="s">
        <v>69</v>
      </c>
      <c r="L8" s="22"/>
      <c r="M8" s="4"/>
      <c r="N8" s="5"/>
      <c r="O8" s="6"/>
      <c r="S8" s="6"/>
      <c r="W8" s="6"/>
      <c r="AA8" s="6"/>
    </row>
    <row r="9" spans="1:27" ht="14.25" customHeight="1">
      <c r="A9" s="49" t="s">
        <v>16</v>
      </c>
      <c r="B9" s="50"/>
      <c r="C9" s="50"/>
      <c r="D9" s="50"/>
      <c r="E9" s="50"/>
      <c r="F9" s="50"/>
      <c r="G9" s="50"/>
      <c r="H9" s="50"/>
      <c r="I9" s="50"/>
      <c r="J9" s="51"/>
      <c r="L9" s="22"/>
      <c r="M9" s="4"/>
      <c r="N9" s="5"/>
      <c r="O9" s="6"/>
      <c r="S9" s="6"/>
      <c r="W9" s="6"/>
      <c r="AA9" s="6"/>
    </row>
    <row r="10" spans="1:27" ht="14.25" customHeight="1">
      <c r="A10" s="30" t="s">
        <v>17</v>
      </c>
      <c r="B10" s="32"/>
      <c r="C10" s="31"/>
      <c r="D10" s="8" t="s">
        <v>18</v>
      </c>
      <c r="E10" s="17" t="s">
        <v>19</v>
      </c>
      <c r="F10" s="30" t="s">
        <v>20</v>
      </c>
      <c r="G10" s="31"/>
      <c r="H10" s="30" t="s">
        <v>21</v>
      </c>
      <c r="I10" s="31"/>
      <c r="J10" s="8" t="s">
        <v>22</v>
      </c>
      <c r="L10" s="22"/>
      <c r="M10" s="4"/>
      <c r="N10" s="5"/>
      <c r="O10" s="6"/>
      <c r="S10" s="6"/>
      <c r="W10" s="6"/>
      <c r="AA10" s="6"/>
    </row>
    <row r="11" spans="1:27" ht="14.25" customHeight="1">
      <c r="A11" s="49" t="s">
        <v>56</v>
      </c>
      <c r="B11" s="50"/>
      <c r="C11" s="50"/>
      <c r="D11" s="50"/>
      <c r="E11" s="50"/>
      <c r="F11" s="50"/>
      <c r="G11" s="50"/>
      <c r="H11" s="50"/>
      <c r="I11" s="50"/>
      <c r="J11" s="51"/>
    </row>
    <row r="12" spans="1:27" ht="14.25" customHeight="1">
      <c r="A12" s="55" t="s">
        <v>57</v>
      </c>
      <c r="B12" s="50"/>
      <c r="C12" s="51"/>
      <c r="D12" s="24" t="s">
        <v>59</v>
      </c>
      <c r="E12" s="23">
        <v>1</v>
      </c>
      <c r="F12" s="54">
        <v>1</v>
      </c>
      <c r="G12" s="56"/>
      <c r="H12" s="54">
        <f>F12</f>
        <v>1</v>
      </c>
      <c r="I12" s="31"/>
      <c r="J12" s="16"/>
      <c r="K12" s="27">
        <v>800</v>
      </c>
      <c r="L12" s="29">
        <f>ROUND(K12*H12,0)</f>
        <v>800</v>
      </c>
    </row>
    <row r="13" spans="1:27" ht="14.25" customHeight="1">
      <c r="A13" s="55" t="s">
        <v>75</v>
      </c>
      <c r="B13" s="50"/>
      <c r="C13" s="51"/>
      <c r="D13" s="24" t="s">
        <v>59</v>
      </c>
      <c r="E13" s="23">
        <v>1</v>
      </c>
      <c r="F13" s="52">
        <v>1</v>
      </c>
      <c r="G13" s="53"/>
      <c r="H13" s="54">
        <f t="shared" ref="H13:H34" si="0">F13</f>
        <v>1</v>
      </c>
      <c r="I13" s="31"/>
      <c r="J13" s="8"/>
      <c r="K13" s="27">
        <v>500</v>
      </c>
      <c r="L13" s="29">
        <f>ROUND(K13*H13,0)</f>
        <v>500</v>
      </c>
    </row>
    <row r="14" spans="1:27" ht="14.25" customHeight="1">
      <c r="A14" s="49" t="s">
        <v>58</v>
      </c>
      <c r="B14" s="50"/>
      <c r="C14" s="51"/>
      <c r="D14" s="24" t="s">
        <v>61</v>
      </c>
      <c r="E14" s="23">
        <v>51</v>
      </c>
      <c r="F14" s="52">
        <v>51</v>
      </c>
      <c r="G14" s="53"/>
      <c r="H14" s="54">
        <f t="shared" si="0"/>
        <v>51</v>
      </c>
      <c r="I14" s="31"/>
      <c r="J14" s="10"/>
      <c r="K14" s="27">
        <v>50</v>
      </c>
      <c r="L14" s="29">
        <f>ROUND(K14*H14,0)</f>
        <v>2550</v>
      </c>
    </row>
    <row r="15" spans="1:27" ht="14.25" customHeight="1">
      <c r="A15" s="55" t="s">
        <v>76</v>
      </c>
      <c r="B15" s="50"/>
      <c r="C15" s="51"/>
      <c r="D15" s="24" t="s">
        <v>60</v>
      </c>
      <c r="E15" s="23">
        <v>1</v>
      </c>
      <c r="F15" s="52"/>
      <c r="G15" s="53"/>
      <c r="H15" s="54">
        <f t="shared" si="0"/>
        <v>0</v>
      </c>
      <c r="I15" s="31"/>
      <c r="J15" s="16"/>
      <c r="K15" s="27">
        <v>3000</v>
      </c>
      <c r="L15" s="29">
        <f>ROUND(K15*H15,0)</f>
        <v>0</v>
      </c>
    </row>
    <row r="16" spans="1:27" ht="14.25" customHeight="1">
      <c r="A16" s="55" t="s">
        <v>77</v>
      </c>
      <c r="B16" s="50"/>
      <c r="C16" s="51"/>
      <c r="D16" s="25" t="s">
        <v>60</v>
      </c>
      <c r="E16" s="23">
        <v>1</v>
      </c>
      <c r="F16" s="52"/>
      <c r="G16" s="53"/>
      <c r="H16" s="54">
        <f t="shared" si="0"/>
        <v>0</v>
      </c>
      <c r="I16" s="31"/>
      <c r="J16" s="8"/>
      <c r="K16" s="27">
        <v>3000</v>
      </c>
      <c r="L16" s="29">
        <f>ROUND(K16*H16,0)</f>
        <v>0</v>
      </c>
    </row>
    <row r="17" spans="1:12" ht="28.5" customHeight="1">
      <c r="A17" s="55" t="s">
        <v>78</v>
      </c>
      <c r="B17" s="64"/>
      <c r="C17" s="65"/>
      <c r="D17" s="25" t="s">
        <v>62</v>
      </c>
      <c r="E17" s="23">
        <v>328</v>
      </c>
      <c r="F17" s="30"/>
      <c r="G17" s="63"/>
      <c r="H17" s="54">
        <f t="shared" si="0"/>
        <v>0</v>
      </c>
      <c r="I17" s="31"/>
      <c r="J17" s="8"/>
      <c r="K17" s="28">
        <v>100</v>
      </c>
      <c r="L17" s="29">
        <f t="shared" ref="L17:L30" si="1">ROUND(K17*H17,0)</f>
        <v>0</v>
      </c>
    </row>
    <row r="18" spans="1:12" ht="14.25" customHeight="1">
      <c r="A18" s="60" t="s">
        <v>79</v>
      </c>
      <c r="B18" s="61"/>
      <c r="C18" s="61"/>
      <c r="D18" s="25" t="s">
        <v>61</v>
      </c>
      <c r="E18" s="23">
        <v>21</v>
      </c>
      <c r="F18" s="62"/>
      <c r="G18" s="62"/>
      <c r="H18" s="54">
        <f t="shared" si="0"/>
        <v>0</v>
      </c>
      <c r="I18" s="31"/>
      <c r="J18" s="8"/>
      <c r="K18" s="27">
        <v>2500</v>
      </c>
      <c r="L18" s="29">
        <f t="shared" si="1"/>
        <v>0</v>
      </c>
    </row>
    <row r="19" spans="1:12" ht="28.5" customHeight="1">
      <c r="A19" s="55" t="s">
        <v>80</v>
      </c>
      <c r="B19" s="64"/>
      <c r="C19" s="65"/>
      <c r="D19" s="25" t="s">
        <v>81</v>
      </c>
      <c r="E19" s="23">
        <v>5</v>
      </c>
      <c r="F19" s="30"/>
      <c r="G19" s="63"/>
      <c r="H19" s="54">
        <f t="shared" si="0"/>
        <v>0</v>
      </c>
      <c r="I19" s="31"/>
      <c r="J19" s="8"/>
      <c r="K19" s="27">
        <v>5000</v>
      </c>
      <c r="L19" s="29">
        <f t="shared" si="1"/>
        <v>0</v>
      </c>
    </row>
    <row r="20" spans="1:12" ht="14.25" customHeight="1">
      <c r="A20" s="60" t="s">
        <v>82</v>
      </c>
      <c r="B20" s="61"/>
      <c r="C20" s="61"/>
      <c r="D20" s="25" t="s">
        <v>62</v>
      </c>
      <c r="E20" s="23">
        <v>218</v>
      </c>
      <c r="F20" s="62"/>
      <c r="G20" s="62"/>
      <c r="H20" s="54">
        <f t="shared" si="0"/>
        <v>0</v>
      </c>
      <c r="I20" s="31"/>
      <c r="J20" s="8"/>
      <c r="K20" s="27">
        <v>1000</v>
      </c>
      <c r="L20" s="29">
        <f t="shared" si="1"/>
        <v>0</v>
      </c>
    </row>
    <row r="21" spans="1:12" ht="14.25" customHeight="1">
      <c r="A21" s="61" t="s">
        <v>83</v>
      </c>
      <c r="B21" s="61"/>
      <c r="C21" s="61"/>
      <c r="D21" s="25" t="s">
        <v>81</v>
      </c>
      <c r="E21" s="23">
        <v>28</v>
      </c>
      <c r="F21" s="30"/>
      <c r="G21" s="63"/>
      <c r="H21" s="54">
        <f t="shared" si="0"/>
        <v>0</v>
      </c>
      <c r="I21" s="31"/>
      <c r="J21" s="8"/>
      <c r="K21" s="27">
        <v>2000</v>
      </c>
      <c r="L21" s="29">
        <f t="shared" si="1"/>
        <v>0</v>
      </c>
    </row>
    <row r="22" spans="1:12" ht="28.5" customHeight="1">
      <c r="A22" s="60" t="s">
        <v>84</v>
      </c>
      <c r="B22" s="61"/>
      <c r="C22" s="61"/>
      <c r="D22" s="25" t="s">
        <v>62</v>
      </c>
      <c r="E22" s="23">
        <v>245</v>
      </c>
      <c r="F22" s="62"/>
      <c r="G22" s="62"/>
      <c r="H22" s="54">
        <f t="shared" si="0"/>
        <v>0</v>
      </c>
      <c r="I22" s="31"/>
      <c r="J22" s="8"/>
      <c r="K22" s="27">
        <v>1500</v>
      </c>
      <c r="L22" s="29">
        <f t="shared" si="1"/>
        <v>0</v>
      </c>
    </row>
    <row r="23" spans="1:12" ht="14.25" customHeight="1">
      <c r="A23" s="61" t="s">
        <v>85</v>
      </c>
      <c r="B23" s="61"/>
      <c r="C23" s="61"/>
      <c r="D23" s="25" t="s">
        <v>62</v>
      </c>
      <c r="E23" s="23">
        <v>83</v>
      </c>
      <c r="F23" s="30"/>
      <c r="G23" s="63"/>
      <c r="H23" s="54">
        <f t="shared" si="0"/>
        <v>0</v>
      </c>
      <c r="I23" s="31"/>
      <c r="J23" s="8"/>
      <c r="K23" s="27">
        <v>1000</v>
      </c>
      <c r="L23" s="29">
        <f t="shared" si="1"/>
        <v>0</v>
      </c>
    </row>
    <row r="24" spans="1:12" ht="30" customHeight="1">
      <c r="A24" s="60" t="s">
        <v>86</v>
      </c>
      <c r="B24" s="61"/>
      <c r="C24" s="61"/>
      <c r="D24" s="25" t="s">
        <v>62</v>
      </c>
      <c r="E24" s="23">
        <v>164</v>
      </c>
      <c r="F24" s="62"/>
      <c r="G24" s="62"/>
      <c r="H24" s="54">
        <f t="shared" si="0"/>
        <v>0</v>
      </c>
      <c r="I24" s="31"/>
      <c r="J24" s="8"/>
      <c r="K24" s="27">
        <v>500</v>
      </c>
      <c r="L24" s="29">
        <f t="shared" si="1"/>
        <v>0</v>
      </c>
    </row>
    <row r="25" spans="1:12" ht="14.25" customHeight="1">
      <c r="A25" s="60" t="s">
        <v>87</v>
      </c>
      <c r="B25" s="61"/>
      <c r="C25" s="61"/>
      <c r="D25" s="25" t="s">
        <v>62</v>
      </c>
      <c r="E25" s="23">
        <v>37</v>
      </c>
      <c r="F25" s="30">
        <v>30</v>
      </c>
      <c r="G25" s="63"/>
      <c r="H25" s="54">
        <f t="shared" si="0"/>
        <v>30</v>
      </c>
      <c r="I25" s="31"/>
      <c r="J25" s="8"/>
      <c r="K25" s="27">
        <v>1000</v>
      </c>
      <c r="L25" s="29">
        <f t="shared" si="1"/>
        <v>30000</v>
      </c>
    </row>
    <row r="26" spans="1:12" ht="14.25" customHeight="1">
      <c r="A26" s="61" t="s">
        <v>88</v>
      </c>
      <c r="B26" s="61"/>
      <c r="C26" s="61"/>
      <c r="D26" s="25" t="s">
        <v>60</v>
      </c>
      <c r="E26" s="23">
        <v>1</v>
      </c>
      <c r="F26" s="62"/>
      <c r="G26" s="62"/>
      <c r="H26" s="54">
        <f t="shared" si="0"/>
        <v>0</v>
      </c>
      <c r="I26" s="31"/>
      <c r="J26" s="8"/>
      <c r="K26" s="27">
        <v>250000</v>
      </c>
      <c r="L26" s="29">
        <f t="shared" ref="L26:L29" si="2">ROUND(K26*H26,0)</f>
        <v>0</v>
      </c>
    </row>
    <row r="27" spans="1:12" ht="14.25" customHeight="1">
      <c r="A27" s="61" t="s">
        <v>89</v>
      </c>
      <c r="B27" s="61"/>
      <c r="C27" s="61"/>
      <c r="D27" s="25" t="s">
        <v>62</v>
      </c>
      <c r="E27" s="23">
        <v>81</v>
      </c>
      <c r="F27" s="30"/>
      <c r="G27" s="63"/>
      <c r="H27" s="54">
        <f t="shared" si="0"/>
        <v>0</v>
      </c>
      <c r="I27" s="31"/>
      <c r="J27" s="8"/>
      <c r="K27" s="27">
        <v>500</v>
      </c>
      <c r="L27" s="29">
        <f t="shared" si="2"/>
        <v>0</v>
      </c>
    </row>
    <row r="28" spans="1:12" ht="29.25" customHeight="1">
      <c r="A28" s="60" t="s">
        <v>90</v>
      </c>
      <c r="B28" s="61"/>
      <c r="C28" s="61"/>
      <c r="D28" s="25" t="s">
        <v>62</v>
      </c>
      <c r="E28" s="23">
        <v>42</v>
      </c>
      <c r="F28" s="62"/>
      <c r="G28" s="62"/>
      <c r="H28" s="54">
        <f t="shared" si="0"/>
        <v>0</v>
      </c>
      <c r="I28" s="31"/>
      <c r="J28" s="8"/>
      <c r="K28" s="27">
        <v>1800</v>
      </c>
      <c r="L28" s="29">
        <f t="shared" si="2"/>
        <v>0</v>
      </c>
    </row>
    <row r="29" spans="1:12" ht="14.25" customHeight="1">
      <c r="A29" s="60" t="s">
        <v>91</v>
      </c>
      <c r="B29" s="61"/>
      <c r="C29" s="61"/>
      <c r="D29" s="25" t="s">
        <v>60</v>
      </c>
      <c r="E29" s="23">
        <v>1</v>
      </c>
      <c r="F29" s="30"/>
      <c r="G29" s="63"/>
      <c r="H29" s="54">
        <f t="shared" si="0"/>
        <v>0</v>
      </c>
      <c r="I29" s="31"/>
      <c r="J29" s="8"/>
      <c r="K29" s="27">
        <v>30000</v>
      </c>
      <c r="L29" s="29">
        <f t="shared" si="2"/>
        <v>0</v>
      </c>
    </row>
    <row r="30" spans="1:12" ht="14.25" customHeight="1">
      <c r="A30" s="61" t="s">
        <v>92</v>
      </c>
      <c r="B30" s="61"/>
      <c r="C30" s="61"/>
      <c r="D30" s="25" t="s">
        <v>60</v>
      </c>
      <c r="E30" s="23">
        <v>1</v>
      </c>
      <c r="F30" s="62"/>
      <c r="G30" s="62"/>
      <c r="H30" s="54">
        <f t="shared" si="0"/>
        <v>0</v>
      </c>
      <c r="I30" s="31"/>
      <c r="J30" s="8"/>
      <c r="K30" s="27">
        <v>13598</v>
      </c>
      <c r="L30" s="29">
        <f t="shared" si="1"/>
        <v>0</v>
      </c>
    </row>
    <row r="31" spans="1:12" ht="14.25" customHeight="1">
      <c r="A31" s="61" t="s">
        <v>93</v>
      </c>
      <c r="B31" s="61"/>
      <c r="C31" s="61"/>
      <c r="D31" s="25" t="s">
        <v>60</v>
      </c>
      <c r="E31" s="23">
        <v>1</v>
      </c>
      <c r="F31" s="62"/>
      <c r="G31" s="62"/>
      <c r="H31" s="54">
        <f t="shared" si="0"/>
        <v>0</v>
      </c>
      <c r="I31" s="31"/>
      <c r="J31" s="8"/>
      <c r="K31" s="27">
        <v>13598</v>
      </c>
      <c r="L31" s="29">
        <f t="shared" ref="L31:L32" si="3">ROUND(K31*H31,0)</f>
        <v>0</v>
      </c>
    </row>
    <row r="32" spans="1:12" ht="14.25" customHeight="1">
      <c r="A32" s="61" t="s">
        <v>64</v>
      </c>
      <c r="B32" s="61"/>
      <c r="C32" s="61"/>
      <c r="D32" s="25" t="s">
        <v>60</v>
      </c>
      <c r="E32" s="23">
        <v>1</v>
      </c>
      <c r="F32" s="62"/>
      <c r="G32" s="62"/>
      <c r="H32" s="54">
        <f t="shared" si="0"/>
        <v>0</v>
      </c>
      <c r="I32" s="31"/>
      <c r="J32" s="8"/>
      <c r="K32" s="27">
        <v>95182</v>
      </c>
      <c r="L32" s="29">
        <f t="shared" si="3"/>
        <v>0</v>
      </c>
    </row>
    <row r="33" spans="1:27" ht="14.25" customHeight="1">
      <c r="A33" s="61" t="s">
        <v>65</v>
      </c>
      <c r="B33" s="61"/>
      <c r="C33" s="61"/>
      <c r="D33" s="25" t="s">
        <v>60</v>
      </c>
      <c r="E33" s="23">
        <v>1</v>
      </c>
      <c r="F33" s="62"/>
      <c r="G33" s="62"/>
      <c r="H33" s="54">
        <f t="shared" si="0"/>
        <v>0</v>
      </c>
      <c r="I33" s="31"/>
      <c r="J33" s="8"/>
      <c r="K33" s="27">
        <v>4513</v>
      </c>
      <c r="L33" s="29">
        <f>ROUND(K33*H33,0)</f>
        <v>0</v>
      </c>
    </row>
    <row r="34" spans="1:27" ht="14.25" customHeight="1" thickBot="1">
      <c r="A34" s="61" t="s">
        <v>66</v>
      </c>
      <c r="B34" s="61"/>
      <c r="C34" s="61"/>
      <c r="D34" s="25" t="s">
        <v>60</v>
      </c>
      <c r="E34" s="23">
        <v>1</v>
      </c>
      <c r="F34" s="62"/>
      <c r="G34" s="62"/>
      <c r="H34" s="54">
        <f t="shared" si="0"/>
        <v>0</v>
      </c>
      <c r="I34" s="31"/>
      <c r="J34" s="8"/>
      <c r="K34" s="27">
        <v>74332</v>
      </c>
      <c r="L34" s="29">
        <f>ROUND(K34*H34,0)</f>
        <v>0</v>
      </c>
      <c r="M34" s="1" t="s">
        <v>97</v>
      </c>
    </row>
    <row r="35" spans="1:27" ht="14.25" customHeight="1">
      <c r="A35" s="77" t="s">
        <v>46</v>
      </c>
      <c r="B35" s="67"/>
      <c r="C35" s="68"/>
      <c r="D35" s="11"/>
      <c r="E35" s="18"/>
      <c r="F35" s="78"/>
      <c r="G35" s="79"/>
      <c r="H35" s="78"/>
      <c r="I35" s="79"/>
      <c r="J35" s="12"/>
      <c r="K35" s="27" t="s">
        <v>68</v>
      </c>
      <c r="L35" s="29">
        <f>SUM(L12:L34)</f>
        <v>33850</v>
      </c>
      <c r="M35" s="4">
        <f>ROUND(L35/L36,5)</f>
        <v>2.1690000000000001E-2</v>
      </c>
      <c r="N35" s="5"/>
      <c r="O35" s="6"/>
      <c r="S35" s="6"/>
      <c r="W35" s="6"/>
      <c r="AA35" s="6"/>
    </row>
    <row r="36" spans="1:27" ht="14.25" customHeight="1">
      <c r="A36" s="69" t="s">
        <v>47</v>
      </c>
      <c r="B36" s="70"/>
      <c r="C36" s="71"/>
      <c r="D36" s="9"/>
      <c r="E36" s="19"/>
      <c r="F36" s="30"/>
      <c r="G36" s="31"/>
      <c r="H36" s="30"/>
      <c r="I36" s="31"/>
      <c r="J36" s="13"/>
      <c r="K36" s="27" t="s">
        <v>67</v>
      </c>
      <c r="L36" s="29">
        <v>1560973</v>
      </c>
      <c r="M36" s="4"/>
      <c r="N36" s="5"/>
      <c r="O36" s="6"/>
      <c r="S36" s="6"/>
      <c r="W36" s="6"/>
      <c r="AA36" s="6"/>
    </row>
    <row r="37" spans="1:27" ht="14.25" customHeight="1" thickBot="1">
      <c r="A37" s="72" t="s">
        <v>48</v>
      </c>
      <c r="B37" s="73"/>
      <c r="C37" s="74"/>
      <c r="D37" s="14"/>
      <c r="E37" s="20"/>
      <c r="F37" s="75"/>
      <c r="G37" s="76"/>
      <c r="H37" s="75"/>
      <c r="I37" s="76"/>
      <c r="J37" s="15"/>
      <c r="M37" s="4"/>
      <c r="N37" s="5"/>
      <c r="O37" s="6"/>
      <c r="S37" s="6"/>
      <c r="W37" s="6"/>
      <c r="AA37" s="6"/>
    </row>
    <row r="38" spans="1:27" ht="14.25" customHeight="1">
      <c r="A38" s="66" t="s">
        <v>23</v>
      </c>
      <c r="B38" s="67"/>
      <c r="C38" s="67"/>
      <c r="D38" s="67"/>
      <c r="E38" s="67"/>
      <c r="F38" s="67"/>
      <c r="G38" s="67"/>
      <c r="H38" s="67"/>
      <c r="I38" s="67"/>
      <c r="J38" s="68"/>
      <c r="M38" s="4"/>
      <c r="N38" s="5"/>
      <c r="O38" s="6"/>
      <c r="S38" s="6"/>
      <c r="W38" s="6"/>
      <c r="AA38" s="6"/>
    </row>
    <row r="39" spans="1:27" ht="14.25" customHeight="1">
      <c r="A39" s="30" t="s">
        <v>24</v>
      </c>
      <c r="B39" s="32"/>
      <c r="C39" s="31"/>
      <c r="D39" s="8" t="s">
        <v>18</v>
      </c>
      <c r="E39" s="8" t="s">
        <v>25</v>
      </c>
      <c r="F39" s="30" t="s">
        <v>26</v>
      </c>
      <c r="G39" s="31"/>
      <c r="H39" s="30" t="s">
        <v>27</v>
      </c>
      <c r="I39" s="31"/>
      <c r="J39" s="8" t="s">
        <v>22</v>
      </c>
      <c r="M39" s="4"/>
      <c r="N39" s="5"/>
      <c r="O39" s="6"/>
      <c r="S39" s="6"/>
      <c r="W39" s="6"/>
      <c r="AA39" s="6"/>
    </row>
    <row r="40" spans="1:27" ht="14.25" customHeight="1">
      <c r="A40" s="49"/>
      <c r="B40" s="50"/>
      <c r="C40" s="51"/>
      <c r="D40" s="8"/>
      <c r="E40" s="8"/>
      <c r="F40" s="30"/>
      <c r="G40" s="31"/>
      <c r="H40" s="30"/>
      <c r="I40" s="31"/>
      <c r="J40" s="8"/>
      <c r="M40" s="4"/>
      <c r="N40" s="5"/>
      <c r="O40" s="6"/>
      <c r="S40" s="6"/>
      <c r="W40" s="6"/>
      <c r="AA40" s="6"/>
    </row>
    <row r="41" spans="1:27" ht="14.25" customHeight="1">
      <c r="A41" s="49"/>
      <c r="B41" s="50"/>
      <c r="C41" s="51"/>
      <c r="D41" s="8"/>
      <c r="E41" s="8"/>
      <c r="F41" s="30"/>
      <c r="G41" s="31"/>
      <c r="H41" s="30"/>
      <c r="I41" s="31"/>
      <c r="J41" s="8"/>
      <c r="M41" s="4"/>
      <c r="N41" s="5"/>
      <c r="O41" s="6"/>
      <c r="S41" s="6"/>
      <c r="W41" s="6"/>
      <c r="AA41" s="6"/>
    </row>
    <row r="42" spans="1:27" ht="14.25" customHeight="1">
      <c r="A42" s="49" t="s">
        <v>28</v>
      </c>
      <c r="B42" s="50"/>
      <c r="C42" s="50"/>
      <c r="D42" s="50"/>
      <c r="E42" s="50"/>
      <c r="F42" s="50"/>
      <c r="G42" s="50"/>
      <c r="H42" s="50"/>
      <c r="I42" s="50"/>
      <c r="J42" s="51"/>
      <c r="M42" s="4"/>
      <c r="N42" s="5"/>
      <c r="O42" s="6"/>
      <c r="S42" s="6"/>
      <c r="W42" s="6"/>
      <c r="AA42" s="6"/>
    </row>
    <row r="43" spans="1:27" ht="14.25" customHeight="1">
      <c r="A43" s="30" t="s">
        <v>29</v>
      </c>
      <c r="B43" s="31"/>
      <c r="C43" s="8" t="s">
        <v>30</v>
      </c>
      <c r="D43" s="8" t="s">
        <v>31</v>
      </c>
      <c r="E43" s="30" t="s">
        <v>32</v>
      </c>
      <c r="F43" s="31"/>
      <c r="G43" s="30" t="s">
        <v>26</v>
      </c>
      <c r="H43" s="31"/>
      <c r="I43" s="30" t="s">
        <v>27</v>
      </c>
      <c r="J43" s="31"/>
      <c r="M43" s="4"/>
      <c r="N43" s="5"/>
      <c r="O43" s="6"/>
      <c r="S43" s="6"/>
      <c r="W43" s="6"/>
      <c r="AA43" s="6"/>
    </row>
    <row r="44" spans="1:27" ht="14.25" customHeight="1">
      <c r="A44" s="49" t="s">
        <v>63</v>
      </c>
      <c r="B44" s="51"/>
      <c r="C44" s="8">
        <v>4</v>
      </c>
      <c r="D44" s="8">
        <v>4</v>
      </c>
      <c r="E44" s="30"/>
      <c r="F44" s="31"/>
      <c r="G44" s="30"/>
      <c r="H44" s="31"/>
      <c r="I44" s="30"/>
      <c r="J44" s="31"/>
      <c r="M44" s="4"/>
      <c r="N44" s="5"/>
      <c r="O44" s="6"/>
      <c r="S44" s="6"/>
      <c r="W44" s="6"/>
      <c r="AA44" s="6"/>
    </row>
    <row r="45" spans="1:27" ht="14.25" customHeight="1">
      <c r="A45" s="49"/>
      <c r="B45" s="51"/>
      <c r="C45" s="8"/>
      <c r="D45" s="8"/>
      <c r="E45" s="30"/>
      <c r="F45" s="31"/>
      <c r="G45" s="30"/>
      <c r="H45" s="31"/>
      <c r="I45" s="30"/>
      <c r="J45" s="31"/>
      <c r="M45" s="4"/>
      <c r="N45" s="5"/>
      <c r="O45" s="6"/>
      <c r="S45" s="6"/>
      <c r="W45" s="6"/>
      <c r="AA45" s="6"/>
    </row>
    <row r="46" spans="1:27" ht="14.25" customHeight="1">
      <c r="A46" s="41" t="s">
        <v>45</v>
      </c>
      <c r="B46" s="42"/>
      <c r="C46" s="42"/>
      <c r="D46" s="42"/>
      <c r="E46" s="42"/>
      <c r="F46" s="42"/>
      <c r="G46" s="42"/>
      <c r="H46" s="42"/>
      <c r="I46" s="42"/>
      <c r="J46" s="43"/>
      <c r="M46" s="4"/>
      <c r="N46" s="5"/>
      <c r="O46" s="6"/>
      <c r="S46" s="6"/>
      <c r="W46" s="6"/>
      <c r="AA46" s="6"/>
    </row>
    <row r="47" spans="1:27" ht="14.25" customHeight="1">
      <c r="A47" s="44"/>
      <c r="B47" s="45"/>
      <c r="C47" s="45"/>
      <c r="D47" s="45"/>
      <c r="E47" s="45"/>
      <c r="F47" s="45"/>
      <c r="G47" s="45"/>
      <c r="H47" s="45"/>
      <c r="I47" s="45"/>
      <c r="J47" s="46"/>
      <c r="M47" s="4"/>
      <c r="N47" s="5"/>
      <c r="O47" s="6"/>
      <c r="S47" s="6"/>
      <c r="W47" s="6"/>
      <c r="AA47" s="6"/>
    </row>
    <row r="48" spans="1:27" ht="14.25" customHeight="1">
      <c r="A48" s="80" t="s">
        <v>52</v>
      </c>
      <c r="B48" s="81"/>
      <c r="C48" s="81"/>
      <c r="D48" s="81"/>
      <c r="E48" s="81"/>
      <c r="F48" s="81"/>
      <c r="G48" s="81"/>
      <c r="H48" s="81"/>
      <c r="I48" s="81"/>
      <c r="J48" s="82"/>
      <c r="M48" s="4"/>
      <c r="N48" s="5"/>
      <c r="O48" s="6"/>
      <c r="S48" s="6"/>
      <c r="W48" s="6"/>
      <c r="AA48" s="6"/>
    </row>
    <row r="49" spans="1:10" ht="14.25" customHeight="1">
      <c r="A49" s="83"/>
      <c r="B49" s="84"/>
      <c r="C49" s="84"/>
      <c r="D49" s="84"/>
      <c r="E49" s="84"/>
      <c r="F49" s="84"/>
      <c r="G49" s="84"/>
      <c r="H49" s="84"/>
      <c r="I49" s="84"/>
      <c r="J49" s="85"/>
    </row>
    <row r="50" spans="1:10" ht="14.25" customHeight="1">
      <c r="A50" s="83"/>
      <c r="B50" s="84"/>
      <c r="C50" s="84"/>
      <c r="D50" s="84"/>
      <c r="E50" s="84"/>
      <c r="F50" s="84"/>
      <c r="G50" s="84"/>
      <c r="H50" s="84"/>
      <c r="I50" s="84"/>
      <c r="J50" s="85"/>
    </row>
    <row r="51" spans="1:10" ht="14.25" customHeight="1">
      <c r="A51" s="83"/>
      <c r="B51" s="84"/>
      <c r="C51" s="84"/>
      <c r="D51" s="84"/>
      <c r="E51" s="84"/>
      <c r="F51" s="84"/>
      <c r="G51" s="84"/>
      <c r="H51" s="84"/>
      <c r="I51" s="84"/>
      <c r="J51" s="85"/>
    </row>
    <row r="52" spans="1:10" ht="14.25" customHeight="1">
      <c r="A52" s="83"/>
      <c r="B52" s="84"/>
      <c r="C52" s="84"/>
      <c r="D52" s="84"/>
      <c r="E52" s="84"/>
      <c r="F52" s="84"/>
      <c r="G52" s="84"/>
      <c r="H52" s="84"/>
      <c r="I52" s="84"/>
      <c r="J52" s="85"/>
    </row>
    <row r="53" spans="1:10" ht="14.25" customHeight="1">
      <c r="A53" s="83"/>
      <c r="B53" s="84"/>
      <c r="C53" s="84"/>
      <c r="D53" s="84"/>
      <c r="E53" s="84"/>
      <c r="F53" s="84"/>
      <c r="G53" s="84"/>
      <c r="H53" s="84"/>
      <c r="I53" s="84"/>
      <c r="J53" s="85"/>
    </row>
    <row r="54" spans="1:10" ht="14.25" customHeight="1">
      <c r="A54" s="86"/>
      <c r="B54" s="87"/>
      <c r="C54" s="87"/>
      <c r="D54" s="87"/>
      <c r="E54" s="87"/>
      <c r="F54" s="87"/>
      <c r="G54" s="87"/>
      <c r="H54" s="87"/>
      <c r="I54" s="87"/>
      <c r="J54" s="88"/>
    </row>
    <row r="55" spans="1:10" ht="14.25" customHeight="1">
      <c r="A55" s="89" t="s">
        <v>33</v>
      </c>
      <c r="B55" s="90"/>
      <c r="C55" s="90"/>
      <c r="D55" s="90"/>
      <c r="E55" s="90"/>
      <c r="F55" s="90"/>
      <c r="G55" s="90"/>
      <c r="H55" s="90"/>
      <c r="I55" s="90"/>
      <c r="J55" s="91"/>
    </row>
    <row r="56" spans="1:10" ht="14.25" customHeight="1">
      <c r="A56" s="92"/>
      <c r="B56" s="93"/>
      <c r="C56" s="93"/>
      <c r="D56" s="93"/>
      <c r="E56" s="93"/>
      <c r="F56" s="93"/>
      <c r="G56" s="93"/>
      <c r="H56" s="93"/>
      <c r="I56" s="93"/>
      <c r="J56" s="94"/>
    </row>
    <row r="57" spans="1:10" ht="14.25" customHeight="1">
      <c r="A57" s="89" t="s">
        <v>34</v>
      </c>
      <c r="B57" s="90"/>
      <c r="C57" s="90"/>
      <c r="D57" s="90"/>
      <c r="E57" s="90"/>
      <c r="F57" s="90"/>
      <c r="G57" s="90"/>
      <c r="H57" s="90"/>
      <c r="I57" s="90"/>
      <c r="J57" s="91"/>
    </row>
    <row r="58" spans="1:10" ht="14.25" customHeight="1">
      <c r="A58" s="92"/>
      <c r="B58" s="93"/>
      <c r="C58" s="93"/>
      <c r="D58" s="93"/>
      <c r="E58" s="93"/>
      <c r="F58" s="93"/>
      <c r="G58" s="93"/>
      <c r="H58" s="93"/>
      <c r="I58" s="93"/>
      <c r="J58" s="94"/>
    </row>
    <row r="59" spans="1:10" ht="14.25" customHeight="1">
      <c r="A59" s="89" t="s">
        <v>96</v>
      </c>
      <c r="B59" s="90"/>
      <c r="C59" s="90"/>
      <c r="D59" s="90"/>
      <c r="E59" s="90"/>
      <c r="F59" s="90"/>
      <c r="G59" s="90"/>
      <c r="H59" s="90"/>
      <c r="I59" s="90"/>
      <c r="J59" s="91"/>
    </row>
    <row r="60" spans="1:10" ht="14.25" customHeight="1">
      <c r="A60" s="92"/>
      <c r="B60" s="93"/>
      <c r="C60" s="93"/>
      <c r="D60" s="93"/>
      <c r="E60" s="93"/>
      <c r="F60" s="93"/>
      <c r="G60" s="93"/>
      <c r="H60" s="93"/>
      <c r="I60" s="93"/>
      <c r="J60" s="94"/>
    </row>
    <row r="61" spans="1:10" ht="14.25" customHeight="1">
      <c r="A61" s="89" t="s">
        <v>35</v>
      </c>
      <c r="B61" s="90"/>
      <c r="C61" s="90"/>
      <c r="D61" s="90"/>
      <c r="E61" s="90"/>
      <c r="F61" s="90"/>
      <c r="G61" s="90"/>
      <c r="H61" s="90"/>
      <c r="I61" s="90"/>
      <c r="J61" s="91"/>
    </row>
    <row r="62" spans="1:10" ht="14.25" customHeight="1">
      <c r="A62" s="92"/>
      <c r="B62" s="93"/>
      <c r="C62" s="93"/>
      <c r="D62" s="93"/>
      <c r="E62" s="93"/>
      <c r="F62" s="93"/>
      <c r="G62" s="93"/>
      <c r="H62" s="93"/>
      <c r="I62" s="93"/>
      <c r="J62" s="94"/>
    </row>
    <row r="63" spans="1:10" ht="14.25" customHeight="1">
      <c r="A63" s="98" t="s">
        <v>36</v>
      </c>
      <c r="B63" s="98"/>
      <c r="C63" s="98"/>
      <c r="D63" s="98"/>
      <c r="E63" s="98"/>
      <c r="F63" s="98"/>
      <c r="G63" s="98"/>
      <c r="H63" s="98"/>
      <c r="I63" s="98"/>
      <c r="J63" s="98"/>
    </row>
    <row r="64" spans="1:10" ht="14.25" customHeight="1">
      <c r="A64" s="95" t="s">
        <v>37</v>
      </c>
      <c r="B64" s="95"/>
      <c r="C64" s="95"/>
      <c r="D64" s="95"/>
      <c r="E64" s="95"/>
      <c r="F64" s="95"/>
      <c r="G64" s="95"/>
      <c r="H64" s="95"/>
      <c r="I64" s="95"/>
      <c r="J64" s="95"/>
    </row>
    <row r="65" spans="1:10" ht="14.25" customHeight="1">
      <c r="A65" s="95" t="s">
        <v>38</v>
      </c>
      <c r="B65" s="95"/>
      <c r="C65" s="95"/>
      <c r="D65" s="95"/>
      <c r="E65" s="95"/>
      <c r="F65" s="95"/>
      <c r="G65" s="95"/>
      <c r="H65" s="95"/>
      <c r="I65" s="95"/>
      <c r="J65" s="95"/>
    </row>
    <row r="66" spans="1:10" ht="14.25" customHeight="1">
      <c r="A66" s="95" t="s">
        <v>39</v>
      </c>
      <c r="B66" s="95"/>
      <c r="C66" s="95"/>
      <c r="D66" s="95"/>
      <c r="E66" s="95"/>
      <c r="F66" s="95"/>
      <c r="G66" s="95"/>
      <c r="H66" s="95"/>
      <c r="I66" s="95"/>
      <c r="J66" s="95"/>
    </row>
    <row r="67" spans="1:10" ht="14.25" customHeight="1">
      <c r="A67" s="95" t="s">
        <v>40</v>
      </c>
      <c r="B67" s="95"/>
      <c r="C67" s="95"/>
      <c r="D67" s="95"/>
      <c r="E67" s="95"/>
      <c r="F67" s="95"/>
      <c r="G67" s="95"/>
      <c r="H67" s="95"/>
      <c r="I67" s="95"/>
      <c r="J67" s="95"/>
    </row>
    <row r="68" spans="1:10" ht="14.25" customHeight="1">
      <c r="A68" s="95" t="s">
        <v>41</v>
      </c>
      <c r="B68" s="95"/>
      <c r="C68" s="95"/>
      <c r="D68" s="95"/>
      <c r="E68" s="95"/>
      <c r="F68" s="95"/>
      <c r="G68" s="95"/>
      <c r="H68" s="95"/>
      <c r="I68" s="95"/>
      <c r="J68" s="95"/>
    </row>
    <row r="69" spans="1:10" ht="14.25" customHeight="1">
      <c r="A69" s="95" t="s">
        <v>42</v>
      </c>
      <c r="B69" s="95"/>
      <c r="C69" s="95"/>
      <c r="D69" s="95"/>
      <c r="E69" s="95"/>
      <c r="F69" s="95"/>
      <c r="G69" s="95"/>
      <c r="H69" s="95"/>
      <c r="I69" s="95"/>
      <c r="J69" s="95"/>
    </row>
    <row r="70" spans="1:10" ht="14.25" customHeight="1">
      <c r="A70" s="95" t="s">
        <v>43</v>
      </c>
      <c r="B70" s="95"/>
      <c r="C70" s="95"/>
      <c r="D70" s="95"/>
      <c r="E70" s="95"/>
      <c r="F70" s="95"/>
      <c r="G70" s="95"/>
      <c r="H70" s="95"/>
      <c r="I70" s="95"/>
      <c r="J70" s="95"/>
    </row>
    <row r="71" spans="1:10" ht="14.25" customHeight="1">
      <c r="A71" s="95" t="s">
        <v>44</v>
      </c>
      <c r="B71" s="95"/>
      <c r="C71" s="95"/>
      <c r="D71" s="95"/>
      <c r="E71" s="95"/>
      <c r="F71" s="95"/>
      <c r="G71" s="95"/>
      <c r="H71" s="95"/>
      <c r="I71" s="95"/>
      <c r="J71" s="95"/>
    </row>
    <row r="72" spans="1:10" ht="29.25" customHeight="1">
      <c r="A72" s="96" t="s">
        <v>51</v>
      </c>
      <c r="B72" s="96"/>
      <c r="C72" s="96"/>
      <c r="D72" s="96"/>
      <c r="E72" s="96"/>
      <c r="F72" s="96"/>
      <c r="G72" s="96"/>
      <c r="H72" s="96"/>
      <c r="I72" s="96"/>
      <c r="J72" s="96"/>
    </row>
    <row r="73" spans="1:10" ht="14.25" customHeight="1">
      <c r="A73" s="97" t="s">
        <v>49</v>
      </c>
      <c r="B73" s="97"/>
      <c r="C73" s="97"/>
      <c r="D73" s="97"/>
      <c r="E73" s="97"/>
      <c r="F73" s="97"/>
      <c r="G73" s="97"/>
      <c r="H73" s="97"/>
      <c r="I73" s="97"/>
      <c r="J73" s="97"/>
    </row>
    <row r="74" spans="1:10" ht="14.25" customHeight="1"/>
    <row r="75" spans="1:10" ht="14.25" customHeight="1">
      <c r="A75" s="33" t="s">
        <v>0</v>
      </c>
      <c r="B75" s="33"/>
      <c r="C75" s="33"/>
      <c r="D75" s="33"/>
      <c r="E75" s="33"/>
      <c r="F75" s="33"/>
      <c r="G75" s="33"/>
      <c r="H75" s="33"/>
      <c r="I75" s="33"/>
      <c r="J75" s="33"/>
    </row>
    <row r="76" spans="1:10">
      <c r="A76" s="2" t="s">
        <v>1</v>
      </c>
      <c r="B76" s="3" t="str">
        <f>"GD-"&amp;IF(LEN(E80)=2,TEXT(LEFT(E80,1),"000"),IF(LEN(E80)=3,TEXT(LEFT(E80,2),"000"),TEXT(LEFT(E80,3),"000")))</f>
        <v>GD-002</v>
      </c>
      <c r="C76" s="2"/>
      <c r="D76" s="2"/>
      <c r="E76" s="2"/>
      <c r="F76" s="2"/>
      <c r="G76" s="2"/>
      <c r="H76" s="2"/>
      <c r="I76" s="2"/>
      <c r="J76" s="2"/>
    </row>
    <row r="77" spans="1:10" ht="14.25" customHeight="1">
      <c r="A77" s="34" t="s">
        <v>2</v>
      </c>
      <c r="B77" s="34"/>
      <c r="C77" s="34"/>
      <c r="D77" s="34"/>
      <c r="E77" s="34"/>
      <c r="F77" s="35" t="s">
        <v>3</v>
      </c>
      <c r="G77" s="35"/>
      <c r="H77" s="36">
        <f>H3+1</f>
        <v>45643</v>
      </c>
      <c r="I77" s="36"/>
      <c r="J77" s="7" t="str">
        <f>"("&amp;TEXT(H77,"[$-404]aaaa;@")&amp;")"</f>
        <v>(星期二)</v>
      </c>
    </row>
    <row r="78" spans="1:10" ht="14.25" customHeight="1">
      <c r="A78" s="37" t="s">
        <v>4</v>
      </c>
      <c r="B78" s="38"/>
      <c r="C78" s="41" t="str">
        <f>C4</f>
        <v>雲林縣成功國小思源堂整修工程</v>
      </c>
      <c r="D78" s="42"/>
      <c r="E78" s="43"/>
      <c r="F78" s="37" t="s">
        <v>5</v>
      </c>
      <c r="G78" s="38"/>
      <c r="H78" s="37" t="str">
        <f>H4</f>
        <v>正郁室內裝修</v>
      </c>
      <c r="I78" s="47"/>
      <c r="J78" s="38"/>
    </row>
    <row r="79" spans="1:10" ht="14.25" customHeight="1">
      <c r="A79" s="39"/>
      <c r="B79" s="40"/>
      <c r="C79" s="44"/>
      <c r="D79" s="45"/>
      <c r="E79" s="46"/>
      <c r="F79" s="39"/>
      <c r="G79" s="40"/>
      <c r="H79" s="39"/>
      <c r="I79" s="48"/>
      <c r="J79" s="40"/>
    </row>
    <row r="80" spans="1:10" ht="14.25" customHeight="1">
      <c r="A80" s="8" t="s">
        <v>7</v>
      </c>
      <c r="B80" s="8" t="str">
        <f>B6</f>
        <v>60天</v>
      </c>
      <c r="C80" s="30" t="s">
        <v>8</v>
      </c>
      <c r="D80" s="31"/>
      <c r="E80" s="8" t="str">
        <f>IF(LEN(E6)&gt;2,(LEFT(E6,2)+1),(LEFT(E6,1)+1))&amp;"天"</f>
        <v>2天</v>
      </c>
      <c r="F80" s="8" t="s">
        <v>9</v>
      </c>
      <c r="G80" s="8" t="str">
        <f>IF(LEN(E80)&gt;2,LEFT(B80,2)-LEFT(E80,2),LEFT(B80,2)-LEFT(E80,1))&amp;"天"</f>
        <v>58天</v>
      </c>
      <c r="H80" s="30" t="s">
        <v>10</v>
      </c>
      <c r="I80" s="31"/>
      <c r="J80" s="8" t="str">
        <f>J6</f>
        <v>0天</v>
      </c>
    </row>
    <row r="81" spans="1:13" ht="14.25" customHeight="1">
      <c r="A81" s="30" t="s">
        <v>12</v>
      </c>
      <c r="B81" s="31"/>
      <c r="C81" s="30" t="str">
        <f>C7</f>
        <v>113年12月16日</v>
      </c>
      <c r="D81" s="32"/>
      <c r="E81" s="31"/>
      <c r="F81" s="30" t="s">
        <v>13</v>
      </c>
      <c r="G81" s="31"/>
      <c r="H81" s="30" t="str">
        <f>H7</f>
        <v>114年02月13日</v>
      </c>
      <c r="I81" s="32"/>
      <c r="J81" s="31"/>
    </row>
    <row r="82" spans="1:13" ht="14.25" customHeight="1">
      <c r="A82" s="30" t="s">
        <v>14</v>
      </c>
      <c r="B82" s="31"/>
      <c r="C82" s="57">
        <f>(5%/12)*2</f>
        <v>8.3333333333333332E-3</v>
      </c>
      <c r="D82" s="58"/>
      <c r="E82" s="59"/>
      <c r="F82" s="30" t="s">
        <v>15</v>
      </c>
      <c r="G82" s="31"/>
      <c r="H82" s="57">
        <f>ROUND(L109/L110,5)+H8</f>
        <v>6.173E-2</v>
      </c>
      <c r="I82" s="58"/>
      <c r="J82" s="59"/>
      <c r="K82" s="26" t="s">
        <v>69</v>
      </c>
      <c r="L82" s="22"/>
      <c r="M82" s="4"/>
    </row>
    <row r="83" spans="1:13" ht="14.25" customHeight="1">
      <c r="A83" s="49" t="s">
        <v>16</v>
      </c>
      <c r="B83" s="50"/>
      <c r="C83" s="50"/>
      <c r="D83" s="50"/>
      <c r="E83" s="50"/>
      <c r="F83" s="50"/>
      <c r="G83" s="50"/>
      <c r="H83" s="50"/>
      <c r="I83" s="50"/>
      <c r="J83" s="51"/>
      <c r="L83" s="22"/>
      <c r="M83" s="4"/>
    </row>
    <row r="84" spans="1:13" ht="14.25" customHeight="1">
      <c r="A84" s="30" t="s">
        <v>17</v>
      </c>
      <c r="B84" s="32"/>
      <c r="C84" s="31"/>
      <c r="D84" s="8" t="s">
        <v>18</v>
      </c>
      <c r="E84" s="17" t="s">
        <v>19</v>
      </c>
      <c r="F84" s="30" t="s">
        <v>20</v>
      </c>
      <c r="G84" s="31"/>
      <c r="H84" s="30" t="s">
        <v>21</v>
      </c>
      <c r="I84" s="31"/>
      <c r="J84" s="8" t="s">
        <v>22</v>
      </c>
      <c r="L84" s="22"/>
      <c r="M84" s="4"/>
    </row>
    <row r="85" spans="1:13" ht="14.25" customHeight="1">
      <c r="A85" s="49" t="s">
        <v>56</v>
      </c>
      <c r="B85" s="50"/>
      <c r="C85" s="50"/>
      <c r="D85" s="50"/>
      <c r="E85" s="50"/>
      <c r="F85" s="50"/>
      <c r="G85" s="50"/>
      <c r="H85" s="50"/>
      <c r="I85" s="50"/>
      <c r="J85" s="51"/>
    </row>
    <row r="86" spans="1:13" ht="14.25" customHeight="1">
      <c r="A86" s="55" t="s">
        <v>57</v>
      </c>
      <c r="B86" s="50"/>
      <c r="C86" s="51"/>
      <c r="D86" s="24" t="s">
        <v>59</v>
      </c>
      <c r="E86" s="23">
        <v>1</v>
      </c>
      <c r="F86" s="54"/>
      <c r="G86" s="56"/>
      <c r="H86" s="54">
        <f>F86+H12</f>
        <v>1</v>
      </c>
      <c r="I86" s="56"/>
      <c r="J86" s="16"/>
      <c r="K86" s="27">
        <v>800</v>
      </c>
      <c r="L86" s="29">
        <f>ROUND(K86*F86,0)</f>
        <v>0</v>
      </c>
    </row>
    <row r="87" spans="1:13" ht="14.25" customHeight="1">
      <c r="A87" s="55" t="s">
        <v>75</v>
      </c>
      <c r="B87" s="50"/>
      <c r="C87" s="51"/>
      <c r="D87" s="24" t="s">
        <v>59</v>
      </c>
      <c r="E87" s="23">
        <v>1</v>
      </c>
      <c r="F87" s="52"/>
      <c r="G87" s="53"/>
      <c r="H87" s="54">
        <f t="shared" ref="H87:H108" si="4">F87+H13</f>
        <v>1</v>
      </c>
      <c r="I87" s="56"/>
      <c r="J87" s="8"/>
      <c r="K87" s="27">
        <v>500</v>
      </c>
      <c r="L87" s="29">
        <f t="shared" ref="L87:L108" si="5">ROUND(K87*F87,0)</f>
        <v>0</v>
      </c>
    </row>
    <row r="88" spans="1:13" ht="14.25" customHeight="1">
      <c r="A88" s="49" t="s">
        <v>58</v>
      </c>
      <c r="B88" s="50"/>
      <c r="C88" s="51"/>
      <c r="D88" s="24" t="s">
        <v>61</v>
      </c>
      <c r="E88" s="23">
        <v>51</v>
      </c>
      <c r="F88" s="52"/>
      <c r="G88" s="53"/>
      <c r="H88" s="54">
        <f t="shared" si="4"/>
        <v>51</v>
      </c>
      <c r="I88" s="56"/>
      <c r="J88" s="10"/>
      <c r="K88" s="27">
        <v>50</v>
      </c>
      <c r="L88" s="29">
        <f t="shared" si="5"/>
        <v>0</v>
      </c>
    </row>
    <row r="89" spans="1:13" ht="14.25" customHeight="1">
      <c r="A89" s="55" t="s">
        <v>76</v>
      </c>
      <c r="B89" s="50"/>
      <c r="C89" s="51"/>
      <c r="D89" s="24" t="s">
        <v>60</v>
      </c>
      <c r="E89" s="23">
        <v>1</v>
      </c>
      <c r="F89" s="52"/>
      <c r="G89" s="53"/>
      <c r="H89" s="54">
        <f t="shared" si="4"/>
        <v>0</v>
      </c>
      <c r="I89" s="56"/>
      <c r="J89" s="16"/>
      <c r="K89" s="27">
        <v>3000</v>
      </c>
      <c r="L89" s="29">
        <f t="shared" si="5"/>
        <v>0</v>
      </c>
    </row>
    <row r="90" spans="1:13" ht="14.25" customHeight="1">
      <c r="A90" s="55" t="s">
        <v>77</v>
      </c>
      <c r="B90" s="50"/>
      <c r="C90" s="51"/>
      <c r="D90" s="25" t="s">
        <v>60</v>
      </c>
      <c r="E90" s="23">
        <v>1</v>
      </c>
      <c r="F90" s="52"/>
      <c r="G90" s="53"/>
      <c r="H90" s="54">
        <f t="shared" si="4"/>
        <v>0</v>
      </c>
      <c r="I90" s="56"/>
      <c r="J90" s="8"/>
      <c r="K90" s="27">
        <v>3000</v>
      </c>
      <c r="L90" s="29">
        <f t="shared" si="5"/>
        <v>0</v>
      </c>
    </row>
    <row r="91" spans="1:13" ht="28.5" customHeight="1">
      <c r="A91" s="55" t="s">
        <v>78</v>
      </c>
      <c r="B91" s="64"/>
      <c r="C91" s="65"/>
      <c r="D91" s="25" t="s">
        <v>62</v>
      </c>
      <c r="E91" s="23">
        <v>328</v>
      </c>
      <c r="F91" s="30"/>
      <c r="G91" s="63"/>
      <c r="H91" s="54">
        <f t="shared" si="4"/>
        <v>0</v>
      </c>
      <c r="I91" s="56"/>
      <c r="J91" s="8"/>
      <c r="K91" s="28">
        <v>100</v>
      </c>
      <c r="L91" s="29">
        <f t="shared" si="5"/>
        <v>0</v>
      </c>
    </row>
    <row r="92" spans="1:13" ht="14.25" customHeight="1">
      <c r="A92" s="60" t="s">
        <v>79</v>
      </c>
      <c r="B92" s="61"/>
      <c r="C92" s="61"/>
      <c r="D92" s="25" t="s">
        <v>61</v>
      </c>
      <c r="E92" s="23">
        <v>21</v>
      </c>
      <c r="F92" s="62"/>
      <c r="G92" s="62"/>
      <c r="H92" s="54">
        <f t="shared" si="4"/>
        <v>0</v>
      </c>
      <c r="I92" s="56"/>
      <c r="J92" s="8"/>
      <c r="K92" s="27">
        <v>2500</v>
      </c>
      <c r="L92" s="29">
        <f t="shared" si="5"/>
        <v>0</v>
      </c>
    </row>
    <row r="93" spans="1:13" ht="28.5" customHeight="1">
      <c r="A93" s="55" t="s">
        <v>80</v>
      </c>
      <c r="B93" s="64"/>
      <c r="C93" s="65"/>
      <c r="D93" s="25" t="s">
        <v>81</v>
      </c>
      <c r="E93" s="23">
        <v>5</v>
      </c>
      <c r="F93" s="30"/>
      <c r="G93" s="63"/>
      <c r="H93" s="54">
        <f t="shared" si="4"/>
        <v>0</v>
      </c>
      <c r="I93" s="56"/>
      <c r="J93" s="8"/>
      <c r="K93" s="27">
        <v>5000</v>
      </c>
      <c r="L93" s="29">
        <f t="shared" si="5"/>
        <v>0</v>
      </c>
    </row>
    <row r="94" spans="1:13" ht="14.25" customHeight="1">
      <c r="A94" s="60" t="s">
        <v>82</v>
      </c>
      <c r="B94" s="61"/>
      <c r="C94" s="61"/>
      <c r="D94" s="25" t="s">
        <v>62</v>
      </c>
      <c r="E94" s="23">
        <v>218</v>
      </c>
      <c r="F94" s="62"/>
      <c r="G94" s="62"/>
      <c r="H94" s="54">
        <f t="shared" si="4"/>
        <v>0</v>
      </c>
      <c r="I94" s="56"/>
      <c r="J94" s="8"/>
      <c r="K94" s="27">
        <v>1000</v>
      </c>
      <c r="L94" s="29">
        <f t="shared" si="5"/>
        <v>0</v>
      </c>
    </row>
    <row r="95" spans="1:13" ht="14.25" customHeight="1">
      <c r="A95" s="61" t="s">
        <v>83</v>
      </c>
      <c r="B95" s="61"/>
      <c r="C95" s="61"/>
      <c r="D95" s="25" t="s">
        <v>81</v>
      </c>
      <c r="E95" s="23">
        <v>28</v>
      </c>
      <c r="F95" s="30"/>
      <c r="G95" s="63"/>
      <c r="H95" s="54">
        <f t="shared" si="4"/>
        <v>0</v>
      </c>
      <c r="I95" s="56"/>
      <c r="J95" s="8"/>
      <c r="K95" s="27">
        <v>2000</v>
      </c>
      <c r="L95" s="29">
        <f t="shared" si="5"/>
        <v>0</v>
      </c>
    </row>
    <row r="96" spans="1:13" ht="28.5" customHeight="1">
      <c r="A96" s="60" t="s">
        <v>84</v>
      </c>
      <c r="B96" s="61"/>
      <c r="C96" s="61"/>
      <c r="D96" s="25" t="s">
        <v>62</v>
      </c>
      <c r="E96" s="23">
        <v>245</v>
      </c>
      <c r="F96" s="62"/>
      <c r="G96" s="62"/>
      <c r="H96" s="54">
        <f t="shared" si="4"/>
        <v>0</v>
      </c>
      <c r="I96" s="56"/>
      <c r="J96" s="8"/>
      <c r="K96" s="27">
        <v>1500</v>
      </c>
      <c r="L96" s="29">
        <f t="shared" si="5"/>
        <v>0</v>
      </c>
    </row>
    <row r="97" spans="1:13" ht="14.25" customHeight="1">
      <c r="A97" s="61" t="s">
        <v>85</v>
      </c>
      <c r="B97" s="61"/>
      <c r="C97" s="61"/>
      <c r="D97" s="25" t="s">
        <v>62</v>
      </c>
      <c r="E97" s="23">
        <v>83</v>
      </c>
      <c r="F97" s="30"/>
      <c r="G97" s="63"/>
      <c r="H97" s="54">
        <f t="shared" si="4"/>
        <v>0</v>
      </c>
      <c r="I97" s="56"/>
      <c r="J97" s="8"/>
      <c r="K97" s="27">
        <v>1000</v>
      </c>
      <c r="L97" s="29">
        <f t="shared" si="5"/>
        <v>0</v>
      </c>
    </row>
    <row r="98" spans="1:13" ht="30" customHeight="1">
      <c r="A98" s="60" t="s">
        <v>86</v>
      </c>
      <c r="B98" s="61"/>
      <c r="C98" s="61"/>
      <c r="D98" s="25" t="s">
        <v>62</v>
      </c>
      <c r="E98" s="23">
        <v>164</v>
      </c>
      <c r="F98" s="62"/>
      <c r="G98" s="62"/>
      <c r="H98" s="54">
        <f t="shared" si="4"/>
        <v>0</v>
      </c>
      <c r="I98" s="56"/>
      <c r="J98" s="8"/>
      <c r="K98" s="27">
        <v>500</v>
      </c>
      <c r="L98" s="29">
        <f t="shared" si="5"/>
        <v>0</v>
      </c>
    </row>
    <row r="99" spans="1:13" ht="14.25" customHeight="1">
      <c r="A99" s="60" t="s">
        <v>87</v>
      </c>
      <c r="B99" s="61"/>
      <c r="C99" s="61"/>
      <c r="D99" s="25" t="s">
        <v>62</v>
      </c>
      <c r="E99" s="23">
        <v>37</v>
      </c>
      <c r="F99" s="30"/>
      <c r="G99" s="63"/>
      <c r="H99" s="54">
        <f t="shared" si="4"/>
        <v>30</v>
      </c>
      <c r="I99" s="56"/>
      <c r="J99" s="8"/>
      <c r="K99" s="27">
        <v>1000</v>
      </c>
      <c r="L99" s="29">
        <f t="shared" si="5"/>
        <v>0</v>
      </c>
    </row>
    <row r="100" spans="1:13" ht="14.25" customHeight="1">
      <c r="A100" s="61" t="s">
        <v>88</v>
      </c>
      <c r="B100" s="61"/>
      <c r="C100" s="61"/>
      <c r="D100" s="25" t="s">
        <v>60</v>
      </c>
      <c r="E100" s="23">
        <v>1</v>
      </c>
      <c r="F100" s="62">
        <v>0.25</v>
      </c>
      <c r="G100" s="62"/>
      <c r="H100" s="52">
        <f t="shared" si="4"/>
        <v>0.25</v>
      </c>
      <c r="I100" s="53"/>
      <c r="J100" s="8"/>
      <c r="K100" s="27">
        <v>250000</v>
      </c>
      <c r="L100" s="29">
        <f t="shared" si="5"/>
        <v>62500</v>
      </c>
    </row>
    <row r="101" spans="1:13" ht="14.25" customHeight="1">
      <c r="A101" s="61" t="s">
        <v>89</v>
      </c>
      <c r="B101" s="61"/>
      <c r="C101" s="61"/>
      <c r="D101" s="25" t="s">
        <v>62</v>
      </c>
      <c r="E101" s="23">
        <v>81</v>
      </c>
      <c r="F101" s="30"/>
      <c r="G101" s="63"/>
      <c r="H101" s="54">
        <f t="shared" si="4"/>
        <v>0</v>
      </c>
      <c r="I101" s="56"/>
      <c r="J101" s="8"/>
      <c r="K101" s="27">
        <v>500</v>
      </c>
      <c r="L101" s="29">
        <f t="shared" si="5"/>
        <v>0</v>
      </c>
    </row>
    <row r="102" spans="1:13" ht="29.25" customHeight="1">
      <c r="A102" s="60" t="s">
        <v>90</v>
      </c>
      <c r="B102" s="61"/>
      <c r="C102" s="61"/>
      <c r="D102" s="25" t="s">
        <v>62</v>
      </c>
      <c r="E102" s="23">
        <v>42</v>
      </c>
      <c r="F102" s="62"/>
      <c r="G102" s="62"/>
      <c r="H102" s="54">
        <f t="shared" si="4"/>
        <v>0</v>
      </c>
      <c r="I102" s="56"/>
      <c r="J102" s="8"/>
      <c r="K102" s="27">
        <v>1800</v>
      </c>
      <c r="L102" s="29">
        <f t="shared" si="5"/>
        <v>0</v>
      </c>
    </row>
    <row r="103" spans="1:13" ht="14.25" customHeight="1">
      <c r="A103" s="60" t="s">
        <v>91</v>
      </c>
      <c r="B103" s="61"/>
      <c r="C103" s="61"/>
      <c r="D103" s="25" t="s">
        <v>60</v>
      </c>
      <c r="E103" s="23">
        <v>1</v>
      </c>
      <c r="F103" s="30"/>
      <c r="G103" s="63"/>
      <c r="H103" s="54">
        <f t="shared" si="4"/>
        <v>0</v>
      </c>
      <c r="I103" s="56"/>
      <c r="J103" s="8"/>
      <c r="K103" s="27">
        <v>30000</v>
      </c>
      <c r="L103" s="29">
        <f t="shared" si="5"/>
        <v>0</v>
      </c>
    </row>
    <row r="104" spans="1:13" ht="14.25" customHeight="1">
      <c r="A104" s="61" t="s">
        <v>92</v>
      </c>
      <c r="B104" s="61"/>
      <c r="C104" s="61"/>
      <c r="D104" s="25" t="s">
        <v>60</v>
      </c>
      <c r="E104" s="23">
        <v>1</v>
      </c>
      <c r="F104" s="62"/>
      <c r="G104" s="62"/>
      <c r="H104" s="54">
        <f t="shared" si="4"/>
        <v>0</v>
      </c>
      <c r="I104" s="56"/>
      <c r="J104" s="8"/>
      <c r="K104" s="27">
        <v>13598</v>
      </c>
      <c r="L104" s="29">
        <f t="shared" si="5"/>
        <v>0</v>
      </c>
    </row>
    <row r="105" spans="1:13" ht="14.25" customHeight="1">
      <c r="A105" s="61" t="s">
        <v>93</v>
      </c>
      <c r="B105" s="61"/>
      <c r="C105" s="61"/>
      <c r="D105" s="25" t="s">
        <v>60</v>
      </c>
      <c r="E105" s="23">
        <v>1</v>
      </c>
      <c r="F105" s="62"/>
      <c r="G105" s="62"/>
      <c r="H105" s="54">
        <f t="shared" si="4"/>
        <v>0</v>
      </c>
      <c r="I105" s="56"/>
      <c r="J105" s="8"/>
      <c r="K105" s="27">
        <v>13598</v>
      </c>
      <c r="L105" s="29">
        <f t="shared" si="5"/>
        <v>0</v>
      </c>
    </row>
    <row r="106" spans="1:13" ht="14.25" customHeight="1">
      <c r="A106" s="61" t="s">
        <v>64</v>
      </c>
      <c r="B106" s="61"/>
      <c r="C106" s="61"/>
      <c r="D106" s="25" t="s">
        <v>60</v>
      </c>
      <c r="E106" s="23">
        <v>1</v>
      </c>
      <c r="F106" s="62"/>
      <c r="G106" s="62"/>
      <c r="H106" s="54">
        <f t="shared" si="4"/>
        <v>0</v>
      </c>
      <c r="I106" s="56"/>
      <c r="J106" s="8"/>
      <c r="K106" s="27">
        <v>95182</v>
      </c>
      <c r="L106" s="29">
        <f t="shared" si="5"/>
        <v>0</v>
      </c>
    </row>
    <row r="107" spans="1:13" ht="14.25" customHeight="1">
      <c r="A107" s="61" t="s">
        <v>65</v>
      </c>
      <c r="B107" s="61"/>
      <c r="C107" s="61"/>
      <c r="D107" s="25" t="s">
        <v>60</v>
      </c>
      <c r="E107" s="23">
        <v>1</v>
      </c>
      <c r="F107" s="62"/>
      <c r="G107" s="62"/>
      <c r="H107" s="54">
        <f t="shared" si="4"/>
        <v>0</v>
      </c>
      <c r="I107" s="56"/>
      <c r="J107" s="8"/>
      <c r="K107" s="27">
        <v>4513</v>
      </c>
      <c r="L107" s="29">
        <f t="shared" si="5"/>
        <v>0</v>
      </c>
    </row>
    <row r="108" spans="1:13" ht="14.25" customHeight="1" thickBot="1">
      <c r="A108" s="61" t="s">
        <v>66</v>
      </c>
      <c r="B108" s="61"/>
      <c r="C108" s="61"/>
      <c r="D108" s="25" t="s">
        <v>60</v>
      </c>
      <c r="E108" s="23">
        <v>1</v>
      </c>
      <c r="F108" s="62"/>
      <c r="G108" s="62"/>
      <c r="H108" s="54">
        <f t="shared" si="4"/>
        <v>0</v>
      </c>
      <c r="I108" s="56"/>
      <c r="J108" s="8"/>
      <c r="K108" s="27">
        <v>74332</v>
      </c>
      <c r="L108" s="29">
        <f t="shared" si="5"/>
        <v>0</v>
      </c>
      <c r="M108" s="1" t="s">
        <v>97</v>
      </c>
    </row>
    <row r="109" spans="1:13" ht="14.25" customHeight="1">
      <c r="A109" s="77" t="s">
        <v>46</v>
      </c>
      <c r="B109" s="67"/>
      <c r="C109" s="68"/>
      <c r="D109" s="11"/>
      <c r="E109" s="18"/>
      <c r="F109" s="78"/>
      <c r="G109" s="79"/>
      <c r="H109" s="78"/>
      <c r="I109" s="79"/>
      <c r="J109" s="12"/>
      <c r="K109" s="27" t="s">
        <v>68</v>
      </c>
      <c r="L109" s="29">
        <f>SUM(L86:L108)</f>
        <v>62500</v>
      </c>
      <c r="M109" s="4">
        <f>ROUND(L109/L110,5)</f>
        <v>4.0039999999999999E-2</v>
      </c>
    </row>
    <row r="110" spans="1:13" ht="14.25" customHeight="1">
      <c r="A110" s="69" t="s">
        <v>47</v>
      </c>
      <c r="B110" s="70"/>
      <c r="C110" s="71"/>
      <c r="D110" s="9"/>
      <c r="E110" s="19"/>
      <c r="F110" s="30"/>
      <c r="G110" s="31"/>
      <c r="H110" s="30"/>
      <c r="I110" s="31"/>
      <c r="J110" s="13"/>
      <c r="K110" s="27" t="s">
        <v>67</v>
      </c>
      <c r="L110" s="29">
        <v>1560973</v>
      </c>
      <c r="M110" s="4"/>
    </row>
    <row r="111" spans="1:13" ht="14.25" customHeight="1" thickBot="1">
      <c r="A111" s="72" t="s">
        <v>48</v>
      </c>
      <c r="B111" s="73"/>
      <c r="C111" s="74"/>
      <c r="D111" s="14"/>
      <c r="E111" s="20"/>
      <c r="F111" s="75"/>
      <c r="G111" s="76"/>
      <c r="H111" s="75"/>
      <c r="I111" s="76"/>
      <c r="J111" s="15"/>
    </row>
    <row r="112" spans="1:13" ht="14.25" customHeight="1">
      <c r="A112" s="66" t="s">
        <v>23</v>
      </c>
      <c r="B112" s="67"/>
      <c r="C112" s="67"/>
      <c r="D112" s="67"/>
      <c r="E112" s="67"/>
      <c r="F112" s="67"/>
      <c r="G112" s="67"/>
      <c r="H112" s="67"/>
      <c r="I112" s="67"/>
      <c r="J112" s="68"/>
    </row>
    <row r="113" spans="1:27" ht="14.25" customHeight="1">
      <c r="A113" s="30" t="s">
        <v>24</v>
      </c>
      <c r="B113" s="32"/>
      <c r="C113" s="31"/>
      <c r="D113" s="8" t="s">
        <v>18</v>
      </c>
      <c r="E113" s="8" t="s">
        <v>25</v>
      </c>
      <c r="F113" s="30" t="s">
        <v>26</v>
      </c>
      <c r="G113" s="31"/>
      <c r="H113" s="30" t="s">
        <v>27</v>
      </c>
      <c r="I113" s="31"/>
      <c r="J113" s="8" t="s">
        <v>22</v>
      </c>
    </row>
    <row r="114" spans="1:27" ht="14.25" customHeight="1">
      <c r="A114" s="49"/>
      <c r="B114" s="50"/>
      <c r="C114" s="51"/>
      <c r="D114" s="8"/>
      <c r="E114" s="8"/>
      <c r="F114" s="30"/>
      <c r="G114" s="31"/>
      <c r="H114" s="30"/>
      <c r="I114" s="31"/>
      <c r="J114" s="8"/>
    </row>
    <row r="115" spans="1:27" ht="14.25" customHeight="1">
      <c r="A115" s="49"/>
      <c r="B115" s="50"/>
      <c r="C115" s="51"/>
      <c r="D115" s="8"/>
      <c r="E115" s="8"/>
      <c r="F115" s="30"/>
      <c r="G115" s="31"/>
      <c r="H115" s="30"/>
      <c r="I115" s="31"/>
      <c r="J115" s="8"/>
    </row>
    <row r="116" spans="1:27" ht="14.25" customHeight="1">
      <c r="A116" s="49" t="s">
        <v>28</v>
      </c>
      <c r="B116" s="50"/>
      <c r="C116" s="50"/>
      <c r="D116" s="50"/>
      <c r="E116" s="50"/>
      <c r="F116" s="50"/>
      <c r="G116" s="50"/>
      <c r="H116" s="50"/>
      <c r="I116" s="50"/>
      <c r="J116" s="51"/>
    </row>
    <row r="117" spans="1:27" ht="14.25" customHeight="1">
      <c r="A117" s="30" t="s">
        <v>29</v>
      </c>
      <c r="B117" s="31"/>
      <c r="C117" s="8" t="s">
        <v>30</v>
      </c>
      <c r="D117" s="8" t="s">
        <v>31</v>
      </c>
      <c r="E117" s="30" t="s">
        <v>32</v>
      </c>
      <c r="F117" s="31"/>
      <c r="G117" s="30" t="s">
        <v>26</v>
      </c>
      <c r="H117" s="31"/>
      <c r="I117" s="30" t="s">
        <v>27</v>
      </c>
      <c r="J117" s="31"/>
    </row>
    <row r="118" spans="1:27" ht="14.25" customHeight="1">
      <c r="A118" s="49" t="s">
        <v>63</v>
      </c>
      <c r="B118" s="51"/>
      <c r="C118" s="8">
        <v>4</v>
      </c>
      <c r="D118" s="8">
        <v>8</v>
      </c>
      <c r="E118" s="30"/>
      <c r="F118" s="31"/>
      <c r="G118" s="30"/>
      <c r="H118" s="31"/>
      <c r="I118" s="30"/>
      <c r="J118" s="31"/>
    </row>
    <row r="119" spans="1:27" ht="14.25" customHeight="1">
      <c r="A119" s="49"/>
      <c r="B119" s="51"/>
      <c r="C119" s="8"/>
      <c r="D119" s="8"/>
      <c r="E119" s="30"/>
      <c r="F119" s="31"/>
      <c r="G119" s="30"/>
      <c r="H119" s="31"/>
      <c r="I119" s="30"/>
      <c r="J119" s="31"/>
    </row>
    <row r="120" spans="1:27" ht="14.25" customHeight="1">
      <c r="A120" s="41" t="s">
        <v>45</v>
      </c>
      <c r="B120" s="42"/>
      <c r="C120" s="42"/>
      <c r="D120" s="42"/>
      <c r="E120" s="42"/>
      <c r="F120" s="42"/>
      <c r="G120" s="42"/>
      <c r="H120" s="42"/>
      <c r="I120" s="42"/>
      <c r="J120" s="43"/>
    </row>
    <row r="121" spans="1:27" ht="14.25" customHeight="1">
      <c r="A121" s="44"/>
      <c r="B121" s="45"/>
      <c r="C121" s="45"/>
      <c r="D121" s="45"/>
      <c r="E121" s="45"/>
      <c r="F121" s="45"/>
      <c r="G121" s="45"/>
      <c r="H121" s="45"/>
      <c r="I121" s="45"/>
      <c r="J121" s="46"/>
    </row>
    <row r="122" spans="1:27" ht="14.25" customHeight="1">
      <c r="A122" s="80" t="s">
        <v>52</v>
      </c>
      <c r="B122" s="81"/>
      <c r="C122" s="81"/>
      <c r="D122" s="81"/>
      <c r="E122" s="81"/>
      <c r="F122" s="81"/>
      <c r="G122" s="81"/>
      <c r="H122" s="81"/>
      <c r="I122" s="81"/>
      <c r="J122" s="82"/>
      <c r="M122" s="4"/>
      <c r="N122" s="5"/>
      <c r="O122" s="6"/>
      <c r="S122" s="6"/>
      <c r="W122" s="6"/>
      <c r="AA122" s="6"/>
    </row>
    <row r="123" spans="1:27" ht="14.25" customHeight="1">
      <c r="A123" s="83"/>
      <c r="B123" s="84"/>
      <c r="C123" s="84"/>
      <c r="D123" s="84"/>
      <c r="E123" s="84"/>
      <c r="F123" s="84"/>
      <c r="G123" s="84"/>
      <c r="H123" s="84"/>
      <c r="I123" s="84"/>
      <c r="J123" s="85"/>
    </row>
    <row r="124" spans="1:27" ht="14.25" customHeight="1">
      <c r="A124" s="83"/>
      <c r="B124" s="84"/>
      <c r="C124" s="84"/>
      <c r="D124" s="84"/>
      <c r="E124" s="84"/>
      <c r="F124" s="84"/>
      <c r="G124" s="84"/>
      <c r="H124" s="84"/>
      <c r="I124" s="84"/>
      <c r="J124" s="85"/>
    </row>
    <row r="125" spans="1:27" ht="14.25" customHeight="1">
      <c r="A125" s="83"/>
      <c r="B125" s="84"/>
      <c r="C125" s="84"/>
      <c r="D125" s="84"/>
      <c r="E125" s="84"/>
      <c r="F125" s="84"/>
      <c r="G125" s="84"/>
      <c r="H125" s="84"/>
      <c r="I125" s="84"/>
      <c r="J125" s="85"/>
    </row>
    <row r="126" spans="1:27" ht="14.25" customHeight="1">
      <c r="A126" s="83"/>
      <c r="B126" s="84"/>
      <c r="C126" s="84"/>
      <c r="D126" s="84"/>
      <c r="E126" s="84"/>
      <c r="F126" s="84"/>
      <c r="G126" s="84"/>
      <c r="H126" s="84"/>
      <c r="I126" s="84"/>
      <c r="J126" s="85"/>
    </row>
    <row r="127" spans="1:27" ht="14.25" customHeight="1">
      <c r="A127" s="83"/>
      <c r="B127" s="84"/>
      <c r="C127" s="84"/>
      <c r="D127" s="84"/>
      <c r="E127" s="84"/>
      <c r="F127" s="84"/>
      <c r="G127" s="84"/>
      <c r="H127" s="84"/>
      <c r="I127" s="84"/>
      <c r="J127" s="85"/>
    </row>
    <row r="128" spans="1:27" ht="14.25" customHeight="1">
      <c r="A128" s="86"/>
      <c r="B128" s="87"/>
      <c r="C128" s="87"/>
      <c r="D128" s="87"/>
      <c r="E128" s="87"/>
      <c r="F128" s="87"/>
      <c r="G128" s="87"/>
      <c r="H128" s="87"/>
      <c r="I128" s="87"/>
      <c r="J128" s="88"/>
    </row>
    <row r="129" spans="1:10" ht="14.25" customHeight="1">
      <c r="A129" s="89" t="s">
        <v>33</v>
      </c>
      <c r="B129" s="90"/>
      <c r="C129" s="90"/>
      <c r="D129" s="90"/>
      <c r="E129" s="90"/>
      <c r="F129" s="90"/>
      <c r="G129" s="90"/>
      <c r="H129" s="90"/>
      <c r="I129" s="90"/>
      <c r="J129" s="91"/>
    </row>
    <row r="130" spans="1:10" ht="14.25" customHeight="1">
      <c r="A130" s="92"/>
      <c r="B130" s="93"/>
      <c r="C130" s="93"/>
      <c r="D130" s="93"/>
      <c r="E130" s="93"/>
      <c r="F130" s="93"/>
      <c r="G130" s="93"/>
      <c r="H130" s="93"/>
      <c r="I130" s="93"/>
      <c r="J130" s="94"/>
    </row>
    <row r="131" spans="1:10" ht="14.25" customHeight="1">
      <c r="A131" s="89" t="s">
        <v>34</v>
      </c>
      <c r="B131" s="90"/>
      <c r="C131" s="90"/>
      <c r="D131" s="90"/>
      <c r="E131" s="90"/>
      <c r="F131" s="90"/>
      <c r="G131" s="90"/>
      <c r="H131" s="90"/>
      <c r="I131" s="90"/>
      <c r="J131" s="91"/>
    </row>
    <row r="132" spans="1:10" ht="14.25" customHeight="1">
      <c r="A132" s="92"/>
      <c r="B132" s="93"/>
      <c r="C132" s="93"/>
      <c r="D132" s="93"/>
      <c r="E132" s="93"/>
      <c r="F132" s="93"/>
      <c r="G132" s="93"/>
      <c r="H132" s="93"/>
      <c r="I132" s="93"/>
      <c r="J132" s="94"/>
    </row>
    <row r="133" spans="1:10" ht="14.25" customHeight="1">
      <c r="A133" s="89" t="s">
        <v>94</v>
      </c>
      <c r="B133" s="90"/>
      <c r="C133" s="90"/>
      <c r="D133" s="90"/>
      <c r="E133" s="90"/>
      <c r="F133" s="90"/>
      <c r="G133" s="90"/>
      <c r="H133" s="90"/>
      <c r="I133" s="90"/>
      <c r="J133" s="91"/>
    </row>
    <row r="134" spans="1:10" ht="14.25" customHeight="1">
      <c r="A134" s="92"/>
      <c r="B134" s="93"/>
      <c r="C134" s="93"/>
      <c r="D134" s="93"/>
      <c r="E134" s="93"/>
      <c r="F134" s="93"/>
      <c r="G134" s="93"/>
      <c r="H134" s="93"/>
      <c r="I134" s="93"/>
      <c r="J134" s="94"/>
    </row>
    <row r="135" spans="1:10" ht="14.25" customHeight="1">
      <c r="A135" s="89" t="s">
        <v>35</v>
      </c>
      <c r="B135" s="90"/>
      <c r="C135" s="90"/>
      <c r="D135" s="90"/>
      <c r="E135" s="90"/>
      <c r="F135" s="90"/>
      <c r="G135" s="90"/>
      <c r="H135" s="90"/>
      <c r="I135" s="90"/>
      <c r="J135" s="91"/>
    </row>
    <row r="136" spans="1:10" ht="14.25" customHeight="1">
      <c r="A136" s="92"/>
      <c r="B136" s="93"/>
      <c r="C136" s="93"/>
      <c r="D136" s="93"/>
      <c r="E136" s="93"/>
      <c r="F136" s="93"/>
      <c r="G136" s="93"/>
      <c r="H136" s="93"/>
      <c r="I136" s="93"/>
      <c r="J136" s="94"/>
    </row>
    <row r="137" spans="1:10" ht="14.25" customHeight="1">
      <c r="A137" s="99" t="s">
        <v>36</v>
      </c>
      <c r="B137" s="99"/>
      <c r="C137" s="99"/>
      <c r="D137" s="99"/>
      <c r="E137" s="99"/>
      <c r="F137" s="99"/>
      <c r="G137" s="99"/>
      <c r="H137" s="99"/>
      <c r="I137" s="99"/>
      <c r="J137" s="99"/>
    </row>
    <row r="138" spans="1:10" ht="14.25" customHeight="1">
      <c r="A138" s="95" t="s">
        <v>37</v>
      </c>
      <c r="B138" s="95"/>
      <c r="C138" s="95"/>
      <c r="D138" s="95"/>
      <c r="E138" s="95"/>
      <c r="F138" s="95"/>
      <c r="G138" s="95"/>
      <c r="H138" s="95"/>
      <c r="I138" s="95"/>
      <c r="J138" s="95"/>
    </row>
    <row r="139" spans="1:10" ht="14.25" customHeight="1">
      <c r="A139" s="95" t="s">
        <v>38</v>
      </c>
      <c r="B139" s="95"/>
      <c r="C139" s="95"/>
      <c r="D139" s="95"/>
      <c r="E139" s="95"/>
      <c r="F139" s="95"/>
      <c r="G139" s="95"/>
      <c r="H139" s="95"/>
      <c r="I139" s="95"/>
      <c r="J139" s="95"/>
    </row>
    <row r="140" spans="1:10" ht="14.25" customHeight="1">
      <c r="A140" s="95" t="s">
        <v>39</v>
      </c>
      <c r="B140" s="95"/>
      <c r="C140" s="95"/>
      <c r="D140" s="95"/>
      <c r="E140" s="95"/>
      <c r="F140" s="95"/>
      <c r="G140" s="95"/>
      <c r="H140" s="95"/>
      <c r="I140" s="95"/>
      <c r="J140" s="95"/>
    </row>
    <row r="141" spans="1:10" ht="14.25" customHeight="1">
      <c r="A141" s="95" t="s">
        <v>40</v>
      </c>
      <c r="B141" s="95"/>
      <c r="C141" s="95"/>
      <c r="D141" s="95"/>
      <c r="E141" s="95"/>
      <c r="F141" s="95"/>
      <c r="G141" s="95"/>
      <c r="H141" s="95"/>
      <c r="I141" s="95"/>
      <c r="J141" s="95"/>
    </row>
    <row r="142" spans="1:10" ht="14.25" customHeight="1">
      <c r="A142" s="95" t="s">
        <v>41</v>
      </c>
      <c r="B142" s="95"/>
      <c r="C142" s="95"/>
      <c r="D142" s="95"/>
      <c r="E142" s="95"/>
      <c r="F142" s="95"/>
      <c r="G142" s="95"/>
      <c r="H142" s="95"/>
      <c r="I142" s="95"/>
      <c r="J142" s="95"/>
    </row>
    <row r="143" spans="1:10" ht="14.25" customHeight="1">
      <c r="A143" s="95" t="s">
        <v>42</v>
      </c>
      <c r="B143" s="95"/>
      <c r="C143" s="95"/>
      <c r="D143" s="95"/>
      <c r="E143" s="95"/>
      <c r="F143" s="95"/>
      <c r="G143" s="95"/>
      <c r="H143" s="95"/>
      <c r="I143" s="95"/>
      <c r="J143" s="95"/>
    </row>
    <row r="144" spans="1:10" ht="14.25" customHeight="1">
      <c r="A144" s="100" t="s">
        <v>43</v>
      </c>
      <c r="B144" s="100"/>
      <c r="C144" s="100"/>
      <c r="D144" s="100"/>
      <c r="E144" s="100"/>
      <c r="F144" s="100"/>
      <c r="G144" s="100"/>
      <c r="H144" s="100"/>
      <c r="I144" s="100"/>
      <c r="J144" s="100"/>
    </row>
    <row r="145" spans="1:13" ht="14.25" customHeight="1">
      <c r="A145" s="95" t="s">
        <v>44</v>
      </c>
      <c r="B145" s="95"/>
      <c r="C145" s="95"/>
      <c r="D145" s="95"/>
      <c r="E145" s="95"/>
      <c r="F145" s="95"/>
      <c r="G145" s="95"/>
      <c r="H145" s="95"/>
      <c r="I145" s="95"/>
      <c r="J145" s="95"/>
    </row>
    <row r="146" spans="1:13" ht="29.25" customHeight="1">
      <c r="A146" s="96" t="s">
        <v>51</v>
      </c>
      <c r="B146" s="96"/>
      <c r="C146" s="96"/>
      <c r="D146" s="96"/>
      <c r="E146" s="96"/>
      <c r="F146" s="96"/>
      <c r="G146" s="96"/>
      <c r="H146" s="96"/>
      <c r="I146" s="96"/>
      <c r="J146" s="96"/>
    </row>
    <row r="147" spans="1:13" ht="14.25" customHeight="1">
      <c r="A147" s="101" t="s">
        <v>49</v>
      </c>
      <c r="B147" s="101"/>
      <c r="C147" s="101"/>
      <c r="D147" s="101"/>
      <c r="E147" s="101"/>
      <c r="F147" s="101"/>
      <c r="G147" s="101"/>
      <c r="H147" s="101"/>
      <c r="I147" s="101"/>
      <c r="J147" s="101"/>
    </row>
    <row r="148" spans="1:13" ht="14.25" customHeight="1"/>
    <row r="149" spans="1:13" ht="14.25" customHeight="1">
      <c r="A149" s="33" t="s">
        <v>0</v>
      </c>
      <c r="B149" s="33"/>
      <c r="C149" s="33"/>
      <c r="D149" s="33"/>
      <c r="E149" s="33"/>
      <c r="F149" s="33"/>
      <c r="G149" s="33"/>
      <c r="H149" s="33"/>
      <c r="I149" s="33"/>
      <c r="J149" s="33"/>
    </row>
    <row r="150" spans="1:13">
      <c r="A150" s="2" t="s">
        <v>1</v>
      </c>
      <c r="B150" s="3" t="str">
        <f>"GD-"&amp;IF(LEN(E154)=2,TEXT(LEFT(E154,1),"000"),IF(LEN(E154)=3,TEXT(LEFT(E154,2),"000"),TEXT(LEFT(E154,3),"000")))</f>
        <v>GD-003</v>
      </c>
      <c r="C150" s="2"/>
      <c r="D150" s="2"/>
      <c r="E150" s="2"/>
      <c r="F150" s="2"/>
      <c r="G150" s="2"/>
      <c r="H150" s="2"/>
      <c r="I150" s="2"/>
      <c r="J150" s="2"/>
    </row>
    <row r="151" spans="1:13" ht="14.25" customHeight="1">
      <c r="A151" s="34" t="s">
        <v>2</v>
      </c>
      <c r="B151" s="34"/>
      <c r="C151" s="34"/>
      <c r="D151" s="34"/>
      <c r="E151" s="34"/>
      <c r="F151" s="35" t="s">
        <v>3</v>
      </c>
      <c r="G151" s="35"/>
      <c r="H151" s="36">
        <f>H77+1</f>
        <v>45644</v>
      </c>
      <c r="I151" s="36"/>
      <c r="J151" s="7" t="str">
        <f>"("&amp;TEXT(H151,"[$-404]aaaa;@")&amp;")"</f>
        <v>(星期三)</v>
      </c>
    </row>
    <row r="152" spans="1:13" ht="14.25" customHeight="1">
      <c r="A152" s="37" t="s">
        <v>4</v>
      </c>
      <c r="B152" s="38"/>
      <c r="C152" s="41" t="str">
        <f>C78</f>
        <v>雲林縣成功國小思源堂整修工程</v>
      </c>
      <c r="D152" s="42"/>
      <c r="E152" s="43"/>
      <c r="F152" s="37" t="s">
        <v>5</v>
      </c>
      <c r="G152" s="38"/>
      <c r="H152" s="37" t="str">
        <f>H78</f>
        <v>正郁室內裝修</v>
      </c>
      <c r="I152" s="47"/>
      <c r="J152" s="38"/>
    </row>
    <row r="153" spans="1:13" ht="14.25" customHeight="1">
      <c r="A153" s="39"/>
      <c r="B153" s="40"/>
      <c r="C153" s="44"/>
      <c r="D153" s="45"/>
      <c r="E153" s="46"/>
      <c r="F153" s="39"/>
      <c r="G153" s="40"/>
      <c r="H153" s="39"/>
      <c r="I153" s="48"/>
      <c r="J153" s="40"/>
    </row>
    <row r="154" spans="1:13" ht="14.25" customHeight="1">
      <c r="A154" s="8" t="s">
        <v>7</v>
      </c>
      <c r="B154" s="8" t="str">
        <f>B80</f>
        <v>60天</v>
      </c>
      <c r="C154" s="30" t="s">
        <v>8</v>
      </c>
      <c r="D154" s="31"/>
      <c r="E154" s="8" t="str">
        <f>IF(LEN(E80)&gt;2,(LEFT(E80,2)+1),(LEFT(E80,1)+1))&amp;"天"</f>
        <v>3天</v>
      </c>
      <c r="F154" s="8" t="s">
        <v>9</v>
      </c>
      <c r="G154" s="8" t="str">
        <f>IF(LEN(E154)&gt;2,LEFT(B154,2)-LEFT(E154,2),LEFT(B154,2)-LEFT(E154,1))&amp;"天"</f>
        <v>57天</v>
      </c>
      <c r="H154" s="30" t="s">
        <v>10</v>
      </c>
      <c r="I154" s="31"/>
      <c r="J154" s="8" t="str">
        <f>J80</f>
        <v>0天</v>
      </c>
    </row>
    <row r="155" spans="1:13" ht="14.25" customHeight="1">
      <c r="A155" s="30" t="s">
        <v>12</v>
      </c>
      <c r="B155" s="31"/>
      <c r="C155" s="30" t="str">
        <f>C81</f>
        <v>113年12月16日</v>
      </c>
      <c r="D155" s="32"/>
      <c r="E155" s="31"/>
      <c r="F155" s="30" t="s">
        <v>13</v>
      </c>
      <c r="G155" s="31"/>
      <c r="H155" s="30" t="str">
        <f>H81</f>
        <v>114年02月13日</v>
      </c>
      <c r="I155" s="32"/>
      <c r="J155" s="31"/>
    </row>
    <row r="156" spans="1:13" ht="14.25" customHeight="1">
      <c r="A156" s="30" t="s">
        <v>14</v>
      </c>
      <c r="B156" s="31"/>
      <c r="C156" s="57">
        <f>(5%/12)*3</f>
        <v>1.2500000000000001E-2</v>
      </c>
      <c r="D156" s="58"/>
      <c r="E156" s="59"/>
      <c r="F156" s="30" t="s">
        <v>15</v>
      </c>
      <c r="G156" s="31"/>
      <c r="H156" s="57">
        <f>ROUND(L183/L184,5)+H82</f>
        <v>0.10177</v>
      </c>
      <c r="I156" s="58"/>
      <c r="J156" s="59"/>
      <c r="K156" s="26" t="s">
        <v>69</v>
      </c>
      <c r="L156" s="22"/>
      <c r="M156" s="4"/>
    </row>
    <row r="157" spans="1:13" ht="14.25" customHeight="1">
      <c r="A157" s="49" t="s">
        <v>16</v>
      </c>
      <c r="B157" s="50"/>
      <c r="C157" s="50"/>
      <c r="D157" s="50"/>
      <c r="E157" s="50"/>
      <c r="F157" s="50"/>
      <c r="G157" s="50"/>
      <c r="H157" s="50"/>
      <c r="I157" s="50"/>
      <c r="J157" s="51"/>
      <c r="L157" s="22"/>
      <c r="M157" s="4"/>
    </row>
    <row r="158" spans="1:13" ht="14.25" customHeight="1">
      <c r="A158" s="30" t="s">
        <v>17</v>
      </c>
      <c r="B158" s="32"/>
      <c r="C158" s="31"/>
      <c r="D158" s="8" t="s">
        <v>18</v>
      </c>
      <c r="E158" s="17" t="s">
        <v>19</v>
      </c>
      <c r="F158" s="30" t="s">
        <v>20</v>
      </c>
      <c r="G158" s="31"/>
      <c r="H158" s="30" t="s">
        <v>21</v>
      </c>
      <c r="I158" s="31"/>
      <c r="J158" s="8" t="s">
        <v>22</v>
      </c>
      <c r="L158" s="22"/>
      <c r="M158" s="4"/>
    </row>
    <row r="159" spans="1:13" ht="14.25" customHeight="1">
      <c r="A159" s="49" t="s">
        <v>56</v>
      </c>
      <c r="B159" s="50"/>
      <c r="C159" s="50"/>
      <c r="D159" s="50"/>
      <c r="E159" s="50"/>
      <c r="F159" s="50"/>
      <c r="G159" s="50"/>
      <c r="H159" s="50"/>
      <c r="I159" s="50"/>
      <c r="J159" s="51"/>
    </row>
    <row r="160" spans="1:13" ht="14.25" customHeight="1">
      <c r="A160" s="55" t="s">
        <v>57</v>
      </c>
      <c r="B160" s="50"/>
      <c r="C160" s="51"/>
      <c r="D160" s="24" t="s">
        <v>59</v>
      </c>
      <c r="E160" s="23">
        <v>1</v>
      </c>
      <c r="F160" s="54"/>
      <c r="G160" s="56"/>
      <c r="H160" s="54">
        <f t="shared" ref="H160:H182" si="6">F160+H86</f>
        <v>1</v>
      </c>
      <c r="I160" s="31"/>
      <c r="J160" s="16"/>
      <c r="K160" s="27">
        <v>800</v>
      </c>
      <c r="L160" s="29">
        <f t="shared" ref="L160:L182" si="7">ROUND(K160*F160,0)</f>
        <v>0</v>
      </c>
    </row>
    <row r="161" spans="1:12" ht="14.25" customHeight="1">
      <c r="A161" s="55" t="s">
        <v>75</v>
      </c>
      <c r="B161" s="50"/>
      <c r="C161" s="51"/>
      <c r="D161" s="24" t="s">
        <v>59</v>
      </c>
      <c r="E161" s="23">
        <v>1</v>
      </c>
      <c r="F161" s="52"/>
      <c r="G161" s="53"/>
      <c r="H161" s="54">
        <f t="shared" si="6"/>
        <v>1</v>
      </c>
      <c r="I161" s="31"/>
      <c r="J161" s="8"/>
      <c r="K161" s="27">
        <v>500</v>
      </c>
      <c r="L161" s="29">
        <f t="shared" si="7"/>
        <v>0</v>
      </c>
    </row>
    <row r="162" spans="1:12" ht="14.25" customHeight="1">
      <c r="A162" s="49" t="s">
        <v>58</v>
      </c>
      <c r="B162" s="50"/>
      <c r="C162" s="51"/>
      <c r="D162" s="24" t="s">
        <v>61</v>
      </c>
      <c r="E162" s="23">
        <v>51</v>
      </c>
      <c r="F162" s="52"/>
      <c r="G162" s="53"/>
      <c r="H162" s="54">
        <f t="shared" si="6"/>
        <v>51</v>
      </c>
      <c r="I162" s="31"/>
      <c r="J162" s="10"/>
      <c r="K162" s="27">
        <v>50</v>
      </c>
      <c r="L162" s="29">
        <f t="shared" si="7"/>
        <v>0</v>
      </c>
    </row>
    <row r="163" spans="1:12" ht="14.25" customHeight="1">
      <c r="A163" s="55" t="s">
        <v>76</v>
      </c>
      <c r="B163" s="50"/>
      <c r="C163" s="51"/>
      <c r="D163" s="24" t="s">
        <v>60</v>
      </c>
      <c r="E163" s="23">
        <v>1</v>
      </c>
      <c r="F163" s="52"/>
      <c r="G163" s="53"/>
      <c r="H163" s="54">
        <f t="shared" si="6"/>
        <v>0</v>
      </c>
      <c r="I163" s="31"/>
      <c r="J163" s="16"/>
      <c r="K163" s="27">
        <v>3000</v>
      </c>
      <c r="L163" s="29">
        <f t="shared" si="7"/>
        <v>0</v>
      </c>
    </row>
    <row r="164" spans="1:12" ht="14.25" customHeight="1">
      <c r="A164" s="55" t="s">
        <v>77</v>
      </c>
      <c r="B164" s="50"/>
      <c r="C164" s="51"/>
      <c r="D164" s="25" t="s">
        <v>60</v>
      </c>
      <c r="E164" s="23">
        <v>1</v>
      </c>
      <c r="F164" s="52"/>
      <c r="G164" s="53"/>
      <c r="H164" s="54">
        <f t="shared" si="6"/>
        <v>0</v>
      </c>
      <c r="I164" s="31"/>
      <c r="J164" s="8"/>
      <c r="K164" s="27">
        <v>3000</v>
      </c>
      <c r="L164" s="29">
        <f t="shared" si="7"/>
        <v>0</v>
      </c>
    </row>
    <row r="165" spans="1:12" ht="28.5" customHeight="1">
      <c r="A165" s="55" t="s">
        <v>78</v>
      </c>
      <c r="B165" s="64"/>
      <c r="C165" s="65"/>
      <c r="D165" s="25" t="s">
        <v>62</v>
      </c>
      <c r="E165" s="23">
        <v>328</v>
      </c>
      <c r="F165" s="30"/>
      <c r="G165" s="63"/>
      <c r="H165" s="54">
        <f t="shared" si="6"/>
        <v>0</v>
      </c>
      <c r="I165" s="31"/>
      <c r="J165" s="8"/>
      <c r="K165" s="28">
        <v>100</v>
      </c>
      <c r="L165" s="29">
        <f t="shared" si="7"/>
        <v>0</v>
      </c>
    </row>
    <row r="166" spans="1:12" ht="14.25" customHeight="1">
      <c r="A166" s="60" t="s">
        <v>79</v>
      </c>
      <c r="B166" s="61"/>
      <c r="C166" s="61"/>
      <c r="D166" s="25" t="s">
        <v>61</v>
      </c>
      <c r="E166" s="23">
        <v>21</v>
      </c>
      <c r="F166" s="62"/>
      <c r="G166" s="62"/>
      <c r="H166" s="54">
        <f t="shared" si="6"/>
        <v>0</v>
      </c>
      <c r="I166" s="31"/>
      <c r="J166" s="8"/>
      <c r="K166" s="27">
        <v>2500</v>
      </c>
      <c r="L166" s="29">
        <f t="shared" si="7"/>
        <v>0</v>
      </c>
    </row>
    <row r="167" spans="1:12" ht="28.5" customHeight="1">
      <c r="A167" s="55" t="s">
        <v>80</v>
      </c>
      <c r="B167" s="64"/>
      <c r="C167" s="65"/>
      <c r="D167" s="25" t="s">
        <v>81</v>
      </c>
      <c r="E167" s="23">
        <v>5</v>
      </c>
      <c r="F167" s="30"/>
      <c r="G167" s="63"/>
      <c r="H167" s="54">
        <f t="shared" si="6"/>
        <v>0</v>
      </c>
      <c r="I167" s="31"/>
      <c r="J167" s="8"/>
      <c r="K167" s="27">
        <v>5000</v>
      </c>
      <c r="L167" s="29">
        <f t="shared" si="7"/>
        <v>0</v>
      </c>
    </row>
    <row r="168" spans="1:12" ht="14.25" customHeight="1">
      <c r="A168" s="60" t="s">
        <v>82</v>
      </c>
      <c r="B168" s="61"/>
      <c r="C168" s="61"/>
      <c r="D168" s="25" t="s">
        <v>62</v>
      </c>
      <c r="E168" s="23">
        <v>218</v>
      </c>
      <c r="F168" s="62"/>
      <c r="G168" s="62"/>
      <c r="H168" s="54">
        <f t="shared" si="6"/>
        <v>0</v>
      </c>
      <c r="I168" s="31"/>
      <c r="J168" s="8"/>
      <c r="K168" s="27">
        <v>1000</v>
      </c>
      <c r="L168" s="29">
        <f t="shared" si="7"/>
        <v>0</v>
      </c>
    </row>
    <row r="169" spans="1:12" ht="14.25" customHeight="1">
      <c r="A169" s="61" t="s">
        <v>83</v>
      </c>
      <c r="B169" s="61"/>
      <c r="C169" s="61"/>
      <c r="D169" s="25" t="s">
        <v>81</v>
      </c>
      <c r="E169" s="23">
        <v>28</v>
      </c>
      <c r="F169" s="30"/>
      <c r="G169" s="63"/>
      <c r="H169" s="54">
        <f t="shared" si="6"/>
        <v>0</v>
      </c>
      <c r="I169" s="31"/>
      <c r="J169" s="8"/>
      <c r="K169" s="27">
        <v>2000</v>
      </c>
      <c r="L169" s="29">
        <f t="shared" si="7"/>
        <v>0</v>
      </c>
    </row>
    <row r="170" spans="1:12" ht="28.5" customHeight="1">
      <c r="A170" s="60" t="s">
        <v>84</v>
      </c>
      <c r="B170" s="61"/>
      <c r="C170" s="61"/>
      <c r="D170" s="25" t="s">
        <v>62</v>
      </c>
      <c r="E170" s="23">
        <v>245</v>
      </c>
      <c r="F170" s="62"/>
      <c r="G170" s="62"/>
      <c r="H170" s="54">
        <f t="shared" si="6"/>
        <v>0</v>
      </c>
      <c r="I170" s="31"/>
      <c r="J170" s="8"/>
      <c r="K170" s="27">
        <v>1500</v>
      </c>
      <c r="L170" s="29">
        <f t="shared" si="7"/>
        <v>0</v>
      </c>
    </row>
    <row r="171" spans="1:12" ht="14.25" customHeight="1">
      <c r="A171" s="61" t="s">
        <v>85</v>
      </c>
      <c r="B171" s="61"/>
      <c r="C171" s="61"/>
      <c r="D171" s="25" t="s">
        <v>62</v>
      </c>
      <c r="E171" s="23">
        <v>83</v>
      </c>
      <c r="F171" s="30"/>
      <c r="G171" s="63"/>
      <c r="H171" s="54">
        <f t="shared" si="6"/>
        <v>0</v>
      </c>
      <c r="I171" s="31"/>
      <c r="J171" s="8"/>
      <c r="K171" s="27">
        <v>1000</v>
      </c>
      <c r="L171" s="29">
        <f t="shared" si="7"/>
        <v>0</v>
      </c>
    </row>
    <row r="172" spans="1:12" ht="30" customHeight="1">
      <c r="A172" s="60" t="s">
        <v>86</v>
      </c>
      <c r="B172" s="61"/>
      <c r="C172" s="61"/>
      <c r="D172" s="25" t="s">
        <v>62</v>
      </c>
      <c r="E172" s="23">
        <v>164</v>
      </c>
      <c r="F172" s="62"/>
      <c r="G172" s="62"/>
      <c r="H172" s="54">
        <f t="shared" si="6"/>
        <v>0</v>
      </c>
      <c r="I172" s="31"/>
      <c r="J172" s="8"/>
      <c r="K172" s="27">
        <v>500</v>
      </c>
      <c r="L172" s="29">
        <f t="shared" si="7"/>
        <v>0</v>
      </c>
    </row>
    <row r="173" spans="1:12" ht="14.25" customHeight="1">
      <c r="A173" s="60" t="s">
        <v>87</v>
      </c>
      <c r="B173" s="61"/>
      <c r="C173" s="61"/>
      <c r="D173" s="25" t="s">
        <v>62</v>
      </c>
      <c r="E173" s="23">
        <v>37</v>
      </c>
      <c r="F173" s="30"/>
      <c r="G173" s="63"/>
      <c r="H173" s="54">
        <f t="shared" si="6"/>
        <v>30</v>
      </c>
      <c r="I173" s="31"/>
      <c r="J173" s="8"/>
      <c r="K173" s="27">
        <v>1000</v>
      </c>
      <c r="L173" s="29">
        <f t="shared" si="7"/>
        <v>0</v>
      </c>
    </row>
    <row r="174" spans="1:12" ht="14.25" customHeight="1">
      <c r="A174" s="61" t="s">
        <v>88</v>
      </c>
      <c r="B174" s="61"/>
      <c r="C174" s="61"/>
      <c r="D174" s="25" t="s">
        <v>60</v>
      </c>
      <c r="E174" s="23">
        <v>1</v>
      </c>
      <c r="F174" s="62">
        <v>0.25</v>
      </c>
      <c r="G174" s="62"/>
      <c r="H174" s="52">
        <f t="shared" si="6"/>
        <v>0.5</v>
      </c>
      <c r="I174" s="53"/>
      <c r="J174" s="8"/>
      <c r="K174" s="27">
        <v>250000</v>
      </c>
      <c r="L174" s="29">
        <f t="shared" si="7"/>
        <v>62500</v>
      </c>
    </row>
    <row r="175" spans="1:12" ht="14.25" customHeight="1">
      <c r="A175" s="61" t="s">
        <v>89</v>
      </c>
      <c r="B175" s="61"/>
      <c r="C175" s="61"/>
      <c r="D175" s="25" t="s">
        <v>62</v>
      </c>
      <c r="E175" s="23">
        <v>81</v>
      </c>
      <c r="F175" s="30"/>
      <c r="G175" s="63"/>
      <c r="H175" s="54">
        <f t="shared" si="6"/>
        <v>0</v>
      </c>
      <c r="I175" s="31"/>
      <c r="J175" s="8"/>
      <c r="K175" s="27">
        <v>500</v>
      </c>
      <c r="L175" s="29">
        <f t="shared" si="7"/>
        <v>0</v>
      </c>
    </row>
    <row r="176" spans="1:12" ht="29.25" customHeight="1">
      <c r="A176" s="60" t="s">
        <v>90</v>
      </c>
      <c r="B176" s="61"/>
      <c r="C176" s="61"/>
      <c r="D176" s="25" t="s">
        <v>62</v>
      </c>
      <c r="E176" s="23">
        <v>42</v>
      </c>
      <c r="F176" s="62"/>
      <c r="G176" s="62"/>
      <c r="H176" s="54">
        <f t="shared" si="6"/>
        <v>0</v>
      </c>
      <c r="I176" s="31"/>
      <c r="J176" s="8"/>
      <c r="K176" s="27">
        <v>1800</v>
      </c>
      <c r="L176" s="29">
        <f t="shared" si="7"/>
        <v>0</v>
      </c>
    </row>
    <row r="177" spans="1:13" ht="14.25" customHeight="1">
      <c r="A177" s="60" t="s">
        <v>91</v>
      </c>
      <c r="B177" s="61"/>
      <c r="C177" s="61"/>
      <c r="D177" s="25" t="s">
        <v>60</v>
      </c>
      <c r="E177" s="23">
        <v>1</v>
      </c>
      <c r="F177" s="30"/>
      <c r="G177" s="63"/>
      <c r="H177" s="54">
        <f t="shared" si="6"/>
        <v>0</v>
      </c>
      <c r="I177" s="31"/>
      <c r="J177" s="8"/>
      <c r="K177" s="27">
        <v>30000</v>
      </c>
      <c r="L177" s="29">
        <f t="shared" si="7"/>
        <v>0</v>
      </c>
    </row>
    <row r="178" spans="1:13" ht="14.25" customHeight="1">
      <c r="A178" s="61" t="s">
        <v>92</v>
      </c>
      <c r="B178" s="61"/>
      <c r="C178" s="61"/>
      <c r="D178" s="25" t="s">
        <v>60</v>
      </c>
      <c r="E178" s="23">
        <v>1</v>
      </c>
      <c r="F178" s="62"/>
      <c r="G178" s="62"/>
      <c r="H178" s="54">
        <f t="shared" si="6"/>
        <v>0</v>
      </c>
      <c r="I178" s="31"/>
      <c r="J178" s="8"/>
      <c r="K178" s="27">
        <v>13598</v>
      </c>
      <c r="L178" s="29">
        <f t="shared" si="7"/>
        <v>0</v>
      </c>
    </row>
    <row r="179" spans="1:13" ht="14.25" customHeight="1">
      <c r="A179" s="61" t="s">
        <v>93</v>
      </c>
      <c r="B179" s="61"/>
      <c r="C179" s="61"/>
      <c r="D179" s="25" t="s">
        <v>60</v>
      </c>
      <c r="E179" s="23">
        <v>1</v>
      </c>
      <c r="F179" s="62"/>
      <c r="G179" s="62"/>
      <c r="H179" s="54">
        <f t="shared" si="6"/>
        <v>0</v>
      </c>
      <c r="I179" s="31"/>
      <c r="J179" s="8"/>
      <c r="K179" s="27">
        <v>13598</v>
      </c>
      <c r="L179" s="29">
        <f t="shared" si="7"/>
        <v>0</v>
      </c>
    </row>
    <row r="180" spans="1:13" ht="14.25" customHeight="1">
      <c r="A180" s="61" t="s">
        <v>64</v>
      </c>
      <c r="B180" s="61"/>
      <c r="C180" s="61"/>
      <c r="D180" s="25" t="s">
        <v>60</v>
      </c>
      <c r="E180" s="23">
        <v>1</v>
      </c>
      <c r="F180" s="62"/>
      <c r="G180" s="62"/>
      <c r="H180" s="54">
        <f t="shared" si="6"/>
        <v>0</v>
      </c>
      <c r="I180" s="31"/>
      <c r="J180" s="8"/>
      <c r="K180" s="27">
        <v>95182</v>
      </c>
      <c r="L180" s="29">
        <f t="shared" si="7"/>
        <v>0</v>
      </c>
    </row>
    <row r="181" spans="1:13" ht="14.25" customHeight="1">
      <c r="A181" s="61" t="s">
        <v>65</v>
      </c>
      <c r="B181" s="61"/>
      <c r="C181" s="61"/>
      <c r="D181" s="25" t="s">
        <v>60</v>
      </c>
      <c r="E181" s="23">
        <v>1</v>
      </c>
      <c r="F181" s="62"/>
      <c r="G181" s="62"/>
      <c r="H181" s="54">
        <f t="shared" si="6"/>
        <v>0</v>
      </c>
      <c r="I181" s="31"/>
      <c r="J181" s="8"/>
      <c r="K181" s="27">
        <v>4513</v>
      </c>
      <c r="L181" s="29">
        <f t="shared" si="7"/>
        <v>0</v>
      </c>
    </row>
    <row r="182" spans="1:13" ht="14.25" customHeight="1" thickBot="1">
      <c r="A182" s="61" t="s">
        <v>66</v>
      </c>
      <c r="B182" s="61"/>
      <c r="C182" s="61"/>
      <c r="D182" s="25" t="s">
        <v>60</v>
      </c>
      <c r="E182" s="23">
        <v>1</v>
      </c>
      <c r="F182" s="62"/>
      <c r="G182" s="62"/>
      <c r="H182" s="54">
        <f t="shared" si="6"/>
        <v>0</v>
      </c>
      <c r="I182" s="31"/>
      <c r="J182" s="8"/>
      <c r="K182" s="27">
        <v>74332</v>
      </c>
      <c r="L182" s="29">
        <f t="shared" si="7"/>
        <v>0</v>
      </c>
      <c r="M182" s="1" t="s">
        <v>97</v>
      </c>
    </row>
    <row r="183" spans="1:13" ht="14.25" customHeight="1">
      <c r="A183" s="77" t="s">
        <v>46</v>
      </c>
      <c r="B183" s="67"/>
      <c r="C183" s="68"/>
      <c r="D183" s="11"/>
      <c r="E183" s="18"/>
      <c r="F183" s="78"/>
      <c r="G183" s="79"/>
      <c r="H183" s="78"/>
      <c r="I183" s="79"/>
      <c r="J183" s="12"/>
      <c r="K183" s="27" t="s">
        <v>68</v>
      </c>
      <c r="L183" s="29">
        <f>SUM(L160:L182)</f>
        <v>62500</v>
      </c>
      <c r="M183" s="4">
        <f>ROUND(L183/L184,5)</f>
        <v>4.0039999999999999E-2</v>
      </c>
    </row>
    <row r="184" spans="1:13" ht="14.25" customHeight="1">
      <c r="A184" s="69" t="s">
        <v>47</v>
      </c>
      <c r="B184" s="70"/>
      <c r="C184" s="71"/>
      <c r="D184" s="9"/>
      <c r="E184" s="19"/>
      <c r="F184" s="30"/>
      <c r="G184" s="31"/>
      <c r="H184" s="30"/>
      <c r="I184" s="31"/>
      <c r="J184" s="13"/>
      <c r="K184" s="27" t="s">
        <v>67</v>
      </c>
      <c r="L184" s="29">
        <v>1560973</v>
      </c>
      <c r="M184" s="4"/>
    </row>
    <row r="185" spans="1:13" ht="14.25" customHeight="1" thickBot="1">
      <c r="A185" s="72" t="s">
        <v>48</v>
      </c>
      <c r="B185" s="73"/>
      <c r="C185" s="74"/>
      <c r="D185" s="14"/>
      <c r="E185" s="20"/>
      <c r="F185" s="75"/>
      <c r="G185" s="76"/>
      <c r="H185" s="75"/>
      <c r="I185" s="76"/>
      <c r="J185" s="15"/>
    </row>
    <row r="186" spans="1:13" ht="14.25" customHeight="1">
      <c r="A186" s="66" t="s">
        <v>23</v>
      </c>
      <c r="B186" s="67"/>
      <c r="C186" s="67"/>
      <c r="D186" s="67"/>
      <c r="E186" s="67"/>
      <c r="F186" s="67"/>
      <c r="G186" s="67"/>
      <c r="H186" s="67"/>
      <c r="I186" s="67"/>
      <c r="J186" s="68"/>
    </row>
    <row r="187" spans="1:13" ht="14.25" customHeight="1">
      <c r="A187" s="30" t="s">
        <v>24</v>
      </c>
      <c r="B187" s="32"/>
      <c r="C187" s="31"/>
      <c r="D187" s="8" t="s">
        <v>18</v>
      </c>
      <c r="E187" s="8" t="s">
        <v>25</v>
      </c>
      <c r="F187" s="30" t="s">
        <v>26</v>
      </c>
      <c r="G187" s="31"/>
      <c r="H187" s="30" t="s">
        <v>27</v>
      </c>
      <c r="I187" s="31"/>
      <c r="J187" s="8" t="s">
        <v>22</v>
      </c>
    </row>
    <row r="188" spans="1:13" ht="14.25" customHeight="1">
      <c r="A188" s="49"/>
      <c r="B188" s="50"/>
      <c r="C188" s="51"/>
      <c r="D188" s="8"/>
      <c r="E188" s="8"/>
      <c r="F188" s="30"/>
      <c r="G188" s="31"/>
      <c r="H188" s="30"/>
      <c r="I188" s="31"/>
      <c r="J188" s="8"/>
    </row>
    <row r="189" spans="1:13" ht="14.25" customHeight="1">
      <c r="A189" s="49"/>
      <c r="B189" s="50"/>
      <c r="C189" s="51"/>
      <c r="D189" s="8"/>
      <c r="E189" s="8"/>
      <c r="F189" s="30"/>
      <c r="G189" s="31"/>
      <c r="H189" s="30"/>
      <c r="I189" s="31"/>
      <c r="J189" s="8"/>
    </row>
    <row r="190" spans="1:13" ht="14.25" customHeight="1">
      <c r="A190" s="49" t="s">
        <v>28</v>
      </c>
      <c r="B190" s="50"/>
      <c r="C190" s="50"/>
      <c r="D190" s="50"/>
      <c r="E190" s="50"/>
      <c r="F190" s="50"/>
      <c r="G190" s="50"/>
      <c r="H190" s="50"/>
      <c r="I190" s="50"/>
      <c r="J190" s="51"/>
    </row>
    <row r="191" spans="1:13" ht="14.25" customHeight="1">
      <c r="A191" s="30" t="s">
        <v>29</v>
      </c>
      <c r="B191" s="31"/>
      <c r="C191" s="8" t="s">
        <v>30</v>
      </c>
      <c r="D191" s="8" t="s">
        <v>31</v>
      </c>
      <c r="E191" s="30" t="s">
        <v>32</v>
      </c>
      <c r="F191" s="31"/>
      <c r="G191" s="30" t="s">
        <v>26</v>
      </c>
      <c r="H191" s="31"/>
      <c r="I191" s="30" t="s">
        <v>27</v>
      </c>
      <c r="J191" s="31"/>
    </row>
    <row r="192" spans="1:13" ht="14.25" customHeight="1">
      <c r="A192" s="49" t="s">
        <v>63</v>
      </c>
      <c r="B192" s="51"/>
      <c r="C192" s="8">
        <v>4</v>
      </c>
      <c r="D192" s="8">
        <v>12</v>
      </c>
      <c r="E192" s="30"/>
      <c r="F192" s="31"/>
      <c r="G192" s="30"/>
      <c r="H192" s="31"/>
      <c r="I192" s="30"/>
      <c r="J192" s="31"/>
    </row>
    <row r="193" spans="1:27" ht="14.25" customHeight="1">
      <c r="A193" s="49"/>
      <c r="B193" s="51"/>
      <c r="C193" s="8"/>
      <c r="D193" s="8"/>
      <c r="E193" s="30"/>
      <c r="F193" s="31"/>
      <c r="G193" s="30"/>
      <c r="H193" s="31"/>
      <c r="I193" s="30"/>
      <c r="J193" s="31"/>
    </row>
    <row r="194" spans="1:27" ht="14.25" customHeight="1">
      <c r="A194" s="41" t="s">
        <v>45</v>
      </c>
      <c r="B194" s="42"/>
      <c r="C194" s="42"/>
      <c r="D194" s="42"/>
      <c r="E194" s="42"/>
      <c r="F194" s="42"/>
      <c r="G194" s="42"/>
      <c r="H194" s="42"/>
      <c r="I194" s="42"/>
      <c r="J194" s="43"/>
    </row>
    <row r="195" spans="1:27" ht="14.25" customHeight="1">
      <c r="A195" s="44"/>
      <c r="B195" s="45"/>
      <c r="C195" s="45"/>
      <c r="D195" s="45"/>
      <c r="E195" s="45"/>
      <c r="F195" s="45"/>
      <c r="G195" s="45"/>
      <c r="H195" s="45"/>
      <c r="I195" s="45"/>
      <c r="J195" s="46"/>
    </row>
    <row r="196" spans="1:27" ht="14.25" customHeight="1">
      <c r="A196" s="80" t="s">
        <v>52</v>
      </c>
      <c r="B196" s="81"/>
      <c r="C196" s="81"/>
      <c r="D196" s="81"/>
      <c r="E196" s="81"/>
      <c r="F196" s="81"/>
      <c r="G196" s="81"/>
      <c r="H196" s="81"/>
      <c r="I196" s="81"/>
      <c r="J196" s="82"/>
      <c r="M196" s="4"/>
      <c r="N196" s="5"/>
      <c r="O196" s="6"/>
      <c r="S196" s="6"/>
      <c r="W196" s="6"/>
      <c r="AA196" s="6"/>
    </row>
    <row r="197" spans="1:27" ht="14.25" customHeight="1">
      <c r="A197" s="83"/>
      <c r="B197" s="84"/>
      <c r="C197" s="84"/>
      <c r="D197" s="84"/>
      <c r="E197" s="84"/>
      <c r="F197" s="84"/>
      <c r="G197" s="84"/>
      <c r="H197" s="84"/>
      <c r="I197" s="84"/>
      <c r="J197" s="85"/>
    </row>
    <row r="198" spans="1:27" ht="14.25" customHeight="1">
      <c r="A198" s="83"/>
      <c r="B198" s="84"/>
      <c r="C198" s="84"/>
      <c r="D198" s="84"/>
      <c r="E198" s="84"/>
      <c r="F198" s="84"/>
      <c r="G198" s="84"/>
      <c r="H198" s="84"/>
      <c r="I198" s="84"/>
      <c r="J198" s="85"/>
    </row>
    <row r="199" spans="1:27" ht="14.25" customHeight="1">
      <c r="A199" s="83"/>
      <c r="B199" s="84"/>
      <c r="C199" s="84"/>
      <c r="D199" s="84"/>
      <c r="E199" s="84"/>
      <c r="F199" s="84"/>
      <c r="G199" s="84"/>
      <c r="H199" s="84"/>
      <c r="I199" s="84"/>
      <c r="J199" s="85"/>
    </row>
    <row r="200" spans="1:27" ht="14.25" customHeight="1">
      <c r="A200" s="83"/>
      <c r="B200" s="84"/>
      <c r="C200" s="84"/>
      <c r="D200" s="84"/>
      <c r="E200" s="84"/>
      <c r="F200" s="84"/>
      <c r="G200" s="84"/>
      <c r="H200" s="84"/>
      <c r="I200" s="84"/>
      <c r="J200" s="85"/>
    </row>
    <row r="201" spans="1:27" ht="14.25" customHeight="1">
      <c r="A201" s="83"/>
      <c r="B201" s="84"/>
      <c r="C201" s="84"/>
      <c r="D201" s="84"/>
      <c r="E201" s="84"/>
      <c r="F201" s="84"/>
      <c r="G201" s="84"/>
      <c r="H201" s="84"/>
      <c r="I201" s="84"/>
      <c r="J201" s="85"/>
    </row>
    <row r="202" spans="1:27" ht="14.25" customHeight="1">
      <c r="A202" s="86"/>
      <c r="B202" s="87"/>
      <c r="C202" s="87"/>
      <c r="D202" s="87"/>
      <c r="E202" s="87"/>
      <c r="F202" s="87"/>
      <c r="G202" s="87"/>
      <c r="H202" s="87"/>
      <c r="I202" s="87"/>
      <c r="J202" s="88"/>
    </row>
    <row r="203" spans="1:27" ht="14.25" customHeight="1">
      <c r="A203" s="89" t="s">
        <v>33</v>
      </c>
      <c r="B203" s="90"/>
      <c r="C203" s="90"/>
      <c r="D203" s="90"/>
      <c r="E203" s="90"/>
      <c r="F203" s="90"/>
      <c r="G203" s="90"/>
      <c r="H203" s="90"/>
      <c r="I203" s="90"/>
      <c r="J203" s="91"/>
    </row>
    <row r="204" spans="1:27" ht="14.25" customHeight="1">
      <c r="A204" s="92"/>
      <c r="B204" s="93"/>
      <c r="C204" s="93"/>
      <c r="D204" s="93"/>
      <c r="E204" s="93"/>
      <c r="F204" s="93"/>
      <c r="G204" s="93"/>
      <c r="H204" s="93"/>
      <c r="I204" s="93"/>
      <c r="J204" s="94"/>
    </row>
    <row r="205" spans="1:27" ht="14.25" customHeight="1">
      <c r="A205" s="89" t="s">
        <v>34</v>
      </c>
      <c r="B205" s="90"/>
      <c r="C205" s="90"/>
      <c r="D205" s="90"/>
      <c r="E205" s="90"/>
      <c r="F205" s="90"/>
      <c r="G205" s="90"/>
      <c r="H205" s="90"/>
      <c r="I205" s="90"/>
      <c r="J205" s="91"/>
    </row>
    <row r="206" spans="1:27" ht="14.25" customHeight="1">
      <c r="A206" s="92"/>
      <c r="B206" s="93"/>
      <c r="C206" s="93"/>
      <c r="D206" s="93"/>
      <c r="E206" s="93"/>
      <c r="F206" s="93"/>
      <c r="G206" s="93"/>
      <c r="H206" s="93"/>
      <c r="I206" s="93"/>
      <c r="J206" s="94"/>
    </row>
    <row r="207" spans="1:27" ht="14.25" customHeight="1">
      <c r="A207" s="89" t="s">
        <v>98</v>
      </c>
      <c r="B207" s="90"/>
      <c r="C207" s="90"/>
      <c r="D207" s="90"/>
      <c r="E207" s="90"/>
      <c r="F207" s="90"/>
      <c r="G207" s="90"/>
      <c r="H207" s="90"/>
      <c r="I207" s="90"/>
      <c r="J207" s="91"/>
    </row>
    <row r="208" spans="1:27" ht="14.25" customHeight="1">
      <c r="A208" s="92"/>
      <c r="B208" s="93"/>
      <c r="C208" s="93"/>
      <c r="D208" s="93"/>
      <c r="E208" s="93"/>
      <c r="F208" s="93"/>
      <c r="G208" s="93"/>
      <c r="H208" s="93"/>
      <c r="I208" s="93"/>
      <c r="J208" s="94"/>
    </row>
    <row r="209" spans="1:10" ht="14.25" customHeight="1">
      <c r="A209" s="89" t="s">
        <v>35</v>
      </c>
      <c r="B209" s="90"/>
      <c r="C209" s="90"/>
      <c r="D209" s="90"/>
      <c r="E209" s="90"/>
      <c r="F209" s="90"/>
      <c r="G209" s="90"/>
      <c r="H209" s="90"/>
      <c r="I209" s="90"/>
      <c r="J209" s="91"/>
    </row>
    <row r="210" spans="1:10" ht="14.25" customHeight="1">
      <c r="A210" s="92"/>
      <c r="B210" s="93"/>
      <c r="C210" s="93"/>
      <c r="D210" s="93"/>
      <c r="E210" s="93"/>
      <c r="F210" s="93"/>
      <c r="G210" s="93"/>
      <c r="H210" s="93"/>
      <c r="I210" s="93"/>
      <c r="J210" s="94"/>
    </row>
    <row r="211" spans="1:10" ht="14.25" customHeight="1">
      <c r="A211" s="99" t="s">
        <v>36</v>
      </c>
      <c r="B211" s="99"/>
      <c r="C211" s="99"/>
      <c r="D211" s="99"/>
      <c r="E211" s="99"/>
      <c r="F211" s="99"/>
      <c r="G211" s="99"/>
      <c r="H211" s="99"/>
      <c r="I211" s="99"/>
      <c r="J211" s="99"/>
    </row>
    <row r="212" spans="1:10" ht="14.25" customHeight="1">
      <c r="A212" s="95" t="s">
        <v>37</v>
      </c>
      <c r="B212" s="95"/>
      <c r="C212" s="95"/>
      <c r="D212" s="95"/>
      <c r="E212" s="95"/>
      <c r="F212" s="95"/>
      <c r="G212" s="95"/>
      <c r="H212" s="95"/>
      <c r="I212" s="95"/>
      <c r="J212" s="95"/>
    </row>
    <row r="213" spans="1:10" ht="14.25" customHeight="1">
      <c r="A213" s="95" t="s">
        <v>38</v>
      </c>
      <c r="B213" s="95"/>
      <c r="C213" s="95"/>
      <c r="D213" s="95"/>
      <c r="E213" s="95"/>
      <c r="F213" s="95"/>
      <c r="G213" s="95"/>
      <c r="H213" s="95"/>
      <c r="I213" s="95"/>
      <c r="J213" s="95"/>
    </row>
    <row r="214" spans="1:10" ht="14.25" customHeight="1">
      <c r="A214" s="95" t="s">
        <v>39</v>
      </c>
      <c r="B214" s="95"/>
      <c r="C214" s="95"/>
      <c r="D214" s="95"/>
      <c r="E214" s="95"/>
      <c r="F214" s="95"/>
      <c r="G214" s="95"/>
      <c r="H214" s="95"/>
      <c r="I214" s="95"/>
      <c r="J214" s="95"/>
    </row>
    <row r="215" spans="1:10" ht="14.25" customHeight="1">
      <c r="A215" s="95" t="s">
        <v>40</v>
      </c>
      <c r="B215" s="95"/>
      <c r="C215" s="95"/>
      <c r="D215" s="95"/>
      <c r="E215" s="95"/>
      <c r="F215" s="95"/>
      <c r="G215" s="95"/>
      <c r="H215" s="95"/>
      <c r="I215" s="95"/>
      <c r="J215" s="95"/>
    </row>
    <row r="216" spans="1:10" ht="14.25" customHeight="1">
      <c r="A216" s="95" t="s">
        <v>41</v>
      </c>
      <c r="B216" s="95"/>
      <c r="C216" s="95"/>
      <c r="D216" s="95"/>
      <c r="E216" s="95"/>
      <c r="F216" s="95"/>
      <c r="G216" s="95"/>
      <c r="H216" s="95"/>
      <c r="I216" s="95"/>
      <c r="J216" s="95"/>
    </row>
    <row r="217" spans="1:10" ht="14.25" customHeight="1">
      <c r="A217" s="95" t="s">
        <v>42</v>
      </c>
      <c r="B217" s="95"/>
      <c r="C217" s="95"/>
      <c r="D217" s="95"/>
      <c r="E217" s="95"/>
      <c r="F217" s="95"/>
      <c r="G217" s="95"/>
      <c r="H217" s="95"/>
      <c r="I217" s="95"/>
      <c r="J217" s="95"/>
    </row>
    <row r="218" spans="1:10" ht="14.25" customHeight="1">
      <c r="A218" s="100" t="s">
        <v>43</v>
      </c>
      <c r="B218" s="100"/>
      <c r="C218" s="100"/>
      <c r="D218" s="100"/>
      <c r="E218" s="100"/>
      <c r="F218" s="100"/>
      <c r="G218" s="100"/>
      <c r="H218" s="100"/>
      <c r="I218" s="100"/>
      <c r="J218" s="100"/>
    </row>
    <row r="219" spans="1:10" ht="14.25" customHeight="1">
      <c r="A219" s="95" t="s">
        <v>44</v>
      </c>
      <c r="B219" s="95"/>
      <c r="C219" s="95"/>
      <c r="D219" s="95"/>
      <c r="E219" s="95"/>
      <c r="F219" s="95"/>
      <c r="G219" s="95"/>
      <c r="H219" s="95"/>
      <c r="I219" s="95"/>
      <c r="J219" s="95"/>
    </row>
    <row r="220" spans="1:10" ht="29.25" customHeight="1">
      <c r="A220" s="96" t="s">
        <v>51</v>
      </c>
      <c r="B220" s="96"/>
      <c r="C220" s="96"/>
      <c r="D220" s="96"/>
      <c r="E220" s="96"/>
      <c r="F220" s="96"/>
      <c r="G220" s="96"/>
      <c r="H220" s="96"/>
      <c r="I220" s="96"/>
      <c r="J220" s="96"/>
    </row>
    <row r="221" spans="1:10" ht="14.25" customHeight="1">
      <c r="A221" s="101" t="s">
        <v>49</v>
      </c>
      <c r="B221" s="101"/>
      <c r="C221" s="101"/>
      <c r="D221" s="101"/>
      <c r="E221" s="101"/>
      <c r="F221" s="101"/>
      <c r="G221" s="101"/>
      <c r="H221" s="101"/>
      <c r="I221" s="101"/>
      <c r="J221" s="101"/>
    </row>
    <row r="222" spans="1:10" ht="14.25" customHeight="1"/>
    <row r="223" spans="1:10" ht="14.25" customHeight="1">
      <c r="A223" s="33" t="s">
        <v>0</v>
      </c>
      <c r="B223" s="33"/>
      <c r="C223" s="33"/>
      <c r="D223" s="33"/>
      <c r="E223" s="33"/>
      <c r="F223" s="33"/>
      <c r="G223" s="33"/>
      <c r="H223" s="33"/>
      <c r="I223" s="33"/>
      <c r="J223" s="33"/>
    </row>
    <row r="224" spans="1:10">
      <c r="A224" s="2" t="s">
        <v>1</v>
      </c>
      <c r="B224" s="3" t="str">
        <f>"GD-"&amp;IF(LEN(E228)=2,TEXT(LEFT(E228,1),"000"),IF(LEN(E228)=3,TEXT(LEFT(E228,2),"000"),TEXT(LEFT(E228,3),"000")))</f>
        <v>GD-004</v>
      </c>
      <c r="C224" s="2"/>
      <c r="D224" s="2"/>
      <c r="E224" s="2"/>
      <c r="F224" s="2"/>
      <c r="G224" s="2"/>
      <c r="H224" s="2"/>
      <c r="I224" s="2"/>
      <c r="J224" s="2"/>
    </row>
    <row r="225" spans="1:13" ht="14.25" customHeight="1">
      <c r="A225" s="34" t="s">
        <v>2</v>
      </c>
      <c r="B225" s="34"/>
      <c r="C225" s="34"/>
      <c r="D225" s="34"/>
      <c r="E225" s="34"/>
      <c r="F225" s="35" t="s">
        <v>3</v>
      </c>
      <c r="G225" s="35"/>
      <c r="H225" s="36">
        <f>H151+1</f>
        <v>45645</v>
      </c>
      <c r="I225" s="36"/>
      <c r="J225" s="7" t="str">
        <f>"("&amp;TEXT(H225,"[$-404]aaaa;@")&amp;")"</f>
        <v>(星期四)</v>
      </c>
    </row>
    <row r="226" spans="1:13" ht="14.25" customHeight="1">
      <c r="A226" s="37" t="s">
        <v>4</v>
      </c>
      <c r="B226" s="38"/>
      <c r="C226" s="41" t="str">
        <f>C152</f>
        <v>雲林縣成功國小思源堂整修工程</v>
      </c>
      <c r="D226" s="42"/>
      <c r="E226" s="43"/>
      <c r="F226" s="37" t="s">
        <v>5</v>
      </c>
      <c r="G226" s="38"/>
      <c r="H226" s="37" t="str">
        <f>H152</f>
        <v>正郁室內裝修</v>
      </c>
      <c r="I226" s="47"/>
      <c r="J226" s="38"/>
    </row>
    <row r="227" spans="1:13" ht="14.25" customHeight="1">
      <c r="A227" s="39"/>
      <c r="B227" s="40"/>
      <c r="C227" s="44"/>
      <c r="D227" s="45"/>
      <c r="E227" s="46"/>
      <c r="F227" s="39"/>
      <c r="G227" s="40"/>
      <c r="H227" s="39"/>
      <c r="I227" s="48"/>
      <c r="J227" s="40"/>
    </row>
    <row r="228" spans="1:13" ht="14.25" customHeight="1">
      <c r="A228" s="8" t="s">
        <v>7</v>
      </c>
      <c r="B228" s="8" t="str">
        <f>B154</f>
        <v>60天</v>
      </c>
      <c r="C228" s="30" t="s">
        <v>8</v>
      </c>
      <c r="D228" s="31"/>
      <c r="E228" s="8" t="str">
        <f>IF(LEN(E154)&gt;2,(LEFT(E154,2)+1),(LEFT(E154,1)+1))&amp;"天"</f>
        <v>4天</v>
      </c>
      <c r="F228" s="8" t="s">
        <v>9</v>
      </c>
      <c r="G228" s="8" t="str">
        <f>IF(LEN(E228)&gt;2,LEFT(B228,2)-LEFT(E228,2),LEFT(B228,2)-LEFT(E228,1))&amp;"天"</f>
        <v>56天</v>
      </c>
      <c r="H228" s="30" t="s">
        <v>10</v>
      </c>
      <c r="I228" s="31"/>
      <c r="J228" s="8" t="str">
        <f>J154</f>
        <v>0天</v>
      </c>
    </row>
    <row r="229" spans="1:13" ht="14.25" customHeight="1">
      <c r="A229" s="30" t="s">
        <v>12</v>
      </c>
      <c r="B229" s="31"/>
      <c r="C229" s="30" t="str">
        <f>C155</f>
        <v>113年12月16日</v>
      </c>
      <c r="D229" s="32"/>
      <c r="E229" s="31"/>
      <c r="F229" s="30" t="s">
        <v>13</v>
      </c>
      <c r="G229" s="31"/>
      <c r="H229" s="30" t="str">
        <f>H155</f>
        <v>114年02月13日</v>
      </c>
      <c r="I229" s="32"/>
      <c r="J229" s="31"/>
    </row>
    <row r="230" spans="1:13" ht="14.25" customHeight="1">
      <c r="A230" s="30" t="s">
        <v>14</v>
      </c>
      <c r="B230" s="31"/>
      <c r="C230" s="57">
        <f>(5%/12)*4</f>
        <v>1.6666666666666666E-2</v>
      </c>
      <c r="D230" s="58"/>
      <c r="E230" s="59"/>
      <c r="F230" s="30" t="s">
        <v>15</v>
      </c>
      <c r="G230" s="31"/>
      <c r="H230" s="57">
        <f>ROUND(L257/L258,5)+H156</f>
        <v>0.10678</v>
      </c>
      <c r="I230" s="58"/>
      <c r="J230" s="59"/>
      <c r="K230" s="26" t="s">
        <v>69</v>
      </c>
      <c r="L230" s="22"/>
      <c r="M230" s="4"/>
    </row>
    <row r="231" spans="1:13" ht="14.25" customHeight="1">
      <c r="A231" s="49" t="s">
        <v>16</v>
      </c>
      <c r="B231" s="50"/>
      <c r="C231" s="50"/>
      <c r="D231" s="50"/>
      <c r="E231" s="50"/>
      <c r="F231" s="50"/>
      <c r="G231" s="50"/>
      <c r="H231" s="50"/>
      <c r="I231" s="50"/>
      <c r="J231" s="51"/>
      <c r="L231" s="22"/>
      <c r="M231" s="4"/>
    </row>
    <row r="232" spans="1:13" ht="14.25" customHeight="1">
      <c r="A232" s="30" t="s">
        <v>17</v>
      </c>
      <c r="B232" s="32"/>
      <c r="C232" s="31"/>
      <c r="D232" s="8" t="s">
        <v>18</v>
      </c>
      <c r="E232" s="17" t="s">
        <v>19</v>
      </c>
      <c r="F232" s="30" t="s">
        <v>20</v>
      </c>
      <c r="G232" s="31"/>
      <c r="H232" s="30" t="s">
        <v>21</v>
      </c>
      <c r="I232" s="31"/>
      <c r="J232" s="8" t="s">
        <v>22</v>
      </c>
      <c r="L232" s="22"/>
      <c r="M232" s="4"/>
    </row>
    <row r="233" spans="1:13" ht="14.25" customHeight="1">
      <c r="A233" s="49" t="s">
        <v>56</v>
      </c>
      <c r="B233" s="50"/>
      <c r="C233" s="50"/>
      <c r="D233" s="50"/>
      <c r="E233" s="50"/>
      <c r="F233" s="50"/>
      <c r="G233" s="50"/>
      <c r="H233" s="50"/>
      <c r="I233" s="50"/>
      <c r="J233" s="51"/>
    </row>
    <row r="234" spans="1:13" ht="14.25" customHeight="1">
      <c r="A234" s="55" t="s">
        <v>57</v>
      </c>
      <c r="B234" s="50"/>
      <c r="C234" s="51"/>
      <c r="D234" s="24" t="s">
        <v>59</v>
      </c>
      <c r="E234" s="23">
        <v>1</v>
      </c>
      <c r="F234" s="54"/>
      <c r="G234" s="56"/>
      <c r="H234" s="54">
        <f t="shared" ref="H234:H256" si="8">F234+H160</f>
        <v>1</v>
      </c>
      <c r="I234" s="31"/>
      <c r="J234" s="16"/>
      <c r="K234" s="27">
        <v>800</v>
      </c>
      <c r="L234" s="29">
        <f t="shared" ref="L234:L256" si="9">ROUND(K234*F234,0)</f>
        <v>0</v>
      </c>
    </row>
    <row r="235" spans="1:13" ht="14.25" customHeight="1">
      <c r="A235" s="55" t="s">
        <v>75</v>
      </c>
      <c r="B235" s="50"/>
      <c r="C235" s="51"/>
      <c r="D235" s="24" t="s">
        <v>59</v>
      </c>
      <c r="E235" s="23">
        <v>1</v>
      </c>
      <c r="F235" s="52"/>
      <c r="G235" s="53"/>
      <c r="H235" s="54">
        <f t="shared" si="8"/>
        <v>1</v>
      </c>
      <c r="I235" s="31"/>
      <c r="J235" s="8"/>
      <c r="K235" s="27">
        <v>500</v>
      </c>
      <c r="L235" s="29">
        <f t="shared" si="9"/>
        <v>0</v>
      </c>
    </row>
    <row r="236" spans="1:13" ht="14.25" customHeight="1">
      <c r="A236" s="49" t="s">
        <v>58</v>
      </c>
      <c r="B236" s="50"/>
      <c r="C236" s="51"/>
      <c r="D236" s="24" t="s">
        <v>61</v>
      </c>
      <c r="E236" s="23">
        <v>51</v>
      </c>
      <c r="F236" s="52"/>
      <c r="G236" s="53"/>
      <c r="H236" s="54">
        <f t="shared" si="8"/>
        <v>51</v>
      </c>
      <c r="I236" s="31"/>
      <c r="J236" s="10"/>
      <c r="K236" s="27">
        <v>50</v>
      </c>
      <c r="L236" s="29">
        <f t="shared" si="9"/>
        <v>0</v>
      </c>
    </row>
    <row r="237" spans="1:13" ht="14.25" customHeight="1">
      <c r="A237" s="55" t="s">
        <v>76</v>
      </c>
      <c r="B237" s="50"/>
      <c r="C237" s="51"/>
      <c r="D237" s="24" t="s">
        <v>60</v>
      </c>
      <c r="E237" s="23">
        <v>1</v>
      </c>
      <c r="F237" s="52"/>
      <c r="G237" s="53"/>
      <c r="H237" s="54">
        <f t="shared" si="8"/>
        <v>0</v>
      </c>
      <c r="I237" s="31"/>
      <c r="J237" s="16"/>
      <c r="K237" s="27">
        <v>3000</v>
      </c>
      <c r="L237" s="29">
        <f t="shared" si="9"/>
        <v>0</v>
      </c>
    </row>
    <row r="238" spans="1:13" ht="14.25" customHeight="1">
      <c r="A238" s="55" t="s">
        <v>77</v>
      </c>
      <c r="B238" s="50"/>
      <c r="C238" s="51"/>
      <c r="D238" s="25" t="s">
        <v>60</v>
      </c>
      <c r="E238" s="23">
        <v>1</v>
      </c>
      <c r="F238" s="52"/>
      <c r="G238" s="53"/>
      <c r="H238" s="54">
        <f t="shared" si="8"/>
        <v>0</v>
      </c>
      <c r="I238" s="31"/>
      <c r="J238" s="8"/>
      <c r="K238" s="27">
        <v>3000</v>
      </c>
      <c r="L238" s="29">
        <f t="shared" si="9"/>
        <v>0</v>
      </c>
    </row>
    <row r="239" spans="1:13" ht="28.5" customHeight="1">
      <c r="A239" s="55" t="s">
        <v>78</v>
      </c>
      <c r="B239" s="64"/>
      <c r="C239" s="65"/>
      <c r="D239" s="25" t="s">
        <v>62</v>
      </c>
      <c r="E239" s="23">
        <v>328</v>
      </c>
      <c r="F239" s="30">
        <v>3.2</v>
      </c>
      <c r="G239" s="63"/>
      <c r="H239" s="54">
        <f t="shared" si="8"/>
        <v>3.2</v>
      </c>
      <c r="I239" s="31"/>
      <c r="J239" s="8"/>
      <c r="K239" s="28">
        <v>100</v>
      </c>
      <c r="L239" s="29">
        <f t="shared" si="9"/>
        <v>320</v>
      </c>
    </row>
    <row r="240" spans="1:13" ht="14.25" customHeight="1">
      <c r="A240" s="60" t="s">
        <v>79</v>
      </c>
      <c r="B240" s="61"/>
      <c r="C240" s="61"/>
      <c r="D240" s="25" t="s">
        <v>61</v>
      </c>
      <c r="E240" s="23">
        <v>21</v>
      </c>
      <c r="F240" s="62">
        <v>3</v>
      </c>
      <c r="G240" s="62"/>
      <c r="H240" s="54">
        <f t="shared" si="8"/>
        <v>3</v>
      </c>
      <c r="I240" s="31"/>
      <c r="J240" s="8"/>
      <c r="K240" s="27">
        <v>2500</v>
      </c>
      <c r="L240" s="29">
        <f t="shared" si="9"/>
        <v>7500</v>
      </c>
    </row>
    <row r="241" spans="1:13" ht="28.5" customHeight="1">
      <c r="A241" s="55" t="s">
        <v>80</v>
      </c>
      <c r="B241" s="64"/>
      <c r="C241" s="65"/>
      <c r="D241" s="25" t="s">
        <v>81</v>
      </c>
      <c r="E241" s="23">
        <v>5</v>
      </c>
      <c r="F241" s="30"/>
      <c r="G241" s="63"/>
      <c r="H241" s="54">
        <f t="shared" si="8"/>
        <v>0</v>
      </c>
      <c r="I241" s="31"/>
      <c r="J241" s="8"/>
      <c r="K241" s="27">
        <v>5000</v>
      </c>
      <c r="L241" s="29">
        <f t="shared" si="9"/>
        <v>0</v>
      </c>
    </row>
    <row r="242" spans="1:13" ht="14.25" customHeight="1">
      <c r="A242" s="60" t="s">
        <v>82</v>
      </c>
      <c r="B242" s="61"/>
      <c r="C242" s="61"/>
      <c r="D242" s="25" t="s">
        <v>62</v>
      </c>
      <c r="E242" s="23">
        <v>218</v>
      </c>
      <c r="F242" s="62"/>
      <c r="G242" s="62"/>
      <c r="H242" s="54">
        <f t="shared" si="8"/>
        <v>0</v>
      </c>
      <c r="I242" s="31"/>
      <c r="J242" s="8"/>
      <c r="K242" s="27">
        <v>1000</v>
      </c>
      <c r="L242" s="29">
        <f t="shared" si="9"/>
        <v>0</v>
      </c>
    </row>
    <row r="243" spans="1:13" ht="14.25" customHeight="1">
      <c r="A243" s="61" t="s">
        <v>83</v>
      </c>
      <c r="B243" s="61"/>
      <c r="C243" s="61"/>
      <c r="D243" s="25" t="s">
        <v>81</v>
      </c>
      <c r="E243" s="23">
        <v>28</v>
      </c>
      <c r="F243" s="30"/>
      <c r="G243" s="63"/>
      <c r="H243" s="54">
        <f t="shared" si="8"/>
        <v>0</v>
      </c>
      <c r="I243" s="31"/>
      <c r="J243" s="8"/>
      <c r="K243" s="27">
        <v>2000</v>
      </c>
      <c r="L243" s="29">
        <f t="shared" si="9"/>
        <v>0</v>
      </c>
    </row>
    <row r="244" spans="1:13" ht="28.5" customHeight="1">
      <c r="A244" s="60" t="s">
        <v>84</v>
      </c>
      <c r="B244" s="61"/>
      <c r="C244" s="61"/>
      <c r="D244" s="25" t="s">
        <v>62</v>
      </c>
      <c r="E244" s="23">
        <v>245</v>
      </c>
      <c r="F244" s="62"/>
      <c r="G244" s="62"/>
      <c r="H244" s="54">
        <f t="shared" si="8"/>
        <v>0</v>
      </c>
      <c r="I244" s="31"/>
      <c r="J244" s="8"/>
      <c r="K244" s="27">
        <v>1500</v>
      </c>
      <c r="L244" s="29">
        <f t="shared" si="9"/>
        <v>0</v>
      </c>
    </row>
    <row r="245" spans="1:13" ht="14.25" customHeight="1">
      <c r="A245" s="61" t="s">
        <v>85</v>
      </c>
      <c r="B245" s="61"/>
      <c r="C245" s="61"/>
      <c r="D245" s="25" t="s">
        <v>62</v>
      </c>
      <c r="E245" s="23">
        <v>83</v>
      </c>
      <c r="F245" s="30"/>
      <c r="G245" s="63"/>
      <c r="H245" s="54">
        <f t="shared" si="8"/>
        <v>0</v>
      </c>
      <c r="I245" s="31"/>
      <c r="J245" s="8"/>
      <c r="K245" s="27">
        <v>1000</v>
      </c>
      <c r="L245" s="29">
        <f t="shared" si="9"/>
        <v>0</v>
      </c>
    </row>
    <row r="246" spans="1:13" ht="30" customHeight="1">
      <c r="A246" s="60" t="s">
        <v>86</v>
      </c>
      <c r="B246" s="61"/>
      <c r="C246" s="61"/>
      <c r="D246" s="25" t="s">
        <v>62</v>
      </c>
      <c r="E246" s="23">
        <v>164</v>
      </c>
      <c r="F246" s="62"/>
      <c r="G246" s="62"/>
      <c r="H246" s="54">
        <f t="shared" si="8"/>
        <v>0</v>
      </c>
      <c r="I246" s="31"/>
      <c r="J246" s="8"/>
      <c r="K246" s="27">
        <v>500</v>
      </c>
      <c r="L246" s="29">
        <f t="shared" si="9"/>
        <v>0</v>
      </c>
    </row>
    <row r="247" spans="1:13" ht="14.25" customHeight="1">
      <c r="A247" s="60" t="s">
        <v>87</v>
      </c>
      <c r="B247" s="61"/>
      <c r="C247" s="61"/>
      <c r="D247" s="25" t="s">
        <v>62</v>
      </c>
      <c r="E247" s="23">
        <v>37</v>
      </c>
      <c r="F247" s="30"/>
      <c r="G247" s="63"/>
      <c r="H247" s="54">
        <f t="shared" si="8"/>
        <v>30</v>
      </c>
      <c r="I247" s="31"/>
      <c r="J247" s="8"/>
      <c r="K247" s="27">
        <v>1000</v>
      </c>
      <c r="L247" s="29">
        <f t="shared" si="9"/>
        <v>0</v>
      </c>
    </row>
    <row r="248" spans="1:13" ht="14.25" customHeight="1">
      <c r="A248" s="61" t="s">
        <v>88</v>
      </c>
      <c r="B248" s="61"/>
      <c r="C248" s="61"/>
      <c r="D248" s="25" t="s">
        <v>60</v>
      </c>
      <c r="E248" s="23">
        <v>1</v>
      </c>
      <c r="F248" s="62"/>
      <c r="G248" s="62"/>
      <c r="H248" s="54">
        <f t="shared" si="8"/>
        <v>0.5</v>
      </c>
      <c r="I248" s="31"/>
      <c r="J248" s="8"/>
      <c r="K248" s="27">
        <v>250000</v>
      </c>
      <c r="L248" s="29">
        <f t="shared" si="9"/>
        <v>0</v>
      </c>
    </row>
    <row r="249" spans="1:13" ht="14.25" customHeight="1">
      <c r="A249" s="61" t="s">
        <v>89</v>
      </c>
      <c r="B249" s="61"/>
      <c r="C249" s="61"/>
      <c r="D249" s="25" t="s">
        <v>62</v>
      </c>
      <c r="E249" s="23">
        <v>81</v>
      </c>
      <c r="F249" s="30"/>
      <c r="G249" s="63"/>
      <c r="H249" s="54">
        <f t="shared" si="8"/>
        <v>0</v>
      </c>
      <c r="I249" s="31"/>
      <c r="J249" s="8"/>
      <c r="K249" s="27">
        <v>500</v>
      </c>
      <c r="L249" s="29">
        <f t="shared" si="9"/>
        <v>0</v>
      </c>
    </row>
    <row r="250" spans="1:13" ht="29.25" customHeight="1">
      <c r="A250" s="60" t="s">
        <v>90</v>
      </c>
      <c r="B250" s="61"/>
      <c r="C250" s="61"/>
      <c r="D250" s="25" t="s">
        <v>62</v>
      </c>
      <c r="E250" s="23">
        <v>42</v>
      </c>
      <c r="F250" s="62"/>
      <c r="G250" s="62"/>
      <c r="H250" s="54">
        <f t="shared" si="8"/>
        <v>0</v>
      </c>
      <c r="I250" s="31"/>
      <c r="J250" s="8"/>
      <c r="K250" s="27">
        <v>1800</v>
      </c>
      <c r="L250" s="29">
        <f t="shared" si="9"/>
        <v>0</v>
      </c>
    </row>
    <row r="251" spans="1:13" ht="14.25" customHeight="1">
      <c r="A251" s="60" t="s">
        <v>91</v>
      </c>
      <c r="B251" s="61"/>
      <c r="C251" s="61"/>
      <c r="D251" s="25" t="s">
        <v>60</v>
      </c>
      <c r="E251" s="23">
        <v>1</v>
      </c>
      <c r="F251" s="30"/>
      <c r="G251" s="63"/>
      <c r="H251" s="54">
        <f t="shared" si="8"/>
        <v>0</v>
      </c>
      <c r="I251" s="31"/>
      <c r="J251" s="8"/>
      <c r="K251" s="27">
        <v>30000</v>
      </c>
      <c r="L251" s="29">
        <f t="shared" si="9"/>
        <v>0</v>
      </c>
    </row>
    <row r="252" spans="1:13" ht="14.25" customHeight="1">
      <c r="A252" s="61" t="s">
        <v>92</v>
      </c>
      <c r="B252" s="61"/>
      <c r="C252" s="61"/>
      <c r="D252" s="25" t="s">
        <v>60</v>
      </c>
      <c r="E252" s="23">
        <v>1</v>
      </c>
      <c r="F252" s="62"/>
      <c r="G252" s="62"/>
      <c r="H252" s="54">
        <f t="shared" si="8"/>
        <v>0</v>
      </c>
      <c r="I252" s="31"/>
      <c r="J252" s="8"/>
      <c r="K252" s="27">
        <v>13598</v>
      </c>
      <c r="L252" s="29">
        <f t="shared" si="9"/>
        <v>0</v>
      </c>
    </row>
    <row r="253" spans="1:13" ht="14.25" customHeight="1">
      <c r="A253" s="61" t="s">
        <v>93</v>
      </c>
      <c r="B253" s="61"/>
      <c r="C253" s="61"/>
      <c r="D253" s="25" t="s">
        <v>60</v>
      </c>
      <c r="E253" s="23">
        <v>1</v>
      </c>
      <c r="F253" s="62"/>
      <c r="G253" s="62"/>
      <c r="H253" s="54">
        <f t="shared" si="8"/>
        <v>0</v>
      </c>
      <c r="I253" s="31"/>
      <c r="J253" s="8"/>
      <c r="K253" s="27">
        <v>13598</v>
      </c>
      <c r="L253" s="29">
        <f t="shared" si="9"/>
        <v>0</v>
      </c>
    </row>
    <row r="254" spans="1:13" ht="14.25" customHeight="1">
      <c r="A254" s="61" t="s">
        <v>64</v>
      </c>
      <c r="B254" s="61"/>
      <c r="C254" s="61"/>
      <c r="D254" s="25" t="s">
        <v>60</v>
      </c>
      <c r="E254" s="23">
        <v>1</v>
      </c>
      <c r="F254" s="62"/>
      <c r="G254" s="62"/>
      <c r="H254" s="54">
        <f t="shared" si="8"/>
        <v>0</v>
      </c>
      <c r="I254" s="31"/>
      <c r="J254" s="8"/>
      <c r="K254" s="27">
        <v>95182</v>
      </c>
      <c r="L254" s="29">
        <f t="shared" si="9"/>
        <v>0</v>
      </c>
    </row>
    <row r="255" spans="1:13" ht="14.25" customHeight="1">
      <c r="A255" s="61" t="s">
        <v>65</v>
      </c>
      <c r="B255" s="61"/>
      <c r="C255" s="61"/>
      <c r="D255" s="25" t="s">
        <v>60</v>
      </c>
      <c r="E255" s="23">
        <v>1</v>
      </c>
      <c r="F255" s="62"/>
      <c r="G255" s="62"/>
      <c r="H255" s="54">
        <f t="shared" si="8"/>
        <v>0</v>
      </c>
      <c r="I255" s="31"/>
      <c r="J255" s="8"/>
      <c r="K255" s="27">
        <v>4513</v>
      </c>
      <c r="L255" s="29">
        <f t="shared" si="9"/>
        <v>0</v>
      </c>
    </row>
    <row r="256" spans="1:13" ht="14.25" customHeight="1" thickBot="1">
      <c r="A256" s="61" t="s">
        <v>66</v>
      </c>
      <c r="B256" s="61"/>
      <c r="C256" s="61"/>
      <c r="D256" s="25" t="s">
        <v>60</v>
      </c>
      <c r="E256" s="23">
        <v>1</v>
      </c>
      <c r="F256" s="62"/>
      <c r="G256" s="62"/>
      <c r="H256" s="54">
        <f t="shared" si="8"/>
        <v>0</v>
      </c>
      <c r="I256" s="31"/>
      <c r="J256" s="8"/>
      <c r="K256" s="27">
        <v>74332</v>
      </c>
      <c r="L256" s="29">
        <f t="shared" si="9"/>
        <v>0</v>
      </c>
      <c r="M256" s="1" t="s">
        <v>97</v>
      </c>
    </row>
    <row r="257" spans="1:27" ht="14.25" customHeight="1">
      <c r="A257" s="77" t="s">
        <v>46</v>
      </c>
      <c r="B257" s="67"/>
      <c r="C257" s="68"/>
      <c r="D257" s="11"/>
      <c r="E257" s="18"/>
      <c r="F257" s="78"/>
      <c r="G257" s="79"/>
      <c r="H257" s="78"/>
      <c r="I257" s="79"/>
      <c r="J257" s="12"/>
      <c r="K257" s="27" t="s">
        <v>68</v>
      </c>
      <c r="L257" s="29">
        <f>SUM(L234:L256)</f>
        <v>7820</v>
      </c>
      <c r="M257" s="4">
        <f>ROUND(L257/L258,5)</f>
        <v>5.0099999999999997E-3</v>
      </c>
    </row>
    <row r="258" spans="1:27" ht="14.25" customHeight="1">
      <c r="A258" s="69" t="s">
        <v>47</v>
      </c>
      <c r="B258" s="70"/>
      <c r="C258" s="71"/>
      <c r="D258" s="9"/>
      <c r="E258" s="19"/>
      <c r="F258" s="30"/>
      <c r="G258" s="31"/>
      <c r="H258" s="30"/>
      <c r="I258" s="31"/>
      <c r="J258" s="13"/>
      <c r="K258" s="27" t="s">
        <v>67</v>
      </c>
      <c r="L258" s="29">
        <v>1560973</v>
      </c>
      <c r="M258" s="4"/>
    </row>
    <row r="259" spans="1:27" ht="14.25" customHeight="1" thickBot="1">
      <c r="A259" s="72" t="s">
        <v>48</v>
      </c>
      <c r="B259" s="73"/>
      <c r="C259" s="74"/>
      <c r="D259" s="14"/>
      <c r="E259" s="20"/>
      <c r="F259" s="75"/>
      <c r="G259" s="76"/>
      <c r="H259" s="75"/>
      <c r="I259" s="76"/>
      <c r="J259" s="15"/>
    </row>
    <row r="260" spans="1:27" ht="14.25" customHeight="1">
      <c r="A260" s="66" t="s">
        <v>23</v>
      </c>
      <c r="B260" s="67"/>
      <c r="C260" s="67"/>
      <c r="D260" s="67"/>
      <c r="E260" s="67"/>
      <c r="F260" s="67"/>
      <c r="G260" s="67"/>
      <c r="H260" s="67"/>
      <c r="I260" s="67"/>
      <c r="J260" s="68"/>
    </row>
    <row r="261" spans="1:27" ht="14.25" customHeight="1">
      <c r="A261" s="30" t="s">
        <v>24</v>
      </c>
      <c r="B261" s="32"/>
      <c r="C261" s="31"/>
      <c r="D261" s="8" t="s">
        <v>18</v>
      </c>
      <c r="E261" s="8" t="s">
        <v>25</v>
      </c>
      <c r="F261" s="30" t="s">
        <v>26</v>
      </c>
      <c r="G261" s="31"/>
      <c r="H261" s="30" t="s">
        <v>27</v>
      </c>
      <c r="I261" s="31"/>
      <c r="J261" s="8" t="s">
        <v>22</v>
      </c>
    </row>
    <row r="262" spans="1:27" ht="14.25" customHeight="1">
      <c r="A262" s="49"/>
      <c r="B262" s="50"/>
      <c r="C262" s="51"/>
      <c r="D262" s="8"/>
      <c r="E262" s="8"/>
      <c r="F262" s="30"/>
      <c r="G262" s="31"/>
      <c r="H262" s="30"/>
      <c r="I262" s="31"/>
      <c r="J262" s="8"/>
    </row>
    <row r="263" spans="1:27" ht="14.25" customHeight="1">
      <c r="A263" s="49"/>
      <c r="B263" s="50"/>
      <c r="C263" s="51"/>
      <c r="D263" s="8"/>
      <c r="E263" s="8"/>
      <c r="F263" s="30"/>
      <c r="G263" s="31"/>
      <c r="H263" s="30"/>
      <c r="I263" s="31"/>
      <c r="J263" s="8"/>
    </row>
    <row r="264" spans="1:27" ht="14.25" customHeight="1">
      <c r="A264" s="49" t="s">
        <v>28</v>
      </c>
      <c r="B264" s="50"/>
      <c r="C264" s="50"/>
      <c r="D264" s="50"/>
      <c r="E264" s="50"/>
      <c r="F264" s="50"/>
      <c r="G264" s="50"/>
      <c r="H264" s="50"/>
      <c r="I264" s="50"/>
      <c r="J264" s="51"/>
    </row>
    <row r="265" spans="1:27" ht="14.25" customHeight="1">
      <c r="A265" s="30" t="s">
        <v>29</v>
      </c>
      <c r="B265" s="31"/>
      <c r="C265" s="8" t="s">
        <v>30</v>
      </c>
      <c r="D265" s="8" t="s">
        <v>31</v>
      </c>
      <c r="E265" s="30" t="s">
        <v>32</v>
      </c>
      <c r="F265" s="31"/>
      <c r="G265" s="30" t="s">
        <v>26</v>
      </c>
      <c r="H265" s="31"/>
      <c r="I265" s="30" t="s">
        <v>27</v>
      </c>
      <c r="J265" s="31"/>
    </row>
    <row r="266" spans="1:27" ht="14.25" customHeight="1">
      <c r="A266" s="49" t="s">
        <v>100</v>
      </c>
      <c r="B266" s="51"/>
      <c r="C266" s="8">
        <v>2</v>
      </c>
      <c r="D266" s="8">
        <v>2</v>
      </c>
      <c r="E266" s="30"/>
      <c r="F266" s="31"/>
      <c r="G266" s="30"/>
      <c r="H266" s="31"/>
      <c r="I266" s="30"/>
      <c r="J266" s="31"/>
    </row>
    <row r="267" spans="1:27" ht="14.25" customHeight="1">
      <c r="A267" s="49"/>
      <c r="B267" s="51"/>
      <c r="C267" s="8"/>
      <c r="D267" s="8"/>
      <c r="E267" s="30"/>
      <c r="F267" s="31"/>
      <c r="G267" s="30"/>
      <c r="H267" s="31"/>
      <c r="I267" s="30"/>
      <c r="J267" s="31"/>
    </row>
    <row r="268" spans="1:27" ht="14.25" customHeight="1">
      <c r="A268" s="41" t="s">
        <v>45</v>
      </c>
      <c r="B268" s="42"/>
      <c r="C268" s="42"/>
      <c r="D268" s="42"/>
      <c r="E268" s="42"/>
      <c r="F268" s="42"/>
      <c r="G268" s="42"/>
      <c r="H268" s="42"/>
      <c r="I268" s="42"/>
      <c r="J268" s="43"/>
    </row>
    <row r="269" spans="1:27" ht="14.25" customHeight="1">
      <c r="A269" s="44"/>
      <c r="B269" s="45"/>
      <c r="C269" s="45"/>
      <c r="D269" s="45"/>
      <c r="E269" s="45"/>
      <c r="F269" s="45"/>
      <c r="G269" s="45"/>
      <c r="H269" s="45"/>
      <c r="I269" s="45"/>
      <c r="J269" s="46"/>
    </row>
    <row r="270" spans="1:27" ht="14.25" customHeight="1">
      <c r="A270" s="80" t="s">
        <v>52</v>
      </c>
      <c r="B270" s="81"/>
      <c r="C270" s="81"/>
      <c r="D270" s="81"/>
      <c r="E270" s="81"/>
      <c r="F270" s="81"/>
      <c r="G270" s="81"/>
      <c r="H270" s="81"/>
      <c r="I270" s="81"/>
      <c r="J270" s="82"/>
      <c r="M270" s="4"/>
      <c r="N270" s="5"/>
      <c r="O270" s="6"/>
      <c r="S270" s="6"/>
      <c r="W270" s="6"/>
      <c r="AA270" s="6"/>
    </row>
    <row r="271" spans="1:27" ht="14.25" customHeight="1">
      <c r="A271" s="83"/>
      <c r="B271" s="84"/>
      <c r="C271" s="84"/>
      <c r="D271" s="84"/>
      <c r="E271" s="84"/>
      <c r="F271" s="84"/>
      <c r="G271" s="84"/>
      <c r="H271" s="84"/>
      <c r="I271" s="84"/>
      <c r="J271" s="85"/>
    </row>
    <row r="272" spans="1:27" ht="14.25" customHeight="1">
      <c r="A272" s="83"/>
      <c r="B272" s="84"/>
      <c r="C272" s="84"/>
      <c r="D272" s="84"/>
      <c r="E272" s="84"/>
      <c r="F272" s="84"/>
      <c r="G272" s="84"/>
      <c r="H272" s="84"/>
      <c r="I272" s="84"/>
      <c r="J272" s="85"/>
    </row>
    <row r="273" spans="1:10" ht="14.25" customHeight="1">
      <c r="A273" s="83"/>
      <c r="B273" s="84"/>
      <c r="C273" s="84"/>
      <c r="D273" s="84"/>
      <c r="E273" s="84"/>
      <c r="F273" s="84"/>
      <c r="G273" s="84"/>
      <c r="H273" s="84"/>
      <c r="I273" s="84"/>
      <c r="J273" s="85"/>
    </row>
    <row r="274" spans="1:10" ht="14.25" customHeight="1">
      <c r="A274" s="83"/>
      <c r="B274" s="84"/>
      <c r="C274" s="84"/>
      <c r="D274" s="84"/>
      <c r="E274" s="84"/>
      <c r="F274" s="84"/>
      <c r="G274" s="84"/>
      <c r="H274" s="84"/>
      <c r="I274" s="84"/>
      <c r="J274" s="85"/>
    </row>
    <row r="275" spans="1:10" ht="14.25" customHeight="1">
      <c r="A275" s="83"/>
      <c r="B275" s="84"/>
      <c r="C275" s="84"/>
      <c r="D275" s="84"/>
      <c r="E275" s="84"/>
      <c r="F275" s="84"/>
      <c r="G275" s="84"/>
      <c r="H275" s="84"/>
      <c r="I275" s="84"/>
      <c r="J275" s="85"/>
    </row>
    <row r="276" spans="1:10" ht="14.25" customHeight="1">
      <c r="A276" s="86"/>
      <c r="B276" s="87"/>
      <c r="C276" s="87"/>
      <c r="D276" s="87"/>
      <c r="E276" s="87"/>
      <c r="F276" s="87"/>
      <c r="G276" s="87"/>
      <c r="H276" s="87"/>
      <c r="I276" s="87"/>
      <c r="J276" s="88"/>
    </row>
    <row r="277" spans="1:10" ht="14.25" customHeight="1">
      <c r="A277" s="89" t="s">
        <v>33</v>
      </c>
      <c r="B277" s="90"/>
      <c r="C277" s="90"/>
      <c r="D277" s="90"/>
      <c r="E277" s="90"/>
      <c r="F277" s="90"/>
      <c r="G277" s="90"/>
      <c r="H277" s="90"/>
      <c r="I277" s="90"/>
      <c r="J277" s="91"/>
    </row>
    <row r="278" spans="1:10" ht="14.25" customHeight="1">
      <c r="A278" s="92"/>
      <c r="B278" s="93"/>
      <c r="C278" s="93"/>
      <c r="D278" s="93"/>
      <c r="E278" s="93"/>
      <c r="F278" s="93"/>
      <c r="G278" s="93"/>
      <c r="H278" s="93"/>
      <c r="I278" s="93"/>
      <c r="J278" s="94"/>
    </row>
    <row r="279" spans="1:10" ht="14.25" customHeight="1">
      <c r="A279" s="89" t="s">
        <v>34</v>
      </c>
      <c r="B279" s="90"/>
      <c r="C279" s="90"/>
      <c r="D279" s="90"/>
      <c r="E279" s="90"/>
      <c r="F279" s="90"/>
      <c r="G279" s="90"/>
      <c r="H279" s="90"/>
      <c r="I279" s="90"/>
      <c r="J279" s="91"/>
    </row>
    <row r="280" spans="1:10" ht="14.25" customHeight="1">
      <c r="A280" s="92"/>
      <c r="B280" s="93"/>
      <c r="C280" s="93"/>
      <c r="D280" s="93"/>
      <c r="E280" s="93"/>
      <c r="F280" s="93"/>
      <c r="G280" s="93"/>
      <c r="H280" s="93"/>
      <c r="I280" s="93"/>
      <c r="J280" s="94"/>
    </row>
    <row r="281" spans="1:10" ht="14.25" customHeight="1">
      <c r="A281" s="89" t="s">
        <v>99</v>
      </c>
      <c r="B281" s="90"/>
      <c r="C281" s="90"/>
      <c r="D281" s="90"/>
      <c r="E281" s="90"/>
      <c r="F281" s="90"/>
      <c r="G281" s="90"/>
      <c r="H281" s="90"/>
      <c r="I281" s="90"/>
      <c r="J281" s="91"/>
    </row>
    <row r="282" spans="1:10" ht="14.25" customHeight="1">
      <c r="A282" s="92"/>
      <c r="B282" s="93"/>
      <c r="C282" s="93"/>
      <c r="D282" s="93"/>
      <c r="E282" s="93"/>
      <c r="F282" s="93"/>
      <c r="G282" s="93"/>
      <c r="H282" s="93"/>
      <c r="I282" s="93"/>
      <c r="J282" s="94"/>
    </row>
    <row r="283" spans="1:10" ht="14.25" customHeight="1">
      <c r="A283" s="89" t="s">
        <v>35</v>
      </c>
      <c r="B283" s="90"/>
      <c r="C283" s="90"/>
      <c r="D283" s="90"/>
      <c r="E283" s="90"/>
      <c r="F283" s="90"/>
      <c r="G283" s="90"/>
      <c r="H283" s="90"/>
      <c r="I283" s="90"/>
      <c r="J283" s="91"/>
    </row>
    <row r="284" spans="1:10" ht="14.25" customHeight="1">
      <c r="A284" s="92"/>
      <c r="B284" s="93"/>
      <c r="C284" s="93"/>
      <c r="D284" s="93"/>
      <c r="E284" s="93"/>
      <c r="F284" s="93"/>
      <c r="G284" s="93"/>
      <c r="H284" s="93"/>
      <c r="I284" s="93"/>
      <c r="J284" s="94"/>
    </row>
    <row r="285" spans="1:10" ht="14.25" customHeight="1">
      <c r="A285" s="99" t="s">
        <v>36</v>
      </c>
      <c r="B285" s="99"/>
      <c r="C285" s="99"/>
      <c r="D285" s="99"/>
      <c r="E285" s="99"/>
      <c r="F285" s="99"/>
      <c r="G285" s="99"/>
      <c r="H285" s="99"/>
      <c r="I285" s="99"/>
      <c r="J285" s="99"/>
    </row>
    <row r="286" spans="1:10" ht="14.25" customHeight="1">
      <c r="A286" s="95" t="s">
        <v>37</v>
      </c>
      <c r="B286" s="95"/>
      <c r="C286" s="95"/>
      <c r="D286" s="95"/>
      <c r="E286" s="95"/>
      <c r="F286" s="95"/>
      <c r="G286" s="95"/>
      <c r="H286" s="95"/>
      <c r="I286" s="95"/>
      <c r="J286" s="95"/>
    </row>
    <row r="287" spans="1:10" ht="14.25" customHeight="1">
      <c r="A287" s="95" t="s">
        <v>38</v>
      </c>
      <c r="B287" s="95"/>
      <c r="C287" s="95"/>
      <c r="D287" s="95"/>
      <c r="E287" s="95"/>
      <c r="F287" s="95"/>
      <c r="G287" s="95"/>
      <c r="H287" s="95"/>
      <c r="I287" s="95"/>
      <c r="J287" s="95"/>
    </row>
    <row r="288" spans="1:10" ht="14.25" customHeight="1">
      <c r="A288" s="95" t="s">
        <v>39</v>
      </c>
      <c r="B288" s="95"/>
      <c r="C288" s="95"/>
      <c r="D288" s="95"/>
      <c r="E288" s="95"/>
      <c r="F288" s="95"/>
      <c r="G288" s="95"/>
      <c r="H288" s="95"/>
      <c r="I288" s="95"/>
      <c r="J288" s="95"/>
    </row>
    <row r="289" spans="1:13" ht="14.25" customHeight="1">
      <c r="A289" s="95" t="s">
        <v>40</v>
      </c>
      <c r="B289" s="95"/>
      <c r="C289" s="95"/>
      <c r="D289" s="95"/>
      <c r="E289" s="95"/>
      <c r="F289" s="95"/>
      <c r="G289" s="95"/>
      <c r="H289" s="95"/>
      <c r="I289" s="95"/>
      <c r="J289" s="95"/>
    </row>
    <row r="290" spans="1:13" ht="14.25" customHeight="1">
      <c r="A290" s="95" t="s">
        <v>41</v>
      </c>
      <c r="B290" s="95"/>
      <c r="C290" s="95"/>
      <c r="D290" s="95"/>
      <c r="E290" s="95"/>
      <c r="F290" s="95"/>
      <c r="G290" s="95"/>
      <c r="H290" s="95"/>
      <c r="I290" s="95"/>
      <c r="J290" s="95"/>
    </row>
    <row r="291" spans="1:13" ht="14.25" customHeight="1">
      <c r="A291" s="95" t="s">
        <v>42</v>
      </c>
      <c r="B291" s="95"/>
      <c r="C291" s="95"/>
      <c r="D291" s="95"/>
      <c r="E291" s="95"/>
      <c r="F291" s="95"/>
      <c r="G291" s="95"/>
      <c r="H291" s="95"/>
      <c r="I291" s="95"/>
      <c r="J291" s="95"/>
    </row>
    <row r="292" spans="1:13" ht="14.25" customHeight="1">
      <c r="A292" s="100" t="s">
        <v>43</v>
      </c>
      <c r="B292" s="100"/>
      <c r="C292" s="100"/>
      <c r="D292" s="100"/>
      <c r="E292" s="100"/>
      <c r="F292" s="100"/>
      <c r="G292" s="100"/>
      <c r="H292" s="100"/>
      <c r="I292" s="100"/>
      <c r="J292" s="100"/>
    </row>
    <row r="293" spans="1:13" ht="14.25" customHeight="1">
      <c r="A293" s="95" t="s">
        <v>44</v>
      </c>
      <c r="B293" s="95"/>
      <c r="C293" s="95"/>
      <c r="D293" s="95"/>
      <c r="E293" s="95"/>
      <c r="F293" s="95"/>
      <c r="G293" s="95"/>
      <c r="H293" s="95"/>
      <c r="I293" s="95"/>
      <c r="J293" s="95"/>
    </row>
    <row r="294" spans="1:13" ht="29.25" customHeight="1">
      <c r="A294" s="96" t="s">
        <v>51</v>
      </c>
      <c r="B294" s="96"/>
      <c r="C294" s="96"/>
      <c r="D294" s="96"/>
      <c r="E294" s="96"/>
      <c r="F294" s="96"/>
      <c r="G294" s="96"/>
      <c r="H294" s="96"/>
      <c r="I294" s="96"/>
      <c r="J294" s="96"/>
    </row>
    <row r="295" spans="1:13" ht="14.25" customHeight="1">
      <c r="A295" s="101" t="s">
        <v>49</v>
      </c>
      <c r="B295" s="101"/>
      <c r="C295" s="101"/>
      <c r="D295" s="101"/>
      <c r="E295" s="101"/>
      <c r="F295" s="101"/>
      <c r="G295" s="101"/>
      <c r="H295" s="101"/>
      <c r="I295" s="101"/>
      <c r="J295" s="101"/>
    </row>
    <row r="296" spans="1:13" ht="14.25" customHeight="1"/>
    <row r="297" spans="1:13" ht="14.25" customHeight="1">
      <c r="A297" s="33" t="s">
        <v>0</v>
      </c>
      <c r="B297" s="33"/>
      <c r="C297" s="33"/>
      <c r="D297" s="33"/>
      <c r="E297" s="33"/>
      <c r="F297" s="33"/>
      <c r="G297" s="33"/>
      <c r="H297" s="33"/>
      <c r="I297" s="33"/>
      <c r="J297" s="33"/>
    </row>
    <row r="298" spans="1:13">
      <c r="A298" s="2" t="s">
        <v>1</v>
      </c>
      <c r="B298" s="3" t="str">
        <f>"GD-"&amp;IF(LEN(E302)=2,TEXT(LEFT(E302,1),"000"),IF(LEN(E302)=3,TEXT(LEFT(E302,2),"000"),TEXT(LEFT(E302,3),"000")))</f>
        <v>GD-005</v>
      </c>
      <c r="C298" s="2"/>
      <c r="D298" s="2"/>
      <c r="E298" s="2"/>
      <c r="F298" s="2"/>
      <c r="G298" s="2"/>
      <c r="H298" s="2"/>
      <c r="I298" s="2"/>
      <c r="J298" s="2"/>
    </row>
    <row r="299" spans="1:13" ht="14.25" customHeight="1">
      <c r="A299" s="34" t="s">
        <v>2</v>
      </c>
      <c r="B299" s="34"/>
      <c r="C299" s="34"/>
      <c r="D299" s="34"/>
      <c r="E299" s="34"/>
      <c r="F299" s="35" t="s">
        <v>3</v>
      </c>
      <c r="G299" s="35"/>
      <c r="H299" s="36">
        <f>H225+1</f>
        <v>45646</v>
      </c>
      <c r="I299" s="36"/>
      <c r="J299" s="7" t="str">
        <f>"("&amp;TEXT(H299,"[$-404]aaaa;@")&amp;")"</f>
        <v>(星期五)</v>
      </c>
    </row>
    <row r="300" spans="1:13" ht="14.25" customHeight="1">
      <c r="A300" s="37" t="s">
        <v>4</v>
      </c>
      <c r="B300" s="38"/>
      <c r="C300" s="41" t="str">
        <f>C226</f>
        <v>雲林縣成功國小思源堂整修工程</v>
      </c>
      <c r="D300" s="42"/>
      <c r="E300" s="43"/>
      <c r="F300" s="37" t="s">
        <v>5</v>
      </c>
      <c r="G300" s="38"/>
      <c r="H300" s="37" t="str">
        <f>H226</f>
        <v>正郁室內裝修</v>
      </c>
      <c r="I300" s="47"/>
      <c r="J300" s="38"/>
    </row>
    <row r="301" spans="1:13" ht="14.25" customHeight="1">
      <c r="A301" s="39"/>
      <c r="B301" s="40"/>
      <c r="C301" s="44"/>
      <c r="D301" s="45"/>
      <c r="E301" s="46"/>
      <c r="F301" s="39"/>
      <c r="G301" s="40"/>
      <c r="H301" s="39"/>
      <c r="I301" s="48"/>
      <c r="J301" s="40"/>
    </row>
    <row r="302" spans="1:13" ht="14.25" customHeight="1">
      <c r="A302" s="8" t="s">
        <v>7</v>
      </c>
      <c r="B302" s="8" t="str">
        <f>B228</f>
        <v>60天</v>
      </c>
      <c r="C302" s="30" t="s">
        <v>8</v>
      </c>
      <c r="D302" s="31"/>
      <c r="E302" s="8" t="str">
        <f>IF(LEN(E228)&gt;2,(LEFT(E228,2)+1),(LEFT(E228,1)+1))&amp;"天"</f>
        <v>5天</v>
      </c>
      <c r="F302" s="8" t="s">
        <v>9</v>
      </c>
      <c r="G302" s="8" t="str">
        <f>IF(LEN(E302)&gt;2,LEFT(B302,2)-LEFT(E302,2),LEFT(B302,2)-LEFT(E302,1))&amp;"天"</f>
        <v>55天</v>
      </c>
      <c r="H302" s="30" t="s">
        <v>10</v>
      </c>
      <c r="I302" s="31"/>
      <c r="J302" s="8" t="str">
        <f>J228</f>
        <v>0天</v>
      </c>
    </row>
    <row r="303" spans="1:13" ht="14.25" customHeight="1">
      <c r="A303" s="30" t="s">
        <v>12</v>
      </c>
      <c r="B303" s="31"/>
      <c r="C303" s="30" t="str">
        <f>C229</f>
        <v>113年12月16日</v>
      </c>
      <c r="D303" s="32"/>
      <c r="E303" s="31"/>
      <c r="F303" s="30" t="s">
        <v>13</v>
      </c>
      <c r="G303" s="31"/>
      <c r="H303" s="30" t="str">
        <f>H229</f>
        <v>114年02月13日</v>
      </c>
      <c r="I303" s="32"/>
      <c r="J303" s="31"/>
    </row>
    <row r="304" spans="1:13" ht="14.25" customHeight="1">
      <c r="A304" s="30" t="s">
        <v>14</v>
      </c>
      <c r="B304" s="31"/>
      <c r="C304" s="57">
        <f>(5%/12)*5</f>
        <v>2.0833333333333332E-2</v>
      </c>
      <c r="D304" s="58"/>
      <c r="E304" s="59"/>
      <c r="F304" s="30" t="s">
        <v>15</v>
      </c>
      <c r="G304" s="31"/>
      <c r="H304" s="57">
        <f>ROUND(L331/L332,5)+H230</f>
        <v>0.15631</v>
      </c>
      <c r="I304" s="58"/>
      <c r="J304" s="59"/>
      <c r="K304" s="26" t="s">
        <v>69</v>
      </c>
      <c r="L304" s="22"/>
      <c r="M304" s="4"/>
    </row>
    <row r="305" spans="1:13" ht="14.25" customHeight="1">
      <c r="A305" s="49" t="s">
        <v>16</v>
      </c>
      <c r="B305" s="50"/>
      <c r="C305" s="50"/>
      <c r="D305" s="50"/>
      <c r="E305" s="50"/>
      <c r="F305" s="50"/>
      <c r="G305" s="50"/>
      <c r="H305" s="50"/>
      <c r="I305" s="50"/>
      <c r="J305" s="51"/>
      <c r="L305" s="22"/>
      <c r="M305" s="4"/>
    </row>
    <row r="306" spans="1:13" ht="14.25" customHeight="1">
      <c r="A306" s="30" t="s">
        <v>17</v>
      </c>
      <c r="B306" s="32"/>
      <c r="C306" s="31"/>
      <c r="D306" s="8" t="s">
        <v>18</v>
      </c>
      <c r="E306" s="17" t="s">
        <v>19</v>
      </c>
      <c r="F306" s="30" t="s">
        <v>20</v>
      </c>
      <c r="G306" s="31"/>
      <c r="H306" s="30" t="s">
        <v>21</v>
      </c>
      <c r="I306" s="31"/>
      <c r="J306" s="8" t="s">
        <v>22</v>
      </c>
      <c r="L306" s="22"/>
      <c r="M306" s="4"/>
    </row>
    <row r="307" spans="1:13" ht="14.25" customHeight="1">
      <c r="A307" s="49" t="s">
        <v>56</v>
      </c>
      <c r="B307" s="50"/>
      <c r="C307" s="50"/>
      <c r="D307" s="50"/>
      <c r="E307" s="50"/>
      <c r="F307" s="50"/>
      <c r="G307" s="50"/>
      <c r="H307" s="50"/>
      <c r="I307" s="50"/>
      <c r="J307" s="51"/>
    </row>
    <row r="308" spans="1:13" ht="14.25" customHeight="1">
      <c r="A308" s="55" t="s">
        <v>57</v>
      </c>
      <c r="B308" s="50"/>
      <c r="C308" s="51"/>
      <c r="D308" s="24" t="s">
        <v>59</v>
      </c>
      <c r="E308" s="23">
        <v>1</v>
      </c>
      <c r="F308" s="54"/>
      <c r="G308" s="56"/>
      <c r="H308" s="54">
        <f t="shared" ref="H308:H330" si="10">F308+H234</f>
        <v>1</v>
      </c>
      <c r="I308" s="31"/>
      <c r="J308" s="16"/>
      <c r="K308" s="27">
        <v>800</v>
      </c>
      <c r="L308" s="29">
        <f t="shared" ref="L308:L330" si="11">ROUND(K308*F308,0)</f>
        <v>0</v>
      </c>
    </row>
    <row r="309" spans="1:13" ht="14.25" customHeight="1">
      <c r="A309" s="55" t="s">
        <v>75</v>
      </c>
      <c r="B309" s="50"/>
      <c r="C309" s="51"/>
      <c r="D309" s="24" t="s">
        <v>59</v>
      </c>
      <c r="E309" s="23">
        <v>1</v>
      </c>
      <c r="F309" s="52"/>
      <c r="G309" s="53"/>
      <c r="H309" s="54">
        <f t="shared" si="10"/>
        <v>1</v>
      </c>
      <c r="I309" s="31"/>
      <c r="J309" s="8"/>
      <c r="K309" s="27">
        <v>500</v>
      </c>
      <c r="L309" s="29">
        <f t="shared" si="11"/>
        <v>0</v>
      </c>
    </row>
    <row r="310" spans="1:13" ht="14.25" customHeight="1">
      <c r="A310" s="49" t="s">
        <v>58</v>
      </c>
      <c r="B310" s="50"/>
      <c r="C310" s="51"/>
      <c r="D310" s="24" t="s">
        <v>61</v>
      </c>
      <c r="E310" s="23">
        <v>51</v>
      </c>
      <c r="F310" s="52"/>
      <c r="G310" s="53"/>
      <c r="H310" s="54">
        <f t="shared" si="10"/>
        <v>51</v>
      </c>
      <c r="I310" s="31"/>
      <c r="J310" s="10"/>
      <c r="K310" s="27">
        <v>50</v>
      </c>
      <c r="L310" s="29">
        <f t="shared" si="11"/>
        <v>0</v>
      </c>
    </row>
    <row r="311" spans="1:13" ht="14.25" customHeight="1">
      <c r="A311" s="55" t="s">
        <v>76</v>
      </c>
      <c r="B311" s="50"/>
      <c r="C311" s="51"/>
      <c r="D311" s="24" t="s">
        <v>60</v>
      </c>
      <c r="E311" s="23">
        <v>1</v>
      </c>
      <c r="F311" s="52"/>
      <c r="G311" s="53"/>
      <c r="H311" s="54">
        <f t="shared" si="10"/>
        <v>0</v>
      </c>
      <c r="I311" s="31"/>
      <c r="J311" s="16"/>
      <c r="K311" s="27">
        <v>3000</v>
      </c>
      <c r="L311" s="29">
        <f t="shared" si="11"/>
        <v>0</v>
      </c>
    </row>
    <row r="312" spans="1:13" ht="14.25" customHeight="1">
      <c r="A312" s="55" t="s">
        <v>77</v>
      </c>
      <c r="B312" s="50"/>
      <c r="C312" s="51"/>
      <c r="D312" s="25" t="s">
        <v>60</v>
      </c>
      <c r="E312" s="23">
        <v>1</v>
      </c>
      <c r="F312" s="52"/>
      <c r="G312" s="53"/>
      <c r="H312" s="54">
        <f t="shared" si="10"/>
        <v>0</v>
      </c>
      <c r="I312" s="31"/>
      <c r="J312" s="8"/>
      <c r="K312" s="27">
        <v>3000</v>
      </c>
      <c r="L312" s="29">
        <f t="shared" si="11"/>
        <v>0</v>
      </c>
    </row>
    <row r="313" spans="1:13" ht="28.5" customHeight="1">
      <c r="A313" s="55" t="s">
        <v>78</v>
      </c>
      <c r="B313" s="64"/>
      <c r="C313" s="65"/>
      <c r="D313" s="25" t="s">
        <v>62</v>
      </c>
      <c r="E313" s="23">
        <v>328</v>
      </c>
      <c r="F313" s="30">
        <v>3.2</v>
      </c>
      <c r="G313" s="63"/>
      <c r="H313" s="54">
        <f t="shared" si="10"/>
        <v>6.4</v>
      </c>
      <c r="I313" s="31"/>
      <c r="J313" s="8"/>
      <c r="K313" s="28">
        <v>100</v>
      </c>
      <c r="L313" s="29">
        <f t="shared" si="11"/>
        <v>320</v>
      </c>
    </row>
    <row r="314" spans="1:13" ht="14.25" customHeight="1">
      <c r="A314" s="60" t="s">
        <v>79</v>
      </c>
      <c r="B314" s="61"/>
      <c r="C314" s="61"/>
      <c r="D314" s="25" t="s">
        <v>61</v>
      </c>
      <c r="E314" s="23">
        <v>21</v>
      </c>
      <c r="F314" s="62">
        <v>3</v>
      </c>
      <c r="G314" s="62"/>
      <c r="H314" s="54">
        <f t="shared" si="10"/>
        <v>6</v>
      </c>
      <c r="I314" s="31"/>
      <c r="J314" s="8"/>
      <c r="K314" s="27">
        <v>2500</v>
      </c>
      <c r="L314" s="29">
        <f t="shared" si="11"/>
        <v>7500</v>
      </c>
    </row>
    <row r="315" spans="1:13" ht="28.5" customHeight="1">
      <c r="A315" s="55" t="s">
        <v>80</v>
      </c>
      <c r="B315" s="64"/>
      <c r="C315" s="65"/>
      <c r="D315" s="25" t="s">
        <v>81</v>
      </c>
      <c r="E315" s="23">
        <v>5</v>
      </c>
      <c r="F315" s="30"/>
      <c r="G315" s="63"/>
      <c r="H315" s="54">
        <f t="shared" si="10"/>
        <v>0</v>
      </c>
      <c r="I315" s="31"/>
      <c r="J315" s="8"/>
      <c r="K315" s="27">
        <v>5000</v>
      </c>
      <c r="L315" s="29">
        <f t="shared" si="11"/>
        <v>0</v>
      </c>
    </row>
    <row r="316" spans="1:13" ht="14.25" customHeight="1">
      <c r="A316" s="60" t="s">
        <v>82</v>
      </c>
      <c r="B316" s="61"/>
      <c r="C316" s="61"/>
      <c r="D316" s="25" t="s">
        <v>62</v>
      </c>
      <c r="E316" s="23">
        <v>218</v>
      </c>
      <c r="F316" s="62"/>
      <c r="G316" s="62"/>
      <c r="H316" s="54">
        <f t="shared" si="10"/>
        <v>0</v>
      </c>
      <c r="I316" s="31"/>
      <c r="J316" s="8"/>
      <c r="K316" s="27">
        <v>1000</v>
      </c>
      <c r="L316" s="29">
        <f t="shared" si="11"/>
        <v>0</v>
      </c>
    </row>
    <row r="317" spans="1:13" ht="14.25" customHeight="1">
      <c r="A317" s="61" t="s">
        <v>83</v>
      </c>
      <c r="B317" s="61"/>
      <c r="C317" s="61"/>
      <c r="D317" s="25" t="s">
        <v>81</v>
      </c>
      <c r="E317" s="23">
        <v>28</v>
      </c>
      <c r="F317" s="30"/>
      <c r="G317" s="63"/>
      <c r="H317" s="54">
        <f t="shared" si="10"/>
        <v>0</v>
      </c>
      <c r="I317" s="31"/>
      <c r="J317" s="8"/>
      <c r="K317" s="27">
        <v>2000</v>
      </c>
      <c r="L317" s="29">
        <f t="shared" si="11"/>
        <v>0</v>
      </c>
    </row>
    <row r="318" spans="1:13" ht="28.5" customHeight="1">
      <c r="A318" s="60" t="s">
        <v>84</v>
      </c>
      <c r="B318" s="61"/>
      <c r="C318" s="61"/>
      <c r="D318" s="25" t="s">
        <v>62</v>
      </c>
      <c r="E318" s="23">
        <v>245</v>
      </c>
      <c r="F318" s="62"/>
      <c r="G318" s="62"/>
      <c r="H318" s="54">
        <f t="shared" si="10"/>
        <v>0</v>
      </c>
      <c r="I318" s="31"/>
      <c r="J318" s="8"/>
      <c r="K318" s="27">
        <v>1500</v>
      </c>
      <c r="L318" s="29">
        <f t="shared" si="11"/>
        <v>0</v>
      </c>
    </row>
    <row r="319" spans="1:13" ht="14.25" customHeight="1">
      <c r="A319" s="61" t="s">
        <v>85</v>
      </c>
      <c r="B319" s="61"/>
      <c r="C319" s="61"/>
      <c r="D319" s="25" t="s">
        <v>62</v>
      </c>
      <c r="E319" s="23">
        <v>83</v>
      </c>
      <c r="F319" s="30"/>
      <c r="G319" s="63"/>
      <c r="H319" s="54">
        <f t="shared" si="10"/>
        <v>0</v>
      </c>
      <c r="I319" s="31"/>
      <c r="J319" s="8"/>
      <c r="K319" s="27">
        <v>1000</v>
      </c>
      <c r="L319" s="29">
        <f t="shared" si="11"/>
        <v>0</v>
      </c>
    </row>
    <row r="320" spans="1:13" ht="30" customHeight="1">
      <c r="A320" s="60" t="s">
        <v>86</v>
      </c>
      <c r="B320" s="61"/>
      <c r="C320" s="61"/>
      <c r="D320" s="25" t="s">
        <v>62</v>
      </c>
      <c r="E320" s="23">
        <v>164</v>
      </c>
      <c r="F320" s="62"/>
      <c r="G320" s="62"/>
      <c r="H320" s="54">
        <f t="shared" si="10"/>
        <v>0</v>
      </c>
      <c r="I320" s="31"/>
      <c r="J320" s="8"/>
      <c r="K320" s="27">
        <v>500</v>
      </c>
      <c r="L320" s="29">
        <f t="shared" si="11"/>
        <v>0</v>
      </c>
    </row>
    <row r="321" spans="1:13" ht="14.25" customHeight="1">
      <c r="A321" s="60" t="s">
        <v>87</v>
      </c>
      <c r="B321" s="61"/>
      <c r="C321" s="61"/>
      <c r="D321" s="25" t="s">
        <v>62</v>
      </c>
      <c r="E321" s="23">
        <v>37</v>
      </c>
      <c r="F321" s="30">
        <v>7</v>
      </c>
      <c r="G321" s="63"/>
      <c r="H321" s="54">
        <f t="shared" si="10"/>
        <v>37</v>
      </c>
      <c r="I321" s="31"/>
      <c r="J321" s="8"/>
      <c r="K321" s="27">
        <v>1000</v>
      </c>
      <c r="L321" s="29">
        <f t="shared" si="11"/>
        <v>7000</v>
      </c>
    </row>
    <row r="322" spans="1:13" ht="14.25" customHeight="1">
      <c r="A322" s="61" t="s">
        <v>88</v>
      </c>
      <c r="B322" s="61"/>
      <c r="C322" s="61"/>
      <c r="D322" s="25" t="s">
        <v>60</v>
      </c>
      <c r="E322" s="23">
        <v>1</v>
      </c>
      <c r="F322" s="62">
        <v>0.25</v>
      </c>
      <c r="G322" s="62"/>
      <c r="H322" s="52">
        <f t="shared" si="10"/>
        <v>0.75</v>
      </c>
      <c r="I322" s="53"/>
      <c r="J322" s="8"/>
      <c r="K322" s="27">
        <v>250000</v>
      </c>
      <c r="L322" s="29">
        <f t="shared" si="11"/>
        <v>62500</v>
      </c>
    </row>
    <row r="323" spans="1:13" ht="14.25" customHeight="1">
      <c r="A323" s="61" t="s">
        <v>89</v>
      </c>
      <c r="B323" s="61"/>
      <c r="C323" s="61"/>
      <c r="D323" s="25" t="s">
        <v>62</v>
      </c>
      <c r="E323" s="23">
        <v>81</v>
      </c>
      <c r="F323" s="30"/>
      <c r="G323" s="63"/>
      <c r="H323" s="54">
        <f t="shared" si="10"/>
        <v>0</v>
      </c>
      <c r="I323" s="31"/>
      <c r="J323" s="8"/>
      <c r="K323" s="27">
        <v>500</v>
      </c>
      <c r="L323" s="29">
        <f t="shared" si="11"/>
        <v>0</v>
      </c>
    </row>
    <row r="324" spans="1:13" ht="29.25" customHeight="1">
      <c r="A324" s="60" t="s">
        <v>90</v>
      </c>
      <c r="B324" s="61"/>
      <c r="C324" s="61"/>
      <c r="D324" s="25" t="s">
        <v>62</v>
      </c>
      <c r="E324" s="23">
        <v>42</v>
      </c>
      <c r="F324" s="62"/>
      <c r="G324" s="62"/>
      <c r="H324" s="54">
        <f t="shared" si="10"/>
        <v>0</v>
      </c>
      <c r="I324" s="31"/>
      <c r="J324" s="8"/>
      <c r="K324" s="27">
        <v>1800</v>
      </c>
      <c r="L324" s="29">
        <f t="shared" si="11"/>
        <v>0</v>
      </c>
    </row>
    <row r="325" spans="1:13" ht="14.25" customHeight="1">
      <c r="A325" s="60" t="s">
        <v>91</v>
      </c>
      <c r="B325" s="61"/>
      <c r="C325" s="61"/>
      <c r="D325" s="25" t="s">
        <v>60</v>
      </c>
      <c r="E325" s="23">
        <v>1</v>
      </c>
      <c r="F325" s="30"/>
      <c r="G325" s="63"/>
      <c r="H325" s="54">
        <f t="shared" si="10"/>
        <v>0</v>
      </c>
      <c r="I325" s="31"/>
      <c r="J325" s="8"/>
      <c r="K325" s="27">
        <v>30000</v>
      </c>
      <c r="L325" s="29">
        <f t="shared" si="11"/>
        <v>0</v>
      </c>
    </row>
    <row r="326" spans="1:13" ht="14.25" customHeight="1">
      <c r="A326" s="61" t="s">
        <v>92</v>
      </c>
      <c r="B326" s="61"/>
      <c r="C326" s="61"/>
      <c r="D326" s="25" t="s">
        <v>60</v>
      </c>
      <c r="E326" s="23">
        <v>1</v>
      </c>
      <c r="F326" s="62"/>
      <c r="G326" s="62"/>
      <c r="H326" s="54">
        <f t="shared" si="10"/>
        <v>0</v>
      </c>
      <c r="I326" s="31"/>
      <c r="J326" s="8"/>
      <c r="K326" s="27">
        <v>13598</v>
      </c>
      <c r="L326" s="29">
        <f t="shared" si="11"/>
        <v>0</v>
      </c>
    </row>
    <row r="327" spans="1:13" ht="14.25" customHeight="1">
      <c r="A327" s="61" t="s">
        <v>93</v>
      </c>
      <c r="B327" s="61"/>
      <c r="C327" s="61"/>
      <c r="D327" s="25" t="s">
        <v>60</v>
      </c>
      <c r="E327" s="23">
        <v>1</v>
      </c>
      <c r="F327" s="62"/>
      <c r="G327" s="62"/>
      <c r="H327" s="54">
        <f t="shared" si="10"/>
        <v>0</v>
      </c>
      <c r="I327" s="31"/>
      <c r="J327" s="8"/>
      <c r="K327" s="27">
        <v>13598</v>
      </c>
      <c r="L327" s="29">
        <f t="shared" si="11"/>
        <v>0</v>
      </c>
    </row>
    <row r="328" spans="1:13" ht="14.25" customHeight="1">
      <c r="A328" s="61" t="s">
        <v>64</v>
      </c>
      <c r="B328" s="61"/>
      <c r="C328" s="61"/>
      <c r="D328" s="25" t="s">
        <v>60</v>
      </c>
      <c r="E328" s="23">
        <v>1</v>
      </c>
      <c r="F328" s="62"/>
      <c r="G328" s="62"/>
      <c r="H328" s="54">
        <f t="shared" si="10"/>
        <v>0</v>
      </c>
      <c r="I328" s="31"/>
      <c r="J328" s="8"/>
      <c r="K328" s="27">
        <v>95182</v>
      </c>
      <c r="L328" s="29">
        <f t="shared" si="11"/>
        <v>0</v>
      </c>
    </row>
    <row r="329" spans="1:13" ht="14.25" customHeight="1">
      <c r="A329" s="61" t="s">
        <v>65</v>
      </c>
      <c r="B329" s="61"/>
      <c r="C329" s="61"/>
      <c r="D329" s="25" t="s">
        <v>60</v>
      </c>
      <c r="E329" s="23">
        <v>1</v>
      </c>
      <c r="F329" s="62"/>
      <c r="G329" s="62"/>
      <c r="H329" s="54">
        <f t="shared" si="10"/>
        <v>0</v>
      </c>
      <c r="I329" s="31"/>
      <c r="J329" s="8"/>
      <c r="K329" s="27">
        <v>4513</v>
      </c>
      <c r="L329" s="29">
        <f t="shared" si="11"/>
        <v>0</v>
      </c>
    </row>
    <row r="330" spans="1:13" ht="14.25" customHeight="1" thickBot="1">
      <c r="A330" s="61" t="s">
        <v>66</v>
      </c>
      <c r="B330" s="61"/>
      <c r="C330" s="61"/>
      <c r="D330" s="25" t="s">
        <v>60</v>
      </c>
      <c r="E330" s="23">
        <v>1</v>
      </c>
      <c r="F330" s="62"/>
      <c r="G330" s="62"/>
      <c r="H330" s="54">
        <f t="shared" si="10"/>
        <v>0</v>
      </c>
      <c r="I330" s="31"/>
      <c r="J330" s="8"/>
      <c r="K330" s="27">
        <v>74332</v>
      </c>
      <c r="L330" s="29">
        <f t="shared" si="11"/>
        <v>0</v>
      </c>
      <c r="M330" s="1" t="s">
        <v>97</v>
      </c>
    </row>
    <row r="331" spans="1:13" ht="14.25" customHeight="1">
      <c r="A331" s="77" t="s">
        <v>46</v>
      </c>
      <c r="B331" s="67"/>
      <c r="C331" s="68"/>
      <c r="D331" s="11"/>
      <c r="E331" s="18"/>
      <c r="F331" s="78"/>
      <c r="G331" s="79"/>
      <c r="H331" s="78"/>
      <c r="I331" s="79"/>
      <c r="J331" s="12"/>
      <c r="K331" s="27" t="s">
        <v>68</v>
      </c>
      <c r="L331" s="29">
        <f>SUM(L308:L330)</f>
        <v>77320</v>
      </c>
      <c r="M331" s="4">
        <f>ROUND(L331/L332,5)</f>
        <v>4.9529999999999998E-2</v>
      </c>
    </row>
    <row r="332" spans="1:13" ht="14.25" customHeight="1">
      <c r="A332" s="69" t="s">
        <v>47</v>
      </c>
      <c r="B332" s="70"/>
      <c r="C332" s="71"/>
      <c r="D332" s="9"/>
      <c r="E332" s="19"/>
      <c r="F332" s="30"/>
      <c r="G332" s="31"/>
      <c r="H332" s="30"/>
      <c r="I332" s="31"/>
      <c r="J332" s="13"/>
      <c r="K332" s="27" t="s">
        <v>67</v>
      </c>
      <c r="L332" s="29">
        <v>1560973</v>
      </c>
      <c r="M332" s="4"/>
    </row>
    <row r="333" spans="1:13" ht="14.25" customHeight="1" thickBot="1">
      <c r="A333" s="72" t="s">
        <v>48</v>
      </c>
      <c r="B333" s="73"/>
      <c r="C333" s="74"/>
      <c r="D333" s="14"/>
      <c r="E333" s="20"/>
      <c r="F333" s="75"/>
      <c r="G333" s="76"/>
      <c r="H333" s="75"/>
      <c r="I333" s="76"/>
      <c r="J333" s="15"/>
    </row>
    <row r="334" spans="1:13" ht="14.25" customHeight="1">
      <c r="A334" s="66" t="s">
        <v>23</v>
      </c>
      <c r="B334" s="67"/>
      <c r="C334" s="67"/>
      <c r="D334" s="67"/>
      <c r="E334" s="67"/>
      <c r="F334" s="67"/>
      <c r="G334" s="67"/>
      <c r="H334" s="67"/>
      <c r="I334" s="67"/>
      <c r="J334" s="68"/>
    </row>
    <row r="335" spans="1:13" ht="14.25" customHeight="1">
      <c r="A335" s="30" t="s">
        <v>24</v>
      </c>
      <c r="B335" s="32"/>
      <c r="C335" s="31"/>
      <c r="D335" s="8" t="s">
        <v>18</v>
      </c>
      <c r="E335" s="8" t="s">
        <v>25</v>
      </c>
      <c r="F335" s="30" t="s">
        <v>26</v>
      </c>
      <c r="G335" s="31"/>
      <c r="H335" s="30" t="s">
        <v>27</v>
      </c>
      <c r="I335" s="31"/>
      <c r="J335" s="8" t="s">
        <v>22</v>
      </c>
    </row>
    <row r="336" spans="1:13" ht="14.25" customHeight="1">
      <c r="A336" s="49"/>
      <c r="B336" s="50"/>
      <c r="C336" s="51"/>
      <c r="D336" s="8"/>
      <c r="E336" s="8"/>
      <c r="F336" s="30"/>
      <c r="G336" s="31"/>
      <c r="H336" s="30"/>
      <c r="I336" s="31"/>
      <c r="J336" s="8"/>
    </row>
    <row r="337" spans="1:27" ht="14.25" customHeight="1">
      <c r="A337" s="49"/>
      <c r="B337" s="50"/>
      <c r="C337" s="51"/>
      <c r="D337" s="8"/>
      <c r="E337" s="8"/>
      <c r="F337" s="30"/>
      <c r="G337" s="31"/>
      <c r="H337" s="30"/>
      <c r="I337" s="31"/>
      <c r="J337" s="8"/>
    </row>
    <row r="338" spans="1:27" ht="14.25" customHeight="1">
      <c r="A338" s="49" t="s">
        <v>28</v>
      </c>
      <c r="B338" s="50"/>
      <c r="C338" s="50"/>
      <c r="D338" s="50"/>
      <c r="E338" s="50"/>
      <c r="F338" s="50"/>
      <c r="G338" s="50"/>
      <c r="H338" s="50"/>
      <c r="I338" s="50"/>
      <c r="J338" s="51"/>
    </row>
    <row r="339" spans="1:27" ht="14.25" customHeight="1">
      <c r="A339" s="30" t="s">
        <v>29</v>
      </c>
      <c r="B339" s="31"/>
      <c r="C339" s="8" t="s">
        <v>30</v>
      </c>
      <c r="D339" s="8" t="s">
        <v>31</v>
      </c>
      <c r="E339" s="30" t="s">
        <v>32</v>
      </c>
      <c r="F339" s="31"/>
      <c r="G339" s="30" t="s">
        <v>26</v>
      </c>
      <c r="H339" s="31"/>
      <c r="I339" s="30" t="s">
        <v>27</v>
      </c>
      <c r="J339" s="31"/>
    </row>
    <row r="340" spans="1:27" ht="14.25" customHeight="1">
      <c r="A340" s="49" t="s">
        <v>71</v>
      </c>
      <c r="B340" s="51"/>
      <c r="C340" s="8">
        <v>2</v>
      </c>
      <c r="D340" s="8">
        <v>2</v>
      </c>
      <c r="E340" s="30"/>
      <c r="F340" s="31"/>
      <c r="G340" s="30"/>
      <c r="H340" s="31"/>
      <c r="I340" s="30"/>
      <c r="J340" s="31"/>
    </row>
    <row r="341" spans="1:27" ht="14.25" customHeight="1">
      <c r="A341" s="49" t="s">
        <v>63</v>
      </c>
      <c r="B341" s="51"/>
      <c r="C341" s="8">
        <v>4</v>
      </c>
      <c r="D341" s="8">
        <v>16</v>
      </c>
      <c r="E341" s="30"/>
      <c r="F341" s="31"/>
      <c r="G341" s="30"/>
      <c r="H341" s="31"/>
      <c r="I341" s="30"/>
      <c r="J341" s="31"/>
    </row>
    <row r="342" spans="1:27" ht="14.25" customHeight="1">
      <c r="A342" s="41" t="s">
        <v>45</v>
      </c>
      <c r="B342" s="42"/>
      <c r="C342" s="42"/>
      <c r="D342" s="42"/>
      <c r="E342" s="42"/>
      <c r="F342" s="42"/>
      <c r="G342" s="42"/>
      <c r="H342" s="42"/>
      <c r="I342" s="42"/>
      <c r="J342" s="43"/>
    </row>
    <row r="343" spans="1:27" ht="14.25" customHeight="1">
      <c r="A343" s="44"/>
      <c r="B343" s="45"/>
      <c r="C343" s="45"/>
      <c r="D343" s="45"/>
      <c r="E343" s="45"/>
      <c r="F343" s="45"/>
      <c r="G343" s="45"/>
      <c r="H343" s="45"/>
      <c r="I343" s="45"/>
      <c r="J343" s="46"/>
    </row>
    <row r="344" spans="1:27" ht="14.25" customHeight="1">
      <c r="A344" s="80" t="s">
        <v>52</v>
      </c>
      <c r="B344" s="81"/>
      <c r="C344" s="81"/>
      <c r="D344" s="81"/>
      <c r="E344" s="81"/>
      <c r="F344" s="81"/>
      <c r="G344" s="81"/>
      <c r="H344" s="81"/>
      <c r="I344" s="81"/>
      <c r="J344" s="82"/>
      <c r="M344" s="4"/>
      <c r="N344" s="5"/>
      <c r="O344" s="6"/>
      <c r="S344" s="6"/>
      <c r="W344" s="6"/>
      <c r="AA344" s="6"/>
    </row>
    <row r="345" spans="1:27" ht="14.25" customHeight="1">
      <c r="A345" s="83"/>
      <c r="B345" s="84"/>
      <c r="C345" s="84"/>
      <c r="D345" s="84"/>
      <c r="E345" s="84"/>
      <c r="F345" s="84"/>
      <c r="G345" s="84"/>
      <c r="H345" s="84"/>
      <c r="I345" s="84"/>
      <c r="J345" s="85"/>
    </row>
    <row r="346" spans="1:27" ht="14.25" customHeight="1">
      <c r="A346" s="83"/>
      <c r="B346" s="84"/>
      <c r="C346" s="84"/>
      <c r="D346" s="84"/>
      <c r="E346" s="84"/>
      <c r="F346" s="84"/>
      <c r="G346" s="84"/>
      <c r="H346" s="84"/>
      <c r="I346" s="84"/>
      <c r="J346" s="85"/>
    </row>
    <row r="347" spans="1:27" ht="14.25" customHeight="1">
      <c r="A347" s="83"/>
      <c r="B347" s="84"/>
      <c r="C347" s="84"/>
      <c r="D347" s="84"/>
      <c r="E347" s="84"/>
      <c r="F347" s="84"/>
      <c r="G347" s="84"/>
      <c r="H347" s="84"/>
      <c r="I347" s="84"/>
      <c r="J347" s="85"/>
    </row>
    <row r="348" spans="1:27" ht="14.25" customHeight="1">
      <c r="A348" s="83"/>
      <c r="B348" s="84"/>
      <c r="C348" s="84"/>
      <c r="D348" s="84"/>
      <c r="E348" s="84"/>
      <c r="F348" s="84"/>
      <c r="G348" s="84"/>
      <c r="H348" s="84"/>
      <c r="I348" s="84"/>
      <c r="J348" s="85"/>
    </row>
    <row r="349" spans="1:27" ht="14.25" customHeight="1">
      <c r="A349" s="83"/>
      <c r="B349" s="84"/>
      <c r="C349" s="84"/>
      <c r="D349" s="84"/>
      <c r="E349" s="84"/>
      <c r="F349" s="84"/>
      <c r="G349" s="84"/>
      <c r="H349" s="84"/>
      <c r="I349" s="84"/>
      <c r="J349" s="85"/>
    </row>
    <row r="350" spans="1:27" ht="14.25" customHeight="1">
      <c r="A350" s="86"/>
      <c r="B350" s="87"/>
      <c r="C350" s="87"/>
      <c r="D350" s="87"/>
      <c r="E350" s="87"/>
      <c r="F350" s="87"/>
      <c r="G350" s="87"/>
      <c r="H350" s="87"/>
      <c r="I350" s="87"/>
      <c r="J350" s="88"/>
    </row>
    <row r="351" spans="1:27" ht="14.25" customHeight="1">
      <c r="A351" s="89" t="s">
        <v>33</v>
      </c>
      <c r="B351" s="90"/>
      <c r="C351" s="90"/>
      <c r="D351" s="90"/>
      <c r="E351" s="90"/>
      <c r="F351" s="90"/>
      <c r="G351" s="90"/>
      <c r="H351" s="90"/>
      <c r="I351" s="90"/>
      <c r="J351" s="91"/>
    </row>
    <row r="352" spans="1:27" ht="14.25" customHeight="1">
      <c r="A352" s="92"/>
      <c r="B352" s="93"/>
      <c r="C352" s="93"/>
      <c r="D352" s="93"/>
      <c r="E352" s="93"/>
      <c r="F352" s="93"/>
      <c r="G352" s="93"/>
      <c r="H352" s="93"/>
      <c r="I352" s="93"/>
      <c r="J352" s="94"/>
    </row>
    <row r="353" spans="1:10" ht="14.25" customHeight="1">
      <c r="A353" s="89" t="s">
        <v>34</v>
      </c>
      <c r="B353" s="90"/>
      <c r="C353" s="90"/>
      <c r="D353" s="90"/>
      <c r="E353" s="90"/>
      <c r="F353" s="90"/>
      <c r="G353" s="90"/>
      <c r="H353" s="90"/>
      <c r="I353" s="90"/>
      <c r="J353" s="91"/>
    </row>
    <row r="354" spans="1:10" ht="14.25" customHeight="1">
      <c r="A354" s="92"/>
      <c r="B354" s="93"/>
      <c r="C354" s="93"/>
      <c r="D354" s="93"/>
      <c r="E354" s="93"/>
      <c r="F354" s="93"/>
      <c r="G354" s="93"/>
      <c r="H354" s="93"/>
      <c r="I354" s="93"/>
      <c r="J354" s="94"/>
    </row>
    <row r="355" spans="1:10" ht="14.25" customHeight="1">
      <c r="A355" s="80" t="s">
        <v>101</v>
      </c>
      <c r="B355" s="90"/>
      <c r="C355" s="90"/>
      <c r="D355" s="90"/>
      <c r="E355" s="90"/>
      <c r="F355" s="90"/>
      <c r="G355" s="90"/>
      <c r="H355" s="90"/>
      <c r="I355" s="90"/>
      <c r="J355" s="91"/>
    </row>
    <row r="356" spans="1:10" ht="14.25" customHeight="1">
      <c r="A356" s="92"/>
      <c r="B356" s="93"/>
      <c r="C356" s="93"/>
      <c r="D356" s="93"/>
      <c r="E356" s="93"/>
      <c r="F356" s="93"/>
      <c r="G356" s="93"/>
      <c r="H356" s="93"/>
      <c r="I356" s="93"/>
      <c r="J356" s="94"/>
    </row>
    <row r="357" spans="1:10" ht="14.25" customHeight="1">
      <c r="A357" s="89" t="s">
        <v>35</v>
      </c>
      <c r="B357" s="90"/>
      <c r="C357" s="90"/>
      <c r="D357" s="90"/>
      <c r="E357" s="90"/>
      <c r="F357" s="90"/>
      <c r="G357" s="90"/>
      <c r="H357" s="90"/>
      <c r="I357" s="90"/>
      <c r="J357" s="91"/>
    </row>
    <row r="358" spans="1:10" ht="14.25" customHeight="1">
      <c r="A358" s="92"/>
      <c r="B358" s="93"/>
      <c r="C358" s="93"/>
      <c r="D358" s="93"/>
      <c r="E358" s="93"/>
      <c r="F358" s="93"/>
      <c r="G358" s="93"/>
      <c r="H358" s="93"/>
      <c r="I358" s="93"/>
      <c r="J358" s="94"/>
    </row>
    <row r="359" spans="1:10" ht="14.25" customHeight="1">
      <c r="A359" s="99" t="s">
        <v>36</v>
      </c>
      <c r="B359" s="99"/>
      <c r="C359" s="99"/>
      <c r="D359" s="99"/>
      <c r="E359" s="99"/>
      <c r="F359" s="99"/>
      <c r="G359" s="99"/>
      <c r="H359" s="99"/>
      <c r="I359" s="99"/>
      <c r="J359" s="99"/>
    </row>
    <row r="360" spans="1:10" ht="14.25" customHeight="1">
      <c r="A360" s="95" t="s">
        <v>37</v>
      </c>
      <c r="B360" s="95"/>
      <c r="C360" s="95"/>
      <c r="D360" s="95"/>
      <c r="E360" s="95"/>
      <c r="F360" s="95"/>
      <c r="G360" s="95"/>
      <c r="H360" s="95"/>
      <c r="I360" s="95"/>
      <c r="J360" s="95"/>
    </row>
    <row r="361" spans="1:10" ht="14.25" customHeight="1">
      <c r="A361" s="95" t="s">
        <v>38</v>
      </c>
      <c r="B361" s="95"/>
      <c r="C361" s="95"/>
      <c r="D361" s="95"/>
      <c r="E361" s="95"/>
      <c r="F361" s="95"/>
      <c r="G361" s="95"/>
      <c r="H361" s="95"/>
      <c r="I361" s="95"/>
      <c r="J361" s="95"/>
    </row>
    <row r="362" spans="1:10" ht="14.25" customHeight="1">
      <c r="A362" s="95" t="s">
        <v>39</v>
      </c>
      <c r="B362" s="95"/>
      <c r="C362" s="95"/>
      <c r="D362" s="95"/>
      <c r="E362" s="95"/>
      <c r="F362" s="95"/>
      <c r="G362" s="95"/>
      <c r="H362" s="95"/>
      <c r="I362" s="95"/>
      <c r="J362" s="95"/>
    </row>
    <row r="363" spans="1:10" ht="14.25" customHeight="1">
      <c r="A363" s="95" t="s">
        <v>40</v>
      </c>
      <c r="B363" s="95"/>
      <c r="C363" s="95"/>
      <c r="D363" s="95"/>
      <c r="E363" s="95"/>
      <c r="F363" s="95"/>
      <c r="G363" s="95"/>
      <c r="H363" s="95"/>
      <c r="I363" s="95"/>
      <c r="J363" s="95"/>
    </row>
    <row r="364" spans="1:10" ht="14.25" customHeight="1">
      <c r="A364" s="95" t="s">
        <v>41</v>
      </c>
      <c r="B364" s="95"/>
      <c r="C364" s="95"/>
      <c r="D364" s="95"/>
      <c r="E364" s="95"/>
      <c r="F364" s="95"/>
      <c r="G364" s="95"/>
      <c r="H364" s="95"/>
      <c r="I364" s="95"/>
      <c r="J364" s="95"/>
    </row>
    <row r="365" spans="1:10" ht="14.25" customHeight="1">
      <c r="A365" s="95" t="s">
        <v>42</v>
      </c>
      <c r="B365" s="95"/>
      <c r="C365" s="95"/>
      <c r="D365" s="95"/>
      <c r="E365" s="95"/>
      <c r="F365" s="95"/>
      <c r="G365" s="95"/>
      <c r="H365" s="95"/>
      <c r="I365" s="95"/>
      <c r="J365" s="95"/>
    </row>
    <row r="366" spans="1:10" ht="14.25" customHeight="1">
      <c r="A366" s="100" t="s">
        <v>43</v>
      </c>
      <c r="B366" s="100"/>
      <c r="C366" s="100"/>
      <c r="D366" s="100"/>
      <c r="E366" s="100"/>
      <c r="F366" s="100"/>
      <c r="G366" s="100"/>
      <c r="H366" s="100"/>
      <c r="I366" s="100"/>
      <c r="J366" s="100"/>
    </row>
    <row r="367" spans="1:10" ht="14.25" customHeight="1">
      <c r="A367" s="95" t="s">
        <v>44</v>
      </c>
      <c r="B367" s="95"/>
      <c r="C367" s="95"/>
      <c r="D367" s="95"/>
      <c r="E367" s="95"/>
      <c r="F367" s="95"/>
      <c r="G367" s="95"/>
      <c r="H367" s="95"/>
      <c r="I367" s="95"/>
      <c r="J367" s="95"/>
    </row>
    <row r="368" spans="1:10" ht="29.25" customHeight="1">
      <c r="A368" s="96" t="s">
        <v>51</v>
      </c>
      <c r="B368" s="96"/>
      <c r="C368" s="96"/>
      <c r="D368" s="96"/>
      <c r="E368" s="96"/>
      <c r="F368" s="96"/>
      <c r="G368" s="96"/>
      <c r="H368" s="96"/>
      <c r="I368" s="96"/>
      <c r="J368" s="96"/>
    </row>
    <row r="369" spans="1:13" ht="14.25" customHeight="1">
      <c r="A369" s="101" t="s">
        <v>49</v>
      </c>
      <c r="B369" s="101"/>
      <c r="C369" s="101"/>
      <c r="D369" s="101"/>
      <c r="E369" s="101"/>
      <c r="F369" s="101"/>
      <c r="G369" s="101"/>
      <c r="H369" s="101"/>
      <c r="I369" s="101"/>
      <c r="J369" s="101"/>
    </row>
    <row r="370" spans="1:13" ht="14.25" customHeight="1"/>
    <row r="371" spans="1:13" ht="14.25" customHeight="1">
      <c r="A371" s="33" t="s">
        <v>0</v>
      </c>
      <c r="B371" s="33"/>
      <c r="C371" s="33"/>
      <c r="D371" s="33"/>
      <c r="E371" s="33"/>
      <c r="F371" s="33"/>
      <c r="G371" s="33"/>
      <c r="H371" s="33"/>
      <c r="I371" s="33"/>
      <c r="J371" s="33"/>
    </row>
    <row r="372" spans="1:13">
      <c r="A372" s="2" t="s">
        <v>1</v>
      </c>
      <c r="B372" s="3" t="str">
        <f>"GD-"&amp;IF(LEN(E376)=2,TEXT(LEFT(E376,1),"000"),IF(LEN(E376)=3,TEXT(LEFT(E376,2),"000"),TEXT(LEFT(E376,3),"000")))</f>
        <v>GD-006</v>
      </c>
      <c r="C372" s="2"/>
      <c r="D372" s="2"/>
      <c r="E372" s="2"/>
      <c r="F372" s="2"/>
      <c r="G372" s="2"/>
      <c r="H372" s="2"/>
      <c r="I372" s="2"/>
      <c r="J372" s="2"/>
    </row>
    <row r="373" spans="1:13" ht="14.25" customHeight="1">
      <c r="A373" s="34" t="s">
        <v>2</v>
      </c>
      <c r="B373" s="34"/>
      <c r="C373" s="34"/>
      <c r="D373" s="34"/>
      <c r="E373" s="34"/>
      <c r="F373" s="35" t="s">
        <v>3</v>
      </c>
      <c r="G373" s="35"/>
      <c r="H373" s="36">
        <f>H299+1</f>
        <v>45647</v>
      </c>
      <c r="I373" s="36"/>
      <c r="J373" s="7" t="str">
        <f>"("&amp;TEXT(H373,"[$-404]aaaa;@")&amp;")"</f>
        <v>(星期六)</v>
      </c>
    </row>
    <row r="374" spans="1:13" ht="14.25" customHeight="1">
      <c r="A374" s="37" t="s">
        <v>4</v>
      </c>
      <c r="B374" s="38"/>
      <c r="C374" s="41" t="str">
        <f>C300</f>
        <v>雲林縣成功國小思源堂整修工程</v>
      </c>
      <c r="D374" s="42"/>
      <c r="E374" s="43"/>
      <c r="F374" s="37" t="s">
        <v>5</v>
      </c>
      <c r="G374" s="38"/>
      <c r="H374" s="37" t="str">
        <f>H300</f>
        <v>正郁室內裝修</v>
      </c>
      <c r="I374" s="47"/>
      <c r="J374" s="38"/>
    </row>
    <row r="375" spans="1:13" ht="14.25" customHeight="1">
      <c r="A375" s="39"/>
      <c r="B375" s="40"/>
      <c r="C375" s="44"/>
      <c r="D375" s="45"/>
      <c r="E375" s="46"/>
      <c r="F375" s="39"/>
      <c r="G375" s="40"/>
      <c r="H375" s="39"/>
      <c r="I375" s="48"/>
      <c r="J375" s="40"/>
    </row>
    <row r="376" spans="1:13" ht="14.25" customHeight="1">
      <c r="A376" s="8" t="s">
        <v>7</v>
      </c>
      <c r="B376" s="8" t="str">
        <f>B302</f>
        <v>60天</v>
      </c>
      <c r="C376" s="30" t="s">
        <v>8</v>
      </c>
      <c r="D376" s="31"/>
      <c r="E376" s="8" t="str">
        <f>IF(LEN(E302)&gt;2,(LEFT(E302,2)+1),(LEFT(E302,1)+1))&amp;"天"</f>
        <v>6天</v>
      </c>
      <c r="F376" s="8" t="s">
        <v>9</v>
      </c>
      <c r="G376" s="8" t="str">
        <f>IF(LEN(E376)&gt;2,LEFT(B376,2)-LEFT(E376,2),LEFT(B376,2)-LEFT(E376,1))&amp;"天"</f>
        <v>54天</v>
      </c>
      <c r="H376" s="30" t="s">
        <v>10</v>
      </c>
      <c r="I376" s="31"/>
      <c r="J376" s="8" t="str">
        <f>J302</f>
        <v>0天</v>
      </c>
    </row>
    <row r="377" spans="1:13" ht="14.25" customHeight="1">
      <c r="A377" s="30" t="s">
        <v>12</v>
      </c>
      <c r="B377" s="31"/>
      <c r="C377" s="30" t="str">
        <f>C303</f>
        <v>113年12月16日</v>
      </c>
      <c r="D377" s="32"/>
      <c r="E377" s="31"/>
      <c r="F377" s="30" t="s">
        <v>13</v>
      </c>
      <c r="G377" s="31"/>
      <c r="H377" s="30" t="str">
        <f>H303</f>
        <v>114年02月13日</v>
      </c>
      <c r="I377" s="32"/>
      <c r="J377" s="31"/>
    </row>
    <row r="378" spans="1:13" ht="14.25" customHeight="1">
      <c r="A378" s="30" t="s">
        <v>14</v>
      </c>
      <c r="B378" s="31"/>
      <c r="C378" s="57">
        <f>(5%/12)*6</f>
        <v>2.5000000000000001E-2</v>
      </c>
      <c r="D378" s="58"/>
      <c r="E378" s="59"/>
      <c r="F378" s="30" t="s">
        <v>15</v>
      </c>
      <c r="G378" s="31"/>
      <c r="H378" s="57">
        <f>ROUND(L405/L406,5)+H304</f>
        <v>0.15631</v>
      </c>
      <c r="I378" s="58"/>
      <c r="J378" s="59"/>
      <c r="K378" s="26" t="s">
        <v>69</v>
      </c>
      <c r="L378" s="22"/>
      <c r="M378" s="4"/>
    </row>
    <row r="379" spans="1:13" ht="14.25" customHeight="1">
      <c r="A379" s="49" t="s">
        <v>16</v>
      </c>
      <c r="B379" s="50"/>
      <c r="C379" s="50"/>
      <c r="D379" s="50"/>
      <c r="E379" s="50"/>
      <c r="F379" s="50"/>
      <c r="G379" s="50"/>
      <c r="H379" s="50"/>
      <c r="I379" s="50"/>
      <c r="J379" s="51"/>
      <c r="L379" s="22"/>
      <c r="M379" s="4"/>
    </row>
    <row r="380" spans="1:13" ht="14.25" customHeight="1">
      <c r="A380" s="30" t="s">
        <v>17</v>
      </c>
      <c r="B380" s="32"/>
      <c r="C380" s="31"/>
      <c r="D380" s="8" t="s">
        <v>18</v>
      </c>
      <c r="E380" s="17" t="s">
        <v>19</v>
      </c>
      <c r="F380" s="30" t="s">
        <v>20</v>
      </c>
      <c r="G380" s="31"/>
      <c r="H380" s="30" t="s">
        <v>21</v>
      </c>
      <c r="I380" s="31"/>
      <c r="J380" s="8" t="s">
        <v>22</v>
      </c>
      <c r="L380" s="22"/>
      <c r="M380" s="4"/>
    </row>
    <row r="381" spans="1:13" ht="14.25" customHeight="1">
      <c r="A381" s="49" t="s">
        <v>56</v>
      </c>
      <c r="B381" s="50"/>
      <c r="C381" s="50"/>
      <c r="D381" s="50"/>
      <c r="E381" s="50"/>
      <c r="F381" s="50"/>
      <c r="G381" s="50"/>
      <c r="H381" s="50"/>
      <c r="I381" s="50"/>
      <c r="J381" s="51"/>
    </row>
    <row r="382" spans="1:13" ht="14.25" customHeight="1">
      <c r="A382" s="55" t="s">
        <v>57</v>
      </c>
      <c r="B382" s="50"/>
      <c r="C382" s="51"/>
      <c r="D382" s="24" t="s">
        <v>59</v>
      </c>
      <c r="E382" s="23">
        <v>1</v>
      </c>
      <c r="F382" s="54"/>
      <c r="G382" s="56"/>
      <c r="H382" s="54">
        <f t="shared" ref="H382:H404" si="12">F382+H308</f>
        <v>1</v>
      </c>
      <c r="I382" s="31"/>
      <c r="J382" s="16"/>
      <c r="K382" s="27">
        <v>800</v>
      </c>
      <c r="L382" s="29">
        <f t="shared" ref="L382:L404" si="13">ROUND(K382*F382,0)</f>
        <v>0</v>
      </c>
    </row>
    <row r="383" spans="1:13" ht="14.25" customHeight="1">
      <c r="A383" s="55" t="s">
        <v>75</v>
      </c>
      <c r="B383" s="50"/>
      <c r="C383" s="51"/>
      <c r="D383" s="24" t="s">
        <v>59</v>
      </c>
      <c r="E383" s="23">
        <v>1</v>
      </c>
      <c r="F383" s="52"/>
      <c r="G383" s="53"/>
      <c r="H383" s="54">
        <f t="shared" si="12"/>
        <v>1</v>
      </c>
      <c r="I383" s="31"/>
      <c r="J383" s="8"/>
      <c r="K383" s="27">
        <v>500</v>
      </c>
      <c r="L383" s="29">
        <f t="shared" si="13"/>
        <v>0</v>
      </c>
    </row>
    <row r="384" spans="1:13" ht="14.25" customHeight="1">
      <c r="A384" s="49" t="s">
        <v>58</v>
      </c>
      <c r="B384" s="50"/>
      <c r="C384" s="51"/>
      <c r="D384" s="24" t="s">
        <v>61</v>
      </c>
      <c r="E384" s="23">
        <v>51</v>
      </c>
      <c r="F384" s="52"/>
      <c r="G384" s="53"/>
      <c r="H384" s="54">
        <f t="shared" si="12"/>
        <v>51</v>
      </c>
      <c r="I384" s="31"/>
      <c r="J384" s="10"/>
      <c r="K384" s="27">
        <v>50</v>
      </c>
      <c r="L384" s="29">
        <f t="shared" si="13"/>
        <v>0</v>
      </c>
    </row>
    <row r="385" spans="1:12" ht="14.25" customHeight="1">
      <c r="A385" s="55" t="s">
        <v>76</v>
      </c>
      <c r="B385" s="50"/>
      <c r="C385" s="51"/>
      <c r="D385" s="24" t="s">
        <v>60</v>
      </c>
      <c r="E385" s="23">
        <v>1</v>
      </c>
      <c r="F385" s="52"/>
      <c r="G385" s="53"/>
      <c r="H385" s="54">
        <f t="shared" si="12"/>
        <v>0</v>
      </c>
      <c r="I385" s="31"/>
      <c r="J385" s="16"/>
      <c r="K385" s="27">
        <v>3000</v>
      </c>
      <c r="L385" s="29">
        <f t="shared" si="13"/>
        <v>0</v>
      </c>
    </row>
    <row r="386" spans="1:12" ht="14.25" customHeight="1">
      <c r="A386" s="55" t="s">
        <v>77</v>
      </c>
      <c r="B386" s="50"/>
      <c r="C386" s="51"/>
      <c r="D386" s="25" t="s">
        <v>60</v>
      </c>
      <c r="E386" s="23">
        <v>1</v>
      </c>
      <c r="F386" s="52"/>
      <c r="G386" s="53"/>
      <c r="H386" s="54">
        <f t="shared" si="12"/>
        <v>0</v>
      </c>
      <c r="I386" s="31"/>
      <c r="J386" s="8"/>
      <c r="K386" s="27">
        <v>3000</v>
      </c>
      <c r="L386" s="29">
        <f t="shared" si="13"/>
        <v>0</v>
      </c>
    </row>
    <row r="387" spans="1:12" ht="28.5" customHeight="1">
      <c r="A387" s="55" t="s">
        <v>78</v>
      </c>
      <c r="B387" s="64"/>
      <c r="C387" s="65"/>
      <c r="D387" s="25" t="s">
        <v>62</v>
      </c>
      <c r="E387" s="23">
        <v>328</v>
      </c>
      <c r="F387" s="30"/>
      <c r="G387" s="63"/>
      <c r="H387" s="54">
        <f t="shared" si="12"/>
        <v>6.4</v>
      </c>
      <c r="I387" s="31"/>
      <c r="J387" s="8"/>
      <c r="K387" s="28">
        <v>100</v>
      </c>
      <c r="L387" s="29">
        <f t="shared" si="13"/>
        <v>0</v>
      </c>
    </row>
    <row r="388" spans="1:12" ht="14.25" customHeight="1">
      <c r="A388" s="60" t="s">
        <v>79</v>
      </c>
      <c r="B388" s="61"/>
      <c r="C388" s="61"/>
      <c r="D388" s="25" t="s">
        <v>61</v>
      </c>
      <c r="E388" s="23">
        <v>21</v>
      </c>
      <c r="F388" s="62"/>
      <c r="G388" s="62"/>
      <c r="H388" s="54">
        <f t="shared" si="12"/>
        <v>6</v>
      </c>
      <c r="I388" s="31"/>
      <c r="J388" s="8"/>
      <c r="K388" s="27">
        <v>2500</v>
      </c>
      <c r="L388" s="29">
        <f t="shared" si="13"/>
        <v>0</v>
      </c>
    </row>
    <row r="389" spans="1:12" ht="28.5" customHeight="1">
      <c r="A389" s="55" t="s">
        <v>80</v>
      </c>
      <c r="B389" s="64"/>
      <c r="C389" s="65"/>
      <c r="D389" s="25" t="s">
        <v>81</v>
      </c>
      <c r="E389" s="23">
        <v>5</v>
      </c>
      <c r="F389" s="30"/>
      <c r="G389" s="63"/>
      <c r="H389" s="54">
        <f t="shared" si="12"/>
        <v>0</v>
      </c>
      <c r="I389" s="31"/>
      <c r="J389" s="8"/>
      <c r="K389" s="27">
        <v>5000</v>
      </c>
      <c r="L389" s="29">
        <f t="shared" si="13"/>
        <v>0</v>
      </c>
    </row>
    <row r="390" spans="1:12" ht="14.25" customHeight="1">
      <c r="A390" s="60" t="s">
        <v>82</v>
      </c>
      <c r="B390" s="61"/>
      <c r="C390" s="61"/>
      <c r="D390" s="25" t="s">
        <v>62</v>
      </c>
      <c r="E390" s="23">
        <v>218</v>
      </c>
      <c r="F390" s="62"/>
      <c r="G390" s="62"/>
      <c r="H390" s="54">
        <f t="shared" si="12"/>
        <v>0</v>
      </c>
      <c r="I390" s="31"/>
      <c r="J390" s="8"/>
      <c r="K390" s="27">
        <v>1000</v>
      </c>
      <c r="L390" s="29">
        <f t="shared" si="13"/>
        <v>0</v>
      </c>
    </row>
    <row r="391" spans="1:12" ht="14.25" customHeight="1">
      <c r="A391" s="61" t="s">
        <v>83</v>
      </c>
      <c r="B391" s="61"/>
      <c r="C391" s="61"/>
      <c r="D391" s="25" t="s">
        <v>81</v>
      </c>
      <c r="E391" s="23">
        <v>28</v>
      </c>
      <c r="F391" s="30"/>
      <c r="G391" s="63"/>
      <c r="H391" s="54">
        <f t="shared" si="12"/>
        <v>0</v>
      </c>
      <c r="I391" s="31"/>
      <c r="J391" s="8"/>
      <c r="K391" s="27">
        <v>2000</v>
      </c>
      <c r="L391" s="29">
        <f t="shared" si="13"/>
        <v>0</v>
      </c>
    </row>
    <row r="392" spans="1:12" ht="28.5" customHeight="1">
      <c r="A392" s="60" t="s">
        <v>84</v>
      </c>
      <c r="B392" s="61"/>
      <c r="C392" s="61"/>
      <c r="D392" s="25" t="s">
        <v>62</v>
      </c>
      <c r="E392" s="23">
        <v>245</v>
      </c>
      <c r="F392" s="62"/>
      <c r="G392" s="62"/>
      <c r="H392" s="54">
        <f t="shared" si="12"/>
        <v>0</v>
      </c>
      <c r="I392" s="31"/>
      <c r="J392" s="8"/>
      <c r="K392" s="27">
        <v>1500</v>
      </c>
      <c r="L392" s="29">
        <f t="shared" si="13"/>
        <v>0</v>
      </c>
    </row>
    <row r="393" spans="1:12" ht="14.25" customHeight="1">
      <c r="A393" s="61" t="s">
        <v>85</v>
      </c>
      <c r="B393" s="61"/>
      <c r="C393" s="61"/>
      <c r="D393" s="25" t="s">
        <v>62</v>
      </c>
      <c r="E393" s="23">
        <v>83</v>
      </c>
      <c r="F393" s="30"/>
      <c r="G393" s="63"/>
      <c r="H393" s="54">
        <f t="shared" si="12"/>
        <v>0</v>
      </c>
      <c r="I393" s="31"/>
      <c r="J393" s="8"/>
      <c r="K393" s="27">
        <v>1000</v>
      </c>
      <c r="L393" s="29">
        <f t="shared" si="13"/>
        <v>0</v>
      </c>
    </row>
    <row r="394" spans="1:12" ht="30" customHeight="1">
      <c r="A394" s="60" t="s">
        <v>86</v>
      </c>
      <c r="B394" s="61"/>
      <c r="C394" s="61"/>
      <c r="D394" s="25" t="s">
        <v>62</v>
      </c>
      <c r="E394" s="23">
        <v>164</v>
      </c>
      <c r="F394" s="62"/>
      <c r="G394" s="62"/>
      <c r="H394" s="54">
        <f t="shared" si="12"/>
        <v>0</v>
      </c>
      <c r="I394" s="31"/>
      <c r="J394" s="8"/>
      <c r="K394" s="27">
        <v>500</v>
      </c>
      <c r="L394" s="29">
        <f t="shared" si="13"/>
        <v>0</v>
      </c>
    </row>
    <row r="395" spans="1:12" ht="14.25" customHeight="1">
      <c r="A395" s="60" t="s">
        <v>87</v>
      </c>
      <c r="B395" s="61"/>
      <c r="C395" s="61"/>
      <c r="D395" s="25" t="s">
        <v>62</v>
      </c>
      <c r="E395" s="23">
        <v>37</v>
      </c>
      <c r="F395" s="30"/>
      <c r="G395" s="63"/>
      <c r="H395" s="54">
        <f t="shared" si="12"/>
        <v>37</v>
      </c>
      <c r="I395" s="31"/>
      <c r="J395" s="8"/>
      <c r="K395" s="27">
        <v>1000</v>
      </c>
      <c r="L395" s="29">
        <f t="shared" si="13"/>
        <v>0</v>
      </c>
    </row>
    <row r="396" spans="1:12" ht="14.25" customHeight="1">
      <c r="A396" s="61" t="s">
        <v>88</v>
      </c>
      <c r="B396" s="61"/>
      <c r="C396" s="61"/>
      <c r="D396" s="25" t="s">
        <v>60</v>
      </c>
      <c r="E396" s="23">
        <v>1</v>
      </c>
      <c r="F396" s="62"/>
      <c r="G396" s="62"/>
      <c r="H396" s="54">
        <f t="shared" si="12"/>
        <v>0.75</v>
      </c>
      <c r="I396" s="31"/>
      <c r="J396" s="8"/>
      <c r="K396" s="27">
        <v>250000</v>
      </c>
      <c r="L396" s="29">
        <f t="shared" si="13"/>
        <v>0</v>
      </c>
    </row>
    <row r="397" spans="1:12" ht="14.25" customHeight="1">
      <c r="A397" s="61" t="s">
        <v>89</v>
      </c>
      <c r="B397" s="61"/>
      <c r="C397" s="61"/>
      <c r="D397" s="25" t="s">
        <v>62</v>
      </c>
      <c r="E397" s="23">
        <v>81</v>
      </c>
      <c r="F397" s="30"/>
      <c r="G397" s="63"/>
      <c r="H397" s="54">
        <f t="shared" si="12"/>
        <v>0</v>
      </c>
      <c r="I397" s="31"/>
      <c r="J397" s="8"/>
      <c r="K397" s="27">
        <v>500</v>
      </c>
      <c r="L397" s="29">
        <f t="shared" si="13"/>
        <v>0</v>
      </c>
    </row>
    <row r="398" spans="1:12" ht="29.25" customHeight="1">
      <c r="A398" s="60" t="s">
        <v>90</v>
      </c>
      <c r="B398" s="61"/>
      <c r="C398" s="61"/>
      <c r="D398" s="25" t="s">
        <v>62</v>
      </c>
      <c r="E398" s="23">
        <v>42</v>
      </c>
      <c r="F398" s="62"/>
      <c r="G398" s="62"/>
      <c r="H398" s="54">
        <f t="shared" si="12"/>
        <v>0</v>
      </c>
      <c r="I398" s="31"/>
      <c r="J398" s="8"/>
      <c r="K398" s="27">
        <v>1800</v>
      </c>
      <c r="L398" s="29">
        <f t="shared" si="13"/>
        <v>0</v>
      </c>
    </row>
    <row r="399" spans="1:12" ht="14.25" customHeight="1">
      <c r="A399" s="60" t="s">
        <v>91</v>
      </c>
      <c r="B399" s="61"/>
      <c r="C399" s="61"/>
      <c r="D399" s="25" t="s">
        <v>60</v>
      </c>
      <c r="E399" s="23">
        <v>1</v>
      </c>
      <c r="F399" s="30"/>
      <c r="G399" s="63"/>
      <c r="H399" s="54">
        <f t="shared" si="12"/>
        <v>0</v>
      </c>
      <c r="I399" s="31"/>
      <c r="J399" s="8"/>
      <c r="K399" s="27">
        <v>30000</v>
      </c>
      <c r="L399" s="29">
        <f t="shared" si="13"/>
        <v>0</v>
      </c>
    </row>
    <row r="400" spans="1:12" ht="14.25" customHeight="1">
      <c r="A400" s="61" t="s">
        <v>92</v>
      </c>
      <c r="B400" s="61"/>
      <c r="C400" s="61"/>
      <c r="D400" s="25" t="s">
        <v>60</v>
      </c>
      <c r="E400" s="23">
        <v>1</v>
      </c>
      <c r="F400" s="62"/>
      <c r="G400" s="62"/>
      <c r="H400" s="54">
        <f t="shared" si="12"/>
        <v>0</v>
      </c>
      <c r="I400" s="31"/>
      <c r="J400" s="8"/>
      <c r="K400" s="27">
        <v>13598</v>
      </c>
      <c r="L400" s="29">
        <f t="shared" si="13"/>
        <v>0</v>
      </c>
    </row>
    <row r="401" spans="1:13" ht="14.25" customHeight="1">
      <c r="A401" s="61" t="s">
        <v>93</v>
      </c>
      <c r="B401" s="61"/>
      <c r="C401" s="61"/>
      <c r="D401" s="25" t="s">
        <v>60</v>
      </c>
      <c r="E401" s="23">
        <v>1</v>
      </c>
      <c r="F401" s="62"/>
      <c r="G401" s="62"/>
      <c r="H401" s="54">
        <f t="shared" si="12"/>
        <v>0</v>
      </c>
      <c r="I401" s="31"/>
      <c r="J401" s="8"/>
      <c r="K401" s="27">
        <v>13598</v>
      </c>
      <c r="L401" s="29">
        <f t="shared" si="13"/>
        <v>0</v>
      </c>
    </row>
    <row r="402" spans="1:13" ht="14.25" customHeight="1">
      <c r="A402" s="61" t="s">
        <v>64</v>
      </c>
      <c r="B402" s="61"/>
      <c r="C402" s="61"/>
      <c r="D402" s="25" t="s">
        <v>60</v>
      </c>
      <c r="E402" s="23">
        <v>1</v>
      </c>
      <c r="F402" s="62"/>
      <c r="G402" s="62"/>
      <c r="H402" s="54">
        <f t="shared" si="12"/>
        <v>0</v>
      </c>
      <c r="I402" s="31"/>
      <c r="J402" s="8"/>
      <c r="K402" s="27">
        <v>95182</v>
      </c>
      <c r="L402" s="29">
        <f t="shared" si="13"/>
        <v>0</v>
      </c>
    </row>
    <row r="403" spans="1:13" ht="14.25" customHeight="1">
      <c r="A403" s="61" t="s">
        <v>65</v>
      </c>
      <c r="B403" s="61"/>
      <c r="C403" s="61"/>
      <c r="D403" s="25" t="s">
        <v>60</v>
      </c>
      <c r="E403" s="23">
        <v>1</v>
      </c>
      <c r="F403" s="62"/>
      <c r="G403" s="62"/>
      <c r="H403" s="54">
        <f t="shared" si="12"/>
        <v>0</v>
      </c>
      <c r="I403" s="31"/>
      <c r="J403" s="8"/>
      <c r="K403" s="27">
        <v>4513</v>
      </c>
      <c r="L403" s="29">
        <f t="shared" si="13"/>
        <v>0</v>
      </c>
    </row>
    <row r="404" spans="1:13" ht="14.25" customHeight="1" thickBot="1">
      <c r="A404" s="61" t="s">
        <v>66</v>
      </c>
      <c r="B404" s="61"/>
      <c r="C404" s="61"/>
      <c r="D404" s="25" t="s">
        <v>60</v>
      </c>
      <c r="E404" s="23">
        <v>1</v>
      </c>
      <c r="F404" s="62"/>
      <c r="G404" s="62"/>
      <c r="H404" s="54">
        <f t="shared" si="12"/>
        <v>0</v>
      </c>
      <c r="I404" s="31"/>
      <c r="J404" s="8"/>
      <c r="K404" s="27">
        <v>74332</v>
      </c>
      <c r="L404" s="29">
        <f t="shared" si="13"/>
        <v>0</v>
      </c>
      <c r="M404" s="1" t="s">
        <v>97</v>
      </c>
    </row>
    <row r="405" spans="1:13" ht="14.25" customHeight="1">
      <c r="A405" s="77" t="s">
        <v>46</v>
      </c>
      <c r="B405" s="67"/>
      <c r="C405" s="68"/>
      <c r="D405" s="11"/>
      <c r="E405" s="18"/>
      <c r="F405" s="78"/>
      <c r="G405" s="79"/>
      <c r="H405" s="78"/>
      <c r="I405" s="79"/>
      <c r="J405" s="12"/>
      <c r="K405" s="27" t="s">
        <v>68</v>
      </c>
      <c r="L405" s="29">
        <f>SUM(L382:L404)</f>
        <v>0</v>
      </c>
      <c r="M405" s="4">
        <f>ROUND(L405/L406,5)</f>
        <v>0</v>
      </c>
    </row>
    <row r="406" spans="1:13" ht="14.25" customHeight="1">
      <c r="A406" s="69" t="s">
        <v>47</v>
      </c>
      <c r="B406" s="70"/>
      <c r="C406" s="71"/>
      <c r="D406" s="9"/>
      <c r="E406" s="19"/>
      <c r="F406" s="30"/>
      <c r="G406" s="31"/>
      <c r="H406" s="30"/>
      <c r="I406" s="31"/>
      <c r="J406" s="13"/>
      <c r="K406" s="27" t="s">
        <v>67</v>
      </c>
      <c r="L406" s="29">
        <v>1560973</v>
      </c>
      <c r="M406" s="4"/>
    </row>
    <row r="407" spans="1:13" ht="14.25" customHeight="1" thickBot="1">
      <c r="A407" s="72" t="s">
        <v>48</v>
      </c>
      <c r="B407" s="73"/>
      <c r="C407" s="74"/>
      <c r="D407" s="14"/>
      <c r="E407" s="20"/>
      <c r="F407" s="75"/>
      <c r="G407" s="76"/>
      <c r="H407" s="75"/>
      <c r="I407" s="76"/>
      <c r="J407" s="15"/>
    </row>
    <row r="408" spans="1:13" ht="14.25" customHeight="1">
      <c r="A408" s="66" t="s">
        <v>23</v>
      </c>
      <c r="B408" s="67"/>
      <c r="C408" s="67"/>
      <c r="D408" s="67"/>
      <c r="E408" s="67"/>
      <c r="F408" s="67"/>
      <c r="G408" s="67"/>
      <c r="H408" s="67"/>
      <c r="I408" s="67"/>
      <c r="J408" s="68"/>
    </row>
    <row r="409" spans="1:13" ht="14.25" customHeight="1">
      <c r="A409" s="30" t="s">
        <v>24</v>
      </c>
      <c r="B409" s="32"/>
      <c r="C409" s="31"/>
      <c r="D409" s="8" t="s">
        <v>18</v>
      </c>
      <c r="E409" s="8" t="s">
        <v>25</v>
      </c>
      <c r="F409" s="30" t="s">
        <v>26</v>
      </c>
      <c r="G409" s="31"/>
      <c r="H409" s="30" t="s">
        <v>27</v>
      </c>
      <c r="I409" s="31"/>
      <c r="J409" s="8" t="s">
        <v>22</v>
      </c>
    </row>
    <row r="410" spans="1:13" ht="14.25" customHeight="1">
      <c r="A410" s="49"/>
      <c r="B410" s="50"/>
      <c r="C410" s="51"/>
      <c r="D410" s="8"/>
      <c r="E410" s="8"/>
      <c r="F410" s="30"/>
      <c r="G410" s="31"/>
      <c r="H410" s="30"/>
      <c r="I410" s="31"/>
      <c r="J410" s="8"/>
    </row>
    <row r="411" spans="1:13" ht="14.25" customHeight="1">
      <c r="A411" s="49"/>
      <c r="B411" s="50"/>
      <c r="C411" s="51"/>
      <c r="D411" s="8"/>
      <c r="E411" s="8"/>
      <c r="F411" s="30"/>
      <c r="G411" s="31"/>
      <c r="H411" s="30"/>
      <c r="I411" s="31"/>
      <c r="J411" s="8"/>
    </row>
    <row r="412" spans="1:13" ht="14.25" customHeight="1">
      <c r="A412" s="49" t="s">
        <v>28</v>
      </c>
      <c r="B412" s="50"/>
      <c r="C412" s="50"/>
      <c r="D412" s="50"/>
      <c r="E412" s="50"/>
      <c r="F412" s="50"/>
      <c r="G412" s="50"/>
      <c r="H412" s="50"/>
      <c r="I412" s="50"/>
      <c r="J412" s="51"/>
    </row>
    <row r="413" spans="1:13" ht="14.25" customHeight="1">
      <c r="A413" s="30" t="s">
        <v>29</v>
      </c>
      <c r="B413" s="31"/>
      <c r="C413" s="8" t="s">
        <v>30</v>
      </c>
      <c r="D413" s="8" t="s">
        <v>31</v>
      </c>
      <c r="E413" s="30" t="s">
        <v>32</v>
      </c>
      <c r="F413" s="31"/>
      <c r="G413" s="30" t="s">
        <v>26</v>
      </c>
      <c r="H413" s="31"/>
      <c r="I413" s="30" t="s">
        <v>27</v>
      </c>
      <c r="J413" s="31"/>
    </row>
    <row r="414" spans="1:13" ht="14.25" customHeight="1">
      <c r="A414" s="49"/>
      <c r="B414" s="51"/>
      <c r="C414" s="8"/>
      <c r="D414" s="8"/>
      <c r="E414" s="30"/>
      <c r="F414" s="31"/>
      <c r="G414" s="30"/>
      <c r="H414" s="31"/>
      <c r="I414" s="30"/>
      <c r="J414" s="31"/>
    </row>
    <row r="415" spans="1:13" ht="14.25" customHeight="1">
      <c r="A415" s="49"/>
      <c r="B415" s="51"/>
      <c r="C415" s="8"/>
      <c r="D415" s="8"/>
      <c r="E415" s="30"/>
      <c r="F415" s="31"/>
      <c r="G415" s="30"/>
      <c r="H415" s="31"/>
      <c r="I415" s="30"/>
      <c r="J415" s="31"/>
    </row>
    <row r="416" spans="1:13" ht="14.25" customHeight="1">
      <c r="A416" s="41" t="s">
        <v>45</v>
      </c>
      <c r="B416" s="42"/>
      <c r="C416" s="42"/>
      <c r="D416" s="42"/>
      <c r="E416" s="42"/>
      <c r="F416" s="42"/>
      <c r="G416" s="42"/>
      <c r="H416" s="42"/>
      <c r="I416" s="42"/>
      <c r="J416" s="43"/>
    </row>
    <row r="417" spans="1:27" ht="14.25" customHeight="1">
      <c r="A417" s="44"/>
      <c r="B417" s="45"/>
      <c r="C417" s="45"/>
      <c r="D417" s="45"/>
      <c r="E417" s="45"/>
      <c r="F417" s="45"/>
      <c r="G417" s="45"/>
      <c r="H417" s="45"/>
      <c r="I417" s="45"/>
      <c r="J417" s="46"/>
    </row>
    <row r="418" spans="1:27" ht="14.25" customHeight="1">
      <c r="A418" s="80" t="s">
        <v>52</v>
      </c>
      <c r="B418" s="81"/>
      <c r="C418" s="81"/>
      <c r="D418" s="81"/>
      <c r="E418" s="81"/>
      <c r="F418" s="81"/>
      <c r="G418" s="81"/>
      <c r="H418" s="81"/>
      <c r="I418" s="81"/>
      <c r="J418" s="82"/>
      <c r="M418" s="4"/>
      <c r="N418" s="5"/>
      <c r="O418" s="6"/>
      <c r="S418" s="6"/>
      <c r="W418" s="6"/>
      <c r="AA418" s="6"/>
    </row>
    <row r="419" spans="1:27" ht="14.25" customHeight="1">
      <c r="A419" s="83"/>
      <c r="B419" s="84"/>
      <c r="C419" s="84"/>
      <c r="D419" s="84"/>
      <c r="E419" s="84"/>
      <c r="F419" s="84"/>
      <c r="G419" s="84"/>
      <c r="H419" s="84"/>
      <c r="I419" s="84"/>
      <c r="J419" s="85"/>
    </row>
    <row r="420" spans="1:27" ht="14.25" customHeight="1">
      <c r="A420" s="83"/>
      <c r="B420" s="84"/>
      <c r="C420" s="84"/>
      <c r="D420" s="84"/>
      <c r="E420" s="84"/>
      <c r="F420" s="84"/>
      <c r="G420" s="84"/>
      <c r="H420" s="84"/>
      <c r="I420" s="84"/>
      <c r="J420" s="85"/>
    </row>
    <row r="421" spans="1:27" ht="14.25" customHeight="1">
      <c r="A421" s="83"/>
      <c r="B421" s="84"/>
      <c r="C421" s="84"/>
      <c r="D421" s="84"/>
      <c r="E421" s="84"/>
      <c r="F421" s="84"/>
      <c r="G421" s="84"/>
      <c r="H421" s="84"/>
      <c r="I421" s="84"/>
      <c r="J421" s="85"/>
    </row>
    <row r="422" spans="1:27" ht="14.25" customHeight="1">
      <c r="A422" s="83"/>
      <c r="B422" s="84"/>
      <c r="C422" s="84"/>
      <c r="D422" s="84"/>
      <c r="E422" s="84"/>
      <c r="F422" s="84"/>
      <c r="G422" s="84"/>
      <c r="H422" s="84"/>
      <c r="I422" s="84"/>
      <c r="J422" s="85"/>
    </row>
    <row r="423" spans="1:27" ht="14.25" customHeight="1">
      <c r="A423" s="83"/>
      <c r="B423" s="84"/>
      <c r="C423" s="84"/>
      <c r="D423" s="84"/>
      <c r="E423" s="84"/>
      <c r="F423" s="84"/>
      <c r="G423" s="84"/>
      <c r="H423" s="84"/>
      <c r="I423" s="84"/>
      <c r="J423" s="85"/>
    </row>
    <row r="424" spans="1:27" ht="14.25" customHeight="1">
      <c r="A424" s="86"/>
      <c r="B424" s="87"/>
      <c r="C424" s="87"/>
      <c r="D424" s="87"/>
      <c r="E424" s="87"/>
      <c r="F424" s="87"/>
      <c r="G424" s="87"/>
      <c r="H424" s="87"/>
      <c r="I424" s="87"/>
      <c r="J424" s="88"/>
    </row>
    <row r="425" spans="1:27" ht="14.25" customHeight="1">
      <c r="A425" s="89" t="s">
        <v>33</v>
      </c>
      <c r="B425" s="90"/>
      <c r="C425" s="90"/>
      <c r="D425" s="90"/>
      <c r="E425" s="90"/>
      <c r="F425" s="90"/>
      <c r="G425" s="90"/>
      <c r="H425" s="90"/>
      <c r="I425" s="90"/>
      <c r="J425" s="91"/>
    </row>
    <row r="426" spans="1:27" ht="14.25" customHeight="1">
      <c r="A426" s="92"/>
      <c r="B426" s="93"/>
      <c r="C426" s="93"/>
      <c r="D426" s="93"/>
      <c r="E426" s="93"/>
      <c r="F426" s="93"/>
      <c r="G426" s="93"/>
      <c r="H426" s="93"/>
      <c r="I426" s="93"/>
      <c r="J426" s="94"/>
    </row>
    <row r="427" spans="1:27" ht="14.25" customHeight="1">
      <c r="A427" s="89" t="s">
        <v>34</v>
      </c>
      <c r="B427" s="90"/>
      <c r="C427" s="90"/>
      <c r="D427" s="90"/>
      <c r="E427" s="90"/>
      <c r="F427" s="90"/>
      <c r="G427" s="90"/>
      <c r="H427" s="90"/>
      <c r="I427" s="90"/>
      <c r="J427" s="91"/>
    </row>
    <row r="428" spans="1:27" ht="14.25" customHeight="1">
      <c r="A428" s="92"/>
      <c r="B428" s="93"/>
      <c r="C428" s="93"/>
      <c r="D428" s="93"/>
      <c r="E428" s="93"/>
      <c r="F428" s="93"/>
      <c r="G428" s="93"/>
      <c r="H428" s="93"/>
      <c r="I428" s="93"/>
      <c r="J428" s="94"/>
    </row>
    <row r="429" spans="1:27" ht="14.25" customHeight="1">
      <c r="A429" s="89" t="s">
        <v>70</v>
      </c>
      <c r="B429" s="90"/>
      <c r="C429" s="90"/>
      <c r="D429" s="90"/>
      <c r="E429" s="90"/>
      <c r="F429" s="90"/>
      <c r="G429" s="90"/>
      <c r="H429" s="90"/>
      <c r="I429" s="90"/>
      <c r="J429" s="91"/>
    </row>
    <row r="430" spans="1:27" ht="14.25" customHeight="1">
      <c r="A430" s="92"/>
      <c r="B430" s="93"/>
      <c r="C430" s="93"/>
      <c r="D430" s="93"/>
      <c r="E430" s="93"/>
      <c r="F430" s="93"/>
      <c r="G430" s="93"/>
      <c r="H430" s="93"/>
      <c r="I430" s="93"/>
      <c r="J430" s="94"/>
    </row>
    <row r="431" spans="1:27" ht="14.25" customHeight="1">
      <c r="A431" s="89" t="s">
        <v>35</v>
      </c>
      <c r="B431" s="90"/>
      <c r="C431" s="90"/>
      <c r="D431" s="90"/>
      <c r="E431" s="90"/>
      <c r="F431" s="90"/>
      <c r="G431" s="90"/>
      <c r="H431" s="90"/>
      <c r="I431" s="90"/>
      <c r="J431" s="91"/>
    </row>
    <row r="432" spans="1:27" ht="14.25" customHeight="1">
      <c r="A432" s="92"/>
      <c r="B432" s="93"/>
      <c r="C432" s="93"/>
      <c r="D432" s="93"/>
      <c r="E432" s="93"/>
      <c r="F432" s="93"/>
      <c r="G432" s="93"/>
      <c r="H432" s="93"/>
      <c r="I432" s="93"/>
      <c r="J432" s="94"/>
    </row>
    <row r="433" spans="1:10" ht="14.25" customHeight="1">
      <c r="A433" s="99" t="s">
        <v>36</v>
      </c>
      <c r="B433" s="99"/>
      <c r="C433" s="99"/>
      <c r="D433" s="99"/>
      <c r="E433" s="99"/>
      <c r="F433" s="99"/>
      <c r="G433" s="99"/>
      <c r="H433" s="99"/>
      <c r="I433" s="99"/>
      <c r="J433" s="99"/>
    </row>
    <row r="434" spans="1:10" ht="14.25" customHeight="1">
      <c r="A434" s="95" t="s">
        <v>37</v>
      </c>
      <c r="B434" s="95"/>
      <c r="C434" s="95"/>
      <c r="D434" s="95"/>
      <c r="E434" s="95"/>
      <c r="F434" s="95"/>
      <c r="G434" s="95"/>
      <c r="H434" s="95"/>
      <c r="I434" s="95"/>
      <c r="J434" s="95"/>
    </row>
    <row r="435" spans="1:10" ht="14.25" customHeight="1">
      <c r="A435" s="95" t="s">
        <v>38</v>
      </c>
      <c r="B435" s="95"/>
      <c r="C435" s="95"/>
      <c r="D435" s="95"/>
      <c r="E435" s="95"/>
      <c r="F435" s="95"/>
      <c r="G435" s="95"/>
      <c r="H435" s="95"/>
      <c r="I435" s="95"/>
      <c r="J435" s="95"/>
    </row>
    <row r="436" spans="1:10" ht="14.25" customHeight="1">
      <c r="A436" s="95" t="s">
        <v>39</v>
      </c>
      <c r="B436" s="95"/>
      <c r="C436" s="95"/>
      <c r="D436" s="95"/>
      <c r="E436" s="95"/>
      <c r="F436" s="95"/>
      <c r="G436" s="95"/>
      <c r="H436" s="95"/>
      <c r="I436" s="95"/>
      <c r="J436" s="95"/>
    </row>
    <row r="437" spans="1:10" ht="14.25" customHeight="1">
      <c r="A437" s="95" t="s">
        <v>40</v>
      </c>
      <c r="B437" s="95"/>
      <c r="C437" s="95"/>
      <c r="D437" s="95"/>
      <c r="E437" s="95"/>
      <c r="F437" s="95"/>
      <c r="G437" s="95"/>
      <c r="H437" s="95"/>
      <c r="I437" s="95"/>
      <c r="J437" s="95"/>
    </row>
    <row r="438" spans="1:10" ht="14.25" customHeight="1">
      <c r="A438" s="95" t="s">
        <v>41</v>
      </c>
      <c r="B438" s="95"/>
      <c r="C438" s="95"/>
      <c r="D438" s="95"/>
      <c r="E438" s="95"/>
      <c r="F438" s="95"/>
      <c r="G438" s="95"/>
      <c r="H438" s="95"/>
      <c r="I438" s="95"/>
      <c r="J438" s="95"/>
    </row>
    <row r="439" spans="1:10" ht="14.25" customHeight="1">
      <c r="A439" s="95" t="s">
        <v>42</v>
      </c>
      <c r="B439" s="95"/>
      <c r="C439" s="95"/>
      <c r="D439" s="95"/>
      <c r="E439" s="95"/>
      <c r="F439" s="95"/>
      <c r="G439" s="95"/>
      <c r="H439" s="95"/>
      <c r="I439" s="95"/>
      <c r="J439" s="95"/>
    </row>
    <row r="440" spans="1:10" ht="14.25" customHeight="1">
      <c r="A440" s="100" t="s">
        <v>43</v>
      </c>
      <c r="B440" s="100"/>
      <c r="C440" s="100"/>
      <c r="D440" s="100"/>
      <c r="E440" s="100"/>
      <c r="F440" s="100"/>
      <c r="G440" s="100"/>
      <c r="H440" s="100"/>
      <c r="I440" s="100"/>
      <c r="J440" s="100"/>
    </row>
    <row r="441" spans="1:10" ht="14.25" customHeight="1">
      <c r="A441" s="95" t="s">
        <v>44</v>
      </c>
      <c r="B441" s="95"/>
      <c r="C441" s="95"/>
      <c r="D441" s="95"/>
      <c r="E441" s="95"/>
      <c r="F441" s="95"/>
      <c r="G441" s="95"/>
      <c r="H441" s="95"/>
      <c r="I441" s="95"/>
      <c r="J441" s="95"/>
    </row>
    <row r="442" spans="1:10" ht="29.25" customHeight="1">
      <c r="A442" s="96" t="s">
        <v>51</v>
      </c>
      <c r="B442" s="96"/>
      <c r="C442" s="96"/>
      <c r="D442" s="96"/>
      <c r="E442" s="96"/>
      <c r="F442" s="96"/>
      <c r="G442" s="96"/>
      <c r="H442" s="96"/>
      <c r="I442" s="96"/>
      <c r="J442" s="96"/>
    </row>
    <row r="443" spans="1:10" ht="14.25" customHeight="1">
      <c r="A443" s="101" t="s">
        <v>49</v>
      </c>
      <c r="B443" s="101"/>
      <c r="C443" s="101"/>
      <c r="D443" s="101"/>
      <c r="E443" s="101"/>
      <c r="F443" s="101"/>
      <c r="G443" s="101"/>
      <c r="H443" s="101"/>
      <c r="I443" s="101"/>
      <c r="J443" s="101"/>
    </row>
    <row r="444" spans="1:10" ht="14.25" customHeight="1"/>
    <row r="445" spans="1:10" ht="14.25" customHeight="1">
      <c r="A445" s="33" t="s">
        <v>0</v>
      </c>
      <c r="B445" s="33"/>
      <c r="C445" s="33"/>
      <c r="D445" s="33"/>
      <c r="E445" s="33"/>
      <c r="F445" s="33"/>
      <c r="G445" s="33"/>
      <c r="H445" s="33"/>
      <c r="I445" s="33"/>
      <c r="J445" s="33"/>
    </row>
    <row r="446" spans="1:10">
      <c r="A446" s="2" t="s">
        <v>1</v>
      </c>
      <c r="B446" s="3" t="str">
        <f>"GD-"&amp;IF(LEN(E450)=2,TEXT(LEFT(E450,1),"000"),IF(LEN(E450)=3,TEXT(LEFT(E450,2),"000"),TEXT(LEFT(E450,3),"000")))</f>
        <v>GD-007</v>
      </c>
      <c r="C446" s="2"/>
      <c r="D446" s="2"/>
      <c r="E446" s="2"/>
      <c r="F446" s="2"/>
      <c r="G446" s="2"/>
      <c r="H446" s="2"/>
      <c r="I446" s="2"/>
      <c r="J446" s="2"/>
    </row>
    <row r="447" spans="1:10" ht="14.25" customHeight="1">
      <c r="A447" s="34" t="s">
        <v>2</v>
      </c>
      <c r="B447" s="34"/>
      <c r="C447" s="34"/>
      <c r="D447" s="34"/>
      <c r="E447" s="34"/>
      <c r="F447" s="35" t="s">
        <v>3</v>
      </c>
      <c r="G447" s="35"/>
      <c r="H447" s="36">
        <f>H373+1</f>
        <v>45648</v>
      </c>
      <c r="I447" s="36"/>
      <c r="J447" s="7" t="str">
        <f>"("&amp;TEXT(H447,"[$-404]aaaa;@")&amp;")"</f>
        <v>(星期日)</v>
      </c>
    </row>
    <row r="448" spans="1:10" ht="14.25" customHeight="1">
      <c r="A448" s="37" t="s">
        <v>4</v>
      </c>
      <c r="B448" s="38"/>
      <c r="C448" s="41" t="str">
        <f>C374</f>
        <v>雲林縣成功國小思源堂整修工程</v>
      </c>
      <c r="D448" s="42"/>
      <c r="E448" s="43"/>
      <c r="F448" s="37" t="s">
        <v>5</v>
      </c>
      <c r="G448" s="38"/>
      <c r="H448" s="37" t="str">
        <f>H374</f>
        <v>正郁室內裝修</v>
      </c>
      <c r="I448" s="47"/>
      <c r="J448" s="38"/>
    </row>
    <row r="449" spans="1:13" ht="14.25" customHeight="1">
      <c r="A449" s="39"/>
      <c r="B449" s="40"/>
      <c r="C449" s="44"/>
      <c r="D449" s="45"/>
      <c r="E449" s="46"/>
      <c r="F449" s="39"/>
      <c r="G449" s="40"/>
      <c r="H449" s="39"/>
      <c r="I449" s="48"/>
      <c r="J449" s="40"/>
    </row>
    <row r="450" spans="1:13" ht="14.25" customHeight="1">
      <c r="A450" s="8" t="s">
        <v>7</v>
      </c>
      <c r="B450" s="8" t="str">
        <f>B376</f>
        <v>60天</v>
      </c>
      <c r="C450" s="30" t="s">
        <v>8</v>
      </c>
      <c r="D450" s="31"/>
      <c r="E450" s="8" t="str">
        <f>IF(LEN(E376)&gt;2,(LEFT(E376,2)+1),(LEFT(E376,1)+1))&amp;"天"</f>
        <v>7天</v>
      </c>
      <c r="F450" s="8" t="s">
        <v>9</v>
      </c>
      <c r="G450" s="8" t="str">
        <f>IF(LEN(E450)&gt;2,LEFT(B450,2)-LEFT(E450,2),LEFT(B450,2)-LEFT(E450,1))&amp;"天"</f>
        <v>53天</v>
      </c>
      <c r="H450" s="30" t="s">
        <v>10</v>
      </c>
      <c r="I450" s="31"/>
      <c r="J450" s="8" t="str">
        <f>J376</f>
        <v>0天</v>
      </c>
    </row>
    <row r="451" spans="1:13" ht="14.25" customHeight="1">
      <c r="A451" s="30" t="s">
        <v>12</v>
      </c>
      <c r="B451" s="31"/>
      <c r="C451" s="30" t="str">
        <f>C377</f>
        <v>113年12月16日</v>
      </c>
      <c r="D451" s="32"/>
      <c r="E451" s="31"/>
      <c r="F451" s="30" t="s">
        <v>13</v>
      </c>
      <c r="G451" s="31"/>
      <c r="H451" s="30" t="str">
        <f>H377</f>
        <v>114年02月13日</v>
      </c>
      <c r="I451" s="32"/>
      <c r="J451" s="31"/>
    </row>
    <row r="452" spans="1:13" ht="14.25" customHeight="1">
      <c r="A452" s="30" t="s">
        <v>14</v>
      </c>
      <c r="B452" s="31"/>
      <c r="C452" s="57">
        <f>(5%/12)*7</f>
        <v>2.9166666666666667E-2</v>
      </c>
      <c r="D452" s="58"/>
      <c r="E452" s="59"/>
      <c r="F452" s="30" t="s">
        <v>15</v>
      </c>
      <c r="G452" s="31"/>
      <c r="H452" s="57">
        <f>ROUND(L479/L480,5)+H378</f>
        <v>0.15631</v>
      </c>
      <c r="I452" s="58"/>
      <c r="J452" s="59"/>
      <c r="K452" s="26" t="s">
        <v>69</v>
      </c>
      <c r="L452" s="22"/>
      <c r="M452" s="4"/>
    </row>
    <row r="453" spans="1:13" ht="14.25" customHeight="1">
      <c r="A453" s="49" t="s">
        <v>16</v>
      </c>
      <c r="B453" s="50"/>
      <c r="C453" s="50"/>
      <c r="D453" s="50"/>
      <c r="E453" s="50"/>
      <c r="F453" s="50"/>
      <c r="G453" s="50"/>
      <c r="H453" s="50"/>
      <c r="I453" s="50"/>
      <c r="J453" s="51"/>
      <c r="L453" s="22"/>
      <c r="M453" s="4"/>
    </row>
    <row r="454" spans="1:13" ht="14.25" customHeight="1">
      <c r="A454" s="30" t="s">
        <v>17</v>
      </c>
      <c r="B454" s="32"/>
      <c r="C454" s="31"/>
      <c r="D454" s="8" t="s">
        <v>18</v>
      </c>
      <c r="E454" s="17" t="s">
        <v>19</v>
      </c>
      <c r="F454" s="30" t="s">
        <v>20</v>
      </c>
      <c r="G454" s="31"/>
      <c r="H454" s="30" t="s">
        <v>21</v>
      </c>
      <c r="I454" s="31"/>
      <c r="J454" s="8" t="s">
        <v>22</v>
      </c>
      <c r="L454" s="22"/>
      <c r="M454" s="4"/>
    </row>
    <row r="455" spans="1:13" ht="14.25" customHeight="1">
      <c r="A455" s="49" t="s">
        <v>56</v>
      </c>
      <c r="B455" s="50"/>
      <c r="C455" s="50"/>
      <c r="D455" s="50"/>
      <c r="E455" s="50"/>
      <c r="F455" s="50"/>
      <c r="G455" s="50"/>
      <c r="H455" s="50"/>
      <c r="I455" s="50"/>
      <c r="J455" s="51"/>
    </row>
    <row r="456" spans="1:13" ht="14.25" customHeight="1">
      <c r="A456" s="55" t="s">
        <v>57</v>
      </c>
      <c r="B456" s="50"/>
      <c r="C456" s="51"/>
      <c r="D456" s="24" t="s">
        <v>59</v>
      </c>
      <c r="E456" s="23">
        <v>1</v>
      </c>
      <c r="F456" s="54"/>
      <c r="G456" s="56"/>
      <c r="H456" s="54">
        <f t="shared" ref="H456:H478" si="14">F456+H382</f>
        <v>1</v>
      </c>
      <c r="I456" s="31"/>
      <c r="J456" s="16"/>
      <c r="K456" s="27">
        <v>800</v>
      </c>
      <c r="L456" s="29">
        <f t="shared" ref="L456:L478" si="15">ROUND(K456*F456,0)</f>
        <v>0</v>
      </c>
    </row>
    <row r="457" spans="1:13" ht="14.25" customHeight="1">
      <c r="A457" s="55" t="s">
        <v>75</v>
      </c>
      <c r="B457" s="50"/>
      <c r="C457" s="51"/>
      <c r="D457" s="24" t="s">
        <v>59</v>
      </c>
      <c r="E457" s="23">
        <v>1</v>
      </c>
      <c r="F457" s="52"/>
      <c r="G457" s="53"/>
      <c r="H457" s="54">
        <f t="shared" si="14"/>
        <v>1</v>
      </c>
      <c r="I457" s="31"/>
      <c r="J457" s="8"/>
      <c r="K457" s="27">
        <v>500</v>
      </c>
      <c r="L457" s="29">
        <f t="shared" si="15"/>
        <v>0</v>
      </c>
    </row>
    <row r="458" spans="1:13" ht="14.25" customHeight="1">
      <c r="A458" s="49" t="s">
        <v>58</v>
      </c>
      <c r="B458" s="50"/>
      <c r="C458" s="51"/>
      <c r="D458" s="24" t="s">
        <v>61</v>
      </c>
      <c r="E458" s="23">
        <v>51</v>
      </c>
      <c r="F458" s="52"/>
      <c r="G458" s="53"/>
      <c r="H458" s="54">
        <f t="shared" si="14"/>
        <v>51</v>
      </c>
      <c r="I458" s="31"/>
      <c r="J458" s="10"/>
      <c r="K458" s="27">
        <v>50</v>
      </c>
      <c r="L458" s="29">
        <f t="shared" si="15"/>
        <v>0</v>
      </c>
    </row>
    <row r="459" spans="1:13" ht="14.25" customHeight="1">
      <c r="A459" s="55" t="s">
        <v>76</v>
      </c>
      <c r="B459" s="50"/>
      <c r="C459" s="51"/>
      <c r="D459" s="24" t="s">
        <v>60</v>
      </c>
      <c r="E459" s="23">
        <v>1</v>
      </c>
      <c r="F459" s="52"/>
      <c r="G459" s="53"/>
      <c r="H459" s="54">
        <f t="shared" si="14"/>
        <v>0</v>
      </c>
      <c r="I459" s="31"/>
      <c r="J459" s="16"/>
      <c r="K459" s="27">
        <v>3000</v>
      </c>
      <c r="L459" s="29">
        <f t="shared" si="15"/>
        <v>0</v>
      </c>
    </row>
    <row r="460" spans="1:13" ht="14.25" customHeight="1">
      <c r="A460" s="55" t="s">
        <v>77</v>
      </c>
      <c r="B460" s="50"/>
      <c r="C460" s="51"/>
      <c r="D460" s="25" t="s">
        <v>60</v>
      </c>
      <c r="E460" s="23">
        <v>1</v>
      </c>
      <c r="F460" s="52"/>
      <c r="G460" s="53"/>
      <c r="H460" s="54">
        <f t="shared" si="14"/>
        <v>0</v>
      </c>
      <c r="I460" s="31"/>
      <c r="J460" s="8"/>
      <c r="K460" s="27">
        <v>3000</v>
      </c>
      <c r="L460" s="29">
        <f t="shared" si="15"/>
        <v>0</v>
      </c>
    </row>
    <row r="461" spans="1:13" ht="28.5" customHeight="1">
      <c r="A461" s="55" t="s">
        <v>78</v>
      </c>
      <c r="B461" s="64"/>
      <c r="C461" s="65"/>
      <c r="D461" s="25" t="s">
        <v>62</v>
      </c>
      <c r="E461" s="23">
        <v>328</v>
      </c>
      <c r="F461" s="30"/>
      <c r="G461" s="63"/>
      <c r="H461" s="54">
        <f t="shared" si="14"/>
        <v>6.4</v>
      </c>
      <c r="I461" s="31"/>
      <c r="J461" s="8"/>
      <c r="K461" s="28">
        <v>100</v>
      </c>
      <c r="L461" s="29">
        <f t="shared" si="15"/>
        <v>0</v>
      </c>
    </row>
    <row r="462" spans="1:13" ht="14.25" customHeight="1">
      <c r="A462" s="60" t="s">
        <v>79</v>
      </c>
      <c r="B462" s="61"/>
      <c r="C462" s="61"/>
      <c r="D462" s="25" t="s">
        <v>61</v>
      </c>
      <c r="E462" s="23">
        <v>21</v>
      </c>
      <c r="F462" s="62"/>
      <c r="G462" s="62"/>
      <c r="H462" s="54">
        <f t="shared" si="14"/>
        <v>6</v>
      </c>
      <c r="I462" s="31"/>
      <c r="J462" s="8"/>
      <c r="K462" s="27">
        <v>2500</v>
      </c>
      <c r="L462" s="29">
        <f t="shared" si="15"/>
        <v>0</v>
      </c>
    </row>
    <row r="463" spans="1:13" ht="28.5" customHeight="1">
      <c r="A463" s="55" t="s">
        <v>80</v>
      </c>
      <c r="B463" s="64"/>
      <c r="C463" s="65"/>
      <c r="D463" s="25" t="s">
        <v>81</v>
      </c>
      <c r="E463" s="23">
        <v>5</v>
      </c>
      <c r="F463" s="30"/>
      <c r="G463" s="63"/>
      <c r="H463" s="54">
        <f t="shared" si="14"/>
        <v>0</v>
      </c>
      <c r="I463" s="31"/>
      <c r="J463" s="8"/>
      <c r="K463" s="27">
        <v>5000</v>
      </c>
      <c r="L463" s="29">
        <f t="shared" si="15"/>
        <v>0</v>
      </c>
    </row>
    <row r="464" spans="1:13" ht="14.25" customHeight="1">
      <c r="A464" s="60" t="s">
        <v>82</v>
      </c>
      <c r="B464" s="61"/>
      <c r="C464" s="61"/>
      <c r="D464" s="25" t="s">
        <v>62</v>
      </c>
      <c r="E464" s="23">
        <v>218</v>
      </c>
      <c r="F464" s="62"/>
      <c r="G464" s="62"/>
      <c r="H464" s="54">
        <f t="shared" si="14"/>
        <v>0</v>
      </c>
      <c r="I464" s="31"/>
      <c r="J464" s="8"/>
      <c r="K464" s="27">
        <v>1000</v>
      </c>
      <c r="L464" s="29">
        <f t="shared" si="15"/>
        <v>0</v>
      </c>
    </row>
    <row r="465" spans="1:13" ht="14.25" customHeight="1">
      <c r="A465" s="61" t="s">
        <v>83</v>
      </c>
      <c r="B465" s="61"/>
      <c r="C465" s="61"/>
      <c r="D465" s="25" t="s">
        <v>81</v>
      </c>
      <c r="E465" s="23">
        <v>28</v>
      </c>
      <c r="F465" s="30"/>
      <c r="G465" s="63"/>
      <c r="H465" s="54">
        <f t="shared" si="14"/>
        <v>0</v>
      </c>
      <c r="I465" s="31"/>
      <c r="J465" s="8"/>
      <c r="K465" s="27">
        <v>2000</v>
      </c>
      <c r="L465" s="29">
        <f t="shared" si="15"/>
        <v>0</v>
      </c>
    </row>
    <row r="466" spans="1:13" ht="28.5" customHeight="1">
      <c r="A466" s="60" t="s">
        <v>84</v>
      </c>
      <c r="B466" s="61"/>
      <c r="C466" s="61"/>
      <c r="D466" s="25" t="s">
        <v>62</v>
      </c>
      <c r="E466" s="23">
        <v>245</v>
      </c>
      <c r="F466" s="62"/>
      <c r="G466" s="62"/>
      <c r="H466" s="54">
        <f t="shared" si="14"/>
        <v>0</v>
      </c>
      <c r="I466" s="31"/>
      <c r="J466" s="8"/>
      <c r="K466" s="27">
        <v>1500</v>
      </c>
      <c r="L466" s="29">
        <f t="shared" si="15"/>
        <v>0</v>
      </c>
    </row>
    <row r="467" spans="1:13" ht="14.25" customHeight="1">
      <c r="A467" s="61" t="s">
        <v>85</v>
      </c>
      <c r="B467" s="61"/>
      <c r="C467" s="61"/>
      <c r="D467" s="25" t="s">
        <v>62</v>
      </c>
      <c r="E467" s="23">
        <v>83</v>
      </c>
      <c r="F467" s="30"/>
      <c r="G467" s="63"/>
      <c r="H467" s="54">
        <f t="shared" si="14"/>
        <v>0</v>
      </c>
      <c r="I467" s="31"/>
      <c r="J467" s="8"/>
      <c r="K467" s="27">
        <v>1000</v>
      </c>
      <c r="L467" s="29">
        <f t="shared" si="15"/>
        <v>0</v>
      </c>
    </row>
    <row r="468" spans="1:13" ht="30" customHeight="1">
      <c r="A468" s="60" t="s">
        <v>86</v>
      </c>
      <c r="B468" s="61"/>
      <c r="C468" s="61"/>
      <c r="D468" s="25" t="s">
        <v>62</v>
      </c>
      <c r="E468" s="23">
        <v>164</v>
      </c>
      <c r="F468" s="62"/>
      <c r="G468" s="62"/>
      <c r="H468" s="54">
        <f t="shared" si="14"/>
        <v>0</v>
      </c>
      <c r="I468" s="31"/>
      <c r="J468" s="8"/>
      <c r="K468" s="27">
        <v>500</v>
      </c>
      <c r="L468" s="29">
        <f t="shared" si="15"/>
        <v>0</v>
      </c>
    </row>
    <row r="469" spans="1:13" ht="14.25" customHeight="1">
      <c r="A469" s="60" t="s">
        <v>87</v>
      </c>
      <c r="B469" s="61"/>
      <c r="C469" s="61"/>
      <c r="D469" s="25" t="s">
        <v>62</v>
      </c>
      <c r="E469" s="23">
        <v>37</v>
      </c>
      <c r="F469" s="30"/>
      <c r="G469" s="63"/>
      <c r="H469" s="54">
        <f t="shared" si="14"/>
        <v>37</v>
      </c>
      <c r="I469" s="31"/>
      <c r="J469" s="8"/>
      <c r="K469" s="27">
        <v>1000</v>
      </c>
      <c r="L469" s="29">
        <f t="shared" si="15"/>
        <v>0</v>
      </c>
    </row>
    <row r="470" spans="1:13" ht="14.25" customHeight="1">
      <c r="A470" s="61" t="s">
        <v>88</v>
      </c>
      <c r="B470" s="61"/>
      <c r="C470" s="61"/>
      <c r="D470" s="25" t="s">
        <v>60</v>
      </c>
      <c r="E470" s="23">
        <v>1</v>
      </c>
      <c r="F470" s="62"/>
      <c r="G470" s="62"/>
      <c r="H470" s="54">
        <f t="shared" si="14"/>
        <v>0.75</v>
      </c>
      <c r="I470" s="31"/>
      <c r="J470" s="8"/>
      <c r="K470" s="27">
        <v>250000</v>
      </c>
      <c r="L470" s="29">
        <f t="shared" si="15"/>
        <v>0</v>
      </c>
    </row>
    <row r="471" spans="1:13" ht="14.25" customHeight="1">
      <c r="A471" s="61" t="s">
        <v>89</v>
      </c>
      <c r="B471" s="61"/>
      <c r="C471" s="61"/>
      <c r="D471" s="25" t="s">
        <v>62</v>
      </c>
      <c r="E471" s="23">
        <v>81</v>
      </c>
      <c r="F471" s="30"/>
      <c r="G471" s="63"/>
      <c r="H471" s="54">
        <f t="shared" si="14"/>
        <v>0</v>
      </c>
      <c r="I471" s="31"/>
      <c r="J471" s="8"/>
      <c r="K471" s="27">
        <v>500</v>
      </c>
      <c r="L471" s="29">
        <f t="shared" si="15"/>
        <v>0</v>
      </c>
    </row>
    <row r="472" spans="1:13" ht="29.25" customHeight="1">
      <c r="A472" s="60" t="s">
        <v>90</v>
      </c>
      <c r="B472" s="61"/>
      <c r="C472" s="61"/>
      <c r="D472" s="25" t="s">
        <v>62</v>
      </c>
      <c r="E472" s="23">
        <v>42</v>
      </c>
      <c r="F472" s="62"/>
      <c r="G472" s="62"/>
      <c r="H472" s="54">
        <f t="shared" si="14"/>
        <v>0</v>
      </c>
      <c r="I472" s="31"/>
      <c r="J472" s="8"/>
      <c r="K472" s="27">
        <v>1800</v>
      </c>
      <c r="L472" s="29">
        <f t="shared" si="15"/>
        <v>0</v>
      </c>
    </row>
    <row r="473" spans="1:13" ht="14.25" customHeight="1">
      <c r="A473" s="60" t="s">
        <v>91</v>
      </c>
      <c r="B473" s="61"/>
      <c r="C473" s="61"/>
      <c r="D473" s="25" t="s">
        <v>60</v>
      </c>
      <c r="E473" s="23">
        <v>1</v>
      </c>
      <c r="F473" s="30"/>
      <c r="G473" s="63"/>
      <c r="H473" s="54">
        <f t="shared" si="14"/>
        <v>0</v>
      </c>
      <c r="I473" s="31"/>
      <c r="J473" s="8"/>
      <c r="K473" s="27">
        <v>30000</v>
      </c>
      <c r="L473" s="29">
        <f t="shared" si="15"/>
        <v>0</v>
      </c>
    </row>
    <row r="474" spans="1:13" ht="14.25" customHeight="1">
      <c r="A474" s="61" t="s">
        <v>92</v>
      </c>
      <c r="B474" s="61"/>
      <c r="C474" s="61"/>
      <c r="D474" s="25" t="s">
        <v>60</v>
      </c>
      <c r="E474" s="23">
        <v>1</v>
      </c>
      <c r="F474" s="62"/>
      <c r="G474" s="62"/>
      <c r="H474" s="54">
        <f t="shared" si="14"/>
        <v>0</v>
      </c>
      <c r="I474" s="31"/>
      <c r="J474" s="8"/>
      <c r="K474" s="27">
        <v>13598</v>
      </c>
      <c r="L474" s="29">
        <f t="shared" si="15"/>
        <v>0</v>
      </c>
    </row>
    <row r="475" spans="1:13" ht="14.25" customHeight="1">
      <c r="A475" s="61" t="s">
        <v>93</v>
      </c>
      <c r="B475" s="61"/>
      <c r="C475" s="61"/>
      <c r="D475" s="25" t="s">
        <v>60</v>
      </c>
      <c r="E475" s="23">
        <v>1</v>
      </c>
      <c r="F475" s="62"/>
      <c r="G475" s="62"/>
      <c r="H475" s="54">
        <f t="shared" si="14"/>
        <v>0</v>
      </c>
      <c r="I475" s="31"/>
      <c r="J475" s="8"/>
      <c r="K475" s="27">
        <v>13598</v>
      </c>
      <c r="L475" s="29">
        <f t="shared" si="15"/>
        <v>0</v>
      </c>
    </row>
    <row r="476" spans="1:13" ht="14.25" customHeight="1">
      <c r="A476" s="61" t="s">
        <v>64</v>
      </c>
      <c r="B476" s="61"/>
      <c r="C476" s="61"/>
      <c r="D476" s="25" t="s">
        <v>60</v>
      </c>
      <c r="E476" s="23">
        <v>1</v>
      </c>
      <c r="F476" s="62"/>
      <c r="G476" s="62"/>
      <c r="H476" s="54">
        <f t="shared" si="14"/>
        <v>0</v>
      </c>
      <c r="I476" s="31"/>
      <c r="J476" s="8"/>
      <c r="K476" s="27">
        <v>95182</v>
      </c>
      <c r="L476" s="29">
        <f t="shared" si="15"/>
        <v>0</v>
      </c>
    </row>
    <row r="477" spans="1:13" ht="14.25" customHeight="1">
      <c r="A477" s="61" t="s">
        <v>65</v>
      </c>
      <c r="B477" s="61"/>
      <c r="C477" s="61"/>
      <c r="D477" s="25" t="s">
        <v>60</v>
      </c>
      <c r="E477" s="23">
        <v>1</v>
      </c>
      <c r="F477" s="62"/>
      <c r="G477" s="62"/>
      <c r="H477" s="54">
        <f t="shared" si="14"/>
        <v>0</v>
      </c>
      <c r="I477" s="31"/>
      <c r="J477" s="8"/>
      <c r="K477" s="27">
        <v>4513</v>
      </c>
      <c r="L477" s="29">
        <f t="shared" si="15"/>
        <v>0</v>
      </c>
    </row>
    <row r="478" spans="1:13" ht="14.25" customHeight="1" thickBot="1">
      <c r="A478" s="61" t="s">
        <v>66</v>
      </c>
      <c r="B478" s="61"/>
      <c r="C478" s="61"/>
      <c r="D478" s="25" t="s">
        <v>60</v>
      </c>
      <c r="E478" s="23">
        <v>1</v>
      </c>
      <c r="F478" s="62"/>
      <c r="G478" s="62"/>
      <c r="H478" s="54">
        <f t="shared" si="14"/>
        <v>0</v>
      </c>
      <c r="I478" s="31"/>
      <c r="J478" s="8"/>
      <c r="K478" s="27">
        <v>74332</v>
      </c>
      <c r="L478" s="29">
        <f t="shared" si="15"/>
        <v>0</v>
      </c>
      <c r="M478" s="1" t="s">
        <v>97</v>
      </c>
    </row>
    <row r="479" spans="1:13" ht="14.25" customHeight="1">
      <c r="A479" s="77" t="s">
        <v>46</v>
      </c>
      <c r="B479" s="67"/>
      <c r="C479" s="68"/>
      <c r="D479" s="11"/>
      <c r="E479" s="18"/>
      <c r="F479" s="78"/>
      <c r="G479" s="79"/>
      <c r="H479" s="78"/>
      <c r="I479" s="79"/>
      <c r="J479" s="12"/>
      <c r="K479" s="27" t="s">
        <v>68</v>
      </c>
      <c r="L479" s="29">
        <f>SUM(L456:L478)</f>
        <v>0</v>
      </c>
      <c r="M479" s="4">
        <f>ROUND(L479/L480,5)</f>
        <v>0</v>
      </c>
    </row>
    <row r="480" spans="1:13" ht="14.25" customHeight="1">
      <c r="A480" s="69" t="s">
        <v>47</v>
      </c>
      <c r="B480" s="70"/>
      <c r="C480" s="71"/>
      <c r="D480" s="9"/>
      <c r="E480" s="19"/>
      <c r="F480" s="30"/>
      <c r="G480" s="31"/>
      <c r="H480" s="30"/>
      <c r="I480" s="31"/>
      <c r="J480" s="13"/>
      <c r="K480" s="27" t="s">
        <v>67</v>
      </c>
      <c r="L480" s="29">
        <v>1560973</v>
      </c>
      <c r="M480" s="4"/>
    </row>
    <row r="481" spans="1:27" ht="14.25" customHeight="1" thickBot="1">
      <c r="A481" s="72" t="s">
        <v>48</v>
      </c>
      <c r="B481" s="73"/>
      <c r="C481" s="74"/>
      <c r="D481" s="14"/>
      <c r="E481" s="20"/>
      <c r="F481" s="75"/>
      <c r="G481" s="76"/>
      <c r="H481" s="75"/>
      <c r="I481" s="76"/>
      <c r="J481" s="15"/>
    </row>
    <row r="482" spans="1:27" ht="14.25" customHeight="1">
      <c r="A482" s="66" t="s">
        <v>23</v>
      </c>
      <c r="B482" s="67"/>
      <c r="C482" s="67"/>
      <c r="D482" s="67"/>
      <c r="E482" s="67"/>
      <c r="F482" s="67"/>
      <c r="G482" s="67"/>
      <c r="H482" s="67"/>
      <c r="I482" s="67"/>
      <c r="J482" s="68"/>
    </row>
    <row r="483" spans="1:27" ht="14.25" customHeight="1">
      <c r="A483" s="30" t="s">
        <v>24</v>
      </c>
      <c r="B483" s="32"/>
      <c r="C483" s="31"/>
      <c r="D483" s="8" t="s">
        <v>18</v>
      </c>
      <c r="E483" s="8" t="s">
        <v>25</v>
      </c>
      <c r="F483" s="30" t="s">
        <v>26</v>
      </c>
      <c r="G483" s="31"/>
      <c r="H483" s="30" t="s">
        <v>27</v>
      </c>
      <c r="I483" s="31"/>
      <c r="J483" s="8" t="s">
        <v>22</v>
      </c>
    </row>
    <row r="484" spans="1:27" ht="14.25" customHeight="1">
      <c r="A484" s="49"/>
      <c r="B484" s="50"/>
      <c r="C484" s="51"/>
      <c r="D484" s="8"/>
      <c r="E484" s="8"/>
      <c r="F484" s="30"/>
      <c r="G484" s="31"/>
      <c r="H484" s="30"/>
      <c r="I484" s="31"/>
      <c r="J484" s="8"/>
    </row>
    <row r="485" spans="1:27" ht="14.25" customHeight="1">
      <c r="A485" s="49"/>
      <c r="B485" s="50"/>
      <c r="C485" s="51"/>
      <c r="D485" s="8"/>
      <c r="E485" s="8"/>
      <c r="F485" s="30"/>
      <c r="G485" s="31"/>
      <c r="H485" s="30"/>
      <c r="I485" s="31"/>
      <c r="J485" s="8"/>
    </row>
    <row r="486" spans="1:27" ht="14.25" customHeight="1">
      <c r="A486" s="49" t="s">
        <v>28</v>
      </c>
      <c r="B486" s="50"/>
      <c r="C486" s="50"/>
      <c r="D486" s="50"/>
      <c r="E486" s="50"/>
      <c r="F486" s="50"/>
      <c r="G486" s="50"/>
      <c r="H486" s="50"/>
      <c r="I486" s="50"/>
      <c r="J486" s="51"/>
    </row>
    <row r="487" spans="1:27" ht="14.25" customHeight="1">
      <c r="A487" s="30" t="s">
        <v>29</v>
      </c>
      <c r="B487" s="31"/>
      <c r="C487" s="8" t="s">
        <v>30</v>
      </c>
      <c r="D487" s="8" t="s">
        <v>31</v>
      </c>
      <c r="E487" s="30" t="s">
        <v>32</v>
      </c>
      <c r="F487" s="31"/>
      <c r="G487" s="30" t="s">
        <v>26</v>
      </c>
      <c r="H487" s="31"/>
      <c r="I487" s="30" t="s">
        <v>27</v>
      </c>
      <c r="J487" s="31"/>
    </row>
    <row r="488" spans="1:27" ht="14.25" customHeight="1">
      <c r="A488" s="49"/>
      <c r="B488" s="51"/>
      <c r="C488" s="8"/>
      <c r="D488" s="8"/>
      <c r="E488" s="30"/>
      <c r="F488" s="31"/>
      <c r="G488" s="30"/>
      <c r="H488" s="31"/>
      <c r="I488" s="30"/>
      <c r="J488" s="31"/>
    </row>
    <row r="489" spans="1:27" ht="14.25" customHeight="1">
      <c r="A489" s="49"/>
      <c r="B489" s="51"/>
      <c r="C489" s="8"/>
      <c r="D489" s="8"/>
      <c r="E489" s="30"/>
      <c r="F489" s="31"/>
      <c r="G489" s="30"/>
      <c r="H489" s="31"/>
      <c r="I489" s="30"/>
      <c r="J489" s="31"/>
    </row>
    <row r="490" spans="1:27" ht="14.25" customHeight="1">
      <c r="A490" s="41" t="s">
        <v>45</v>
      </c>
      <c r="B490" s="42"/>
      <c r="C490" s="42"/>
      <c r="D490" s="42"/>
      <c r="E490" s="42"/>
      <c r="F490" s="42"/>
      <c r="G490" s="42"/>
      <c r="H490" s="42"/>
      <c r="I490" s="42"/>
      <c r="J490" s="43"/>
    </row>
    <row r="491" spans="1:27" ht="14.25" customHeight="1">
      <c r="A491" s="44"/>
      <c r="B491" s="45"/>
      <c r="C491" s="45"/>
      <c r="D491" s="45"/>
      <c r="E491" s="45"/>
      <c r="F491" s="45"/>
      <c r="G491" s="45"/>
      <c r="H491" s="45"/>
      <c r="I491" s="45"/>
      <c r="J491" s="46"/>
    </row>
    <row r="492" spans="1:27" ht="14.25" customHeight="1">
      <c r="A492" s="80" t="s">
        <v>52</v>
      </c>
      <c r="B492" s="81"/>
      <c r="C492" s="81"/>
      <c r="D492" s="81"/>
      <c r="E492" s="81"/>
      <c r="F492" s="81"/>
      <c r="G492" s="81"/>
      <c r="H492" s="81"/>
      <c r="I492" s="81"/>
      <c r="J492" s="82"/>
      <c r="M492" s="4"/>
      <c r="N492" s="5"/>
      <c r="O492" s="6"/>
      <c r="S492" s="6"/>
      <c r="W492" s="6"/>
      <c r="AA492" s="6"/>
    </row>
    <row r="493" spans="1:27" ht="14.25" customHeight="1">
      <c r="A493" s="83"/>
      <c r="B493" s="84"/>
      <c r="C493" s="84"/>
      <c r="D493" s="84"/>
      <c r="E493" s="84"/>
      <c r="F493" s="84"/>
      <c r="G493" s="84"/>
      <c r="H493" s="84"/>
      <c r="I493" s="84"/>
      <c r="J493" s="85"/>
    </row>
    <row r="494" spans="1:27" ht="14.25" customHeight="1">
      <c r="A494" s="83"/>
      <c r="B494" s="84"/>
      <c r="C494" s="84"/>
      <c r="D494" s="84"/>
      <c r="E494" s="84"/>
      <c r="F494" s="84"/>
      <c r="G494" s="84"/>
      <c r="H494" s="84"/>
      <c r="I494" s="84"/>
      <c r="J494" s="85"/>
    </row>
    <row r="495" spans="1:27" ht="14.25" customHeight="1">
      <c r="A495" s="83"/>
      <c r="B495" s="84"/>
      <c r="C495" s="84"/>
      <c r="D495" s="84"/>
      <c r="E495" s="84"/>
      <c r="F495" s="84"/>
      <c r="G495" s="84"/>
      <c r="H495" s="84"/>
      <c r="I495" s="84"/>
      <c r="J495" s="85"/>
    </row>
    <row r="496" spans="1:27" ht="14.25" customHeight="1">
      <c r="A496" s="83"/>
      <c r="B496" s="84"/>
      <c r="C496" s="84"/>
      <c r="D496" s="84"/>
      <c r="E496" s="84"/>
      <c r="F496" s="84"/>
      <c r="G496" s="84"/>
      <c r="H496" s="84"/>
      <c r="I496" s="84"/>
      <c r="J496" s="85"/>
    </row>
    <row r="497" spans="1:10" ht="14.25" customHeight="1">
      <c r="A497" s="83"/>
      <c r="B497" s="84"/>
      <c r="C497" s="84"/>
      <c r="D497" s="84"/>
      <c r="E497" s="84"/>
      <c r="F497" s="84"/>
      <c r="G497" s="84"/>
      <c r="H497" s="84"/>
      <c r="I497" s="84"/>
      <c r="J497" s="85"/>
    </row>
    <row r="498" spans="1:10" ht="14.25" customHeight="1">
      <c r="A498" s="86"/>
      <c r="B498" s="87"/>
      <c r="C498" s="87"/>
      <c r="D498" s="87"/>
      <c r="E498" s="87"/>
      <c r="F498" s="87"/>
      <c r="G498" s="87"/>
      <c r="H498" s="87"/>
      <c r="I498" s="87"/>
      <c r="J498" s="88"/>
    </row>
    <row r="499" spans="1:10" ht="14.25" customHeight="1">
      <c r="A499" s="89" t="s">
        <v>33</v>
      </c>
      <c r="B499" s="90"/>
      <c r="C499" s="90"/>
      <c r="D499" s="90"/>
      <c r="E499" s="90"/>
      <c r="F499" s="90"/>
      <c r="G499" s="90"/>
      <c r="H499" s="90"/>
      <c r="I499" s="90"/>
      <c r="J499" s="91"/>
    </row>
    <row r="500" spans="1:10" ht="14.25" customHeight="1">
      <c r="A500" s="92"/>
      <c r="B500" s="93"/>
      <c r="C500" s="93"/>
      <c r="D500" s="93"/>
      <c r="E500" s="93"/>
      <c r="F500" s="93"/>
      <c r="G500" s="93"/>
      <c r="H500" s="93"/>
      <c r="I500" s="93"/>
      <c r="J500" s="94"/>
    </row>
    <row r="501" spans="1:10" ht="14.25" customHeight="1">
      <c r="A501" s="89" t="s">
        <v>34</v>
      </c>
      <c r="B501" s="90"/>
      <c r="C501" s="90"/>
      <c r="D501" s="90"/>
      <c r="E501" s="90"/>
      <c r="F501" s="90"/>
      <c r="G501" s="90"/>
      <c r="H501" s="90"/>
      <c r="I501" s="90"/>
      <c r="J501" s="91"/>
    </row>
    <row r="502" spans="1:10" ht="14.25" customHeight="1">
      <c r="A502" s="92"/>
      <c r="B502" s="93"/>
      <c r="C502" s="93"/>
      <c r="D502" s="93"/>
      <c r="E502" s="93"/>
      <c r="F502" s="93"/>
      <c r="G502" s="93"/>
      <c r="H502" s="93"/>
      <c r="I502" s="93"/>
      <c r="J502" s="94"/>
    </row>
    <row r="503" spans="1:10" ht="14.25" customHeight="1">
      <c r="A503" s="89" t="s">
        <v>70</v>
      </c>
      <c r="B503" s="90"/>
      <c r="C503" s="90"/>
      <c r="D503" s="90"/>
      <c r="E503" s="90"/>
      <c r="F503" s="90"/>
      <c r="G503" s="90"/>
      <c r="H503" s="90"/>
      <c r="I503" s="90"/>
      <c r="J503" s="91"/>
    </row>
    <row r="504" spans="1:10" ht="14.25" customHeight="1">
      <c r="A504" s="92"/>
      <c r="B504" s="93"/>
      <c r="C504" s="93"/>
      <c r="D504" s="93"/>
      <c r="E504" s="93"/>
      <c r="F504" s="93"/>
      <c r="G504" s="93"/>
      <c r="H504" s="93"/>
      <c r="I504" s="93"/>
      <c r="J504" s="94"/>
    </row>
    <row r="505" spans="1:10" ht="14.25" customHeight="1">
      <c r="A505" s="89" t="s">
        <v>35</v>
      </c>
      <c r="B505" s="90"/>
      <c r="C505" s="90"/>
      <c r="D505" s="90"/>
      <c r="E505" s="90"/>
      <c r="F505" s="90"/>
      <c r="G505" s="90"/>
      <c r="H505" s="90"/>
      <c r="I505" s="90"/>
      <c r="J505" s="91"/>
    </row>
    <row r="506" spans="1:10" ht="14.25" customHeight="1">
      <c r="A506" s="92"/>
      <c r="B506" s="93"/>
      <c r="C506" s="93"/>
      <c r="D506" s="93"/>
      <c r="E506" s="93"/>
      <c r="F506" s="93"/>
      <c r="G506" s="93"/>
      <c r="H506" s="93"/>
      <c r="I506" s="93"/>
      <c r="J506" s="94"/>
    </row>
    <row r="507" spans="1:10" ht="14.25" customHeight="1">
      <c r="A507" s="99" t="s">
        <v>36</v>
      </c>
      <c r="B507" s="99"/>
      <c r="C507" s="99"/>
      <c r="D507" s="99"/>
      <c r="E507" s="99"/>
      <c r="F507" s="99"/>
      <c r="G507" s="99"/>
      <c r="H507" s="99"/>
      <c r="I507" s="99"/>
      <c r="J507" s="99"/>
    </row>
    <row r="508" spans="1:10" ht="14.25" customHeight="1">
      <c r="A508" s="95" t="s">
        <v>37</v>
      </c>
      <c r="B508" s="95"/>
      <c r="C508" s="95"/>
      <c r="D508" s="95"/>
      <c r="E508" s="95"/>
      <c r="F508" s="95"/>
      <c r="G508" s="95"/>
      <c r="H508" s="95"/>
      <c r="I508" s="95"/>
      <c r="J508" s="95"/>
    </row>
    <row r="509" spans="1:10" ht="14.25" customHeight="1">
      <c r="A509" s="95" t="s">
        <v>38</v>
      </c>
      <c r="B509" s="95"/>
      <c r="C509" s="95"/>
      <c r="D509" s="95"/>
      <c r="E509" s="95"/>
      <c r="F509" s="95"/>
      <c r="G509" s="95"/>
      <c r="H509" s="95"/>
      <c r="I509" s="95"/>
      <c r="J509" s="95"/>
    </row>
    <row r="510" spans="1:10" ht="14.25" customHeight="1">
      <c r="A510" s="95" t="s">
        <v>39</v>
      </c>
      <c r="B510" s="95"/>
      <c r="C510" s="95"/>
      <c r="D510" s="95"/>
      <c r="E510" s="95"/>
      <c r="F510" s="95"/>
      <c r="G510" s="95"/>
      <c r="H510" s="95"/>
      <c r="I510" s="95"/>
      <c r="J510" s="95"/>
    </row>
    <row r="511" spans="1:10" ht="14.25" customHeight="1">
      <c r="A511" s="95" t="s">
        <v>40</v>
      </c>
      <c r="B511" s="95"/>
      <c r="C511" s="95"/>
      <c r="D511" s="95"/>
      <c r="E511" s="95"/>
      <c r="F511" s="95"/>
      <c r="G511" s="95"/>
      <c r="H511" s="95"/>
      <c r="I511" s="95"/>
      <c r="J511" s="95"/>
    </row>
    <row r="512" spans="1:10" ht="14.25" customHeight="1">
      <c r="A512" s="95" t="s">
        <v>41</v>
      </c>
      <c r="B512" s="95"/>
      <c r="C512" s="95"/>
      <c r="D512" s="95"/>
      <c r="E512" s="95"/>
      <c r="F512" s="95"/>
      <c r="G512" s="95"/>
      <c r="H512" s="95"/>
      <c r="I512" s="95"/>
      <c r="J512" s="95"/>
    </row>
    <row r="513" spans="1:13" ht="14.25" customHeight="1">
      <c r="A513" s="95" t="s">
        <v>42</v>
      </c>
      <c r="B513" s="95"/>
      <c r="C513" s="95"/>
      <c r="D513" s="95"/>
      <c r="E513" s="95"/>
      <c r="F513" s="95"/>
      <c r="G513" s="95"/>
      <c r="H513" s="95"/>
      <c r="I513" s="95"/>
      <c r="J513" s="95"/>
    </row>
    <row r="514" spans="1:13" ht="14.25" customHeight="1">
      <c r="A514" s="100" t="s">
        <v>43</v>
      </c>
      <c r="B514" s="100"/>
      <c r="C514" s="100"/>
      <c r="D514" s="100"/>
      <c r="E514" s="100"/>
      <c r="F514" s="100"/>
      <c r="G514" s="100"/>
      <c r="H514" s="100"/>
      <c r="I514" s="100"/>
      <c r="J514" s="100"/>
    </row>
    <row r="515" spans="1:13" ht="14.25" customHeight="1">
      <c r="A515" s="95" t="s">
        <v>44</v>
      </c>
      <c r="B515" s="95"/>
      <c r="C515" s="95"/>
      <c r="D515" s="95"/>
      <c r="E515" s="95"/>
      <c r="F515" s="95"/>
      <c r="G515" s="95"/>
      <c r="H515" s="95"/>
      <c r="I515" s="95"/>
      <c r="J515" s="95"/>
    </row>
    <row r="516" spans="1:13" ht="29.25" customHeight="1">
      <c r="A516" s="96" t="s">
        <v>51</v>
      </c>
      <c r="B516" s="96"/>
      <c r="C516" s="96"/>
      <c r="D516" s="96"/>
      <c r="E516" s="96"/>
      <c r="F516" s="96"/>
      <c r="G516" s="96"/>
      <c r="H516" s="96"/>
      <c r="I516" s="96"/>
      <c r="J516" s="96"/>
    </row>
    <row r="517" spans="1:13" ht="14.25" customHeight="1">
      <c r="A517" s="101" t="s">
        <v>49</v>
      </c>
      <c r="B517" s="101"/>
      <c r="C517" s="101"/>
      <c r="D517" s="101"/>
      <c r="E517" s="101"/>
      <c r="F517" s="101"/>
      <c r="G517" s="101"/>
      <c r="H517" s="101"/>
      <c r="I517" s="101"/>
      <c r="J517" s="101"/>
    </row>
    <row r="518" spans="1:13" ht="14.25" customHeight="1"/>
    <row r="519" spans="1:13" ht="14.25" customHeight="1">
      <c r="A519" s="33" t="s">
        <v>0</v>
      </c>
      <c r="B519" s="33"/>
      <c r="C519" s="33"/>
      <c r="D519" s="33"/>
      <c r="E519" s="33"/>
      <c r="F519" s="33"/>
      <c r="G519" s="33"/>
      <c r="H519" s="33"/>
      <c r="I519" s="33"/>
      <c r="J519" s="33"/>
    </row>
    <row r="520" spans="1:13">
      <c r="A520" s="2" t="s">
        <v>1</v>
      </c>
      <c r="B520" s="3" t="str">
        <f>"GD-"&amp;IF(LEN(E524)=2,TEXT(LEFT(E524,1),"000"),IF(LEN(E524)=3,TEXT(LEFT(E524,2),"000"),TEXT(LEFT(E524,3),"000")))</f>
        <v>GD-008</v>
      </c>
      <c r="C520" s="2"/>
      <c r="D520" s="2"/>
      <c r="E520" s="2"/>
      <c r="F520" s="2"/>
      <c r="G520" s="2"/>
      <c r="H520" s="2"/>
      <c r="I520" s="2"/>
      <c r="J520" s="2"/>
    </row>
    <row r="521" spans="1:13" ht="14.25" customHeight="1">
      <c r="A521" s="34" t="s">
        <v>95</v>
      </c>
      <c r="B521" s="34"/>
      <c r="C521" s="34"/>
      <c r="D521" s="34"/>
      <c r="E521" s="34"/>
      <c r="F521" s="35" t="s">
        <v>3</v>
      </c>
      <c r="G521" s="35"/>
      <c r="H521" s="36">
        <f>H447+1</f>
        <v>45649</v>
      </c>
      <c r="I521" s="36"/>
      <c r="J521" s="7" t="str">
        <f>"("&amp;TEXT(H521,"[$-404]aaaa;@")&amp;")"</f>
        <v>(星期一)</v>
      </c>
    </row>
    <row r="522" spans="1:13" ht="14.25" customHeight="1">
      <c r="A522" s="37" t="s">
        <v>4</v>
      </c>
      <c r="B522" s="38"/>
      <c r="C522" s="41" t="str">
        <f>C448</f>
        <v>雲林縣成功國小思源堂整修工程</v>
      </c>
      <c r="D522" s="42"/>
      <c r="E522" s="43"/>
      <c r="F522" s="37" t="s">
        <v>5</v>
      </c>
      <c r="G522" s="38"/>
      <c r="H522" s="37" t="str">
        <f>H448</f>
        <v>正郁室內裝修</v>
      </c>
      <c r="I522" s="47"/>
      <c r="J522" s="38"/>
    </row>
    <row r="523" spans="1:13" ht="14.25" customHeight="1">
      <c r="A523" s="39"/>
      <c r="B523" s="40"/>
      <c r="C523" s="44"/>
      <c r="D523" s="45"/>
      <c r="E523" s="46"/>
      <c r="F523" s="39"/>
      <c r="G523" s="40"/>
      <c r="H523" s="39"/>
      <c r="I523" s="48"/>
      <c r="J523" s="40"/>
    </row>
    <row r="524" spans="1:13" ht="14.25" customHeight="1">
      <c r="A524" s="8" t="s">
        <v>7</v>
      </c>
      <c r="B524" s="8" t="str">
        <f>B450</f>
        <v>60天</v>
      </c>
      <c r="C524" s="30" t="s">
        <v>8</v>
      </c>
      <c r="D524" s="31"/>
      <c r="E524" s="8" t="str">
        <f>IF(LEN(E450)&gt;2,(LEFT(E450,2)+1),(LEFT(E450,1)+1))&amp;"天"</f>
        <v>8天</v>
      </c>
      <c r="F524" s="8" t="s">
        <v>9</v>
      </c>
      <c r="G524" s="8" t="str">
        <f>IF(LEN(E524)&gt;2,LEFT(B524,2)-LEFT(E524,2),LEFT(B524,2)-LEFT(E524,1))&amp;"天"</f>
        <v>52天</v>
      </c>
      <c r="H524" s="30" t="s">
        <v>10</v>
      </c>
      <c r="I524" s="31"/>
      <c r="J524" s="8" t="str">
        <f>J450</f>
        <v>0天</v>
      </c>
    </row>
    <row r="525" spans="1:13" ht="14.25" customHeight="1">
      <c r="A525" s="30" t="s">
        <v>12</v>
      </c>
      <c r="B525" s="31"/>
      <c r="C525" s="30" t="str">
        <f>C451</f>
        <v>113年12月16日</v>
      </c>
      <c r="D525" s="32"/>
      <c r="E525" s="31"/>
      <c r="F525" s="30" t="s">
        <v>13</v>
      </c>
      <c r="G525" s="31"/>
      <c r="H525" s="30" t="str">
        <f>H451</f>
        <v>114年02月13日</v>
      </c>
      <c r="I525" s="32"/>
      <c r="J525" s="31"/>
    </row>
    <row r="526" spans="1:13" ht="14.25" customHeight="1">
      <c r="A526" s="30" t="s">
        <v>14</v>
      </c>
      <c r="B526" s="31"/>
      <c r="C526" s="57">
        <f>(5%/12)*8</f>
        <v>3.3333333333333333E-2</v>
      </c>
      <c r="D526" s="58"/>
      <c r="E526" s="59"/>
      <c r="F526" s="30" t="s">
        <v>15</v>
      </c>
      <c r="G526" s="31"/>
      <c r="H526" s="57">
        <f>ROUND(L553/L554,5)+H452</f>
        <v>0.19864000000000001</v>
      </c>
      <c r="I526" s="58"/>
      <c r="J526" s="59"/>
      <c r="K526" s="26" t="s">
        <v>69</v>
      </c>
      <c r="L526" s="22"/>
      <c r="M526" s="4"/>
    </row>
    <row r="527" spans="1:13" ht="14.25" customHeight="1">
      <c r="A527" s="49" t="s">
        <v>16</v>
      </c>
      <c r="B527" s="50"/>
      <c r="C527" s="50"/>
      <c r="D527" s="50"/>
      <c r="E527" s="50"/>
      <c r="F527" s="50"/>
      <c r="G527" s="50"/>
      <c r="H527" s="50"/>
      <c r="I527" s="50"/>
      <c r="J527" s="51"/>
      <c r="L527" s="22"/>
      <c r="M527" s="4"/>
    </row>
    <row r="528" spans="1:13" ht="14.25" customHeight="1">
      <c r="A528" s="30" t="s">
        <v>17</v>
      </c>
      <c r="B528" s="32"/>
      <c r="C528" s="31"/>
      <c r="D528" s="8" t="s">
        <v>18</v>
      </c>
      <c r="E528" s="17" t="s">
        <v>19</v>
      </c>
      <c r="F528" s="30" t="s">
        <v>20</v>
      </c>
      <c r="G528" s="31"/>
      <c r="H528" s="30" t="s">
        <v>21</v>
      </c>
      <c r="I528" s="31"/>
      <c r="J528" s="8" t="s">
        <v>22</v>
      </c>
      <c r="L528" s="22"/>
      <c r="M528" s="4"/>
    </row>
    <row r="529" spans="1:12" ht="14.25" customHeight="1">
      <c r="A529" s="49" t="s">
        <v>56</v>
      </c>
      <c r="B529" s="50"/>
      <c r="C529" s="50"/>
      <c r="D529" s="50"/>
      <c r="E529" s="50"/>
      <c r="F529" s="50"/>
      <c r="G529" s="50"/>
      <c r="H529" s="50"/>
      <c r="I529" s="50"/>
      <c r="J529" s="51"/>
    </row>
    <row r="530" spans="1:12" ht="14.25" customHeight="1">
      <c r="A530" s="55" t="s">
        <v>57</v>
      </c>
      <c r="B530" s="50"/>
      <c r="C530" s="51"/>
      <c r="D530" s="24" t="s">
        <v>59</v>
      </c>
      <c r="E530" s="23">
        <v>1</v>
      </c>
      <c r="F530" s="54"/>
      <c r="G530" s="56"/>
      <c r="H530" s="54">
        <f t="shared" ref="H530:H552" si="16">F530+H456</f>
        <v>1</v>
      </c>
      <c r="I530" s="31"/>
      <c r="J530" s="16"/>
      <c r="K530" s="27">
        <v>800</v>
      </c>
      <c r="L530" s="29">
        <f t="shared" ref="L530:L552" si="17">ROUND(K530*F530,0)</f>
        <v>0</v>
      </c>
    </row>
    <row r="531" spans="1:12" ht="14.25" customHeight="1">
      <c r="A531" s="55" t="s">
        <v>75</v>
      </c>
      <c r="B531" s="50"/>
      <c r="C531" s="51"/>
      <c r="D531" s="24" t="s">
        <v>59</v>
      </c>
      <c r="E531" s="23">
        <v>1</v>
      </c>
      <c r="F531" s="52"/>
      <c r="G531" s="53"/>
      <c r="H531" s="54">
        <f t="shared" si="16"/>
        <v>1</v>
      </c>
      <c r="I531" s="31"/>
      <c r="J531" s="8"/>
      <c r="K531" s="27">
        <v>500</v>
      </c>
      <c r="L531" s="29">
        <f t="shared" si="17"/>
        <v>0</v>
      </c>
    </row>
    <row r="532" spans="1:12" ht="14.25" customHeight="1">
      <c r="A532" s="49" t="s">
        <v>58</v>
      </c>
      <c r="B532" s="50"/>
      <c r="C532" s="51"/>
      <c r="D532" s="24" t="s">
        <v>61</v>
      </c>
      <c r="E532" s="23">
        <v>51</v>
      </c>
      <c r="F532" s="52"/>
      <c r="G532" s="53"/>
      <c r="H532" s="54">
        <f t="shared" si="16"/>
        <v>51</v>
      </c>
      <c r="I532" s="31"/>
      <c r="J532" s="10"/>
      <c r="K532" s="27">
        <v>50</v>
      </c>
      <c r="L532" s="29">
        <f t="shared" si="17"/>
        <v>0</v>
      </c>
    </row>
    <row r="533" spans="1:12" ht="14.25" customHeight="1">
      <c r="A533" s="55" t="s">
        <v>76</v>
      </c>
      <c r="B533" s="50"/>
      <c r="C533" s="51"/>
      <c r="D533" s="24" t="s">
        <v>60</v>
      </c>
      <c r="E533" s="23">
        <v>1</v>
      </c>
      <c r="F533" s="52"/>
      <c r="G533" s="53"/>
      <c r="H533" s="54">
        <f t="shared" si="16"/>
        <v>0</v>
      </c>
      <c r="I533" s="31"/>
      <c r="J533" s="16"/>
      <c r="K533" s="27">
        <v>3000</v>
      </c>
      <c r="L533" s="29">
        <f t="shared" si="17"/>
        <v>0</v>
      </c>
    </row>
    <row r="534" spans="1:12" ht="14.25" customHeight="1">
      <c r="A534" s="55" t="s">
        <v>77</v>
      </c>
      <c r="B534" s="50"/>
      <c r="C534" s="51"/>
      <c r="D534" s="25" t="s">
        <v>60</v>
      </c>
      <c r="E534" s="23">
        <v>1</v>
      </c>
      <c r="F534" s="52"/>
      <c r="G534" s="53"/>
      <c r="H534" s="54">
        <f t="shared" si="16"/>
        <v>0</v>
      </c>
      <c r="I534" s="31"/>
      <c r="J534" s="8"/>
      <c r="K534" s="27">
        <v>3000</v>
      </c>
      <c r="L534" s="29">
        <f t="shared" si="17"/>
        <v>0</v>
      </c>
    </row>
    <row r="535" spans="1:12" ht="28.5" customHeight="1">
      <c r="A535" s="55" t="s">
        <v>78</v>
      </c>
      <c r="B535" s="64"/>
      <c r="C535" s="65"/>
      <c r="D535" s="25" t="s">
        <v>62</v>
      </c>
      <c r="E535" s="23">
        <v>328</v>
      </c>
      <c r="F535" s="30">
        <v>160.80000000000001</v>
      </c>
      <c r="G535" s="63"/>
      <c r="H535" s="54">
        <f t="shared" si="16"/>
        <v>167.20000000000002</v>
      </c>
      <c r="I535" s="31"/>
      <c r="J535" s="8"/>
      <c r="K535" s="28">
        <v>100</v>
      </c>
      <c r="L535" s="29">
        <f t="shared" si="17"/>
        <v>16080</v>
      </c>
    </row>
    <row r="536" spans="1:12" ht="14.25" customHeight="1">
      <c r="A536" s="60" t="s">
        <v>79</v>
      </c>
      <c r="B536" s="61"/>
      <c r="C536" s="61"/>
      <c r="D536" s="25" t="s">
        <v>61</v>
      </c>
      <c r="E536" s="23">
        <v>21</v>
      </c>
      <c r="F536" s="62"/>
      <c r="G536" s="62"/>
      <c r="H536" s="54">
        <f t="shared" si="16"/>
        <v>6</v>
      </c>
      <c r="I536" s="31"/>
      <c r="J536" s="8"/>
      <c r="K536" s="27">
        <v>2500</v>
      </c>
      <c r="L536" s="29">
        <f t="shared" si="17"/>
        <v>0</v>
      </c>
    </row>
    <row r="537" spans="1:12" ht="28.5" customHeight="1">
      <c r="A537" s="55" t="s">
        <v>80</v>
      </c>
      <c r="B537" s="64"/>
      <c r="C537" s="65"/>
      <c r="D537" s="25" t="s">
        <v>81</v>
      </c>
      <c r="E537" s="23">
        <v>5</v>
      </c>
      <c r="F537" s="30"/>
      <c r="G537" s="63"/>
      <c r="H537" s="54">
        <f t="shared" si="16"/>
        <v>0</v>
      </c>
      <c r="I537" s="31"/>
      <c r="J537" s="8"/>
      <c r="K537" s="27">
        <v>5000</v>
      </c>
      <c r="L537" s="29">
        <f t="shared" si="17"/>
        <v>0</v>
      </c>
    </row>
    <row r="538" spans="1:12" ht="14.25" customHeight="1">
      <c r="A538" s="60" t="s">
        <v>82</v>
      </c>
      <c r="B538" s="61"/>
      <c r="C538" s="61"/>
      <c r="D538" s="25" t="s">
        <v>62</v>
      </c>
      <c r="E538" s="23">
        <v>218</v>
      </c>
      <c r="F538" s="62"/>
      <c r="G538" s="62"/>
      <c r="H538" s="54">
        <f t="shared" si="16"/>
        <v>0</v>
      </c>
      <c r="I538" s="31"/>
      <c r="J538" s="8"/>
      <c r="K538" s="27">
        <v>1000</v>
      </c>
      <c r="L538" s="29">
        <f t="shared" si="17"/>
        <v>0</v>
      </c>
    </row>
    <row r="539" spans="1:12" ht="14.25" customHeight="1">
      <c r="A539" s="61" t="s">
        <v>83</v>
      </c>
      <c r="B539" s="61"/>
      <c r="C539" s="61"/>
      <c r="D539" s="25" t="s">
        <v>81</v>
      </c>
      <c r="E539" s="23">
        <v>28</v>
      </c>
      <c r="F539" s="30"/>
      <c r="G539" s="63"/>
      <c r="H539" s="54">
        <f t="shared" si="16"/>
        <v>0</v>
      </c>
      <c r="I539" s="31"/>
      <c r="J539" s="8"/>
      <c r="K539" s="27">
        <v>2000</v>
      </c>
      <c r="L539" s="29">
        <f t="shared" si="17"/>
        <v>0</v>
      </c>
    </row>
    <row r="540" spans="1:12" ht="28.5" customHeight="1">
      <c r="A540" s="60" t="s">
        <v>84</v>
      </c>
      <c r="B540" s="61"/>
      <c r="C540" s="61"/>
      <c r="D540" s="25" t="s">
        <v>62</v>
      </c>
      <c r="E540" s="23">
        <v>245</v>
      </c>
      <c r="F540" s="62"/>
      <c r="G540" s="62"/>
      <c r="H540" s="54">
        <f t="shared" si="16"/>
        <v>0</v>
      </c>
      <c r="I540" s="31"/>
      <c r="J540" s="8"/>
      <c r="K540" s="27">
        <v>1500</v>
      </c>
      <c r="L540" s="29">
        <f t="shared" si="17"/>
        <v>0</v>
      </c>
    </row>
    <row r="541" spans="1:12" ht="14.25" customHeight="1">
      <c r="A541" s="61" t="s">
        <v>85</v>
      </c>
      <c r="B541" s="61"/>
      <c r="C541" s="61"/>
      <c r="D541" s="25" t="s">
        <v>62</v>
      </c>
      <c r="E541" s="23">
        <v>83</v>
      </c>
      <c r="F541" s="30"/>
      <c r="G541" s="63"/>
      <c r="H541" s="54">
        <f t="shared" si="16"/>
        <v>0</v>
      </c>
      <c r="I541" s="31"/>
      <c r="J541" s="8"/>
      <c r="K541" s="27">
        <v>1000</v>
      </c>
      <c r="L541" s="29">
        <f t="shared" si="17"/>
        <v>0</v>
      </c>
    </row>
    <row r="542" spans="1:12" ht="30" customHeight="1">
      <c r="A542" s="60" t="s">
        <v>86</v>
      </c>
      <c r="B542" s="61"/>
      <c r="C542" s="61"/>
      <c r="D542" s="25" t="s">
        <v>62</v>
      </c>
      <c r="E542" s="23">
        <v>164</v>
      </c>
      <c r="F542" s="62"/>
      <c r="G542" s="62"/>
      <c r="H542" s="54">
        <f t="shared" si="16"/>
        <v>0</v>
      </c>
      <c r="I542" s="31"/>
      <c r="J542" s="8"/>
      <c r="K542" s="27">
        <v>500</v>
      </c>
      <c r="L542" s="29">
        <f t="shared" si="17"/>
        <v>0</v>
      </c>
    </row>
    <row r="543" spans="1:12" ht="14.25" customHeight="1">
      <c r="A543" s="60" t="s">
        <v>87</v>
      </c>
      <c r="B543" s="61"/>
      <c r="C543" s="61"/>
      <c r="D543" s="25" t="s">
        <v>62</v>
      </c>
      <c r="E543" s="23">
        <v>37</v>
      </c>
      <c r="F543" s="30"/>
      <c r="G543" s="63"/>
      <c r="H543" s="54">
        <f t="shared" si="16"/>
        <v>37</v>
      </c>
      <c r="I543" s="31"/>
      <c r="J543" s="8"/>
      <c r="K543" s="27">
        <v>1000</v>
      </c>
      <c r="L543" s="29">
        <f t="shared" si="17"/>
        <v>0</v>
      </c>
    </row>
    <row r="544" spans="1:12" ht="14.25" customHeight="1">
      <c r="A544" s="61" t="s">
        <v>88</v>
      </c>
      <c r="B544" s="61"/>
      <c r="C544" s="61"/>
      <c r="D544" s="25" t="s">
        <v>60</v>
      </c>
      <c r="E544" s="23">
        <v>1</v>
      </c>
      <c r="F544" s="62">
        <v>0.2</v>
      </c>
      <c r="G544" s="62"/>
      <c r="H544" s="54">
        <f t="shared" si="16"/>
        <v>0.95</v>
      </c>
      <c r="I544" s="31"/>
      <c r="J544" s="8"/>
      <c r="K544" s="27">
        <v>250000</v>
      </c>
      <c r="L544" s="29">
        <f t="shared" si="17"/>
        <v>50000</v>
      </c>
    </row>
    <row r="545" spans="1:13" ht="14.25" customHeight="1">
      <c r="A545" s="61" t="s">
        <v>89</v>
      </c>
      <c r="B545" s="61"/>
      <c r="C545" s="61"/>
      <c r="D545" s="25" t="s">
        <v>62</v>
      </c>
      <c r="E545" s="23">
        <v>81</v>
      </c>
      <c r="F545" s="30"/>
      <c r="G545" s="63"/>
      <c r="H545" s="54">
        <f t="shared" si="16"/>
        <v>0</v>
      </c>
      <c r="I545" s="31"/>
      <c r="J545" s="8"/>
      <c r="K545" s="27">
        <v>500</v>
      </c>
      <c r="L545" s="29">
        <f t="shared" si="17"/>
        <v>0</v>
      </c>
    </row>
    <row r="546" spans="1:13" ht="29.25" customHeight="1">
      <c r="A546" s="60" t="s">
        <v>90</v>
      </c>
      <c r="B546" s="61"/>
      <c r="C546" s="61"/>
      <c r="D546" s="25" t="s">
        <v>62</v>
      </c>
      <c r="E546" s="23">
        <v>42</v>
      </c>
      <c r="F546" s="62"/>
      <c r="G546" s="62"/>
      <c r="H546" s="54">
        <f t="shared" si="16"/>
        <v>0</v>
      </c>
      <c r="I546" s="31"/>
      <c r="J546" s="8"/>
      <c r="K546" s="27">
        <v>1800</v>
      </c>
      <c r="L546" s="29">
        <f t="shared" si="17"/>
        <v>0</v>
      </c>
    </row>
    <row r="547" spans="1:13" ht="14.25" customHeight="1">
      <c r="A547" s="60" t="s">
        <v>91</v>
      </c>
      <c r="B547" s="61"/>
      <c r="C547" s="61"/>
      <c r="D547" s="25" t="s">
        <v>60</v>
      </c>
      <c r="E547" s="23">
        <v>1</v>
      </c>
      <c r="F547" s="30"/>
      <c r="G547" s="63"/>
      <c r="H547" s="54">
        <f t="shared" si="16"/>
        <v>0</v>
      </c>
      <c r="I547" s="31"/>
      <c r="J547" s="8"/>
      <c r="K547" s="27">
        <v>30000</v>
      </c>
      <c r="L547" s="29">
        <f t="shared" si="17"/>
        <v>0</v>
      </c>
    </row>
    <row r="548" spans="1:13" ht="14.25" customHeight="1">
      <c r="A548" s="61" t="s">
        <v>92</v>
      </c>
      <c r="B548" s="61"/>
      <c r="C548" s="61"/>
      <c r="D548" s="25" t="s">
        <v>60</v>
      </c>
      <c r="E548" s="23">
        <v>1</v>
      </c>
      <c r="F548" s="62"/>
      <c r="G548" s="62"/>
      <c r="H548" s="54">
        <f t="shared" si="16"/>
        <v>0</v>
      </c>
      <c r="I548" s="31"/>
      <c r="J548" s="8"/>
      <c r="K548" s="27">
        <v>13598</v>
      </c>
      <c r="L548" s="29">
        <f t="shared" si="17"/>
        <v>0</v>
      </c>
    </row>
    <row r="549" spans="1:13" ht="14.25" customHeight="1">
      <c r="A549" s="61" t="s">
        <v>93</v>
      </c>
      <c r="B549" s="61"/>
      <c r="C549" s="61"/>
      <c r="D549" s="25" t="s">
        <v>60</v>
      </c>
      <c r="E549" s="23">
        <v>1</v>
      </c>
      <c r="F549" s="62"/>
      <c r="G549" s="62"/>
      <c r="H549" s="54">
        <f t="shared" si="16"/>
        <v>0</v>
      </c>
      <c r="I549" s="31"/>
      <c r="J549" s="8"/>
      <c r="K549" s="27">
        <v>13598</v>
      </c>
      <c r="L549" s="29">
        <f t="shared" si="17"/>
        <v>0</v>
      </c>
    </row>
    <row r="550" spans="1:13" ht="14.25" customHeight="1">
      <c r="A550" s="61" t="s">
        <v>64</v>
      </c>
      <c r="B550" s="61"/>
      <c r="C550" s="61"/>
      <c r="D550" s="25" t="s">
        <v>60</v>
      </c>
      <c r="E550" s="23">
        <v>1</v>
      </c>
      <c r="F550" s="62"/>
      <c r="G550" s="62"/>
      <c r="H550" s="54">
        <f t="shared" si="16"/>
        <v>0</v>
      </c>
      <c r="I550" s="31"/>
      <c r="J550" s="8"/>
      <c r="K550" s="27">
        <v>95182</v>
      </c>
      <c r="L550" s="29">
        <f t="shared" si="17"/>
        <v>0</v>
      </c>
    </row>
    <row r="551" spans="1:13" ht="14.25" customHeight="1">
      <c r="A551" s="61" t="s">
        <v>65</v>
      </c>
      <c r="B551" s="61"/>
      <c r="C551" s="61"/>
      <c r="D551" s="25" t="s">
        <v>60</v>
      </c>
      <c r="E551" s="23">
        <v>1</v>
      </c>
      <c r="F551" s="62"/>
      <c r="G551" s="62"/>
      <c r="H551" s="54">
        <f t="shared" si="16"/>
        <v>0</v>
      </c>
      <c r="I551" s="31"/>
      <c r="J551" s="8"/>
      <c r="K551" s="27">
        <v>4513</v>
      </c>
      <c r="L551" s="29">
        <f t="shared" si="17"/>
        <v>0</v>
      </c>
    </row>
    <row r="552" spans="1:13" ht="14.25" customHeight="1" thickBot="1">
      <c r="A552" s="61" t="s">
        <v>66</v>
      </c>
      <c r="B552" s="61"/>
      <c r="C552" s="61"/>
      <c r="D552" s="25" t="s">
        <v>60</v>
      </c>
      <c r="E552" s="23">
        <v>1</v>
      </c>
      <c r="F552" s="62"/>
      <c r="G552" s="62"/>
      <c r="H552" s="54">
        <f t="shared" si="16"/>
        <v>0</v>
      </c>
      <c r="I552" s="31"/>
      <c r="J552" s="8"/>
      <c r="K552" s="27">
        <v>74332</v>
      </c>
      <c r="L552" s="29">
        <f t="shared" si="17"/>
        <v>0</v>
      </c>
      <c r="M552" s="1" t="s">
        <v>97</v>
      </c>
    </row>
    <row r="553" spans="1:13" ht="14.25" customHeight="1">
      <c r="A553" s="77" t="s">
        <v>46</v>
      </c>
      <c r="B553" s="67"/>
      <c r="C553" s="68"/>
      <c r="D553" s="11"/>
      <c r="E553" s="18"/>
      <c r="F553" s="78"/>
      <c r="G553" s="79"/>
      <c r="H553" s="78"/>
      <c r="I553" s="79"/>
      <c r="J553" s="12"/>
      <c r="K553" s="27" t="s">
        <v>68</v>
      </c>
      <c r="L553" s="29">
        <f>SUM(L530:L552)</f>
        <v>66080</v>
      </c>
      <c r="M553" s="4">
        <f>ROUND(L553/L554,5)</f>
        <v>4.233E-2</v>
      </c>
    </row>
    <row r="554" spans="1:13" ht="14.25" customHeight="1">
      <c r="A554" s="69" t="s">
        <v>47</v>
      </c>
      <c r="B554" s="70"/>
      <c r="C554" s="71"/>
      <c r="D554" s="9"/>
      <c r="E554" s="19"/>
      <c r="F554" s="30"/>
      <c r="G554" s="31"/>
      <c r="H554" s="30"/>
      <c r="I554" s="31"/>
      <c r="J554" s="13"/>
      <c r="K554" s="27" t="s">
        <v>67</v>
      </c>
      <c r="L554" s="29">
        <v>1560973</v>
      </c>
      <c r="M554" s="4"/>
    </row>
    <row r="555" spans="1:13" ht="14.25" customHeight="1" thickBot="1">
      <c r="A555" s="72" t="s">
        <v>48</v>
      </c>
      <c r="B555" s="73"/>
      <c r="C555" s="74"/>
      <c r="D555" s="14"/>
      <c r="E555" s="20"/>
      <c r="F555" s="75"/>
      <c r="G555" s="76"/>
      <c r="H555" s="75"/>
      <c r="I555" s="76"/>
      <c r="J555" s="15"/>
    </row>
    <row r="556" spans="1:13" ht="14.25" customHeight="1">
      <c r="A556" s="66" t="s">
        <v>23</v>
      </c>
      <c r="B556" s="67"/>
      <c r="C556" s="67"/>
      <c r="D556" s="67"/>
      <c r="E556" s="67"/>
      <c r="F556" s="67"/>
      <c r="G556" s="67"/>
      <c r="H556" s="67"/>
      <c r="I556" s="67"/>
      <c r="J556" s="68"/>
    </row>
    <row r="557" spans="1:13" ht="14.25" customHeight="1">
      <c r="A557" s="30" t="s">
        <v>24</v>
      </c>
      <c r="B557" s="32"/>
      <c r="C557" s="31"/>
      <c r="D557" s="8" t="s">
        <v>18</v>
      </c>
      <c r="E557" s="8" t="s">
        <v>25</v>
      </c>
      <c r="F557" s="30" t="s">
        <v>26</v>
      </c>
      <c r="G557" s="31"/>
      <c r="H557" s="30" t="s">
        <v>27</v>
      </c>
      <c r="I557" s="31"/>
      <c r="J557" s="8" t="s">
        <v>22</v>
      </c>
    </row>
    <row r="558" spans="1:13" ht="14.25" customHeight="1">
      <c r="A558" s="49"/>
      <c r="B558" s="50"/>
      <c r="C558" s="51"/>
      <c r="D558" s="8"/>
      <c r="E558" s="8"/>
      <c r="F558" s="30"/>
      <c r="G558" s="31"/>
      <c r="H558" s="30"/>
      <c r="I558" s="31"/>
      <c r="J558" s="8"/>
    </row>
    <row r="559" spans="1:13" ht="14.25" customHeight="1">
      <c r="A559" s="49"/>
      <c r="B559" s="50"/>
      <c r="C559" s="51"/>
      <c r="D559" s="8"/>
      <c r="E559" s="8"/>
      <c r="F559" s="30"/>
      <c r="G559" s="31"/>
      <c r="H559" s="30"/>
      <c r="I559" s="31"/>
      <c r="J559" s="8"/>
    </row>
    <row r="560" spans="1:13" ht="14.25" customHeight="1">
      <c r="A560" s="49" t="s">
        <v>28</v>
      </c>
      <c r="B560" s="50"/>
      <c r="C560" s="50"/>
      <c r="D560" s="50"/>
      <c r="E560" s="50"/>
      <c r="F560" s="50"/>
      <c r="G560" s="50"/>
      <c r="H560" s="50"/>
      <c r="I560" s="50"/>
      <c r="J560" s="51"/>
    </row>
    <row r="561" spans="1:27" ht="14.25" customHeight="1">
      <c r="A561" s="30" t="s">
        <v>29</v>
      </c>
      <c r="B561" s="31"/>
      <c r="C561" s="8" t="s">
        <v>30</v>
      </c>
      <c r="D561" s="8" t="s">
        <v>31</v>
      </c>
      <c r="E561" s="30" t="s">
        <v>32</v>
      </c>
      <c r="F561" s="31"/>
      <c r="G561" s="30" t="s">
        <v>26</v>
      </c>
      <c r="H561" s="31"/>
      <c r="I561" s="30" t="s">
        <v>27</v>
      </c>
      <c r="J561" s="31"/>
    </row>
    <row r="562" spans="1:27" ht="14.25" customHeight="1">
      <c r="A562" s="49" t="s">
        <v>63</v>
      </c>
      <c r="B562" s="51"/>
      <c r="C562" s="8">
        <v>2</v>
      </c>
      <c r="D562" s="8">
        <v>18</v>
      </c>
      <c r="E562" s="30"/>
      <c r="F562" s="31"/>
      <c r="G562" s="30"/>
      <c r="H562" s="31"/>
      <c r="I562" s="30"/>
      <c r="J562" s="31"/>
    </row>
    <row r="563" spans="1:27" ht="14.25" customHeight="1">
      <c r="A563" s="49" t="s">
        <v>104</v>
      </c>
      <c r="B563" s="51"/>
      <c r="C563" s="8">
        <v>1</v>
      </c>
      <c r="D563" s="8">
        <v>1</v>
      </c>
      <c r="E563" s="30"/>
      <c r="F563" s="31"/>
      <c r="G563" s="30"/>
      <c r="H563" s="31"/>
      <c r="I563" s="30"/>
      <c r="J563" s="31"/>
    </row>
    <row r="564" spans="1:27" ht="14.25" customHeight="1">
      <c r="A564" s="41" t="s">
        <v>45</v>
      </c>
      <c r="B564" s="42"/>
      <c r="C564" s="42"/>
      <c r="D564" s="42"/>
      <c r="E564" s="42"/>
      <c r="F564" s="42"/>
      <c r="G564" s="42"/>
      <c r="H564" s="42"/>
      <c r="I564" s="42"/>
      <c r="J564" s="43"/>
    </row>
    <row r="565" spans="1:27" ht="14.25" customHeight="1">
      <c r="A565" s="44"/>
      <c r="B565" s="45"/>
      <c r="C565" s="45"/>
      <c r="D565" s="45"/>
      <c r="E565" s="45"/>
      <c r="F565" s="45"/>
      <c r="G565" s="45"/>
      <c r="H565" s="45"/>
      <c r="I565" s="45"/>
      <c r="J565" s="46"/>
    </row>
    <row r="566" spans="1:27" ht="14.25" customHeight="1">
      <c r="A566" s="80" t="s">
        <v>52</v>
      </c>
      <c r="B566" s="81"/>
      <c r="C566" s="81"/>
      <c r="D566" s="81"/>
      <c r="E566" s="81"/>
      <c r="F566" s="81"/>
      <c r="G566" s="81"/>
      <c r="H566" s="81"/>
      <c r="I566" s="81"/>
      <c r="J566" s="82"/>
      <c r="M566" s="4"/>
      <c r="N566" s="5"/>
      <c r="O566" s="6"/>
      <c r="S566" s="6"/>
      <c r="W566" s="6"/>
      <c r="AA566" s="6"/>
    </row>
    <row r="567" spans="1:27" ht="14.25" customHeight="1">
      <c r="A567" s="83"/>
      <c r="B567" s="84"/>
      <c r="C567" s="84"/>
      <c r="D567" s="84"/>
      <c r="E567" s="84"/>
      <c r="F567" s="84"/>
      <c r="G567" s="84"/>
      <c r="H567" s="84"/>
      <c r="I567" s="84"/>
      <c r="J567" s="85"/>
    </row>
    <row r="568" spans="1:27" ht="14.25" customHeight="1">
      <c r="A568" s="83"/>
      <c r="B568" s="84"/>
      <c r="C568" s="84"/>
      <c r="D568" s="84"/>
      <c r="E568" s="84"/>
      <c r="F568" s="84"/>
      <c r="G568" s="84"/>
      <c r="H568" s="84"/>
      <c r="I568" s="84"/>
      <c r="J568" s="85"/>
    </row>
    <row r="569" spans="1:27" ht="14.25" customHeight="1">
      <c r="A569" s="83"/>
      <c r="B569" s="84"/>
      <c r="C569" s="84"/>
      <c r="D569" s="84"/>
      <c r="E569" s="84"/>
      <c r="F569" s="84"/>
      <c r="G569" s="84"/>
      <c r="H569" s="84"/>
      <c r="I569" s="84"/>
      <c r="J569" s="85"/>
    </row>
    <row r="570" spans="1:27" ht="14.25" customHeight="1">
      <c r="A570" s="83"/>
      <c r="B570" s="84"/>
      <c r="C570" s="84"/>
      <c r="D570" s="84"/>
      <c r="E570" s="84"/>
      <c r="F570" s="84"/>
      <c r="G570" s="84"/>
      <c r="H570" s="84"/>
      <c r="I570" s="84"/>
      <c r="J570" s="85"/>
    </row>
    <row r="571" spans="1:27" ht="14.25" customHeight="1">
      <c r="A571" s="83"/>
      <c r="B571" s="84"/>
      <c r="C571" s="84"/>
      <c r="D571" s="84"/>
      <c r="E571" s="84"/>
      <c r="F571" s="84"/>
      <c r="G571" s="84"/>
      <c r="H571" s="84"/>
      <c r="I571" s="84"/>
      <c r="J571" s="85"/>
    </row>
    <row r="572" spans="1:27" ht="14.25" customHeight="1">
      <c r="A572" s="86"/>
      <c r="B572" s="87"/>
      <c r="C572" s="87"/>
      <c r="D572" s="87"/>
      <c r="E572" s="87"/>
      <c r="F572" s="87"/>
      <c r="G572" s="87"/>
      <c r="H572" s="87"/>
      <c r="I572" s="87"/>
      <c r="J572" s="88"/>
    </row>
    <row r="573" spans="1:27" ht="14.25" customHeight="1">
      <c r="A573" s="89" t="s">
        <v>33</v>
      </c>
      <c r="B573" s="90"/>
      <c r="C573" s="90"/>
      <c r="D573" s="90"/>
      <c r="E573" s="90"/>
      <c r="F573" s="90"/>
      <c r="G573" s="90"/>
      <c r="H573" s="90"/>
      <c r="I573" s="90"/>
      <c r="J573" s="91"/>
    </row>
    <row r="574" spans="1:27" ht="14.25" customHeight="1">
      <c r="A574" s="92"/>
      <c r="B574" s="93"/>
      <c r="C574" s="93"/>
      <c r="D574" s="93"/>
      <c r="E574" s="93"/>
      <c r="F574" s="93"/>
      <c r="G574" s="93"/>
      <c r="H574" s="93"/>
      <c r="I574" s="93"/>
      <c r="J574" s="94"/>
    </row>
    <row r="575" spans="1:27" ht="14.25" customHeight="1">
      <c r="A575" s="89" t="s">
        <v>34</v>
      </c>
      <c r="B575" s="90"/>
      <c r="C575" s="90"/>
      <c r="D575" s="90"/>
      <c r="E575" s="90"/>
      <c r="F575" s="90"/>
      <c r="G575" s="90"/>
      <c r="H575" s="90"/>
      <c r="I575" s="90"/>
      <c r="J575" s="91"/>
    </row>
    <row r="576" spans="1:27" ht="14.25" customHeight="1">
      <c r="A576" s="92"/>
      <c r="B576" s="93"/>
      <c r="C576" s="93"/>
      <c r="D576" s="93"/>
      <c r="E576" s="93"/>
      <c r="F576" s="93"/>
      <c r="G576" s="93"/>
      <c r="H576" s="93"/>
      <c r="I576" s="93"/>
      <c r="J576" s="94"/>
    </row>
    <row r="577" spans="1:10" ht="14.25" customHeight="1">
      <c r="A577" s="80" t="s">
        <v>103</v>
      </c>
      <c r="B577" s="90"/>
      <c r="C577" s="90"/>
      <c r="D577" s="90"/>
      <c r="E577" s="90"/>
      <c r="F577" s="90"/>
      <c r="G577" s="90"/>
      <c r="H577" s="90"/>
      <c r="I577" s="90"/>
      <c r="J577" s="91"/>
    </row>
    <row r="578" spans="1:10" ht="14.25" customHeight="1">
      <c r="A578" s="92"/>
      <c r="B578" s="93"/>
      <c r="C578" s="93"/>
      <c r="D578" s="93"/>
      <c r="E578" s="93"/>
      <c r="F578" s="93"/>
      <c r="G578" s="93"/>
      <c r="H578" s="93"/>
      <c r="I578" s="93"/>
      <c r="J578" s="94"/>
    </row>
    <row r="579" spans="1:10" ht="14.25" customHeight="1">
      <c r="A579" s="89" t="s">
        <v>35</v>
      </c>
      <c r="B579" s="90"/>
      <c r="C579" s="90"/>
      <c r="D579" s="90"/>
      <c r="E579" s="90"/>
      <c r="F579" s="90"/>
      <c r="G579" s="90"/>
      <c r="H579" s="90"/>
      <c r="I579" s="90"/>
      <c r="J579" s="91"/>
    </row>
    <row r="580" spans="1:10" ht="14.25" customHeight="1">
      <c r="A580" s="92"/>
      <c r="B580" s="93"/>
      <c r="C580" s="93"/>
      <c r="D580" s="93"/>
      <c r="E580" s="93"/>
      <c r="F580" s="93"/>
      <c r="G580" s="93"/>
      <c r="H580" s="93"/>
      <c r="I580" s="93"/>
      <c r="J580" s="94"/>
    </row>
    <row r="581" spans="1:10" ht="14.25" customHeight="1">
      <c r="A581" s="99" t="s">
        <v>36</v>
      </c>
      <c r="B581" s="99"/>
      <c r="C581" s="99"/>
      <c r="D581" s="99"/>
      <c r="E581" s="99"/>
      <c r="F581" s="99"/>
      <c r="G581" s="99"/>
      <c r="H581" s="99"/>
      <c r="I581" s="99"/>
      <c r="J581" s="99"/>
    </row>
    <row r="582" spans="1:10" ht="14.25" customHeight="1">
      <c r="A582" s="95" t="s">
        <v>37</v>
      </c>
      <c r="B582" s="95"/>
      <c r="C582" s="95"/>
      <c r="D582" s="95"/>
      <c r="E582" s="95"/>
      <c r="F582" s="95"/>
      <c r="G582" s="95"/>
      <c r="H582" s="95"/>
      <c r="I582" s="95"/>
      <c r="J582" s="95"/>
    </row>
    <row r="583" spans="1:10" ht="14.25" customHeight="1">
      <c r="A583" s="95" t="s">
        <v>38</v>
      </c>
      <c r="B583" s="95"/>
      <c r="C583" s="95"/>
      <c r="D583" s="95"/>
      <c r="E583" s="95"/>
      <c r="F583" s="95"/>
      <c r="G583" s="95"/>
      <c r="H583" s="95"/>
      <c r="I583" s="95"/>
      <c r="J583" s="95"/>
    </row>
    <row r="584" spans="1:10" ht="14.25" customHeight="1">
      <c r="A584" s="95" t="s">
        <v>39</v>
      </c>
      <c r="B584" s="95"/>
      <c r="C584" s="95"/>
      <c r="D584" s="95"/>
      <c r="E584" s="95"/>
      <c r="F584" s="95"/>
      <c r="G584" s="95"/>
      <c r="H584" s="95"/>
      <c r="I584" s="95"/>
      <c r="J584" s="95"/>
    </row>
    <row r="585" spans="1:10" ht="14.25" customHeight="1">
      <c r="A585" s="95" t="s">
        <v>40</v>
      </c>
      <c r="B585" s="95"/>
      <c r="C585" s="95"/>
      <c r="D585" s="95"/>
      <c r="E585" s="95"/>
      <c r="F585" s="95"/>
      <c r="G585" s="95"/>
      <c r="H585" s="95"/>
      <c r="I585" s="95"/>
      <c r="J585" s="95"/>
    </row>
    <row r="586" spans="1:10" ht="14.25" customHeight="1">
      <c r="A586" s="95" t="s">
        <v>41</v>
      </c>
      <c r="B586" s="95"/>
      <c r="C586" s="95"/>
      <c r="D586" s="95"/>
      <c r="E586" s="95"/>
      <c r="F586" s="95"/>
      <c r="G586" s="95"/>
      <c r="H586" s="95"/>
      <c r="I586" s="95"/>
      <c r="J586" s="95"/>
    </row>
    <row r="587" spans="1:10" ht="14.25" customHeight="1">
      <c r="A587" s="95" t="s">
        <v>42</v>
      </c>
      <c r="B587" s="95"/>
      <c r="C587" s="95"/>
      <c r="D587" s="95"/>
      <c r="E587" s="95"/>
      <c r="F587" s="95"/>
      <c r="G587" s="95"/>
      <c r="H587" s="95"/>
      <c r="I587" s="95"/>
      <c r="J587" s="95"/>
    </row>
    <row r="588" spans="1:10" ht="14.25" customHeight="1">
      <c r="A588" s="100" t="s">
        <v>43</v>
      </c>
      <c r="B588" s="100"/>
      <c r="C588" s="100"/>
      <c r="D588" s="100"/>
      <c r="E588" s="100"/>
      <c r="F588" s="100"/>
      <c r="G588" s="100"/>
      <c r="H588" s="100"/>
      <c r="I588" s="100"/>
      <c r="J588" s="100"/>
    </row>
    <row r="589" spans="1:10" ht="14.25" customHeight="1">
      <c r="A589" s="95" t="s">
        <v>44</v>
      </c>
      <c r="B589" s="95"/>
      <c r="C589" s="95"/>
      <c r="D589" s="95"/>
      <c r="E589" s="95"/>
      <c r="F589" s="95"/>
      <c r="G589" s="95"/>
      <c r="H589" s="95"/>
      <c r="I589" s="95"/>
      <c r="J589" s="95"/>
    </row>
    <row r="590" spans="1:10" ht="29.25" customHeight="1">
      <c r="A590" s="96" t="s">
        <v>51</v>
      </c>
      <c r="B590" s="96"/>
      <c r="C590" s="96"/>
      <c r="D590" s="96"/>
      <c r="E590" s="96"/>
      <c r="F590" s="96"/>
      <c r="G590" s="96"/>
      <c r="H590" s="96"/>
      <c r="I590" s="96"/>
      <c r="J590" s="96"/>
    </row>
    <row r="591" spans="1:10" ht="14.25" customHeight="1">
      <c r="A591" s="101" t="s">
        <v>49</v>
      </c>
      <c r="B591" s="101"/>
      <c r="C591" s="101"/>
      <c r="D591" s="101"/>
      <c r="E591" s="101"/>
      <c r="F591" s="101"/>
      <c r="G591" s="101"/>
      <c r="H591" s="101"/>
      <c r="I591" s="101"/>
      <c r="J591" s="101"/>
    </row>
    <row r="592" spans="1:10" ht="14.25" customHeight="1"/>
    <row r="593" spans="1:13" ht="14.25" customHeight="1">
      <c r="A593" s="33" t="s">
        <v>0</v>
      </c>
      <c r="B593" s="33"/>
      <c r="C593" s="33"/>
      <c r="D593" s="33"/>
      <c r="E593" s="33"/>
      <c r="F593" s="33"/>
      <c r="G593" s="33"/>
      <c r="H593" s="33"/>
      <c r="I593" s="33"/>
      <c r="J593" s="33"/>
    </row>
    <row r="594" spans="1:13">
      <c r="A594" s="2" t="s">
        <v>1</v>
      </c>
      <c r="B594" s="3" t="str">
        <f>"GD-"&amp;IF(LEN(E598)=2,TEXT(LEFT(E598,1),"000"),IF(LEN(E598)=3,TEXT(LEFT(E598,2),"000"),TEXT(LEFT(E598,3),"000")))</f>
        <v>GD-009</v>
      </c>
      <c r="C594" s="2"/>
      <c r="D594" s="2"/>
      <c r="E594" s="2"/>
      <c r="F594" s="2"/>
      <c r="G594" s="2"/>
      <c r="H594" s="2"/>
      <c r="I594" s="2"/>
      <c r="J594" s="2"/>
    </row>
    <row r="595" spans="1:13" ht="14.25" customHeight="1">
      <c r="A595" s="34" t="s">
        <v>102</v>
      </c>
      <c r="B595" s="34"/>
      <c r="C595" s="34"/>
      <c r="D595" s="34"/>
      <c r="E595" s="34"/>
      <c r="F595" s="35" t="s">
        <v>3</v>
      </c>
      <c r="G595" s="35"/>
      <c r="H595" s="36">
        <f>H521+1</f>
        <v>45650</v>
      </c>
      <c r="I595" s="36"/>
      <c r="J595" s="7" t="str">
        <f>"("&amp;TEXT(H595,"[$-404]aaaa;@")&amp;")"</f>
        <v>(星期二)</v>
      </c>
    </row>
    <row r="596" spans="1:13" ht="14.25" customHeight="1">
      <c r="A596" s="37" t="s">
        <v>4</v>
      </c>
      <c r="B596" s="38"/>
      <c r="C596" s="41" t="str">
        <f>C522</f>
        <v>雲林縣成功國小思源堂整修工程</v>
      </c>
      <c r="D596" s="42"/>
      <c r="E596" s="43"/>
      <c r="F596" s="37" t="s">
        <v>5</v>
      </c>
      <c r="G596" s="38"/>
      <c r="H596" s="37" t="str">
        <f>H522</f>
        <v>正郁室內裝修</v>
      </c>
      <c r="I596" s="47"/>
      <c r="J596" s="38"/>
    </row>
    <row r="597" spans="1:13" ht="14.25" customHeight="1">
      <c r="A597" s="39"/>
      <c r="B597" s="40"/>
      <c r="C597" s="44"/>
      <c r="D597" s="45"/>
      <c r="E597" s="46"/>
      <c r="F597" s="39"/>
      <c r="G597" s="40"/>
      <c r="H597" s="39"/>
      <c r="I597" s="48"/>
      <c r="J597" s="40"/>
    </row>
    <row r="598" spans="1:13" ht="14.25" customHeight="1">
      <c r="A598" s="8" t="s">
        <v>7</v>
      </c>
      <c r="B598" s="8" t="str">
        <f>B524</f>
        <v>60天</v>
      </c>
      <c r="C598" s="30" t="s">
        <v>8</v>
      </c>
      <c r="D598" s="31"/>
      <c r="E598" s="8" t="str">
        <f>IF(LEN(E524)&gt;2,(LEFT(E524,2)+1),(LEFT(E524,1)+1))&amp;"天"</f>
        <v>9天</v>
      </c>
      <c r="F598" s="8" t="s">
        <v>9</v>
      </c>
      <c r="G598" s="8" t="str">
        <f>IF(LEN(E598)&gt;2,LEFT(B598,2)-LEFT(E598,2),LEFT(B598,2)-LEFT(E598,1))&amp;"天"</f>
        <v>51天</v>
      </c>
      <c r="H598" s="30" t="s">
        <v>10</v>
      </c>
      <c r="I598" s="31"/>
      <c r="J598" s="8" t="str">
        <f>J524</f>
        <v>0天</v>
      </c>
    </row>
    <row r="599" spans="1:13" ht="14.25" customHeight="1">
      <c r="A599" s="30" t="s">
        <v>12</v>
      </c>
      <c r="B599" s="31"/>
      <c r="C599" s="30" t="str">
        <f>C525</f>
        <v>113年12月16日</v>
      </c>
      <c r="D599" s="32"/>
      <c r="E599" s="31"/>
      <c r="F599" s="30" t="s">
        <v>13</v>
      </c>
      <c r="G599" s="31"/>
      <c r="H599" s="30" t="str">
        <f>H525</f>
        <v>114年02月13日</v>
      </c>
      <c r="I599" s="32"/>
      <c r="J599" s="31"/>
    </row>
    <row r="600" spans="1:13" ht="14.25" customHeight="1">
      <c r="A600" s="30" t="s">
        <v>14</v>
      </c>
      <c r="B600" s="31"/>
      <c r="C600" s="57">
        <f>(5%/12)*9</f>
        <v>3.7499999999999999E-2</v>
      </c>
      <c r="D600" s="58"/>
      <c r="E600" s="59"/>
      <c r="F600" s="30" t="s">
        <v>15</v>
      </c>
      <c r="G600" s="31"/>
      <c r="H600" s="57">
        <f>ROUND(L627/L628,5)+H526</f>
        <v>0.20894000000000001</v>
      </c>
      <c r="I600" s="58"/>
      <c r="J600" s="59"/>
      <c r="K600" s="26" t="s">
        <v>69</v>
      </c>
      <c r="L600" s="22"/>
      <c r="M600" s="4"/>
    </row>
    <row r="601" spans="1:13" ht="14.25" customHeight="1">
      <c r="A601" s="49" t="s">
        <v>16</v>
      </c>
      <c r="B601" s="50"/>
      <c r="C601" s="50"/>
      <c r="D601" s="50"/>
      <c r="E601" s="50"/>
      <c r="F601" s="50"/>
      <c r="G601" s="50"/>
      <c r="H601" s="50"/>
      <c r="I601" s="50"/>
      <c r="J601" s="51"/>
      <c r="L601" s="22"/>
      <c r="M601" s="4"/>
    </row>
    <row r="602" spans="1:13" ht="14.25" customHeight="1">
      <c r="A602" s="30" t="s">
        <v>17</v>
      </c>
      <c r="B602" s="32"/>
      <c r="C602" s="31"/>
      <c r="D602" s="8" t="s">
        <v>18</v>
      </c>
      <c r="E602" s="17" t="s">
        <v>19</v>
      </c>
      <c r="F602" s="30" t="s">
        <v>20</v>
      </c>
      <c r="G602" s="31"/>
      <c r="H602" s="30" t="s">
        <v>21</v>
      </c>
      <c r="I602" s="31"/>
      <c r="J602" s="8" t="s">
        <v>22</v>
      </c>
      <c r="L602" s="22"/>
      <c r="M602" s="4"/>
    </row>
    <row r="603" spans="1:13" ht="14.25" customHeight="1">
      <c r="A603" s="49" t="s">
        <v>56</v>
      </c>
      <c r="B603" s="50"/>
      <c r="C603" s="50"/>
      <c r="D603" s="50"/>
      <c r="E603" s="50"/>
      <c r="F603" s="50"/>
      <c r="G603" s="50"/>
      <c r="H603" s="50"/>
      <c r="I603" s="50"/>
      <c r="J603" s="51"/>
    </row>
    <row r="604" spans="1:13" ht="14.25" customHeight="1">
      <c r="A604" s="55" t="s">
        <v>57</v>
      </c>
      <c r="B604" s="50"/>
      <c r="C604" s="51"/>
      <c r="D604" s="24" t="s">
        <v>59</v>
      </c>
      <c r="E604" s="23">
        <v>1</v>
      </c>
      <c r="F604" s="54"/>
      <c r="G604" s="56"/>
      <c r="H604" s="54">
        <f t="shared" ref="H604:H626" si="18">F604+H530</f>
        <v>1</v>
      </c>
      <c r="I604" s="31"/>
      <c r="J604" s="16"/>
      <c r="K604" s="27">
        <v>800</v>
      </c>
      <c r="L604" s="29">
        <f t="shared" ref="L604:L626" si="19">ROUND(K604*F604,0)</f>
        <v>0</v>
      </c>
    </row>
    <row r="605" spans="1:13" ht="14.25" customHeight="1">
      <c r="A605" s="55" t="s">
        <v>75</v>
      </c>
      <c r="B605" s="50"/>
      <c r="C605" s="51"/>
      <c r="D605" s="24" t="s">
        <v>59</v>
      </c>
      <c r="E605" s="23">
        <v>1</v>
      </c>
      <c r="F605" s="52"/>
      <c r="G605" s="53"/>
      <c r="H605" s="54">
        <f t="shared" si="18"/>
        <v>1</v>
      </c>
      <c r="I605" s="31"/>
      <c r="J605" s="8"/>
      <c r="K605" s="27">
        <v>500</v>
      </c>
      <c r="L605" s="29">
        <f t="shared" si="19"/>
        <v>0</v>
      </c>
    </row>
    <row r="606" spans="1:13" ht="14.25" customHeight="1">
      <c r="A606" s="49" t="s">
        <v>58</v>
      </c>
      <c r="B606" s="50"/>
      <c r="C606" s="51"/>
      <c r="D606" s="24" t="s">
        <v>61</v>
      </c>
      <c r="E606" s="23">
        <v>51</v>
      </c>
      <c r="F606" s="52"/>
      <c r="G606" s="53"/>
      <c r="H606" s="54">
        <f t="shared" si="18"/>
        <v>51</v>
      </c>
      <c r="I606" s="31"/>
      <c r="J606" s="10"/>
      <c r="K606" s="27">
        <v>50</v>
      </c>
      <c r="L606" s="29">
        <f t="shared" si="19"/>
        <v>0</v>
      </c>
    </row>
    <row r="607" spans="1:13" ht="14.25" customHeight="1">
      <c r="A607" s="55" t="s">
        <v>76</v>
      </c>
      <c r="B607" s="50"/>
      <c r="C607" s="51"/>
      <c r="D607" s="24" t="s">
        <v>60</v>
      </c>
      <c r="E607" s="23">
        <v>1</v>
      </c>
      <c r="F607" s="52"/>
      <c r="G607" s="53"/>
      <c r="H607" s="54">
        <f t="shared" si="18"/>
        <v>0</v>
      </c>
      <c r="I607" s="31"/>
      <c r="J607" s="16"/>
      <c r="K607" s="27">
        <v>3000</v>
      </c>
      <c r="L607" s="29">
        <f t="shared" si="19"/>
        <v>0</v>
      </c>
    </row>
    <row r="608" spans="1:13" ht="14.25" customHeight="1">
      <c r="A608" s="55" t="s">
        <v>77</v>
      </c>
      <c r="B608" s="50"/>
      <c r="C608" s="51"/>
      <c r="D608" s="25" t="s">
        <v>60</v>
      </c>
      <c r="E608" s="23">
        <v>1</v>
      </c>
      <c r="F608" s="52"/>
      <c r="G608" s="53"/>
      <c r="H608" s="54">
        <f t="shared" si="18"/>
        <v>0</v>
      </c>
      <c r="I608" s="31"/>
      <c r="J608" s="8"/>
      <c r="K608" s="27">
        <v>3000</v>
      </c>
      <c r="L608" s="29">
        <f t="shared" si="19"/>
        <v>0</v>
      </c>
    </row>
    <row r="609" spans="1:12" ht="28.5" customHeight="1">
      <c r="A609" s="55" t="s">
        <v>78</v>
      </c>
      <c r="B609" s="64"/>
      <c r="C609" s="65"/>
      <c r="D609" s="25" t="s">
        <v>62</v>
      </c>
      <c r="E609" s="23">
        <v>328</v>
      </c>
      <c r="F609" s="30">
        <v>160.80000000000001</v>
      </c>
      <c r="G609" s="63"/>
      <c r="H609" s="54">
        <f t="shared" si="18"/>
        <v>328</v>
      </c>
      <c r="I609" s="31"/>
      <c r="J609" s="8"/>
      <c r="K609" s="28">
        <v>100</v>
      </c>
      <c r="L609" s="29">
        <f t="shared" si="19"/>
        <v>16080</v>
      </c>
    </row>
    <row r="610" spans="1:12" ht="14.25" customHeight="1">
      <c r="A610" s="60" t="s">
        <v>79</v>
      </c>
      <c r="B610" s="61"/>
      <c r="C610" s="61"/>
      <c r="D610" s="25" t="s">
        <v>61</v>
      </c>
      <c r="E610" s="23">
        <v>21</v>
      </c>
      <c r="F610" s="62"/>
      <c r="G610" s="62"/>
      <c r="H610" s="54">
        <f t="shared" si="18"/>
        <v>6</v>
      </c>
      <c r="I610" s="31"/>
      <c r="J610" s="8"/>
      <c r="K610" s="27">
        <v>2500</v>
      </c>
      <c r="L610" s="29">
        <f t="shared" si="19"/>
        <v>0</v>
      </c>
    </row>
    <row r="611" spans="1:12" ht="28.5" customHeight="1">
      <c r="A611" s="55" t="s">
        <v>80</v>
      </c>
      <c r="B611" s="64"/>
      <c r="C611" s="65"/>
      <c r="D611" s="25" t="s">
        <v>81</v>
      </c>
      <c r="E611" s="23">
        <v>5</v>
      </c>
      <c r="F611" s="30"/>
      <c r="G611" s="63"/>
      <c r="H611" s="54">
        <f t="shared" si="18"/>
        <v>0</v>
      </c>
      <c r="I611" s="31"/>
      <c r="J611" s="8"/>
      <c r="K611" s="27">
        <v>5000</v>
      </c>
      <c r="L611" s="29">
        <f t="shared" si="19"/>
        <v>0</v>
      </c>
    </row>
    <row r="612" spans="1:12" ht="14.25" customHeight="1">
      <c r="A612" s="60" t="s">
        <v>82</v>
      </c>
      <c r="B612" s="61"/>
      <c r="C612" s="61"/>
      <c r="D612" s="25" t="s">
        <v>62</v>
      </c>
      <c r="E612" s="23">
        <v>218</v>
      </c>
      <c r="F612" s="62"/>
      <c r="G612" s="62"/>
      <c r="H612" s="54">
        <f t="shared" si="18"/>
        <v>0</v>
      </c>
      <c r="I612" s="31"/>
      <c r="J612" s="8"/>
      <c r="K612" s="27">
        <v>1000</v>
      </c>
      <c r="L612" s="29">
        <f t="shared" si="19"/>
        <v>0</v>
      </c>
    </row>
    <row r="613" spans="1:12" ht="14.25" customHeight="1">
      <c r="A613" s="61" t="s">
        <v>83</v>
      </c>
      <c r="B613" s="61"/>
      <c r="C613" s="61"/>
      <c r="D613" s="25" t="s">
        <v>81</v>
      </c>
      <c r="E613" s="23">
        <v>28</v>
      </c>
      <c r="F613" s="30"/>
      <c r="G613" s="63"/>
      <c r="H613" s="54">
        <f t="shared" si="18"/>
        <v>0</v>
      </c>
      <c r="I613" s="31"/>
      <c r="J613" s="8"/>
      <c r="K613" s="27">
        <v>2000</v>
      </c>
      <c r="L613" s="29">
        <f t="shared" si="19"/>
        <v>0</v>
      </c>
    </row>
    <row r="614" spans="1:12" ht="28.5" customHeight="1">
      <c r="A614" s="60" t="s">
        <v>84</v>
      </c>
      <c r="B614" s="61"/>
      <c r="C614" s="61"/>
      <c r="D614" s="25" t="s">
        <v>62</v>
      </c>
      <c r="E614" s="23">
        <v>245</v>
      </c>
      <c r="F614" s="62"/>
      <c r="G614" s="62"/>
      <c r="H614" s="54">
        <f t="shared" si="18"/>
        <v>0</v>
      </c>
      <c r="I614" s="31"/>
      <c r="J614" s="8"/>
      <c r="K614" s="27">
        <v>1500</v>
      </c>
      <c r="L614" s="29">
        <f t="shared" si="19"/>
        <v>0</v>
      </c>
    </row>
    <row r="615" spans="1:12" ht="14.25" customHeight="1">
      <c r="A615" s="61" t="s">
        <v>85</v>
      </c>
      <c r="B615" s="61"/>
      <c r="C615" s="61"/>
      <c r="D615" s="25" t="s">
        <v>62</v>
      </c>
      <c r="E615" s="23">
        <v>83</v>
      </c>
      <c r="F615" s="30"/>
      <c r="G615" s="63"/>
      <c r="H615" s="54">
        <f t="shared" si="18"/>
        <v>0</v>
      </c>
      <c r="I615" s="31"/>
      <c r="J615" s="8"/>
      <c r="K615" s="27">
        <v>1000</v>
      </c>
      <c r="L615" s="29">
        <f t="shared" si="19"/>
        <v>0</v>
      </c>
    </row>
    <row r="616" spans="1:12" ht="30" customHeight="1">
      <c r="A616" s="60" t="s">
        <v>86</v>
      </c>
      <c r="B616" s="61"/>
      <c r="C616" s="61"/>
      <c r="D616" s="25" t="s">
        <v>62</v>
      </c>
      <c r="E616" s="23">
        <v>164</v>
      </c>
      <c r="F616" s="62"/>
      <c r="G616" s="62"/>
      <c r="H616" s="54">
        <f t="shared" si="18"/>
        <v>0</v>
      </c>
      <c r="I616" s="31"/>
      <c r="J616" s="8"/>
      <c r="K616" s="27">
        <v>500</v>
      </c>
      <c r="L616" s="29">
        <f t="shared" si="19"/>
        <v>0</v>
      </c>
    </row>
    <row r="617" spans="1:12" ht="14.25" customHeight="1">
      <c r="A617" s="60" t="s">
        <v>87</v>
      </c>
      <c r="B617" s="61"/>
      <c r="C617" s="61"/>
      <c r="D617" s="25" t="s">
        <v>62</v>
      </c>
      <c r="E617" s="23">
        <v>37</v>
      </c>
      <c r="F617" s="30"/>
      <c r="G617" s="63"/>
      <c r="H617" s="54">
        <f t="shared" si="18"/>
        <v>37</v>
      </c>
      <c r="I617" s="31"/>
      <c r="J617" s="8"/>
      <c r="K617" s="27">
        <v>1000</v>
      </c>
      <c r="L617" s="29">
        <f t="shared" si="19"/>
        <v>0</v>
      </c>
    </row>
    <row r="618" spans="1:12" ht="14.25" customHeight="1">
      <c r="A618" s="61" t="s">
        <v>88</v>
      </c>
      <c r="B618" s="61"/>
      <c r="C618" s="61"/>
      <c r="D618" s="25" t="s">
        <v>60</v>
      </c>
      <c r="E618" s="23">
        <v>1</v>
      </c>
      <c r="F618" s="62"/>
      <c r="G618" s="62"/>
      <c r="H618" s="54">
        <f t="shared" si="18"/>
        <v>0.95</v>
      </c>
      <c r="I618" s="31"/>
      <c r="J618" s="8"/>
      <c r="K618" s="27">
        <v>250000</v>
      </c>
      <c r="L618" s="29">
        <f t="shared" si="19"/>
        <v>0</v>
      </c>
    </row>
    <row r="619" spans="1:12" ht="14.25" customHeight="1">
      <c r="A619" s="61" t="s">
        <v>89</v>
      </c>
      <c r="B619" s="61"/>
      <c r="C619" s="61"/>
      <c r="D619" s="25" t="s">
        <v>62</v>
      </c>
      <c r="E619" s="23">
        <v>81</v>
      </c>
      <c r="F619" s="30"/>
      <c r="G619" s="63"/>
      <c r="H619" s="54">
        <f t="shared" si="18"/>
        <v>0</v>
      </c>
      <c r="I619" s="31"/>
      <c r="J619" s="8"/>
      <c r="K619" s="27">
        <v>500</v>
      </c>
      <c r="L619" s="29">
        <f t="shared" si="19"/>
        <v>0</v>
      </c>
    </row>
    <row r="620" spans="1:12" ht="29.25" customHeight="1">
      <c r="A620" s="60" t="s">
        <v>90</v>
      </c>
      <c r="B620" s="61"/>
      <c r="C620" s="61"/>
      <c r="D620" s="25" t="s">
        <v>62</v>
      </c>
      <c r="E620" s="23">
        <v>42</v>
      </c>
      <c r="F620" s="62"/>
      <c r="G620" s="62"/>
      <c r="H620" s="54">
        <f t="shared" si="18"/>
        <v>0</v>
      </c>
      <c r="I620" s="31"/>
      <c r="J620" s="8"/>
      <c r="K620" s="27">
        <v>1800</v>
      </c>
      <c r="L620" s="29">
        <f t="shared" si="19"/>
        <v>0</v>
      </c>
    </row>
    <row r="621" spans="1:12" ht="14.25" customHeight="1">
      <c r="A621" s="60" t="s">
        <v>91</v>
      </c>
      <c r="B621" s="61"/>
      <c r="C621" s="61"/>
      <c r="D621" s="25" t="s">
        <v>60</v>
      </c>
      <c r="E621" s="23">
        <v>1</v>
      </c>
      <c r="F621" s="30"/>
      <c r="G621" s="63"/>
      <c r="H621" s="54">
        <f t="shared" si="18"/>
        <v>0</v>
      </c>
      <c r="I621" s="31"/>
      <c r="J621" s="8"/>
      <c r="K621" s="27">
        <v>30000</v>
      </c>
      <c r="L621" s="29">
        <f t="shared" si="19"/>
        <v>0</v>
      </c>
    </row>
    <row r="622" spans="1:12" ht="14.25" customHeight="1">
      <c r="A622" s="61" t="s">
        <v>92</v>
      </c>
      <c r="B622" s="61"/>
      <c r="C622" s="61"/>
      <c r="D622" s="25" t="s">
        <v>60</v>
      </c>
      <c r="E622" s="23">
        <v>1</v>
      </c>
      <c r="F622" s="62"/>
      <c r="G622" s="62"/>
      <c r="H622" s="54">
        <f t="shared" si="18"/>
        <v>0</v>
      </c>
      <c r="I622" s="31"/>
      <c r="J622" s="8"/>
      <c r="K622" s="27">
        <v>13598</v>
      </c>
      <c r="L622" s="29">
        <f t="shared" si="19"/>
        <v>0</v>
      </c>
    </row>
    <row r="623" spans="1:12" ht="14.25" customHeight="1">
      <c r="A623" s="61" t="s">
        <v>93</v>
      </c>
      <c r="B623" s="61"/>
      <c r="C623" s="61"/>
      <c r="D623" s="25" t="s">
        <v>60</v>
      </c>
      <c r="E623" s="23">
        <v>1</v>
      </c>
      <c r="F623" s="62"/>
      <c r="G623" s="62"/>
      <c r="H623" s="54">
        <f t="shared" si="18"/>
        <v>0</v>
      </c>
      <c r="I623" s="31"/>
      <c r="J623" s="8"/>
      <c r="K623" s="27">
        <v>13598</v>
      </c>
      <c r="L623" s="29">
        <f t="shared" si="19"/>
        <v>0</v>
      </c>
    </row>
    <row r="624" spans="1:12" ht="14.25" customHeight="1">
      <c r="A624" s="61" t="s">
        <v>64</v>
      </c>
      <c r="B624" s="61"/>
      <c r="C624" s="61"/>
      <c r="D624" s="25" t="s">
        <v>60</v>
      </c>
      <c r="E624" s="23">
        <v>1</v>
      </c>
      <c r="F624" s="62"/>
      <c r="G624" s="62"/>
      <c r="H624" s="54">
        <f t="shared" si="18"/>
        <v>0</v>
      </c>
      <c r="I624" s="31"/>
      <c r="J624" s="8"/>
      <c r="K624" s="27">
        <v>95182</v>
      </c>
      <c r="L624" s="29">
        <f t="shared" si="19"/>
        <v>0</v>
      </c>
    </row>
    <row r="625" spans="1:27" ht="14.25" customHeight="1">
      <c r="A625" s="61" t="s">
        <v>65</v>
      </c>
      <c r="B625" s="61"/>
      <c r="C625" s="61"/>
      <c r="D625" s="25" t="s">
        <v>60</v>
      </c>
      <c r="E625" s="23">
        <v>1</v>
      </c>
      <c r="F625" s="62"/>
      <c r="G625" s="62"/>
      <c r="H625" s="54">
        <f t="shared" si="18"/>
        <v>0</v>
      </c>
      <c r="I625" s="31"/>
      <c r="J625" s="8"/>
      <c r="K625" s="27">
        <v>4513</v>
      </c>
      <c r="L625" s="29">
        <f t="shared" si="19"/>
        <v>0</v>
      </c>
    </row>
    <row r="626" spans="1:27" ht="14.25" customHeight="1" thickBot="1">
      <c r="A626" s="61" t="s">
        <v>66</v>
      </c>
      <c r="B626" s="61"/>
      <c r="C626" s="61"/>
      <c r="D626" s="25" t="s">
        <v>60</v>
      </c>
      <c r="E626" s="23">
        <v>1</v>
      </c>
      <c r="F626" s="62"/>
      <c r="G626" s="62"/>
      <c r="H626" s="54">
        <f t="shared" si="18"/>
        <v>0</v>
      </c>
      <c r="I626" s="31"/>
      <c r="J626" s="8"/>
      <c r="K626" s="27">
        <v>74332</v>
      </c>
      <c r="L626" s="29">
        <f t="shared" si="19"/>
        <v>0</v>
      </c>
      <c r="M626" s="1" t="s">
        <v>97</v>
      </c>
    </row>
    <row r="627" spans="1:27" ht="14.25" customHeight="1">
      <c r="A627" s="77" t="s">
        <v>46</v>
      </c>
      <c r="B627" s="67"/>
      <c r="C627" s="68"/>
      <c r="D627" s="11"/>
      <c r="E627" s="18"/>
      <c r="F627" s="78"/>
      <c r="G627" s="79"/>
      <c r="H627" s="78"/>
      <c r="I627" s="79"/>
      <c r="J627" s="12"/>
      <c r="K627" s="27" t="s">
        <v>68</v>
      </c>
      <c r="L627" s="29">
        <f>SUM(L604:L626)</f>
        <v>16080</v>
      </c>
      <c r="M627" s="4">
        <f>ROUND(L627/L628,5)</f>
        <v>1.03E-2</v>
      </c>
    </row>
    <row r="628" spans="1:27" ht="14.25" customHeight="1">
      <c r="A628" s="69" t="s">
        <v>47</v>
      </c>
      <c r="B628" s="70"/>
      <c r="C628" s="71"/>
      <c r="D628" s="9"/>
      <c r="E628" s="19"/>
      <c r="F628" s="30"/>
      <c r="G628" s="31"/>
      <c r="H628" s="30"/>
      <c r="I628" s="31"/>
      <c r="J628" s="13"/>
      <c r="K628" s="27" t="s">
        <v>67</v>
      </c>
      <c r="L628" s="29">
        <v>1560973</v>
      </c>
      <c r="M628" s="4"/>
    </row>
    <row r="629" spans="1:27" ht="14.25" customHeight="1" thickBot="1">
      <c r="A629" s="72" t="s">
        <v>48</v>
      </c>
      <c r="B629" s="73"/>
      <c r="C629" s="74"/>
      <c r="D629" s="14"/>
      <c r="E629" s="20"/>
      <c r="F629" s="75"/>
      <c r="G629" s="76"/>
      <c r="H629" s="75"/>
      <c r="I629" s="76"/>
      <c r="J629" s="15"/>
    </row>
    <row r="630" spans="1:27" ht="14.25" customHeight="1">
      <c r="A630" s="66" t="s">
        <v>23</v>
      </c>
      <c r="B630" s="67"/>
      <c r="C630" s="67"/>
      <c r="D630" s="67"/>
      <c r="E630" s="67"/>
      <c r="F630" s="67"/>
      <c r="G630" s="67"/>
      <c r="H630" s="67"/>
      <c r="I630" s="67"/>
      <c r="J630" s="68"/>
    </row>
    <row r="631" spans="1:27" ht="14.25" customHeight="1">
      <c r="A631" s="30" t="s">
        <v>24</v>
      </c>
      <c r="B631" s="32"/>
      <c r="C631" s="31"/>
      <c r="D631" s="8" t="s">
        <v>18</v>
      </c>
      <c r="E631" s="8" t="s">
        <v>25</v>
      </c>
      <c r="F631" s="30" t="s">
        <v>26</v>
      </c>
      <c r="G631" s="31"/>
      <c r="H631" s="30" t="s">
        <v>27</v>
      </c>
      <c r="I631" s="31"/>
      <c r="J631" s="8" t="s">
        <v>22</v>
      </c>
    </row>
    <row r="632" spans="1:27" ht="14.25" customHeight="1">
      <c r="A632" s="49"/>
      <c r="B632" s="50"/>
      <c r="C632" s="51"/>
      <c r="D632" s="8"/>
      <c r="E632" s="8"/>
      <c r="F632" s="30"/>
      <c r="G632" s="31"/>
      <c r="H632" s="30"/>
      <c r="I632" s="31"/>
      <c r="J632" s="8"/>
    </row>
    <row r="633" spans="1:27" ht="14.25" customHeight="1">
      <c r="A633" s="49"/>
      <c r="B633" s="50"/>
      <c r="C633" s="51"/>
      <c r="D633" s="8"/>
      <c r="E633" s="8"/>
      <c r="F633" s="30"/>
      <c r="G633" s="31"/>
      <c r="H633" s="30"/>
      <c r="I633" s="31"/>
      <c r="J633" s="8"/>
    </row>
    <row r="634" spans="1:27" ht="14.25" customHeight="1">
      <c r="A634" s="49" t="s">
        <v>28</v>
      </c>
      <c r="B634" s="50"/>
      <c r="C634" s="50"/>
      <c r="D634" s="50"/>
      <c r="E634" s="50"/>
      <c r="F634" s="50"/>
      <c r="G634" s="50"/>
      <c r="H634" s="50"/>
      <c r="I634" s="50"/>
      <c r="J634" s="51"/>
    </row>
    <row r="635" spans="1:27" ht="14.25" customHeight="1">
      <c r="A635" s="30" t="s">
        <v>29</v>
      </c>
      <c r="B635" s="31"/>
      <c r="C635" s="8" t="s">
        <v>30</v>
      </c>
      <c r="D635" s="8" t="s">
        <v>31</v>
      </c>
      <c r="E635" s="30" t="s">
        <v>32</v>
      </c>
      <c r="F635" s="31"/>
      <c r="G635" s="30" t="s">
        <v>26</v>
      </c>
      <c r="H635" s="31"/>
      <c r="I635" s="30" t="s">
        <v>27</v>
      </c>
      <c r="J635" s="31"/>
    </row>
    <row r="636" spans="1:27" ht="14.25" customHeight="1">
      <c r="A636" s="49" t="s">
        <v>104</v>
      </c>
      <c r="B636" s="51"/>
      <c r="C636" s="8">
        <v>1</v>
      </c>
      <c r="D636" s="8">
        <v>2</v>
      </c>
      <c r="E636" s="30"/>
      <c r="F636" s="31"/>
      <c r="G636" s="30"/>
      <c r="H636" s="31"/>
      <c r="I636" s="30"/>
      <c r="J636" s="31"/>
    </row>
    <row r="637" spans="1:27" ht="14.25" customHeight="1">
      <c r="A637" s="49"/>
      <c r="B637" s="51"/>
      <c r="C637" s="8"/>
      <c r="D637" s="8"/>
      <c r="E637" s="30"/>
      <c r="F637" s="31"/>
      <c r="G637" s="30"/>
      <c r="H637" s="31"/>
      <c r="I637" s="30"/>
      <c r="J637" s="31"/>
    </row>
    <row r="638" spans="1:27" ht="14.25" customHeight="1">
      <c r="A638" s="41" t="s">
        <v>45</v>
      </c>
      <c r="B638" s="42"/>
      <c r="C638" s="42"/>
      <c r="D638" s="42"/>
      <c r="E638" s="42"/>
      <c r="F638" s="42"/>
      <c r="G638" s="42"/>
      <c r="H638" s="42"/>
      <c r="I638" s="42"/>
      <c r="J638" s="43"/>
    </row>
    <row r="639" spans="1:27" ht="14.25" customHeight="1">
      <c r="A639" s="44"/>
      <c r="B639" s="45"/>
      <c r="C639" s="45"/>
      <c r="D639" s="45"/>
      <c r="E639" s="45"/>
      <c r="F639" s="45"/>
      <c r="G639" s="45"/>
      <c r="H639" s="45"/>
      <c r="I639" s="45"/>
      <c r="J639" s="46"/>
    </row>
    <row r="640" spans="1:27" ht="14.25" customHeight="1">
      <c r="A640" s="80" t="s">
        <v>52</v>
      </c>
      <c r="B640" s="81"/>
      <c r="C640" s="81"/>
      <c r="D640" s="81"/>
      <c r="E640" s="81"/>
      <c r="F640" s="81"/>
      <c r="G640" s="81"/>
      <c r="H640" s="81"/>
      <c r="I640" s="81"/>
      <c r="J640" s="82"/>
      <c r="M640" s="4"/>
      <c r="N640" s="5"/>
      <c r="O640" s="6"/>
      <c r="S640" s="6"/>
      <c r="W640" s="6"/>
      <c r="AA640" s="6"/>
    </row>
    <row r="641" spans="1:10" ht="14.25" customHeight="1">
      <c r="A641" s="83"/>
      <c r="B641" s="84"/>
      <c r="C641" s="84"/>
      <c r="D641" s="84"/>
      <c r="E641" s="84"/>
      <c r="F641" s="84"/>
      <c r="G641" s="84"/>
      <c r="H641" s="84"/>
      <c r="I641" s="84"/>
      <c r="J641" s="85"/>
    </row>
    <row r="642" spans="1:10" ht="14.25" customHeight="1">
      <c r="A642" s="83"/>
      <c r="B642" s="84"/>
      <c r="C642" s="84"/>
      <c r="D642" s="84"/>
      <c r="E642" s="84"/>
      <c r="F642" s="84"/>
      <c r="G642" s="84"/>
      <c r="H642" s="84"/>
      <c r="I642" s="84"/>
      <c r="J642" s="85"/>
    </row>
    <row r="643" spans="1:10" ht="14.25" customHeight="1">
      <c r="A643" s="83"/>
      <c r="B643" s="84"/>
      <c r="C643" s="84"/>
      <c r="D643" s="84"/>
      <c r="E643" s="84"/>
      <c r="F643" s="84"/>
      <c r="G643" s="84"/>
      <c r="H643" s="84"/>
      <c r="I643" s="84"/>
      <c r="J643" s="85"/>
    </row>
    <row r="644" spans="1:10" ht="14.25" customHeight="1">
      <c r="A644" s="83"/>
      <c r="B644" s="84"/>
      <c r="C644" s="84"/>
      <c r="D644" s="84"/>
      <c r="E644" s="84"/>
      <c r="F644" s="84"/>
      <c r="G644" s="84"/>
      <c r="H644" s="84"/>
      <c r="I644" s="84"/>
      <c r="J644" s="85"/>
    </row>
    <row r="645" spans="1:10" ht="14.25" customHeight="1">
      <c r="A645" s="83"/>
      <c r="B645" s="84"/>
      <c r="C645" s="84"/>
      <c r="D645" s="84"/>
      <c r="E645" s="84"/>
      <c r="F645" s="84"/>
      <c r="G645" s="84"/>
      <c r="H645" s="84"/>
      <c r="I645" s="84"/>
      <c r="J645" s="85"/>
    </row>
    <row r="646" spans="1:10" ht="14.25" customHeight="1">
      <c r="A646" s="86"/>
      <c r="B646" s="87"/>
      <c r="C646" s="87"/>
      <c r="D646" s="87"/>
      <c r="E646" s="87"/>
      <c r="F646" s="87"/>
      <c r="G646" s="87"/>
      <c r="H646" s="87"/>
      <c r="I646" s="87"/>
      <c r="J646" s="88"/>
    </row>
    <row r="647" spans="1:10" ht="14.25" customHeight="1">
      <c r="A647" s="89" t="s">
        <v>33</v>
      </c>
      <c r="B647" s="90"/>
      <c r="C647" s="90"/>
      <c r="D647" s="90"/>
      <c r="E647" s="90"/>
      <c r="F647" s="90"/>
      <c r="G647" s="90"/>
      <c r="H647" s="90"/>
      <c r="I647" s="90"/>
      <c r="J647" s="91"/>
    </row>
    <row r="648" spans="1:10" ht="14.25" customHeight="1">
      <c r="A648" s="92"/>
      <c r="B648" s="93"/>
      <c r="C648" s="93"/>
      <c r="D648" s="93"/>
      <c r="E648" s="93"/>
      <c r="F648" s="93"/>
      <c r="G648" s="93"/>
      <c r="H648" s="93"/>
      <c r="I648" s="93"/>
      <c r="J648" s="94"/>
    </row>
    <row r="649" spans="1:10" ht="14.25" customHeight="1">
      <c r="A649" s="89" t="s">
        <v>34</v>
      </c>
      <c r="B649" s="90"/>
      <c r="C649" s="90"/>
      <c r="D649" s="90"/>
      <c r="E649" s="90"/>
      <c r="F649" s="90"/>
      <c r="G649" s="90"/>
      <c r="H649" s="90"/>
      <c r="I649" s="90"/>
      <c r="J649" s="91"/>
    </row>
    <row r="650" spans="1:10" ht="14.25" customHeight="1">
      <c r="A650" s="92"/>
      <c r="B650" s="93"/>
      <c r="C650" s="93"/>
      <c r="D650" s="93"/>
      <c r="E650" s="93"/>
      <c r="F650" s="93"/>
      <c r="G650" s="93"/>
      <c r="H650" s="93"/>
      <c r="I650" s="93"/>
      <c r="J650" s="94"/>
    </row>
    <row r="651" spans="1:10" ht="14.25" customHeight="1">
      <c r="A651" s="80" t="s">
        <v>105</v>
      </c>
      <c r="B651" s="90"/>
      <c r="C651" s="90"/>
      <c r="D651" s="90"/>
      <c r="E651" s="90"/>
      <c r="F651" s="90"/>
      <c r="G651" s="90"/>
      <c r="H651" s="90"/>
      <c r="I651" s="90"/>
      <c r="J651" s="91"/>
    </row>
    <row r="652" spans="1:10" ht="14.25" customHeight="1">
      <c r="A652" s="92"/>
      <c r="B652" s="93"/>
      <c r="C652" s="93"/>
      <c r="D652" s="93"/>
      <c r="E652" s="93"/>
      <c r="F652" s="93"/>
      <c r="G652" s="93"/>
      <c r="H652" s="93"/>
      <c r="I652" s="93"/>
      <c r="J652" s="94"/>
    </row>
    <row r="653" spans="1:10" ht="14.25" customHeight="1">
      <c r="A653" s="89" t="s">
        <v>35</v>
      </c>
      <c r="B653" s="90"/>
      <c r="C653" s="90"/>
      <c r="D653" s="90"/>
      <c r="E653" s="90"/>
      <c r="F653" s="90"/>
      <c r="G653" s="90"/>
      <c r="H653" s="90"/>
      <c r="I653" s="90"/>
      <c r="J653" s="91"/>
    </row>
    <row r="654" spans="1:10" ht="14.25" customHeight="1">
      <c r="A654" s="92"/>
      <c r="B654" s="93"/>
      <c r="C654" s="93"/>
      <c r="D654" s="93"/>
      <c r="E654" s="93"/>
      <c r="F654" s="93"/>
      <c r="G654" s="93"/>
      <c r="H654" s="93"/>
      <c r="I654" s="93"/>
      <c r="J654" s="94"/>
    </row>
    <row r="655" spans="1:10" ht="14.25" customHeight="1">
      <c r="A655" s="99" t="s">
        <v>36</v>
      </c>
      <c r="B655" s="99"/>
      <c r="C655" s="99"/>
      <c r="D655" s="99"/>
      <c r="E655" s="99"/>
      <c r="F655" s="99"/>
      <c r="G655" s="99"/>
      <c r="H655" s="99"/>
      <c r="I655" s="99"/>
      <c r="J655" s="99"/>
    </row>
    <row r="656" spans="1:10" ht="14.25" customHeight="1">
      <c r="A656" s="95" t="s">
        <v>37</v>
      </c>
      <c r="B656" s="95"/>
      <c r="C656" s="95"/>
      <c r="D656" s="95"/>
      <c r="E656" s="95"/>
      <c r="F656" s="95"/>
      <c r="G656" s="95"/>
      <c r="H656" s="95"/>
      <c r="I656" s="95"/>
      <c r="J656" s="95"/>
    </row>
    <row r="657" spans="1:10" ht="14.25" customHeight="1">
      <c r="A657" s="95" t="s">
        <v>38</v>
      </c>
      <c r="B657" s="95"/>
      <c r="C657" s="95"/>
      <c r="D657" s="95"/>
      <c r="E657" s="95"/>
      <c r="F657" s="95"/>
      <c r="G657" s="95"/>
      <c r="H657" s="95"/>
      <c r="I657" s="95"/>
      <c r="J657" s="95"/>
    </row>
    <row r="658" spans="1:10" ht="14.25" customHeight="1">
      <c r="A658" s="95" t="s">
        <v>39</v>
      </c>
      <c r="B658" s="95"/>
      <c r="C658" s="95"/>
      <c r="D658" s="95"/>
      <c r="E658" s="95"/>
      <c r="F658" s="95"/>
      <c r="G658" s="95"/>
      <c r="H658" s="95"/>
      <c r="I658" s="95"/>
      <c r="J658" s="95"/>
    </row>
    <row r="659" spans="1:10" ht="14.25" customHeight="1">
      <c r="A659" s="95" t="s">
        <v>40</v>
      </c>
      <c r="B659" s="95"/>
      <c r="C659" s="95"/>
      <c r="D659" s="95"/>
      <c r="E659" s="95"/>
      <c r="F659" s="95"/>
      <c r="G659" s="95"/>
      <c r="H659" s="95"/>
      <c r="I659" s="95"/>
      <c r="J659" s="95"/>
    </row>
    <row r="660" spans="1:10" ht="14.25" customHeight="1">
      <c r="A660" s="95" t="s">
        <v>41</v>
      </c>
      <c r="B660" s="95"/>
      <c r="C660" s="95"/>
      <c r="D660" s="95"/>
      <c r="E660" s="95"/>
      <c r="F660" s="95"/>
      <c r="G660" s="95"/>
      <c r="H660" s="95"/>
      <c r="I660" s="95"/>
      <c r="J660" s="95"/>
    </row>
    <row r="661" spans="1:10" ht="14.25" customHeight="1">
      <c r="A661" s="95" t="s">
        <v>42</v>
      </c>
      <c r="B661" s="95"/>
      <c r="C661" s="95"/>
      <c r="D661" s="95"/>
      <c r="E661" s="95"/>
      <c r="F661" s="95"/>
      <c r="G661" s="95"/>
      <c r="H661" s="95"/>
      <c r="I661" s="95"/>
      <c r="J661" s="95"/>
    </row>
    <row r="662" spans="1:10" ht="14.25" customHeight="1">
      <c r="A662" s="100" t="s">
        <v>43</v>
      </c>
      <c r="B662" s="100"/>
      <c r="C662" s="100"/>
      <c r="D662" s="100"/>
      <c r="E662" s="100"/>
      <c r="F662" s="100"/>
      <c r="G662" s="100"/>
      <c r="H662" s="100"/>
      <c r="I662" s="100"/>
      <c r="J662" s="100"/>
    </row>
    <row r="663" spans="1:10" ht="14.25" customHeight="1">
      <c r="A663" s="95" t="s">
        <v>44</v>
      </c>
      <c r="B663" s="95"/>
      <c r="C663" s="95"/>
      <c r="D663" s="95"/>
      <c r="E663" s="95"/>
      <c r="F663" s="95"/>
      <c r="G663" s="95"/>
      <c r="H663" s="95"/>
      <c r="I663" s="95"/>
      <c r="J663" s="95"/>
    </row>
    <row r="664" spans="1:10" ht="29.25" customHeight="1">
      <c r="A664" s="96" t="s">
        <v>51</v>
      </c>
      <c r="B664" s="96"/>
      <c r="C664" s="96"/>
      <c r="D664" s="96"/>
      <c r="E664" s="96"/>
      <c r="F664" s="96"/>
      <c r="G664" s="96"/>
      <c r="H664" s="96"/>
      <c r="I664" s="96"/>
      <c r="J664" s="96"/>
    </row>
    <row r="665" spans="1:10" ht="14.25" customHeight="1">
      <c r="A665" s="101" t="s">
        <v>49</v>
      </c>
      <c r="B665" s="101"/>
      <c r="C665" s="101"/>
      <c r="D665" s="101"/>
      <c r="E665" s="101"/>
      <c r="F665" s="101"/>
      <c r="G665" s="101"/>
      <c r="H665" s="101"/>
      <c r="I665" s="101"/>
      <c r="J665" s="101"/>
    </row>
    <row r="666" spans="1:10" ht="14.25" customHeight="1"/>
    <row r="667" spans="1:10" ht="14.25" customHeight="1">
      <c r="A667" s="33" t="s">
        <v>0</v>
      </c>
      <c r="B667" s="33"/>
      <c r="C667" s="33"/>
      <c r="D667" s="33"/>
      <c r="E667" s="33"/>
      <c r="F667" s="33"/>
      <c r="G667" s="33"/>
      <c r="H667" s="33"/>
      <c r="I667" s="33"/>
      <c r="J667" s="33"/>
    </row>
    <row r="668" spans="1:10">
      <c r="A668" s="2" t="s">
        <v>1</v>
      </c>
      <c r="B668" s="3" t="str">
        <f>"GD-"&amp;IF(LEN(E672)=2,TEXT(LEFT(E672,1),"000"),IF(LEN(E672)=3,TEXT(LEFT(E672,2),"000"),TEXT(LEFT(E672,3),"000")))</f>
        <v>GD-010</v>
      </c>
      <c r="C668" s="2"/>
      <c r="D668" s="2"/>
      <c r="E668" s="2"/>
      <c r="F668" s="2"/>
      <c r="G668" s="2"/>
      <c r="H668" s="2"/>
      <c r="I668" s="2"/>
      <c r="J668" s="2"/>
    </row>
    <row r="669" spans="1:10" ht="14.25" customHeight="1">
      <c r="A669" s="34" t="s">
        <v>2</v>
      </c>
      <c r="B669" s="34"/>
      <c r="C669" s="34"/>
      <c r="D669" s="34"/>
      <c r="E669" s="34"/>
      <c r="F669" s="35" t="s">
        <v>3</v>
      </c>
      <c r="G669" s="35"/>
      <c r="H669" s="36">
        <f>H595+1</f>
        <v>45651</v>
      </c>
      <c r="I669" s="36"/>
      <c r="J669" s="7" t="str">
        <f>"("&amp;TEXT(H669,"[$-404]aaaa;@")&amp;")"</f>
        <v>(星期三)</v>
      </c>
    </row>
    <row r="670" spans="1:10" ht="14.25" customHeight="1">
      <c r="A670" s="37" t="s">
        <v>4</v>
      </c>
      <c r="B670" s="38"/>
      <c r="C670" s="41" t="str">
        <f>C596</f>
        <v>雲林縣成功國小思源堂整修工程</v>
      </c>
      <c r="D670" s="42"/>
      <c r="E670" s="43"/>
      <c r="F670" s="37" t="s">
        <v>5</v>
      </c>
      <c r="G670" s="38"/>
      <c r="H670" s="37" t="str">
        <f>H596</f>
        <v>正郁室內裝修</v>
      </c>
      <c r="I670" s="47"/>
      <c r="J670" s="38"/>
    </row>
    <row r="671" spans="1:10" ht="14.25" customHeight="1">
      <c r="A671" s="39"/>
      <c r="B671" s="40"/>
      <c r="C671" s="44"/>
      <c r="D671" s="45"/>
      <c r="E671" s="46"/>
      <c r="F671" s="39"/>
      <c r="G671" s="40"/>
      <c r="H671" s="39"/>
      <c r="I671" s="48"/>
      <c r="J671" s="40"/>
    </row>
    <row r="672" spans="1:10" ht="14.25" customHeight="1">
      <c r="A672" s="8" t="s">
        <v>7</v>
      </c>
      <c r="B672" s="8" t="str">
        <f>B598</f>
        <v>60天</v>
      </c>
      <c r="C672" s="30" t="s">
        <v>8</v>
      </c>
      <c r="D672" s="31"/>
      <c r="E672" s="8" t="str">
        <f>IF(LEN(E598)&gt;2,(LEFT(E598,2)+1),(LEFT(E598,1)+1))&amp;"天"</f>
        <v>10天</v>
      </c>
      <c r="F672" s="8" t="s">
        <v>9</v>
      </c>
      <c r="G672" s="8" t="str">
        <f>IF(LEN(E672)&gt;2,LEFT(B672,2)-LEFT(E672,2),LEFT(B672,2)-LEFT(E672,1))&amp;"天"</f>
        <v>50天</v>
      </c>
      <c r="H672" s="30" t="s">
        <v>10</v>
      </c>
      <c r="I672" s="31"/>
      <c r="J672" s="8" t="str">
        <f>J598</f>
        <v>0天</v>
      </c>
    </row>
    <row r="673" spans="1:13" ht="14.25" customHeight="1">
      <c r="A673" s="30" t="s">
        <v>12</v>
      </c>
      <c r="B673" s="31"/>
      <c r="C673" s="30" t="str">
        <f>C599</f>
        <v>113年12月16日</v>
      </c>
      <c r="D673" s="32"/>
      <c r="E673" s="31"/>
      <c r="F673" s="30" t="s">
        <v>13</v>
      </c>
      <c r="G673" s="31"/>
      <c r="H673" s="30" t="str">
        <f>H599</f>
        <v>114年02月13日</v>
      </c>
      <c r="I673" s="32"/>
      <c r="J673" s="31"/>
    </row>
    <row r="674" spans="1:13" ht="14.25" customHeight="1">
      <c r="A674" s="30" t="s">
        <v>14</v>
      </c>
      <c r="B674" s="31"/>
      <c r="C674" s="57">
        <f>(5%/12)*10</f>
        <v>4.1666666666666664E-2</v>
      </c>
      <c r="D674" s="58"/>
      <c r="E674" s="59"/>
      <c r="F674" s="30" t="s">
        <v>15</v>
      </c>
      <c r="G674" s="31"/>
      <c r="H674" s="57">
        <f>ROUND(L701/L702,5)+H600</f>
        <v>0.21374000000000001</v>
      </c>
      <c r="I674" s="58"/>
      <c r="J674" s="59"/>
      <c r="K674" s="26" t="s">
        <v>69</v>
      </c>
      <c r="L674" s="22"/>
      <c r="M674" s="4"/>
    </row>
    <row r="675" spans="1:13" ht="14.25" customHeight="1">
      <c r="A675" s="49" t="s">
        <v>16</v>
      </c>
      <c r="B675" s="50"/>
      <c r="C675" s="50"/>
      <c r="D675" s="50"/>
      <c r="E675" s="50"/>
      <c r="F675" s="50"/>
      <c r="G675" s="50"/>
      <c r="H675" s="50"/>
      <c r="I675" s="50"/>
      <c r="J675" s="51"/>
      <c r="L675" s="22"/>
      <c r="M675" s="4"/>
    </row>
    <row r="676" spans="1:13" ht="14.25" customHeight="1">
      <c r="A676" s="30" t="s">
        <v>17</v>
      </c>
      <c r="B676" s="32"/>
      <c r="C676" s="31"/>
      <c r="D676" s="8" t="s">
        <v>18</v>
      </c>
      <c r="E676" s="17" t="s">
        <v>19</v>
      </c>
      <c r="F676" s="30" t="s">
        <v>20</v>
      </c>
      <c r="G676" s="31"/>
      <c r="H676" s="30" t="s">
        <v>21</v>
      </c>
      <c r="I676" s="31"/>
      <c r="J676" s="8" t="s">
        <v>22</v>
      </c>
      <c r="L676" s="22"/>
      <c r="M676" s="4"/>
    </row>
    <row r="677" spans="1:13" ht="14.25" customHeight="1">
      <c r="A677" s="49" t="s">
        <v>56</v>
      </c>
      <c r="B677" s="50"/>
      <c r="C677" s="50"/>
      <c r="D677" s="50"/>
      <c r="E677" s="50"/>
      <c r="F677" s="50"/>
      <c r="G677" s="50"/>
      <c r="H677" s="50"/>
      <c r="I677" s="50"/>
      <c r="J677" s="51"/>
    </row>
    <row r="678" spans="1:13" ht="14.25" customHeight="1">
      <c r="A678" s="55" t="s">
        <v>57</v>
      </c>
      <c r="B678" s="50"/>
      <c r="C678" s="51"/>
      <c r="D678" s="24" t="s">
        <v>59</v>
      </c>
      <c r="E678" s="23">
        <v>1</v>
      </c>
      <c r="F678" s="54"/>
      <c r="G678" s="56"/>
      <c r="H678" s="54">
        <f t="shared" ref="H678:H700" si="20">F678+H604</f>
        <v>1</v>
      </c>
      <c r="I678" s="31"/>
      <c r="J678" s="16"/>
      <c r="K678" s="27">
        <v>800</v>
      </c>
      <c r="L678" s="29">
        <f t="shared" ref="L678:L700" si="21">ROUND(K678*F678,0)</f>
        <v>0</v>
      </c>
    </row>
    <row r="679" spans="1:13" ht="14.25" customHeight="1">
      <c r="A679" s="55" t="s">
        <v>75</v>
      </c>
      <c r="B679" s="50"/>
      <c r="C679" s="51"/>
      <c r="D679" s="24" t="s">
        <v>59</v>
      </c>
      <c r="E679" s="23">
        <v>1</v>
      </c>
      <c r="F679" s="52"/>
      <c r="G679" s="53"/>
      <c r="H679" s="54">
        <f t="shared" si="20"/>
        <v>1</v>
      </c>
      <c r="I679" s="31"/>
      <c r="J679" s="8"/>
      <c r="K679" s="27">
        <v>500</v>
      </c>
      <c r="L679" s="29">
        <f t="shared" si="21"/>
        <v>0</v>
      </c>
    </row>
    <row r="680" spans="1:13" ht="14.25" customHeight="1">
      <c r="A680" s="49" t="s">
        <v>58</v>
      </c>
      <c r="B680" s="50"/>
      <c r="C680" s="51"/>
      <c r="D680" s="24" t="s">
        <v>61</v>
      </c>
      <c r="E680" s="23">
        <v>51</v>
      </c>
      <c r="F680" s="52"/>
      <c r="G680" s="53"/>
      <c r="H680" s="54">
        <f t="shared" si="20"/>
        <v>51</v>
      </c>
      <c r="I680" s="31"/>
      <c r="J680" s="10"/>
      <c r="K680" s="27">
        <v>50</v>
      </c>
      <c r="L680" s="29">
        <f t="shared" si="21"/>
        <v>0</v>
      </c>
    </row>
    <row r="681" spans="1:13" ht="14.25" customHeight="1">
      <c r="A681" s="55" t="s">
        <v>76</v>
      </c>
      <c r="B681" s="50"/>
      <c r="C681" s="51"/>
      <c r="D681" s="24" t="s">
        <v>60</v>
      </c>
      <c r="E681" s="23">
        <v>1</v>
      </c>
      <c r="F681" s="52"/>
      <c r="G681" s="53"/>
      <c r="H681" s="54">
        <f t="shared" si="20"/>
        <v>0</v>
      </c>
      <c r="I681" s="31"/>
      <c r="J681" s="16"/>
      <c r="K681" s="27">
        <v>3000</v>
      </c>
      <c r="L681" s="29">
        <f t="shared" si="21"/>
        <v>0</v>
      </c>
    </row>
    <row r="682" spans="1:13" ht="14.25" customHeight="1">
      <c r="A682" s="55" t="s">
        <v>77</v>
      </c>
      <c r="B682" s="50"/>
      <c r="C682" s="51"/>
      <c r="D682" s="25" t="s">
        <v>60</v>
      </c>
      <c r="E682" s="23">
        <v>1</v>
      </c>
      <c r="F682" s="52"/>
      <c r="G682" s="53"/>
      <c r="H682" s="54">
        <f t="shared" si="20"/>
        <v>0</v>
      </c>
      <c r="I682" s="31"/>
      <c r="J682" s="8"/>
      <c r="K682" s="27">
        <v>3000</v>
      </c>
      <c r="L682" s="29">
        <f t="shared" si="21"/>
        <v>0</v>
      </c>
    </row>
    <row r="683" spans="1:13" ht="28.5" customHeight="1">
      <c r="A683" s="55" t="s">
        <v>78</v>
      </c>
      <c r="B683" s="64"/>
      <c r="C683" s="65"/>
      <c r="D683" s="25" t="s">
        <v>62</v>
      </c>
      <c r="E683" s="23">
        <v>328</v>
      </c>
      <c r="F683" s="30"/>
      <c r="G683" s="63"/>
      <c r="H683" s="54">
        <f t="shared" si="20"/>
        <v>328</v>
      </c>
      <c r="I683" s="31"/>
      <c r="J683" s="8"/>
      <c r="K683" s="28">
        <v>100</v>
      </c>
      <c r="L683" s="29">
        <f t="shared" si="21"/>
        <v>0</v>
      </c>
    </row>
    <row r="684" spans="1:13" ht="14.25" customHeight="1">
      <c r="A684" s="60" t="s">
        <v>79</v>
      </c>
      <c r="B684" s="61"/>
      <c r="C684" s="61"/>
      <c r="D684" s="25" t="s">
        <v>61</v>
      </c>
      <c r="E684" s="23">
        <v>21</v>
      </c>
      <c r="F684" s="62">
        <v>3</v>
      </c>
      <c r="G684" s="62"/>
      <c r="H684" s="54">
        <f t="shared" si="20"/>
        <v>9</v>
      </c>
      <c r="I684" s="31"/>
      <c r="J684" s="8"/>
      <c r="K684" s="27">
        <v>2500</v>
      </c>
      <c r="L684" s="29">
        <f t="shared" si="21"/>
        <v>7500</v>
      </c>
    </row>
    <row r="685" spans="1:13" ht="28.5" customHeight="1">
      <c r="A685" s="55" t="s">
        <v>80</v>
      </c>
      <c r="B685" s="64"/>
      <c r="C685" s="65"/>
      <c r="D685" s="25" t="s">
        <v>81</v>
      </c>
      <c r="E685" s="23">
        <v>5</v>
      </c>
      <c r="F685" s="30"/>
      <c r="G685" s="63"/>
      <c r="H685" s="54">
        <f t="shared" si="20"/>
        <v>0</v>
      </c>
      <c r="I685" s="31"/>
      <c r="J685" s="8"/>
      <c r="K685" s="27">
        <v>5000</v>
      </c>
      <c r="L685" s="29">
        <f t="shared" si="21"/>
        <v>0</v>
      </c>
    </row>
    <row r="686" spans="1:13" ht="14.25" customHeight="1">
      <c r="A686" s="60" t="s">
        <v>82</v>
      </c>
      <c r="B686" s="61"/>
      <c r="C686" s="61"/>
      <c r="D686" s="25" t="s">
        <v>62</v>
      </c>
      <c r="E686" s="23">
        <v>218</v>
      </c>
      <c r="F686" s="62"/>
      <c r="G686" s="62"/>
      <c r="H686" s="54">
        <f t="shared" si="20"/>
        <v>0</v>
      </c>
      <c r="I686" s="31"/>
      <c r="J686" s="8"/>
      <c r="K686" s="27">
        <v>1000</v>
      </c>
      <c r="L686" s="29">
        <f t="shared" si="21"/>
        <v>0</v>
      </c>
    </row>
    <row r="687" spans="1:13" ht="14.25" customHeight="1">
      <c r="A687" s="61" t="s">
        <v>83</v>
      </c>
      <c r="B687" s="61"/>
      <c r="C687" s="61"/>
      <c r="D687" s="25" t="s">
        <v>81</v>
      </c>
      <c r="E687" s="23">
        <v>28</v>
      </c>
      <c r="F687" s="30"/>
      <c r="G687" s="63"/>
      <c r="H687" s="54">
        <f t="shared" si="20"/>
        <v>0</v>
      </c>
      <c r="I687" s="31"/>
      <c r="J687" s="8"/>
      <c r="K687" s="27">
        <v>2000</v>
      </c>
      <c r="L687" s="29">
        <f t="shared" si="21"/>
        <v>0</v>
      </c>
    </row>
    <row r="688" spans="1:13" ht="28.5" customHeight="1">
      <c r="A688" s="60" t="s">
        <v>84</v>
      </c>
      <c r="B688" s="61"/>
      <c r="C688" s="61"/>
      <c r="D688" s="25" t="s">
        <v>62</v>
      </c>
      <c r="E688" s="23">
        <v>245</v>
      </c>
      <c r="F688" s="62"/>
      <c r="G688" s="62"/>
      <c r="H688" s="54">
        <f t="shared" si="20"/>
        <v>0</v>
      </c>
      <c r="I688" s="31"/>
      <c r="J688" s="8"/>
      <c r="K688" s="27">
        <v>1500</v>
      </c>
      <c r="L688" s="29">
        <f t="shared" si="21"/>
        <v>0</v>
      </c>
    </row>
    <row r="689" spans="1:13" ht="14.25" customHeight="1">
      <c r="A689" s="61" t="s">
        <v>85</v>
      </c>
      <c r="B689" s="61"/>
      <c r="C689" s="61"/>
      <c r="D689" s="25" t="s">
        <v>62</v>
      </c>
      <c r="E689" s="23">
        <v>83</v>
      </c>
      <c r="F689" s="30"/>
      <c r="G689" s="63"/>
      <c r="H689" s="54">
        <f t="shared" si="20"/>
        <v>0</v>
      </c>
      <c r="I689" s="31"/>
      <c r="J689" s="8"/>
      <c r="K689" s="27">
        <v>1000</v>
      </c>
      <c r="L689" s="29">
        <f t="shared" si="21"/>
        <v>0</v>
      </c>
    </row>
    <row r="690" spans="1:13" ht="30" customHeight="1">
      <c r="A690" s="60" t="s">
        <v>86</v>
      </c>
      <c r="B690" s="61"/>
      <c r="C690" s="61"/>
      <c r="D690" s="25" t="s">
        <v>62</v>
      </c>
      <c r="E690" s="23">
        <v>164</v>
      </c>
      <c r="F690" s="62"/>
      <c r="G690" s="62"/>
      <c r="H690" s="54">
        <f t="shared" si="20"/>
        <v>0</v>
      </c>
      <c r="I690" s="31"/>
      <c r="J690" s="8"/>
      <c r="K690" s="27">
        <v>500</v>
      </c>
      <c r="L690" s="29">
        <f t="shared" si="21"/>
        <v>0</v>
      </c>
    </row>
    <row r="691" spans="1:13" ht="14.25" customHeight="1">
      <c r="A691" s="60" t="s">
        <v>87</v>
      </c>
      <c r="B691" s="61"/>
      <c r="C691" s="61"/>
      <c r="D691" s="25" t="s">
        <v>62</v>
      </c>
      <c r="E691" s="23">
        <v>37</v>
      </c>
      <c r="F691" s="30"/>
      <c r="G691" s="63"/>
      <c r="H691" s="54">
        <f t="shared" si="20"/>
        <v>37</v>
      </c>
      <c r="I691" s="31"/>
      <c r="J691" s="8"/>
      <c r="K691" s="27">
        <v>1000</v>
      </c>
      <c r="L691" s="29">
        <f t="shared" si="21"/>
        <v>0</v>
      </c>
    </row>
    <row r="692" spans="1:13" ht="14.25" customHeight="1">
      <c r="A692" s="61" t="s">
        <v>88</v>
      </c>
      <c r="B692" s="61"/>
      <c r="C692" s="61"/>
      <c r="D692" s="25" t="s">
        <v>60</v>
      </c>
      <c r="E692" s="23">
        <v>1</v>
      </c>
      <c r="F692" s="62"/>
      <c r="G692" s="62"/>
      <c r="H692" s="54">
        <f t="shared" si="20"/>
        <v>0.95</v>
      </c>
      <c r="I692" s="31"/>
      <c r="J692" s="8"/>
      <c r="K692" s="27">
        <v>250000</v>
      </c>
      <c r="L692" s="29">
        <f t="shared" si="21"/>
        <v>0</v>
      </c>
    </row>
    <row r="693" spans="1:13" ht="14.25" customHeight="1">
      <c r="A693" s="61" t="s">
        <v>89</v>
      </c>
      <c r="B693" s="61"/>
      <c r="C693" s="61"/>
      <c r="D693" s="25" t="s">
        <v>62</v>
      </c>
      <c r="E693" s="23">
        <v>81</v>
      </c>
      <c r="F693" s="30"/>
      <c r="G693" s="63"/>
      <c r="H693" s="54">
        <f t="shared" si="20"/>
        <v>0</v>
      </c>
      <c r="I693" s="31"/>
      <c r="J693" s="8"/>
      <c r="K693" s="27">
        <v>500</v>
      </c>
      <c r="L693" s="29">
        <f t="shared" si="21"/>
        <v>0</v>
      </c>
    </row>
    <row r="694" spans="1:13" ht="29.25" customHeight="1">
      <c r="A694" s="60" t="s">
        <v>90</v>
      </c>
      <c r="B694" s="61"/>
      <c r="C694" s="61"/>
      <c r="D694" s="25" t="s">
        <v>62</v>
      </c>
      <c r="E694" s="23">
        <v>42</v>
      </c>
      <c r="F694" s="62"/>
      <c r="G694" s="62"/>
      <c r="H694" s="54">
        <f t="shared" si="20"/>
        <v>0</v>
      </c>
      <c r="I694" s="31"/>
      <c r="J694" s="8"/>
      <c r="K694" s="27">
        <v>1800</v>
      </c>
      <c r="L694" s="29">
        <f t="shared" si="21"/>
        <v>0</v>
      </c>
    </row>
    <row r="695" spans="1:13" ht="14.25" customHeight="1">
      <c r="A695" s="60" t="s">
        <v>91</v>
      </c>
      <c r="B695" s="61"/>
      <c r="C695" s="61"/>
      <c r="D695" s="25" t="s">
        <v>60</v>
      </c>
      <c r="E695" s="23">
        <v>1</v>
      </c>
      <c r="F695" s="30"/>
      <c r="G695" s="63"/>
      <c r="H695" s="54">
        <f t="shared" si="20"/>
        <v>0</v>
      </c>
      <c r="I695" s="31"/>
      <c r="J695" s="8"/>
      <c r="K695" s="27">
        <v>30000</v>
      </c>
      <c r="L695" s="29">
        <f t="shared" si="21"/>
        <v>0</v>
      </c>
    </row>
    <row r="696" spans="1:13" ht="14.25" customHeight="1">
      <c r="A696" s="61" t="s">
        <v>92</v>
      </c>
      <c r="B696" s="61"/>
      <c r="C696" s="61"/>
      <c r="D696" s="25" t="s">
        <v>60</v>
      </c>
      <c r="E696" s="23">
        <v>1</v>
      </c>
      <c r="F696" s="62"/>
      <c r="G696" s="62"/>
      <c r="H696" s="54">
        <f t="shared" si="20"/>
        <v>0</v>
      </c>
      <c r="I696" s="31"/>
      <c r="J696" s="8"/>
      <c r="K696" s="27">
        <v>13598</v>
      </c>
      <c r="L696" s="29">
        <f t="shared" si="21"/>
        <v>0</v>
      </c>
    </row>
    <row r="697" spans="1:13" ht="14.25" customHeight="1">
      <c r="A697" s="61" t="s">
        <v>93</v>
      </c>
      <c r="B697" s="61"/>
      <c r="C697" s="61"/>
      <c r="D697" s="25" t="s">
        <v>60</v>
      </c>
      <c r="E697" s="23">
        <v>1</v>
      </c>
      <c r="F697" s="62"/>
      <c r="G697" s="62"/>
      <c r="H697" s="54">
        <f t="shared" si="20"/>
        <v>0</v>
      </c>
      <c r="I697" s="31"/>
      <c r="J697" s="8"/>
      <c r="K697" s="27">
        <v>13598</v>
      </c>
      <c r="L697" s="29">
        <f t="shared" si="21"/>
        <v>0</v>
      </c>
    </row>
    <row r="698" spans="1:13" ht="14.25" customHeight="1">
      <c r="A698" s="61" t="s">
        <v>64</v>
      </c>
      <c r="B698" s="61"/>
      <c r="C698" s="61"/>
      <c r="D698" s="25" t="s">
        <v>60</v>
      </c>
      <c r="E698" s="23">
        <v>1</v>
      </c>
      <c r="F698" s="62"/>
      <c r="G698" s="62"/>
      <c r="H698" s="54">
        <f t="shared" si="20"/>
        <v>0</v>
      </c>
      <c r="I698" s="31"/>
      <c r="J698" s="8"/>
      <c r="K698" s="27">
        <v>95182</v>
      </c>
      <c r="L698" s="29">
        <f t="shared" si="21"/>
        <v>0</v>
      </c>
    </row>
    <row r="699" spans="1:13" ht="14.25" customHeight="1">
      <c r="A699" s="61" t="s">
        <v>65</v>
      </c>
      <c r="B699" s="61"/>
      <c r="C699" s="61"/>
      <c r="D699" s="25" t="s">
        <v>60</v>
      </c>
      <c r="E699" s="23">
        <v>1</v>
      </c>
      <c r="F699" s="62"/>
      <c r="G699" s="62"/>
      <c r="H699" s="54">
        <f t="shared" si="20"/>
        <v>0</v>
      </c>
      <c r="I699" s="31"/>
      <c r="J699" s="8"/>
      <c r="K699" s="27">
        <v>4513</v>
      </c>
      <c r="L699" s="29">
        <f t="shared" si="21"/>
        <v>0</v>
      </c>
    </row>
    <row r="700" spans="1:13" ht="14.25" customHeight="1" thickBot="1">
      <c r="A700" s="61" t="s">
        <v>66</v>
      </c>
      <c r="B700" s="61"/>
      <c r="C700" s="61"/>
      <c r="D700" s="25" t="s">
        <v>60</v>
      </c>
      <c r="E700" s="23">
        <v>1</v>
      </c>
      <c r="F700" s="62"/>
      <c r="G700" s="62"/>
      <c r="H700" s="54">
        <f t="shared" si="20"/>
        <v>0</v>
      </c>
      <c r="I700" s="31"/>
      <c r="J700" s="8"/>
      <c r="K700" s="27">
        <v>74332</v>
      </c>
      <c r="L700" s="29">
        <f t="shared" si="21"/>
        <v>0</v>
      </c>
      <c r="M700" s="1" t="s">
        <v>97</v>
      </c>
    </row>
    <row r="701" spans="1:13" ht="14.25" customHeight="1">
      <c r="A701" s="77" t="s">
        <v>46</v>
      </c>
      <c r="B701" s="67"/>
      <c r="C701" s="68"/>
      <c r="D701" s="11"/>
      <c r="E701" s="18"/>
      <c r="F701" s="78"/>
      <c r="G701" s="79"/>
      <c r="H701" s="78"/>
      <c r="I701" s="79"/>
      <c r="J701" s="12"/>
      <c r="K701" s="27" t="s">
        <v>68</v>
      </c>
      <c r="L701" s="29">
        <f>SUM(L678:L700)</f>
        <v>7500</v>
      </c>
      <c r="M701" s="4">
        <f>ROUND(L701/L702,5)</f>
        <v>4.7999999999999996E-3</v>
      </c>
    </row>
    <row r="702" spans="1:13" ht="14.25" customHeight="1">
      <c r="A702" s="69" t="s">
        <v>47</v>
      </c>
      <c r="B702" s="70"/>
      <c r="C702" s="71"/>
      <c r="D702" s="9"/>
      <c r="E702" s="19"/>
      <c r="F702" s="30"/>
      <c r="G702" s="31"/>
      <c r="H702" s="30"/>
      <c r="I702" s="31"/>
      <c r="J702" s="13"/>
      <c r="K702" s="27" t="s">
        <v>67</v>
      </c>
      <c r="L702" s="29">
        <v>1560973</v>
      </c>
      <c r="M702" s="4"/>
    </row>
    <row r="703" spans="1:13" ht="14.25" customHeight="1" thickBot="1">
      <c r="A703" s="72" t="s">
        <v>48</v>
      </c>
      <c r="B703" s="73"/>
      <c r="C703" s="74"/>
      <c r="D703" s="14"/>
      <c r="E703" s="20"/>
      <c r="F703" s="75"/>
      <c r="G703" s="76"/>
      <c r="H703" s="75"/>
      <c r="I703" s="76"/>
      <c r="J703" s="15"/>
    </row>
    <row r="704" spans="1:13" ht="14.25" customHeight="1">
      <c r="A704" s="66" t="s">
        <v>23</v>
      </c>
      <c r="B704" s="67"/>
      <c r="C704" s="67"/>
      <c r="D704" s="67"/>
      <c r="E704" s="67"/>
      <c r="F704" s="67"/>
      <c r="G704" s="67"/>
      <c r="H704" s="67"/>
      <c r="I704" s="67"/>
      <c r="J704" s="68"/>
    </row>
    <row r="705" spans="1:27" ht="14.25" customHeight="1">
      <c r="A705" s="30" t="s">
        <v>24</v>
      </c>
      <c r="B705" s="32"/>
      <c r="C705" s="31"/>
      <c r="D705" s="8" t="s">
        <v>18</v>
      </c>
      <c r="E705" s="8" t="s">
        <v>25</v>
      </c>
      <c r="F705" s="30" t="s">
        <v>26</v>
      </c>
      <c r="G705" s="31"/>
      <c r="H705" s="30" t="s">
        <v>27</v>
      </c>
      <c r="I705" s="31"/>
      <c r="J705" s="8" t="s">
        <v>22</v>
      </c>
    </row>
    <row r="706" spans="1:27" ht="14.25" customHeight="1">
      <c r="A706" s="49"/>
      <c r="B706" s="50"/>
      <c r="C706" s="51"/>
      <c r="D706" s="8"/>
      <c r="E706" s="8"/>
      <c r="F706" s="30"/>
      <c r="G706" s="31"/>
      <c r="H706" s="30"/>
      <c r="I706" s="31"/>
      <c r="J706" s="8"/>
    </row>
    <row r="707" spans="1:27" ht="14.25" customHeight="1">
      <c r="A707" s="49"/>
      <c r="B707" s="50"/>
      <c r="C707" s="51"/>
      <c r="D707" s="8"/>
      <c r="E707" s="8"/>
      <c r="F707" s="30"/>
      <c r="G707" s="31"/>
      <c r="H707" s="30"/>
      <c r="I707" s="31"/>
      <c r="J707" s="8"/>
    </row>
    <row r="708" spans="1:27" ht="14.25" customHeight="1">
      <c r="A708" s="49" t="s">
        <v>28</v>
      </c>
      <c r="B708" s="50"/>
      <c r="C708" s="50"/>
      <c r="D708" s="50"/>
      <c r="E708" s="50"/>
      <c r="F708" s="50"/>
      <c r="G708" s="50"/>
      <c r="H708" s="50"/>
      <c r="I708" s="50"/>
      <c r="J708" s="51"/>
    </row>
    <row r="709" spans="1:27" ht="14.25" customHeight="1">
      <c r="A709" s="30" t="s">
        <v>29</v>
      </c>
      <c r="B709" s="31"/>
      <c r="C709" s="8" t="s">
        <v>30</v>
      </c>
      <c r="D709" s="8" t="s">
        <v>31</v>
      </c>
      <c r="E709" s="30" t="s">
        <v>32</v>
      </c>
      <c r="F709" s="31"/>
      <c r="G709" s="30" t="s">
        <v>26</v>
      </c>
      <c r="H709" s="31"/>
      <c r="I709" s="30" t="s">
        <v>27</v>
      </c>
      <c r="J709" s="31"/>
    </row>
    <row r="710" spans="1:27" ht="14.25" customHeight="1">
      <c r="A710" s="49" t="s">
        <v>106</v>
      </c>
      <c r="B710" s="51"/>
      <c r="C710" s="8">
        <v>2</v>
      </c>
      <c r="D710" s="8">
        <v>2</v>
      </c>
      <c r="E710" s="30"/>
      <c r="F710" s="31"/>
      <c r="G710" s="30"/>
      <c r="H710" s="31"/>
      <c r="I710" s="30"/>
      <c r="J710" s="31"/>
    </row>
    <row r="711" spans="1:27" ht="14.25" customHeight="1">
      <c r="A711" s="49"/>
      <c r="B711" s="51"/>
      <c r="C711" s="8"/>
      <c r="D711" s="8"/>
      <c r="E711" s="30"/>
      <c r="F711" s="31"/>
      <c r="G711" s="30"/>
      <c r="H711" s="31"/>
      <c r="I711" s="30"/>
      <c r="J711" s="31"/>
    </row>
    <row r="712" spans="1:27" ht="14.25" customHeight="1">
      <c r="A712" s="41" t="s">
        <v>45</v>
      </c>
      <c r="B712" s="42"/>
      <c r="C712" s="42"/>
      <c r="D712" s="42"/>
      <c r="E712" s="42"/>
      <c r="F712" s="42"/>
      <c r="G712" s="42"/>
      <c r="H712" s="42"/>
      <c r="I712" s="42"/>
      <c r="J712" s="43"/>
    </row>
    <row r="713" spans="1:27" ht="14.25" customHeight="1">
      <c r="A713" s="44"/>
      <c r="B713" s="45"/>
      <c r="C713" s="45"/>
      <c r="D713" s="45"/>
      <c r="E713" s="45"/>
      <c r="F713" s="45"/>
      <c r="G713" s="45"/>
      <c r="H713" s="45"/>
      <c r="I713" s="45"/>
      <c r="J713" s="46"/>
    </row>
    <row r="714" spans="1:27" ht="14.25" customHeight="1">
      <c r="A714" s="80" t="s">
        <v>52</v>
      </c>
      <c r="B714" s="81"/>
      <c r="C714" s="81"/>
      <c r="D714" s="81"/>
      <c r="E714" s="81"/>
      <c r="F714" s="81"/>
      <c r="G714" s="81"/>
      <c r="H714" s="81"/>
      <c r="I714" s="81"/>
      <c r="J714" s="82"/>
      <c r="M714" s="4"/>
      <c r="N714" s="5"/>
      <c r="O714" s="6"/>
      <c r="S714" s="6"/>
      <c r="W714" s="6"/>
      <c r="AA714" s="6"/>
    </row>
    <row r="715" spans="1:27" ht="14.25" customHeight="1">
      <c r="A715" s="83"/>
      <c r="B715" s="84"/>
      <c r="C715" s="84"/>
      <c r="D715" s="84"/>
      <c r="E715" s="84"/>
      <c r="F715" s="84"/>
      <c r="G715" s="84"/>
      <c r="H715" s="84"/>
      <c r="I715" s="84"/>
      <c r="J715" s="85"/>
    </row>
    <row r="716" spans="1:27" ht="14.25" customHeight="1">
      <c r="A716" s="83"/>
      <c r="B716" s="84"/>
      <c r="C716" s="84"/>
      <c r="D716" s="84"/>
      <c r="E716" s="84"/>
      <c r="F716" s="84"/>
      <c r="G716" s="84"/>
      <c r="H716" s="84"/>
      <c r="I716" s="84"/>
      <c r="J716" s="85"/>
    </row>
    <row r="717" spans="1:27" ht="14.25" customHeight="1">
      <c r="A717" s="83"/>
      <c r="B717" s="84"/>
      <c r="C717" s="84"/>
      <c r="D717" s="84"/>
      <c r="E717" s="84"/>
      <c r="F717" s="84"/>
      <c r="G717" s="84"/>
      <c r="H717" s="84"/>
      <c r="I717" s="84"/>
      <c r="J717" s="85"/>
    </row>
    <row r="718" spans="1:27" ht="14.25" customHeight="1">
      <c r="A718" s="83"/>
      <c r="B718" s="84"/>
      <c r="C718" s="84"/>
      <c r="D718" s="84"/>
      <c r="E718" s="84"/>
      <c r="F718" s="84"/>
      <c r="G718" s="84"/>
      <c r="H718" s="84"/>
      <c r="I718" s="84"/>
      <c r="J718" s="85"/>
    </row>
    <row r="719" spans="1:27" ht="14.25" customHeight="1">
      <c r="A719" s="83"/>
      <c r="B719" s="84"/>
      <c r="C719" s="84"/>
      <c r="D719" s="84"/>
      <c r="E719" s="84"/>
      <c r="F719" s="84"/>
      <c r="G719" s="84"/>
      <c r="H719" s="84"/>
      <c r="I719" s="84"/>
      <c r="J719" s="85"/>
    </row>
    <row r="720" spans="1:27" ht="14.25" customHeight="1">
      <c r="A720" s="86"/>
      <c r="B720" s="87"/>
      <c r="C720" s="87"/>
      <c r="D720" s="87"/>
      <c r="E720" s="87"/>
      <c r="F720" s="87"/>
      <c r="G720" s="87"/>
      <c r="H720" s="87"/>
      <c r="I720" s="87"/>
      <c r="J720" s="88"/>
    </row>
    <row r="721" spans="1:10" ht="14.25" customHeight="1">
      <c r="A721" s="89" t="s">
        <v>33</v>
      </c>
      <c r="B721" s="90"/>
      <c r="C721" s="90"/>
      <c r="D721" s="90"/>
      <c r="E721" s="90"/>
      <c r="F721" s="90"/>
      <c r="G721" s="90"/>
      <c r="H721" s="90"/>
      <c r="I721" s="90"/>
      <c r="J721" s="91"/>
    </row>
    <row r="722" spans="1:10" ht="14.25" customHeight="1">
      <c r="A722" s="92"/>
      <c r="B722" s="93"/>
      <c r="C722" s="93"/>
      <c r="D722" s="93"/>
      <c r="E722" s="93"/>
      <c r="F722" s="93"/>
      <c r="G722" s="93"/>
      <c r="H722" s="93"/>
      <c r="I722" s="93"/>
      <c r="J722" s="94"/>
    </row>
    <row r="723" spans="1:10" ht="14.25" customHeight="1">
      <c r="A723" s="89" t="s">
        <v>34</v>
      </c>
      <c r="B723" s="90"/>
      <c r="C723" s="90"/>
      <c r="D723" s="90"/>
      <c r="E723" s="90"/>
      <c r="F723" s="90"/>
      <c r="G723" s="90"/>
      <c r="H723" s="90"/>
      <c r="I723" s="90"/>
      <c r="J723" s="91"/>
    </row>
    <row r="724" spans="1:10" ht="14.25" customHeight="1">
      <c r="A724" s="92"/>
      <c r="B724" s="93"/>
      <c r="C724" s="93"/>
      <c r="D724" s="93"/>
      <c r="E724" s="93"/>
      <c r="F724" s="93"/>
      <c r="G724" s="93"/>
      <c r="H724" s="93"/>
      <c r="I724" s="93"/>
      <c r="J724" s="94"/>
    </row>
    <row r="725" spans="1:10" ht="14.25" customHeight="1">
      <c r="A725" s="89" t="s">
        <v>107</v>
      </c>
      <c r="B725" s="90"/>
      <c r="C725" s="90"/>
      <c r="D725" s="90"/>
      <c r="E725" s="90"/>
      <c r="F725" s="90"/>
      <c r="G725" s="90"/>
      <c r="H725" s="90"/>
      <c r="I725" s="90"/>
      <c r="J725" s="91"/>
    </row>
    <row r="726" spans="1:10" ht="14.25" customHeight="1">
      <c r="A726" s="92"/>
      <c r="B726" s="93"/>
      <c r="C726" s="93"/>
      <c r="D726" s="93"/>
      <c r="E726" s="93"/>
      <c r="F726" s="93"/>
      <c r="G726" s="93"/>
      <c r="H726" s="93"/>
      <c r="I726" s="93"/>
      <c r="J726" s="94"/>
    </row>
    <row r="727" spans="1:10" ht="14.25" customHeight="1">
      <c r="A727" s="89" t="s">
        <v>35</v>
      </c>
      <c r="B727" s="90"/>
      <c r="C727" s="90"/>
      <c r="D727" s="90"/>
      <c r="E727" s="90"/>
      <c r="F727" s="90"/>
      <c r="G727" s="90"/>
      <c r="H727" s="90"/>
      <c r="I727" s="90"/>
      <c r="J727" s="91"/>
    </row>
    <row r="728" spans="1:10" ht="14.25" customHeight="1">
      <c r="A728" s="92"/>
      <c r="B728" s="93"/>
      <c r="C728" s="93"/>
      <c r="D728" s="93"/>
      <c r="E728" s="93"/>
      <c r="F728" s="93"/>
      <c r="G728" s="93"/>
      <c r="H728" s="93"/>
      <c r="I728" s="93"/>
      <c r="J728" s="94"/>
    </row>
    <row r="729" spans="1:10" ht="14.25" customHeight="1">
      <c r="A729" s="99" t="s">
        <v>36</v>
      </c>
      <c r="B729" s="99"/>
      <c r="C729" s="99"/>
      <c r="D729" s="99"/>
      <c r="E729" s="99"/>
      <c r="F729" s="99"/>
      <c r="G729" s="99"/>
      <c r="H729" s="99"/>
      <c r="I729" s="99"/>
      <c r="J729" s="99"/>
    </row>
    <row r="730" spans="1:10" ht="14.25" customHeight="1">
      <c r="A730" s="95" t="s">
        <v>37</v>
      </c>
      <c r="B730" s="95"/>
      <c r="C730" s="95"/>
      <c r="D730" s="95"/>
      <c r="E730" s="95"/>
      <c r="F730" s="95"/>
      <c r="G730" s="95"/>
      <c r="H730" s="95"/>
      <c r="I730" s="95"/>
      <c r="J730" s="95"/>
    </row>
    <row r="731" spans="1:10" ht="14.25" customHeight="1">
      <c r="A731" s="95" t="s">
        <v>38</v>
      </c>
      <c r="B731" s="95"/>
      <c r="C731" s="95"/>
      <c r="D731" s="95"/>
      <c r="E731" s="95"/>
      <c r="F731" s="95"/>
      <c r="G731" s="95"/>
      <c r="H731" s="95"/>
      <c r="I731" s="95"/>
      <c r="J731" s="95"/>
    </row>
    <row r="732" spans="1:10" ht="14.25" customHeight="1">
      <c r="A732" s="95" t="s">
        <v>39</v>
      </c>
      <c r="B732" s="95"/>
      <c r="C732" s="95"/>
      <c r="D732" s="95"/>
      <c r="E732" s="95"/>
      <c r="F732" s="95"/>
      <c r="G732" s="95"/>
      <c r="H732" s="95"/>
      <c r="I732" s="95"/>
      <c r="J732" s="95"/>
    </row>
    <row r="733" spans="1:10" ht="14.25" customHeight="1">
      <c r="A733" s="95" t="s">
        <v>40</v>
      </c>
      <c r="B733" s="95"/>
      <c r="C733" s="95"/>
      <c r="D733" s="95"/>
      <c r="E733" s="95"/>
      <c r="F733" s="95"/>
      <c r="G733" s="95"/>
      <c r="H733" s="95"/>
      <c r="I733" s="95"/>
      <c r="J733" s="95"/>
    </row>
    <row r="734" spans="1:10" ht="14.25" customHeight="1">
      <c r="A734" s="95" t="s">
        <v>41</v>
      </c>
      <c r="B734" s="95"/>
      <c r="C734" s="95"/>
      <c r="D734" s="95"/>
      <c r="E734" s="95"/>
      <c r="F734" s="95"/>
      <c r="G734" s="95"/>
      <c r="H734" s="95"/>
      <c r="I734" s="95"/>
      <c r="J734" s="95"/>
    </row>
    <row r="735" spans="1:10" ht="14.25" customHeight="1">
      <c r="A735" s="95" t="s">
        <v>42</v>
      </c>
      <c r="B735" s="95"/>
      <c r="C735" s="95"/>
      <c r="D735" s="95"/>
      <c r="E735" s="95"/>
      <c r="F735" s="95"/>
      <c r="G735" s="95"/>
      <c r="H735" s="95"/>
      <c r="I735" s="95"/>
      <c r="J735" s="95"/>
    </row>
    <row r="736" spans="1:10" ht="14.25" customHeight="1">
      <c r="A736" s="100" t="s">
        <v>43</v>
      </c>
      <c r="B736" s="100"/>
      <c r="C736" s="100"/>
      <c r="D736" s="100"/>
      <c r="E736" s="100"/>
      <c r="F736" s="100"/>
      <c r="G736" s="100"/>
      <c r="H736" s="100"/>
      <c r="I736" s="100"/>
      <c r="J736" s="100"/>
    </row>
    <row r="737" spans="1:13" ht="14.25" customHeight="1">
      <c r="A737" s="95" t="s">
        <v>44</v>
      </c>
      <c r="B737" s="95"/>
      <c r="C737" s="95"/>
      <c r="D737" s="95"/>
      <c r="E737" s="95"/>
      <c r="F737" s="95"/>
      <c r="G737" s="95"/>
      <c r="H737" s="95"/>
      <c r="I737" s="95"/>
      <c r="J737" s="95"/>
    </row>
    <row r="738" spans="1:13" ht="29.25" customHeight="1">
      <c r="A738" s="96" t="s">
        <v>51</v>
      </c>
      <c r="B738" s="96"/>
      <c r="C738" s="96"/>
      <c r="D738" s="96"/>
      <c r="E738" s="96"/>
      <c r="F738" s="96"/>
      <c r="G738" s="96"/>
      <c r="H738" s="96"/>
      <c r="I738" s="96"/>
      <c r="J738" s="96"/>
    </row>
    <row r="739" spans="1:13" ht="14.25" customHeight="1">
      <c r="A739" s="101" t="s">
        <v>49</v>
      </c>
      <c r="B739" s="101"/>
      <c r="C739" s="101"/>
      <c r="D739" s="101"/>
      <c r="E739" s="101"/>
      <c r="F739" s="101"/>
      <c r="G739" s="101"/>
      <c r="H739" s="101"/>
      <c r="I739" s="101"/>
      <c r="J739" s="101"/>
    </row>
    <row r="740" spans="1:13" ht="14.25" customHeight="1"/>
    <row r="741" spans="1:13" ht="14.25" customHeight="1">
      <c r="A741" s="33" t="s">
        <v>0</v>
      </c>
      <c r="B741" s="33"/>
      <c r="C741" s="33"/>
      <c r="D741" s="33"/>
      <c r="E741" s="33"/>
      <c r="F741" s="33"/>
      <c r="G741" s="33"/>
      <c r="H741" s="33"/>
      <c r="I741" s="33"/>
      <c r="J741" s="33"/>
    </row>
    <row r="742" spans="1:13">
      <c r="A742" s="2" t="s">
        <v>1</v>
      </c>
      <c r="B742" s="3" t="str">
        <f>"GD-"&amp;IF(LEN(E746)=2,TEXT(LEFT(E746,1),"000"),IF(LEN(E746)=3,TEXT(LEFT(E746,2),"000"),TEXT(LEFT(E746,3),"000")))</f>
        <v>GD-011</v>
      </c>
      <c r="C742" s="2"/>
      <c r="D742" s="2"/>
      <c r="E742" s="2"/>
      <c r="F742" s="2"/>
      <c r="G742" s="2"/>
      <c r="H742" s="2"/>
      <c r="I742" s="2"/>
      <c r="J742" s="2"/>
    </row>
    <row r="743" spans="1:13" ht="14.25" customHeight="1">
      <c r="A743" s="34" t="s">
        <v>2</v>
      </c>
      <c r="B743" s="34"/>
      <c r="C743" s="34"/>
      <c r="D743" s="34"/>
      <c r="E743" s="34"/>
      <c r="F743" s="35" t="s">
        <v>3</v>
      </c>
      <c r="G743" s="35"/>
      <c r="H743" s="36">
        <f>H669+1</f>
        <v>45652</v>
      </c>
      <c r="I743" s="36"/>
      <c r="J743" s="7" t="str">
        <f>"("&amp;TEXT(H743,"[$-404]aaaa;@")&amp;")"</f>
        <v>(星期四)</v>
      </c>
    </row>
    <row r="744" spans="1:13" ht="14.25" customHeight="1">
      <c r="A744" s="37" t="s">
        <v>4</v>
      </c>
      <c r="B744" s="38"/>
      <c r="C744" s="41" t="str">
        <f>C670</f>
        <v>雲林縣成功國小思源堂整修工程</v>
      </c>
      <c r="D744" s="42"/>
      <c r="E744" s="43"/>
      <c r="F744" s="37" t="s">
        <v>5</v>
      </c>
      <c r="G744" s="38"/>
      <c r="H744" s="37" t="str">
        <f>H670</f>
        <v>正郁室內裝修</v>
      </c>
      <c r="I744" s="47"/>
      <c r="J744" s="38"/>
    </row>
    <row r="745" spans="1:13" ht="14.25" customHeight="1">
      <c r="A745" s="39"/>
      <c r="B745" s="40"/>
      <c r="C745" s="44"/>
      <c r="D745" s="45"/>
      <c r="E745" s="46"/>
      <c r="F745" s="39"/>
      <c r="G745" s="40"/>
      <c r="H745" s="39"/>
      <c r="I745" s="48"/>
      <c r="J745" s="40"/>
    </row>
    <row r="746" spans="1:13" ht="14.25" customHeight="1">
      <c r="A746" s="8" t="s">
        <v>7</v>
      </c>
      <c r="B746" s="8" t="str">
        <f>B672</f>
        <v>60天</v>
      </c>
      <c r="C746" s="30" t="s">
        <v>8</v>
      </c>
      <c r="D746" s="31"/>
      <c r="E746" s="8" t="str">
        <f>IF(LEN(E672)&gt;2,(LEFT(E672,2)+1),(LEFT(E672,1)+1))&amp;"天"</f>
        <v>11天</v>
      </c>
      <c r="F746" s="8" t="s">
        <v>9</v>
      </c>
      <c r="G746" s="8" t="str">
        <f>IF(LEN(E746)&gt;2,LEFT(B746,2)-LEFT(E746,2),LEFT(B746,2)-LEFT(E746,1))&amp;"天"</f>
        <v>49天</v>
      </c>
      <c r="H746" s="30" t="s">
        <v>10</v>
      </c>
      <c r="I746" s="31"/>
      <c r="J746" s="8" t="str">
        <f>J672</f>
        <v>0天</v>
      </c>
    </row>
    <row r="747" spans="1:13" ht="14.25" customHeight="1">
      <c r="A747" s="30" t="s">
        <v>12</v>
      </c>
      <c r="B747" s="31"/>
      <c r="C747" s="30" t="str">
        <f>C673</f>
        <v>113年12月16日</v>
      </c>
      <c r="D747" s="32"/>
      <c r="E747" s="31"/>
      <c r="F747" s="30" t="s">
        <v>13</v>
      </c>
      <c r="G747" s="31"/>
      <c r="H747" s="30" t="str">
        <f>H673</f>
        <v>114年02月13日</v>
      </c>
      <c r="I747" s="32"/>
      <c r="J747" s="31"/>
    </row>
    <row r="748" spans="1:13" ht="14.25" customHeight="1">
      <c r="A748" s="30" t="s">
        <v>14</v>
      </c>
      <c r="B748" s="31"/>
      <c r="C748" s="57">
        <f>(5%/12)*11</f>
        <v>4.583333333333333E-2</v>
      </c>
      <c r="D748" s="58"/>
      <c r="E748" s="59"/>
      <c r="F748" s="30" t="s">
        <v>15</v>
      </c>
      <c r="G748" s="31"/>
      <c r="H748" s="57">
        <f>ROUND(L775/L776,5)+H674</f>
        <v>0.21854000000000001</v>
      </c>
      <c r="I748" s="58"/>
      <c r="J748" s="59"/>
      <c r="K748" s="26" t="s">
        <v>69</v>
      </c>
      <c r="L748" s="22"/>
      <c r="M748" s="4"/>
    </row>
    <row r="749" spans="1:13" ht="14.25" customHeight="1">
      <c r="A749" s="49" t="s">
        <v>16</v>
      </c>
      <c r="B749" s="50"/>
      <c r="C749" s="50"/>
      <c r="D749" s="50"/>
      <c r="E749" s="50"/>
      <c r="F749" s="50"/>
      <c r="G749" s="50"/>
      <c r="H749" s="50"/>
      <c r="I749" s="50"/>
      <c r="J749" s="51"/>
      <c r="L749" s="22"/>
      <c r="M749" s="4"/>
    </row>
    <row r="750" spans="1:13" ht="14.25" customHeight="1">
      <c r="A750" s="30" t="s">
        <v>17</v>
      </c>
      <c r="B750" s="32"/>
      <c r="C750" s="31"/>
      <c r="D750" s="8" t="s">
        <v>18</v>
      </c>
      <c r="E750" s="17" t="s">
        <v>19</v>
      </c>
      <c r="F750" s="30" t="s">
        <v>20</v>
      </c>
      <c r="G750" s="31"/>
      <c r="H750" s="30" t="s">
        <v>21</v>
      </c>
      <c r="I750" s="31"/>
      <c r="J750" s="8" t="s">
        <v>22</v>
      </c>
      <c r="L750" s="22"/>
      <c r="M750" s="4"/>
    </row>
    <row r="751" spans="1:13" ht="14.25" customHeight="1">
      <c r="A751" s="49" t="s">
        <v>56</v>
      </c>
      <c r="B751" s="50"/>
      <c r="C751" s="50"/>
      <c r="D751" s="50"/>
      <c r="E751" s="50"/>
      <c r="F751" s="50"/>
      <c r="G751" s="50"/>
      <c r="H751" s="50"/>
      <c r="I751" s="50"/>
      <c r="J751" s="51"/>
    </row>
    <row r="752" spans="1:13" ht="14.25" customHeight="1">
      <c r="A752" s="55" t="s">
        <v>57</v>
      </c>
      <c r="B752" s="50"/>
      <c r="C752" s="51"/>
      <c r="D752" s="24" t="s">
        <v>59</v>
      </c>
      <c r="E752" s="23">
        <v>1</v>
      </c>
      <c r="F752" s="54"/>
      <c r="G752" s="56"/>
      <c r="H752" s="54">
        <f t="shared" ref="H752:H774" si="22">F752+H678</f>
        <v>1</v>
      </c>
      <c r="I752" s="31"/>
      <c r="J752" s="16"/>
      <c r="K752" s="27">
        <v>800</v>
      </c>
      <c r="L752" s="29">
        <f t="shared" ref="L752:L774" si="23">ROUND(K752*F752,0)</f>
        <v>0</v>
      </c>
    </row>
    <row r="753" spans="1:12" ht="14.25" customHeight="1">
      <c r="A753" s="55" t="s">
        <v>75</v>
      </c>
      <c r="B753" s="50"/>
      <c r="C753" s="51"/>
      <c r="D753" s="24" t="s">
        <v>59</v>
      </c>
      <c r="E753" s="23">
        <v>1</v>
      </c>
      <c r="F753" s="52"/>
      <c r="G753" s="53"/>
      <c r="H753" s="54">
        <f t="shared" si="22"/>
        <v>1</v>
      </c>
      <c r="I753" s="31"/>
      <c r="J753" s="8"/>
      <c r="K753" s="27">
        <v>500</v>
      </c>
      <c r="L753" s="29">
        <f t="shared" si="23"/>
        <v>0</v>
      </c>
    </row>
    <row r="754" spans="1:12" ht="14.25" customHeight="1">
      <c r="A754" s="49" t="s">
        <v>58</v>
      </c>
      <c r="B754" s="50"/>
      <c r="C754" s="51"/>
      <c r="D754" s="24" t="s">
        <v>61</v>
      </c>
      <c r="E754" s="23">
        <v>51</v>
      </c>
      <c r="F754" s="52"/>
      <c r="G754" s="53"/>
      <c r="H754" s="54">
        <f t="shared" si="22"/>
        <v>51</v>
      </c>
      <c r="I754" s="31"/>
      <c r="J754" s="10"/>
      <c r="K754" s="27">
        <v>50</v>
      </c>
      <c r="L754" s="29">
        <f t="shared" si="23"/>
        <v>0</v>
      </c>
    </row>
    <row r="755" spans="1:12" ht="14.25" customHeight="1">
      <c r="A755" s="55" t="s">
        <v>76</v>
      </c>
      <c r="B755" s="50"/>
      <c r="C755" s="51"/>
      <c r="D755" s="24" t="s">
        <v>60</v>
      </c>
      <c r="E755" s="23">
        <v>1</v>
      </c>
      <c r="F755" s="52"/>
      <c r="G755" s="53"/>
      <c r="H755" s="54">
        <f t="shared" si="22"/>
        <v>0</v>
      </c>
      <c r="I755" s="31"/>
      <c r="J755" s="16"/>
      <c r="K755" s="27">
        <v>3000</v>
      </c>
      <c r="L755" s="29">
        <f t="shared" si="23"/>
        <v>0</v>
      </c>
    </row>
    <row r="756" spans="1:12" ht="14.25" customHeight="1">
      <c r="A756" s="55" t="s">
        <v>77</v>
      </c>
      <c r="B756" s="50"/>
      <c r="C756" s="51"/>
      <c r="D756" s="25" t="s">
        <v>60</v>
      </c>
      <c r="E756" s="23">
        <v>1</v>
      </c>
      <c r="F756" s="52"/>
      <c r="G756" s="53"/>
      <c r="H756" s="54">
        <f t="shared" si="22"/>
        <v>0</v>
      </c>
      <c r="I756" s="31"/>
      <c r="J756" s="8"/>
      <c r="K756" s="27">
        <v>3000</v>
      </c>
      <c r="L756" s="29">
        <f t="shared" si="23"/>
        <v>0</v>
      </c>
    </row>
    <row r="757" spans="1:12" ht="28.5" customHeight="1">
      <c r="A757" s="55" t="s">
        <v>78</v>
      </c>
      <c r="B757" s="64"/>
      <c r="C757" s="65"/>
      <c r="D757" s="25" t="s">
        <v>62</v>
      </c>
      <c r="E757" s="23">
        <v>328</v>
      </c>
      <c r="F757" s="30"/>
      <c r="G757" s="63"/>
      <c r="H757" s="54">
        <f t="shared" si="22"/>
        <v>328</v>
      </c>
      <c r="I757" s="31"/>
      <c r="J757" s="8"/>
      <c r="K757" s="28">
        <v>100</v>
      </c>
      <c r="L757" s="29">
        <f t="shared" si="23"/>
        <v>0</v>
      </c>
    </row>
    <row r="758" spans="1:12" ht="14.25" customHeight="1">
      <c r="A758" s="60" t="s">
        <v>79</v>
      </c>
      <c r="B758" s="61"/>
      <c r="C758" s="61"/>
      <c r="D758" s="25" t="s">
        <v>61</v>
      </c>
      <c r="E758" s="23">
        <v>21</v>
      </c>
      <c r="F758" s="62">
        <v>3</v>
      </c>
      <c r="G758" s="62"/>
      <c r="H758" s="54">
        <f t="shared" si="22"/>
        <v>12</v>
      </c>
      <c r="I758" s="31"/>
      <c r="J758" s="8"/>
      <c r="K758" s="27">
        <v>2500</v>
      </c>
      <c r="L758" s="29">
        <f t="shared" si="23"/>
        <v>7500</v>
      </c>
    </row>
    <row r="759" spans="1:12" ht="28.5" customHeight="1">
      <c r="A759" s="55" t="s">
        <v>80</v>
      </c>
      <c r="B759" s="64"/>
      <c r="C759" s="65"/>
      <c r="D759" s="25" t="s">
        <v>81</v>
      </c>
      <c r="E759" s="23">
        <v>5</v>
      </c>
      <c r="F759" s="30"/>
      <c r="G759" s="63"/>
      <c r="H759" s="54">
        <f t="shared" si="22"/>
        <v>0</v>
      </c>
      <c r="I759" s="31"/>
      <c r="J759" s="8"/>
      <c r="K759" s="27">
        <v>5000</v>
      </c>
      <c r="L759" s="29">
        <f t="shared" si="23"/>
        <v>0</v>
      </c>
    </row>
    <row r="760" spans="1:12" ht="14.25" customHeight="1">
      <c r="A760" s="60" t="s">
        <v>82</v>
      </c>
      <c r="B760" s="61"/>
      <c r="C760" s="61"/>
      <c r="D760" s="25" t="s">
        <v>62</v>
      </c>
      <c r="E760" s="23">
        <v>218</v>
      </c>
      <c r="F760" s="62"/>
      <c r="G760" s="62"/>
      <c r="H760" s="54">
        <f t="shared" si="22"/>
        <v>0</v>
      </c>
      <c r="I760" s="31"/>
      <c r="J760" s="8"/>
      <c r="K760" s="27">
        <v>1000</v>
      </c>
      <c r="L760" s="29">
        <f t="shared" si="23"/>
        <v>0</v>
      </c>
    </row>
    <row r="761" spans="1:12" ht="14.25" customHeight="1">
      <c r="A761" s="61" t="s">
        <v>83</v>
      </c>
      <c r="B761" s="61"/>
      <c r="C761" s="61"/>
      <c r="D761" s="25" t="s">
        <v>81</v>
      </c>
      <c r="E761" s="23">
        <v>28</v>
      </c>
      <c r="F761" s="30"/>
      <c r="G761" s="63"/>
      <c r="H761" s="54">
        <f t="shared" si="22"/>
        <v>0</v>
      </c>
      <c r="I761" s="31"/>
      <c r="J761" s="8"/>
      <c r="K761" s="27">
        <v>2000</v>
      </c>
      <c r="L761" s="29">
        <f t="shared" si="23"/>
        <v>0</v>
      </c>
    </row>
    <row r="762" spans="1:12" ht="28.5" customHeight="1">
      <c r="A762" s="60" t="s">
        <v>84</v>
      </c>
      <c r="B762" s="61"/>
      <c r="C762" s="61"/>
      <c r="D762" s="25" t="s">
        <v>62</v>
      </c>
      <c r="E762" s="23">
        <v>245</v>
      </c>
      <c r="F762" s="62"/>
      <c r="G762" s="62"/>
      <c r="H762" s="54">
        <f t="shared" si="22"/>
        <v>0</v>
      </c>
      <c r="I762" s="31"/>
      <c r="J762" s="8"/>
      <c r="K762" s="27">
        <v>1500</v>
      </c>
      <c r="L762" s="29">
        <f t="shared" si="23"/>
        <v>0</v>
      </c>
    </row>
    <row r="763" spans="1:12" ht="14.25" customHeight="1">
      <c r="A763" s="61" t="s">
        <v>85</v>
      </c>
      <c r="B763" s="61"/>
      <c r="C763" s="61"/>
      <c r="D763" s="25" t="s">
        <v>62</v>
      </c>
      <c r="E763" s="23">
        <v>83</v>
      </c>
      <c r="F763" s="30"/>
      <c r="G763" s="63"/>
      <c r="H763" s="54">
        <f t="shared" si="22"/>
        <v>0</v>
      </c>
      <c r="I763" s="31"/>
      <c r="J763" s="8"/>
      <c r="K763" s="27">
        <v>1000</v>
      </c>
      <c r="L763" s="29">
        <f t="shared" si="23"/>
        <v>0</v>
      </c>
    </row>
    <row r="764" spans="1:12" ht="30" customHeight="1">
      <c r="A764" s="60" t="s">
        <v>86</v>
      </c>
      <c r="B764" s="61"/>
      <c r="C764" s="61"/>
      <c r="D764" s="25" t="s">
        <v>62</v>
      </c>
      <c r="E764" s="23">
        <v>164</v>
      </c>
      <c r="F764" s="62"/>
      <c r="G764" s="62"/>
      <c r="H764" s="54">
        <f t="shared" si="22"/>
        <v>0</v>
      </c>
      <c r="I764" s="31"/>
      <c r="J764" s="8"/>
      <c r="K764" s="27">
        <v>500</v>
      </c>
      <c r="L764" s="29">
        <f t="shared" si="23"/>
        <v>0</v>
      </c>
    </row>
    <row r="765" spans="1:12" ht="14.25" customHeight="1">
      <c r="A765" s="60" t="s">
        <v>87</v>
      </c>
      <c r="B765" s="61"/>
      <c r="C765" s="61"/>
      <c r="D765" s="25" t="s">
        <v>62</v>
      </c>
      <c r="E765" s="23">
        <v>37</v>
      </c>
      <c r="F765" s="30"/>
      <c r="G765" s="63"/>
      <c r="H765" s="54">
        <f t="shared" si="22"/>
        <v>37</v>
      </c>
      <c r="I765" s="31"/>
      <c r="J765" s="8"/>
      <c r="K765" s="27">
        <v>1000</v>
      </c>
      <c r="L765" s="29">
        <f t="shared" si="23"/>
        <v>0</v>
      </c>
    </row>
    <row r="766" spans="1:12" ht="14.25" customHeight="1">
      <c r="A766" s="61" t="s">
        <v>88</v>
      </c>
      <c r="B766" s="61"/>
      <c r="C766" s="61"/>
      <c r="D766" s="25" t="s">
        <v>60</v>
      </c>
      <c r="E766" s="23">
        <v>1</v>
      </c>
      <c r="F766" s="62"/>
      <c r="G766" s="62"/>
      <c r="H766" s="54">
        <f t="shared" si="22"/>
        <v>0.95</v>
      </c>
      <c r="I766" s="31"/>
      <c r="J766" s="8"/>
      <c r="K766" s="27">
        <v>250000</v>
      </c>
      <c r="L766" s="29">
        <f t="shared" si="23"/>
        <v>0</v>
      </c>
    </row>
    <row r="767" spans="1:12" ht="14.25" customHeight="1">
      <c r="A767" s="61" t="s">
        <v>89</v>
      </c>
      <c r="B767" s="61"/>
      <c r="C767" s="61"/>
      <c r="D767" s="25" t="s">
        <v>62</v>
      </c>
      <c r="E767" s="23">
        <v>81</v>
      </c>
      <c r="F767" s="30"/>
      <c r="G767" s="63"/>
      <c r="H767" s="54">
        <f t="shared" si="22"/>
        <v>0</v>
      </c>
      <c r="I767" s="31"/>
      <c r="J767" s="8"/>
      <c r="K767" s="27">
        <v>500</v>
      </c>
      <c r="L767" s="29">
        <f t="shared" si="23"/>
        <v>0</v>
      </c>
    </row>
    <row r="768" spans="1:12" ht="29.25" customHeight="1">
      <c r="A768" s="60" t="s">
        <v>90</v>
      </c>
      <c r="B768" s="61"/>
      <c r="C768" s="61"/>
      <c r="D768" s="25" t="s">
        <v>62</v>
      </c>
      <c r="E768" s="23">
        <v>42</v>
      </c>
      <c r="F768" s="62"/>
      <c r="G768" s="62"/>
      <c r="H768" s="54">
        <f t="shared" si="22"/>
        <v>0</v>
      </c>
      <c r="I768" s="31"/>
      <c r="J768" s="8"/>
      <c r="K768" s="27">
        <v>1800</v>
      </c>
      <c r="L768" s="29">
        <f t="shared" si="23"/>
        <v>0</v>
      </c>
    </row>
    <row r="769" spans="1:13" ht="14.25" customHeight="1">
      <c r="A769" s="60" t="s">
        <v>91</v>
      </c>
      <c r="B769" s="61"/>
      <c r="C769" s="61"/>
      <c r="D769" s="25" t="s">
        <v>60</v>
      </c>
      <c r="E769" s="23">
        <v>1</v>
      </c>
      <c r="F769" s="30"/>
      <c r="G769" s="63"/>
      <c r="H769" s="54">
        <f t="shared" si="22"/>
        <v>0</v>
      </c>
      <c r="I769" s="31"/>
      <c r="J769" s="8"/>
      <c r="K769" s="27">
        <v>30000</v>
      </c>
      <c r="L769" s="29">
        <f t="shared" si="23"/>
        <v>0</v>
      </c>
    </row>
    <row r="770" spans="1:13" ht="14.25" customHeight="1">
      <c r="A770" s="61" t="s">
        <v>92</v>
      </c>
      <c r="B770" s="61"/>
      <c r="C770" s="61"/>
      <c r="D770" s="25" t="s">
        <v>60</v>
      </c>
      <c r="E770" s="23">
        <v>1</v>
      </c>
      <c r="F770" s="62"/>
      <c r="G770" s="62"/>
      <c r="H770" s="54">
        <f t="shared" si="22"/>
        <v>0</v>
      </c>
      <c r="I770" s="31"/>
      <c r="J770" s="8"/>
      <c r="K770" s="27">
        <v>13598</v>
      </c>
      <c r="L770" s="29">
        <f t="shared" si="23"/>
        <v>0</v>
      </c>
    </row>
    <row r="771" spans="1:13" ht="14.25" customHeight="1">
      <c r="A771" s="61" t="s">
        <v>93</v>
      </c>
      <c r="B771" s="61"/>
      <c r="C771" s="61"/>
      <c r="D771" s="25" t="s">
        <v>60</v>
      </c>
      <c r="E771" s="23">
        <v>1</v>
      </c>
      <c r="F771" s="62"/>
      <c r="G771" s="62"/>
      <c r="H771" s="54">
        <f t="shared" si="22"/>
        <v>0</v>
      </c>
      <c r="I771" s="31"/>
      <c r="J771" s="8"/>
      <c r="K771" s="27">
        <v>13598</v>
      </c>
      <c r="L771" s="29">
        <f t="shared" si="23"/>
        <v>0</v>
      </c>
    </row>
    <row r="772" spans="1:13" ht="14.25" customHeight="1">
      <c r="A772" s="61" t="s">
        <v>64</v>
      </c>
      <c r="B772" s="61"/>
      <c r="C772" s="61"/>
      <c r="D772" s="25" t="s">
        <v>60</v>
      </c>
      <c r="E772" s="23">
        <v>1</v>
      </c>
      <c r="F772" s="62"/>
      <c r="G772" s="62"/>
      <c r="H772" s="54">
        <f t="shared" si="22"/>
        <v>0</v>
      </c>
      <c r="I772" s="31"/>
      <c r="J772" s="8"/>
      <c r="K772" s="27">
        <v>95182</v>
      </c>
      <c r="L772" s="29">
        <f t="shared" si="23"/>
        <v>0</v>
      </c>
    </row>
    <row r="773" spans="1:13" ht="14.25" customHeight="1">
      <c r="A773" s="61" t="s">
        <v>65</v>
      </c>
      <c r="B773" s="61"/>
      <c r="C773" s="61"/>
      <c r="D773" s="25" t="s">
        <v>60</v>
      </c>
      <c r="E773" s="23">
        <v>1</v>
      </c>
      <c r="F773" s="62"/>
      <c r="G773" s="62"/>
      <c r="H773" s="54">
        <f t="shared" si="22"/>
        <v>0</v>
      </c>
      <c r="I773" s="31"/>
      <c r="J773" s="8"/>
      <c r="K773" s="27">
        <v>4513</v>
      </c>
      <c r="L773" s="29">
        <f t="shared" si="23"/>
        <v>0</v>
      </c>
    </row>
    <row r="774" spans="1:13" ht="14.25" customHeight="1" thickBot="1">
      <c r="A774" s="61" t="s">
        <v>66</v>
      </c>
      <c r="B774" s="61"/>
      <c r="C774" s="61"/>
      <c r="D774" s="25" t="s">
        <v>60</v>
      </c>
      <c r="E774" s="23">
        <v>1</v>
      </c>
      <c r="F774" s="62"/>
      <c r="G774" s="62"/>
      <c r="H774" s="54">
        <f t="shared" si="22"/>
        <v>0</v>
      </c>
      <c r="I774" s="31"/>
      <c r="J774" s="8"/>
      <c r="K774" s="27">
        <v>74332</v>
      </c>
      <c r="L774" s="29">
        <f t="shared" si="23"/>
        <v>0</v>
      </c>
      <c r="M774" s="1" t="s">
        <v>97</v>
      </c>
    </row>
    <row r="775" spans="1:13" ht="14.25" customHeight="1">
      <c r="A775" s="77" t="s">
        <v>46</v>
      </c>
      <c r="B775" s="67"/>
      <c r="C775" s="68"/>
      <c r="D775" s="11"/>
      <c r="E775" s="18"/>
      <c r="F775" s="78"/>
      <c r="G775" s="79"/>
      <c r="H775" s="78"/>
      <c r="I775" s="79"/>
      <c r="J775" s="12"/>
      <c r="K775" s="27" t="s">
        <v>68</v>
      </c>
      <c r="L775" s="29">
        <f>SUM(L752:L774)</f>
        <v>7500</v>
      </c>
      <c r="M775" s="4">
        <f>ROUND(L775/L776,5)</f>
        <v>4.7999999999999996E-3</v>
      </c>
    </row>
    <row r="776" spans="1:13" ht="14.25" customHeight="1">
      <c r="A776" s="69" t="s">
        <v>47</v>
      </c>
      <c r="B776" s="70"/>
      <c r="C776" s="71"/>
      <c r="D776" s="9"/>
      <c r="E776" s="19"/>
      <c r="F776" s="30"/>
      <c r="G776" s="31"/>
      <c r="H776" s="30"/>
      <c r="I776" s="31"/>
      <c r="J776" s="13"/>
      <c r="K776" s="27" t="s">
        <v>67</v>
      </c>
      <c r="L776" s="29">
        <v>1560973</v>
      </c>
      <c r="M776" s="4"/>
    </row>
    <row r="777" spans="1:13" ht="14.25" customHeight="1" thickBot="1">
      <c r="A777" s="72" t="s">
        <v>48</v>
      </c>
      <c r="B777" s="73"/>
      <c r="C777" s="74"/>
      <c r="D777" s="14"/>
      <c r="E777" s="20"/>
      <c r="F777" s="75"/>
      <c r="G777" s="76"/>
      <c r="H777" s="75"/>
      <c r="I777" s="76"/>
      <c r="J777" s="15"/>
    </row>
    <row r="778" spans="1:13" ht="14.25" customHeight="1">
      <c r="A778" s="66" t="s">
        <v>23</v>
      </c>
      <c r="B778" s="67"/>
      <c r="C778" s="67"/>
      <c r="D778" s="67"/>
      <c r="E778" s="67"/>
      <c r="F778" s="67"/>
      <c r="G778" s="67"/>
      <c r="H778" s="67"/>
      <c r="I778" s="67"/>
      <c r="J778" s="68"/>
    </row>
    <row r="779" spans="1:13" ht="14.25" customHeight="1">
      <c r="A779" s="30" t="s">
        <v>24</v>
      </c>
      <c r="B779" s="32"/>
      <c r="C779" s="31"/>
      <c r="D779" s="8" t="s">
        <v>18</v>
      </c>
      <c r="E779" s="8" t="s">
        <v>25</v>
      </c>
      <c r="F779" s="30" t="s">
        <v>26</v>
      </c>
      <c r="G779" s="31"/>
      <c r="H779" s="30" t="s">
        <v>27</v>
      </c>
      <c r="I779" s="31"/>
      <c r="J779" s="8" t="s">
        <v>22</v>
      </c>
    </row>
    <row r="780" spans="1:13" ht="14.25" customHeight="1">
      <c r="A780" s="49"/>
      <c r="B780" s="50"/>
      <c r="C780" s="51"/>
      <c r="D780" s="8"/>
      <c r="E780" s="8"/>
      <c r="F780" s="30"/>
      <c r="G780" s="31"/>
      <c r="H780" s="30"/>
      <c r="I780" s="31"/>
      <c r="J780" s="8"/>
    </row>
    <row r="781" spans="1:13" ht="14.25" customHeight="1">
      <c r="A781" s="49"/>
      <c r="B781" s="50"/>
      <c r="C781" s="51"/>
      <c r="D781" s="8"/>
      <c r="E781" s="8"/>
      <c r="F781" s="30"/>
      <c r="G781" s="31"/>
      <c r="H781" s="30"/>
      <c r="I781" s="31"/>
      <c r="J781" s="8"/>
    </row>
    <row r="782" spans="1:13" ht="14.25" customHeight="1">
      <c r="A782" s="49" t="s">
        <v>28</v>
      </c>
      <c r="B782" s="50"/>
      <c r="C782" s="50"/>
      <c r="D782" s="50"/>
      <c r="E782" s="50"/>
      <c r="F782" s="50"/>
      <c r="G782" s="50"/>
      <c r="H782" s="50"/>
      <c r="I782" s="50"/>
      <c r="J782" s="51"/>
    </row>
    <row r="783" spans="1:13" ht="14.25" customHeight="1">
      <c r="A783" s="30" t="s">
        <v>29</v>
      </c>
      <c r="B783" s="31"/>
      <c r="C783" s="8" t="s">
        <v>30</v>
      </c>
      <c r="D783" s="8" t="s">
        <v>31</v>
      </c>
      <c r="E783" s="30" t="s">
        <v>32</v>
      </c>
      <c r="F783" s="31"/>
      <c r="G783" s="30" t="s">
        <v>26</v>
      </c>
      <c r="H783" s="31"/>
      <c r="I783" s="30" t="s">
        <v>27</v>
      </c>
      <c r="J783" s="31"/>
    </row>
    <row r="784" spans="1:13" ht="14.25" customHeight="1">
      <c r="A784" s="49" t="s">
        <v>106</v>
      </c>
      <c r="B784" s="51"/>
      <c r="C784" s="8">
        <v>2</v>
      </c>
      <c r="D784" s="8">
        <v>4</v>
      </c>
      <c r="E784" s="30"/>
      <c r="F784" s="31"/>
      <c r="G784" s="30"/>
      <c r="H784" s="31"/>
      <c r="I784" s="30"/>
      <c r="J784" s="31"/>
    </row>
    <row r="785" spans="1:27" ht="14.25" customHeight="1">
      <c r="A785" s="49"/>
      <c r="B785" s="51"/>
      <c r="C785" s="8"/>
      <c r="D785" s="8"/>
      <c r="E785" s="30"/>
      <c r="F785" s="31"/>
      <c r="G785" s="30"/>
      <c r="H785" s="31"/>
      <c r="I785" s="30"/>
      <c r="J785" s="31"/>
    </row>
    <row r="786" spans="1:27" ht="14.25" customHeight="1">
      <c r="A786" s="41" t="s">
        <v>45</v>
      </c>
      <c r="B786" s="42"/>
      <c r="C786" s="42"/>
      <c r="D786" s="42"/>
      <c r="E786" s="42"/>
      <c r="F786" s="42"/>
      <c r="G786" s="42"/>
      <c r="H786" s="42"/>
      <c r="I786" s="42"/>
      <c r="J786" s="43"/>
    </row>
    <row r="787" spans="1:27" ht="14.25" customHeight="1">
      <c r="A787" s="44"/>
      <c r="B787" s="45"/>
      <c r="C787" s="45"/>
      <c r="D787" s="45"/>
      <c r="E787" s="45"/>
      <c r="F787" s="45"/>
      <c r="G787" s="45"/>
      <c r="H787" s="45"/>
      <c r="I787" s="45"/>
      <c r="J787" s="46"/>
    </row>
    <row r="788" spans="1:27" ht="14.25" customHeight="1">
      <c r="A788" s="80" t="s">
        <v>52</v>
      </c>
      <c r="B788" s="81"/>
      <c r="C788" s="81"/>
      <c r="D788" s="81"/>
      <c r="E788" s="81"/>
      <c r="F788" s="81"/>
      <c r="G788" s="81"/>
      <c r="H788" s="81"/>
      <c r="I788" s="81"/>
      <c r="J788" s="82"/>
      <c r="M788" s="4"/>
      <c r="N788" s="5"/>
      <c r="O788" s="6"/>
      <c r="S788" s="6"/>
      <c r="W788" s="6"/>
      <c r="AA788" s="6"/>
    </row>
    <row r="789" spans="1:27" ht="14.25" customHeight="1">
      <c r="A789" s="83"/>
      <c r="B789" s="84"/>
      <c r="C789" s="84"/>
      <c r="D789" s="84"/>
      <c r="E789" s="84"/>
      <c r="F789" s="84"/>
      <c r="G789" s="84"/>
      <c r="H789" s="84"/>
      <c r="I789" s="84"/>
      <c r="J789" s="85"/>
    </row>
    <row r="790" spans="1:27" ht="14.25" customHeight="1">
      <c r="A790" s="83"/>
      <c r="B790" s="84"/>
      <c r="C790" s="84"/>
      <c r="D790" s="84"/>
      <c r="E790" s="84"/>
      <c r="F790" s="84"/>
      <c r="G790" s="84"/>
      <c r="H790" s="84"/>
      <c r="I790" s="84"/>
      <c r="J790" s="85"/>
    </row>
    <row r="791" spans="1:27" ht="14.25" customHeight="1">
      <c r="A791" s="83"/>
      <c r="B791" s="84"/>
      <c r="C791" s="84"/>
      <c r="D791" s="84"/>
      <c r="E791" s="84"/>
      <c r="F791" s="84"/>
      <c r="G791" s="84"/>
      <c r="H791" s="84"/>
      <c r="I791" s="84"/>
      <c r="J791" s="85"/>
    </row>
    <row r="792" spans="1:27" ht="14.25" customHeight="1">
      <c r="A792" s="83"/>
      <c r="B792" s="84"/>
      <c r="C792" s="84"/>
      <c r="D792" s="84"/>
      <c r="E792" s="84"/>
      <c r="F792" s="84"/>
      <c r="G792" s="84"/>
      <c r="H792" s="84"/>
      <c r="I792" s="84"/>
      <c r="J792" s="85"/>
    </row>
    <row r="793" spans="1:27" ht="14.25" customHeight="1">
      <c r="A793" s="83"/>
      <c r="B793" s="84"/>
      <c r="C793" s="84"/>
      <c r="D793" s="84"/>
      <c r="E793" s="84"/>
      <c r="F793" s="84"/>
      <c r="G793" s="84"/>
      <c r="H793" s="84"/>
      <c r="I793" s="84"/>
      <c r="J793" s="85"/>
    </row>
    <row r="794" spans="1:27" ht="14.25" customHeight="1">
      <c r="A794" s="86"/>
      <c r="B794" s="87"/>
      <c r="C794" s="87"/>
      <c r="D794" s="87"/>
      <c r="E794" s="87"/>
      <c r="F794" s="87"/>
      <c r="G794" s="87"/>
      <c r="H794" s="87"/>
      <c r="I794" s="87"/>
      <c r="J794" s="88"/>
    </row>
    <row r="795" spans="1:27" ht="14.25" customHeight="1">
      <c r="A795" s="89" t="s">
        <v>33</v>
      </c>
      <c r="B795" s="90"/>
      <c r="C795" s="90"/>
      <c r="D795" s="90"/>
      <c r="E795" s="90"/>
      <c r="F795" s="90"/>
      <c r="G795" s="90"/>
      <c r="H795" s="90"/>
      <c r="I795" s="90"/>
      <c r="J795" s="91"/>
    </row>
    <row r="796" spans="1:27" ht="14.25" customHeight="1">
      <c r="A796" s="92"/>
      <c r="B796" s="93"/>
      <c r="C796" s="93"/>
      <c r="D796" s="93"/>
      <c r="E796" s="93"/>
      <c r="F796" s="93"/>
      <c r="G796" s="93"/>
      <c r="H796" s="93"/>
      <c r="I796" s="93"/>
      <c r="J796" s="94"/>
    </row>
    <row r="797" spans="1:27" ht="14.25" customHeight="1">
      <c r="A797" s="89" t="s">
        <v>34</v>
      </c>
      <c r="B797" s="90"/>
      <c r="C797" s="90"/>
      <c r="D797" s="90"/>
      <c r="E797" s="90"/>
      <c r="F797" s="90"/>
      <c r="G797" s="90"/>
      <c r="H797" s="90"/>
      <c r="I797" s="90"/>
      <c r="J797" s="91"/>
    </row>
    <row r="798" spans="1:27" ht="14.25" customHeight="1">
      <c r="A798" s="92"/>
      <c r="B798" s="93"/>
      <c r="C798" s="93"/>
      <c r="D798" s="93"/>
      <c r="E798" s="93"/>
      <c r="F798" s="93"/>
      <c r="G798" s="93"/>
      <c r="H798" s="93"/>
      <c r="I798" s="93"/>
      <c r="J798" s="94"/>
    </row>
    <row r="799" spans="1:27" ht="14.25" customHeight="1">
      <c r="A799" s="89" t="s">
        <v>108</v>
      </c>
      <c r="B799" s="90"/>
      <c r="C799" s="90"/>
      <c r="D799" s="90"/>
      <c r="E799" s="90"/>
      <c r="F799" s="90"/>
      <c r="G799" s="90"/>
      <c r="H799" s="90"/>
      <c r="I799" s="90"/>
      <c r="J799" s="91"/>
    </row>
    <row r="800" spans="1:27" ht="14.25" customHeight="1">
      <c r="A800" s="92"/>
      <c r="B800" s="93"/>
      <c r="C800" s="93"/>
      <c r="D800" s="93"/>
      <c r="E800" s="93"/>
      <c r="F800" s="93"/>
      <c r="G800" s="93"/>
      <c r="H800" s="93"/>
      <c r="I800" s="93"/>
      <c r="J800" s="94"/>
    </row>
    <row r="801" spans="1:10" ht="14.25" customHeight="1">
      <c r="A801" s="89" t="s">
        <v>35</v>
      </c>
      <c r="B801" s="90"/>
      <c r="C801" s="90"/>
      <c r="D801" s="90"/>
      <c r="E801" s="90"/>
      <c r="F801" s="90"/>
      <c r="G801" s="90"/>
      <c r="H801" s="90"/>
      <c r="I801" s="90"/>
      <c r="J801" s="91"/>
    </row>
    <row r="802" spans="1:10" ht="14.25" customHeight="1">
      <c r="A802" s="92"/>
      <c r="B802" s="93"/>
      <c r="C802" s="93"/>
      <c r="D802" s="93"/>
      <c r="E802" s="93"/>
      <c r="F802" s="93"/>
      <c r="G802" s="93"/>
      <c r="H802" s="93"/>
      <c r="I802" s="93"/>
      <c r="J802" s="94"/>
    </row>
    <row r="803" spans="1:10" ht="14.25" customHeight="1">
      <c r="A803" s="99" t="s">
        <v>36</v>
      </c>
      <c r="B803" s="99"/>
      <c r="C803" s="99"/>
      <c r="D803" s="99"/>
      <c r="E803" s="99"/>
      <c r="F803" s="99"/>
      <c r="G803" s="99"/>
      <c r="H803" s="99"/>
      <c r="I803" s="99"/>
      <c r="J803" s="99"/>
    </row>
    <row r="804" spans="1:10" ht="14.25" customHeight="1">
      <c r="A804" s="95" t="s">
        <v>37</v>
      </c>
      <c r="B804" s="95"/>
      <c r="C804" s="95"/>
      <c r="D804" s="95"/>
      <c r="E804" s="95"/>
      <c r="F804" s="95"/>
      <c r="G804" s="95"/>
      <c r="H804" s="95"/>
      <c r="I804" s="95"/>
      <c r="J804" s="95"/>
    </row>
    <row r="805" spans="1:10" ht="14.25" customHeight="1">
      <c r="A805" s="95" t="s">
        <v>38</v>
      </c>
      <c r="B805" s="95"/>
      <c r="C805" s="95"/>
      <c r="D805" s="95"/>
      <c r="E805" s="95"/>
      <c r="F805" s="95"/>
      <c r="G805" s="95"/>
      <c r="H805" s="95"/>
      <c r="I805" s="95"/>
      <c r="J805" s="95"/>
    </row>
    <row r="806" spans="1:10" ht="14.25" customHeight="1">
      <c r="A806" s="95" t="s">
        <v>39</v>
      </c>
      <c r="B806" s="95"/>
      <c r="C806" s="95"/>
      <c r="D806" s="95"/>
      <c r="E806" s="95"/>
      <c r="F806" s="95"/>
      <c r="G806" s="95"/>
      <c r="H806" s="95"/>
      <c r="I806" s="95"/>
      <c r="J806" s="95"/>
    </row>
    <row r="807" spans="1:10" ht="14.25" customHeight="1">
      <c r="A807" s="95" t="s">
        <v>40</v>
      </c>
      <c r="B807" s="95"/>
      <c r="C807" s="95"/>
      <c r="D807" s="95"/>
      <c r="E807" s="95"/>
      <c r="F807" s="95"/>
      <c r="G807" s="95"/>
      <c r="H807" s="95"/>
      <c r="I807" s="95"/>
      <c r="J807" s="95"/>
    </row>
    <row r="808" spans="1:10" ht="14.25" customHeight="1">
      <c r="A808" s="95" t="s">
        <v>41</v>
      </c>
      <c r="B808" s="95"/>
      <c r="C808" s="95"/>
      <c r="D808" s="95"/>
      <c r="E808" s="95"/>
      <c r="F808" s="95"/>
      <c r="G808" s="95"/>
      <c r="H808" s="95"/>
      <c r="I808" s="95"/>
      <c r="J808" s="95"/>
    </row>
    <row r="809" spans="1:10" ht="14.25" customHeight="1">
      <c r="A809" s="95" t="s">
        <v>42</v>
      </c>
      <c r="B809" s="95"/>
      <c r="C809" s="95"/>
      <c r="D809" s="95"/>
      <c r="E809" s="95"/>
      <c r="F809" s="95"/>
      <c r="G809" s="95"/>
      <c r="H809" s="95"/>
      <c r="I809" s="95"/>
      <c r="J809" s="95"/>
    </row>
    <row r="810" spans="1:10" ht="14.25" customHeight="1">
      <c r="A810" s="100" t="s">
        <v>43</v>
      </c>
      <c r="B810" s="100"/>
      <c r="C810" s="100"/>
      <c r="D810" s="100"/>
      <c r="E810" s="100"/>
      <c r="F810" s="100"/>
      <c r="G810" s="100"/>
      <c r="H810" s="100"/>
      <c r="I810" s="100"/>
      <c r="J810" s="100"/>
    </row>
    <row r="811" spans="1:10" ht="14.25" customHeight="1">
      <c r="A811" s="95" t="s">
        <v>44</v>
      </c>
      <c r="B811" s="95"/>
      <c r="C811" s="95"/>
      <c r="D811" s="95"/>
      <c r="E811" s="95"/>
      <c r="F811" s="95"/>
      <c r="G811" s="95"/>
      <c r="H811" s="95"/>
      <c r="I811" s="95"/>
      <c r="J811" s="95"/>
    </row>
    <row r="812" spans="1:10" ht="29.25" customHeight="1">
      <c r="A812" s="96" t="s">
        <v>51</v>
      </c>
      <c r="B812" s="96"/>
      <c r="C812" s="96"/>
      <c r="D812" s="96"/>
      <c r="E812" s="96"/>
      <c r="F812" s="96"/>
      <c r="G812" s="96"/>
      <c r="H812" s="96"/>
      <c r="I812" s="96"/>
      <c r="J812" s="96"/>
    </row>
    <row r="813" spans="1:10" ht="14.25" customHeight="1">
      <c r="A813" s="101" t="s">
        <v>49</v>
      </c>
      <c r="B813" s="101"/>
      <c r="C813" s="101"/>
      <c r="D813" s="101"/>
      <c r="E813" s="101"/>
      <c r="F813" s="101"/>
      <c r="G813" s="101"/>
      <c r="H813" s="101"/>
      <c r="I813" s="101"/>
      <c r="J813" s="101"/>
    </row>
    <row r="814" spans="1:10" ht="14.25" customHeight="1"/>
    <row r="815" spans="1:10" ht="14.25" customHeight="1">
      <c r="A815" s="33" t="s">
        <v>0</v>
      </c>
      <c r="B815" s="33"/>
      <c r="C815" s="33"/>
      <c r="D815" s="33"/>
      <c r="E815" s="33"/>
      <c r="F815" s="33"/>
      <c r="G815" s="33"/>
      <c r="H815" s="33"/>
      <c r="I815" s="33"/>
      <c r="J815" s="33"/>
    </row>
    <row r="816" spans="1:10">
      <c r="A816" s="2" t="s">
        <v>1</v>
      </c>
      <c r="B816" s="3" t="str">
        <f>"GD-"&amp;IF(LEN(E820)=2,TEXT(LEFT(E820,1),"000"),IF(LEN(E820)=3,TEXT(LEFT(E820,2),"000"),TEXT(LEFT(E820,3),"000")))</f>
        <v>GD-012</v>
      </c>
      <c r="C816" s="2"/>
      <c r="D816" s="2"/>
      <c r="E816" s="2"/>
      <c r="F816" s="2"/>
      <c r="G816" s="2"/>
      <c r="H816" s="2"/>
      <c r="I816" s="2"/>
      <c r="J816" s="2"/>
    </row>
    <row r="817" spans="1:13" ht="14.25" customHeight="1">
      <c r="A817" s="34" t="s">
        <v>2</v>
      </c>
      <c r="B817" s="34"/>
      <c r="C817" s="34"/>
      <c r="D817" s="34"/>
      <c r="E817" s="34"/>
      <c r="F817" s="35" t="s">
        <v>3</v>
      </c>
      <c r="G817" s="35"/>
      <c r="H817" s="36">
        <f>H743+1</f>
        <v>45653</v>
      </c>
      <c r="I817" s="36"/>
      <c r="J817" s="7" t="str">
        <f>"("&amp;TEXT(H817,"[$-404]aaaa;@")&amp;")"</f>
        <v>(星期五)</v>
      </c>
    </row>
    <row r="818" spans="1:13" ht="14.25" customHeight="1">
      <c r="A818" s="37" t="s">
        <v>4</v>
      </c>
      <c r="B818" s="38"/>
      <c r="C818" s="41" t="str">
        <f>C744</f>
        <v>雲林縣成功國小思源堂整修工程</v>
      </c>
      <c r="D818" s="42"/>
      <c r="E818" s="43"/>
      <c r="F818" s="37" t="s">
        <v>5</v>
      </c>
      <c r="G818" s="38"/>
      <c r="H818" s="37" t="str">
        <f>H744</f>
        <v>正郁室內裝修</v>
      </c>
      <c r="I818" s="47"/>
      <c r="J818" s="38"/>
    </row>
    <row r="819" spans="1:13" ht="14.25" customHeight="1">
      <c r="A819" s="39"/>
      <c r="B819" s="40"/>
      <c r="C819" s="44"/>
      <c r="D819" s="45"/>
      <c r="E819" s="46"/>
      <c r="F819" s="39"/>
      <c r="G819" s="40"/>
      <c r="H819" s="39"/>
      <c r="I819" s="48"/>
      <c r="J819" s="40"/>
    </row>
    <row r="820" spans="1:13" ht="14.25" customHeight="1">
      <c r="A820" s="8" t="s">
        <v>7</v>
      </c>
      <c r="B820" s="8" t="str">
        <f>B746</f>
        <v>60天</v>
      </c>
      <c r="C820" s="30" t="s">
        <v>8</v>
      </c>
      <c r="D820" s="31"/>
      <c r="E820" s="8" t="str">
        <f>IF(LEN(E746)&gt;2,(LEFT(E746,2)+1),(LEFT(E746,1)+1))&amp;"天"</f>
        <v>12天</v>
      </c>
      <c r="F820" s="8" t="s">
        <v>9</v>
      </c>
      <c r="G820" s="8" t="str">
        <f>IF(LEN(E820)&gt;2,LEFT(B820,2)-LEFT(E820,2),LEFT(B820,2)-LEFT(E820,1))&amp;"天"</f>
        <v>48天</v>
      </c>
      <c r="H820" s="30" t="s">
        <v>10</v>
      </c>
      <c r="I820" s="31"/>
      <c r="J820" s="8" t="str">
        <f>J746</f>
        <v>0天</v>
      </c>
    </row>
    <row r="821" spans="1:13" ht="14.25" customHeight="1">
      <c r="A821" s="30" t="s">
        <v>12</v>
      </c>
      <c r="B821" s="31"/>
      <c r="C821" s="30" t="str">
        <f>C747</f>
        <v>113年12月16日</v>
      </c>
      <c r="D821" s="32"/>
      <c r="E821" s="31"/>
      <c r="F821" s="30" t="s">
        <v>13</v>
      </c>
      <c r="G821" s="31"/>
      <c r="H821" s="30" t="str">
        <f>H747</f>
        <v>114年02月13日</v>
      </c>
      <c r="I821" s="32"/>
      <c r="J821" s="31"/>
    </row>
    <row r="822" spans="1:13" ht="14.25" customHeight="1">
      <c r="A822" s="30" t="s">
        <v>14</v>
      </c>
      <c r="B822" s="31"/>
      <c r="C822" s="57">
        <f>(5%/12)*12</f>
        <v>0.05</v>
      </c>
      <c r="D822" s="58"/>
      <c r="E822" s="59"/>
      <c r="F822" s="30" t="s">
        <v>15</v>
      </c>
      <c r="G822" s="31"/>
      <c r="H822" s="57">
        <f>ROUND(L849/L850,5)+H748</f>
        <v>0.22334000000000001</v>
      </c>
      <c r="I822" s="58"/>
      <c r="J822" s="59"/>
      <c r="K822" s="26" t="s">
        <v>69</v>
      </c>
      <c r="L822" s="22"/>
      <c r="M822" s="4"/>
    </row>
    <row r="823" spans="1:13" ht="14.25" customHeight="1">
      <c r="A823" s="49" t="s">
        <v>16</v>
      </c>
      <c r="B823" s="50"/>
      <c r="C823" s="50"/>
      <c r="D823" s="50"/>
      <c r="E823" s="50"/>
      <c r="F823" s="50"/>
      <c r="G823" s="50"/>
      <c r="H823" s="50"/>
      <c r="I823" s="50"/>
      <c r="J823" s="51"/>
      <c r="L823" s="22"/>
      <c r="M823" s="4"/>
    </row>
    <row r="824" spans="1:13" ht="14.25" customHeight="1">
      <c r="A824" s="30" t="s">
        <v>17</v>
      </c>
      <c r="B824" s="32"/>
      <c r="C824" s="31"/>
      <c r="D824" s="8" t="s">
        <v>18</v>
      </c>
      <c r="E824" s="17" t="s">
        <v>19</v>
      </c>
      <c r="F824" s="30" t="s">
        <v>20</v>
      </c>
      <c r="G824" s="31"/>
      <c r="H824" s="30" t="s">
        <v>21</v>
      </c>
      <c r="I824" s="31"/>
      <c r="J824" s="8" t="s">
        <v>22</v>
      </c>
      <c r="L824" s="22"/>
      <c r="M824" s="4"/>
    </row>
    <row r="825" spans="1:13" ht="14.25" customHeight="1">
      <c r="A825" s="49" t="s">
        <v>56</v>
      </c>
      <c r="B825" s="50"/>
      <c r="C825" s="50"/>
      <c r="D825" s="50"/>
      <c r="E825" s="50"/>
      <c r="F825" s="50"/>
      <c r="G825" s="50"/>
      <c r="H825" s="50"/>
      <c r="I825" s="50"/>
      <c r="J825" s="51"/>
    </row>
    <row r="826" spans="1:13" ht="14.25" customHeight="1">
      <c r="A826" s="55" t="s">
        <v>57</v>
      </c>
      <c r="B826" s="50"/>
      <c r="C826" s="51"/>
      <c r="D826" s="24" t="s">
        <v>59</v>
      </c>
      <c r="E826" s="23">
        <v>1</v>
      </c>
      <c r="F826" s="54"/>
      <c r="G826" s="56"/>
      <c r="H826" s="54">
        <f t="shared" ref="H826:H848" si="24">F826+H752</f>
        <v>1</v>
      </c>
      <c r="I826" s="31"/>
      <c r="J826" s="16"/>
      <c r="K826" s="27">
        <v>800</v>
      </c>
      <c r="L826" s="29">
        <f t="shared" ref="L826:L848" si="25">ROUND(K826*F826,0)</f>
        <v>0</v>
      </c>
    </row>
    <row r="827" spans="1:13" ht="14.25" customHeight="1">
      <c r="A827" s="55" t="s">
        <v>75</v>
      </c>
      <c r="B827" s="50"/>
      <c r="C827" s="51"/>
      <c r="D827" s="24" t="s">
        <v>59</v>
      </c>
      <c r="E827" s="23">
        <v>1</v>
      </c>
      <c r="F827" s="52"/>
      <c r="G827" s="53"/>
      <c r="H827" s="54">
        <f t="shared" si="24"/>
        <v>1</v>
      </c>
      <c r="I827" s="31"/>
      <c r="J827" s="8"/>
      <c r="K827" s="27">
        <v>500</v>
      </c>
      <c r="L827" s="29">
        <f t="shared" si="25"/>
        <v>0</v>
      </c>
    </row>
    <row r="828" spans="1:13" ht="14.25" customHeight="1">
      <c r="A828" s="49" t="s">
        <v>58</v>
      </c>
      <c r="B828" s="50"/>
      <c r="C828" s="51"/>
      <c r="D828" s="24" t="s">
        <v>61</v>
      </c>
      <c r="E828" s="23">
        <v>51</v>
      </c>
      <c r="F828" s="52"/>
      <c r="G828" s="53"/>
      <c r="H828" s="54">
        <f t="shared" si="24"/>
        <v>51</v>
      </c>
      <c r="I828" s="31"/>
      <c r="J828" s="10"/>
      <c r="K828" s="27">
        <v>50</v>
      </c>
      <c r="L828" s="29">
        <f t="shared" si="25"/>
        <v>0</v>
      </c>
    </row>
    <row r="829" spans="1:13" ht="14.25" customHeight="1">
      <c r="A829" s="55" t="s">
        <v>76</v>
      </c>
      <c r="B829" s="50"/>
      <c r="C829" s="51"/>
      <c r="D829" s="24" t="s">
        <v>60</v>
      </c>
      <c r="E829" s="23">
        <v>1</v>
      </c>
      <c r="F829" s="52"/>
      <c r="G829" s="53"/>
      <c r="H829" s="54">
        <f t="shared" si="24"/>
        <v>0</v>
      </c>
      <c r="I829" s="31"/>
      <c r="J829" s="16"/>
      <c r="K829" s="27">
        <v>3000</v>
      </c>
      <c r="L829" s="29">
        <f t="shared" si="25"/>
        <v>0</v>
      </c>
    </row>
    <row r="830" spans="1:13" ht="14.25" customHeight="1">
      <c r="A830" s="55" t="s">
        <v>77</v>
      </c>
      <c r="B830" s="50"/>
      <c r="C830" s="51"/>
      <c r="D830" s="25" t="s">
        <v>60</v>
      </c>
      <c r="E830" s="23">
        <v>1</v>
      </c>
      <c r="F830" s="52"/>
      <c r="G830" s="53"/>
      <c r="H830" s="54">
        <f t="shared" si="24"/>
        <v>0</v>
      </c>
      <c r="I830" s="31"/>
      <c r="J830" s="8"/>
      <c r="K830" s="27">
        <v>3000</v>
      </c>
      <c r="L830" s="29">
        <f t="shared" si="25"/>
        <v>0</v>
      </c>
    </row>
    <row r="831" spans="1:13" ht="28.5" customHeight="1">
      <c r="A831" s="55" t="s">
        <v>78</v>
      </c>
      <c r="B831" s="64"/>
      <c r="C831" s="65"/>
      <c r="D831" s="25" t="s">
        <v>62</v>
      </c>
      <c r="E831" s="23">
        <v>328</v>
      </c>
      <c r="F831" s="30"/>
      <c r="G831" s="63"/>
      <c r="H831" s="54">
        <f t="shared" si="24"/>
        <v>328</v>
      </c>
      <c r="I831" s="31"/>
      <c r="J831" s="8"/>
      <c r="K831" s="28">
        <v>100</v>
      </c>
      <c r="L831" s="29">
        <f t="shared" si="25"/>
        <v>0</v>
      </c>
    </row>
    <row r="832" spans="1:13" ht="14.25" customHeight="1">
      <c r="A832" s="60" t="s">
        <v>79</v>
      </c>
      <c r="B832" s="61"/>
      <c r="C832" s="61"/>
      <c r="D832" s="25" t="s">
        <v>61</v>
      </c>
      <c r="E832" s="23">
        <v>21</v>
      </c>
      <c r="F832" s="62">
        <v>3</v>
      </c>
      <c r="G832" s="62"/>
      <c r="H832" s="54">
        <f t="shared" si="24"/>
        <v>15</v>
      </c>
      <c r="I832" s="31"/>
      <c r="J832" s="8"/>
      <c r="K832" s="27">
        <v>2500</v>
      </c>
      <c r="L832" s="29">
        <f t="shared" si="25"/>
        <v>7500</v>
      </c>
    </row>
    <row r="833" spans="1:13" ht="28.5" customHeight="1">
      <c r="A833" s="55" t="s">
        <v>80</v>
      </c>
      <c r="B833" s="64"/>
      <c r="C833" s="65"/>
      <c r="D833" s="25" t="s">
        <v>81</v>
      </c>
      <c r="E833" s="23">
        <v>5</v>
      </c>
      <c r="F833" s="30"/>
      <c r="G833" s="63"/>
      <c r="H833" s="54">
        <f t="shared" si="24"/>
        <v>0</v>
      </c>
      <c r="I833" s="31"/>
      <c r="J833" s="8"/>
      <c r="K833" s="27">
        <v>5000</v>
      </c>
      <c r="L833" s="29">
        <f t="shared" si="25"/>
        <v>0</v>
      </c>
    </row>
    <row r="834" spans="1:13" ht="14.25" customHeight="1">
      <c r="A834" s="60" t="s">
        <v>82</v>
      </c>
      <c r="B834" s="61"/>
      <c r="C834" s="61"/>
      <c r="D834" s="25" t="s">
        <v>62</v>
      </c>
      <c r="E834" s="23">
        <v>218</v>
      </c>
      <c r="F834" s="62"/>
      <c r="G834" s="62"/>
      <c r="H834" s="54">
        <f t="shared" si="24"/>
        <v>0</v>
      </c>
      <c r="I834" s="31"/>
      <c r="J834" s="8"/>
      <c r="K834" s="27">
        <v>1000</v>
      </c>
      <c r="L834" s="29">
        <f t="shared" si="25"/>
        <v>0</v>
      </c>
    </row>
    <row r="835" spans="1:13" ht="14.25" customHeight="1">
      <c r="A835" s="61" t="s">
        <v>83</v>
      </c>
      <c r="B835" s="61"/>
      <c r="C835" s="61"/>
      <c r="D835" s="25" t="s">
        <v>81</v>
      </c>
      <c r="E835" s="23">
        <v>28</v>
      </c>
      <c r="F835" s="30"/>
      <c r="G835" s="63"/>
      <c r="H835" s="54">
        <f t="shared" si="24"/>
        <v>0</v>
      </c>
      <c r="I835" s="31"/>
      <c r="J835" s="8"/>
      <c r="K835" s="27">
        <v>2000</v>
      </c>
      <c r="L835" s="29">
        <f t="shared" si="25"/>
        <v>0</v>
      </c>
    </row>
    <row r="836" spans="1:13" ht="28.5" customHeight="1">
      <c r="A836" s="60" t="s">
        <v>84</v>
      </c>
      <c r="B836" s="61"/>
      <c r="C836" s="61"/>
      <c r="D836" s="25" t="s">
        <v>62</v>
      </c>
      <c r="E836" s="23">
        <v>245</v>
      </c>
      <c r="F836" s="62"/>
      <c r="G836" s="62"/>
      <c r="H836" s="54">
        <f t="shared" si="24"/>
        <v>0</v>
      </c>
      <c r="I836" s="31"/>
      <c r="J836" s="8"/>
      <c r="K836" s="27">
        <v>1500</v>
      </c>
      <c r="L836" s="29">
        <f t="shared" si="25"/>
        <v>0</v>
      </c>
    </row>
    <row r="837" spans="1:13" ht="14.25" customHeight="1">
      <c r="A837" s="61" t="s">
        <v>85</v>
      </c>
      <c r="B837" s="61"/>
      <c r="C837" s="61"/>
      <c r="D837" s="25" t="s">
        <v>62</v>
      </c>
      <c r="E837" s="23">
        <v>83</v>
      </c>
      <c r="F837" s="30"/>
      <c r="G837" s="63"/>
      <c r="H837" s="54">
        <f t="shared" si="24"/>
        <v>0</v>
      </c>
      <c r="I837" s="31"/>
      <c r="J837" s="8"/>
      <c r="K837" s="27">
        <v>1000</v>
      </c>
      <c r="L837" s="29">
        <f t="shared" si="25"/>
        <v>0</v>
      </c>
    </row>
    <row r="838" spans="1:13" ht="30" customHeight="1">
      <c r="A838" s="60" t="s">
        <v>86</v>
      </c>
      <c r="B838" s="61"/>
      <c r="C838" s="61"/>
      <c r="D838" s="25" t="s">
        <v>62</v>
      </c>
      <c r="E838" s="23">
        <v>164</v>
      </c>
      <c r="F838" s="62"/>
      <c r="G838" s="62"/>
      <c r="H838" s="54">
        <f t="shared" si="24"/>
        <v>0</v>
      </c>
      <c r="I838" s="31"/>
      <c r="J838" s="8"/>
      <c r="K838" s="27">
        <v>500</v>
      </c>
      <c r="L838" s="29">
        <f t="shared" si="25"/>
        <v>0</v>
      </c>
    </row>
    <row r="839" spans="1:13" ht="14.25" customHeight="1">
      <c r="A839" s="60" t="s">
        <v>87</v>
      </c>
      <c r="B839" s="61"/>
      <c r="C839" s="61"/>
      <c r="D839" s="25" t="s">
        <v>62</v>
      </c>
      <c r="E839" s="23">
        <v>37</v>
      </c>
      <c r="F839" s="30"/>
      <c r="G839" s="63"/>
      <c r="H839" s="54">
        <f t="shared" si="24"/>
        <v>37</v>
      </c>
      <c r="I839" s="31"/>
      <c r="J839" s="8"/>
      <c r="K839" s="27">
        <v>1000</v>
      </c>
      <c r="L839" s="29">
        <f t="shared" si="25"/>
        <v>0</v>
      </c>
    </row>
    <row r="840" spans="1:13" ht="14.25" customHeight="1">
      <c r="A840" s="61" t="s">
        <v>88</v>
      </c>
      <c r="B840" s="61"/>
      <c r="C840" s="61"/>
      <c r="D840" s="25" t="s">
        <v>60</v>
      </c>
      <c r="E840" s="23">
        <v>1</v>
      </c>
      <c r="F840" s="62"/>
      <c r="G840" s="62"/>
      <c r="H840" s="54">
        <f t="shared" si="24"/>
        <v>0.95</v>
      </c>
      <c r="I840" s="31"/>
      <c r="J840" s="8"/>
      <c r="K840" s="27">
        <v>250000</v>
      </c>
      <c r="L840" s="29">
        <f t="shared" si="25"/>
        <v>0</v>
      </c>
    </row>
    <row r="841" spans="1:13" ht="14.25" customHeight="1">
      <c r="A841" s="61" t="s">
        <v>89</v>
      </c>
      <c r="B841" s="61"/>
      <c r="C841" s="61"/>
      <c r="D841" s="25" t="s">
        <v>62</v>
      </c>
      <c r="E841" s="23">
        <v>81</v>
      </c>
      <c r="F841" s="30"/>
      <c r="G841" s="63"/>
      <c r="H841" s="54">
        <f t="shared" si="24"/>
        <v>0</v>
      </c>
      <c r="I841" s="31"/>
      <c r="J841" s="8"/>
      <c r="K841" s="27">
        <v>500</v>
      </c>
      <c r="L841" s="29">
        <f t="shared" si="25"/>
        <v>0</v>
      </c>
    </row>
    <row r="842" spans="1:13" ht="29.25" customHeight="1">
      <c r="A842" s="60" t="s">
        <v>90</v>
      </c>
      <c r="B842" s="61"/>
      <c r="C842" s="61"/>
      <c r="D842" s="25" t="s">
        <v>62</v>
      </c>
      <c r="E842" s="23">
        <v>42</v>
      </c>
      <c r="F842" s="62"/>
      <c r="G842" s="62"/>
      <c r="H842" s="54">
        <f t="shared" si="24"/>
        <v>0</v>
      </c>
      <c r="I842" s="31"/>
      <c r="J842" s="8"/>
      <c r="K842" s="27">
        <v>1800</v>
      </c>
      <c r="L842" s="29">
        <f t="shared" si="25"/>
        <v>0</v>
      </c>
    </row>
    <row r="843" spans="1:13" ht="14.25" customHeight="1">
      <c r="A843" s="60" t="s">
        <v>91</v>
      </c>
      <c r="B843" s="61"/>
      <c r="C843" s="61"/>
      <c r="D843" s="25" t="s">
        <v>60</v>
      </c>
      <c r="E843" s="23">
        <v>1</v>
      </c>
      <c r="F843" s="30"/>
      <c r="G843" s="63"/>
      <c r="H843" s="54">
        <f t="shared" si="24"/>
        <v>0</v>
      </c>
      <c r="I843" s="31"/>
      <c r="J843" s="8"/>
      <c r="K843" s="27">
        <v>30000</v>
      </c>
      <c r="L843" s="29">
        <f t="shared" si="25"/>
        <v>0</v>
      </c>
    </row>
    <row r="844" spans="1:13" ht="14.25" customHeight="1">
      <c r="A844" s="61" t="s">
        <v>92</v>
      </c>
      <c r="B844" s="61"/>
      <c r="C844" s="61"/>
      <c r="D844" s="25" t="s">
        <v>60</v>
      </c>
      <c r="E844" s="23">
        <v>1</v>
      </c>
      <c r="F844" s="62"/>
      <c r="G844" s="62"/>
      <c r="H844" s="54">
        <f t="shared" si="24"/>
        <v>0</v>
      </c>
      <c r="I844" s="31"/>
      <c r="J844" s="8"/>
      <c r="K844" s="27">
        <v>13598</v>
      </c>
      <c r="L844" s="29">
        <f t="shared" si="25"/>
        <v>0</v>
      </c>
    </row>
    <row r="845" spans="1:13" ht="14.25" customHeight="1">
      <c r="A845" s="61" t="s">
        <v>93</v>
      </c>
      <c r="B845" s="61"/>
      <c r="C845" s="61"/>
      <c r="D845" s="25" t="s">
        <v>60</v>
      </c>
      <c r="E845" s="23">
        <v>1</v>
      </c>
      <c r="F845" s="62"/>
      <c r="G845" s="62"/>
      <c r="H845" s="54">
        <f t="shared" si="24"/>
        <v>0</v>
      </c>
      <c r="I845" s="31"/>
      <c r="J845" s="8"/>
      <c r="K845" s="27">
        <v>13598</v>
      </c>
      <c r="L845" s="29">
        <f t="shared" si="25"/>
        <v>0</v>
      </c>
    </row>
    <row r="846" spans="1:13" ht="14.25" customHeight="1">
      <c r="A846" s="61" t="s">
        <v>64</v>
      </c>
      <c r="B846" s="61"/>
      <c r="C846" s="61"/>
      <c r="D846" s="25" t="s">
        <v>60</v>
      </c>
      <c r="E846" s="23">
        <v>1</v>
      </c>
      <c r="F846" s="62"/>
      <c r="G846" s="62"/>
      <c r="H846" s="54">
        <f t="shared" si="24"/>
        <v>0</v>
      </c>
      <c r="I846" s="31"/>
      <c r="J846" s="8"/>
      <c r="K846" s="27">
        <v>95182</v>
      </c>
      <c r="L846" s="29">
        <f t="shared" si="25"/>
        <v>0</v>
      </c>
    </row>
    <row r="847" spans="1:13" ht="14.25" customHeight="1">
      <c r="A847" s="61" t="s">
        <v>65</v>
      </c>
      <c r="B847" s="61"/>
      <c r="C847" s="61"/>
      <c r="D847" s="25" t="s">
        <v>60</v>
      </c>
      <c r="E847" s="23">
        <v>1</v>
      </c>
      <c r="F847" s="62"/>
      <c r="G847" s="62"/>
      <c r="H847" s="54">
        <f t="shared" si="24"/>
        <v>0</v>
      </c>
      <c r="I847" s="31"/>
      <c r="J847" s="8"/>
      <c r="K847" s="27">
        <v>4513</v>
      </c>
      <c r="L847" s="29">
        <f t="shared" si="25"/>
        <v>0</v>
      </c>
    </row>
    <row r="848" spans="1:13" ht="14.25" customHeight="1" thickBot="1">
      <c r="A848" s="61" t="s">
        <v>66</v>
      </c>
      <c r="B848" s="61"/>
      <c r="C848" s="61"/>
      <c r="D848" s="25" t="s">
        <v>60</v>
      </c>
      <c r="E848" s="23">
        <v>1</v>
      </c>
      <c r="F848" s="62"/>
      <c r="G848" s="62"/>
      <c r="H848" s="54">
        <f t="shared" si="24"/>
        <v>0</v>
      </c>
      <c r="I848" s="31"/>
      <c r="J848" s="8"/>
      <c r="K848" s="27">
        <v>74332</v>
      </c>
      <c r="L848" s="29">
        <f t="shared" si="25"/>
        <v>0</v>
      </c>
      <c r="M848" s="1" t="s">
        <v>97</v>
      </c>
    </row>
    <row r="849" spans="1:27" ht="14.25" customHeight="1">
      <c r="A849" s="77" t="s">
        <v>46</v>
      </c>
      <c r="B849" s="67"/>
      <c r="C849" s="68"/>
      <c r="D849" s="11"/>
      <c r="E849" s="18"/>
      <c r="F849" s="78"/>
      <c r="G849" s="79"/>
      <c r="H849" s="78"/>
      <c r="I849" s="79"/>
      <c r="J849" s="12"/>
      <c r="K849" s="27" t="s">
        <v>68</v>
      </c>
      <c r="L849" s="29">
        <f>SUM(L826:L848)</f>
        <v>7500</v>
      </c>
      <c r="M849" s="4">
        <f>ROUND(L849/L850,5)</f>
        <v>4.7999999999999996E-3</v>
      </c>
    </row>
    <row r="850" spans="1:27" ht="14.25" customHeight="1">
      <c r="A850" s="69" t="s">
        <v>47</v>
      </c>
      <c r="B850" s="70"/>
      <c r="C850" s="71"/>
      <c r="D850" s="9"/>
      <c r="E850" s="19"/>
      <c r="F850" s="30"/>
      <c r="G850" s="31"/>
      <c r="H850" s="30"/>
      <c r="I850" s="31"/>
      <c r="J850" s="13"/>
      <c r="K850" s="27" t="s">
        <v>67</v>
      </c>
      <c r="L850" s="29">
        <v>1560973</v>
      </c>
      <c r="M850" s="4"/>
    </row>
    <row r="851" spans="1:27" ht="14.25" customHeight="1" thickBot="1">
      <c r="A851" s="72" t="s">
        <v>48</v>
      </c>
      <c r="B851" s="73"/>
      <c r="C851" s="74"/>
      <c r="D851" s="14"/>
      <c r="E851" s="20"/>
      <c r="F851" s="75"/>
      <c r="G851" s="76"/>
      <c r="H851" s="75"/>
      <c r="I851" s="76"/>
      <c r="J851" s="15"/>
    </row>
    <row r="852" spans="1:27" ht="14.25" customHeight="1">
      <c r="A852" s="66" t="s">
        <v>23</v>
      </c>
      <c r="B852" s="67"/>
      <c r="C852" s="67"/>
      <c r="D852" s="67"/>
      <c r="E852" s="67"/>
      <c r="F852" s="67"/>
      <c r="G852" s="67"/>
      <c r="H852" s="67"/>
      <c r="I852" s="67"/>
      <c r="J852" s="68"/>
    </row>
    <row r="853" spans="1:27" ht="14.25" customHeight="1">
      <c r="A853" s="30" t="s">
        <v>24</v>
      </c>
      <c r="B853" s="32"/>
      <c r="C853" s="31"/>
      <c r="D853" s="8" t="s">
        <v>18</v>
      </c>
      <c r="E853" s="8" t="s">
        <v>25</v>
      </c>
      <c r="F853" s="30" t="s">
        <v>26</v>
      </c>
      <c r="G853" s="31"/>
      <c r="H853" s="30" t="s">
        <v>27</v>
      </c>
      <c r="I853" s="31"/>
      <c r="J853" s="8" t="s">
        <v>22</v>
      </c>
    </row>
    <row r="854" spans="1:27" ht="14.25" customHeight="1">
      <c r="A854" s="49"/>
      <c r="B854" s="50"/>
      <c r="C854" s="51"/>
      <c r="D854" s="8"/>
      <c r="E854" s="8"/>
      <c r="F854" s="30"/>
      <c r="G854" s="31"/>
      <c r="H854" s="30"/>
      <c r="I854" s="31"/>
      <c r="J854" s="8"/>
    </row>
    <row r="855" spans="1:27" ht="14.25" customHeight="1">
      <c r="A855" s="49"/>
      <c r="B855" s="50"/>
      <c r="C855" s="51"/>
      <c r="D855" s="8"/>
      <c r="E855" s="8"/>
      <c r="F855" s="30"/>
      <c r="G855" s="31"/>
      <c r="H855" s="30"/>
      <c r="I855" s="31"/>
      <c r="J855" s="8"/>
    </row>
    <row r="856" spans="1:27" ht="14.25" customHeight="1">
      <c r="A856" s="49" t="s">
        <v>28</v>
      </c>
      <c r="B856" s="50"/>
      <c r="C856" s="50"/>
      <c r="D856" s="50"/>
      <c r="E856" s="50"/>
      <c r="F856" s="50"/>
      <c r="G856" s="50"/>
      <c r="H856" s="50"/>
      <c r="I856" s="50"/>
      <c r="J856" s="51"/>
    </row>
    <row r="857" spans="1:27" ht="14.25" customHeight="1">
      <c r="A857" s="30" t="s">
        <v>29</v>
      </c>
      <c r="B857" s="31"/>
      <c r="C857" s="8" t="s">
        <v>30</v>
      </c>
      <c r="D857" s="8" t="s">
        <v>31</v>
      </c>
      <c r="E857" s="30" t="s">
        <v>32</v>
      </c>
      <c r="F857" s="31"/>
      <c r="G857" s="30" t="s">
        <v>26</v>
      </c>
      <c r="H857" s="31"/>
      <c r="I857" s="30" t="s">
        <v>27</v>
      </c>
      <c r="J857" s="31"/>
    </row>
    <row r="858" spans="1:27" ht="14.25" customHeight="1">
      <c r="A858" s="49" t="s">
        <v>106</v>
      </c>
      <c r="B858" s="51"/>
      <c r="C858" s="8">
        <v>2</v>
      </c>
      <c r="D858" s="8">
        <v>6</v>
      </c>
      <c r="E858" s="30"/>
      <c r="F858" s="31"/>
      <c r="G858" s="30"/>
      <c r="H858" s="31"/>
      <c r="I858" s="30"/>
      <c r="J858" s="31"/>
    </row>
    <row r="859" spans="1:27" ht="14.25" customHeight="1">
      <c r="A859" s="49"/>
      <c r="B859" s="51"/>
      <c r="C859" s="8"/>
      <c r="D859" s="8"/>
      <c r="E859" s="30"/>
      <c r="F859" s="31"/>
      <c r="G859" s="30"/>
      <c r="H859" s="31"/>
      <c r="I859" s="30"/>
      <c r="J859" s="31"/>
    </row>
    <row r="860" spans="1:27" ht="14.25" customHeight="1">
      <c r="A860" s="41" t="s">
        <v>45</v>
      </c>
      <c r="B860" s="42"/>
      <c r="C860" s="42"/>
      <c r="D860" s="42"/>
      <c r="E860" s="42"/>
      <c r="F860" s="42"/>
      <c r="G860" s="42"/>
      <c r="H860" s="42"/>
      <c r="I860" s="42"/>
      <c r="J860" s="43"/>
    </row>
    <row r="861" spans="1:27" ht="14.25" customHeight="1">
      <c r="A861" s="44"/>
      <c r="B861" s="45"/>
      <c r="C861" s="45"/>
      <c r="D861" s="45"/>
      <c r="E861" s="45"/>
      <c r="F861" s="45"/>
      <c r="G861" s="45"/>
      <c r="H861" s="45"/>
      <c r="I861" s="45"/>
      <c r="J861" s="46"/>
    </row>
    <row r="862" spans="1:27" ht="14.25" customHeight="1">
      <c r="A862" s="80" t="s">
        <v>52</v>
      </c>
      <c r="B862" s="81"/>
      <c r="C862" s="81"/>
      <c r="D862" s="81"/>
      <c r="E862" s="81"/>
      <c r="F862" s="81"/>
      <c r="G862" s="81"/>
      <c r="H862" s="81"/>
      <c r="I862" s="81"/>
      <c r="J862" s="82"/>
      <c r="M862" s="4"/>
      <c r="N862" s="5"/>
      <c r="O862" s="6"/>
      <c r="S862" s="6"/>
      <c r="W862" s="6"/>
      <c r="AA862" s="6"/>
    </row>
    <row r="863" spans="1:27" ht="14.25" customHeight="1">
      <c r="A863" s="83"/>
      <c r="B863" s="84"/>
      <c r="C863" s="84"/>
      <c r="D863" s="84"/>
      <c r="E863" s="84"/>
      <c r="F863" s="84"/>
      <c r="G863" s="84"/>
      <c r="H863" s="84"/>
      <c r="I863" s="84"/>
      <c r="J863" s="85"/>
    </row>
    <row r="864" spans="1:27" ht="14.25" customHeight="1">
      <c r="A864" s="83"/>
      <c r="B864" s="84"/>
      <c r="C864" s="84"/>
      <c r="D864" s="84"/>
      <c r="E864" s="84"/>
      <c r="F864" s="84"/>
      <c r="G864" s="84"/>
      <c r="H864" s="84"/>
      <c r="I864" s="84"/>
      <c r="J864" s="85"/>
    </row>
    <row r="865" spans="1:10" ht="14.25" customHeight="1">
      <c r="A865" s="83"/>
      <c r="B865" s="84"/>
      <c r="C865" s="84"/>
      <c r="D865" s="84"/>
      <c r="E865" s="84"/>
      <c r="F865" s="84"/>
      <c r="G865" s="84"/>
      <c r="H865" s="84"/>
      <c r="I865" s="84"/>
      <c r="J865" s="85"/>
    </row>
    <row r="866" spans="1:10" ht="14.25" customHeight="1">
      <c r="A866" s="83"/>
      <c r="B866" s="84"/>
      <c r="C866" s="84"/>
      <c r="D866" s="84"/>
      <c r="E866" s="84"/>
      <c r="F866" s="84"/>
      <c r="G866" s="84"/>
      <c r="H866" s="84"/>
      <c r="I866" s="84"/>
      <c r="J866" s="85"/>
    </row>
    <row r="867" spans="1:10" ht="14.25" customHeight="1">
      <c r="A867" s="83"/>
      <c r="B867" s="84"/>
      <c r="C867" s="84"/>
      <c r="D867" s="84"/>
      <c r="E867" s="84"/>
      <c r="F867" s="84"/>
      <c r="G867" s="84"/>
      <c r="H867" s="84"/>
      <c r="I867" s="84"/>
      <c r="J867" s="85"/>
    </row>
    <row r="868" spans="1:10" ht="14.25" customHeight="1">
      <c r="A868" s="86"/>
      <c r="B868" s="87"/>
      <c r="C868" s="87"/>
      <c r="D868" s="87"/>
      <c r="E868" s="87"/>
      <c r="F868" s="87"/>
      <c r="G868" s="87"/>
      <c r="H868" s="87"/>
      <c r="I868" s="87"/>
      <c r="J868" s="88"/>
    </row>
    <row r="869" spans="1:10" ht="14.25" customHeight="1">
      <c r="A869" s="89" t="s">
        <v>33</v>
      </c>
      <c r="B869" s="90"/>
      <c r="C869" s="90"/>
      <c r="D869" s="90"/>
      <c r="E869" s="90"/>
      <c r="F869" s="90"/>
      <c r="G869" s="90"/>
      <c r="H869" s="90"/>
      <c r="I869" s="90"/>
      <c r="J869" s="91"/>
    </row>
    <row r="870" spans="1:10" ht="14.25" customHeight="1">
      <c r="A870" s="92"/>
      <c r="B870" s="93"/>
      <c r="C870" s="93"/>
      <c r="D870" s="93"/>
      <c r="E870" s="93"/>
      <c r="F870" s="93"/>
      <c r="G870" s="93"/>
      <c r="H870" s="93"/>
      <c r="I870" s="93"/>
      <c r="J870" s="94"/>
    </row>
    <row r="871" spans="1:10" ht="14.25" customHeight="1">
      <c r="A871" s="89" t="s">
        <v>34</v>
      </c>
      <c r="B871" s="90"/>
      <c r="C871" s="90"/>
      <c r="D871" s="90"/>
      <c r="E871" s="90"/>
      <c r="F871" s="90"/>
      <c r="G871" s="90"/>
      <c r="H871" s="90"/>
      <c r="I871" s="90"/>
      <c r="J871" s="91"/>
    </row>
    <row r="872" spans="1:10" ht="14.25" customHeight="1">
      <c r="A872" s="92"/>
      <c r="B872" s="93"/>
      <c r="C872" s="93"/>
      <c r="D872" s="93"/>
      <c r="E872" s="93"/>
      <c r="F872" s="93"/>
      <c r="G872" s="93"/>
      <c r="H872" s="93"/>
      <c r="I872" s="93"/>
      <c r="J872" s="94"/>
    </row>
    <row r="873" spans="1:10" ht="14.25" customHeight="1">
      <c r="A873" s="89" t="s">
        <v>108</v>
      </c>
      <c r="B873" s="90"/>
      <c r="C873" s="90"/>
      <c r="D873" s="90"/>
      <c r="E873" s="90"/>
      <c r="F873" s="90"/>
      <c r="G873" s="90"/>
      <c r="H873" s="90"/>
      <c r="I873" s="90"/>
      <c r="J873" s="91"/>
    </row>
    <row r="874" spans="1:10" ht="14.25" customHeight="1">
      <c r="A874" s="92"/>
      <c r="B874" s="93"/>
      <c r="C874" s="93"/>
      <c r="D874" s="93"/>
      <c r="E874" s="93"/>
      <c r="F874" s="93"/>
      <c r="G874" s="93"/>
      <c r="H874" s="93"/>
      <c r="I874" s="93"/>
      <c r="J874" s="94"/>
    </row>
    <row r="875" spans="1:10" ht="14.25" customHeight="1">
      <c r="A875" s="89" t="s">
        <v>35</v>
      </c>
      <c r="B875" s="90"/>
      <c r="C875" s="90"/>
      <c r="D875" s="90"/>
      <c r="E875" s="90"/>
      <c r="F875" s="90"/>
      <c r="G875" s="90"/>
      <c r="H875" s="90"/>
      <c r="I875" s="90"/>
      <c r="J875" s="91"/>
    </row>
    <row r="876" spans="1:10" ht="14.25" customHeight="1">
      <c r="A876" s="92"/>
      <c r="B876" s="93"/>
      <c r="C876" s="93"/>
      <c r="D876" s="93"/>
      <c r="E876" s="93"/>
      <c r="F876" s="93"/>
      <c r="G876" s="93"/>
      <c r="H876" s="93"/>
      <c r="I876" s="93"/>
      <c r="J876" s="94"/>
    </row>
    <row r="877" spans="1:10" ht="14.25" customHeight="1">
      <c r="A877" s="99" t="s">
        <v>36</v>
      </c>
      <c r="B877" s="99"/>
      <c r="C877" s="99"/>
      <c r="D877" s="99"/>
      <c r="E877" s="99"/>
      <c r="F877" s="99"/>
      <c r="G877" s="99"/>
      <c r="H877" s="99"/>
      <c r="I877" s="99"/>
      <c r="J877" s="99"/>
    </row>
    <row r="878" spans="1:10" ht="14.25" customHeight="1">
      <c r="A878" s="95" t="s">
        <v>37</v>
      </c>
      <c r="B878" s="95"/>
      <c r="C878" s="95"/>
      <c r="D878" s="95"/>
      <c r="E878" s="95"/>
      <c r="F878" s="95"/>
      <c r="G878" s="95"/>
      <c r="H878" s="95"/>
      <c r="I878" s="95"/>
      <c r="J878" s="95"/>
    </row>
    <row r="879" spans="1:10" ht="14.25" customHeight="1">
      <c r="A879" s="95" t="s">
        <v>38</v>
      </c>
      <c r="B879" s="95"/>
      <c r="C879" s="95"/>
      <c r="D879" s="95"/>
      <c r="E879" s="95"/>
      <c r="F879" s="95"/>
      <c r="G879" s="95"/>
      <c r="H879" s="95"/>
      <c r="I879" s="95"/>
      <c r="J879" s="95"/>
    </row>
    <row r="880" spans="1:10" ht="14.25" customHeight="1">
      <c r="A880" s="95" t="s">
        <v>39</v>
      </c>
      <c r="B880" s="95"/>
      <c r="C880" s="95"/>
      <c r="D880" s="95"/>
      <c r="E880" s="95"/>
      <c r="F880" s="95"/>
      <c r="G880" s="95"/>
      <c r="H880" s="95"/>
      <c r="I880" s="95"/>
      <c r="J880" s="95"/>
    </row>
    <row r="881" spans="1:13" ht="14.25" customHeight="1">
      <c r="A881" s="95" t="s">
        <v>40</v>
      </c>
      <c r="B881" s="95"/>
      <c r="C881" s="95"/>
      <c r="D881" s="95"/>
      <c r="E881" s="95"/>
      <c r="F881" s="95"/>
      <c r="G881" s="95"/>
      <c r="H881" s="95"/>
      <c r="I881" s="95"/>
      <c r="J881" s="95"/>
    </row>
    <row r="882" spans="1:13" ht="14.25" customHeight="1">
      <c r="A882" s="95" t="s">
        <v>41</v>
      </c>
      <c r="B882" s="95"/>
      <c r="C882" s="95"/>
      <c r="D882" s="95"/>
      <c r="E882" s="95"/>
      <c r="F882" s="95"/>
      <c r="G882" s="95"/>
      <c r="H882" s="95"/>
      <c r="I882" s="95"/>
      <c r="J882" s="95"/>
    </row>
    <row r="883" spans="1:13" ht="14.25" customHeight="1">
      <c r="A883" s="95" t="s">
        <v>42</v>
      </c>
      <c r="B883" s="95"/>
      <c r="C883" s="95"/>
      <c r="D883" s="95"/>
      <c r="E883" s="95"/>
      <c r="F883" s="95"/>
      <c r="G883" s="95"/>
      <c r="H883" s="95"/>
      <c r="I883" s="95"/>
      <c r="J883" s="95"/>
    </row>
    <row r="884" spans="1:13" ht="14.25" customHeight="1">
      <c r="A884" s="100" t="s">
        <v>43</v>
      </c>
      <c r="B884" s="100"/>
      <c r="C884" s="100"/>
      <c r="D884" s="100"/>
      <c r="E884" s="100"/>
      <c r="F884" s="100"/>
      <c r="G884" s="100"/>
      <c r="H884" s="100"/>
      <c r="I884" s="100"/>
      <c r="J884" s="100"/>
    </row>
    <row r="885" spans="1:13" ht="14.25" customHeight="1">
      <c r="A885" s="95" t="s">
        <v>44</v>
      </c>
      <c r="B885" s="95"/>
      <c r="C885" s="95"/>
      <c r="D885" s="95"/>
      <c r="E885" s="95"/>
      <c r="F885" s="95"/>
      <c r="G885" s="95"/>
      <c r="H885" s="95"/>
      <c r="I885" s="95"/>
      <c r="J885" s="95"/>
    </row>
    <row r="886" spans="1:13" ht="29.25" customHeight="1">
      <c r="A886" s="96" t="s">
        <v>51</v>
      </c>
      <c r="B886" s="96"/>
      <c r="C886" s="96"/>
      <c r="D886" s="96"/>
      <c r="E886" s="96"/>
      <c r="F886" s="96"/>
      <c r="G886" s="96"/>
      <c r="H886" s="96"/>
      <c r="I886" s="96"/>
      <c r="J886" s="96"/>
    </row>
    <row r="887" spans="1:13" ht="14.25" customHeight="1">
      <c r="A887" s="101" t="s">
        <v>49</v>
      </c>
      <c r="B887" s="101"/>
      <c r="C887" s="101"/>
      <c r="D887" s="101"/>
      <c r="E887" s="101"/>
      <c r="F887" s="101"/>
      <c r="G887" s="101"/>
      <c r="H887" s="101"/>
      <c r="I887" s="101"/>
      <c r="J887" s="101"/>
    </row>
    <row r="888" spans="1:13" ht="14.25" customHeight="1"/>
    <row r="889" spans="1:13" ht="14.25" customHeight="1">
      <c r="A889" s="33" t="s">
        <v>0</v>
      </c>
      <c r="B889" s="33"/>
      <c r="C889" s="33"/>
      <c r="D889" s="33"/>
      <c r="E889" s="33"/>
      <c r="F889" s="33"/>
      <c r="G889" s="33"/>
      <c r="H889" s="33"/>
      <c r="I889" s="33"/>
      <c r="J889" s="33"/>
    </row>
    <row r="890" spans="1:13">
      <c r="A890" s="2" t="s">
        <v>1</v>
      </c>
      <c r="B890" s="3" t="str">
        <f>"GD-"&amp;IF(LEN(E894)=2,TEXT(LEFT(E894,1),"000"),IF(LEN(E894)=3,TEXT(LEFT(E894,2),"000"),TEXT(LEFT(E894,3),"000")))</f>
        <v>GD-013</v>
      </c>
      <c r="C890" s="2"/>
      <c r="D890" s="2"/>
      <c r="E890" s="2"/>
      <c r="F890" s="2"/>
      <c r="G890" s="2"/>
      <c r="H890" s="2"/>
      <c r="I890" s="2"/>
      <c r="J890" s="2"/>
    </row>
    <row r="891" spans="1:13" ht="14.25" customHeight="1">
      <c r="A891" s="34" t="s">
        <v>2</v>
      </c>
      <c r="B891" s="34"/>
      <c r="C891" s="34"/>
      <c r="D891" s="34"/>
      <c r="E891" s="34"/>
      <c r="F891" s="35" t="s">
        <v>3</v>
      </c>
      <c r="G891" s="35"/>
      <c r="H891" s="36">
        <f>H817+1</f>
        <v>45654</v>
      </c>
      <c r="I891" s="36"/>
      <c r="J891" s="7" t="str">
        <f>"("&amp;TEXT(H891,"[$-404]aaaa;@")&amp;")"</f>
        <v>(星期六)</v>
      </c>
    </row>
    <row r="892" spans="1:13" ht="14.25" customHeight="1">
      <c r="A892" s="37" t="s">
        <v>4</v>
      </c>
      <c r="B892" s="38"/>
      <c r="C892" s="41" t="str">
        <f>C818</f>
        <v>雲林縣成功國小思源堂整修工程</v>
      </c>
      <c r="D892" s="42"/>
      <c r="E892" s="43"/>
      <c r="F892" s="37" t="s">
        <v>5</v>
      </c>
      <c r="G892" s="38"/>
      <c r="H892" s="37" t="str">
        <f>H818</f>
        <v>正郁室內裝修</v>
      </c>
      <c r="I892" s="47"/>
      <c r="J892" s="38"/>
    </row>
    <row r="893" spans="1:13" ht="14.25" customHeight="1">
      <c r="A893" s="39"/>
      <c r="B893" s="40"/>
      <c r="C893" s="44"/>
      <c r="D893" s="45"/>
      <c r="E893" s="46"/>
      <c r="F893" s="39"/>
      <c r="G893" s="40"/>
      <c r="H893" s="39"/>
      <c r="I893" s="48"/>
      <c r="J893" s="40"/>
    </row>
    <row r="894" spans="1:13" ht="14.25" customHeight="1">
      <c r="A894" s="8" t="s">
        <v>7</v>
      </c>
      <c r="B894" s="8" t="str">
        <f>B820</f>
        <v>60天</v>
      </c>
      <c r="C894" s="30" t="s">
        <v>8</v>
      </c>
      <c r="D894" s="31"/>
      <c r="E894" s="8" t="str">
        <f>IF(LEN(E820)&gt;2,(LEFT(E820,2)+1),(LEFT(E820,1)+1))&amp;"天"</f>
        <v>13天</v>
      </c>
      <c r="F894" s="8" t="s">
        <v>9</v>
      </c>
      <c r="G894" s="8" t="str">
        <f>IF(LEN(E894)&gt;2,LEFT(B894,2)-LEFT(E894,2),LEFT(B894,2)-LEFT(E894,1))&amp;"天"</f>
        <v>47天</v>
      </c>
      <c r="H894" s="30" t="s">
        <v>10</v>
      </c>
      <c r="I894" s="31"/>
      <c r="J894" s="8" t="str">
        <f>J820</f>
        <v>0天</v>
      </c>
    </row>
    <row r="895" spans="1:13" ht="14.25" customHeight="1">
      <c r="A895" s="30" t="s">
        <v>12</v>
      </c>
      <c r="B895" s="31"/>
      <c r="C895" s="30" t="str">
        <f>C821</f>
        <v>113年12月16日</v>
      </c>
      <c r="D895" s="32"/>
      <c r="E895" s="31"/>
      <c r="F895" s="30" t="s">
        <v>13</v>
      </c>
      <c r="G895" s="31"/>
      <c r="H895" s="30" t="str">
        <f>H821</f>
        <v>114年02月13日</v>
      </c>
      <c r="I895" s="32"/>
      <c r="J895" s="31"/>
    </row>
    <row r="896" spans="1:13" ht="14.25" customHeight="1">
      <c r="A896" s="30" t="s">
        <v>14</v>
      </c>
      <c r="B896" s="31"/>
      <c r="C896" s="57">
        <f>C822+(20%/12)*1</f>
        <v>6.6666666666666666E-2</v>
      </c>
      <c r="D896" s="58"/>
      <c r="E896" s="59"/>
      <c r="F896" s="30" t="s">
        <v>15</v>
      </c>
      <c r="G896" s="31"/>
      <c r="H896" s="57">
        <f>ROUND(L923/L924,5)+H822</f>
        <v>0.22334000000000001</v>
      </c>
      <c r="I896" s="58"/>
      <c r="J896" s="59"/>
      <c r="K896" s="26" t="s">
        <v>69</v>
      </c>
      <c r="L896" s="22"/>
      <c r="M896" s="4"/>
    </row>
    <row r="897" spans="1:13" ht="14.25" customHeight="1">
      <c r="A897" s="49" t="s">
        <v>16</v>
      </c>
      <c r="B897" s="50"/>
      <c r="C897" s="50"/>
      <c r="D897" s="50"/>
      <c r="E897" s="50"/>
      <c r="F897" s="50"/>
      <c r="G897" s="50"/>
      <c r="H897" s="50"/>
      <c r="I897" s="50"/>
      <c r="J897" s="51"/>
      <c r="L897" s="22"/>
      <c r="M897" s="4"/>
    </row>
    <row r="898" spans="1:13" ht="14.25" customHeight="1">
      <c r="A898" s="30" t="s">
        <v>17</v>
      </c>
      <c r="B898" s="32"/>
      <c r="C898" s="31"/>
      <c r="D898" s="8" t="s">
        <v>18</v>
      </c>
      <c r="E898" s="17" t="s">
        <v>19</v>
      </c>
      <c r="F898" s="30" t="s">
        <v>20</v>
      </c>
      <c r="G898" s="31"/>
      <c r="H898" s="30" t="s">
        <v>21</v>
      </c>
      <c r="I898" s="31"/>
      <c r="J898" s="8" t="s">
        <v>22</v>
      </c>
      <c r="L898" s="22"/>
      <c r="M898" s="4"/>
    </row>
    <row r="899" spans="1:13" ht="14.25" customHeight="1">
      <c r="A899" s="49" t="s">
        <v>56</v>
      </c>
      <c r="B899" s="50"/>
      <c r="C899" s="50"/>
      <c r="D899" s="50"/>
      <c r="E899" s="50"/>
      <c r="F899" s="50"/>
      <c r="G899" s="50"/>
      <c r="H899" s="50"/>
      <c r="I899" s="50"/>
      <c r="J899" s="51"/>
    </row>
    <row r="900" spans="1:13" ht="14.25" customHeight="1">
      <c r="A900" s="55" t="s">
        <v>57</v>
      </c>
      <c r="B900" s="50"/>
      <c r="C900" s="51"/>
      <c r="D900" s="24" t="s">
        <v>59</v>
      </c>
      <c r="E900" s="23">
        <v>1</v>
      </c>
      <c r="F900" s="54"/>
      <c r="G900" s="56"/>
      <c r="H900" s="54">
        <f t="shared" ref="H900:H922" si="26">F900+H826</f>
        <v>1</v>
      </c>
      <c r="I900" s="31"/>
      <c r="J900" s="16"/>
      <c r="K900" s="27">
        <v>800</v>
      </c>
      <c r="L900" s="29">
        <f t="shared" ref="L900:L922" si="27">ROUND(K900*F900,0)</f>
        <v>0</v>
      </c>
    </row>
    <row r="901" spans="1:13" ht="14.25" customHeight="1">
      <c r="A901" s="55" t="s">
        <v>75</v>
      </c>
      <c r="B901" s="50"/>
      <c r="C901" s="51"/>
      <c r="D901" s="24" t="s">
        <v>59</v>
      </c>
      <c r="E901" s="23">
        <v>1</v>
      </c>
      <c r="F901" s="52"/>
      <c r="G901" s="53"/>
      <c r="H901" s="54">
        <f t="shared" si="26"/>
        <v>1</v>
      </c>
      <c r="I901" s="31"/>
      <c r="J901" s="8"/>
      <c r="K901" s="27">
        <v>500</v>
      </c>
      <c r="L901" s="29">
        <f t="shared" si="27"/>
        <v>0</v>
      </c>
    </row>
    <row r="902" spans="1:13" ht="14.25" customHeight="1">
      <c r="A902" s="49" t="s">
        <v>58</v>
      </c>
      <c r="B902" s="50"/>
      <c r="C902" s="51"/>
      <c r="D902" s="24" t="s">
        <v>61</v>
      </c>
      <c r="E902" s="23">
        <v>51</v>
      </c>
      <c r="F902" s="52"/>
      <c r="G902" s="53"/>
      <c r="H902" s="54">
        <f t="shared" si="26"/>
        <v>51</v>
      </c>
      <c r="I902" s="31"/>
      <c r="J902" s="10"/>
      <c r="K902" s="27">
        <v>50</v>
      </c>
      <c r="L902" s="29">
        <f t="shared" si="27"/>
        <v>0</v>
      </c>
    </row>
    <row r="903" spans="1:13" ht="14.25" customHeight="1">
      <c r="A903" s="55" t="s">
        <v>76</v>
      </c>
      <c r="B903" s="50"/>
      <c r="C903" s="51"/>
      <c r="D903" s="24" t="s">
        <v>60</v>
      </c>
      <c r="E903" s="23">
        <v>1</v>
      </c>
      <c r="F903" s="52"/>
      <c r="G903" s="53"/>
      <c r="H903" s="54">
        <f t="shared" si="26"/>
        <v>0</v>
      </c>
      <c r="I903" s="31"/>
      <c r="J903" s="16"/>
      <c r="K903" s="27">
        <v>3000</v>
      </c>
      <c r="L903" s="29">
        <f t="shared" si="27"/>
        <v>0</v>
      </c>
    </row>
    <row r="904" spans="1:13" ht="14.25" customHeight="1">
      <c r="A904" s="55" t="s">
        <v>77</v>
      </c>
      <c r="B904" s="50"/>
      <c r="C904" s="51"/>
      <c r="D904" s="25" t="s">
        <v>60</v>
      </c>
      <c r="E904" s="23">
        <v>1</v>
      </c>
      <c r="F904" s="52"/>
      <c r="G904" s="53"/>
      <c r="H904" s="54">
        <f t="shared" si="26"/>
        <v>0</v>
      </c>
      <c r="I904" s="31"/>
      <c r="J904" s="8"/>
      <c r="K904" s="27">
        <v>3000</v>
      </c>
      <c r="L904" s="29">
        <f t="shared" si="27"/>
        <v>0</v>
      </c>
    </row>
    <row r="905" spans="1:13" ht="28.5" customHeight="1">
      <c r="A905" s="55" t="s">
        <v>78</v>
      </c>
      <c r="B905" s="64"/>
      <c r="C905" s="65"/>
      <c r="D905" s="25" t="s">
        <v>62</v>
      </c>
      <c r="E905" s="23">
        <v>328</v>
      </c>
      <c r="F905" s="30"/>
      <c r="G905" s="63"/>
      <c r="H905" s="54">
        <f t="shared" si="26"/>
        <v>328</v>
      </c>
      <c r="I905" s="31"/>
      <c r="J905" s="8"/>
      <c r="K905" s="28">
        <v>100</v>
      </c>
      <c r="L905" s="29">
        <f t="shared" si="27"/>
        <v>0</v>
      </c>
    </row>
    <row r="906" spans="1:13" ht="14.25" customHeight="1">
      <c r="A906" s="60" t="s">
        <v>79</v>
      </c>
      <c r="B906" s="61"/>
      <c r="C906" s="61"/>
      <c r="D906" s="25" t="s">
        <v>61</v>
      </c>
      <c r="E906" s="23">
        <v>21</v>
      </c>
      <c r="F906" s="62"/>
      <c r="G906" s="62"/>
      <c r="H906" s="54">
        <f t="shared" si="26"/>
        <v>15</v>
      </c>
      <c r="I906" s="31"/>
      <c r="J906" s="8"/>
      <c r="K906" s="27">
        <v>2500</v>
      </c>
      <c r="L906" s="29">
        <f t="shared" si="27"/>
        <v>0</v>
      </c>
    </row>
    <row r="907" spans="1:13" ht="28.5" customHeight="1">
      <c r="A907" s="55" t="s">
        <v>80</v>
      </c>
      <c r="B907" s="64"/>
      <c r="C907" s="65"/>
      <c r="D907" s="25" t="s">
        <v>81</v>
      </c>
      <c r="E907" s="23">
        <v>5</v>
      </c>
      <c r="F907" s="30"/>
      <c r="G907" s="63"/>
      <c r="H907" s="54">
        <f t="shared" si="26"/>
        <v>0</v>
      </c>
      <c r="I907" s="31"/>
      <c r="J907" s="8"/>
      <c r="K907" s="27">
        <v>5000</v>
      </c>
      <c r="L907" s="29">
        <f t="shared" si="27"/>
        <v>0</v>
      </c>
    </row>
    <row r="908" spans="1:13" ht="14.25" customHeight="1">
      <c r="A908" s="60" t="s">
        <v>82</v>
      </c>
      <c r="B908" s="61"/>
      <c r="C908" s="61"/>
      <c r="D908" s="25" t="s">
        <v>62</v>
      </c>
      <c r="E908" s="23">
        <v>218</v>
      </c>
      <c r="F908" s="62"/>
      <c r="G908" s="62"/>
      <c r="H908" s="54">
        <f t="shared" si="26"/>
        <v>0</v>
      </c>
      <c r="I908" s="31"/>
      <c r="J908" s="8"/>
      <c r="K908" s="27">
        <v>1000</v>
      </c>
      <c r="L908" s="29">
        <f t="shared" si="27"/>
        <v>0</v>
      </c>
    </row>
    <row r="909" spans="1:13" ht="14.25" customHeight="1">
      <c r="A909" s="61" t="s">
        <v>83</v>
      </c>
      <c r="B909" s="61"/>
      <c r="C909" s="61"/>
      <c r="D909" s="25" t="s">
        <v>81</v>
      </c>
      <c r="E909" s="23">
        <v>28</v>
      </c>
      <c r="F909" s="30"/>
      <c r="G909" s="63"/>
      <c r="H909" s="54">
        <f t="shared" si="26"/>
        <v>0</v>
      </c>
      <c r="I909" s="31"/>
      <c r="J909" s="8"/>
      <c r="K909" s="27">
        <v>2000</v>
      </c>
      <c r="L909" s="29">
        <f t="shared" si="27"/>
        <v>0</v>
      </c>
    </row>
    <row r="910" spans="1:13" ht="28.5" customHeight="1">
      <c r="A910" s="60" t="s">
        <v>84</v>
      </c>
      <c r="B910" s="61"/>
      <c r="C910" s="61"/>
      <c r="D910" s="25" t="s">
        <v>62</v>
      </c>
      <c r="E910" s="23">
        <v>245</v>
      </c>
      <c r="F910" s="62"/>
      <c r="G910" s="62"/>
      <c r="H910" s="54">
        <f t="shared" si="26"/>
        <v>0</v>
      </c>
      <c r="I910" s="31"/>
      <c r="J910" s="8"/>
      <c r="K910" s="27">
        <v>1500</v>
      </c>
      <c r="L910" s="29">
        <f t="shared" si="27"/>
        <v>0</v>
      </c>
    </row>
    <row r="911" spans="1:13" ht="14.25" customHeight="1">
      <c r="A911" s="61" t="s">
        <v>85</v>
      </c>
      <c r="B911" s="61"/>
      <c r="C911" s="61"/>
      <c r="D911" s="25" t="s">
        <v>62</v>
      </c>
      <c r="E911" s="23">
        <v>83</v>
      </c>
      <c r="F911" s="30"/>
      <c r="G911" s="63"/>
      <c r="H911" s="54">
        <f t="shared" si="26"/>
        <v>0</v>
      </c>
      <c r="I911" s="31"/>
      <c r="J911" s="8"/>
      <c r="K911" s="27">
        <v>1000</v>
      </c>
      <c r="L911" s="29">
        <f t="shared" si="27"/>
        <v>0</v>
      </c>
    </row>
    <row r="912" spans="1:13" ht="30" customHeight="1">
      <c r="A912" s="60" t="s">
        <v>86</v>
      </c>
      <c r="B912" s="61"/>
      <c r="C912" s="61"/>
      <c r="D912" s="25" t="s">
        <v>62</v>
      </c>
      <c r="E912" s="23">
        <v>164</v>
      </c>
      <c r="F912" s="62"/>
      <c r="G912" s="62"/>
      <c r="H912" s="54">
        <f t="shared" si="26"/>
        <v>0</v>
      </c>
      <c r="I912" s="31"/>
      <c r="J912" s="8"/>
      <c r="K912" s="27">
        <v>500</v>
      </c>
      <c r="L912" s="29">
        <f t="shared" si="27"/>
        <v>0</v>
      </c>
    </row>
    <row r="913" spans="1:13" ht="14.25" customHeight="1">
      <c r="A913" s="60" t="s">
        <v>87</v>
      </c>
      <c r="B913" s="61"/>
      <c r="C913" s="61"/>
      <c r="D913" s="25" t="s">
        <v>62</v>
      </c>
      <c r="E913" s="23">
        <v>37</v>
      </c>
      <c r="F913" s="30"/>
      <c r="G913" s="63"/>
      <c r="H913" s="54">
        <f t="shared" si="26"/>
        <v>37</v>
      </c>
      <c r="I913" s="31"/>
      <c r="J913" s="8"/>
      <c r="K913" s="27">
        <v>1000</v>
      </c>
      <c r="L913" s="29">
        <f t="shared" si="27"/>
        <v>0</v>
      </c>
    </row>
    <row r="914" spans="1:13" ht="14.25" customHeight="1">
      <c r="A914" s="61" t="s">
        <v>88</v>
      </c>
      <c r="B914" s="61"/>
      <c r="C914" s="61"/>
      <c r="D914" s="25" t="s">
        <v>60</v>
      </c>
      <c r="E914" s="23">
        <v>1</v>
      </c>
      <c r="F914" s="62"/>
      <c r="G914" s="62"/>
      <c r="H914" s="54">
        <f t="shared" si="26"/>
        <v>0.95</v>
      </c>
      <c r="I914" s="31"/>
      <c r="J914" s="8"/>
      <c r="K914" s="27">
        <v>250000</v>
      </c>
      <c r="L914" s="29">
        <f t="shared" si="27"/>
        <v>0</v>
      </c>
    </row>
    <row r="915" spans="1:13" ht="14.25" customHeight="1">
      <c r="A915" s="61" t="s">
        <v>89</v>
      </c>
      <c r="B915" s="61"/>
      <c r="C915" s="61"/>
      <c r="D915" s="25" t="s">
        <v>62</v>
      </c>
      <c r="E915" s="23">
        <v>81</v>
      </c>
      <c r="F915" s="30"/>
      <c r="G915" s="63"/>
      <c r="H915" s="54">
        <f t="shared" si="26"/>
        <v>0</v>
      </c>
      <c r="I915" s="31"/>
      <c r="J915" s="8"/>
      <c r="K915" s="27">
        <v>500</v>
      </c>
      <c r="L915" s="29">
        <f t="shared" si="27"/>
        <v>0</v>
      </c>
    </row>
    <row r="916" spans="1:13" ht="29.25" customHeight="1">
      <c r="A916" s="60" t="s">
        <v>90</v>
      </c>
      <c r="B916" s="61"/>
      <c r="C916" s="61"/>
      <c r="D916" s="25" t="s">
        <v>62</v>
      </c>
      <c r="E916" s="23">
        <v>42</v>
      </c>
      <c r="F916" s="62"/>
      <c r="G916" s="62"/>
      <c r="H916" s="54">
        <f t="shared" si="26"/>
        <v>0</v>
      </c>
      <c r="I916" s="31"/>
      <c r="J916" s="8"/>
      <c r="K916" s="27">
        <v>1800</v>
      </c>
      <c r="L916" s="29">
        <f t="shared" si="27"/>
        <v>0</v>
      </c>
    </row>
    <row r="917" spans="1:13" ht="14.25" customHeight="1">
      <c r="A917" s="60" t="s">
        <v>91</v>
      </c>
      <c r="B917" s="61"/>
      <c r="C917" s="61"/>
      <c r="D917" s="25" t="s">
        <v>60</v>
      </c>
      <c r="E917" s="23">
        <v>1</v>
      </c>
      <c r="F917" s="30"/>
      <c r="G917" s="63"/>
      <c r="H917" s="54">
        <f t="shared" si="26"/>
        <v>0</v>
      </c>
      <c r="I917" s="31"/>
      <c r="J917" s="8"/>
      <c r="K917" s="27">
        <v>30000</v>
      </c>
      <c r="L917" s="29">
        <f t="shared" si="27"/>
        <v>0</v>
      </c>
    </row>
    <row r="918" spans="1:13" ht="14.25" customHeight="1">
      <c r="A918" s="61" t="s">
        <v>92</v>
      </c>
      <c r="B918" s="61"/>
      <c r="C918" s="61"/>
      <c r="D918" s="25" t="s">
        <v>60</v>
      </c>
      <c r="E918" s="23">
        <v>1</v>
      </c>
      <c r="F918" s="62"/>
      <c r="G918" s="62"/>
      <c r="H918" s="54">
        <f t="shared" si="26"/>
        <v>0</v>
      </c>
      <c r="I918" s="31"/>
      <c r="J918" s="8"/>
      <c r="K918" s="27">
        <v>13598</v>
      </c>
      <c r="L918" s="29">
        <f t="shared" si="27"/>
        <v>0</v>
      </c>
    </row>
    <row r="919" spans="1:13" ht="14.25" customHeight="1">
      <c r="A919" s="61" t="s">
        <v>93</v>
      </c>
      <c r="B919" s="61"/>
      <c r="C919" s="61"/>
      <c r="D919" s="25" t="s">
        <v>60</v>
      </c>
      <c r="E919" s="23">
        <v>1</v>
      </c>
      <c r="F919" s="62"/>
      <c r="G919" s="62"/>
      <c r="H919" s="54">
        <f t="shared" si="26"/>
        <v>0</v>
      </c>
      <c r="I919" s="31"/>
      <c r="J919" s="8"/>
      <c r="K919" s="27">
        <v>13598</v>
      </c>
      <c r="L919" s="29">
        <f t="shared" si="27"/>
        <v>0</v>
      </c>
    </row>
    <row r="920" spans="1:13" ht="14.25" customHeight="1">
      <c r="A920" s="61" t="s">
        <v>64</v>
      </c>
      <c r="B920" s="61"/>
      <c r="C920" s="61"/>
      <c r="D920" s="25" t="s">
        <v>60</v>
      </c>
      <c r="E920" s="23">
        <v>1</v>
      </c>
      <c r="F920" s="62"/>
      <c r="G920" s="62"/>
      <c r="H920" s="54">
        <f t="shared" si="26"/>
        <v>0</v>
      </c>
      <c r="I920" s="31"/>
      <c r="J920" s="8"/>
      <c r="K920" s="27">
        <v>95182</v>
      </c>
      <c r="L920" s="29">
        <f t="shared" si="27"/>
        <v>0</v>
      </c>
    </row>
    <row r="921" spans="1:13" ht="14.25" customHeight="1">
      <c r="A921" s="61" t="s">
        <v>65</v>
      </c>
      <c r="B921" s="61"/>
      <c r="C921" s="61"/>
      <c r="D921" s="25" t="s">
        <v>60</v>
      </c>
      <c r="E921" s="23">
        <v>1</v>
      </c>
      <c r="F921" s="62"/>
      <c r="G921" s="62"/>
      <c r="H921" s="54">
        <f t="shared" si="26"/>
        <v>0</v>
      </c>
      <c r="I921" s="31"/>
      <c r="J921" s="8"/>
      <c r="K921" s="27">
        <v>4513</v>
      </c>
      <c r="L921" s="29">
        <f t="shared" si="27"/>
        <v>0</v>
      </c>
    </row>
    <row r="922" spans="1:13" ht="14.25" customHeight="1" thickBot="1">
      <c r="A922" s="61" t="s">
        <v>66</v>
      </c>
      <c r="B922" s="61"/>
      <c r="C922" s="61"/>
      <c r="D922" s="25" t="s">
        <v>60</v>
      </c>
      <c r="E922" s="23">
        <v>1</v>
      </c>
      <c r="F922" s="62"/>
      <c r="G922" s="62"/>
      <c r="H922" s="54">
        <f t="shared" si="26"/>
        <v>0</v>
      </c>
      <c r="I922" s="31"/>
      <c r="J922" s="8"/>
      <c r="K922" s="27">
        <v>74332</v>
      </c>
      <c r="L922" s="29">
        <f t="shared" si="27"/>
        <v>0</v>
      </c>
      <c r="M922" s="1" t="s">
        <v>97</v>
      </c>
    </row>
    <row r="923" spans="1:13" ht="14.25" customHeight="1">
      <c r="A923" s="77" t="s">
        <v>46</v>
      </c>
      <c r="B923" s="67"/>
      <c r="C923" s="68"/>
      <c r="D923" s="11"/>
      <c r="E923" s="18"/>
      <c r="F923" s="78"/>
      <c r="G923" s="79"/>
      <c r="H923" s="78"/>
      <c r="I923" s="79"/>
      <c r="J923" s="12"/>
      <c r="K923" s="27" t="s">
        <v>68</v>
      </c>
      <c r="L923" s="29">
        <f>SUM(L900:L922)</f>
        <v>0</v>
      </c>
      <c r="M923" s="4">
        <f>ROUND(L923/L924,5)</f>
        <v>0</v>
      </c>
    </row>
    <row r="924" spans="1:13" ht="14.25" customHeight="1">
      <c r="A924" s="69" t="s">
        <v>47</v>
      </c>
      <c r="B924" s="70"/>
      <c r="C924" s="71"/>
      <c r="D924" s="9"/>
      <c r="E924" s="19"/>
      <c r="F924" s="30"/>
      <c r="G924" s="31"/>
      <c r="H924" s="30"/>
      <c r="I924" s="31"/>
      <c r="J924" s="13"/>
      <c r="K924" s="27" t="s">
        <v>67</v>
      </c>
      <c r="L924" s="29">
        <v>1560973</v>
      </c>
      <c r="M924" s="4"/>
    </row>
    <row r="925" spans="1:13" ht="14.25" customHeight="1" thickBot="1">
      <c r="A925" s="72" t="s">
        <v>48</v>
      </c>
      <c r="B925" s="73"/>
      <c r="C925" s="74"/>
      <c r="D925" s="14"/>
      <c r="E925" s="20"/>
      <c r="F925" s="75"/>
      <c r="G925" s="76"/>
      <c r="H925" s="75"/>
      <c r="I925" s="76"/>
      <c r="J925" s="15"/>
    </row>
    <row r="926" spans="1:13" ht="14.25" customHeight="1">
      <c r="A926" s="66" t="s">
        <v>23</v>
      </c>
      <c r="B926" s="67"/>
      <c r="C926" s="67"/>
      <c r="D926" s="67"/>
      <c r="E926" s="67"/>
      <c r="F926" s="67"/>
      <c r="G926" s="67"/>
      <c r="H926" s="67"/>
      <c r="I926" s="67"/>
      <c r="J926" s="68"/>
    </row>
    <row r="927" spans="1:13" ht="14.25" customHeight="1">
      <c r="A927" s="30" t="s">
        <v>24</v>
      </c>
      <c r="B927" s="32"/>
      <c r="C927" s="31"/>
      <c r="D927" s="8" t="s">
        <v>18</v>
      </c>
      <c r="E927" s="8" t="s">
        <v>25</v>
      </c>
      <c r="F927" s="30" t="s">
        <v>26</v>
      </c>
      <c r="G927" s="31"/>
      <c r="H927" s="30" t="s">
        <v>27</v>
      </c>
      <c r="I927" s="31"/>
      <c r="J927" s="8" t="s">
        <v>22</v>
      </c>
    </row>
    <row r="928" spans="1:13" ht="14.25" customHeight="1">
      <c r="A928" s="49"/>
      <c r="B928" s="50"/>
      <c r="C928" s="51"/>
      <c r="D928" s="8"/>
      <c r="E928" s="8"/>
      <c r="F928" s="30"/>
      <c r="G928" s="31"/>
      <c r="H928" s="30"/>
      <c r="I928" s="31"/>
      <c r="J928" s="8"/>
    </row>
    <row r="929" spans="1:27" ht="14.25" customHeight="1">
      <c r="A929" s="49"/>
      <c r="B929" s="50"/>
      <c r="C929" s="51"/>
      <c r="D929" s="8"/>
      <c r="E929" s="8"/>
      <c r="F929" s="30"/>
      <c r="G929" s="31"/>
      <c r="H929" s="30"/>
      <c r="I929" s="31"/>
      <c r="J929" s="8"/>
    </row>
    <row r="930" spans="1:27" ht="14.25" customHeight="1">
      <c r="A930" s="49" t="s">
        <v>28</v>
      </c>
      <c r="B930" s="50"/>
      <c r="C930" s="50"/>
      <c r="D930" s="50"/>
      <c r="E930" s="50"/>
      <c r="F930" s="50"/>
      <c r="G930" s="50"/>
      <c r="H930" s="50"/>
      <c r="I930" s="50"/>
      <c r="J930" s="51"/>
    </row>
    <row r="931" spans="1:27" ht="14.25" customHeight="1">
      <c r="A931" s="30" t="s">
        <v>29</v>
      </c>
      <c r="B931" s="31"/>
      <c r="C931" s="8" t="s">
        <v>30</v>
      </c>
      <c r="D931" s="8" t="s">
        <v>31</v>
      </c>
      <c r="E931" s="30" t="s">
        <v>32</v>
      </c>
      <c r="F931" s="31"/>
      <c r="G931" s="30" t="s">
        <v>26</v>
      </c>
      <c r="H931" s="31"/>
      <c r="I931" s="30" t="s">
        <v>27</v>
      </c>
      <c r="J931" s="31"/>
    </row>
    <row r="932" spans="1:27" ht="14.25" customHeight="1">
      <c r="A932" s="49"/>
      <c r="B932" s="51"/>
      <c r="C932" s="8"/>
      <c r="D932" s="8"/>
      <c r="E932" s="30"/>
      <c r="F932" s="31"/>
      <c r="G932" s="30"/>
      <c r="H932" s="31"/>
      <c r="I932" s="30"/>
      <c r="J932" s="31"/>
    </row>
    <row r="933" spans="1:27" ht="14.25" customHeight="1">
      <c r="A933" s="49"/>
      <c r="B933" s="51"/>
      <c r="C933" s="8"/>
      <c r="D933" s="8"/>
      <c r="E933" s="30"/>
      <c r="F933" s="31"/>
      <c r="G933" s="30"/>
      <c r="H933" s="31"/>
      <c r="I933" s="30"/>
      <c r="J933" s="31"/>
    </row>
    <row r="934" spans="1:27" ht="14.25" customHeight="1">
      <c r="A934" s="41" t="s">
        <v>45</v>
      </c>
      <c r="B934" s="42"/>
      <c r="C934" s="42"/>
      <c r="D934" s="42"/>
      <c r="E934" s="42"/>
      <c r="F934" s="42"/>
      <c r="G934" s="42"/>
      <c r="H934" s="42"/>
      <c r="I934" s="42"/>
      <c r="J934" s="43"/>
    </row>
    <row r="935" spans="1:27" ht="14.25" customHeight="1">
      <c r="A935" s="44"/>
      <c r="B935" s="45"/>
      <c r="C935" s="45"/>
      <c r="D935" s="45"/>
      <c r="E935" s="45"/>
      <c r="F935" s="45"/>
      <c r="G935" s="45"/>
      <c r="H935" s="45"/>
      <c r="I935" s="45"/>
      <c r="J935" s="46"/>
    </row>
    <row r="936" spans="1:27" ht="14.25" customHeight="1">
      <c r="A936" s="80" t="s">
        <v>52</v>
      </c>
      <c r="B936" s="81"/>
      <c r="C936" s="81"/>
      <c r="D936" s="81"/>
      <c r="E936" s="81"/>
      <c r="F936" s="81"/>
      <c r="G936" s="81"/>
      <c r="H936" s="81"/>
      <c r="I936" s="81"/>
      <c r="J936" s="82"/>
      <c r="M936" s="4"/>
      <c r="N936" s="5"/>
      <c r="O936" s="6"/>
      <c r="S936" s="6"/>
      <c r="W936" s="6"/>
      <c r="AA936" s="6"/>
    </row>
    <row r="937" spans="1:27" ht="14.25" customHeight="1">
      <c r="A937" s="83"/>
      <c r="B937" s="84"/>
      <c r="C937" s="84"/>
      <c r="D937" s="84"/>
      <c r="E937" s="84"/>
      <c r="F937" s="84"/>
      <c r="G937" s="84"/>
      <c r="H937" s="84"/>
      <c r="I937" s="84"/>
      <c r="J937" s="85"/>
    </row>
    <row r="938" spans="1:27" ht="14.25" customHeight="1">
      <c r="A938" s="83"/>
      <c r="B938" s="84"/>
      <c r="C938" s="84"/>
      <c r="D938" s="84"/>
      <c r="E938" s="84"/>
      <c r="F938" s="84"/>
      <c r="G938" s="84"/>
      <c r="H938" s="84"/>
      <c r="I938" s="84"/>
      <c r="J938" s="85"/>
    </row>
    <row r="939" spans="1:27" ht="14.25" customHeight="1">
      <c r="A939" s="83"/>
      <c r="B939" s="84"/>
      <c r="C939" s="84"/>
      <c r="D939" s="84"/>
      <c r="E939" s="84"/>
      <c r="F939" s="84"/>
      <c r="G939" s="84"/>
      <c r="H939" s="84"/>
      <c r="I939" s="84"/>
      <c r="J939" s="85"/>
    </row>
    <row r="940" spans="1:27" ht="14.25" customHeight="1">
      <c r="A940" s="83"/>
      <c r="B940" s="84"/>
      <c r="C940" s="84"/>
      <c r="D940" s="84"/>
      <c r="E940" s="84"/>
      <c r="F940" s="84"/>
      <c r="G940" s="84"/>
      <c r="H940" s="84"/>
      <c r="I940" s="84"/>
      <c r="J940" s="85"/>
    </row>
    <row r="941" spans="1:27" ht="14.25" customHeight="1">
      <c r="A941" s="83"/>
      <c r="B941" s="84"/>
      <c r="C941" s="84"/>
      <c r="D941" s="84"/>
      <c r="E941" s="84"/>
      <c r="F941" s="84"/>
      <c r="G941" s="84"/>
      <c r="H941" s="84"/>
      <c r="I941" s="84"/>
      <c r="J941" s="85"/>
    </row>
    <row r="942" spans="1:27" ht="14.25" customHeight="1">
      <c r="A942" s="86"/>
      <c r="B942" s="87"/>
      <c r="C942" s="87"/>
      <c r="D942" s="87"/>
      <c r="E942" s="87"/>
      <c r="F942" s="87"/>
      <c r="G942" s="87"/>
      <c r="H942" s="87"/>
      <c r="I942" s="87"/>
      <c r="J942" s="88"/>
    </row>
    <row r="943" spans="1:27" ht="14.25" customHeight="1">
      <c r="A943" s="89" t="s">
        <v>33</v>
      </c>
      <c r="B943" s="90"/>
      <c r="C943" s="90"/>
      <c r="D943" s="90"/>
      <c r="E943" s="90"/>
      <c r="F943" s="90"/>
      <c r="G943" s="90"/>
      <c r="H943" s="90"/>
      <c r="I943" s="90"/>
      <c r="J943" s="91"/>
    </row>
    <row r="944" spans="1:27" ht="14.25" customHeight="1">
      <c r="A944" s="92"/>
      <c r="B944" s="93"/>
      <c r="C944" s="93"/>
      <c r="D944" s="93"/>
      <c r="E944" s="93"/>
      <c r="F944" s="93"/>
      <c r="G944" s="93"/>
      <c r="H944" s="93"/>
      <c r="I944" s="93"/>
      <c r="J944" s="94"/>
    </row>
    <row r="945" spans="1:10" ht="14.25" customHeight="1">
      <c r="A945" s="89" t="s">
        <v>34</v>
      </c>
      <c r="B945" s="90"/>
      <c r="C945" s="90"/>
      <c r="D945" s="90"/>
      <c r="E945" s="90"/>
      <c r="F945" s="90"/>
      <c r="G945" s="90"/>
      <c r="H945" s="90"/>
      <c r="I945" s="90"/>
      <c r="J945" s="91"/>
    </row>
    <row r="946" spans="1:10" ht="14.25" customHeight="1">
      <c r="A946" s="92"/>
      <c r="B946" s="93"/>
      <c r="C946" s="93"/>
      <c r="D946" s="93"/>
      <c r="E946" s="93"/>
      <c r="F946" s="93"/>
      <c r="G946" s="93"/>
      <c r="H946" s="93"/>
      <c r="I946" s="93"/>
      <c r="J946" s="94"/>
    </row>
    <row r="947" spans="1:10" ht="14.25" customHeight="1">
      <c r="A947" s="89" t="s">
        <v>70</v>
      </c>
      <c r="B947" s="90"/>
      <c r="C947" s="90"/>
      <c r="D947" s="90"/>
      <c r="E947" s="90"/>
      <c r="F947" s="90"/>
      <c r="G947" s="90"/>
      <c r="H947" s="90"/>
      <c r="I947" s="90"/>
      <c r="J947" s="91"/>
    </row>
    <row r="948" spans="1:10" ht="14.25" customHeight="1">
      <c r="A948" s="92"/>
      <c r="B948" s="93"/>
      <c r="C948" s="93"/>
      <c r="D948" s="93"/>
      <c r="E948" s="93"/>
      <c r="F948" s="93"/>
      <c r="G948" s="93"/>
      <c r="H948" s="93"/>
      <c r="I948" s="93"/>
      <c r="J948" s="94"/>
    </row>
    <row r="949" spans="1:10" ht="14.25" customHeight="1">
      <c r="A949" s="89" t="s">
        <v>35</v>
      </c>
      <c r="B949" s="90"/>
      <c r="C949" s="90"/>
      <c r="D949" s="90"/>
      <c r="E949" s="90"/>
      <c r="F949" s="90"/>
      <c r="G949" s="90"/>
      <c r="H949" s="90"/>
      <c r="I949" s="90"/>
      <c r="J949" s="91"/>
    </row>
    <row r="950" spans="1:10" ht="14.25" customHeight="1">
      <c r="A950" s="92"/>
      <c r="B950" s="93"/>
      <c r="C950" s="93"/>
      <c r="D950" s="93"/>
      <c r="E950" s="93"/>
      <c r="F950" s="93"/>
      <c r="G950" s="93"/>
      <c r="H950" s="93"/>
      <c r="I950" s="93"/>
      <c r="J950" s="94"/>
    </row>
    <row r="951" spans="1:10" ht="14.25" customHeight="1">
      <c r="A951" s="99" t="s">
        <v>36</v>
      </c>
      <c r="B951" s="99"/>
      <c r="C951" s="99"/>
      <c r="D951" s="99"/>
      <c r="E951" s="99"/>
      <c r="F951" s="99"/>
      <c r="G951" s="99"/>
      <c r="H951" s="99"/>
      <c r="I951" s="99"/>
      <c r="J951" s="99"/>
    </row>
    <row r="952" spans="1:10" ht="14.25" customHeight="1">
      <c r="A952" s="95" t="s">
        <v>37</v>
      </c>
      <c r="B952" s="95"/>
      <c r="C952" s="95"/>
      <c r="D952" s="95"/>
      <c r="E952" s="95"/>
      <c r="F952" s="95"/>
      <c r="G952" s="95"/>
      <c r="H952" s="95"/>
      <c r="I952" s="95"/>
      <c r="J952" s="95"/>
    </row>
    <row r="953" spans="1:10" ht="14.25" customHeight="1">
      <c r="A953" s="95" t="s">
        <v>38</v>
      </c>
      <c r="B953" s="95"/>
      <c r="C953" s="95"/>
      <c r="D953" s="95"/>
      <c r="E953" s="95"/>
      <c r="F953" s="95"/>
      <c r="G953" s="95"/>
      <c r="H953" s="95"/>
      <c r="I953" s="95"/>
      <c r="J953" s="95"/>
    </row>
    <row r="954" spans="1:10" ht="14.25" customHeight="1">
      <c r="A954" s="95" t="s">
        <v>39</v>
      </c>
      <c r="B954" s="95"/>
      <c r="C954" s="95"/>
      <c r="D954" s="95"/>
      <c r="E954" s="95"/>
      <c r="F954" s="95"/>
      <c r="G954" s="95"/>
      <c r="H954" s="95"/>
      <c r="I954" s="95"/>
      <c r="J954" s="95"/>
    </row>
    <row r="955" spans="1:10" ht="14.25" customHeight="1">
      <c r="A955" s="95" t="s">
        <v>40</v>
      </c>
      <c r="B955" s="95"/>
      <c r="C955" s="95"/>
      <c r="D955" s="95"/>
      <c r="E955" s="95"/>
      <c r="F955" s="95"/>
      <c r="G955" s="95"/>
      <c r="H955" s="95"/>
      <c r="I955" s="95"/>
      <c r="J955" s="95"/>
    </row>
    <row r="956" spans="1:10" ht="14.25" customHeight="1">
      <c r="A956" s="95" t="s">
        <v>41</v>
      </c>
      <c r="B956" s="95"/>
      <c r="C956" s="95"/>
      <c r="D956" s="95"/>
      <c r="E956" s="95"/>
      <c r="F956" s="95"/>
      <c r="G956" s="95"/>
      <c r="H956" s="95"/>
      <c r="I956" s="95"/>
      <c r="J956" s="95"/>
    </row>
    <row r="957" spans="1:10" ht="14.25" customHeight="1">
      <c r="A957" s="95" t="s">
        <v>42</v>
      </c>
      <c r="B957" s="95"/>
      <c r="C957" s="95"/>
      <c r="D957" s="95"/>
      <c r="E957" s="95"/>
      <c r="F957" s="95"/>
      <c r="G957" s="95"/>
      <c r="H957" s="95"/>
      <c r="I957" s="95"/>
      <c r="J957" s="95"/>
    </row>
    <row r="958" spans="1:10" ht="14.25" customHeight="1">
      <c r="A958" s="100" t="s">
        <v>43</v>
      </c>
      <c r="B958" s="100"/>
      <c r="C958" s="100"/>
      <c r="D958" s="100"/>
      <c r="E958" s="100"/>
      <c r="F958" s="100"/>
      <c r="G958" s="100"/>
      <c r="H958" s="100"/>
      <c r="I958" s="100"/>
      <c r="J958" s="100"/>
    </row>
    <row r="959" spans="1:10" ht="14.25" customHeight="1">
      <c r="A959" s="95" t="s">
        <v>44</v>
      </c>
      <c r="B959" s="95"/>
      <c r="C959" s="95"/>
      <c r="D959" s="95"/>
      <c r="E959" s="95"/>
      <c r="F959" s="95"/>
      <c r="G959" s="95"/>
      <c r="H959" s="95"/>
      <c r="I959" s="95"/>
      <c r="J959" s="95"/>
    </row>
    <row r="960" spans="1:10" ht="29.25" customHeight="1">
      <c r="A960" s="96" t="s">
        <v>51</v>
      </c>
      <c r="B960" s="96"/>
      <c r="C960" s="96"/>
      <c r="D960" s="96"/>
      <c r="E960" s="96"/>
      <c r="F960" s="96"/>
      <c r="G960" s="96"/>
      <c r="H960" s="96"/>
      <c r="I960" s="96"/>
      <c r="J960" s="96"/>
    </row>
    <row r="961" spans="1:13" ht="14.25" customHeight="1">
      <c r="A961" s="101" t="s">
        <v>49</v>
      </c>
      <c r="B961" s="101"/>
      <c r="C961" s="101"/>
      <c r="D961" s="101"/>
      <c r="E961" s="101"/>
      <c r="F961" s="101"/>
      <c r="G961" s="101"/>
      <c r="H961" s="101"/>
      <c r="I961" s="101"/>
      <c r="J961" s="101"/>
    </row>
    <row r="962" spans="1:13" ht="14.25" customHeight="1"/>
    <row r="963" spans="1:13" ht="14.25" customHeight="1">
      <c r="A963" s="33" t="s">
        <v>0</v>
      </c>
      <c r="B963" s="33"/>
      <c r="C963" s="33"/>
      <c r="D963" s="33"/>
      <c r="E963" s="33"/>
      <c r="F963" s="33"/>
      <c r="G963" s="33"/>
      <c r="H963" s="33"/>
      <c r="I963" s="33"/>
      <c r="J963" s="33"/>
    </row>
    <row r="964" spans="1:13">
      <c r="A964" s="2" t="s">
        <v>1</v>
      </c>
      <c r="B964" s="3" t="str">
        <f>"GD-"&amp;IF(LEN(E968)=2,TEXT(LEFT(E968,1),"000"),IF(LEN(E968)=3,TEXT(LEFT(E968,2),"000"),TEXT(LEFT(E968,3),"000")))</f>
        <v>GD-014</v>
      </c>
      <c r="C964" s="2"/>
      <c r="D964" s="2"/>
      <c r="E964" s="2"/>
      <c r="F964" s="2"/>
      <c r="G964" s="2"/>
      <c r="H964" s="2"/>
      <c r="I964" s="2"/>
      <c r="J964" s="2"/>
    </row>
    <row r="965" spans="1:13" ht="14.25" customHeight="1">
      <c r="A965" s="34" t="s">
        <v>2</v>
      </c>
      <c r="B965" s="34"/>
      <c r="C965" s="34"/>
      <c r="D965" s="34"/>
      <c r="E965" s="34"/>
      <c r="F965" s="35" t="s">
        <v>3</v>
      </c>
      <c r="G965" s="35"/>
      <c r="H965" s="36">
        <f>H891+1</f>
        <v>45655</v>
      </c>
      <c r="I965" s="36"/>
      <c r="J965" s="7" t="str">
        <f>"("&amp;TEXT(H965,"[$-404]aaaa;@")&amp;")"</f>
        <v>(星期日)</v>
      </c>
    </row>
    <row r="966" spans="1:13" ht="14.25" customHeight="1">
      <c r="A966" s="37" t="s">
        <v>4</v>
      </c>
      <c r="B966" s="38"/>
      <c r="C966" s="41" t="str">
        <f>C892</f>
        <v>雲林縣成功國小思源堂整修工程</v>
      </c>
      <c r="D966" s="42"/>
      <c r="E966" s="43"/>
      <c r="F966" s="37" t="s">
        <v>5</v>
      </c>
      <c r="G966" s="38"/>
      <c r="H966" s="37" t="str">
        <f>H892</f>
        <v>正郁室內裝修</v>
      </c>
      <c r="I966" s="47"/>
      <c r="J966" s="38"/>
    </row>
    <row r="967" spans="1:13" ht="14.25" customHeight="1">
      <c r="A967" s="39"/>
      <c r="B967" s="40"/>
      <c r="C967" s="44"/>
      <c r="D967" s="45"/>
      <c r="E967" s="46"/>
      <c r="F967" s="39"/>
      <c r="G967" s="40"/>
      <c r="H967" s="39"/>
      <c r="I967" s="48"/>
      <c r="J967" s="40"/>
    </row>
    <row r="968" spans="1:13" ht="14.25" customHeight="1">
      <c r="A968" s="8" t="s">
        <v>7</v>
      </c>
      <c r="B968" s="8" t="str">
        <f>B894</f>
        <v>60天</v>
      </c>
      <c r="C968" s="30" t="s">
        <v>8</v>
      </c>
      <c r="D968" s="31"/>
      <c r="E968" s="8" t="str">
        <f>IF(LEN(E894)&gt;2,(LEFT(E894,2)+1),(LEFT(E894,1)+1))&amp;"天"</f>
        <v>14天</v>
      </c>
      <c r="F968" s="8" t="s">
        <v>9</v>
      </c>
      <c r="G968" s="8" t="str">
        <f>IF(LEN(E968)&gt;2,LEFT(B968,2)-LEFT(E968,2),LEFT(B968,2)-LEFT(E968,1))&amp;"天"</f>
        <v>46天</v>
      </c>
      <c r="H968" s="30" t="s">
        <v>10</v>
      </c>
      <c r="I968" s="31"/>
      <c r="J968" s="8" t="str">
        <f>J894</f>
        <v>0天</v>
      </c>
    </row>
    <row r="969" spans="1:13" ht="14.25" customHeight="1">
      <c r="A969" s="30" t="s">
        <v>12</v>
      </c>
      <c r="B969" s="31"/>
      <c r="C969" s="30" t="str">
        <f>C895</f>
        <v>113年12月16日</v>
      </c>
      <c r="D969" s="32"/>
      <c r="E969" s="31"/>
      <c r="F969" s="30" t="s">
        <v>13</v>
      </c>
      <c r="G969" s="31"/>
      <c r="H969" s="30" t="str">
        <f>H895</f>
        <v>114年02月13日</v>
      </c>
      <c r="I969" s="32"/>
      <c r="J969" s="31"/>
    </row>
    <row r="970" spans="1:13" ht="14.25" customHeight="1">
      <c r="A970" s="30" t="s">
        <v>14</v>
      </c>
      <c r="B970" s="31"/>
      <c r="C970" s="57">
        <f>C822+(20%/12)*2</f>
        <v>8.3333333333333343E-2</v>
      </c>
      <c r="D970" s="58"/>
      <c r="E970" s="59"/>
      <c r="F970" s="30" t="s">
        <v>15</v>
      </c>
      <c r="G970" s="31"/>
      <c r="H970" s="57">
        <f>ROUND(L997/L998,5)+H896</f>
        <v>0.22334000000000001</v>
      </c>
      <c r="I970" s="58"/>
      <c r="J970" s="59"/>
      <c r="K970" s="26" t="s">
        <v>69</v>
      </c>
      <c r="L970" s="22"/>
      <c r="M970" s="4"/>
    </row>
    <row r="971" spans="1:13" ht="14.25" customHeight="1">
      <c r="A971" s="49" t="s">
        <v>16</v>
      </c>
      <c r="B971" s="50"/>
      <c r="C971" s="50"/>
      <c r="D971" s="50"/>
      <c r="E971" s="50"/>
      <c r="F971" s="50"/>
      <c r="G971" s="50"/>
      <c r="H971" s="50"/>
      <c r="I971" s="50"/>
      <c r="J971" s="51"/>
      <c r="L971" s="22"/>
      <c r="M971" s="4"/>
    </row>
    <row r="972" spans="1:13" ht="14.25" customHeight="1">
      <c r="A972" s="30" t="s">
        <v>17</v>
      </c>
      <c r="B972" s="32"/>
      <c r="C972" s="31"/>
      <c r="D972" s="8" t="s">
        <v>18</v>
      </c>
      <c r="E972" s="17" t="s">
        <v>19</v>
      </c>
      <c r="F972" s="30" t="s">
        <v>20</v>
      </c>
      <c r="G972" s="31"/>
      <c r="H972" s="30" t="s">
        <v>21</v>
      </c>
      <c r="I972" s="31"/>
      <c r="J972" s="8" t="s">
        <v>22</v>
      </c>
      <c r="L972" s="22"/>
      <c r="M972" s="4"/>
    </row>
    <row r="973" spans="1:13" ht="14.25" customHeight="1">
      <c r="A973" s="49" t="s">
        <v>56</v>
      </c>
      <c r="B973" s="50"/>
      <c r="C973" s="50"/>
      <c r="D973" s="50"/>
      <c r="E973" s="50"/>
      <c r="F973" s="50"/>
      <c r="G973" s="50"/>
      <c r="H973" s="50"/>
      <c r="I973" s="50"/>
      <c r="J973" s="51"/>
    </row>
    <row r="974" spans="1:13" ht="14.25" customHeight="1">
      <c r="A974" s="55" t="s">
        <v>57</v>
      </c>
      <c r="B974" s="50"/>
      <c r="C974" s="51"/>
      <c r="D974" s="24" t="s">
        <v>59</v>
      </c>
      <c r="E974" s="23">
        <v>1</v>
      </c>
      <c r="F974" s="54"/>
      <c r="G974" s="56"/>
      <c r="H974" s="54">
        <f t="shared" ref="H974:H996" si="28">F974+H900</f>
        <v>1</v>
      </c>
      <c r="I974" s="31"/>
      <c r="J974" s="16"/>
      <c r="K974" s="27">
        <v>800</v>
      </c>
      <c r="L974" s="29">
        <f t="shared" ref="L974:L996" si="29">ROUND(K974*F974,0)</f>
        <v>0</v>
      </c>
    </row>
    <row r="975" spans="1:13" ht="14.25" customHeight="1">
      <c r="A975" s="55" t="s">
        <v>75</v>
      </c>
      <c r="B975" s="50"/>
      <c r="C975" s="51"/>
      <c r="D975" s="24" t="s">
        <v>59</v>
      </c>
      <c r="E975" s="23">
        <v>1</v>
      </c>
      <c r="F975" s="52"/>
      <c r="G975" s="53"/>
      <c r="H975" s="54">
        <f t="shared" si="28"/>
        <v>1</v>
      </c>
      <c r="I975" s="31"/>
      <c r="J975" s="8"/>
      <c r="K975" s="27">
        <v>500</v>
      </c>
      <c r="L975" s="29">
        <f t="shared" si="29"/>
        <v>0</v>
      </c>
    </row>
    <row r="976" spans="1:13" ht="14.25" customHeight="1">
      <c r="A976" s="49" t="s">
        <v>58</v>
      </c>
      <c r="B976" s="50"/>
      <c r="C976" s="51"/>
      <c r="D976" s="24" t="s">
        <v>61</v>
      </c>
      <c r="E976" s="23">
        <v>51</v>
      </c>
      <c r="F976" s="52"/>
      <c r="G976" s="53"/>
      <c r="H976" s="54">
        <f t="shared" si="28"/>
        <v>51</v>
      </c>
      <c r="I976" s="31"/>
      <c r="J976" s="10"/>
      <c r="K976" s="27">
        <v>50</v>
      </c>
      <c r="L976" s="29">
        <f t="shared" si="29"/>
        <v>0</v>
      </c>
    </row>
    <row r="977" spans="1:12" ht="14.25" customHeight="1">
      <c r="A977" s="55" t="s">
        <v>76</v>
      </c>
      <c r="B977" s="50"/>
      <c r="C977" s="51"/>
      <c r="D977" s="24" t="s">
        <v>60</v>
      </c>
      <c r="E977" s="23">
        <v>1</v>
      </c>
      <c r="F977" s="52"/>
      <c r="G977" s="53"/>
      <c r="H977" s="54">
        <f t="shared" si="28"/>
        <v>0</v>
      </c>
      <c r="I977" s="31"/>
      <c r="J977" s="16"/>
      <c r="K977" s="27">
        <v>3000</v>
      </c>
      <c r="L977" s="29">
        <f t="shared" si="29"/>
        <v>0</v>
      </c>
    </row>
    <row r="978" spans="1:12" ht="14.25" customHeight="1">
      <c r="A978" s="55" t="s">
        <v>77</v>
      </c>
      <c r="B978" s="50"/>
      <c r="C978" s="51"/>
      <c r="D978" s="25" t="s">
        <v>60</v>
      </c>
      <c r="E978" s="23">
        <v>1</v>
      </c>
      <c r="F978" s="52"/>
      <c r="G978" s="53"/>
      <c r="H978" s="54">
        <f t="shared" si="28"/>
        <v>0</v>
      </c>
      <c r="I978" s="31"/>
      <c r="J978" s="8"/>
      <c r="K978" s="27">
        <v>3000</v>
      </c>
      <c r="L978" s="29">
        <f t="shared" si="29"/>
        <v>0</v>
      </c>
    </row>
    <row r="979" spans="1:12" ht="28.5" customHeight="1">
      <c r="A979" s="55" t="s">
        <v>78</v>
      </c>
      <c r="B979" s="64"/>
      <c r="C979" s="65"/>
      <c r="D979" s="25" t="s">
        <v>62</v>
      </c>
      <c r="E979" s="23">
        <v>328</v>
      </c>
      <c r="F979" s="30"/>
      <c r="G979" s="63"/>
      <c r="H979" s="54">
        <f t="shared" si="28"/>
        <v>328</v>
      </c>
      <c r="I979" s="31"/>
      <c r="J979" s="8"/>
      <c r="K979" s="28">
        <v>100</v>
      </c>
      <c r="L979" s="29">
        <f t="shared" si="29"/>
        <v>0</v>
      </c>
    </row>
    <row r="980" spans="1:12" ht="14.25" customHeight="1">
      <c r="A980" s="60" t="s">
        <v>79</v>
      </c>
      <c r="B980" s="61"/>
      <c r="C980" s="61"/>
      <c r="D980" s="25" t="s">
        <v>61</v>
      </c>
      <c r="E980" s="23">
        <v>21</v>
      </c>
      <c r="F980" s="62"/>
      <c r="G980" s="62"/>
      <c r="H980" s="54">
        <f t="shared" si="28"/>
        <v>15</v>
      </c>
      <c r="I980" s="31"/>
      <c r="J980" s="8"/>
      <c r="K980" s="27">
        <v>2500</v>
      </c>
      <c r="L980" s="29">
        <f t="shared" si="29"/>
        <v>0</v>
      </c>
    </row>
    <row r="981" spans="1:12" ht="28.5" customHeight="1">
      <c r="A981" s="55" t="s">
        <v>80</v>
      </c>
      <c r="B981" s="64"/>
      <c r="C981" s="65"/>
      <c r="D981" s="25" t="s">
        <v>81</v>
      </c>
      <c r="E981" s="23">
        <v>5</v>
      </c>
      <c r="F981" s="30"/>
      <c r="G981" s="63"/>
      <c r="H981" s="54">
        <f t="shared" si="28"/>
        <v>0</v>
      </c>
      <c r="I981" s="31"/>
      <c r="J981" s="8"/>
      <c r="K981" s="27">
        <v>5000</v>
      </c>
      <c r="L981" s="29">
        <f t="shared" si="29"/>
        <v>0</v>
      </c>
    </row>
    <row r="982" spans="1:12" ht="14.25" customHeight="1">
      <c r="A982" s="60" t="s">
        <v>82</v>
      </c>
      <c r="B982" s="61"/>
      <c r="C982" s="61"/>
      <c r="D982" s="25" t="s">
        <v>62</v>
      </c>
      <c r="E982" s="23">
        <v>218</v>
      </c>
      <c r="F982" s="62"/>
      <c r="G982" s="62"/>
      <c r="H982" s="54">
        <f t="shared" si="28"/>
        <v>0</v>
      </c>
      <c r="I982" s="31"/>
      <c r="J982" s="8"/>
      <c r="K982" s="27">
        <v>1000</v>
      </c>
      <c r="L982" s="29">
        <f t="shared" si="29"/>
        <v>0</v>
      </c>
    </row>
    <row r="983" spans="1:12" ht="14.25" customHeight="1">
      <c r="A983" s="61" t="s">
        <v>83</v>
      </c>
      <c r="B983" s="61"/>
      <c r="C983" s="61"/>
      <c r="D983" s="25" t="s">
        <v>81</v>
      </c>
      <c r="E983" s="23">
        <v>28</v>
      </c>
      <c r="F983" s="30"/>
      <c r="G983" s="63"/>
      <c r="H983" s="54">
        <f t="shared" si="28"/>
        <v>0</v>
      </c>
      <c r="I983" s="31"/>
      <c r="J983" s="8"/>
      <c r="K983" s="27">
        <v>2000</v>
      </c>
      <c r="L983" s="29">
        <f t="shared" si="29"/>
        <v>0</v>
      </c>
    </row>
    <row r="984" spans="1:12" ht="28.5" customHeight="1">
      <c r="A984" s="60" t="s">
        <v>84</v>
      </c>
      <c r="B984" s="61"/>
      <c r="C984" s="61"/>
      <c r="D984" s="25" t="s">
        <v>62</v>
      </c>
      <c r="E984" s="23">
        <v>245</v>
      </c>
      <c r="F984" s="62"/>
      <c r="G984" s="62"/>
      <c r="H984" s="54">
        <f t="shared" si="28"/>
        <v>0</v>
      </c>
      <c r="I984" s="31"/>
      <c r="J984" s="8"/>
      <c r="K984" s="27">
        <v>1500</v>
      </c>
      <c r="L984" s="29">
        <f t="shared" si="29"/>
        <v>0</v>
      </c>
    </row>
    <row r="985" spans="1:12" ht="14.25" customHeight="1">
      <c r="A985" s="61" t="s">
        <v>85</v>
      </c>
      <c r="B985" s="61"/>
      <c r="C985" s="61"/>
      <c r="D985" s="25" t="s">
        <v>62</v>
      </c>
      <c r="E985" s="23">
        <v>83</v>
      </c>
      <c r="F985" s="30"/>
      <c r="G985" s="63"/>
      <c r="H985" s="54">
        <f t="shared" si="28"/>
        <v>0</v>
      </c>
      <c r="I985" s="31"/>
      <c r="J985" s="8"/>
      <c r="K985" s="27">
        <v>1000</v>
      </c>
      <c r="L985" s="29">
        <f t="shared" si="29"/>
        <v>0</v>
      </c>
    </row>
    <row r="986" spans="1:12" ht="30" customHeight="1">
      <c r="A986" s="60" t="s">
        <v>86</v>
      </c>
      <c r="B986" s="61"/>
      <c r="C986" s="61"/>
      <c r="D986" s="25" t="s">
        <v>62</v>
      </c>
      <c r="E986" s="23">
        <v>164</v>
      </c>
      <c r="F986" s="62"/>
      <c r="G986" s="62"/>
      <c r="H986" s="54">
        <f t="shared" si="28"/>
        <v>0</v>
      </c>
      <c r="I986" s="31"/>
      <c r="J986" s="8"/>
      <c r="K986" s="27">
        <v>500</v>
      </c>
      <c r="L986" s="29">
        <f t="shared" si="29"/>
        <v>0</v>
      </c>
    </row>
    <row r="987" spans="1:12" ht="14.25" customHeight="1">
      <c r="A987" s="60" t="s">
        <v>87</v>
      </c>
      <c r="B987" s="61"/>
      <c r="C987" s="61"/>
      <c r="D987" s="25" t="s">
        <v>62</v>
      </c>
      <c r="E987" s="23">
        <v>37</v>
      </c>
      <c r="F987" s="30"/>
      <c r="G987" s="63"/>
      <c r="H987" s="54">
        <f t="shared" si="28"/>
        <v>37</v>
      </c>
      <c r="I987" s="31"/>
      <c r="J987" s="8"/>
      <c r="K987" s="27">
        <v>1000</v>
      </c>
      <c r="L987" s="29">
        <f t="shared" si="29"/>
        <v>0</v>
      </c>
    </row>
    <row r="988" spans="1:12" ht="14.25" customHeight="1">
      <c r="A988" s="61" t="s">
        <v>88</v>
      </c>
      <c r="B988" s="61"/>
      <c r="C988" s="61"/>
      <c r="D988" s="25" t="s">
        <v>60</v>
      </c>
      <c r="E988" s="23">
        <v>1</v>
      </c>
      <c r="F988" s="62"/>
      <c r="G988" s="62"/>
      <c r="H988" s="54">
        <f t="shared" si="28"/>
        <v>0.95</v>
      </c>
      <c r="I988" s="31"/>
      <c r="J988" s="8"/>
      <c r="K988" s="27">
        <v>250000</v>
      </c>
      <c r="L988" s="29">
        <f t="shared" si="29"/>
        <v>0</v>
      </c>
    </row>
    <row r="989" spans="1:12" ht="14.25" customHeight="1">
      <c r="A989" s="61" t="s">
        <v>89</v>
      </c>
      <c r="B989" s="61"/>
      <c r="C989" s="61"/>
      <c r="D989" s="25" t="s">
        <v>62</v>
      </c>
      <c r="E989" s="23">
        <v>81</v>
      </c>
      <c r="F989" s="30"/>
      <c r="G989" s="63"/>
      <c r="H989" s="54">
        <f t="shared" si="28"/>
        <v>0</v>
      </c>
      <c r="I989" s="31"/>
      <c r="J989" s="8"/>
      <c r="K989" s="27">
        <v>500</v>
      </c>
      <c r="L989" s="29">
        <f t="shared" si="29"/>
        <v>0</v>
      </c>
    </row>
    <row r="990" spans="1:12" ht="29.25" customHeight="1">
      <c r="A990" s="60" t="s">
        <v>90</v>
      </c>
      <c r="B990" s="61"/>
      <c r="C990" s="61"/>
      <c r="D990" s="25" t="s">
        <v>62</v>
      </c>
      <c r="E990" s="23">
        <v>42</v>
      </c>
      <c r="F990" s="62"/>
      <c r="G990" s="62"/>
      <c r="H990" s="54">
        <f t="shared" si="28"/>
        <v>0</v>
      </c>
      <c r="I990" s="31"/>
      <c r="J990" s="8"/>
      <c r="K990" s="27">
        <v>1800</v>
      </c>
      <c r="L990" s="29">
        <f t="shared" si="29"/>
        <v>0</v>
      </c>
    </row>
    <row r="991" spans="1:12" ht="14.25" customHeight="1">
      <c r="A991" s="60" t="s">
        <v>91</v>
      </c>
      <c r="B991" s="61"/>
      <c r="C991" s="61"/>
      <c r="D991" s="25" t="s">
        <v>60</v>
      </c>
      <c r="E991" s="23">
        <v>1</v>
      </c>
      <c r="F991" s="30"/>
      <c r="G991" s="63"/>
      <c r="H991" s="54">
        <f t="shared" si="28"/>
        <v>0</v>
      </c>
      <c r="I991" s="31"/>
      <c r="J991" s="8"/>
      <c r="K991" s="27">
        <v>30000</v>
      </c>
      <c r="L991" s="29">
        <f t="shared" si="29"/>
        <v>0</v>
      </c>
    </row>
    <row r="992" spans="1:12" ht="14.25" customHeight="1">
      <c r="A992" s="61" t="s">
        <v>92</v>
      </c>
      <c r="B992" s="61"/>
      <c r="C992" s="61"/>
      <c r="D992" s="25" t="s">
        <v>60</v>
      </c>
      <c r="E992" s="23">
        <v>1</v>
      </c>
      <c r="F992" s="62"/>
      <c r="G992" s="62"/>
      <c r="H992" s="54">
        <f t="shared" si="28"/>
        <v>0</v>
      </c>
      <c r="I992" s="31"/>
      <c r="J992" s="8"/>
      <c r="K992" s="27">
        <v>13598</v>
      </c>
      <c r="L992" s="29">
        <f t="shared" si="29"/>
        <v>0</v>
      </c>
    </row>
    <row r="993" spans="1:13" ht="14.25" customHeight="1">
      <c r="A993" s="61" t="s">
        <v>93</v>
      </c>
      <c r="B993" s="61"/>
      <c r="C993" s="61"/>
      <c r="D993" s="25" t="s">
        <v>60</v>
      </c>
      <c r="E993" s="23">
        <v>1</v>
      </c>
      <c r="F993" s="62"/>
      <c r="G993" s="62"/>
      <c r="H993" s="54">
        <f t="shared" si="28"/>
        <v>0</v>
      </c>
      <c r="I993" s="31"/>
      <c r="J993" s="8"/>
      <c r="K993" s="27">
        <v>13598</v>
      </c>
      <c r="L993" s="29">
        <f t="shared" si="29"/>
        <v>0</v>
      </c>
    </row>
    <row r="994" spans="1:13" ht="14.25" customHeight="1">
      <c r="A994" s="61" t="s">
        <v>64</v>
      </c>
      <c r="B994" s="61"/>
      <c r="C994" s="61"/>
      <c r="D994" s="25" t="s">
        <v>60</v>
      </c>
      <c r="E994" s="23">
        <v>1</v>
      </c>
      <c r="F994" s="62"/>
      <c r="G994" s="62"/>
      <c r="H994" s="54">
        <f t="shared" si="28"/>
        <v>0</v>
      </c>
      <c r="I994" s="31"/>
      <c r="J994" s="8"/>
      <c r="K994" s="27">
        <v>95182</v>
      </c>
      <c r="L994" s="29">
        <f t="shared" si="29"/>
        <v>0</v>
      </c>
    </row>
    <row r="995" spans="1:13" ht="14.25" customHeight="1">
      <c r="A995" s="61" t="s">
        <v>65</v>
      </c>
      <c r="B995" s="61"/>
      <c r="C995" s="61"/>
      <c r="D995" s="25" t="s">
        <v>60</v>
      </c>
      <c r="E995" s="23">
        <v>1</v>
      </c>
      <c r="F995" s="62"/>
      <c r="G995" s="62"/>
      <c r="H995" s="54">
        <f t="shared" si="28"/>
        <v>0</v>
      </c>
      <c r="I995" s="31"/>
      <c r="J995" s="8"/>
      <c r="K995" s="27">
        <v>4513</v>
      </c>
      <c r="L995" s="29">
        <f t="shared" si="29"/>
        <v>0</v>
      </c>
    </row>
    <row r="996" spans="1:13" ht="14.25" customHeight="1" thickBot="1">
      <c r="A996" s="61" t="s">
        <v>66</v>
      </c>
      <c r="B996" s="61"/>
      <c r="C996" s="61"/>
      <c r="D996" s="25" t="s">
        <v>60</v>
      </c>
      <c r="E996" s="23">
        <v>1</v>
      </c>
      <c r="F996" s="62"/>
      <c r="G996" s="62"/>
      <c r="H996" s="54">
        <f t="shared" si="28"/>
        <v>0</v>
      </c>
      <c r="I996" s="31"/>
      <c r="J996" s="8"/>
      <c r="K996" s="27">
        <v>74332</v>
      </c>
      <c r="L996" s="29">
        <f t="shared" si="29"/>
        <v>0</v>
      </c>
      <c r="M996" s="1" t="s">
        <v>97</v>
      </c>
    </row>
    <row r="997" spans="1:13" ht="14.25" customHeight="1">
      <c r="A997" s="77" t="s">
        <v>46</v>
      </c>
      <c r="B997" s="67"/>
      <c r="C997" s="68"/>
      <c r="D997" s="11"/>
      <c r="E997" s="18"/>
      <c r="F997" s="78"/>
      <c r="G997" s="79"/>
      <c r="H997" s="78"/>
      <c r="I997" s="79"/>
      <c r="J997" s="12"/>
      <c r="K997" s="27" t="s">
        <v>68</v>
      </c>
      <c r="L997" s="29">
        <f>SUM(L974:L996)</f>
        <v>0</v>
      </c>
      <c r="M997" s="4">
        <f>ROUND(L997/L998,5)</f>
        <v>0</v>
      </c>
    </row>
    <row r="998" spans="1:13" ht="14.25" customHeight="1">
      <c r="A998" s="69" t="s">
        <v>47</v>
      </c>
      <c r="B998" s="70"/>
      <c r="C998" s="71"/>
      <c r="D998" s="9"/>
      <c r="E998" s="19"/>
      <c r="F998" s="30"/>
      <c r="G998" s="31"/>
      <c r="H998" s="30"/>
      <c r="I998" s="31"/>
      <c r="J998" s="13"/>
      <c r="K998" s="27" t="s">
        <v>67</v>
      </c>
      <c r="L998" s="29">
        <v>1560973</v>
      </c>
      <c r="M998" s="4"/>
    </row>
    <row r="999" spans="1:13" ht="14.25" customHeight="1" thickBot="1">
      <c r="A999" s="72" t="s">
        <v>48</v>
      </c>
      <c r="B999" s="73"/>
      <c r="C999" s="74"/>
      <c r="D999" s="14"/>
      <c r="E999" s="20"/>
      <c r="F999" s="75"/>
      <c r="G999" s="76"/>
      <c r="H999" s="75"/>
      <c r="I999" s="76"/>
      <c r="J999" s="15"/>
    </row>
    <row r="1000" spans="1:13" ht="14.25" customHeight="1">
      <c r="A1000" s="66" t="s">
        <v>23</v>
      </c>
      <c r="B1000" s="67"/>
      <c r="C1000" s="67"/>
      <c r="D1000" s="67"/>
      <c r="E1000" s="67"/>
      <c r="F1000" s="67"/>
      <c r="G1000" s="67"/>
      <c r="H1000" s="67"/>
      <c r="I1000" s="67"/>
      <c r="J1000" s="68"/>
    </row>
    <row r="1001" spans="1:13" ht="14.25" customHeight="1">
      <c r="A1001" s="30" t="s">
        <v>24</v>
      </c>
      <c r="B1001" s="32"/>
      <c r="C1001" s="31"/>
      <c r="D1001" s="8" t="s">
        <v>18</v>
      </c>
      <c r="E1001" s="8" t="s">
        <v>25</v>
      </c>
      <c r="F1001" s="30" t="s">
        <v>26</v>
      </c>
      <c r="G1001" s="31"/>
      <c r="H1001" s="30" t="s">
        <v>27</v>
      </c>
      <c r="I1001" s="31"/>
      <c r="J1001" s="8" t="s">
        <v>22</v>
      </c>
    </row>
    <row r="1002" spans="1:13" ht="14.25" customHeight="1">
      <c r="A1002" s="49"/>
      <c r="B1002" s="50"/>
      <c r="C1002" s="51"/>
      <c r="D1002" s="8"/>
      <c r="E1002" s="8"/>
      <c r="F1002" s="30"/>
      <c r="G1002" s="31"/>
      <c r="H1002" s="30"/>
      <c r="I1002" s="31"/>
      <c r="J1002" s="8"/>
    </row>
    <row r="1003" spans="1:13" ht="14.25" customHeight="1">
      <c r="A1003" s="49"/>
      <c r="B1003" s="50"/>
      <c r="C1003" s="51"/>
      <c r="D1003" s="8"/>
      <c r="E1003" s="8"/>
      <c r="F1003" s="30"/>
      <c r="G1003" s="31"/>
      <c r="H1003" s="30"/>
      <c r="I1003" s="31"/>
      <c r="J1003" s="8"/>
    </row>
    <row r="1004" spans="1:13" ht="14.25" customHeight="1">
      <c r="A1004" s="49" t="s">
        <v>28</v>
      </c>
      <c r="B1004" s="50"/>
      <c r="C1004" s="50"/>
      <c r="D1004" s="50"/>
      <c r="E1004" s="50"/>
      <c r="F1004" s="50"/>
      <c r="G1004" s="50"/>
      <c r="H1004" s="50"/>
      <c r="I1004" s="50"/>
      <c r="J1004" s="51"/>
    </row>
    <row r="1005" spans="1:13" ht="14.25" customHeight="1">
      <c r="A1005" s="30" t="s">
        <v>29</v>
      </c>
      <c r="B1005" s="31"/>
      <c r="C1005" s="8" t="s">
        <v>30</v>
      </c>
      <c r="D1005" s="8" t="s">
        <v>31</v>
      </c>
      <c r="E1005" s="30" t="s">
        <v>32</v>
      </c>
      <c r="F1005" s="31"/>
      <c r="G1005" s="30" t="s">
        <v>26</v>
      </c>
      <c r="H1005" s="31"/>
      <c r="I1005" s="30" t="s">
        <v>27</v>
      </c>
      <c r="J1005" s="31"/>
    </row>
    <row r="1006" spans="1:13" ht="14.25" customHeight="1">
      <c r="A1006" s="49"/>
      <c r="B1006" s="51"/>
      <c r="C1006" s="8"/>
      <c r="D1006" s="8"/>
      <c r="E1006" s="30"/>
      <c r="F1006" s="31"/>
      <c r="G1006" s="30"/>
      <c r="H1006" s="31"/>
      <c r="I1006" s="30"/>
      <c r="J1006" s="31"/>
    </row>
    <row r="1007" spans="1:13" ht="14.25" customHeight="1">
      <c r="A1007" s="49"/>
      <c r="B1007" s="51"/>
      <c r="C1007" s="8"/>
      <c r="D1007" s="8"/>
      <c r="E1007" s="30"/>
      <c r="F1007" s="31"/>
      <c r="G1007" s="30"/>
      <c r="H1007" s="31"/>
      <c r="I1007" s="30"/>
      <c r="J1007" s="31"/>
    </row>
    <row r="1008" spans="1:13" ht="14.25" customHeight="1">
      <c r="A1008" s="41" t="s">
        <v>45</v>
      </c>
      <c r="B1008" s="42"/>
      <c r="C1008" s="42"/>
      <c r="D1008" s="42"/>
      <c r="E1008" s="42"/>
      <c r="F1008" s="42"/>
      <c r="G1008" s="42"/>
      <c r="H1008" s="42"/>
      <c r="I1008" s="42"/>
      <c r="J1008" s="43"/>
    </row>
    <row r="1009" spans="1:27" ht="14.25" customHeight="1">
      <c r="A1009" s="44"/>
      <c r="B1009" s="45"/>
      <c r="C1009" s="45"/>
      <c r="D1009" s="45"/>
      <c r="E1009" s="45"/>
      <c r="F1009" s="45"/>
      <c r="G1009" s="45"/>
      <c r="H1009" s="45"/>
      <c r="I1009" s="45"/>
      <c r="J1009" s="46"/>
    </row>
    <row r="1010" spans="1:27" ht="14.25" customHeight="1">
      <c r="A1010" s="80" t="s">
        <v>52</v>
      </c>
      <c r="B1010" s="81"/>
      <c r="C1010" s="81"/>
      <c r="D1010" s="81"/>
      <c r="E1010" s="81"/>
      <c r="F1010" s="81"/>
      <c r="G1010" s="81"/>
      <c r="H1010" s="81"/>
      <c r="I1010" s="81"/>
      <c r="J1010" s="82"/>
      <c r="M1010" s="4"/>
      <c r="N1010" s="5"/>
      <c r="O1010" s="6"/>
      <c r="S1010" s="6"/>
      <c r="W1010" s="6"/>
      <c r="AA1010" s="6"/>
    </row>
    <row r="1011" spans="1:27" ht="14.25" customHeight="1">
      <c r="A1011" s="83"/>
      <c r="B1011" s="84"/>
      <c r="C1011" s="84"/>
      <c r="D1011" s="84"/>
      <c r="E1011" s="84"/>
      <c r="F1011" s="84"/>
      <c r="G1011" s="84"/>
      <c r="H1011" s="84"/>
      <c r="I1011" s="84"/>
      <c r="J1011" s="85"/>
    </row>
    <row r="1012" spans="1:27" ht="14.25" customHeight="1">
      <c r="A1012" s="83"/>
      <c r="B1012" s="84"/>
      <c r="C1012" s="84"/>
      <c r="D1012" s="84"/>
      <c r="E1012" s="84"/>
      <c r="F1012" s="84"/>
      <c r="G1012" s="84"/>
      <c r="H1012" s="84"/>
      <c r="I1012" s="84"/>
      <c r="J1012" s="85"/>
    </row>
    <row r="1013" spans="1:27" ht="14.25" customHeight="1">
      <c r="A1013" s="83"/>
      <c r="B1013" s="84"/>
      <c r="C1013" s="84"/>
      <c r="D1013" s="84"/>
      <c r="E1013" s="84"/>
      <c r="F1013" s="84"/>
      <c r="G1013" s="84"/>
      <c r="H1013" s="84"/>
      <c r="I1013" s="84"/>
      <c r="J1013" s="85"/>
    </row>
    <row r="1014" spans="1:27" ht="14.25" customHeight="1">
      <c r="A1014" s="83"/>
      <c r="B1014" s="84"/>
      <c r="C1014" s="84"/>
      <c r="D1014" s="84"/>
      <c r="E1014" s="84"/>
      <c r="F1014" s="84"/>
      <c r="G1014" s="84"/>
      <c r="H1014" s="84"/>
      <c r="I1014" s="84"/>
      <c r="J1014" s="85"/>
    </row>
    <row r="1015" spans="1:27" ht="14.25" customHeight="1">
      <c r="A1015" s="83"/>
      <c r="B1015" s="84"/>
      <c r="C1015" s="84"/>
      <c r="D1015" s="84"/>
      <c r="E1015" s="84"/>
      <c r="F1015" s="84"/>
      <c r="G1015" s="84"/>
      <c r="H1015" s="84"/>
      <c r="I1015" s="84"/>
      <c r="J1015" s="85"/>
    </row>
    <row r="1016" spans="1:27" ht="14.25" customHeight="1">
      <c r="A1016" s="86"/>
      <c r="B1016" s="87"/>
      <c r="C1016" s="87"/>
      <c r="D1016" s="87"/>
      <c r="E1016" s="87"/>
      <c r="F1016" s="87"/>
      <c r="G1016" s="87"/>
      <c r="H1016" s="87"/>
      <c r="I1016" s="87"/>
      <c r="J1016" s="88"/>
    </row>
    <row r="1017" spans="1:27" ht="14.25" customHeight="1">
      <c r="A1017" s="89" t="s">
        <v>33</v>
      </c>
      <c r="B1017" s="90"/>
      <c r="C1017" s="90"/>
      <c r="D1017" s="90"/>
      <c r="E1017" s="90"/>
      <c r="F1017" s="90"/>
      <c r="G1017" s="90"/>
      <c r="H1017" s="90"/>
      <c r="I1017" s="90"/>
      <c r="J1017" s="91"/>
    </row>
    <row r="1018" spans="1:27" ht="14.25" customHeight="1">
      <c r="A1018" s="92"/>
      <c r="B1018" s="93"/>
      <c r="C1018" s="93"/>
      <c r="D1018" s="93"/>
      <c r="E1018" s="93"/>
      <c r="F1018" s="93"/>
      <c r="G1018" s="93"/>
      <c r="H1018" s="93"/>
      <c r="I1018" s="93"/>
      <c r="J1018" s="94"/>
    </row>
    <row r="1019" spans="1:27" ht="14.25" customHeight="1">
      <c r="A1019" s="89" t="s">
        <v>34</v>
      </c>
      <c r="B1019" s="90"/>
      <c r="C1019" s="90"/>
      <c r="D1019" s="90"/>
      <c r="E1019" s="90"/>
      <c r="F1019" s="90"/>
      <c r="G1019" s="90"/>
      <c r="H1019" s="90"/>
      <c r="I1019" s="90"/>
      <c r="J1019" s="91"/>
    </row>
    <row r="1020" spans="1:27" ht="14.25" customHeight="1">
      <c r="A1020" s="92"/>
      <c r="B1020" s="93"/>
      <c r="C1020" s="93"/>
      <c r="D1020" s="93"/>
      <c r="E1020" s="93"/>
      <c r="F1020" s="93"/>
      <c r="G1020" s="93"/>
      <c r="H1020" s="93"/>
      <c r="I1020" s="93"/>
      <c r="J1020" s="94"/>
    </row>
    <row r="1021" spans="1:27" ht="14.25" customHeight="1">
      <c r="A1021" s="89" t="s">
        <v>54</v>
      </c>
      <c r="B1021" s="90"/>
      <c r="C1021" s="90"/>
      <c r="D1021" s="90"/>
      <c r="E1021" s="90"/>
      <c r="F1021" s="90"/>
      <c r="G1021" s="90"/>
      <c r="H1021" s="90"/>
      <c r="I1021" s="90"/>
      <c r="J1021" s="91"/>
    </row>
    <row r="1022" spans="1:27" ht="14.25" customHeight="1">
      <c r="A1022" s="92"/>
      <c r="B1022" s="93"/>
      <c r="C1022" s="93"/>
      <c r="D1022" s="93"/>
      <c r="E1022" s="93"/>
      <c r="F1022" s="93"/>
      <c r="G1022" s="93"/>
      <c r="H1022" s="93"/>
      <c r="I1022" s="93"/>
      <c r="J1022" s="94"/>
    </row>
    <row r="1023" spans="1:27" ht="14.25" customHeight="1">
      <c r="A1023" s="89" t="s">
        <v>35</v>
      </c>
      <c r="B1023" s="90"/>
      <c r="C1023" s="90"/>
      <c r="D1023" s="90"/>
      <c r="E1023" s="90"/>
      <c r="F1023" s="90"/>
      <c r="G1023" s="90"/>
      <c r="H1023" s="90"/>
      <c r="I1023" s="90"/>
      <c r="J1023" s="91"/>
    </row>
    <row r="1024" spans="1:27" ht="14.25" customHeight="1">
      <c r="A1024" s="92"/>
      <c r="B1024" s="93"/>
      <c r="C1024" s="93"/>
      <c r="D1024" s="93"/>
      <c r="E1024" s="93"/>
      <c r="F1024" s="93"/>
      <c r="G1024" s="93"/>
      <c r="H1024" s="93"/>
      <c r="I1024" s="93"/>
      <c r="J1024" s="94"/>
    </row>
    <row r="1025" spans="1:10" ht="14.25" customHeight="1">
      <c r="A1025" s="99" t="s">
        <v>36</v>
      </c>
      <c r="B1025" s="99"/>
      <c r="C1025" s="99"/>
      <c r="D1025" s="99"/>
      <c r="E1025" s="99"/>
      <c r="F1025" s="99"/>
      <c r="G1025" s="99"/>
      <c r="H1025" s="99"/>
      <c r="I1025" s="99"/>
      <c r="J1025" s="99"/>
    </row>
    <row r="1026" spans="1:10" ht="14.25" customHeight="1">
      <c r="A1026" s="95" t="s">
        <v>37</v>
      </c>
      <c r="B1026" s="95"/>
      <c r="C1026" s="95"/>
      <c r="D1026" s="95"/>
      <c r="E1026" s="95"/>
      <c r="F1026" s="95"/>
      <c r="G1026" s="95"/>
      <c r="H1026" s="95"/>
      <c r="I1026" s="95"/>
      <c r="J1026" s="95"/>
    </row>
    <row r="1027" spans="1:10" ht="14.25" customHeight="1">
      <c r="A1027" s="95" t="s">
        <v>38</v>
      </c>
      <c r="B1027" s="95"/>
      <c r="C1027" s="95"/>
      <c r="D1027" s="95"/>
      <c r="E1027" s="95"/>
      <c r="F1027" s="95"/>
      <c r="G1027" s="95"/>
      <c r="H1027" s="95"/>
      <c r="I1027" s="95"/>
      <c r="J1027" s="95"/>
    </row>
    <row r="1028" spans="1:10" ht="14.25" customHeight="1">
      <c r="A1028" s="95" t="s">
        <v>39</v>
      </c>
      <c r="B1028" s="95"/>
      <c r="C1028" s="95"/>
      <c r="D1028" s="95"/>
      <c r="E1028" s="95"/>
      <c r="F1028" s="95"/>
      <c r="G1028" s="95"/>
      <c r="H1028" s="95"/>
      <c r="I1028" s="95"/>
      <c r="J1028" s="95"/>
    </row>
    <row r="1029" spans="1:10" ht="14.25" customHeight="1">
      <c r="A1029" s="95" t="s">
        <v>40</v>
      </c>
      <c r="B1029" s="95"/>
      <c r="C1029" s="95"/>
      <c r="D1029" s="95"/>
      <c r="E1029" s="95"/>
      <c r="F1029" s="95"/>
      <c r="G1029" s="95"/>
      <c r="H1029" s="95"/>
      <c r="I1029" s="95"/>
      <c r="J1029" s="95"/>
    </row>
    <row r="1030" spans="1:10" ht="14.25" customHeight="1">
      <c r="A1030" s="95" t="s">
        <v>41</v>
      </c>
      <c r="B1030" s="95"/>
      <c r="C1030" s="95"/>
      <c r="D1030" s="95"/>
      <c r="E1030" s="95"/>
      <c r="F1030" s="95"/>
      <c r="G1030" s="95"/>
      <c r="H1030" s="95"/>
      <c r="I1030" s="95"/>
      <c r="J1030" s="95"/>
    </row>
    <row r="1031" spans="1:10" ht="14.25" customHeight="1">
      <c r="A1031" s="95" t="s">
        <v>42</v>
      </c>
      <c r="B1031" s="95"/>
      <c r="C1031" s="95"/>
      <c r="D1031" s="95"/>
      <c r="E1031" s="95"/>
      <c r="F1031" s="95"/>
      <c r="G1031" s="95"/>
      <c r="H1031" s="95"/>
      <c r="I1031" s="95"/>
      <c r="J1031" s="95"/>
    </row>
    <row r="1032" spans="1:10" ht="14.25" customHeight="1">
      <c r="A1032" s="100" t="s">
        <v>43</v>
      </c>
      <c r="B1032" s="100"/>
      <c r="C1032" s="100"/>
      <c r="D1032" s="100"/>
      <c r="E1032" s="100"/>
      <c r="F1032" s="100"/>
      <c r="G1032" s="100"/>
      <c r="H1032" s="100"/>
      <c r="I1032" s="100"/>
      <c r="J1032" s="100"/>
    </row>
    <row r="1033" spans="1:10" ht="14.25" customHeight="1">
      <c r="A1033" s="95" t="s">
        <v>44</v>
      </c>
      <c r="B1033" s="95"/>
      <c r="C1033" s="95"/>
      <c r="D1033" s="95"/>
      <c r="E1033" s="95"/>
      <c r="F1033" s="95"/>
      <c r="G1033" s="95"/>
      <c r="H1033" s="95"/>
      <c r="I1033" s="95"/>
      <c r="J1033" s="95"/>
    </row>
    <row r="1034" spans="1:10" ht="29.25" customHeight="1">
      <c r="A1034" s="96" t="s">
        <v>51</v>
      </c>
      <c r="B1034" s="96"/>
      <c r="C1034" s="96"/>
      <c r="D1034" s="96"/>
      <c r="E1034" s="96"/>
      <c r="F1034" s="96"/>
      <c r="G1034" s="96"/>
      <c r="H1034" s="96"/>
      <c r="I1034" s="96"/>
      <c r="J1034" s="96"/>
    </row>
    <row r="1035" spans="1:10" ht="14.25" customHeight="1">
      <c r="A1035" s="101" t="s">
        <v>49</v>
      </c>
      <c r="B1035" s="101"/>
      <c r="C1035" s="101"/>
      <c r="D1035" s="101"/>
      <c r="E1035" s="101"/>
      <c r="F1035" s="101"/>
      <c r="G1035" s="101"/>
      <c r="H1035" s="101"/>
      <c r="I1035" s="101"/>
      <c r="J1035" s="101"/>
    </row>
    <row r="1036" spans="1:10" ht="14.25" customHeight="1"/>
    <row r="1037" spans="1:10" ht="14.25" customHeight="1">
      <c r="A1037" s="33" t="s">
        <v>0</v>
      </c>
      <c r="B1037" s="33"/>
      <c r="C1037" s="33"/>
      <c r="D1037" s="33"/>
      <c r="E1037" s="33"/>
      <c r="F1037" s="33"/>
      <c r="G1037" s="33"/>
      <c r="H1037" s="33"/>
      <c r="I1037" s="33"/>
      <c r="J1037" s="33"/>
    </row>
    <row r="1038" spans="1:10">
      <c r="A1038" s="2" t="s">
        <v>1</v>
      </c>
      <c r="B1038" s="3" t="str">
        <f>"GD-"&amp;IF(LEN(E1042)=2,TEXT(LEFT(E1042,1),"000"),IF(LEN(E1042)=3,TEXT(LEFT(E1042,2),"000"),TEXT(LEFT(E1042,3),"000")))</f>
        <v>GD-015</v>
      </c>
      <c r="C1038" s="2"/>
      <c r="D1038" s="2"/>
      <c r="E1038" s="2"/>
      <c r="F1038" s="2"/>
      <c r="G1038" s="2"/>
      <c r="H1038" s="2"/>
      <c r="I1038" s="2"/>
      <c r="J1038" s="2"/>
    </row>
    <row r="1039" spans="1:10" ht="14.25" customHeight="1">
      <c r="A1039" s="34" t="s">
        <v>2</v>
      </c>
      <c r="B1039" s="34"/>
      <c r="C1039" s="34"/>
      <c r="D1039" s="34"/>
      <c r="E1039" s="34"/>
      <c r="F1039" s="35" t="s">
        <v>3</v>
      </c>
      <c r="G1039" s="35"/>
      <c r="H1039" s="36">
        <f>H965+1</f>
        <v>45656</v>
      </c>
      <c r="I1039" s="36"/>
      <c r="J1039" s="7" t="str">
        <f>"("&amp;TEXT(H1039,"[$-404]aaaa;@")&amp;")"</f>
        <v>(星期一)</v>
      </c>
    </row>
    <row r="1040" spans="1:10" ht="14.25" customHeight="1">
      <c r="A1040" s="37" t="s">
        <v>4</v>
      </c>
      <c r="B1040" s="38"/>
      <c r="C1040" s="41" t="str">
        <f>C966</f>
        <v>雲林縣成功國小思源堂整修工程</v>
      </c>
      <c r="D1040" s="42"/>
      <c r="E1040" s="43"/>
      <c r="F1040" s="37" t="s">
        <v>5</v>
      </c>
      <c r="G1040" s="38"/>
      <c r="H1040" s="37" t="str">
        <f>H966</f>
        <v>正郁室內裝修</v>
      </c>
      <c r="I1040" s="47"/>
      <c r="J1040" s="38"/>
    </row>
    <row r="1041" spans="1:13" ht="14.25" customHeight="1">
      <c r="A1041" s="39"/>
      <c r="B1041" s="40"/>
      <c r="C1041" s="44"/>
      <c r="D1041" s="45"/>
      <c r="E1041" s="46"/>
      <c r="F1041" s="39"/>
      <c r="G1041" s="40"/>
      <c r="H1041" s="39"/>
      <c r="I1041" s="48"/>
      <c r="J1041" s="40"/>
    </row>
    <row r="1042" spans="1:13" ht="14.25" customHeight="1">
      <c r="A1042" s="8" t="s">
        <v>7</v>
      </c>
      <c r="B1042" s="8" t="str">
        <f>B968</f>
        <v>60天</v>
      </c>
      <c r="C1042" s="30" t="s">
        <v>8</v>
      </c>
      <c r="D1042" s="31"/>
      <c r="E1042" s="8" t="str">
        <f>IF(LEN(E968)&gt;2,(LEFT(E968,2)+1),(LEFT(E968,1)+1))&amp;"天"</f>
        <v>15天</v>
      </c>
      <c r="F1042" s="8" t="s">
        <v>9</v>
      </c>
      <c r="G1042" s="8" t="str">
        <f>IF(LEN(E1042)&gt;2,LEFT(B1042,2)-LEFT(E1042,2),LEFT(B1042,2)-LEFT(E1042,1))&amp;"天"</f>
        <v>45天</v>
      </c>
      <c r="H1042" s="30" t="s">
        <v>10</v>
      </c>
      <c r="I1042" s="31"/>
      <c r="J1042" s="8" t="str">
        <f>J968</f>
        <v>0天</v>
      </c>
    </row>
    <row r="1043" spans="1:13" ht="14.25" customHeight="1">
      <c r="A1043" s="30" t="s">
        <v>12</v>
      </c>
      <c r="B1043" s="31"/>
      <c r="C1043" s="30" t="str">
        <f>C969</f>
        <v>113年12月16日</v>
      </c>
      <c r="D1043" s="32"/>
      <c r="E1043" s="31"/>
      <c r="F1043" s="30" t="s">
        <v>13</v>
      </c>
      <c r="G1043" s="31"/>
      <c r="H1043" s="30" t="str">
        <f>H969</f>
        <v>114年02月13日</v>
      </c>
      <c r="I1043" s="32"/>
      <c r="J1043" s="31"/>
    </row>
    <row r="1044" spans="1:13" ht="14.25" customHeight="1">
      <c r="A1044" s="30" t="s">
        <v>14</v>
      </c>
      <c r="B1044" s="31"/>
      <c r="C1044" s="57">
        <f>C822+(20%/12)*3</f>
        <v>0.1</v>
      </c>
      <c r="D1044" s="58"/>
      <c r="E1044" s="59"/>
      <c r="F1044" s="30" t="s">
        <v>15</v>
      </c>
      <c r="G1044" s="31"/>
      <c r="H1044" s="57">
        <f>ROUND(L1071/L1072,5)+H970</f>
        <v>0.23731000000000002</v>
      </c>
      <c r="I1044" s="58"/>
      <c r="J1044" s="59"/>
      <c r="K1044" s="26" t="s">
        <v>69</v>
      </c>
      <c r="L1044" s="22"/>
      <c r="M1044" s="4"/>
    </row>
    <row r="1045" spans="1:13" ht="14.25" customHeight="1">
      <c r="A1045" s="49" t="s">
        <v>16</v>
      </c>
      <c r="B1045" s="50"/>
      <c r="C1045" s="50"/>
      <c r="D1045" s="50"/>
      <c r="E1045" s="50"/>
      <c r="F1045" s="50"/>
      <c r="G1045" s="50"/>
      <c r="H1045" s="50"/>
      <c r="I1045" s="50"/>
      <c r="J1045" s="51"/>
      <c r="L1045" s="22"/>
      <c r="M1045" s="4"/>
    </row>
    <row r="1046" spans="1:13" ht="14.25" customHeight="1">
      <c r="A1046" s="30" t="s">
        <v>17</v>
      </c>
      <c r="B1046" s="32"/>
      <c r="C1046" s="31"/>
      <c r="D1046" s="8" t="s">
        <v>18</v>
      </c>
      <c r="E1046" s="17" t="s">
        <v>19</v>
      </c>
      <c r="F1046" s="30" t="s">
        <v>20</v>
      </c>
      <c r="G1046" s="31"/>
      <c r="H1046" s="30" t="s">
        <v>21</v>
      </c>
      <c r="I1046" s="31"/>
      <c r="J1046" s="8" t="s">
        <v>22</v>
      </c>
      <c r="L1046" s="22"/>
      <c r="M1046" s="4"/>
    </row>
    <row r="1047" spans="1:13" ht="14.25" customHeight="1">
      <c r="A1047" s="49" t="s">
        <v>56</v>
      </c>
      <c r="B1047" s="50"/>
      <c r="C1047" s="50"/>
      <c r="D1047" s="50"/>
      <c r="E1047" s="50"/>
      <c r="F1047" s="50"/>
      <c r="G1047" s="50"/>
      <c r="H1047" s="50"/>
      <c r="I1047" s="50"/>
      <c r="J1047" s="51"/>
    </row>
    <row r="1048" spans="1:13" ht="14.25" customHeight="1">
      <c r="A1048" s="55" t="s">
        <v>57</v>
      </c>
      <c r="B1048" s="50"/>
      <c r="C1048" s="51"/>
      <c r="D1048" s="24" t="s">
        <v>59</v>
      </c>
      <c r="E1048" s="23">
        <v>1</v>
      </c>
      <c r="F1048" s="54"/>
      <c r="G1048" s="56"/>
      <c r="H1048" s="54">
        <f t="shared" ref="H1048:H1070" si="30">F1048+H974</f>
        <v>1</v>
      </c>
      <c r="I1048" s="31"/>
      <c r="J1048" s="16"/>
      <c r="K1048" s="27">
        <v>800</v>
      </c>
      <c r="L1048" s="29">
        <f t="shared" ref="L1048:L1070" si="31">ROUND(K1048*F1048,0)</f>
        <v>0</v>
      </c>
    </row>
    <row r="1049" spans="1:13" ht="14.25" customHeight="1">
      <c r="A1049" s="55" t="s">
        <v>75</v>
      </c>
      <c r="B1049" s="50"/>
      <c r="C1049" s="51"/>
      <c r="D1049" s="24" t="s">
        <v>59</v>
      </c>
      <c r="E1049" s="23">
        <v>1</v>
      </c>
      <c r="F1049" s="52"/>
      <c r="G1049" s="53"/>
      <c r="H1049" s="54">
        <f t="shared" si="30"/>
        <v>1</v>
      </c>
      <c r="I1049" s="31"/>
      <c r="J1049" s="8"/>
      <c r="K1049" s="27">
        <v>500</v>
      </c>
      <c r="L1049" s="29">
        <f t="shared" si="31"/>
        <v>0</v>
      </c>
    </row>
    <row r="1050" spans="1:13" ht="14.25" customHeight="1">
      <c r="A1050" s="49" t="s">
        <v>58</v>
      </c>
      <c r="B1050" s="50"/>
      <c r="C1050" s="51"/>
      <c r="D1050" s="24" t="s">
        <v>61</v>
      </c>
      <c r="E1050" s="23">
        <v>51</v>
      </c>
      <c r="F1050" s="52"/>
      <c r="G1050" s="53"/>
      <c r="H1050" s="54">
        <f t="shared" si="30"/>
        <v>51</v>
      </c>
      <c r="I1050" s="31"/>
      <c r="J1050" s="10"/>
      <c r="K1050" s="27">
        <v>50</v>
      </c>
      <c r="L1050" s="29">
        <f t="shared" si="31"/>
        <v>0</v>
      </c>
    </row>
    <row r="1051" spans="1:13" ht="14.25" customHeight="1">
      <c r="A1051" s="55" t="s">
        <v>76</v>
      </c>
      <c r="B1051" s="50"/>
      <c r="C1051" s="51"/>
      <c r="D1051" s="24" t="s">
        <v>60</v>
      </c>
      <c r="E1051" s="23">
        <v>1</v>
      </c>
      <c r="F1051" s="52"/>
      <c r="G1051" s="53"/>
      <c r="H1051" s="54">
        <f t="shared" si="30"/>
        <v>0</v>
      </c>
      <c r="I1051" s="31"/>
      <c r="J1051" s="16"/>
      <c r="K1051" s="27">
        <v>3000</v>
      </c>
      <c r="L1051" s="29">
        <f t="shared" si="31"/>
        <v>0</v>
      </c>
    </row>
    <row r="1052" spans="1:13" ht="14.25" customHeight="1">
      <c r="A1052" s="55" t="s">
        <v>77</v>
      </c>
      <c r="B1052" s="50"/>
      <c r="C1052" s="51"/>
      <c r="D1052" s="25" t="s">
        <v>60</v>
      </c>
      <c r="E1052" s="23">
        <v>1</v>
      </c>
      <c r="F1052" s="52"/>
      <c r="G1052" s="53"/>
      <c r="H1052" s="54">
        <f t="shared" si="30"/>
        <v>0</v>
      </c>
      <c r="I1052" s="31"/>
      <c r="J1052" s="8"/>
      <c r="K1052" s="27">
        <v>3000</v>
      </c>
      <c r="L1052" s="29">
        <f t="shared" si="31"/>
        <v>0</v>
      </c>
    </row>
    <row r="1053" spans="1:13" ht="28.5" customHeight="1">
      <c r="A1053" s="55" t="s">
        <v>78</v>
      </c>
      <c r="B1053" s="64"/>
      <c r="C1053" s="65"/>
      <c r="D1053" s="25" t="s">
        <v>62</v>
      </c>
      <c r="E1053" s="23">
        <v>328</v>
      </c>
      <c r="F1053" s="30"/>
      <c r="G1053" s="63"/>
      <c r="H1053" s="54">
        <f t="shared" si="30"/>
        <v>328</v>
      </c>
      <c r="I1053" s="31"/>
      <c r="J1053" s="8"/>
      <c r="K1053" s="28">
        <v>100</v>
      </c>
      <c r="L1053" s="29">
        <f t="shared" si="31"/>
        <v>0</v>
      </c>
    </row>
    <row r="1054" spans="1:13" ht="14.25" customHeight="1">
      <c r="A1054" s="60" t="s">
        <v>79</v>
      </c>
      <c r="B1054" s="61"/>
      <c r="C1054" s="61"/>
      <c r="D1054" s="25" t="s">
        <v>61</v>
      </c>
      <c r="E1054" s="23">
        <v>21</v>
      </c>
      <c r="F1054" s="62"/>
      <c r="G1054" s="62"/>
      <c r="H1054" s="54">
        <f t="shared" si="30"/>
        <v>15</v>
      </c>
      <c r="I1054" s="31"/>
      <c r="J1054" s="8"/>
      <c r="K1054" s="27">
        <v>2500</v>
      </c>
      <c r="L1054" s="29">
        <f t="shared" si="31"/>
        <v>0</v>
      </c>
    </row>
    <row r="1055" spans="1:13" ht="28.5" customHeight="1">
      <c r="A1055" s="55" t="s">
        <v>80</v>
      </c>
      <c r="B1055" s="64"/>
      <c r="C1055" s="65"/>
      <c r="D1055" s="25" t="s">
        <v>81</v>
      </c>
      <c r="E1055" s="23">
        <v>5</v>
      </c>
      <c r="F1055" s="30"/>
      <c r="G1055" s="63"/>
      <c r="H1055" s="54">
        <f t="shared" si="30"/>
        <v>0</v>
      </c>
      <c r="I1055" s="31"/>
      <c r="J1055" s="8"/>
      <c r="K1055" s="27">
        <v>5000</v>
      </c>
      <c r="L1055" s="29">
        <f t="shared" si="31"/>
        <v>0</v>
      </c>
    </row>
    <row r="1056" spans="1:13" ht="14.25" customHeight="1">
      <c r="A1056" s="60" t="s">
        <v>82</v>
      </c>
      <c r="B1056" s="61"/>
      <c r="C1056" s="61"/>
      <c r="D1056" s="25" t="s">
        <v>62</v>
      </c>
      <c r="E1056" s="23">
        <v>218</v>
      </c>
      <c r="F1056" s="62">
        <v>21.8</v>
      </c>
      <c r="G1056" s="62"/>
      <c r="H1056" s="54">
        <f t="shared" si="30"/>
        <v>21.8</v>
      </c>
      <c r="I1056" s="31"/>
      <c r="J1056" s="8"/>
      <c r="K1056" s="27">
        <v>1000</v>
      </c>
      <c r="L1056" s="29">
        <f t="shared" si="31"/>
        <v>21800</v>
      </c>
    </row>
    <row r="1057" spans="1:13" ht="14.25" customHeight="1">
      <c r="A1057" s="61" t="s">
        <v>83</v>
      </c>
      <c r="B1057" s="61"/>
      <c r="C1057" s="61"/>
      <c r="D1057" s="25" t="s">
        <v>81</v>
      </c>
      <c r="E1057" s="23">
        <v>28</v>
      </c>
      <c r="F1057" s="30"/>
      <c r="G1057" s="63"/>
      <c r="H1057" s="54">
        <f t="shared" si="30"/>
        <v>0</v>
      </c>
      <c r="I1057" s="31"/>
      <c r="J1057" s="8"/>
      <c r="K1057" s="27">
        <v>2000</v>
      </c>
      <c r="L1057" s="29">
        <f t="shared" si="31"/>
        <v>0</v>
      </c>
    </row>
    <row r="1058" spans="1:13" ht="28.5" customHeight="1">
      <c r="A1058" s="60" t="s">
        <v>84</v>
      </c>
      <c r="B1058" s="61"/>
      <c r="C1058" s="61"/>
      <c r="D1058" s="25" t="s">
        <v>62</v>
      </c>
      <c r="E1058" s="23">
        <v>245</v>
      </c>
      <c r="F1058" s="62"/>
      <c r="G1058" s="62"/>
      <c r="H1058" s="54">
        <f t="shared" si="30"/>
        <v>0</v>
      </c>
      <c r="I1058" s="31"/>
      <c r="J1058" s="8"/>
      <c r="K1058" s="27">
        <v>1500</v>
      </c>
      <c r="L1058" s="29">
        <f t="shared" si="31"/>
        <v>0</v>
      </c>
    </row>
    <row r="1059" spans="1:13" ht="14.25" customHeight="1">
      <c r="A1059" s="61" t="s">
        <v>85</v>
      </c>
      <c r="B1059" s="61"/>
      <c r="C1059" s="61"/>
      <c r="D1059" s="25" t="s">
        <v>62</v>
      </c>
      <c r="E1059" s="23">
        <v>83</v>
      </c>
      <c r="F1059" s="30"/>
      <c r="G1059" s="63"/>
      <c r="H1059" s="54">
        <f t="shared" si="30"/>
        <v>0</v>
      </c>
      <c r="I1059" s="31"/>
      <c r="J1059" s="8"/>
      <c r="K1059" s="27">
        <v>1000</v>
      </c>
      <c r="L1059" s="29">
        <f t="shared" si="31"/>
        <v>0</v>
      </c>
    </row>
    <row r="1060" spans="1:13" ht="30" customHeight="1">
      <c r="A1060" s="60" t="s">
        <v>86</v>
      </c>
      <c r="B1060" s="61"/>
      <c r="C1060" s="61"/>
      <c r="D1060" s="25" t="s">
        <v>62</v>
      </c>
      <c r="E1060" s="23">
        <v>164</v>
      </c>
      <c r="F1060" s="62"/>
      <c r="G1060" s="62"/>
      <c r="H1060" s="54">
        <f t="shared" si="30"/>
        <v>0</v>
      </c>
      <c r="I1060" s="31"/>
      <c r="J1060" s="8"/>
      <c r="K1060" s="27">
        <v>500</v>
      </c>
      <c r="L1060" s="29">
        <f t="shared" si="31"/>
        <v>0</v>
      </c>
    </row>
    <row r="1061" spans="1:13" ht="14.25" customHeight="1">
      <c r="A1061" s="60" t="s">
        <v>87</v>
      </c>
      <c r="B1061" s="61"/>
      <c r="C1061" s="61"/>
      <c r="D1061" s="25" t="s">
        <v>62</v>
      </c>
      <c r="E1061" s="23">
        <v>37</v>
      </c>
      <c r="F1061" s="30"/>
      <c r="G1061" s="63"/>
      <c r="H1061" s="54">
        <f t="shared" si="30"/>
        <v>37</v>
      </c>
      <c r="I1061" s="31"/>
      <c r="J1061" s="8"/>
      <c r="K1061" s="27">
        <v>1000</v>
      </c>
      <c r="L1061" s="29">
        <f t="shared" si="31"/>
        <v>0</v>
      </c>
    </row>
    <row r="1062" spans="1:13" ht="14.25" customHeight="1">
      <c r="A1062" s="61" t="s">
        <v>88</v>
      </c>
      <c r="B1062" s="61"/>
      <c r="C1062" s="61"/>
      <c r="D1062" s="25" t="s">
        <v>60</v>
      </c>
      <c r="E1062" s="23">
        <v>1</v>
      </c>
      <c r="F1062" s="62"/>
      <c r="G1062" s="62"/>
      <c r="H1062" s="54">
        <f t="shared" si="30"/>
        <v>0.95</v>
      </c>
      <c r="I1062" s="31"/>
      <c r="J1062" s="8"/>
      <c r="K1062" s="27">
        <v>250000</v>
      </c>
      <c r="L1062" s="29">
        <f t="shared" si="31"/>
        <v>0</v>
      </c>
    </row>
    <row r="1063" spans="1:13" ht="14.25" customHeight="1">
      <c r="A1063" s="61" t="s">
        <v>89</v>
      </c>
      <c r="B1063" s="61"/>
      <c r="C1063" s="61"/>
      <c r="D1063" s="25" t="s">
        <v>62</v>
      </c>
      <c r="E1063" s="23">
        <v>81</v>
      </c>
      <c r="F1063" s="30"/>
      <c r="G1063" s="63"/>
      <c r="H1063" s="54">
        <f t="shared" si="30"/>
        <v>0</v>
      </c>
      <c r="I1063" s="31"/>
      <c r="J1063" s="8"/>
      <c r="K1063" s="27">
        <v>500</v>
      </c>
      <c r="L1063" s="29">
        <f t="shared" si="31"/>
        <v>0</v>
      </c>
    </row>
    <row r="1064" spans="1:13" ht="29.25" customHeight="1">
      <c r="A1064" s="60" t="s">
        <v>90</v>
      </c>
      <c r="B1064" s="61"/>
      <c r="C1064" s="61"/>
      <c r="D1064" s="25" t="s">
        <v>62</v>
      </c>
      <c r="E1064" s="23">
        <v>42</v>
      </c>
      <c r="F1064" s="62"/>
      <c r="G1064" s="62"/>
      <c r="H1064" s="54">
        <f t="shared" si="30"/>
        <v>0</v>
      </c>
      <c r="I1064" s="31"/>
      <c r="J1064" s="8"/>
      <c r="K1064" s="27">
        <v>1800</v>
      </c>
      <c r="L1064" s="29">
        <f t="shared" si="31"/>
        <v>0</v>
      </c>
    </row>
    <row r="1065" spans="1:13" ht="14.25" customHeight="1">
      <c r="A1065" s="60" t="s">
        <v>91</v>
      </c>
      <c r="B1065" s="61"/>
      <c r="C1065" s="61"/>
      <c r="D1065" s="25" t="s">
        <v>60</v>
      </c>
      <c r="E1065" s="23">
        <v>1</v>
      </c>
      <c r="F1065" s="30"/>
      <c r="G1065" s="63"/>
      <c r="H1065" s="54">
        <f t="shared" si="30"/>
        <v>0</v>
      </c>
      <c r="I1065" s="31"/>
      <c r="J1065" s="8"/>
      <c r="K1065" s="27">
        <v>30000</v>
      </c>
      <c r="L1065" s="29">
        <f t="shared" si="31"/>
        <v>0</v>
      </c>
    </row>
    <row r="1066" spans="1:13" ht="14.25" customHeight="1">
      <c r="A1066" s="61" t="s">
        <v>92</v>
      </c>
      <c r="B1066" s="61"/>
      <c r="C1066" s="61"/>
      <c r="D1066" s="25" t="s">
        <v>60</v>
      </c>
      <c r="E1066" s="23">
        <v>1</v>
      </c>
      <c r="F1066" s="62"/>
      <c r="G1066" s="62"/>
      <c r="H1066" s="54">
        <f t="shared" si="30"/>
        <v>0</v>
      </c>
      <c r="I1066" s="31"/>
      <c r="J1066" s="8"/>
      <c r="K1066" s="27">
        <v>13598</v>
      </c>
      <c r="L1066" s="29">
        <f t="shared" si="31"/>
        <v>0</v>
      </c>
    </row>
    <row r="1067" spans="1:13" ht="14.25" customHeight="1">
      <c r="A1067" s="61" t="s">
        <v>93</v>
      </c>
      <c r="B1067" s="61"/>
      <c r="C1067" s="61"/>
      <c r="D1067" s="25" t="s">
        <v>60</v>
      </c>
      <c r="E1067" s="23">
        <v>1</v>
      </c>
      <c r="F1067" s="62"/>
      <c r="G1067" s="62"/>
      <c r="H1067" s="54">
        <f t="shared" si="30"/>
        <v>0</v>
      </c>
      <c r="I1067" s="31"/>
      <c r="J1067" s="8"/>
      <c r="K1067" s="27">
        <v>13598</v>
      </c>
      <c r="L1067" s="29">
        <f t="shared" si="31"/>
        <v>0</v>
      </c>
    </row>
    <row r="1068" spans="1:13" ht="14.25" customHeight="1">
      <c r="A1068" s="61" t="s">
        <v>64</v>
      </c>
      <c r="B1068" s="61"/>
      <c r="C1068" s="61"/>
      <c r="D1068" s="25" t="s">
        <v>60</v>
      </c>
      <c r="E1068" s="23">
        <v>1</v>
      </c>
      <c r="F1068" s="62"/>
      <c r="G1068" s="62"/>
      <c r="H1068" s="54">
        <f t="shared" si="30"/>
        <v>0</v>
      </c>
      <c r="I1068" s="31"/>
      <c r="J1068" s="8"/>
      <c r="K1068" s="27">
        <v>95182</v>
      </c>
      <c r="L1068" s="29">
        <f t="shared" si="31"/>
        <v>0</v>
      </c>
    </row>
    <row r="1069" spans="1:13" ht="14.25" customHeight="1">
      <c r="A1069" s="61" t="s">
        <v>65</v>
      </c>
      <c r="B1069" s="61"/>
      <c r="C1069" s="61"/>
      <c r="D1069" s="25" t="s">
        <v>60</v>
      </c>
      <c r="E1069" s="23">
        <v>1</v>
      </c>
      <c r="F1069" s="62"/>
      <c r="G1069" s="62"/>
      <c r="H1069" s="54">
        <f t="shared" si="30"/>
        <v>0</v>
      </c>
      <c r="I1069" s="31"/>
      <c r="J1069" s="8"/>
      <c r="K1069" s="27">
        <v>4513</v>
      </c>
      <c r="L1069" s="29">
        <f t="shared" si="31"/>
        <v>0</v>
      </c>
    </row>
    <row r="1070" spans="1:13" ht="14.25" customHeight="1" thickBot="1">
      <c r="A1070" s="61" t="s">
        <v>66</v>
      </c>
      <c r="B1070" s="61"/>
      <c r="C1070" s="61"/>
      <c r="D1070" s="25" t="s">
        <v>60</v>
      </c>
      <c r="E1070" s="23">
        <v>1</v>
      </c>
      <c r="F1070" s="62"/>
      <c r="G1070" s="62"/>
      <c r="H1070" s="54">
        <f t="shared" si="30"/>
        <v>0</v>
      </c>
      <c r="I1070" s="31"/>
      <c r="J1070" s="8"/>
      <c r="K1070" s="27">
        <v>74332</v>
      </c>
      <c r="L1070" s="29">
        <f t="shared" si="31"/>
        <v>0</v>
      </c>
      <c r="M1070" s="1" t="s">
        <v>97</v>
      </c>
    </row>
    <row r="1071" spans="1:13" ht="14.25" customHeight="1">
      <c r="A1071" s="77" t="s">
        <v>46</v>
      </c>
      <c r="B1071" s="67"/>
      <c r="C1071" s="68"/>
      <c r="D1071" s="11"/>
      <c r="E1071" s="18"/>
      <c r="F1071" s="78"/>
      <c r="G1071" s="79"/>
      <c r="H1071" s="78"/>
      <c r="I1071" s="79"/>
      <c r="J1071" s="12"/>
      <c r="K1071" s="27" t="s">
        <v>68</v>
      </c>
      <c r="L1071" s="29">
        <f>SUM(L1048:L1070)</f>
        <v>21800</v>
      </c>
      <c r="M1071" s="4">
        <f>ROUND(L1071/L1072,5)</f>
        <v>1.397E-2</v>
      </c>
    </row>
    <row r="1072" spans="1:13" ht="14.25" customHeight="1">
      <c r="A1072" s="69" t="s">
        <v>47</v>
      </c>
      <c r="B1072" s="70"/>
      <c r="C1072" s="71"/>
      <c r="D1072" s="9"/>
      <c r="E1072" s="19"/>
      <c r="F1072" s="30"/>
      <c r="G1072" s="31"/>
      <c r="H1072" s="30"/>
      <c r="I1072" s="31"/>
      <c r="J1072" s="13"/>
      <c r="K1072" s="27" t="s">
        <v>67</v>
      </c>
      <c r="L1072" s="29">
        <v>1560973</v>
      </c>
      <c r="M1072" s="4"/>
    </row>
    <row r="1073" spans="1:27" ht="14.25" customHeight="1" thickBot="1">
      <c r="A1073" s="72" t="s">
        <v>48</v>
      </c>
      <c r="B1073" s="73"/>
      <c r="C1073" s="74"/>
      <c r="D1073" s="14"/>
      <c r="E1073" s="20"/>
      <c r="F1073" s="75"/>
      <c r="G1073" s="76"/>
      <c r="H1073" s="75"/>
      <c r="I1073" s="76"/>
      <c r="J1073" s="15"/>
    </row>
    <row r="1074" spans="1:27" ht="14.25" customHeight="1">
      <c r="A1074" s="66" t="s">
        <v>23</v>
      </c>
      <c r="B1074" s="67"/>
      <c r="C1074" s="67"/>
      <c r="D1074" s="67"/>
      <c r="E1074" s="67"/>
      <c r="F1074" s="67"/>
      <c r="G1074" s="67"/>
      <c r="H1074" s="67"/>
      <c r="I1074" s="67"/>
      <c r="J1074" s="68"/>
    </row>
    <row r="1075" spans="1:27" ht="14.25" customHeight="1">
      <c r="A1075" s="30" t="s">
        <v>24</v>
      </c>
      <c r="B1075" s="32"/>
      <c r="C1075" s="31"/>
      <c r="D1075" s="8" t="s">
        <v>18</v>
      </c>
      <c r="E1075" s="8" t="s">
        <v>25</v>
      </c>
      <c r="F1075" s="30" t="s">
        <v>26</v>
      </c>
      <c r="G1075" s="31"/>
      <c r="H1075" s="30" t="s">
        <v>27</v>
      </c>
      <c r="I1075" s="31"/>
      <c r="J1075" s="8" t="s">
        <v>22</v>
      </c>
    </row>
    <row r="1076" spans="1:27" ht="14.25" customHeight="1">
      <c r="A1076" s="49"/>
      <c r="B1076" s="50"/>
      <c r="C1076" s="51"/>
      <c r="D1076" s="8"/>
      <c r="E1076" s="8"/>
      <c r="F1076" s="30"/>
      <c r="G1076" s="31"/>
      <c r="H1076" s="30"/>
      <c r="I1076" s="31"/>
      <c r="J1076" s="8"/>
    </row>
    <row r="1077" spans="1:27" ht="14.25" customHeight="1">
      <c r="A1077" s="49"/>
      <c r="B1077" s="50"/>
      <c r="C1077" s="51"/>
      <c r="D1077" s="8"/>
      <c r="E1077" s="8"/>
      <c r="F1077" s="30"/>
      <c r="G1077" s="31"/>
      <c r="H1077" s="30"/>
      <c r="I1077" s="31"/>
      <c r="J1077" s="8"/>
    </row>
    <row r="1078" spans="1:27" ht="14.25" customHeight="1">
      <c r="A1078" s="49" t="s">
        <v>28</v>
      </c>
      <c r="B1078" s="50"/>
      <c r="C1078" s="50"/>
      <c r="D1078" s="50"/>
      <c r="E1078" s="50"/>
      <c r="F1078" s="50"/>
      <c r="G1078" s="50"/>
      <c r="H1078" s="50"/>
      <c r="I1078" s="50"/>
      <c r="J1078" s="51"/>
    </row>
    <row r="1079" spans="1:27" ht="14.25" customHeight="1">
      <c r="A1079" s="30" t="s">
        <v>29</v>
      </c>
      <c r="B1079" s="31"/>
      <c r="C1079" s="8" t="s">
        <v>30</v>
      </c>
      <c r="D1079" s="8" t="s">
        <v>31</v>
      </c>
      <c r="E1079" s="30" t="s">
        <v>32</v>
      </c>
      <c r="F1079" s="31"/>
      <c r="G1079" s="30" t="s">
        <v>26</v>
      </c>
      <c r="H1079" s="31"/>
      <c r="I1079" s="30" t="s">
        <v>27</v>
      </c>
      <c r="J1079" s="31"/>
    </row>
    <row r="1080" spans="1:27" ht="14.25" customHeight="1">
      <c r="A1080" s="49" t="s">
        <v>106</v>
      </c>
      <c r="B1080" s="51"/>
      <c r="C1080" s="8">
        <v>2</v>
      </c>
      <c r="D1080" s="8">
        <v>2</v>
      </c>
      <c r="E1080" s="30"/>
      <c r="F1080" s="31"/>
      <c r="G1080" s="30"/>
      <c r="H1080" s="31"/>
      <c r="I1080" s="30"/>
      <c r="J1080" s="31"/>
    </row>
    <row r="1081" spans="1:27" ht="14.25" customHeight="1">
      <c r="A1081" s="49"/>
      <c r="B1081" s="51"/>
      <c r="C1081" s="8"/>
      <c r="D1081" s="8"/>
      <c r="E1081" s="30"/>
      <c r="F1081" s="31"/>
      <c r="G1081" s="30"/>
      <c r="H1081" s="31"/>
      <c r="I1081" s="30"/>
      <c r="J1081" s="31"/>
    </row>
    <row r="1082" spans="1:27" ht="14.25" customHeight="1">
      <c r="A1082" s="41" t="s">
        <v>45</v>
      </c>
      <c r="B1082" s="42"/>
      <c r="C1082" s="42"/>
      <c r="D1082" s="42"/>
      <c r="E1082" s="42"/>
      <c r="F1082" s="42"/>
      <c r="G1082" s="42"/>
      <c r="H1082" s="42"/>
      <c r="I1082" s="42"/>
      <c r="J1082" s="43"/>
    </row>
    <row r="1083" spans="1:27" ht="14.25" customHeight="1">
      <c r="A1083" s="44"/>
      <c r="B1083" s="45"/>
      <c r="C1083" s="45"/>
      <c r="D1083" s="45"/>
      <c r="E1083" s="45"/>
      <c r="F1083" s="45"/>
      <c r="G1083" s="45"/>
      <c r="H1083" s="45"/>
      <c r="I1083" s="45"/>
      <c r="J1083" s="46"/>
    </row>
    <row r="1084" spans="1:27" ht="14.25" customHeight="1">
      <c r="A1084" s="80" t="s">
        <v>52</v>
      </c>
      <c r="B1084" s="81"/>
      <c r="C1084" s="81"/>
      <c r="D1084" s="81"/>
      <c r="E1084" s="81"/>
      <c r="F1084" s="81"/>
      <c r="G1084" s="81"/>
      <c r="H1084" s="81"/>
      <c r="I1084" s="81"/>
      <c r="J1084" s="82"/>
      <c r="M1084" s="4"/>
      <c r="N1084" s="5"/>
      <c r="O1084" s="6"/>
      <c r="S1084" s="6"/>
      <c r="W1084" s="6"/>
      <c r="AA1084" s="6"/>
    </row>
    <row r="1085" spans="1:27" ht="14.25" customHeight="1">
      <c r="A1085" s="83"/>
      <c r="B1085" s="84"/>
      <c r="C1085" s="84"/>
      <c r="D1085" s="84"/>
      <c r="E1085" s="84"/>
      <c r="F1085" s="84"/>
      <c r="G1085" s="84"/>
      <c r="H1085" s="84"/>
      <c r="I1085" s="84"/>
      <c r="J1085" s="85"/>
    </row>
    <row r="1086" spans="1:27" ht="14.25" customHeight="1">
      <c r="A1086" s="83"/>
      <c r="B1086" s="84"/>
      <c r="C1086" s="84"/>
      <c r="D1086" s="84"/>
      <c r="E1086" s="84"/>
      <c r="F1086" s="84"/>
      <c r="G1086" s="84"/>
      <c r="H1086" s="84"/>
      <c r="I1086" s="84"/>
      <c r="J1086" s="85"/>
    </row>
    <row r="1087" spans="1:27" ht="14.25" customHeight="1">
      <c r="A1087" s="83"/>
      <c r="B1087" s="84"/>
      <c r="C1087" s="84"/>
      <c r="D1087" s="84"/>
      <c r="E1087" s="84"/>
      <c r="F1087" s="84"/>
      <c r="G1087" s="84"/>
      <c r="H1087" s="84"/>
      <c r="I1087" s="84"/>
      <c r="J1087" s="85"/>
    </row>
    <row r="1088" spans="1:27" ht="14.25" customHeight="1">
      <c r="A1088" s="83"/>
      <c r="B1088" s="84"/>
      <c r="C1088" s="84"/>
      <c r="D1088" s="84"/>
      <c r="E1088" s="84"/>
      <c r="F1088" s="84"/>
      <c r="G1088" s="84"/>
      <c r="H1088" s="84"/>
      <c r="I1088" s="84"/>
      <c r="J1088" s="85"/>
    </row>
    <row r="1089" spans="1:10" ht="14.25" customHeight="1">
      <c r="A1089" s="83"/>
      <c r="B1089" s="84"/>
      <c r="C1089" s="84"/>
      <c r="D1089" s="84"/>
      <c r="E1089" s="84"/>
      <c r="F1089" s="84"/>
      <c r="G1089" s="84"/>
      <c r="H1089" s="84"/>
      <c r="I1089" s="84"/>
      <c r="J1089" s="85"/>
    </row>
    <row r="1090" spans="1:10" ht="14.25" customHeight="1">
      <c r="A1090" s="86"/>
      <c r="B1090" s="87"/>
      <c r="C1090" s="87"/>
      <c r="D1090" s="87"/>
      <c r="E1090" s="87"/>
      <c r="F1090" s="87"/>
      <c r="G1090" s="87"/>
      <c r="H1090" s="87"/>
      <c r="I1090" s="87"/>
      <c r="J1090" s="88"/>
    </row>
    <row r="1091" spans="1:10" ht="14.25" customHeight="1">
      <c r="A1091" s="89" t="s">
        <v>33</v>
      </c>
      <c r="B1091" s="90"/>
      <c r="C1091" s="90"/>
      <c r="D1091" s="90"/>
      <c r="E1091" s="90"/>
      <c r="F1091" s="90"/>
      <c r="G1091" s="90"/>
      <c r="H1091" s="90"/>
      <c r="I1091" s="90"/>
      <c r="J1091" s="91"/>
    </row>
    <row r="1092" spans="1:10" ht="14.25" customHeight="1">
      <c r="A1092" s="92"/>
      <c r="B1092" s="93"/>
      <c r="C1092" s="93"/>
      <c r="D1092" s="93"/>
      <c r="E1092" s="93"/>
      <c r="F1092" s="93"/>
      <c r="G1092" s="93"/>
      <c r="H1092" s="93"/>
      <c r="I1092" s="93"/>
      <c r="J1092" s="94"/>
    </row>
    <row r="1093" spans="1:10" ht="14.25" customHeight="1">
      <c r="A1093" s="89" t="s">
        <v>34</v>
      </c>
      <c r="B1093" s="90"/>
      <c r="C1093" s="90"/>
      <c r="D1093" s="90"/>
      <c r="E1093" s="90"/>
      <c r="F1093" s="90"/>
      <c r="G1093" s="90"/>
      <c r="H1093" s="90"/>
      <c r="I1093" s="90"/>
      <c r="J1093" s="91"/>
    </row>
    <row r="1094" spans="1:10" ht="14.25" customHeight="1">
      <c r="A1094" s="92"/>
      <c r="B1094" s="93"/>
      <c r="C1094" s="93"/>
      <c r="D1094" s="93"/>
      <c r="E1094" s="93"/>
      <c r="F1094" s="93"/>
      <c r="G1094" s="93"/>
      <c r="H1094" s="93"/>
      <c r="I1094" s="93"/>
      <c r="J1094" s="94"/>
    </row>
    <row r="1095" spans="1:10" ht="14.25" customHeight="1">
      <c r="A1095" s="89" t="s">
        <v>109</v>
      </c>
      <c r="B1095" s="90"/>
      <c r="C1095" s="90"/>
      <c r="D1095" s="90"/>
      <c r="E1095" s="90"/>
      <c r="F1095" s="90"/>
      <c r="G1095" s="90"/>
      <c r="H1095" s="90"/>
      <c r="I1095" s="90"/>
      <c r="J1095" s="91"/>
    </row>
    <row r="1096" spans="1:10" ht="14.25" customHeight="1">
      <c r="A1096" s="92"/>
      <c r="B1096" s="93"/>
      <c r="C1096" s="93"/>
      <c r="D1096" s="93"/>
      <c r="E1096" s="93"/>
      <c r="F1096" s="93"/>
      <c r="G1096" s="93"/>
      <c r="H1096" s="93"/>
      <c r="I1096" s="93"/>
      <c r="J1096" s="94"/>
    </row>
    <row r="1097" spans="1:10" ht="14.25" customHeight="1">
      <c r="A1097" s="89" t="s">
        <v>35</v>
      </c>
      <c r="B1097" s="90"/>
      <c r="C1097" s="90"/>
      <c r="D1097" s="90"/>
      <c r="E1097" s="90"/>
      <c r="F1097" s="90"/>
      <c r="G1097" s="90"/>
      <c r="H1097" s="90"/>
      <c r="I1097" s="90"/>
      <c r="J1097" s="91"/>
    </row>
    <row r="1098" spans="1:10" ht="14.25" customHeight="1">
      <c r="A1098" s="92"/>
      <c r="B1098" s="93"/>
      <c r="C1098" s="93"/>
      <c r="D1098" s="93"/>
      <c r="E1098" s="93"/>
      <c r="F1098" s="93"/>
      <c r="G1098" s="93"/>
      <c r="H1098" s="93"/>
      <c r="I1098" s="93"/>
      <c r="J1098" s="94"/>
    </row>
    <row r="1099" spans="1:10" ht="14.25" customHeight="1">
      <c r="A1099" s="99" t="s">
        <v>36</v>
      </c>
      <c r="B1099" s="99"/>
      <c r="C1099" s="99"/>
      <c r="D1099" s="99"/>
      <c r="E1099" s="99"/>
      <c r="F1099" s="99"/>
      <c r="G1099" s="99"/>
      <c r="H1099" s="99"/>
      <c r="I1099" s="99"/>
      <c r="J1099" s="99"/>
    </row>
    <row r="1100" spans="1:10" ht="14.25" customHeight="1">
      <c r="A1100" s="95" t="s">
        <v>37</v>
      </c>
      <c r="B1100" s="95"/>
      <c r="C1100" s="95"/>
      <c r="D1100" s="95"/>
      <c r="E1100" s="95"/>
      <c r="F1100" s="95"/>
      <c r="G1100" s="95"/>
      <c r="H1100" s="95"/>
      <c r="I1100" s="95"/>
      <c r="J1100" s="95"/>
    </row>
    <row r="1101" spans="1:10" ht="14.25" customHeight="1">
      <c r="A1101" s="95" t="s">
        <v>38</v>
      </c>
      <c r="B1101" s="95"/>
      <c r="C1101" s="95"/>
      <c r="D1101" s="95"/>
      <c r="E1101" s="95"/>
      <c r="F1101" s="95"/>
      <c r="G1101" s="95"/>
      <c r="H1101" s="95"/>
      <c r="I1101" s="95"/>
      <c r="J1101" s="95"/>
    </row>
    <row r="1102" spans="1:10" ht="14.25" customHeight="1">
      <c r="A1102" s="95" t="s">
        <v>39</v>
      </c>
      <c r="B1102" s="95"/>
      <c r="C1102" s="95"/>
      <c r="D1102" s="95"/>
      <c r="E1102" s="95"/>
      <c r="F1102" s="95"/>
      <c r="G1102" s="95"/>
      <c r="H1102" s="95"/>
      <c r="I1102" s="95"/>
      <c r="J1102" s="95"/>
    </row>
    <row r="1103" spans="1:10" ht="14.25" customHeight="1">
      <c r="A1103" s="95" t="s">
        <v>40</v>
      </c>
      <c r="B1103" s="95"/>
      <c r="C1103" s="95"/>
      <c r="D1103" s="95"/>
      <c r="E1103" s="95"/>
      <c r="F1103" s="95"/>
      <c r="G1103" s="95"/>
      <c r="H1103" s="95"/>
      <c r="I1103" s="95"/>
      <c r="J1103" s="95"/>
    </row>
    <row r="1104" spans="1:10" ht="14.25" customHeight="1">
      <c r="A1104" s="95" t="s">
        <v>41</v>
      </c>
      <c r="B1104" s="95"/>
      <c r="C1104" s="95"/>
      <c r="D1104" s="95"/>
      <c r="E1104" s="95"/>
      <c r="F1104" s="95"/>
      <c r="G1104" s="95"/>
      <c r="H1104" s="95"/>
      <c r="I1104" s="95"/>
      <c r="J1104" s="95"/>
    </row>
    <row r="1105" spans="1:13" ht="14.25" customHeight="1">
      <c r="A1105" s="95" t="s">
        <v>42</v>
      </c>
      <c r="B1105" s="95"/>
      <c r="C1105" s="95"/>
      <c r="D1105" s="95"/>
      <c r="E1105" s="95"/>
      <c r="F1105" s="95"/>
      <c r="G1105" s="95"/>
      <c r="H1105" s="95"/>
      <c r="I1105" s="95"/>
      <c r="J1105" s="95"/>
    </row>
    <row r="1106" spans="1:13" ht="14.25" customHeight="1">
      <c r="A1106" s="100" t="s">
        <v>43</v>
      </c>
      <c r="B1106" s="100"/>
      <c r="C1106" s="100"/>
      <c r="D1106" s="100"/>
      <c r="E1106" s="100"/>
      <c r="F1106" s="100"/>
      <c r="G1106" s="100"/>
      <c r="H1106" s="100"/>
      <c r="I1106" s="100"/>
      <c r="J1106" s="100"/>
    </row>
    <row r="1107" spans="1:13" ht="14.25" customHeight="1">
      <c r="A1107" s="95" t="s">
        <v>44</v>
      </c>
      <c r="B1107" s="95"/>
      <c r="C1107" s="95"/>
      <c r="D1107" s="95"/>
      <c r="E1107" s="95"/>
      <c r="F1107" s="95"/>
      <c r="G1107" s="95"/>
      <c r="H1107" s="95"/>
      <c r="I1107" s="95"/>
      <c r="J1107" s="95"/>
    </row>
    <row r="1108" spans="1:13" ht="29.25" customHeight="1">
      <c r="A1108" s="96" t="s">
        <v>51</v>
      </c>
      <c r="B1108" s="96"/>
      <c r="C1108" s="96"/>
      <c r="D1108" s="96"/>
      <c r="E1108" s="96"/>
      <c r="F1108" s="96"/>
      <c r="G1108" s="96"/>
      <c r="H1108" s="96"/>
      <c r="I1108" s="96"/>
      <c r="J1108" s="96"/>
    </row>
    <row r="1109" spans="1:13" ht="14.25" customHeight="1">
      <c r="A1109" s="101" t="s">
        <v>49</v>
      </c>
      <c r="B1109" s="101"/>
      <c r="C1109" s="101"/>
      <c r="D1109" s="101"/>
      <c r="E1109" s="101"/>
      <c r="F1109" s="101"/>
      <c r="G1109" s="101"/>
      <c r="H1109" s="101"/>
      <c r="I1109" s="101"/>
      <c r="J1109" s="101"/>
    </row>
    <row r="1110" spans="1:13" ht="14.25" customHeight="1"/>
    <row r="1111" spans="1:13" ht="14.25" customHeight="1">
      <c r="A1111" s="33" t="s">
        <v>0</v>
      </c>
      <c r="B1111" s="33"/>
      <c r="C1111" s="33"/>
      <c r="D1111" s="33"/>
      <c r="E1111" s="33"/>
      <c r="F1111" s="33"/>
      <c r="G1111" s="33"/>
      <c r="H1111" s="33"/>
      <c r="I1111" s="33"/>
      <c r="J1111" s="33"/>
    </row>
    <row r="1112" spans="1:13">
      <c r="A1112" s="2" t="s">
        <v>1</v>
      </c>
      <c r="B1112" s="3" t="str">
        <f>"GD-"&amp;IF(LEN(E1116)=2,TEXT(LEFT(E1116,1),"000"),IF(LEN(E1116)=3,TEXT(LEFT(E1116,2),"000"),TEXT(LEFT(E1116,3),"000")))</f>
        <v>GD-016</v>
      </c>
      <c r="C1112" s="2"/>
      <c r="D1112" s="2"/>
      <c r="E1112" s="2"/>
      <c r="F1112" s="2"/>
      <c r="G1112" s="2"/>
      <c r="H1112" s="2"/>
      <c r="I1112" s="2"/>
      <c r="J1112" s="2"/>
    </row>
    <row r="1113" spans="1:13" ht="14.25" customHeight="1">
      <c r="A1113" s="34" t="s">
        <v>2</v>
      </c>
      <c r="B1113" s="34"/>
      <c r="C1113" s="34"/>
      <c r="D1113" s="34"/>
      <c r="E1113" s="34"/>
      <c r="F1113" s="35" t="s">
        <v>3</v>
      </c>
      <c r="G1113" s="35"/>
      <c r="H1113" s="36">
        <f>H1039+1</f>
        <v>45657</v>
      </c>
      <c r="I1113" s="36"/>
      <c r="J1113" s="7" t="str">
        <f>"("&amp;TEXT(H1113,"[$-404]aaaa;@")&amp;")"</f>
        <v>(星期二)</v>
      </c>
    </row>
    <row r="1114" spans="1:13" ht="14.25" customHeight="1">
      <c r="A1114" s="37" t="s">
        <v>4</v>
      </c>
      <c r="B1114" s="38"/>
      <c r="C1114" s="41" t="str">
        <f>C1040</f>
        <v>雲林縣成功國小思源堂整修工程</v>
      </c>
      <c r="D1114" s="42"/>
      <c r="E1114" s="43"/>
      <c r="F1114" s="37" t="s">
        <v>5</v>
      </c>
      <c r="G1114" s="38"/>
      <c r="H1114" s="37" t="str">
        <f>H1040</f>
        <v>正郁室內裝修</v>
      </c>
      <c r="I1114" s="47"/>
      <c r="J1114" s="38"/>
    </row>
    <row r="1115" spans="1:13" ht="14.25" customHeight="1">
      <c r="A1115" s="39"/>
      <c r="B1115" s="40"/>
      <c r="C1115" s="44"/>
      <c r="D1115" s="45"/>
      <c r="E1115" s="46"/>
      <c r="F1115" s="39"/>
      <c r="G1115" s="40"/>
      <c r="H1115" s="39"/>
      <c r="I1115" s="48"/>
      <c r="J1115" s="40"/>
    </row>
    <row r="1116" spans="1:13" ht="14.25" customHeight="1">
      <c r="A1116" s="8" t="s">
        <v>7</v>
      </c>
      <c r="B1116" s="8" t="str">
        <f>B1042</f>
        <v>60天</v>
      </c>
      <c r="C1116" s="30" t="s">
        <v>8</v>
      </c>
      <c r="D1116" s="31"/>
      <c r="E1116" s="8" t="str">
        <f>IF(LEN(E1042)&gt;2,(LEFT(E1042,2)+1),(LEFT(E1042,1)+1))&amp;"天"</f>
        <v>16天</v>
      </c>
      <c r="F1116" s="8" t="s">
        <v>9</v>
      </c>
      <c r="G1116" s="8" t="str">
        <f>IF(LEN(E1116)&gt;2,LEFT(B1116,2)-LEFT(E1116,2),LEFT(B1116,2)-LEFT(E1116,1))&amp;"天"</f>
        <v>44天</v>
      </c>
      <c r="H1116" s="30" t="s">
        <v>10</v>
      </c>
      <c r="I1116" s="31"/>
      <c r="J1116" s="8" t="str">
        <f>J1042</f>
        <v>0天</v>
      </c>
    </row>
    <row r="1117" spans="1:13" ht="14.25" customHeight="1">
      <c r="A1117" s="30" t="s">
        <v>12</v>
      </c>
      <c r="B1117" s="31"/>
      <c r="C1117" s="30" t="str">
        <f>C1043</f>
        <v>113年12月16日</v>
      </c>
      <c r="D1117" s="32"/>
      <c r="E1117" s="31"/>
      <c r="F1117" s="30" t="s">
        <v>13</v>
      </c>
      <c r="G1117" s="31"/>
      <c r="H1117" s="30" t="str">
        <f>H1043</f>
        <v>114年02月13日</v>
      </c>
      <c r="I1117" s="32"/>
      <c r="J1117" s="31"/>
    </row>
    <row r="1118" spans="1:13" ht="14.25" customHeight="1">
      <c r="A1118" s="30" t="s">
        <v>14</v>
      </c>
      <c r="B1118" s="31"/>
      <c r="C1118" s="57">
        <f>C822+(20%/12)*4</f>
        <v>0.11666666666666667</v>
      </c>
      <c r="D1118" s="58"/>
      <c r="E1118" s="59"/>
      <c r="F1118" s="30" t="s">
        <v>15</v>
      </c>
      <c r="G1118" s="31"/>
      <c r="H1118" s="57">
        <f>ROUND(L1145/L1146,5)+H1044</f>
        <v>0.25128</v>
      </c>
      <c r="I1118" s="58"/>
      <c r="J1118" s="59"/>
      <c r="K1118" s="26" t="s">
        <v>69</v>
      </c>
      <c r="L1118" s="22"/>
      <c r="M1118" s="4"/>
    </row>
    <row r="1119" spans="1:13" ht="14.25" customHeight="1">
      <c r="A1119" s="49" t="s">
        <v>16</v>
      </c>
      <c r="B1119" s="50"/>
      <c r="C1119" s="50"/>
      <c r="D1119" s="50"/>
      <c r="E1119" s="50"/>
      <c r="F1119" s="50"/>
      <c r="G1119" s="50"/>
      <c r="H1119" s="50"/>
      <c r="I1119" s="50"/>
      <c r="J1119" s="51"/>
      <c r="L1119" s="22"/>
      <c r="M1119" s="4"/>
    </row>
    <row r="1120" spans="1:13" ht="14.25" customHeight="1">
      <c r="A1120" s="30" t="s">
        <v>17</v>
      </c>
      <c r="B1120" s="32"/>
      <c r="C1120" s="31"/>
      <c r="D1120" s="8" t="s">
        <v>18</v>
      </c>
      <c r="E1120" s="17" t="s">
        <v>19</v>
      </c>
      <c r="F1120" s="30" t="s">
        <v>20</v>
      </c>
      <c r="G1120" s="31"/>
      <c r="H1120" s="30" t="s">
        <v>21</v>
      </c>
      <c r="I1120" s="31"/>
      <c r="J1120" s="8" t="s">
        <v>22</v>
      </c>
      <c r="L1120" s="22"/>
      <c r="M1120" s="4"/>
    </row>
    <row r="1121" spans="1:12" ht="14.25" customHeight="1">
      <c r="A1121" s="49" t="s">
        <v>56</v>
      </c>
      <c r="B1121" s="50"/>
      <c r="C1121" s="50"/>
      <c r="D1121" s="50"/>
      <c r="E1121" s="50"/>
      <c r="F1121" s="50"/>
      <c r="G1121" s="50"/>
      <c r="H1121" s="50"/>
      <c r="I1121" s="50"/>
      <c r="J1121" s="51"/>
    </row>
    <row r="1122" spans="1:12" ht="14.25" customHeight="1">
      <c r="A1122" s="55" t="s">
        <v>57</v>
      </c>
      <c r="B1122" s="50"/>
      <c r="C1122" s="51"/>
      <c r="D1122" s="24" t="s">
        <v>59</v>
      </c>
      <c r="E1122" s="23">
        <v>1</v>
      </c>
      <c r="F1122" s="54"/>
      <c r="G1122" s="56"/>
      <c r="H1122" s="54">
        <f t="shared" ref="H1122:H1144" si="32">F1122+H1048</f>
        <v>1</v>
      </c>
      <c r="I1122" s="31"/>
      <c r="J1122" s="16"/>
      <c r="K1122" s="27">
        <v>800</v>
      </c>
      <c r="L1122" s="29">
        <f t="shared" ref="L1122:L1144" si="33">ROUND(K1122*F1122,0)</f>
        <v>0</v>
      </c>
    </row>
    <row r="1123" spans="1:12" ht="14.25" customHeight="1">
      <c r="A1123" s="55" t="s">
        <v>75</v>
      </c>
      <c r="B1123" s="50"/>
      <c r="C1123" s="51"/>
      <c r="D1123" s="24" t="s">
        <v>59</v>
      </c>
      <c r="E1123" s="23">
        <v>1</v>
      </c>
      <c r="F1123" s="52"/>
      <c r="G1123" s="53"/>
      <c r="H1123" s="54">
        <f t="shared" si="32"/>
        <v>1</v>
      </c>
      <c r="I1123" s="31"/>
      <c r="J1123" s="8"/>
      <c r="K1123" s="27">
        <v>500</v>
      </c>
      <c r="L1123" s="29">
        <f t="shared" si="33"/>
        <v>0</v>
      </c>
    </row>
    <row r="1124" spans="1:12" ht="14.25" customHeight="1">
      <c r="A1124" s="49" t="s">
        <v>58</v>
      </c>
      <c r="B1124" s="50"/>
      <c r="C1124" s="51"/>
      <c r="D1124" s="24" t="s">
        <v>61</v>
      </c>
      <c r="E1124" s="23">
        <v>51</v>
      </c>
      <c r="F1124" s="52"/>
      <c r="G1124" s="53"/>
      <c r="H1124" s="54">
        <f t="shared" si="32"/>
        <v>51</v>
      </c>
      <c r="I1124" s="31"/>
      <c r="J1124" s="10"/>
      <c r="K1124" s="27">
        <v>50</v>
      </c>
      <c r="L1124" s="29">
        <f t="shared" si="33"/>
        <v>0</v>
      </c>
    </row>
    <row r="1125" spans="1:12" ht="14.25" customHeight="1">
      <c r="A1125" s="55" t="s">
        <v>76</v>
      </c>
      <c r="B1125" s="50"/>
      <c r="C1125" s="51"/>
      <c r="D1125" s="24" t="s">
        <v>60</v>
      </c>
      <c r="E1125" s="23">
        <v>1</v>
      </c>
      <c r="F1125" s="52"/>
      <c r="G1125" s="53"/>
      <c r="H1125" s="54">
        <f t="shared" si="32"/>
        <v>0</v>
      </c>
      <c r="I1125" s="31"/>
      <c r="J1125" s="16"/>
      <c r="K1125" s="27">
        <v>3000</v>
      </c>
      <c r="L1125" s="29">
        <f t="shared" si="33"/>
        <v>0</v>
      </c>
    </row>
    <row r="1126" spans="1:12" ht="14.25" customHeight="1">
      <c r="A1126" s="55" t="s">
        <v>77</v>
      </c>
      <c r="B1126" s="50"/>
      <c r="C1126" s="51"/>
      <c r="D1126" s="25" t="s">
        <v>60</v>
      </c>
      <c r="E1126" s="23">
        <v>1</v>
      </c>
      <c r="F1126" s="52"/>
      <c r="G1126" s="53"/>
      <c r="H1126" s="54">
        <f t="shared" si="32"/>
        <v>0</v>
      </c>
      <c r="I1126" s="31"/>
      <c r="J1126" s="8"/>
      <c r="K1126" s="27">
        <v>3000</v>
      </c>
      <c r="L1126" s="29">
        <f t="shared" si="33"/>
        <v>0</v>
      </c>
    </row>
    <row r="1127" spans="1:12" ht="28.5" customHeight="1">
      <c r="A1127" s="55" t="s">
        <v>78</v>
      </c>
      <c r="B1127" s="64"/>
      <c r="C1127" s="65"/>
      <c r="D1127" s="25" t="s">
        <v>62</v>
      </c>
      <c r="E1127" s="23">
        <v>328</v>
      </c>
      <c r="F1127" s="30"/>
      <c r="G1127" s="63"/>
      <c r="H1127" s="54">
        <f t="shared" si="32"/>
        <v>328</v>
      </c>
      <c r="I1127" s="31"/>
      <c r="J1127" s="8"/>
      <c r="K1127" s="28">
        <v>100</v>
      </c>
      <c r="L1127" s="29">
        <f t="shared" si="33"/>
        <v>0</v>
      </c>
    </row>
    <row r="1128" spans="1:12" ht="14.25" customHeight="1">
      <c r="A1128" s="60" t="s">
        <v>79</v>
      </c>
      <c r="B1128" s="61"/>
      <c r="C1128" s="61"/>
      <c r="D1128" s="25" t="s">
        <v>61</v>
      </c>
      <c r="E1128" s="23">
        <v>21</v>
      </c>
      <c r="F1128" s="62"/>
      <c r="G1128" s="62"/>
      <c r="H1128" s="54">
        <f t="shared" si="32"/>
        <v>15</v>
      </c>
      <c r="I1128" s="31"/>
      <c r="J1128" s="8"/>
      <c r="K1128" s="27">
        <v>2500</v>
      </c>
      <c r="L1128" s="29">
        <f t="shared" si="33"/>
        <v>0</v>
      </c>
    </row>
    <row r="1129" spans="1:12" ht="28.5" customHeight="1">
      <c r="A1129" s="55" t="s">
        <v>80</v>
      </c>
      <c r="B1129" s="64"/>
      <c r="C1129" s="65"/>
      <c r="D1129" s="25" t="s">
        <v>81</v>
      </c>
      <c r="E1129" s="23">
        <v>5</v>
      </c>
      <c r="F1129" s="30"/>
      <c r="G1129" s="63"/>
      <c r="H1129" s="54">
        <f t="shared" si="32"/>
        <v>0</v>
      </c>
      <c r="I1129" s="31"/>
      <c r="J1129" s="8"/>
      <c r="K1129" s="27">
        <v>5000</v>
      </c>
      <c r="L1129" s="29">
        <f t="shared" si="33"/>
        <v>0</v>
      </c>
    </row>
    <row r="1130" spans="1:12" ht="14.25" customHeight="1">
      <c r="A1130" s="60" t="s">
        <v>82</v>
      </c>
      <c r="B1130" s="61"/>
      <c r="C1130" s="61"/>
      <c r="D1130" s="25" t="s">
        <v>62</v>
      </c>
      <c r="E1130" s="23">
        <v>218</v>
      </c>
      <c r="F1130" s="62">
        <v>21.8</v>
      </c>
      <c r="G1130" s="62"/>
      <c r="H1130" s="54">
        <f t="shared" si="32"/>
        <v>43.6</v>
      </c>
      <c r="I1130" s="31"/>
      <c r="J1130" s="8"/>
      <c r="K1130" s="27">
        <v>1000</v>
      </c>
      <c r="L1130" s="29">
        <f t="shared" si="33"/>
        <v>21800</v>
      </c>
    </row>
    <row r="1131" spans="1:12" ht="14.25" customHeight="1">
      <c r="A1131" s="61" t="s">
        <v>83</v>
      </c>
      <c r="B1131" s="61"/>
      <c r="C1131" s="61"/>
      <c r="D1131" s="25" t="s">
        <v>81</v>
      </c>
      <c r="E1131" s="23">
        <v>28</v>
      </c>
      <c r="F1131" s="30"/>
      <c r="G1131" s="63"/>
      <c r="H1131" s="54">
        <f t="shared" si="32"/>
        <v>0</v>
      </c>
      <c r="I1131" s="31"/>
      <c r="J1131" s="8"/>
      <c r="K1131" s="27">
        <v>2000</v>
      </c>
      <c r="L1131" s="29">
        <f t="shared" si="33"/>
        <v>0</v>
      </c>
    </row>
    <row r="1132" spans="1:12" ht="28.5" customHeight="1">
      <c r="A1132" s="60" t="s">
        <v>84</v>
      </c>
      <c r="B1132" s="61"/>
      <c r="C1132" s="61"/>
      <c r="D1132" s="25" t="s">
        <v>62</v>
      </c>
      <c r="E1132" s="23">
        <v>245</v>
      </c>
      <c r="F1132" s="62"/>
      <c r="G1132" s="62"/>
      <c r="H1132" s="54">
        <f t="shared" si="32"/>
        <v>0</v>
      </c>
      <c r="I1132" s="31"/>
      <c r="J1132" s="8"/>
      <c r="K1132" s="27">
        <v>1500</v>
      </c>
      <c r="L1132" s="29">
        <f t="shared" si="33"/>
        <v>0</v>
      </c>
    </row>
    <row r="1133" spans="1:12" ht="14.25" customHeight="1">
      <c r="A1133" s="61" t="s">
        <v>85</v>
      </c>
      <c r="B1133" s="61"/>
      <c r="C1133" s="61"/>
      <c r="D1133" s="25" t="s">
        <v>62</v>
      </c>
      <c r="E1133" s="23">
        <v>83</v>
      </c>
      <c r="F1133" s="30"/>
      <c r="G1133" s="63"/>
      <c r="H1133" s="54">
        <f t="shared" si="32"/>
        <v>0</v>
      </c>
      <c r="I1133" s="31"/>
      <c r="J1133" s="8"/>
      <c r="K1133" s="27">
        <v>1000</v>
      </c>
      <c r="L1133" s="29">
        <f t="shared" si="33"/>
        <v>0</v>
      </c>
    </row>
    <row r="1134" spans="1:12" ht="30" customHeight="1">
      <c r="A1134" s="60" t="s">
        <v>86</v>
      </c>
      <c r="B1134" s="61"/>
      <c r="C1134" s="61"/>
      <c r="D1134" s="25" t="s">
        <v>62</v>
      </c>
      <c r="E1134" s="23">
        <v>164</v>
      </c>
      <c r="F1134" s="62"/>
      <c r="G1134" s="62"/>
      <c r="H1134" s="54">
        <f t="shared" si="32"/>
        <v>0</v>
      </c>
      <c r="I1134" s="31"/>
      <c r="J1134" s="8"/>
      <c r="K1134" s="27">
        <v>500</v>
      </c>
      <c r="L1134" s="29">
        <f t="shared" si="33"/>
        <v>0</v>
      </c>
    </row>
    <row r="1135" spans="1:12" ht="14.25" customHeight="1">
      <c r="A1135" s="60" t="s">
        <v>87</v>
      </c>
      <c r="B1135" s="61"/>
      <c r="C1135" s="61"/>
      <c r="D1135" s="25" t="s">
        <v>62</v>
      </c>
      <c r="E1135" s="23">
        <v>37</v>
      </c>
      <c r="F1135" s="30"/>
      <c r="G1135" s="63"/>
      <c r="H1135" s="54">
        <f t="shared" si="32"/>
        <v>37</v>
      </c>
      <c r="I1135" s="31"/>
      <c r="J1135" s="8"/>
      <c r="K1135" s="27">
        <v>1000</v>
      </c>
      <c r="L1135" s="29">
        <f t="shared" si="33"/>
        <v>0</v>
      </c>
    </row>
    <row r="1136" spans="1:12" ht="14.25" customHeight="1">
      <c r="A1136" s="61" t="s">
        <v>88</v>
      </c>
      <c r="B1136" s="61"/>
      <c r="C1136" s="61"/>
      <c r="D1136" s="25" t="s">
        <v>60</v>
      </c>
      <c r="E1136" s="23">
        <v>1</v>
      </c>
      <c r="F1136" s="62"/>
      <c r="G1136" s="62"/>
      <c r="H1136" s="54">
        <f t="shared" si="32"/>
        <v>0.95</v>
      </c>
      <c r="I1136" s="31"/>
      <c r="J1136" s="8"/>
      <c r="K1136" s="27">
        <v>250000</v>
      </c>
      <c r="L1136" s="29">
        <f t="shared" si="33"/>
        <v>0</v>
      </c>
    </row>
    <row r="1137" spans="1:13" ht="14.25" customHeight="1">
      <c r="A1137" s="61" t="s">
        <v>89</v>
      </c>
      <c r="B1137" s="61"/>
      <c r="C1137" s="61"/>
      <c r="D1137" s="25" t="s">
        <v>62</v>
      </c>
      <c r="E1137" s="23">
        <v>81</v>
      </c>
      <c r="F1137" s="30"/>
      <c r="G1137" s="63"/>
      <c r="H1137" s="54">
        <f t="shared" si="32"/>
        <v>0</v>
      </c>
      <c r="I1137" s="31"/>
      <c r="J1137" s="8"/>
      <c r="K1137" s="27">
        <v>500</v>
      </c>
      <c r="L1137" s="29">
        <f t="shared" si="33"/>
        <v>0</v>
      </c>
    </row>
    <row r="1138" spans="1:13" ht="29.25" customHeight="1">
      <c r="A1138" s="60" t="s">
        <v>90</v>
      </c>
      <c r="B1138" s="61"/>
      <c r="C1138" s="61"/>
      <c r="D1138" s="25" t="s">
        <v>62</v>
      </c>
      <c r="E1138" s="23">
        <v>42</v>
      </c>
      <c r="F1138" s="62"/>
      <c r="G1138" s="62"/>
      <c r="H1138" s="54">
        <f t="shared" si="32"/>
        <v>0</v>
      </c>
      <c r="I1138" s="31"/>
      <c r="J1138" s="8"/>
      <c r="K1138" s="27">
        <v>1800</v>
      </c>
      <c r="L1138" s="29">
        <f t="shared" si="33"/>
        <v>0</v>
      </c>
    </row>
    <row r="1139" spans="1:13" ht="14.25" customHeight="1">
      <c r="A1139" s="60" t="s">
        <v>91</v>
      </c>
      <c r="B1139" s="61"/>
      <c r="C1139" s="61"/>
      <c r="D1139" s="25" t="s">
        <v>60</v>
      </c>
      <c r="E1139" s="23">
        <v>1</v>
      </c>
      <c r="F1139" s="30"/>
      <c r="G1139" s="63"/>
      <c r="H1139" s="54">
        <f t="shared" si="32"/>
        <v>0</v>
      </c>
      <c r="I1139" s="31"/>
      <c r="J1139" s="8"/>
      <c r="K1139" s="27">
        <v>30000</v>
      </c>
      <c r="L1139" s="29">
        <f t="shared" si="33"/>
        <v>0</v>
      </c>
    </row>
    <row r="1140" spans="1:13" ht="14.25" customHeight="1">
      <c r="A1140" s="61" t="s">
        <v>92</v>
      </c>
      <c r="B1140" s="61"/>
      <c r="C1140" s="61"/>
      <c r="D1140" s="25" t="s">
        <v>60</v>
      </c>
      <c r="E1140" s="23">
        <v>1</v>
      </c>
      <c r="F1140" s="62"/>
      <c r="G1140" s="62"/>
      <c r="H1140" s="54">
        <f t="shared" si="32"/>
        <v>0</v>
      </c>
      <c r="I1140" s="31"/>
      <c r="J1140" s="8"/>
      <c r="K1140" s="27">
        <v>13598</v>
      </c>
      <c r="L1140" s="29">
        <f t="shared" si="33"/>
        <v>0</v>
      </c>
    </row>
    <row r="1141" spans="1:13" ht="14.25" customHeight="1">
      <c r="A1141" s="61" t="s">
        <v>93</v>
      </c>
      <c r="B1141" s="61"/>
      <c r="C1141" s="61"/>
      <c r="D1141" s="25" t="s">
        <v>60</v>
      </c>
      <c r="E1141" s="23">
        <v>1</v>
      </c>
      <c r="F1141" s="62"/>
      <c r="G1141" s="62"/>
      <c r="H1141" s="54">
        <f t="shared" si="32"/>
        <v>0</v>
      </c>
      <c r="I1141" s="31"/>
      <c r="J1141" s="8"/>
      <c r="K1141" s="27">
        <v>13598</v>
      </c>
      <c r="L1141" s="29">
        <f t="shared" si="33"/>
        <v>0</v>
      </c>
    </row>
    <row r="1142" spans="1:13" ht="14.25" customHeight="1">
      <c r="A1142" s="61" t="s">
        <v>64</v>
      </c>
      <c r="B1142" s="61"/>
      <c r="C1142" s="61"/>
      <c r="D1142" s="25" t="s">
        <v>60</v>
      </c>
      <c r="E1142" s="23">
        <v>1</v>
      </c>
      <c r="F1142" s="62"/>
      <c r="G1142" s="62"/>
      <c r="H1142" s="54">
        <f t="shared" si="32"/>
        <v>0</v>
      </c>
      <c r="I1142" s="31"/>
      <c r="J1142" s="8"/>
      <c r="K1142" s="27">
        <v>95182</v>
      </c>
      <c r="L1142" s="29">
        <f t="shared" si="33"/>
        <v>0</v>
      </c>
    </row>
    <row r="1143" spans="1:13" ht="14.25" customHeight="1">
      <c r="A1143" s="61" t="s">
        <v>65</v>
      </c>
      <c r="B1143" s="61"/>
      <c r="C1143" s="61"/>
      <c r="D1143" s="25" t="s">
        <v>60</v>
      </c>
      <c r="E1143" s="23">
        <v>1</v>
      </c>
      <c r="F1143" s="62"/>
      <c r="G1143" s="62"/>
      <c r="H1143" s="54">
        <f t="shared" si="32"/>
        <v>0</v>
      </c>
      <c r="I1143" s="31"/>
      <c r="J1143" s="8"/>
      <c r="K1143" s="27">
        <v>4513</v>
      </c>
      <c r="L1143" s="29">
        <f t="shared" si="33"/>
        <v>0</v>
      </c>
    </row>
    <row r="1144" spans="1:13" ht="14.25" customHeight="1" thickBot="1">
      <c r="A1144" s="61" t="s">
        <v>66</v>
      </c>
      <c r="B1144" s="61"/>
      <c r="C1144" s="61"/>
      <c r="D1144" s="25" t="s">
        <v>60</v>
      </c>
      <c r="E1144" s="23">
        <v>1</v>
      </c>
      <c r="F1144" s="62"/>
      <c r="G1144" s="62"/>
      <c r="H1144" s="54">
        <f t="shared" si="32"/>
        <v>0</v>
      </c>
      <c r="I1144" s="31"/>
      <c r="J1144" s="8"/>
      <c r="K1144" s="27">
        <v>74332</v>
      </c>
      <c r="L1144" s="29">
        <f t="shared" si="33"/>
        <v>0</v>
      </c>
      <c r="M1144" s="1" t="s">
        <v>97</v>
      </c>
    </row>
    <row r="1145" spans="1:13" ht="14.25" customHeight="1">
      <c r="A1145" s="77" t="s">
        <v>46</v>
      </c>
      <c r="B1145" s="67"/>
      <c r="C1145" s="68"/>
      <c r="D1145" s="11"/>
      <c r="E1145" s="18"/>
      <c r="F1145" s="78"/>
      <c r="G1145" s="79"/>
      <c r="H1145" s="78"/>
      <c r="I1145" s="79"/>
      <c r="J1145" s="12"/>
      <c r="K1145" s="27" t="s">
        <v>68</v>
      </c>
      <c r="L1145" s="29">
        <f>SUM(L1122:L1144)</f>
        <v>21800</v>
      </c>
      <c r="M1145" s="4">
        <f>ROUND(L1145/L1146,5)</f>
        <v>1.397E-2</v>
      </c>
    </row>
    <row r="1146" spans="1:13" ht="14.25" customHeight="1">
      <c r="A1146" s="69" t="s">
        <v>47</v>
      </c>
      <c r="B1146" s="70"/>
      <c r="C1146" s="71"/>
      <c r="D1146" s="9"/>
      <c r="E1146" s="19"/>
      <c r="F1146" s="30"/>
      <c r="G1146" s="31"/>
      <c r="H1146" s="30"/>
      <c r="I1146" s="31"/>
      <c r="J1146" s="13"/>
      <c r="K1146" s="27" t="s">
        <v>67</v>
      </c>
      <c r="L1146" s="29">
        <v>1560973</v>
      </c>
      <c r="M1146" s="4"/>
    </row>
    <row r="1147" spans="1:13" ht="14.25" customHeight="1" thickBot="1">
      <c r="A1147" s="72" t="s">
        <v>48</v>
      </c>
      <c r="B1147" s="73"/>
      <c r="C1147" s="74"/>
      <c r="D1147" s="14"/>
      <c r="E1147" s="20"/>
      <c r="F1147" s="75"/>
      <c r="G1147" s="76"/>
      <c r="H1147" s="75"/>
      <c r="I1147" s="76"/>
      <c r="J1147" s="15"/>
    </row>
    <row r="1148" spans="1:13" ht="14.25" customHeight="1">
      <c r="A1148" s="66" t="s">
        <v>23</v>
      </c>
      <c r="B1148" s="67"/>
      <c r="C1148" s="67"/>
      <c r="D1148" s="67"/>
      <c r="E1148" s="67"/>
      <c r="F1148" s="67"/>
      <c r="G1148" s="67"/>
      <c r="H1148" s="67"/>
      <c r="I1148" s="67"/>
      <c r="J1148" s="68"/>
    </row>
    <row r="1149" spans="1:13" ht="14.25" customHeight="1">
      <c r="A1149" s="30" t="s">
        <v>24</v>
      </c>
      <c r="B1149" s="32"/>
      <c r="C1149" s="31"/>
      <c r="D1149" s="8" t="s">
        <v>18</v>
      </c>
      <c r="E1149" s="8" t="s">
        <v>25</v>
      </c>
      <c r="F1149" s="30" t="s">
        <v>26</v>
      </c>
      <c r="G1149" s="31"/>
      <c r="H1149" s="30" t="s">
        <v>27</v>
      </c>
      <c r="I1149" s="31"/>
      <c r="J1149" s="8" t="s">
        <v>22</v>
      </c>
    </row>
    <row r="1150" spans="1:13" ht="14.25" customHeight="1">
      <c r="A1150" s="49"/>
      <c r="B1150" s="50"/>
      <c r="C1150" s="51"/>
      <c r="D1150" s="8"/>
      <c r="E1150" s="8"/>
      <c r="F1150" s="30"/>
      <c r="G1150" s="31"/>
      <c r="H1150" s="30"/>
      <c r="I1150" s="31"/>
      <c r="J1150" s="8"/>
    </row>
    <row r="1151" spans="1:13" ht="14.25" customHeight="1">
      <c r="A1151" s="49"/>
      <c r="B1151" s="50"/>
      <c r="C1151" s="51"/>
      <c r="D1151" s="8"/>
      <c r="E1151" s="8"/>
      <c r="F1151" s="30"/>
      <c r="G1151" s="31"/>
      <c r="H1151" s="30"/>
      <c r="I1151" s="31"/>
      <c r="J1151" s="8"/>
    </row>
    <row r="1152" spans="1:13" ht="14.25" customHeight="1">
      <c r="A1152" s="49" t="s">
        <v>28</v>
      </c>
      <c r="B1152" s="50"/>
      <c r="C1152" s="50"/>
      <c r="D1152" s="50"/>
      <c r="E1152" s="50"/>
      <c r="F1152" s="50"/>
      <c r="G1152" s="50"/>
      <c r="H1152" s="50"/>
      <c r="I1152" s="50"/>
      <c r="J1152" s="51"/>
    </row>
    <row r="1153" spans="1:27" ht="14.25" customHeight="1">
      <c r="A1153" s="30" t="s">
        <v>29</v>
      </c>
      <c r="B1153" s="31"/>
      <c r="C1153" s="8" t="s">
        <v>30</v>
      </c>
      <c r="D1153" s="8" t="s">
        <v>31</v>
      </c>
      <c r="E1153" s="30" t="s">
        <v>32</v>
      </c>
      <c r="F1153" s="31"/>
      <c r="G1153" s="30" t="s">
        <v>26</v>
      </c>
      <c r="H1153" s="31"/>
      <c r="I1153" s="30" t="s">
        <v>27</v>
      </c>
      <c r="J1153" s="31"/>
    </row>
    <row r="1154" spans="1:27" ht="14.25" customHeight="1">
      <c r="A1154" s="49" t="s">
        <v>106</v>
      </c>
      <c r="B1154" s="51"/>
      <c r="C1154" s="8">
        <v>2</v>
      </c>
      <c r="D1154" s="8">
        <v>4</v>
      </c>
      <c r="E1154" s="30"/>
      <c r="F1154" s="31"/>
      <c r="G1154" s="30"/>
      <c r="H1154" s="31"/>
      <c r="I1154" s="30"/>
      <c r="J1154" s="31"/>
    </row>
    <row r="1155" spans="1:27" ht="14.25" customHeight="1">
      <c r="A1155" s="49"/>
      <c r="B1155" s="51"/>
      <c r="C1155" s="8"/>
      <c r="D1155" s="8"/>
      <c r="E1155" s="30"/>
      <c r="F1155" s="31"/>
      <c r="G1155" s="30"/>
      <c r="H1155" s="31"/>
      <c r="I1155" s="30"/>
      <c r="J1155" s="31"/>
    </row>
    <row r="1156" spans="1:27" ht="14.25" customHeight="1">
      <c r="A1156" s="41" t="s">
        <v>45</v>
      </c>
      <c r="B1156" s="42"/>
      <c r="C1156" s="42"/>
      <c r="D1156" s="42"/>
      <c r="E1156" s="42"/>
      <c r="F1156" s="42"/>
      <c r="G1156" s="42"/>
      <c r="H1156" s="42"/>
      <c r="I1156" s="42"/>
      <c r="J1156" s="43"/>
    </row>
    <row r="1157" spans="1:27" ht="14.25" customHeight="1">
      <c r="A1157" s="44"/>
      <c r="B1157" s="45"/>
      <c r="C1157" s="45"/>
      <c r="D1157" s="45"/>
      <c r="E1157" s="45"/>
      <c r="F1157" s="45"/>
      <c r="G1157" s="45"/>
      <c r="H1157" s="45"/>
      <c r="I1157" s="45"/>
      <c r="J1157" s="46"/>
    </row>
    <row r="1158" spans="1:27" ht="14.25" customHeight="1">
      <c r="A1158" s="80" t="s">
        <v>52</v>
      </c>
      <c r="B1158" s="81"/>
      <c r="C1158" s="81"/>
      <c r="D1158" s="81"/>
      <c r="E1158" s="81"/>
      <c r="F1158" s="81"/>
      <c r="G1158" s="81"/>
      <c r="H1158" s="81"/>
      <c r="I1158" s="81"/>
      <c r="J1158" s="82"/>
      <c r="M1158" s="4"/>
      <c r="N1158" s="5"/>
      <c r="O1158" s="6"/>
      <c r="S1158" s="6"/>
      <c r="W1158" s="6"/>
      <c r="AA1158" s="6"/>
    </row>
    <row r="1159" spans="1:27" ht="14.25" customHeight="1">
      <c r="A1159" s="83"/>
      <c r="B1159" s="84"/>
      <c r="C1159" s="84"/>
      <c r="D1159" s="84"/>
      <c r="E1159" s="84"/>
      <c r="F1159" s="84"/>
      <c r="G1159" s="84"/>
      <c r="H1159" s="84"/>
      <c r="I1159" s="84"/>
      <c r="J1159" s="85"/>
    </row>
    <row r="1160" spans="1:27" ht="14.25" customHeight="1">
      <c r="A1160" s="83"/>
      <c r="B1160" s="84"/>
      <c r="C1160" s="84"/>
      <c r="D1160" s="84"/>
      <c r="E1160" s="84"/>
      <c r="F1160" s="84"/>
      <c r="G1160" s="84"/>
      <c r="H1160" s="84"/>
      <c r="I1160" s="84"/>
      <c r="J1160" s="85"/>
    </row>
    <row r="1161" spans="1:27" ht="14.25" customHeight="1">
      <c r="A1161" s="83"/>
      <c r="B1161" s="84"/>
      <c r="C1161" s="84"/>
      <c r="D1161" s="84"/>
      <c r="E1161" s="84"/>
      <c r="F1161" s="84"/>
      <c r="G1161" s="84"/>
      <c r="H1161" s="84"/>
      <c r="I1161" s="84"/>
      <c r="J1161" s="85"/>
    </row>
    <row r="1162" spans="1:27" ht="14.25" customHeight="1">
      <c r="A1162" s="83"/>
      <c r="B1162" s="84"/>
      <c r="C1162" s="84"/>
      <c r="D1162" s="84"/>
      <c r="E1162" s="84"/>
      <c r="F1162" s="84"/>
      <c r="G1162" s="84"/>
      <c r="H1162" s="84"/>
      <c r="I1162" s="84"/>
      <c r="J1162" s="85"/>
    </row>
    <row r="1163" spans="1:27" ht="14.25" customHeight="1">
      <c r="A1163" s="83"/>
      <c r="B1163" s="84"/>
      <c r="C1163" s="84"/>
      <c r="D1163" s="84"/>
      <c r="E1163" s="84"/>
      <c r="F1163" s="84"/>
      <c r="G1163" s="84"/>
      <c r="H1163" s="84"/>
      <c r="I1163" s="84"/>
      <c r="J1163" s="85"/>
    </row>
    <row r="1164" spans="1:27" ht="14.25" customHeight="1">
      <c r="A1164" s="86"/>
      <c r="B1164" s="87"/>
      <c r="C1164" s="87"/>
      <c r="D1164" s="87"/>
      <c r="E1164" s="87"/>
      <c r="F1164" s="87"/>
      <c r="G1164" s="87"/>
      <c r="H1164" s="87"/>
      <c r="I1164" s="87"/>
      <c r="J1164" s="88"/>
    </row>
    <row r="1165" spans="1:27" ht="14.25" customHeight="1">
      <c r="A1165" s="89" t="s">
        <v>33</v>
      </c>
      <c r="B1165" s="90"/>
      <c r="C1165" s="90"/>
      <c r="D1165" s="90"/>
      <c r="E1165" s="90"/>
      <c r="F1165" s="90"/>
      <c r="G1165" s="90"/>
      <c r="H1165" s="90"/>
      <c r="I1165" s="90"/>
      <c r="J1165" s="91"/>
    </row>
    <row r="1166" spans="1:27" ht="14.25" customHeight="1">
      <c r="A1166" s="92"/>
      <c r="B1166" s="93"/>
      <c r="C1166" s="93"/>
      <c r="D1166" s="93"/>
      <c r="E1166" s="93"/>
      <c r="F1166" s="93"/>
      <c r="G1166" s="93"/>
      <c r="H1166" s="93"/>
      <c r="I1166" s="93"/>
      <c r="J1166" s="94"/>
    </row>
    <row r="1167" spans="1:27" ht="14.25" customHeight="1">
      <c r="A1167" s="89" t="s">
        <v>34</v>
      </c>
      <c r="B1167" s="90"/>
      <c r="C1167" s="90"/>
      <c r="D1167" s="90"/>
      <c r="E1167" s="90"/>
      <c r="F1167" s="90"/>
      <c r="G1167" s="90"/>
      <c r="H1167" s="90"/>
      <c r="I1167" s="90"/>
      <c r="J1167" s="91"/>
    </row>
    <row r="1168" spans="1:27" ht="14.25" customHeight="1">
      <c r="A1168" s="92"/>
      <c r="B1168" s="93"/>
      <c r="C1168" s="93"/>
      <c r="D1168" s="93"/>
      <c r="E1168" s="93"/>
      <c r="F1168" s="93"/>
      <c r="G1168" s="93"/>
      <c r="H1168" s="93"/>
      <c r="I1168" s="93"/>
      <c r="J1168" s="94"/>
    </row>
    <row r="1169" spans="1:10" ht="14.25" customHeight="1">
      <c r="A1169" s="89" t="s">
        <v>110</v>
      </c>
      <c r="B1169" s="90"/>
      <c r="C1169" s="90"/>
      <c r="D1169" s="90"/>
      <c r="E1169" s="90"/>
      <c r="F1169" s="90"/>
      <c r="G1169" s="90"/>
      <c r="H1169" s="90"/>
      <c r="I1169" s="90"/>
      <c r="J1169" s="91"/>
    </row>
    <row r="1170" spans="1:10" ht="14.25" customHeight="1">
      <c r="A1170" s="92"/>
      <c r="B1170" s="93"/>
      <c r="C1170" s="93"/>
      <c r="D1170" s="93"/>
      <c r="E1170" s="93"/>
      <c r="F1170" s="93"/>
      <c r="G1170" s="93"/>
      <c r="H1170" s="93"/>
      <c r="I1170" s="93"/>
      <c r="J1170" s="94"/>
    </row>
    <row r="1171" spans="1:10" ht="14.25" customHeight="1">
      <c r="A1171" s="89" t="s">
        <v>35</v>
      </c>
      <c r="B1171" s="90"/>
      <c r="C1171" s="90"/>
      <c r="D1171" s="90"/>
      <c r="E1171" s="90"/>
      <c r="F1171" s="90"/>
      <c r="G1171" s="90"/>
      <c r="H1171" s="90"/>
      <c r="I1171" s="90"/>
      <c r="J1171" s="91"/>
    </row>
    <row r="1172" spans="1:10" ht="14.25" customHeight="1">
      <c r="A1172" s="92"/>
      <c r="B1172" s="93"/>
      <c r="C1172" s="93"/>
      <c r="D1172" s="93"/>
      <c r="E1172" s="93"/>
      <c r="F1172" s="93"/>
      <c r="G1172" s="93"/>
      <c r="H1172" s="93"/>
      <c r="I1172" s="93"/>
      <c r="J1172" s="94"/>
    </row>
    <row r="1173" spans="1:10" ht="14.25" customHeight="1">
      <c r="A1173" s="99" t="s">
        <v>36</v>
      </c>
      <c r="B1173" s="99"/>
      <c r="C1173" s="99"/>
      <c r="D1173" s="99"/>
      <c r="E1173" s="99"/>
      <c r="F1173" s="99"/>
      <c r="G1173" s="99"/>
      <c r="H1173" s="99"/>
      <c r="I1173" s="99"/>
      <c r="J1173" s="99"/>
    </row>
    <row r="1174" spans="1:10" ht="14.25" customHeight="1">
      <c r="A1174" s="95" t="s">
        <v>37</v>
      </c>
      <c r="B1174" s="95"/>
      <c r="C1174" s="95"/>
      <c r="D1174" s="95"/>
      <c r="E1174" s="95"/>
      <c r="F1174" s="95"/>
      <c r="G1174" s="95"/>
      <c r="H1174" s="95"/>
      <c r="I1174" s="95"/>
      <c r="J1174" s="95"/>
    </row>
    <row r="1175" spans="1:10" ht="14.25" customHeight="1">
      <c r="A1175" s="95" t="s">
        <v>38</v>
      </c>
      <c r="B1175" s="95"/>
      <c r="C1175" s="95"/>
      <c r="D1175" s="95"/>
      <c r="E1175" s="95"/>
      <c r="F1175" s="95"/>
      <c r="G1175" s="95"/>
      <c r="H1175" s="95"/>
      <c r="I1175" s="95"/>
      <c r="J1175" s="95"/>
    </row>
    <row r="1176" spans="1:10" ht="14.25" customHeight="1">
      <c r="A1176" s="95" t="s">
        <v>39</v>
      </c>
      <c r="B1176" s="95"/>
      <c r="C1176" s="95"/>
      <c r="D1176" s="95"/>
      <c r="E1176" s="95"/>
      <c r="F1176" s="95"/>
      <c r="G1176" s="95"/>
      <c r="H1176" s="95"/>
      <c r="I1176" s="95"/>
      <c r="J1176" s="95"/>
    </row>
    <row r="1177" spans="1:10" ht="14.25" customHeight="1">
      <c r="A1177" s="95" t="s">
        <v>40</v>
      </c>
      <c r="B1177" s="95"/>
      <c r="C1177" s="95"/>
      <c r="D1177" s="95"/>
      <c r="E1177" s="95"/>
      <c r="F1177" s="95"/>
      <c r="G1177" s="95"/>
      <c r="H1177" s="95"/>
      <c r="I1177" s="95"/>
      <c r="J1177" s="95"/>
    </row>
    <row r="1178" spans="1:10" ht="14.25" customHeight="1">
      <c r="A1178" s="95" t="s">
        <v>41</v>
      </c>
      <c r="B1178" s="95"/>
      <c r="C1178" s="95"/>
      <c r="D1178" s="95"/>
      <c r="E1178" s="95"/>
      <c r="F1178" s="95"/>
      <c r="G1178" s="95"/>
      <c r="H1178" s="95"/>
      <c r="I1178" s="95"/>
      <c r="J1178" s="95"/>
    </row>
    <row r="1179" spans="1:10" ht="14.25" customHeight="1">
      <c r="A1179" s="95" t="s">
        <v>42</v>
      </c>
      <c r="B1179" s="95"/>
      <c r="C1179" s="95"/>
      <c r="D1179" s="95"/>
      <c r="E1179" s="95"/>
      <c r="F1179" s="95"/>
      <c r="G1179" s="95"/>
      <c r="H1179" s="95"/>
      <c r="I1179" s="95"/>
      <c r="J1179" s="95"/>
    </row>
    <row r="1180" spans="1:10" ht="14.25" customHeight="1">
      <c r="A1180" s="100" t="s">
        <v>43</v>
      </c>
      <c r="B1180" s="100"/>
      <c r="C1180" s="100"/>
      <c r="D1180" s="100"/>
      <c r="E1180" s="100"/>
      <c r="F1180" s="100"/>
      <c r="G1180" s="100"/>
      <c r="H1180" s="100"/>
      <c r="I1180" s="100"/>
      <c r="J1180" s="100"/>
    </row>
    <row r="1181" spans="1:10" ht="14.25" customHeight="1">
      <c r="A1181" s="95" t="s">
        <v>44</v>
      </c>
      <c r="B1181" s="95"/>
      <c r="C1181" s="95"/>
      <c r="D1181" s="95"/>
      <c r="E1181" s="95"/>
      <c r="F1181" s="95"/>
      <c r="G1181" s="95"/>
      <c r="H1181" s="95"/>
      <c r="I1181" s="95"/>
      <c r="J1181" s="95"/>
    </row>
    <row r="1182" spans="1:10" ht="29.25" customHeight="1">
      <c r="A1182" s="96" t="s">
        <v>51</v>
      </c>
      <c r="B1182" s="96"/>
      <c r="C1182" s="96"/>
      <c r="D1182" s="96"/>
      <c r="E1182" s="96"/>
      <c r="F1182" s="96"/>
      <c r="G1182" s="96"/>
      <c r="H1182" s="96"/>
      <c r="I1182" s="96"/>
      <c r="J1182" s="96"/>
    </row>
    <row r="1183" spans="1:10" ht="14.25" customHeight="1">
      <c r="A1183" s="101" t="s">
        <v>49</v>
      </c>
      <c r="B1183" s="101"/>
      <c r="C1183" s="101"/>
      <c r="D1183" s="101"/>
      <c r="E1183" s="101"/>
      <c r="F1183" s="101"/>
      <c r="G1183" s="101"/>
      <c r="H1183" s="101"/>
      <c r="I1183" s="101"/>
      <c r="J1183" s="101"/>
    </row>
    <row r="1184" spans="1:10" ht="14.25" customHeight="1"/>
  </sheetData>
  <mergeCells count="2256">
    <mergeCell ref="A1154:B1154"/>
    <mergeCell ref="E1154:F1154"/>
    <mergeCell ref="G1154:H1154"/>
    <mergeCell ref="I1154:J1154"/>
    <mergeCell ref="A1155:B1155"/>
    <mergeCell ref="E1155:F1155"/>
    <mergeCell ref="G1155:H1155"/>
    <mergeCell ref="I1155:J1155"/>
    <mergeCell ref="A1152:J1152"/>
    <mergeCell ref="A1147:C1147"/>
    <mergeCell ref="F1147:G1147"/>
    <mergeCell ref="H1147:I1147"/>
    <mergeCell ref="A1149:C1149"/>
    <mergeCell ref="F1149:G1149"/>
    <mergeCell ref="H1149:I1149"/>
    <mergeCell ref="A1148:J1148"/>
    <mergeCell ref="A1150:C1150"/>
    <mergeCell ref="F1150:G1150"/>
    <mergeCell ref="H1150:I1150"/>
    <mergeCell ref="A1151:C1151"/>
    <mergeCell ref="F1151:G1151"/>
    <mergeCell ref="H1151:I1151"/>
    <mergeCell ref="A1153:B1153"/>
    <mergeCell ref="E1153:F1153"/>
    <mergeCell ref="G1153:H1153"/>
    <mergeCell ref="I1153:J1153"/>
    <mergeCell ref="A1141:C1141"/>
    <mergeCell ref="F1141:G1141"/>
    <mergeCell ref="H1141:I1141"/>
    <mergeCell ref="A1142:C1142"/>
    <mergeCell ref="F1142:G1142"/>
    <mergeCell ref="H1142:I1142"/>
    <mergeCell ref="A1143:C1143"/>
    <mergeCell ref="F1143:G1143"/>
    <mergeCell ref="H1143:I1143"/>
    <mergeCell ref="A1144:C1144"/>
    <mergeCell ref="F1144:G1144"/>
    <mergeCell ref="H1144:I1144"/>
    <mergeCell ref="A1145:C1145"/>
    <mergeCell ref="F1145:G1145"/>
    <mergeCell ref="H1145:I1145"/>
    <mergeCell ref="A1146:C1146"/>
    <mergeCell ref="F1146:G1146"/>
    <mergeCell ref="H1146:I1146"/>
    <mergeCell ref="H1130:I1130"/>
    <mergeCell ref="A1131:C1131"/>
    <mergeCell ref="F1131:G1131"/>
    <mergeCell ref="H1131:I1131"/>
    <mergeCell ref="H1136:I1136"/>
    <mergeCell ref="A1137:C1137"/>
    <mergeCell ref="F1137:G1137"/>
    <mergeCell ref="H1137:I1137"/>
    <mergeCell ref="A1138:C1138"/>
    <mergeCell ref="F1138:G1138"/>
    <mergeCell ref="H1138:I1138"/>
    <mergeCell ref="A1139:C1139"/>
    <mergeCell ref="F1139:G1139"/>
    <mergeCell ref="H1139:I1139"/>
    <mergeCell ref="A1140:C1140"/>
    <mergeCell ref="F1140:G1140"/>
    <mergeCell ref="H1140:I1140"/>
    <mergeCell ref="A1077:C1077"/>
    <mergeCell ref="F1077:G1077"/>
    <mergeCell ref="H1077:I1077"/>
    <mergeCell ref="A1079:B1079"/>
    <mergeCell ref="E1079:F1079"/>
    <mergeCell ref="G1079:H1079"/>
    <mergeCell ref="I1079:J1079"/>
    <mergeCell ref="A1080:B1080"/>
    <mergeCell ref="E1080:F1080"/>
    <mergeCell ref="G1080:H1080"/>
    <mergeCell ref="I1080:J1080"/>
    <mergeCell ref="A1081:B1081"/>
    <mergeCell ref="E1081:F1081"/>
    <mergeCell ref="G1081:H1081"/>
    <mergeCell ref="I1081:J1081"/>
    <mergeCell ref="A1082:J1083"/>
    <mergeCell ref="A1084:J1090"/>
    <mergeCell ref="A1078:J1078"/>
    <mergeCell ref="A1070:C1070"/>
    <mergeCell ref="F1070:G1070"/>
    <mergeCell ref="H1070:I1070"/>
    <mergeCell ref="A1071:C1071"/>
    <mergeCell ref="F1071:G1071"/>
    <mergeCell ref="H1071:I1071"/>
    <mergeCell ref="A1072:C1072"/>
    <mergeCell ref="F1072:G1072"/>
    <mergeCell ref="H1072:I1072"/>
    <mergeCell ref="A1073:C1073"/>
    <mergeCell ref="F1073:G1073"/>
    <mergeCell ref="H1073:I1073"/>
    <mergeCell ref="A1075:C1075"/>
    <mergeCell ref="F1075:G1075"/>
    <mergeCell ref="H1075:I1075"/>
    <mergeCell ref="A1076:C1076"/>
    <mergeCell ref="F1076:G1076"/>
    <mergeCell ref="H1076:I1076"/>
    <mergeCell ref="A1074:J1074"/>
    <mergeCell ref="A1064:C1064"/>
    <mergeCell ref="F1064:G1064"/>
    <mergeCell ref="H1064:I1064"/>
    <mergeCell ref="A1065:C1065"/>
    <mergeCell ref="F1065:G1065"/>
    <mergeCell ref="H1065:I1065"/>
    <mergeCell ref="A1066:C1066"/>
    <mergeCell ref="F1066:G1066"/>
    <mergeCell ref="H1066:I1066"/>
    <mergeCell ref="A1067:C1067"/>
    <mergeCell ref="F1067:G1067"/>
    <mergeCell ref="H1067:I1067"/>
    <mergeCell ref="A1068:C1068"/>
    <mergeCell ref="F1068:G1068"/>
    <mergeCell ref="H1068:I1068"/>
    <mergeCell ref="A1069:C1069"/>
    <mergeCell ref="F1069:G1069"/>
    <mergeCell ref="H1069:I1069"/>
    <mergeCell ref="A1058:C1058"/>
    <mergeCell ref="F1058:G1058"/>
    <mergeCell ref="H1058:I1058"/>
    <mergeCell ref="A1059:C1059"/>
    <mergeCell ref="F1059:G1059"/>
    <mergeCell ref="H1059:I1059"/>
    <mergeCell ref="A1060:C1060"/>
    <mergeCell ref="F1060:G1060"/>
    <mergeCell ref="H1060:I1060"/>
    <mergeCell ref="A1061:C1061"/>
    <mergeCell ref="F1061:G1061"/>
    <mergeCell ref="H1061:I1061"/>
    <mergeCell ref="A1062:C1062"/>
    <mergeCell ref="F1062:G1062"/>
    <mergeCell ref="H1062:I1062"/>
    <mergeCell ref="A1063:C1063"/>
    <mergeCell ref="F1063:G1063"/>
    <mergeCell ref="H1063:I1063"/>
    <mergeCell ref="A1000:J1000"/>
    <mergeCell ref="A1001:C1001"/>
    <mergeCell ref="F1001:G1001"/>
    <mergeCell ref="H1001:I1001"/>
    <mergeCell ref="I1006:J1006"/>
    <mergeCell ref="A1007:B1007"/>
    <mergeCell ref="E1007:F1007"/>
    <mergeCell ref="G1007:H1007"/>
    <mergeCell ref="I1007:J1007"/>
    <mergeCell ref="A1008:J1009"/>
    <mergeCell ref="A1010:J1016"/>
    <mergeCell ref="A1017:J1018"/>
    <mergeCell ref="A1019:J1020"/>
    <mergeCell ref="A1021:J1022"/>
    <mergeCell ref="A1023:J1024"/>
    <mergeCell ref="A1025:J1025"/>
    <mergeCell ref="A1026:J1026"/>
    <mergeCell ref="A994:C994"/>
    <mergeCell ref="F994:G994"/>
    <mergeCell ref="H994:I994"/>
    <mergeCell ref="A995:C995"/>
    <mergeCell ref="F995:G995"/>
    <mergeCell ref="H995:I995"/>
    <mergeCell ref="A996:C996"/>
    <mergeCell ref="F996:G996"/>
    <mergeCell ref="H996:I996"/>
    <mergeCell ref="A997:C997"/>
    <mergeCell ref="F997:G997"/>
    <mergeCell ref="H997:I997"/>
    <mergeCell ref="A998:C998"/>
    <mergeCell ref="F998:G998"/>
    <mergeCell ref="H998:I998"/>
    <mergeCell ref="A999:C999"/>
    <mergeCell ref="F999:G999"/>
    <mergeCell ref="H999:I999"/>
    <mergeCell ref="A988:C988"/>
    <mergeCell ref="F988:G988"/>
    <mergeCell ref="H988:I988"/>
    <mergeCell ref="A989:C989"/>
    <mergeCell ref="F989:G989"/>
    <mergeCell ref="H989:I989"/>
    <mergeCell ref="A990:C990"/>
    <mergeCell ref="F990:G990"/>
    <mergeCell ref="H990:I990"/>
    <mergeCell ref="A991:C991"/>
    <mergeCell ref="F991:G991"/>
    <mergeCell ref="H991:I991"/>
    <mergeCell ref="A992:C992"/>
    <mergeCell ref="F992:G992"/>
    <mergeCell ref="H992:I992"/>
    <mergeCell ref="A993:C993"/>
    <mergeCell ref="F993:G993"/>
    <mergeCell ref="H993:I993"/>
    <mergeCell ref="A956:J956"/>
    <mergeCell ref="A957:J957"/>
    <mergeCell ref="A959:J959"/>
    <mergeCell ref="A960:J960"/>
    <mergeCell ref="F983:G983"/>
    <mergeCell ref="H983:I983"/>
    <mergeCell ref="A984:C984"/>
    <mergeCell ref="F984:G984"/>
    <mergeCell ref="H984:I984"/>
    <mergeCell ref="A985:C985"/>
    <mergeCell ref="F985:G985"/>
    <mergeCell ref="H985:I985"/>
    <mergeCell ref="A986:C986"/>
    <mergeCell ref="F986:G986"/>
    <mergeCell ref="H986:I986"/>
    <mergeCell ref="A987:C987"/>
    <mergeCell ref="F987:G987"/>
    <mergeCell ref="H987:I987"/>
    <mergeCell ref="A932:B932"/>
    <mergeCell ref="E932:F932"/>
    <mergeCell ref="G932:H932"/>
    <mergeCell ref="I932:J932"/>
    <mergeCell ref="A933:B933"/>
    <mergeCell ref="E933:F933"/>
    <mergeCell ref="G933:H933"/>
    <mergeCell ref="I933:J933"/>
    <mergeCell ref="A934:J935"/>
    <mergeCell ref="A936:J942"/>
    <mergeCell ref="A943:J944"/>
    <mergeCell ref="A945:J946"/>
    <mergeCell ref="A947:J948"/>
    <mergeCell ref="A949:J950"/>
    <mergeCell ref="A953:J953"/>
    <mergeCell ref="A954:J954"/>
    <mergeCell ref="A955:J955"/>
    <mergeCell ref="A925:C925"/>
    <mergeCell ref="F925:G925"/>
    <mergeCell ref="H925:I925"/>
    <mergeCell ref="A926:J926"/>
    <mergeCell ref="A927:C927"/>
    <mergeCell ref="F927:G927"/>
    <mergeCell ref="H927:I927"/>
    <mergeCell ref="A928:C928"/>
    <mergeCell ref="F928:G928"/>
    <mergeCell ref="H928:I928"/>
    <mergeCell ref="A929:C929"/>
    <mergeCell ref="F929:G929"/>
    <mergeCell ref="H929:I929"/>
    <mergeCell ref="A931:B931"/>
    <mergeCell ref="E931:F931"/>
    <mergeCell ref="G931:H931"/>
    <mergeCell ref="I931:J931"/>
    <mergeCell ref="A911:C911"/>
    <mergeCell ref="F911:G911"/>
    <mergeCell ref="H911:I911"/>
    <mergeCell ref="A912:C912"/>
    <mergeCell ref="F912:G912"/>
    <mergeCell ref="H912:I912"/>
    <mergeCell ref="A913:C913"/>
    <mergeCell ref="F913:G913"/>
    <mergeCell ref="H913:I913"/>
    <mergeCell ref="A914:C914"/>
    <mergeCell ref="F914:G914"/>
    <mergeCell ref="H914:I914"/>
    <mergeCell ref="A915:C915"/>
    <mergeCell ref="F915:G915"/>
    <mergeCell ref="H915:I915"/>
    <mergeCell ref="H920:I920"/>
    <mergeCell ref="A921:C921"/>
    <mergeCell ref="F921:G921"/>
    <mergeCell ref="H921:I921"/>
    <mergeCell ref="A856:J856"/>
    <mergeCell ref="A857:B857"/>
    <mergeCell ref="E857:F857"/>
    <mergeCell ref="G857:H857"/>
    <mergeCell ref="I857:J857"/>
    <mergeCell ref="A858:B858"/>
    <mergeCell ref="E858:F858"/>
    <mergeCell ref="G858:H858"/>
    <mergeCell ref="I858:J858"/>
    <mergeCell ref="A859:B859"/>
    <mergeCell ref="E859:F859"/>
    <mergeCell ref="G859:H859"/>
    <mergeCell ref="I859:J859"/>
    <mergeCell ref="A860:J861"/>
    <mergeCell ref="A910:C910"/>
    <mergeCell ref="F910:G910"/>
    <mergeCell ref="H910:I910"/>
    <mergeCell ref="A849:C849"/>
    <mergeCell ref="F849:G849"/>
    <mergeCell ref="H849:I849"/>
    <mergeCell ref="A850:C850"/>
    <mergeCell ref="F850:G850"/>
    <mergeCell ref="H850:I850"/>
    <mergeCell ref="A851:C851"/>
    <mergeCell ref="F851:G851"/>
    <mergeCell ref="H851:I851"/>
    <mergeCell ref="A852:J852"/>
    <mergeCell ref="A853:C853"/>
    <mergeCell ref="F853:G853"/>
    <mergeCell ref="H853:I853"/>
    <mergeCell ref="A854:C854"/>
    <mergeCell ref="F854:G854"/>
    <mergeCell ref="H854:I854"/>
    <mergeCell ref="A855:C855"/>
    <mergeCell ref="F855:G855"/>
    <mergeCell ref="H855:I855"/>
    <mergeCell ref="A843:C843"/>
    <mergeCell ref="F843:G843"/>
    <mergeCell ref="H843:I843"/>
    <mergeCell ref="A844:C844"/>
    <mergeCell ref="F844:G844"/>
    <mergeCell ref="H844:I844"/>
    <mergeCell ref="A845:C845"/>
    <mergeCell ref="F845:G845"/>
    <mergeCell ref="H845:I845"/>
    <mergeCell ref="A846:C846"/>
    <mergeCell ref="F846:G846"/>
    <mergeCell ref="H846:I846"/>
    <mergeCell ref="A847:C847"/>
    <mergeCell ref="F847:G847"/>
    <mergeCell ref="H847:I847"/>
    <mergeCell ref="A848:C848"/>
    <mergeCell ref="F848:G848"/>
    <mergeCell ref="H848:I848"/>
    <mergeCell ref="A781:C781"/>
    <mergeCell ref="F781:G781"/>
    <mergeCell ref="H781:I781"/>
    <mergeCell ref="A782:J782"/>
    <mergeCell ref="A783:B783"/>
    <mergeCell ref="E783:F783"/>
    <mergeCell ref="G783:H783"/>
    <mergeCell ref="I783:J783"/>
    <mergeCell ref="A784:B784"/>
    <mergeCell ref="E784:F784"/>
    <mergeCell ref="G784:H784"/>
    <mergeCell ref="I784:J784"/>
    <mergeCell ref="A785:B785"/>
    <mergeCell ref="E785:F785"/>
    <mergeCell ref="G785:H785"/>
    <mergeCell ref="I785:J785"/>
    <mergeCell ref="A842:C842"/>
    <mergeCell ref="F842:G842"/>
    <mergeCell ref="H842:I842"/>
    <mergeCell ref="A774:C774"/>
    <mergeCell ref="F774:G774"/>
    <mergeCell ref="H774:I774"/>
    <mergeCell ref="A775:C775"/>
    <mergeCell ref="F775:G775"/>
    <mergeCell ref="H775:I775"/>
    <mergeCell ref="A776:C776"/>
    <mergeCell ref="F776:G776"/>
    <mergeCell ref="H776:I776"/>
    <mergeCell ref="A777:C777"/>
    <mergeCell ref="F777:G777"/>
    <mergeCell ref="H777:I777"/>
    <mergeCell ref="A778:J778"/>
    <mergeCell ref="A779:C779"/>
    <mergeCell ref="F779:G779"/>
    <mergeCell ref="H779:I779"/>
    <mergeCell ref="A780:C780"/>
    <mergeCell ref="F780:G780"/>
    <mergeCell ref="H780:I780"/>
    <mergeCell ref="A768:C768"/>
    <mergeCell ref="F768:G768"/>
    <mergeCell ref="H768:I768"/>
    <mergeCell ref="A769:C769"/>
    <mergeCell ref="F769:G769"/>
    <mergeCell ref="H769:I769"/>
    <mergeCell ref="A770:C770"/>
    <mergeCell ref="F770:G770"/>
    <mergeCell ref="H770:I770"/>
    <mergeCell ref="A771:C771"/>
    <mergeCell ref="F771:G771"/>
    <mergeCell ref="H771:I771"/>
    <mergeCell ref="A772:C772"/>
    <mergeCell ref="F772:G772"/>
    <mergeCell ref="H772:I772"/>
    <mergeCell ref="A773:C773"/>
    <mergeCell ref="F773:G773"/>
    <mergeCell ref="H773:I773"/>
    <mergeCell ref="E711:F711"/>
    <mergeCell ref="G711:H711"/>
    <mergeCell ref="I711:J711"/>
    <mergeCell ref="A712:J713"/>
    <mergeCell ref="A714:J720"/>
    <mergeCell ref="A721:J722"/>
    <mergeCell ref="A723:J724"/>
    <mergeCell ref="A725:J726"/>
    <mergeCell ref="A727:J728"/>
    <mergeCell ref="A729:J729"/>
    <mergeCell ref="A730:J730"/>
    <mergeCell ref="A731:J731"/>
    <mergeCell ref="A732:J732"/>
    <mergeCell ref="A734:J734"/>
    <mergeCell ref="A737:J737"/>
    <mergeCell ref="A738:J738"/>
    <mergeCell ref="F767:G767"/>
    <mergeCell ref="H767:I767"/>
    <mergeCell ref="A697:C697"/>
    <mergeCell ref="F697:G697"/>
    <mergeCell ref="H697:I697"/>
    <mergeCell ref="A698:C698"/>
    <mergeCell ref="F698:G698"/>
    <mergeCell ref="H698:I698"/>
    <mergeCell ref="A699:C699"/>
    <mergeCell ref="F699:G699"/>
    <mergeCell ref="H699:I699"/>
    <mergeCell ref="F705:G705"/>
    <mergeCell ref="H705:I705"/>
    <mergeCell ref="A706:C706"/>
    <mergeCell ref="F706:G706"/>
    <mergeCell ref="H706:I706"/>
    <mergeCell ref="A707:C707"/>
    <mergeCell ref="F707:G707"/>
    <mergeCell ref="H707:I707"/>
    <mergeCell ref="A637:B637"/>
    <mergeCell ref="E637:F637"/>
    <mergeCell ref="G637:H637"/>
    <mergeCell ref="I637:J637"/>
    <mergeCell ref="A638:J639"/>
    <mergeCell ref="A640:J646"/>
    <mergeCell ref="A647:J648"/>
    <mergeCell ref="A649:J650"/>
    <mergeCell ref="A651:J652"/>
    <mergeCell ref="A694:C694"/>
    <mergeCell ref="F694:G694"/>
    <mergeCell ref="H694:I694"/>
    <mergeCell ref="A695:C695"/>
    <mergeCell ref="F695:G695"/>
    <mergeCell ref="H695:I695"/>
    <mergeCell ref="A696:C696"/>
    <mergeCell ref="F696:G696"/>
    <mergeCell ref="H696:I696"/>
    <mergeCell ref="A631:C631"/>
    <mergeCell ref="F631:G631"/>
    <mergeCell ref="H631:I631"/>
    <mergeCell ref="A632:C632"/>
    <mergeCell ref="F632:G632"/>
    <mergeCell ref="H632:I632"/>
    <mergeCell ref="A633:C633"/>
    <mergeCell ref="F633:G633"/>
    <mergeCell ref="H633:I633"/>
    <mergeCell ref="A634:J634"/>
    <mergeCell ref="A635:B635"/>
    <mergeCell ref="E635:F635"/>
    <mergeCell ref="G635:H635"/>
    <mergeCell ref="I635:J635"/>
    <mergeCell ref="A636:B636"/>
    <mergeCell ref="E636:F636"/>
    <mergeCell ref="G636:H636"/>
    <mergeCell ref="I636:J636"/>
    <mergeCell ref="A620:C620"/>
    <mergeCell ref="F620:G620"/>
    <mergeCell ref="H620:I620"/>
    <mergeCell ref="A621:C621"/>
    <mergeCell ref="F621:G621"/>
    <mergeCell ref="H621:I621"/>
    <mergeCell ref="A622:C622"/>
    <mergeCell ref="F622:G622"/>
    <mergeCell ref="H622:I622"/>
    <mergeCell ref="A623:C623"/>
    <mergeCell ref="F623:G623"/>
    <mergeCell ref="H623:I623"/>
    <mergeCell ref="A619:C619"/>
    <mergeCell ref="F619:G619"/>
    <mergeCell ref="H619:I619"/>
    <mergeCell ref="A617:C617"/>
    <mergeCell ref="F617:G617"/>
    <mergeCell ref="H617:I617"/>
    <mergeCell ref="A618:C618"/>
    <mergeCell ref="F618:G618"/>
    <mergeCell ref="H618:I618"/>
    <mergeCell ref="A563:B563"/>
    <mergeCell ref="E563:F563"/>
    <mergeCell ref="G563:H563"/>
    <mergeCell ref="I563:J563"/>
    <mergeCell ref="A564:J565"/>
    <mergeCell ref="A566:J572"/>
    <mergeCell ref="A573:J574"/>
    <mergeCell ref="A575:J576"/>
    <mergeCell ref="A577:J578"/>
    <mergeCell ref="A579:J580"/>
    <mergeCell ref="A582:J582"/>
    <mergeCell ref="A583:J583"/>
    <mergeCell ref="A584:J584"/>
    <mergeCell ref="A601:J601"/>
    <mergeCell ref="A603:J603"/>
    <mergeCell ref="A616:C616"/>
    <mergeCell ref="F616:G616"/>
    <mergeCell ref="H616:I616"/>
    <mergeCell ref="A614:C614"/>
    <mergeCell ref="F614:G614"/>
    <mergeCell ref="H614:I614"/>
    <mergeCell ref="A615:C615"/>
    <mergeCell ref="F615:G615"/>
    <mergeCell ref="H615:I615"/>
    <mergeCell ref="A542:C542"/>
    <mergeCell ref="F542:G542"/>
    <mergeCell ref="H542:I542"/>
    <mergeCell ref="A543:C543"/>
    <mergeCell ref="F543:G543"/>
    <mergeCell ref="H543:I543"/>
    <mergeCell ref="A540:C540"/>
    <mergeCell ref="F540:G540"/>
    <mergeCell ref="F555:G555"/>
    <mergeCell ref="H555:I555"/>
    <mergeCell ref="A556:J556"/>
    <mergeCell ref="A557:C557"/>
    <mergeCell ref="F557:G557"/>
    <mergeCell ref="H557:I557"/>
    <mergeCell ref="A558:C558"/>
    <mergeCell ref="F558:G558"/>
    <mergeCell ref="H558:I558"/>
    <mergeCell ref="A544:C544"/>
    <mergeCell ref="F544:G544"/>
    <mergeCell ref="H544:I544"/>
    <mergeCell ref="A548:C548"/>
    <mergeCell ref="F548:G548"/>
    <mergeCell ref="H548:I548"/>
    <mergeCell ref="A549:C549"/>
    <mergeCell ref="F549:G549"/>
    <mergeCell ref="H549:I549"/>
    <mergeCell ref="A550:C550"/>
    <mergeCell ref="F550:G550"/>
    <mergeCell ref="H550:I550"/>
    <mergeCell ref="A551:C551"/>
    <mergeCell ref="F551:G551"/>
    <mergeCell ref="H551:I551"/>
    <mergeCell ref="A545:C545"/>
    <mergeCell ref="F545:G545"/>
    <mergeCell ref="H545:I545"/>
    <mergeCell ref="A546:C546"/>
    <mergeCell ref="F546:G546"/>
    <mergeCell ref="H546:I546"/>
    <mergeCell ref="A499:J500"/>
    <mergeCell ref="A501:J502"/>
    <mergeCell ref="A503:J504"/>
    <mergeCell ref="A505:J506"/>
    <mergeCell ref="A508:J508"/>
    <mergeCell ref="A510:J510"/>
    <mergeCell ref="A511:J511"/>
    <mergeCell ref="A512:J512"/>
    <mergeCell ref="A513:J513"/>
    <mergeCell ref="A514:J514"/>
    <mergeCell ref="A515:J515"/>
    <mergeCell ref="A516:J516"/>
    <mergeCell ref="A521:E521"/>
    <mergeCell ref="A519:J519"/>
    <mergeCell ref="F521:G521"/>
    <mergeCell ref="H521:I521"/>
    <mergeCell ref="H526:J526"/>
    <mergeCell ref="A478:C478"/>
    <mergeCell ref="F478:G478"/>
    <mergeCell ref="H478:I478"/>
    <mergeCell ref="A479:C479"/>
    <mergeCell ref="F479:G479"/>
    <mergeCell ref="H479:I479"/>
    <mergeCell ref="A480:C480"/>
    <mergeCell ref="F480:G480"/>
    <mergeCell ref="H480:I480"/>
    <mergeCell ref="A481:C481"/>
    <mergeCell ref="F481:G481"/>
    <mergeCell ref="H481:I481"/>
    <mergeCell ref="A482:J482"/>
    <mergeCell ref="A483:C483"/>
    <mergeCell ref="F483:G483"/>
    <mergeCell ref="H483:I483"/>
    <mergeCell ref="A484:C484"/>
    <mergeCell ref="F484:G484"/>
    <mergeCell ref="H484:I484"/>
    <mergeCell ref="A418:J424"/>
    <mergeCell ref="A425:J426"/>
    <mergeCell ref="A427:J428"/>
    <mergeCell ref="A429:J430"/>
    <mergeCell ref="A431:J432"/>
    <mergeCell ref="A436:J436"/>
    <mergeCell ref="A438:J438"/>
    <mergeCell ref="A439:J439"/>
    <mergeCell ref="A440:J440"/>
    <mergeCell ref="A441:J441"/>
    <mergeCell ref="A442:J442"/>
    <mergeCell ref="A443:J443"/>
    <mergeCell ref="A447:E447"/>
    <mergeCell ref="F447:G447"/>
    <mergeCell ref="H447:I447"/>
    <mergeCell ref="A448:B449"/>
    <mergeCell ref="C448:E449"/>
    <mergeCell ref="F448:G449"/>
    <mergeCell ref="H448:J449"/>
    <mergeCell ref="A411:C411"/>
    <mergeCell ref="F411:G411"/>
    <mergeCell ref="H411:I411"/>
    <mergeCell ref="A412:J412"/>
    <mergeCell ref="A413:B413"/>
    <mergeCell ref="E413:F413"/>
    <mergeCell ref="G413:H413"/>
    <mergeCell ref="I413:J413"/>
    <mergeCell ref="A414:B414"/>
    <mergeCell ref="E414:F414"/>
    <mergeCell ref="G414:H414"/>
    <mergeCell ref="I414:J414"/>
    <mergeCell ref="A415:B415"/>
    <mergeCell ref="E415:F415"/>
    <mergeCell ref="G415:H415"/>
    <mergeCell ref="I415:J415"/>
    <mergeCell ref="A416:J417"/>
    <mergeCell ref="A342:J343"/>
    <mergeCell ref="A344:J350"/>
    <mergeCell ref="A353:J354"/>
    <mergeCell ref="A355:J356"/>
    <mergeCell ref="A357:J358"/>
    <mergeCell ref="A364:J364"/>
    <mergeCell ref="A366:J366"/>
    <mergeCell ref="A367:J367"/>
    <mergeCell ref="A368:J368"/>
    <mergeCell ref="A369:J369"/>
    <mergeCell ref="A371:J371"/>
    <mergeCell ref="A373:E373"/>
    <mergeCell ref="F373:G373"/>
    <mergeCell ref="H373:I373"/>
    <mergeCell ref="A374:B375"/>
    <mergeCell ref="C374:E375"/>
    <mergeCell ref="F374:G375"/>
    <mergeCell ref="H374:J375"/>
    <mergeCell ref="A351:J352"/>
    <mergeCell ref="A336:C336"/>
    <mergeCell ref="F336:G336"/>
    <mergeCell ref="H336:I336"/>
    <mergeCell ref="A337:C337"/>
    <mergeCell ref="F337:G337"/>
    <mergeCell ref="H337:I337"/>
    <mergeCell ref="A338:J338"/>
    <mergeCell ref="A339:B339"/>
    <mergeCell ref="E339:F339"/>
    <mergeCell ref="G339:H339"/>
    <mergeCell ref="I339:J339"/>
    <mergeCell ref="A340:B340"/>
    <mergeCell ref="E340:F340"/>
    <mergeCell ref="G340:H340"/>
    <mergeCell ref="I340:J340"/>
    <mergeCell ref="A341:B341"/>
    <mergeCell ref="E341:F341"/>
    <mergeCell ref="G341:H341"/>
    <mergeCell ref="I341:J341"/>
    <mergeCell ref="A254:C254"/>
    <mergeCell ref="F254:G254"/>
    <mergeCell ref="H254:I254"/>
    <mergeCell ref="A255:C255"/>
    <mergeCell ref="F255:G255"/>
    <mergeCell ref="H255:I255"/>
    <mergeCell ref="A252:C252"/>
    <mergeCell ref="F252:G252"/>
    <mergeCell ref="A270:J276"/>
    <mergeCell ref="A281:J282"/>
    <mergeCell ref="A283:J284"/>
    <mergeCell ref="A292:J292"/>
    <mergeCell ref="A294:J294"/>
    <mergeCell ref="A295:J295"/>
    <mergeCell ref="A297:J297"/>
    <mergeCell ref="A299:E299"/>
    <mergeCell ref="H299:I299"/>
    <mergeCell ref="A287:J287"/>
    <mergeCell ref="A288:J288"/>
    <mergeCell ref="A289:J289"/>
    <mergeCell ref="A290:J290"/>
    <mergeCell ref="A291:J291"/>
    <mergeCell ref="A293:J293"/>
    <mergeCell ref="A285:J285"/>
    <mergeCell ref="A286:J286"/>
    <mergeCell ref="A277:J278"/>
    <mergeCell ref="A279:J280"/>
    <mergeCell ref="A256:C256"/>
    <mergeCell ref="F256:G256"/>
    <mergeCell ref="H256:I256"/>
    <mergeCell ref="A261:C261"/>
    <mergeCell ref="F261:G261"/>
    <mergeCell ref="H261:I261"/>
    <mergeCell ref="A262:C262"/>
    <mergeCell ref="F262:G262"/>
    <mergeCell ref="H262:I262"/>
    <mergeCell ref="A263:C263"/>
    <mergeCell ref="F263:G263"/>
    <mergeCell ref="H263:I263"/>
    <mergeCell ref="A257:C257"/>
    <mergeCell ref="F257:G257"/>
    <mergeCell ref="H257:I257"/>
    <mergeCell ref="A258:C258"/>
    <mergeCell ref="F258:G258"/>
    <mergeCell ref="H258:I258"/>
    <mergeCell ref="A151:E151"/>
    <mergeCell ref="F151:G151"/>
    <mergeCell ref="H151:I151"/>
    <mergeCell ref="A152:B153"/>
    <mergeCell ref="C152:E153"/>
    <mergeCell ref="F152:G153"/>
    <mergeCell ref="H152:J153"/>
    <mergeCell ref="A143:J143"/>
    <mergeCell ref="A144:J144"/>
    <mergeCell ref="A145:J145"/>
    <mergeCell ref="A146:J146"/>
    <mergeCell ref="A147:J147"/>
    <mergeCell ref="A149:J149"/>
    <mergeCell ref="F232:G232"/>
    <mergeCell ref="H232:I232"/>
    <mergeCell ref="A233:J233"/>
    <mergeCell ref="A238:C238"/>
    <mergeCell ref="F238:G238"/>
    <mergeCell ref="H238:I238"/>
    <mergeCell ref="A103:C103"/>
    <mergeCell ref="F103:G103"/>
    <mergeCell ref="H103:I103"/>
    <mergeCell ref="A104:C104"/>
    <mergeCell ref="F104:G104"/>
    <mergeCell ref="H104:I104"/>
    <mergeCell ref="A105:C105"/>
    <mergeCell ref="F105:G105"/>
    <mergeCell ref="H105:I105"/>
    <mergeCell ref="A106:C106"/>
    <mergeCell ref="F106:G106"/>
    <mergeCell ref="H106:I106"/>
    <mergeCell ref="A107:C107"/>
    <mergeCell ref="F107:G107"/>
    <mergeCell ref="H107:I107"/>
    <mergeCell ref="A108:C108"/>
    <mergeCell ref="F108:G108"/>
    <mergeCell ref="H108:I108"/>
    <mergeCell ref="A97:C97"/>
    <mergeCell ref="F97:G97"/>
    <mergeCell ref="H97:I97"/>
    <mergeCell ref="A98:C98"/>
    <mergeCell ref="F98:G98"/>
    <mergeCell ref="H98:I98"/>
    <mergeCell ref="A99:C99"/>
    <mergeCell ref="F99:G99"/>
    <mergeCell ref="H99:I99"/>
    <mergeCell ref="A100:C100"/>
    <mergeCell ref="F100:G100"/>
    <mergeCell ref="H100:I100"/>
    <mergeCell ref="A101:C101"/>
    <mergeCell ref="F101:G101"/>
    <mergeCell ref="H101:I101"/>
    <mergeCell ref="A102:C102"/>
    <mergeCell ref="F102:G102"/>
    <mergeCell ref="H102:I102"/>
    <mergeCell ref="H90:I90"/>
    <mergeCell ref="A91:C91"/>
    <mergeCell ref="F91:G91"/>
    <mergeCell ref="H91:I91"/>
    <mergeCell ref="A92:C92"/>
    <mergeCell ref="F92:G92"/>
    <mergeCell ref="H92:I92"/>
    <mergeCell ref="A93:C93"/>
    <mergeCell ref="F93:G93"/>
    <mergeCell ref="H93:I93"/>
    <mergeCell ref="A94:C94"/>
    <mergeCell ref="F94:G94"/>
    <mergeCell ref="H94:I94"/>
    <mergeCell ref="A95:C95"/>
    <mergeCell ref="F95:G95"/>
    <mergeCell ref="H95:I95"/>
    <mergeCell ref="A96:C96"/>
    <mergeCell ref="F96:G96"/>
    <mergeCell ref="H96:I96"/>
    <mergeCell ref="A1180:J1180"/>
    <mergeCell ref="A1181:J1181"/>
    <mergeCell ref="A1182:J1182"/>
    <mergeCell ref="A1183:J1183"/>
    <mergeCell ref="A1174:J1174"/>
    <mergeCell ref="A1175:J1175"/>
    <mergeCell ref="A1176:J1176"/>
    <mergeCell ref="A1177:J1177"/>
    <mergeCell ref="A1178:J1178"/>
    <mergeCell ref="A1179:J1179"/>
    <mergeCell ref="A1165:J1166"/>
    <mergeCell ref="A1167:J1168"/>
    <mergeCell ref="A1169:J1170"/>
    <mergeCell ref="A1171:J1172"/>
    <mergeCell ref="A1173:J1173"/>
    <mergeCell ref="A1156:J1157"/>
    <mergeCell ref="A1158:J1164"/>
    <mergeCell ref="A1132:C1132"/>
    <mergeCell ref="F1132:G1132"/>
    <mergeCell ref="H1132:I1132"/>
    <mergeCell ref="A1133:C1133"/>
    <mergeCell ref="F1133:G1133"/>
    <mergeCell ref="H1133:I1133"/>
    <mergeCell ref="A1134:C1134"/>
    <mergeCell ref="F1134:G1134"/>
    <mergeCell ref="H1134:I1134"/>
    <mergeCell ref="A1135:C1135"/>
    <mergeCell ref="F1135:G1135"/>
    <mergeCell ref="H1135:I1135"/>
    <mergeCell ref="A1136:C1136"/>
    <mergeCell ref="F1136:G1136"/>
    <mergeCell ref="A1123:C1123"/>
    <mergeCell ref="F1123:G1123"/>
    <mergeCell ref="H1123:I1123"/>
    <mergeCell ref="H1125:I1125"/>
    <mergeCell ref="A1126:C1126"/>
    <mergeCell ref="F1126:G1126"/>
    <mergeCell ref="H1126:I1126"/>
    <mergeCell ref="A1127:C1127"/>
    <mergeCell ref="F1127:G1127"/>
    <mergeCell ref="H1127:I1127"/>
    <mergeCell ref="A1128:C1128"/>
    <mergeCell ref="F1128:G1128"/>
    <mergeCell ref="H1128:I1128"/>
    <mergeCell ref="A1129:C1129"/>
    <mergeCell ref="F1129:G1129"/>
    <mergeCell ref="H1129:I1129"/>
    <mergeCell ref="A1130:C1130"/>
    <mergeCell ref="F1130:G1130"/>
    <mergeCell ref="A1122:C1122"/>
    <mergeCell ref="F1122:G1122"/>
    <mergeCell ref="H1122:I1122"/>
    <mergeCell ref="A1120:C1120"/>
    <mergeCell ref="F1120:G1120"/>
    <mergeCell ref="H1120:I1120"/>
    <mergeCell ref="A1121:J1121"/>
    <mergeCell ref="A1124:C1124"/>
    <mergeCell ref="F1124:G1124"/>
    <mergeCell ref="H1124:I1124"/>
    <mergeCell ref="A1125:C1125"/>
    <mergeCell ref="F1125:G1125"/>
    <mergeCell ref="F1118:G1118"/>
    <mergeCell ref="H1116:I1116"/>
    <mergeCell ref="F1117:G1117"/>
    <mergeCell ref="A1114:B1115"/>
    <mergeCell ref="C1114:E1115"/>
    <mergeCell ref="F1114:G1115"/>
    <mergeCell ref="H1114:J1115"/>
    <mergeCell ref="C1116:D1116"/>
    <mergeCell ref="A1117:B1117"/>
    <mergeCell ref="C1117:E1117"/>
    <mergeCell ref="H1117:J1117"/>
    <mergeCell ref="A1118:B1118"/>
    <mergeCell ref="C1118:E1118"/>
    <mergeCell ref="H1118:J1118"/>
    <mergeCell ref="A1119:J1119"/>
    <mergeCell ref="F1113:G1113"/>
    <mergeCell ref="H1113:I1113"/>
    <mergeCell ref="A1108:J1108"/>
    <mergeCell ref="A1109:J1109"/>
    <mergeCell ref="A1111:J1111"/>
    <mergeCell ref="A1113:E1113"/>
    <mergeCell ref="A1102:J1102"/>
    <mergeCell ref="A1101:J1101"/>
    <mergeCell ref="A1103:J1103"/>
    <mergeCell ref="A1104:J1104"/>
    <mergeCell ref="A1105:J1105"/>
    <mergeCell ref="A1106:J1106"/>
    <mergeCell ref="A1107:J1107"/>
    <mergeCell ref="A1091:J1092"/>
    <mergeCell ref="A1093:J1094"/>
    <mergeCell ref="A1095:J1096"/>
    <mergeCell ref="A1097:J1098"/>
    <mergeCell ref="A1099:J1099"/>
    <mergeCell ref="A1100:J1100"/>
    <mergeCell ref="A1054:C1054"/>
    <mergeCell ref="F1054:G1054"/>
    <mergeCell ref="H1054:I1054"/>
    <mergeCell ref="A1055:C1055"/>
    <mergeCell ref="F1055:G1055"/>
    <mergeCell ref="H1055:I1055"/>
    <mergeCell ref="A1056:C1056"/>
    <mergeCell ref="F1056:G1056"/>
    <mergeCell ref="H1056:I1056"/>
    <mergeCell ref="A1057:C1057"/>
    <mergeCell ref="F1057:G1057"/>
    <mergeCell ref="H1057:I1057"/>
    <mergeCell ref="A1051:C1051"/>
    <mergeCell ref="F1051:G1051"/>
    <mergeCell ref="H1051:I1051"/>
    <mergeCell ref="A1049:C1049"/>
    <mergeCell ref="F1049:G1049"/>
    <mergeCell ref="H1049:I1049"/>
    <mergeCell ref="A1050:C1050"/>
    <mergeCell ref="F1050:G1050"/>
    <mergeCell ref="H1050:I1050"/>
    <mergeCell ref="A1046:C1046"/>
    <mergeCell ref="F1046:G1046"/>
    <mergeCell ref="H1046:I1046"/>
    <mergeCell ref="A1047:J1047"/>
    <mergeCell ref="A1048:C1048"/>
    <mergeCell ref="F1048:G1048"/>
    <mergeCell ref="H1048:I1048"/>
    <mergeCell ref="A1052:C1052"/>
    <mergeCell ref="F1052:G1052"/>
    <mergeCell ref="H1052:I1052"/>
    <mergeCell ref="A1053:C1053"/>
    <mergeCell ref="F1053:G1053"/>
    <mergeCell ref="H1053:I1053"/>
    <mergeCell ref="F1044:G1044"/>
    <mergeCell ref="H1042:I1042"/>
    <mergeCell ref="F1043:G1043"/>
    <mergeCell ref="A1040:B1041"/>
    <mergeCell ref="C1040:E1041"/>
    <mergeCell ref="F1040:G1041"/>
    <mergeCell ref="H1040:J1041"/>
    <mergeCell ref="C1042:D1042"/>
    <mergeCell ref="A1043:B1043"/>
    <mergeCell ref="C1043:E1043"/>
    <mergeCell ref="H1043:J1043"/>
    <mergeCell ref="A1044:B1044"/>
    <mergeCell ref="C1044:E1044"/>
    <mergeCell ref="H1044:J1044"/>
    <mergeCell ref="A1045:J1045"/>
    <mergeCell ref="F1039:G1039"/>
    <mergeCell ref="H1039:I1039"/>
    <mergeCell ref="A1034:J1034"/>
    <mergeCell ref="A1035:J1035"/>
    <mergeCell ref="A1037:J1037"/>
    <mergeCell ref="A1039:E1039"/>
    <mergeCell ref="A1030:J1030"/>
    <mergeCell ref="A1032:J1032"/>
    <mergeCell ref="A1033:J1033"/>
    <mergeCell ref="A1004:J1004"/>
    <mergeCell ref="A1002:C1002"/>
    <mergeCell ref="F1002:G1002"/>
    <mergeCell ref="H1002:I1002"/>
    <mergeCell ref="A1003:C1003"/>
    <mergeCell ref="F1003:G1003"/>
    <mergeCell ref="H1003:I1003"/>
    <mergeCell ref="A1005:B1005"/>
    <mergeCell ref="E1005:F1005"/>
    <mergeCell ref="G1005:H1005"/>
    <mergeCell ref="I1005:J1005"/>
    <mergeCell ref="A1006:B1006"/>
    <mergeCell ref="E1006:F1006"/>
    <mergeCell ref="G1006:H1006"/>
    <mergeCell ref="A1027:J1027"/>
    <mergeCell ref="A1028:J1028"/>
    <mergeCell ref="A1029:J1029"/>
    <mergeCell ref="A1031:J1031"/>
    <mergeCell ref="A979:C979"/>
    <mergeCell ref="F979:G979"/>
    <mergeCell ref="H979:I979"/>
    <mergeCell ref="A980:C980"/>
    <mergeCell ref="F980:G980"/>
    <mergeCell ref="H980:I980"/>
    <mergeCell ref="A981:C981"/>
    <mergeCell ref="F981:G981"/>
    <mergeCell ref="H981:I981"/>
    <mergeCell ref="A982:C982"/>
    <mergeCell ref="F982:G982"/>
    <mergeCell ref="H982:I982"/>
    <mergeCell ref="A983:C983"/>
    <mergeCell ref="A977:C977"/>
    <mergeCell ref="F977:G977"/>
    <mergeCell ref="H977:I977"/>
    <mergeCell ref="A978:C978"/>
    <mergeCell ref="F978:G978"/>
    <mergeCell ref="H978:I978"/>
    <mergeCell ref="A974:C974"/>
    <mergeCell ref="F974:G974"/>
    <mergeCell ref="H974:I974"/>
    <mergeCell ref="A975:C975"/>
    <mergeCell ref="F975:G975"/>
    <mergeCell ref="H975:I975"/>
    <mergeCell ref="A972:C972"/>
    <mergeCell ref="F972:G972"/>
    <mergeCell ref="H972:I972"/>
    <mergeCell ref="A973:J973"/>
    <mergeCell ref="A976:C976"/>
    <mergeCell ref="F976:G976"/>
    <mergeCell ref="H976:I976"/>
    <mergeCell ref="F970:G970"/>
    <mergeCell ref="H968:I968"/>
    <mergeCell ref="F969:G969"/>
    <mergeCell ref="A966:B967"/>
    <mergeCell ref="C966:E967"/>
    <mergeCell ref="F966:G967"/>
    <mergeCell ref="H966:J967"/>
    <mergeCell ref="C968:D968"/>
    <mergeCell ref="A969:B969"/>
    <mergeCell ref="C969:E969"/>
    <mergeCell ref="H969:J969"/>
    <mergeCell ref="A970:B970"/>
    <mergeCell ref="C970:E970"/>
    <mergeCell ref="H970:J970"/>
    <mergeCell ref="A971:J971"/>
    <mergeCell ref="F965:G965"/>
    <mergeCell ref="H965:I965"/>
    <mergeCell ref="A961:J961"/>
    <mergeCell ref="A963:J963"/>
    <mergeCell ref="A965:E965"/>
    <mergeCell ref="A958:J958"/>
    <mergeCell ref="A951:J951"/>
    <mergeCell ref="A952:J952"/>
    <mergeCell ref="A930:J930"/>
    <mergeCell ref="A916:C916"/>
    <mergeCell ref="F916:G916"/>
    <mergeCell ref="H916:I916"/>
    <mergeCell ref="A917:C917"/>
    <mergeCell ref="F917:G917"/>
    <mergeCell ref="H917:I917"/>
    <mergeCell ref="A918:C918"/>
    <mergeCell ref="F918:G918"/>
    <mergeCell ref="H918:I918"/>
    <mergeCell ref="A919:C919"/>
    <mergeCell ref="F919:G919"/>
    <mergeCell ref="H919:I919"/>
    <mergeCell ref="A920:C920"/>
    <mergeCell ref="F920:G920"/>
    <mergeCell ref="A922:C922"/>
    <mergeCell ref="F922:G922"/>
    <mergeCell ref="H922:I922"/>
    <mergeCell ref="A923:C923"/>
    <mergeCell ref="F923:G923"/>
    <mergeCell ref="H923:I923"/>
    <mergeCell ref="A924:C924"/>
    <mergeCell ref="F924:G924"/>
    <mergeCell ref="H924:I924"/>
    <mergeCell ref="A907:C907"/>
    <mergeCell ref="F907:G907"/>
    <mergeCell ref="H907:I907"/>
    <mergeCell ref="A905:C905"/>
    <mergeCell ref="F905:G905"/>
    <mergeCell ref="H905:I905"/>
    <mergeCell ref="A906:C906"/>
    <mergeCell ref="F906:G906"/>
    <mergeCell ref="H906:I906"/>
    <mergeCell ref="A904:C904"/>
    <mergeCell ref="F904:G904"/>
    <mergeCell ref="H904:I904"/>
    <mergeCell ref="A908:C908"/>
    <mergeCell ref="F908:G908"/>
    <mergeCell ref="H908:I908"/>
    <mergeCell ref="A909:C909"/>
    <mergeCell ref="F909:G909"/>
    <mergeCell ref="H909:I909"/>
    <mergeCell ref="A902:C902"/>
    <mergeCell ref="F902:G902"/>
    <mergeCell ref="H902:I902"/>
    <mergeCell ref="A903:C903"/>
    <mergeCell ref="F903:G903"/>
    <mergeCell ref="H903:I903"/>
    <mergeCell ref="A900:C900"/>
    <mergeCell ref="F900:G900"/>
    <mergeCell ref="H900:I900"/>
    <mergeCell ref="A901:C901"/>
    <mergeCell ref="F901:G901"/>
    <mergeCell ref="H901:I901"/>
    <mergeCell ref="A898:C898"/>
    <mergeCell ref="F898:G898"/>
    <mergeCell ref="H898:I898"/>
    <mergeCell ref="A899:J899"/>
    <mergeCell ref="F896:G896"/>
    <mergeCell ref="H894:I894"/>
    <mergeCell ref="F895:G895"/>
    <mergeCell ref="A892:B893"/>
    <mergeCell ref="C892:E893"/>
    <mergeCell ref="F892:G893"/>
    <mergeCell ref="H892:J893"/>
    <mergeCell ref="C894:D894"/>
    <mergeCell ref="A895:B895"/>
    <mergeCell ref="C895:E895"/>
    <mergeCell ref="H895:J895"/>
    <mergeCell ref="A896:B896"/>
    <mergeCell ref="C896:E896"/>
    <mergeCell ref="H896:J896"/>
    <mergeCell ref="A897:J897"/>
    <mergeCell ref="F891:G891"/>
    <mergeCell ref="H891:I891"/>
    <mergeCell ref="A886:J886"/>
    <mergeCell ref="A885:J885"/>
    <mergeCell ref="A887:J887"/>
    <mergeCell ref="A889:J889"/>
    <mergeCell ref="A891:E891"/>
    <mergeCell ref="A879:J879"/>
    <mergeCell ref="A880:J880"/>
    <mergeCell ref="A877:J877"/>
    <mergeCell ref="A875:J876"/>
    <mergeCell ref="A878:J878"/>
    <mergeCell ref="A881:J881"/>
    <mergeCell ref="A882:J882"/>
    <mergeCell ref="A883:J883"/>
    <mergeCell ref="A884:J884"/>
    <mergeCell ref="A862:J868"/>
    <mergeCell ref="A869:J870"/>
    <mergeCell ref="A871:J872"/>
    <mergeCell ref="A873:J874"/>
    <mergeCell ref="A838:C838"/>
    <mergeCell ref="F838:G838"/>
    <mergeCell ref="H838:I838"/>
    <mergeCell ref="A839:C839"/>
    <mergeCell ref="F839:G839"/>
    <mergeCell ref="H839:I839"/>
    <mergeCell ref="A840:C840"/>
    <mergeCell ref="F840:G840"/>
    <mergeCell ref="H840:I840"/>
    <mergeCell ref="A841:C841"/>
    <mergeCell ref="F841:G841"/>
    <mergeCell ref="H841:I841"/>
    <mergeCell ref="A835:C835"/>
    <mergeCell ref="F835:G835"/>
    <mergeCell ref="H835:I835"/>
    <mergeCell ref="A833:C833"/>
    <mergeCell ref="F833:G833"/>
    <mergeCell ref="H833:I833"/>
    <mergeCell ref="A834:C834"/>
    <mergeCell ref="F834:G834"/>
    <mergeCell ref="H834:I834"/>
    <mergeCell ref="A830:C830"/>
    <mergeCell ref="F830:G830"/>
    <mergeCell ref="H830:I830"/>
    <mergeCell ref="A831:C831"/>
    <mergeCell ref="F831:G831"/>
    <mergeCell ref="H831:I831"/>
    <mergeCell ref="A832:C832"/>
    <mergeCell ref="F832:G832"/>
    <mergeCell ref="H832:I832"/>
    <mergeCell ref="A836:C836"/>
    <mergeCell ref="F836:G836"/>
    <mergeCell ref="H836:I836"/>
    <mergeCell ref="A837:C837"/>
    <mergeCell ref="F837:G837"/>
    <mergeCell ref="H837:I837"/>
    <mergeCell ref="A828:C828"/>
    <mergeCell ref="F828:G828"/>
    <mergeCell ref="H828:I828"/>
    <mergeCell ref="A829:C829"/>
    <mergeCell ref="F829:G829"/>
    <mergeCell ref="H829:I829"/>
    <mergeCell ref="A826:C826"/>
    <mergeCell ref="F826:G826"/>
    <mergeCell ref="H826:I826"/>
    <mergeCell ref="A827:C827"/>
    <mergeCell ref="F827:G827"/>
    <mergeCell ref="H827:I827"/>
    <mergeCell ref="A824:C824"/>
    <mergeCell ref="F824:G824"/>
    <mergeCell ref="H824:I824"/>
    <mergeCell ref="A825:J825"/>
    <mergeCell ref="F822:G822"/>
    <mergeCell ref="H820:I820"/>
    <mergeCell ref="F821:G821"/>
    <mergeCell ref="A818:B819"/>
    <mergeCell ref="C818:E819"/>
    <mergeCell ref="F818:G819"/>
    <mergeCell ref="H818:J819"/>
    <mergeCell ref="C820:D820"/>
    <mergeCell ref="A821:B821"/>
    <mergeCell ref="C821:E821"/>
    <mergeCell ref="H821:J821"/>
    <mergeCell ref="A822:B822"/>
    <mergeCell ref="C822:E822"/>
    <mergeCell ref="H822:J822"/>
    <mergeCell ref="A823:J823"/>
    <mergeCell ref="F817:G817"/>
    <mergeCell ref="H817:I817"/>
    <mergeCell ref="A811:J811"/>
    <mergeCell ref="A812:J812"/>
    <mergeCell ref="A813:J813"/>
    <mergeCell ref="A815:J815"/>
    <mergeCell ref="A817:E817"/>
    <mergeCell ref="A807:J807"/>
    <mergeCell ref="A808:J808"/>
    <mergeCell ref="A805:J805"/>
    <mergeCell ref="A801:J802"/>
    <mergeCell ref="A803:J803"/>
    <mergeCell ref="A804:J804"/>
    <mergeCell ref="A806:J806"/>
    <mergeCell ref="A809:J809"/>
    <mergeCell ref="A810:J810"/>
    <mergeCell ref="A786:J787"/>
    <mergeCell ref="A788:J794"/>
    <mergeCell ref="A795:J796"/>
    <mergeCell ref="A797:J798"/>
    <mergeCell ref="A799:J800"/>
    <mergeCell ref="A763:C763"/>
    <mergeCell ref="F763:G763"/>
    <mergeCell ref="H763:I763"/>
    <mergeCell ref="A764:C764"/>
    <mergeCell ref="F764:G764"/>
    <mergeCell ref="H764:I764"/>
    <mergeCell ref="A765:C765"/>
    <mergeCell ref="F765:G765"/>
    <mergeCell ref="H765:I765"/>
    <mergeCell ref="A766:C766"/>
    <mergeCell ref="F766:G766"/>
    <mergeCell ref="H766:I766"/>
    <mergeCell ref="A767:C767"/>
    <mergeCell ref="A761:C761"/>
    <mergeCell ref="F761:G761"/>
    <mergeCell ref="H761:I761"/>
    <mergeCell ref="A762:C762"/>
    <mergeCell ref="F762:G762"/>
    <mergeCell ref="H762:I762"/>
    <mergeCell ref="A758:C758"/>
    <mergeCell ref="F758:G758"/>
    <mergeCell ref="H758:I758"/>
    <mergeCell ref="A759:C759"/>
    <mergeCell ref="F759:G759"/>
    <mergeCell ref="H759:I759"/>
    <mergeCell ref="A756:C756"/>
    <mergeCell ref="F756:G756"/>
    <mergeCell ref="H756:I756"/>
    <mergeCell ref="A757:C757"/>
    <mergeCell ref="F757:G757"/>
    <mergeCell ref="H757:I757"/>
    <mergeCell ref="A760:C760"/>
    <mergeCell ref="F760:G760"/>
    <mergeCell ref="H760:I760"/>
    <mergeCell ref="A754:C754"/>
    <mergeCell ref="F754:G754"/>
    <mergeCell ref="H754:I754"/>
    <mergeCell ref="A755:C755"/>
    <mergeCell ref="F755:G755"/>
    <mergeCell ref="H755:I755"/>
    <mergeCell ref="A752:C752"/>
    <mergeCell ref="F752:G752"/>
    <mergeCell ref="H752:I752"/>
    <mergeCell ref="A753:C753"/>
    <mergeCell ref="F753:G753"/>
    <mergeCell ref="H753:I753"/>
    <mergeCell ref="A750:C750"/>
    <mergeCell ref="F750:G750"/>
    <mergeCell ref="H750:I750"/>
    <mergeCell ref="A751:J751"/>
    <mergeCell ref="F748:G748"/>
    <mergeCell ref="H746:I746"/>
    <mergeCell ref="F747:G747"/>
    <mergeCell ref="A744:B745"/>
    <mergeCell ref="C744:E745"/>
    <mergeCell ref="F744:G745"/>
    <mergeCell ref="H744:J745"/>
    <mergeCell ref="C746:D746"/>
    <mergeCell ref="A747:B747"/>
    <mergeCell ref="C747:E747"/>
    <mergeCell ref="H747:J747"/>
    <mergeCell ref="A748:B748"/>
    <mergeCell ref="C748:E748"/>
    <mergeCell ref="H748:J748"/>
    <mergeCell ref="A749:J749"/>
    <mergeCell ref="F743:G743"/>
    <mergeCell ref="H743:I743"/>
    <mergeCell ref="A735:J735"/>
    <mergeCell ref="A736:J736"/>
    <mergeCell ref="A739:J739"/>
    <mergeCell ref="A741:J741"/>
    <mergeCell ref="A743:E743"/>
    <mergeCell ref="A733:J733"/>
    <mergeCell ref="A700:C700"/>
    <mergeCell ref="F700:G700"/>
    <mergeCell ref="H700:I700"/>
    <mergeCell ref="A701:C701"/>
    <mergeCell ref="F701:G701"/>
    <mergeCell ref="H701:I701"/>
    <mergeCell ref="A702:C702"/>
    <mergeCell ref="F702:G702"/>
    <mergeCell ref="H702:I702"/>
    <mergeCell ref="A703:C703"/>
    <mergeCell ref="F703:G703"/>
    <mergeCell ref="H703:I703"/>
    <mergeCell ref="A704:J704"/>
    <mergeCell ref="A705:C705"/>
    <mergeCell ref="A708:J708"/>
    <mergeCell ref="A709:B709"/>
    <mergeCell ref="E709:F709"/>
    <mergeCell ref="G709:H709"/>
    <mergeCell ref="I709:J709"/>
    <mergeCell ref="A710:B710"/>
    <mergeCell ref="E710:F710"/>
    <mergeCell ref="G710:H710"/>
    <mergeCell ref="I710:J710"/>
    <mergeCell ref="A711:B711"/>
    <mergeCell ref="A691:C691"/>
    <mergeCell ref="F691:G691"/>
    <mergeCell ref="H691:I691"/>
    <mergeCell ref="A689:C689"/>
    <mergeCell ref="F689:G689"/>
    <mergeCell ref="H689:I689"/>
    <mergeCell ref="A690:C690"/>
    <mergeCell ref="F690:G690"/>
    <mergeCell ref="H690:I690"/>
    <mergeCell ref="A688:C688"/>
    <mergeCell ref="F688:G688"/>
    <mergeCell ref="H688:I688"/>
    <mergeCell ref="A692:C692"/>
    <mergeCell ref="F692:G692"/>
    <mergeCell ref="H692:I692"/>
    <mergeCell ref="A693:C693"/>
    <mergeCell ref="F693:G693"/>
    <mergeCell ref="H693:I693"/>
    <mergeCell ref="A686:C686"/>
    <mergeCell ref="F686:G686"/>
    <mergeCell ref="H686:I686"/>
    <mergeCell ref="A687:C687"/>
    <mergeCell ref="F687:G687"/>
    <mergeCell ref="H687:I687"/>
    <mergeCell ref="A684:C684"/>
    <mergeCell ref="F684:G684"/>
    <mergeCell ref="H684:I684"/>
    <mergeCell ref="A685:C685"/>
    <mergeCell ref="F685:G685"/>
    <mergeCell ref="H685:I685"/>
    <mergeCell ref="A682:C682"/>
    <mergeCell ref="F682:G682"/>
    <mergeCell ref="H682:I682"/>
    <mergeCell ref="A683:C683"/>
    <mergeCell ref="F683:G683"/>
    <mergeCell ref="H683:I683"/>
    <mergeCell ref="A680:C680"/>
    <mergeCell ref="F680:G680"/>
    <mergeCell ref="H680:I680"/>
    <mergeCell ref="A681:C681"/>
    <mergeCell ref="F681:G681"/>
    <mergeCell ref="H681:I681"/>
    <mergeCell ref="A678:C678"/>
    <mergeCell ref="F678:G678"/>
    <mergeCell ref="H678:I678"/>
    <mergeCell ref="A679:C679"/>
    <mergeCell ref="F679:G679"/>
    <mergeCell ref="H679:I679"/>
    <mergeCell ref="A676:C676"/>
    <mergeCell ref="F676:G676"/>
    <mergeCell ref="H676:I676"/>
    <mergeCell ref="A677:J677"/>
    <mergeCell ref="F674:G674"/>
    <mergeCell ref="H672:I672"/>
    <mergeCell ref="F673:G673"/>
    <mergeCell ref="F669:G669"/>
    <mergeCell ref="H669:I669"/>
    <mergeCell ref="A669:E669"/>
    <mergeCell ref="A670:B671"/>
    <mergeCell ref="C670:E671"/>
    <mergeCell ref="F670:G671"/>
    <mergeCell ref="H670:J671"/>
    <mergeCell ref="C672:D672"/>
    <mergeCell ref="A673:B673"/>
    <mergeCell ref="C673:E673"/>
    <mergeCell ref="H673:J673"/>
    <mergeCell ref="A674:B674"/>
    <mergeCell ref="C674:E674"/>
    <mergeCell ref="H674:J674"/>
    <mergeCell ref="A675:J675"/>
    <mergeCell ref="A663:J663"/>
    <mergeCell ref="A664:J664"/>
    <mergeCell ref="A661:J661"/>
    <mergeCell ref="A660:J660"/>
    <mergeCell ref="A662:J662"/>
    <mergeCell ref="A665:J665"/>
    <mergeCell ref="A667:J667"/>
    <mergeCell ref="A653:J654"/>
    <mergeCell ref="A655:J655"/>
    <mergeCell ref="A656:J656"/>
    <mergeCell ref="A657:J657"/>
    <mergeCell ref="A658:J658"/>
    <mergeCell ref="A659:J659"/>
    <mergeCell ref="A624:C624"/>
    <mergeCell ref="F624:G624"/>
    <mergeCell ref="H624:I624"/>
    <mergeCell ref="A625:C625"/>
    <mergeCell ref="F625:G625"/>
    <mergeCell ref="H625:I625"/>
    <mergeCell ref="A626:C626"/>
    <mergeCell ref="F626:G626"/>
    <mergeCell ref="H626:I626"/>
    <mergeCell ref="A627:C627"/>
    <mergeCell ref="F627:G627"/>
    <mergeCell ref="H627:I627"/>
    <mergeCell ref="A628:C628"/>
    <mergeCell ref="F628:G628"/>
    <mergeCell ref="H628:I628"/>
    <mergeCell ref="A629:C629"/>
    <mergeCell ref="F629:G629"/>
    <mergeCell ref="H629:I629"/>
    <mergeCell ref="A630:J630"/>
    <mergeCell ref="A612:C612"/>
    <mergeCell ref="F612:G612"/>
    <mergeCell ref="H612:I612"/>
    <mergeCell ref="A613:C613"/>
    <mergeCell ref="F613:G613"/>
    <mergeCell ref="H613:I613"/>
    <mergeCell ref="A610:C610"/>
    <mergeCell ref="F610:G610"/>
    <mergeCell ref="H610:I610"/>
    <mergeCell ref="A611:C611"/>
    <mergeCell ref="F611:G611"/>
    <mergeCell ref="H611:I611"/>
    <mergeCell ref="A608:C608"/>
    <mergeCell ref="F608:G608"/>
    <mergeCell ref="H608:I608"/>
    <mergeCell ref="A609:C609"/>
    <mergeCell ref="F609:G609"/>
    <mergeCell ref="H609:I609"/>
    <mergeCell ref="A606:C606"/>
    <mergeCell ref="F606:G606"/>
    <mergeCell ref="H606:I606"/>
    <mergeCell ref="A607:C607"/>
    <mergeCell ref="F607:G607"/>
    <mergeCell ref="H607:I607"/>
    <mergeCell ref="A604:C604"/>
    <mergeCell ref="F604:G604"/>
    <mergeCell ref="H604:I604"/>
    <mergeCell ref="A605:C605"/>
    <mergeCell ref="F605:G605"/>
    <mergeCell ref="H605:I605"/>
    <mergeCell ref="A602:C602"/>
    <mergeCell ref="F602:G602"/>
    <mergeCell ref="H602:I602"/>
    <mergeCell ref="F600:G600"/>
    <mergeCell ref="F599:G599"/>
    <mergeCell ref="F595:G595"/>
    <mergeCell ref="H595:I595"/>
    <mergeCell ref="A595:E595"/>
    <mergeCell ref="A596:B597"/>
    <mergeCell ref="C596:E597"/>
    <mergeCell ref="F596:G597"/>
    <mergeCell ref="H596:J597"/>
    <mergeCell ref="C598:D598"/>
    <mergeCell ref="H598:I598"/>
    <mergeCell ref="A599:B599"/>
    <mergeCell ref="C599:E599"/>
    <mergeCell ref="H599:J599"/>
    <mergeCell ref="A600:B600"/>
    <mergeCell ref="C600:E600"/>
    <mergeCell ref="H600:J600"/>
    <mergeCell ref="A591:J591"/>
    <mergeCell ref="A589:J589"/>
    <mergeCell ref="A586:J586"/>
    <mergeCell ref="A587:J587"/>
    <mergeCell ref="A588:J588"/>
    <mergeCell ref="A590:J590"/>
    <mergeCell ref="A593:J593"/>
    <mergeCell ref="A581:J581"/>
    <mergeCell ref="A585:J585"/>
    <mergeCell ref="A547:C547"/>
    <mergeCell ref="F547:G547"/>
    <mergeCell ref="H547:I547"/>
    <mergeCell ref="A552:C552"/>
    <mergeCell ref="F552:G552"/>
    <mergeCell ref="H552:I552"/>
    <mergeCell ref="A553:C553"/>
    <mergeCell ref="F553:G553"/>
    <mergeCell ref="H553:I553"/>
    <mergeCell ref="A554:C554"/>
    <mergeCell ref="F554:G554"/>
    <mergeCell ref="H554:I554"/>
    <mergeCell ref="A555:C555"/>
    <mergeCell ref="A559:C559"/>
    <mergeCell ref="F559:G559"/>
    <mergeCell ref="H559:I559"/>
    <mergeCell ref="A560:J560"/>
    <mergeCell ref="A561:B561"/>
    <mergeCell ref="E561:F561"/>
    <mergeCell ref="G561:H561"/>
    <mergeCell ref="I561:J561"/>
    <mergeCell ref="A562:B562"/>
    <mergeCell ref="E562:F562"/>
    <mergeCell ref="G562:H562"/>
    <mergeCell ref="I562:J562"/>
    <mergeCell ref="H540:I540"/>
    <mergeCell ref="A541:C541"/>
    <mergeCell ref="F541:G541"/>
    <mergeCell ref="H541:I541"/>
    <mergeCell ref="A538:C538"/>
    <mergeCell ref="F538:G538"/>
    <mergeCell ref="H538:I538"/>
    <mergeCell ref="A539:C539"/>
    <mergeCell ref="F539:G539"/>
    <mergeCell ref="H539:I539"/>
    <mergeCell ref="A536:C536"/>
    <mergeCell ref="F536:G536"/>
    <mergeCell ref="H536:I536"/>
    <mergeCell ref="A537:C537"/>
    <mergeCell ref="F537:G537"/>
    <mergeCell ref="H537:I537"/>
    <mergeCell ref="A534:C534"/>
    <mergeCell ref="F534:G534"/>
    <mergeCell ref="H534:I534"/>
    <mergeCell ref="A535:C535"/>
    <mergeCell ref="F535:G535"/>
    <mergeCell ref="H535:I535"/>
    <mergeCell ref="A532:C532"/>
    <mergeCell ref="F532:G532"/>
    <mergeCell ref="H532:I532"/>
    <mergeCell ref="A533:C533"/>
    <mergeCell ref="F533:G533"/>
    <mergeCell ref="H533:I533"/>
    <mergeCell ref="A530:C530"/>
    <mergeCell ref="F530:G530"/>
    <mergeCell ref="H530:I530"/>
    <mergeCell ref="A531:C531"/>
    <mergeCell ref="F531:G531"/>
    <mergeCell ref="H531:I531"/>
    <mergeCell ref="A528:C528"/>
    <mergeCell ref="F528:G528"/>
    <mergeCell ref="H528:I528"/>
    <mergeCell ref="F525:G525"/>
    <mergeCell ref="H524:I524"/>
    <mergeCell ref="A527:J527"/>
    <mergeCell ref="A529:J529"/>
    <mergeCell ref="A522:B523"/>
    <mergeCell ref="C522:E523"/>
    <mergeCell ref="F522:G523"/>
    <mergeCell ref="H522:J523"/>
    <mergeCell ref="C524:D524"/>
    <mergeCell ref="A525:B525"/>
    <mergeCell ref="C525:E525"/>
    <mergeCell ref="H525:J525"/>
    <mergeCell ref="A526:B526"/>
    <mergeCell ref="C526:E526"/>
    <mergeCell ref="F526:G526"/>
    <mergeCell ref="A517:J517"/>
    <mergeCell ref="A507:J507"/>
    <mergeCell ref="A509:J509"/>
    <mergeCell ref="A485:C485"/>
    <mergeCell ref="F485:G485"/>
    <mergeCell ref="H485:I485"/>
    <mergeCell ref="A486:J486"/>
    <mergeCell ref="A487:B487"/>
    <mergeCell ref="E487:F487"/>
    <mergeCell ref="G487:H487"/>
    <mergeCell ref="I487:J487"/>
    <mergeCell ref="A488:B488"/>
    <mergeCell ref="E488:F488"/>
    <mergeCell ref="G488:H488"/>
    <mergeCell ref="I488:J488"/>
    <mergeCell ref="A489:B489"/>
    <mergeCell ref="E489:F489"/>
    <mergeCell ref="G489:H489"/>
    <mergeCell ref="I489:J489"/>
    <mergeCell ref="A490:J491"/>
    <mergeCell ref="A492:J498"/>
    <mergeCell ref="A475:C475"/>
    <mergeCell ref="F475:G475"/>
    <mergeCell ref="H475:I475"/>
    <mergeCell ref="A473:C473"/>
    <mergeCell ref="F473:G473"/>
    <mergeCell ref="H473:I473"/>
    <mergeCell ref="A474:C474"/>
    <mergeCell ref="F474:G474"/>
    <mergeCell ref="H474:I474"/>
    <mergeCell ref="A472:C472"/>
    <mergeCell ref="F472:G472"/>
    <mergeCell ref="H472:I472"/>
    <mergeCell ref="A476:C476"/>
    <mergeCell ref="F476:G476"/>
    <mergeCell ref="H476:I476"/>
    <mergeCell ref="A477:C477"/>
    <mergeCell ref="F477:G477"/>
    <mergeCell ref="H477:I477"/>
    <mergeCell ref="A470:C470"/>
    <mergeCell ref="F470:G470"/>
    <mergeCell ref="H470:I470"/>
    <mergeCell ref="A471:C471"/>
    <mergeCell ref="F471:G471"/>
    <mergeCell ref="H471:I471"/>
    <mergeCell ref="A468:C468"/>
    <mergeCell ref="F468:G468"/>
    <mergeCell ref="H468:I468"/>
    <mergeCell ref="A469:C469"/>
    <mergeCell ref="F469:G469"/>
    <mergeCell ref="H469:I469"/>
    <mergeCell ref="A466:C466"/>
    <mergeCell ref="F466:G466"/>
    <mergeCell ref="H466:I466"/>
    <mergeCell ref="A467:C467"/>
    <mergeCell ref="F467:G467"/>
    <mergeCell ref="H467:I467"/>
    <mergeCell ref="A464:C464"/>
    <mergeCell ref="F464:G464"/>
    <mergeCell ref="H464:I464"/>
    <mergeCell ref="A465:C465"/>
    <mergeCell ref="F465:G465"/>
    <mergeCell ref="H465:I465"/>
    <mergeCell ref="A462:C462"/>
    <mergeCell ref="F462:G462"/>
    <mergeCell ref="H462:I462"/>
    <mergeCell ref="A463:C463"/>
    <mergeCell ref="F463:G463"/>
    <mergeCell ref="H463:I463"/>
    <mergeCell ref="A460:C460"/>
    <mergeCell ref="F460:G460"/>
    <mergeCell ref="H460:I460"/>
    <mergeCell ref="A461:C461"/>
    <mergeCell ref="F461:G461"/>
    <mergeCell ref="H461:I461"/>
    <mergeCell ref="A458:C458"/>
    <mergeCell ref="F458:G458"/>
    <mergeCell ref="H458:I458"/>
    <mergeCell ref="A459:C459"/>
    <mergeCell ref="F459:G459"/>
    <mergeCell ref="H459:I459"/>
    <mergeCell ref="A456:C456"/>
    <mergeCell ref="F456:G456"/>
    <mergeCell ref="H456:I456"/>
    <mergeCell ref="A457:C457"/>
    <mergeCell ref="F457:G457"/>
    <mergeCell ref="H457:I457"/>
    <mergeCell ref="A453:J453"/>
    <mergeCell ref="A454:C454"/>
    <mergeCell ref="F454:G454"/>
    <mergeCell ref="H454:I454"/>
    <mergeCell ref="A455:J455"/>
    <mergeCell ref="H399:I399"/>
    <mergeCell ref="A400:C400"/>
    <mergeCell ref="F400:G400"/>
    <mergeCell ref="H400:I400"/>
    <mergeCell ref="F451:G451"/>
    <mergeCell ref="F452:G452"/>
    <mergeCell ref="H450:I450"/>
    <mergeCell ref="A445:J445"/>
    <mergeCell ref="C450:D450"/>
    <mergeCell ref="A451:B451"/>
    <mergeCell ref="C451:E451"/>
    <mergeCell ref="H451:J451"/>
    <mergeCell ref="A452:B452"/>
    <mergeCell ref="C452:E452"/>
    <mergeCell ref="H452:J452"/>
    <mergeCell ref="A433:J433"/>
    <mergeCell ref="A434:J434"/>
    <mergeCell ref="A435:J435"/>
    <mergeCell ref="A437:J437"/>
    <mergeCell ref="A406:C406"/>
    <mergeCell ref="F406:G406"/>
    <mergeCell ref="H406:I406"/>
    <mergeCell ref="A407:C407"/>
    <mergeCell ref="F407:G407"/>
    <mergeCell ref="H407:I407"/>
    <mergeCell ref="A408:J408"/>
    <mergeCell ref="A409:C409"/>
    <mergeCell ref="F409:G409"/>
    <mergeCell ref="H409:I409"/>
    <mergeCell ref="A410:C410"/>
    <mergeCell ref="F410:G410"/>
    <mergeCell ref="H410:I410"/>
    <mergeCell ref="A404:C404"/>
    <mergeCell ref="F404:G404"/>
    <mergeCell ref="H404:I404"/>
    <mergeCell ref="A405:C405"/>
    <mergeCell ref="F405:G405"/>
    <mergeCell ref="H405:I405"/>
    <mergeCell ref="A396:C396"/>
    <mergeCell ref="F396:G396"/>
    <mergeCell ref="H396:I396"/>
    <mergeCell ref="A397:C397"/>
    <mergeCell ref="F397:G397"/>
    <mergeCell ref="H397:I397"/>
    <mergeCell ref="A394:C394"/>
    <mergeCell ref="F394:G394"/>
    <mergeCell ref="H394:I394"/>
    <mergeCell ref="A395:C395"/>
    <mergeCell ref="F395:G395"/>
    <mergeCell ref="H395:I395"/>
    <mergeCell ref="A403:C403"/>
    <mergeCell ref="F403:G403"/>
    <mergeCell ref="H403:I403"/>
    <mergeCell ref="A401:C401"/>
    <mergeCell ref="F401:G401"/>
    <mergeCell ref="H401:I401"/>
    <mergeCell ref="A402:C402"/>
    <mergeCell ref="F402:G402"/>
    <mergeCell ref="H402:I402"/>
    <mergeCell ref="A398:C398"/>
    <mergeCell ref="F398:G398"/>
    <mergeCell ref="H398:I398"/>
    <mergeCell ref="A399:C399"/>
    <mergeCell ref="F399:G399"/>
    <mergeCell ref="A392:C392"/>
    <mergeCell ref="F392:G392"/>
    <mergeCell ref="H392:I392"/>
    <mergeCell ref="A393:C393"/>
    <mergeCell ref="F393:G393"/>
    <mergeCell ref="H393:I393"/>
    <mergeCell ref="A390:C390"/>
    <mergeCell ref="F390:G390"/>
    <mergeCell ref="H390:I390"/>
    <mergeCell ref="A391:C391"/>
    <mergeCell ref="F391:G391"/>
    <mergeCell ref="H391:I391"/>
    <mergeCell ref="A388:C388"/>
    <mergeCell ref="F388:G388"/>
    <mergeCell ref="H388:I388"/>
    <mergeCell ref="A389:C389"/>
    <mergeCell ref="F389:G389"/>
    <mergeCell ref="H389:I389"/>
    <mergeCell ref="A386:C386"/>
    <mergeCell ref="F386:G386"/>
    <mergeCell ref="H386:I386"/>
    <mergeCell ref="A387:C387"/>
    <mergeCell ref="F387:G387"/>
    <mergeCell ref="H387:I387"/>
    <mergeCell ref="A384:C384"/>
    <mergeCell ref="F384:G384"/>
    <mergeCell ref="H384:I384"/>
    <mergeCell ref="A385:C385"/>
    <mergeCell ref="F385:G385"/>
    <mergeCell ref="H385:I385"/>
    <mergeCell ref="A383:C383"/>
    <mergeCell ref="F383:G383"/>
    <mergeCell ref="H383:I383"/>
    <mergeCell ref="A380:C380"/>
    <mergeCell ref="F380:G380"/>
    <mergeCell ref="H380:I380"/>
    <mergeCell ref="A379:J379"/>
    <mergeCell ref="A381:J381"/>
    <mergeCell ref="A382:C382"/>
    <mergeCell ref="F382:G382"/>
    <mergeCell ref="H382:I382"/>
    <mergeCell ref="F377:G377"/>
    <mergeCell ref="F378:G378"/>
    <mergeCell ref="C376:D376"/>
    <mergeCell ref="H376:I376"/>
    <mergeCell ref="A377:B377"/>
    <mergeCell ref="C377:E377"/>
    <mergeCell ref="H377:J377"/>
    <mergeCell ref="A378:B378"/>
    <mergeCell ref="C378:E378"/>
    <mergeCell ref="H378:J378"/>
    <mergeCell ref="A359:J359"/>
    <mergeCell ref="A360:J360"/>
    <mergeCell ref="A361:J361"/>
    <mergeCell ref="A362:J362"/>
    <mergeCell ref="A363:J363"/>
    <mergeCell ref="A365:J365"/>
    <mergeCell ref="A331:C331"/>
    <mergeCell ref="F331:G331"/>
    <mergeCell ref="H331:I331"/>
    <mergeCell ref="A332:C332"/>
    <mergeCell ref="F332:G332"/>
    <mergeCell ref="H332:I332"/>
    <mergeCell ref="A333:C333"/>
    <mergeCell ref="F333:G333"/>
    <mergeCell ref="H333:I333"/>
    <mergeCell ref="A334:J334"/>
    <mergeCell ref="A335:C335"/>
    <mergeCell ref="F335:G335"/>
    <mergeCell ref="H335:I335"/>
    <mergeCell ref="A329:C329"/>
    <mergeCell ref="F329:G329"/>
    <mergeCell ref="H329:I329"/>
    <mergeCell ref="A330:C330"/>
    <mergeCell ref="F330:G330"/>
    <mergeCell ref="H330:I330"/>
    <mergeCell ref="A326:C326"/>
    <mergeCell ref="F326:G326"/>
    <mergeCell ref="H326:I326"/>
    <mergeCell ref="A327:C327"/>
    <mergeCell ref="F327:G327"/>
    <mergeCell ref="H327:I327"/>
    <mergeCell ref="A324:C324"/>
    <mergeCell ref="F324:G324"/>
    <mergeCell ref="H324:I324"/>
    <mergeCell ref="A325:C325"/>
    <mergeCell ref="F325:G325"/>
    <mergeCell ref="H325:I325"/>
    <mergeCell ref="A328:C328"/>
    <mergeCell ref="F328:G328"/>
    <mergeCell ref="H328:I328"/>
    <mergeCell ref="A322:C322"/>
    <mergeCell ref="F322:G322"/>
    <mergeCell ref="H322:I322"/>
    <mergeCell ref="A323:C323"/>
    <mergeCell ref="F323:G323"/>
    <mergeCell ref="H323:I323"/>
    <mergeCell ref="A320:C320"/>
    <mergeCell ref="F320:G320"/>
    <mergeCell ref="H320:I320"/>
    <mergeCell ref="A321:C321"/>
    <mergeCell ref="F321:G321"/>
    <mergeCell ref="H321:I321"/>
    <mergeCell ref="A318:C318"/>
    <mergeCell ref="F318:G318"/>
    <mergeCell ref="H318:I318"/>
    <mergeCell ref="A319:C319"/>
    <mergeCell ref="F319:G319"/>
    <mergeCell ref="H319:I319"/>
    <mergeCell ref="A316:C316"/>
    <mergeCell ref="F316:G316"/>
    <mergeCell ref="H316:I316"/>
    <mergeCell ref="A317:C317"/>
    <mergeCell ref="F317:G317"/>
    <mergeCell ref="H317:I317"/>
    <mergeCell ref="A314:C314"/>
    <mergeCell ref="F314:G314"/>
    <mergeCell ref="H314:I314"/>
    <mergeCell ref="A315:C315"/>
    <mergeCell ref="F315:G315"/>
    <mergeCell ref="H315:I315"/>
    <mergeCell ref="A312:C312"/>
    <mergeCell ref="F312:G312"/>
    <mergeCell ref="H312:I312"/>
    <mergeCell ref="A313:C313"/>
    <mergeCell ref="F313:G313"/>
    <mergeCell ref="H313:I313"/>
    <mergeCell ref="A309:C309"/>
    <mergeCell ref="F309:G309"/>
    <mergeCell ref="H309:I309"/>
    <mergeCell ref="A311:C311"/>
    <mergeCell ref="F311:G311"/>
    <mergeCell ref="H311:I311"/>
    <mergeCell ref="A308:C308"/>
    <mergeCell ref="F308:G308"/>
    <mergeCell ref="H308:I308"/>
    <mergeCell ref="A306:C306"/>
    <mergeCell ref="F306:G306"/>
    <mergeCell ref="H306:I306"/>
    <mergeCell ref="A304:B304"/>
    <mergeCell ref="C304:E304"/>
    <mergeCell ref="F304:G304"/>
    <mergeCell ref="H304:J304"/>
    <mergeCell ref="A305:J305"/>
    <mergeCell ref="A307:J307"/>
    <mergeCell ref="A310:C310"/>
    <mergeCell ref="F310:G310"/>
    <mergeCell ref="H310:I310"/>
    <mergeCell ref="H302:I302"/>
    <mergeCell ref="F299:G299"/>
    <mergeCell ref="A300:B301"/>
    <mergeCell ref="C300:E301"/>
    <mergeCell ref="F300:G301"/>
    <mergeCell ref="H300:J301"/>
    <mergeCell ref="C302:D302"/>
    <mergeCell ref="A303:B303"/>
    <mergeCell ref="C303:E303"/>
    <mergeCell ref="F303:G303"/>
    <mergeCell ref="H303:J303"/>
    <mergeCell ref="A264:J264"/>
    <mergeCell ref="A265:B265"/>
    <mergeCell ref="E265:F265"/>
    <mergeCell ref="G265:H265"/>
    <mergeCell ref="I265:J265"/>
    <mergeCell ref="A266:B266"/>
    <mergeCell ref="E266:F266"/>
    <mergeCell ref="G266:H266"/>
    <mergeCell ref="I266:J266"/>
    <mergeCell ref="A267:B267"/>
    <mergeCell ref="E267:F267"/>
    <mergeCell ref="G267:H267"/>
    <mergeCell ref="I267:J267"/>
    <mergeCell ref="A268:J269"/>
    <mergeCell ref="A259:C259"/>
    <mergeCell ref="F259:G259"/>
    <mergeCell ref="H259:I259"/>
    <mergeCell ref="A260:J260"/>
    <mergeCell ref="H252:I252"/>
    <mergeCell ref="A253:C253"/>
    <mergeCell ref="F253:G253"/>
    <mergeCell ref="H253:I253"/>
    <mergeCell ref="A250:C250"/>
    <mergeCell ref="F250:G250"/>
    <mergeCell ref="H250:I250"/>
    <mergeCell ref="A251:C251"/>
    <mergeCell ref="F251:G251"/>
    <mergeCell ref="H251:I251"/>
    <mergeCell ref="A248:C248"/>
    <mergeCell ref="F248:G248"/>
    <mergeCell ref="H248:I248"/>
    <mergeCell ref="A249:C249"/>
    <mergeCell ref="F249:G249"/>
    <mergeCell ref="H249:I249"/>
    <mergeCell ref="A246:C246"/>
    <mergeCell ref="F246:G246"/>
    <mergeCell ref="H246:I246"/>
    <mergeCell ref="A247:C247"/>
    <mergeCell ref="F247:G247"/>
    <mergeCell ref="H247:I247"/>
    <mergeCell ref="A244:C244"/>
    <mergeCell ref="F244:G244"/>
    <mergeCell ref="H244:I244"/>
    <mergeCell ref="A245:C245"/>
    <mergeCell ref="F245:G245"/>
    <mergeCell ref="H245:I245"/>
    <mergeCell ref="A242:C242"/>
    <mergeCell ref="F242:G242"/>
    <mergeCell ref="H242:I242"/>
    <mergeCell ref="A243:C243"/>
    <mergeCell ref="F243:G243"/>
    <mergeCell ref="H243:I243"/>
    <mergeCell ref="A240:C240"/>
    <mergeCell ref="F240:G240"/>
    <mergeCell ref="H240:I240"/>
    <mergeCell ref="A241:C241"/>
    <mergeCell ref="F241:G241"/>
    <mergeCell ref="H241:I241"/>
    <mergeCell ref="A237:C237"/>
    <mergeCell ref="F237:G237"/>
    <mergeCell ref="H237:I237"/>
    <mergeCell ref="A239:C239"/>
    <mergeCell ref="F239:G239"/>
    <mergeCell ref="H239:I239"/>
    <mergeCell ref="A235:C235"/>
    <mergeCell ref="F235:G235"/>
    <mergeCell ref="H235:I235"/>
    <mergeCell ref="A236:C236"/>
    <mergeCell ref="F236:G236"/>
    <mergeCell ref="H236:I236"/>
    <mergeCell ref="A231:J231"/>
    <mergeCell ref="A234:C234"/>
    <mergeCell ref="F234:G234"/>
    <mergeCell ref="H234:I234"/>
    <mergeCell ref="F230:G230"/>
    <mergeCell ref="C228:D228"/>
    <mergeCell ref="H228:I228"/>
    <mergeCell ref="A229:B229"/>
    <mergeCell ref="C229:E229"/>
    <mergeCell ref="F229:G229"/>
    <mergeCell ref="H229:J229"/>
    <mergeCell ref="A230:B230"/>
    <mergeCell ref="C230:E230"/>
    <mergeCell ref="H230:J230"/>
    <mergeCell ref="A232:C232"/>
    <mergeCell ref="A215:J215"/>
    <mergeCell ref="A216:J216"/>
    <mergeCell ref="A217:J217"/>
    <mergeCell ref="A218:J218"/>
    <mergeCell ref="A219:J219"/>
    <mergeCell ref="A221:J221"/>
    <mergeCell ref="A220:J220"/>
    <mergeCell ref="A223:J223"/>
    <mergeCell ref="A225:E225"/>
    <mergeCell ref="F225:G225"/>
    <mergeCell ref="H225:I225"/>
    <mergeCell ref="A226:B227"/>
    <mergeCell ref="C226:E227"/>
    <mergeCell ref="F226:G227"/>
    <mergeCell ref="H226:J227"/>
    <mergeCell ref="H183:I183"/>
    <mergeCell ref="A184:C184"/>
    <mergeCell ref="F184:G184"/>
    <mergeCell ref="H184:I184"/>
    <mergeCell ref="A186:J186"/>
    <mergeCell ref="A188:C188"/>
    <mergeCell ref="F188:G188"/>
    <mergeCell ref="H188:I188"/>
    <mergeCell ref="A211:J211"/>
    <mergeCell ref="A212:J212"/>
    <mergeCell ref="A213:J213"/>
    <mergeCell ref="A214:J214"/>
    <mergeCell ref="A203:J204"/>
    <mergeCell ref="A205:J206"/>
    <mergeCell ref="A207:J208"/>
    <mergeCell ref="A191:B191"/>
    <mergeCell ref="E191:F191"/>
    <mergeCell ref="G191:H191"/>
    <mergeCell ref="I191:J191"/>
    <mergeCell ref="A190:J190"/>
    <mergeCell ref="A192:B192"/>
    <mergeCell ref="E192:F192"/>
    <mergeCell ref="G192:H192"/>
    <mergeCell ref="I192:J192"/>
    <mergeCell ref="A193:B193"/>
    <mergeCell ref="E193:F193"/>
    <mergeCell ref="G193:H193"/>
    <mergeCell ref="I193:J193"/>
    <mergeCell ref="A194:J195"/>
    <mergeCell ref="A196:J202"/>
    <mergeCell ref="A209:J210"/>
    <mergeCell ref="A189:C189"/>
    <mergeCell ref="F189:G189"/>
    <mergeCell ref="H189:I189"/>
    <mergeCell ref="A180:C180"/>
    <mergeCell ref="F180:G180"/>
    <mergeCell ref="H180:I180"/>
    <mergeCell ref="A181:C181"/>
    <mergeCell ref="F181:G181"/>
    <mergeCell ref="H181:I181"/>
    <mergeCell ref="A178:C178"/>
    <mergeCell ref="F178:G178"/>
    <mergeCell ref="H178:I178"/>
    <mergeCell ref="A179:C179"/>
    <mergeCell ref="F179:G179"/>
    <mergeCell ref="H179:I179"/>
    <mergeCell ref="A176:C176"/>
    <mergeCell ref="F176:G176"/>
    <mergeCell ref="H176:I176"/>
    <mergeCell ref="A177:C177"/>
    <mergeCell ref="F177:G177"/>
    <mergeCell ref="H177:I177"/>
    <mergeCell ref="A187:C187"/>
    <mergeCell ref="F187:G187"/>
    <mergeCell ref="H187:I187"/>
    <mergeCell ref="A185:C185"/>
    <mergeCell ref="F185:G185"/>
    <mergeCell ref="H185:I185"/>
    <mergeCell ref="A182:C182"/>
    <mergeCell ref="F182:G182"/>
    <mergeCell ref="H182:I182"/>
    <mergeCell ref="A183:C183"/>
    <mergeCell ref="F183:G183"/>
    <mergeCell ref="A174:C174"/>
    <mergeCell ref="F174:G174"/>
    <mergeCell ref="H174:I174"/>
    <mergeCell ref="A175:C175"/>
    <mergeCell ref="F175:G175"/>
    <mergeCell ref="H175:I175"/>
    <mergeCell ref="A172:C172"/>
    <mergeCell ref="F172:G172"/>
    <mergeCell ref="H172:I172"/>
    <mergeCell ref="A173:C173"/>
    <mergeCell ref="F173:G173"/>
    <mergeCell ref="H173:I173"/>
    <mergeCell ref="A170:C170"/>
    <mergeCell ref="F170:G170"/>
    <mergeCell ref="H170:I170"/>
    <mergeCell ref="A171:C171"/>
    <mergeCell ref="F171:G171"/>
    <mergeCell ref="H171:I171"/>
    <mergeCell ref="A168:C168"/>
    <mergeCell ref="F168:G168"/>
    <mergeCell ref="H168:I168"/>
    <mergeCell ref="A169:C169"/>
    <mergeCell ref="F169:G169"/>
    <mergeCell ref="H169:I169"/>
    <mergeCell ref="A165:C165"/>
    <mergeCell ref="F165:G165"/>
    <mergeCell ref="H165:I165"/>
    <mergeCell ref="A167:C167"/>
    <mergeCell ref="F167:G167"/>
    <mergeCell ref="H167:I167"/>
    <mergeCell ref="A163:C163"/>
    <mergeCell ref="F163:G163"/>
    <mergeCell ref="H163:I163"/>
    <mergeCell ref="A164:C164"/>
    <mergeCell ref="F164:G164"/>
    <mergeCell ref="H164:I164"/>
    <mergeCell ref="A166:C166"/>
    <mergeCell ref="F166:G166"/>
    <mergeCell ref="H166:I166"/>
    <mergeCell ref="A161:C161"/>
    <mergeCell ref="F161:G161"/>
    <mergeCell ref="H161:I161"/>
    <mergeCell ref="A162:C162"/>
    <mergeCell ref="F162:G162"/>
    <mergeCell ref="H162:I162"/>
    <mergeCell ref="A156:B156"/>
    <mergeCell ref="C156:E156"/>
    <mergeCell ref="F156:G156"/>
    <mergeCell ref="H156:J156"/>
    <mergeCell ref="A157:J157"/>
    <mergeCell ref="A158:C158"/>
    <mergeCell ref="F158:G158"/>
    <mergeCell ref="H158:I158"/>
    <mergeCell ref="C154:D154"/>
    <mergeCell ref="H154:I154"/>
    <mergeCell ref="A155:B155"/>
    <mergeCell ref="C155:E155"/>
    <mergeCell ref="F155:G155"/>
    <mergeCell ref="H155:J155"/>
    <mergeCell ref="A160:C160"/>
    <mergeCell ref="F160:G160"/>
    <mergeCell ref="H160:I160"/>
    <mergeCell ref="A159:J159"/>
    <mergeCell ref="A137:J137"/>
    <mergeCell ref="A138:J138"/>
    <mergeCell ref="A139:J139"/>
    <mergeCell ref="A140:J140"/>
    <mergeCell ref="A141:J141"/>
    <mergeCell ref="A142:J142"/>
    <mergeCell ref="A120:J121"/>
    <mergeCell ref="A122:J128"/>
    <mergeCell ref="A129:J130"/>
    <mergeCell ref="A131:J132"/>
    <mergeCell ref="A133:J134"/>
    <mergeCell ref="A135:J136"/>
    <mergeCell ref="A118:B118"/>
    <mergeCell ref="E118:F118"/>
    <mergeCell ref="G118:H118"/>
    <mergeCell ref="I118:J118"/>
    <mergeCell ref="A119:B119"/>
    <mergeCell ref="E119:F119"/>
    <mergeCell ref="G119:H119"/>
    <mergeCell ref="I119:J119"/>
    <mergeCell ref="A115:C115"/>
    <mergeCell ref="F115:G115"/>
    <mergeCell ref="H115:I115"/>
    <mergeCell ref="A116:J116"/>
    <mergeCell ref="A117:B117"/>
    <mergeCell ref="E117:F117"/>
    <mergeCell ref="G117:H117"/>
    <mergeCell ref="I117:J117"/>
    <mergeCell ref="A112:J112"/>
    <mergeCell ref="A113:C113"/>
    <mergeCell ref="F113:G113"/>
    <mergeCell ref="H113:I113"/>
    <mergeCell ref="A114:C114"/>
    <mergeCell ref="F114:G114"/>
    <mergeCell ref="H114:I114"/>
    <mergeCell ref="A110:C110"/>
    <mergeCell ref="F110:G110"/>
    <mergeCell ref="H110:I110"/>
    <mergeCell ref="A111:C111"/>
    <mergeCell ref="F111:G111"/>
    <mergeCell ref="H111:I111"/>
    <mergeCell ref="A109:C109"/>
    <mergeCell ref="F109:G109"/>
    <mergeCell ref="H109:I109"/>
    <mergeCell ref="A82:B82"/>
    <mergeCell ref="C82:E82"/>
    <mergeCell ref="F82:G82"/>
    <mergeCell ref="H82:J82"/>
    <mergeCell ref="A83:J83"/>
    <mergeCell ref="A84:C84"/>
    <mergeCell ref="F84:G84"/>
    <mergeCell ref="H84:I84"/>
    <mergeCell ref="C80:D80"/>
    <mergeCell ref="H80:I80"/>
    <mergeCell ref="A81:B81"/>
    <mergeCell ref="C81:E81"/>
    <mergeCell ref="F81:G81"/>
    <mergeCell ref="H81:J81"/>
    <mergeCell ref="A85:J85"/>
    <mergeCell ref="A86:C86"/>
    <mergeCell ref="F86:G86"/>
    <mergeCell ref="H86:I86"/>
    <mergeCell ref="A87:C87"/>
    <mergeCell ref="F87:G87"/>
    <mergeCell ref="H87:I87"/>
    <mergeCell ref="A88:C88"/>
    <mergeCell ref="F88:G88"/>
    <mergeCell ref="H88:I88"/>
    <mergeCell ref="A89:C89"/>
    <mergeCell ref="F89:G89"/>
    <mergeCell ref="H89:I89"/>
    <mergeCell ref="A90:C90"/>
    <mergeCell ref="F90:G90"/>
    <mergeCell ref="A77:E77"/>
    <mergeCell ref="F77:G77"/>
    <mergeCell ref="H77:I77"/>
    <mergeCell ref="A78:B79"/>
    <mergeCell ref="C78:E79"/>
    <mergeCell ref="F78:G79"/>
    <mergeCell ref="H78:J79"/>
    <mergeCell ref="A69:J69"/>
    <mergeCell ref="A70:J70"/>
    <mergeCell ref="A71:J71"/>
    <mergeCell ref="A72:J72"/>
    <mergeCell ref="A73:J73"/>
    <mergeCell ref="A75:J75"/>
    <mergeCell ref="A63:J63"/>
    <mergeCell ref="A64:J64"/>
    <mergeCell ref="A65:J65"/>
    <mergeCell ref="A66:J66"/>
    <mergeCell ref="A67:J67"/>
    <mergeCell ref="A68:J68"/>
    <mergeCell ref="A46:J47"/>
    <mergeCell ref="A48:J54"/>
    <mergeCell ref="A55:J56"/>
    <mergeCell ref="A57:J58"/>
    <mergeCell ref="A59:J60"/>
    <mergeCell ref="A61:J62"/>
    <mergeCell ref="A44:B44"/>
    <mergeCell ref="E44:F44"/>
    <mergeCell ref="G44:H44"/>
    <mergeCell ref="I44:J44"/>
    <mergeCell ref="A45:B45"/>
    <mergeCell ref="E45:F45"/>
    <mergeCell ref="G45:H45"/>
    <mergeCell ref="I45:J45"/>
    <mergeCell ref="A41:C41"/>
    <mergeCell ref="F41:G41"/>
    <mergeCell ref="H41:I41"/>
    <mergeCell ref="A42:J42"/>
    <mergeCell ref="A43:B43"/>
    <mergeCell ref="E43:F43"/>
    <mergeCell ref="G43:H43"/>
    <mergeCell ref="I43:J43"/>
    <mergeCell ref="A38:J38"/>
    <mergeCell ref="A39:C39"/>
    <mergeCell ref="F39:G39"/>
    <mergeCell ref="H39:I39"/>
    <mergeCell ref="A40:C40"/>
    <mergeCell ref="F40:G40"/>
    <mergeCell ref="H40:I40"/>
    <mergeCell ref="A36:C36"/>
    <mergeCell ref="F36:G36"/>
    <mergeCell ref="H36:I36"/>
    <mergeCell ref="A37:C37"/>
    <mergeCell ref="F37:G37"/>
    <mergeCell ref="H37:I37"/>
    <mergeCell ref="A34:C34"/>
    <mergeCell ref="F34:G34"/>
    <mergeCell ref="H34:I34"/>
    <mergeCell ref="A35:C35"/>
    <mergeCell ref="F35:G35"/>
    <mergeCell ref="H35:I35"/>
    <mergeCell ref="A32:C32"/>
    <mergeCell ref="F32:G32"/>
    <mergeCell ref="H32:I32"/>
    <mergeCell ref="A33:C33"/>
    <mergeCell ref="F33:G33"/>
    <mergeCell ref="H33:I33"/>
    <mergeCell ref="A30:C30"/>
    <mergeCell ref="F30:G30"/>
    <mergeCell ref="H30:I30"/>
    <mergeCell ref="A31:C31"/>
    <mergeCell ref="F31:G31"/>
    <mergeCell ref="H31:I31"/>
    <mergeCell ref="A24:C24"/>
    <mergeCell ref="F24:G24"/>
    <mergeCell ref="H24:I24"/>
    <mergeCell ref="A25:C25"/>
    <mergeCell ref="F25:G25"/>
    <mergeCell ref="H25:I25"/>
    <mergeCell ref="A22:C22"/>
    <mergeCell ref="F22:G22"/>
    <mergeCell ref="H22:I22"/>
    <mergeCell ref="A23:C23"/>
    <mergeCell ref="F23:G23"/>
    <mergeCell ref="H23:I23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9:C29"/>
    <mergeCell ref="F29:G29"/>
    <mergeCell ref="H29:I29"/>
    <mergeCell ref="A20:C20"/>
    <mergeCell ref="F20:G20"/>
    <mergeCell ref="H20:I20"/>
    <mergeCell ref="A21:C21"/>
    <mergeCell ref="F21:G21"/>
    <mergeCell ref="H21:I21"/>
    <mergeCell ref="A18:C18"/>
    <mergeCell ref="F18:G18"/>
    <mergeCell ref="H18:I18"/>
    <mergeCell ref="A19:C19"/>
    <mergeCell ref="F19:G19"/>
    <mergeCell ref="H19:I19"/>
    <mergeCell ref="A16:C16"/>
    <mergeCell ref="F16:G16"/>
    <mergeCell ref="H16:I16"/>
    <mergeCell ref="A17:C17"/>
    <mergeCell ref="F17:G17"/>
    <mergeCell ref="H17:I17"/>
    <mergeCell ref="A15:C15"/>
    <mergeCell ref="F15:G15"/>
    <mergeCell ref="H15:I15"/>
    <mergeCell ref="A11:J11"/>
    <mergeCell ref="A12:C12"/>
    <mergeCell ref="F12:G12"/>
    <mergeCell ref="H12:I12"/>
    <mergeCell ref="A13:C13"/>
    <mergeCell ref="F13:G13"/>
    <mergeCell ref="H13:I13"/>
    <mergeCell ref="A8:B8"/>
    <mergeCell ref="C8:E8"/>
    <mergeCell ref="F8:G8"/>
    <mergeCell ref="H8:J8"/>
    <mergeCell ref="A9:J9"/>
    <mergeCell ref="A10:C10"/>
    <mergeCell ref="F10:G10"/>
    <mergeCell ref="H10:I10"/>
    <mergeCell ref="C6:D6"/>
    <mergeCell ref="H6:I6"/>
    <mergeCell ref="A7:B7"/>
    <mergeCell ref="C7:E7"/>
    <mergeCell ref="F7:G7"/>
    <mergeCell ref="H7:J7"/>
    <mergeCell ref="A1:J1"/>
    <mergeCell ref="A3:E3"/>
    <mergeCell ref="F3:G3"/>
    <mergeCell ref="H3:I3"/>
    <mergeCell ref="A4:B5"/>
    <mergeCell ref="C4:E5"/>
    <mergeCell ref="F4:G5"/>
    <mergeCell ref="H4:J5"/>
    <mergeCell ref="A14:C14"/>
    <mergeCell ref="F14:G14"/>
    <mergeCell ref="H14:I14"/>
  </mergeCells>
  <phoneticPr fontId="2" type="noConversion"/>
  <printOptions horizontalCentered="1"/>
  <pageMargins left="0.59055118110236227" right="0.59055118110236227" top="0.55118110236220474" bottom="0.59055118110236227" header="0.31496062992125984" footer="0.31496062992125984"/>
  <pageSetup paperSize="9" scale="90" orientation="portrait" horizontalDpi="360" verticalDpi="360" r:id="rId1"/>
  <headerFooter>
    <oddFooter>&amp;C&amp;P</oddFooter>
  </headerFooter>
  <rowBreaks count="31" manualBreakCount="31">
    <brk id="45" max="9" man="1"/>
    <brk id="74" max="16383" man="1"/>
    <brk id="119" max="9" man="1"/>
    <brk id="148" max="9" man="1"/>
    <brk id="193" max="9" man="1"/>
    <brk id="222" max="9" man="1"/>
    <brk id="267" max="9" man="1"/>
    <brk id="296" max="9" man="1"/>
    <brk id="341" max="9" man="1"/>
    <brk id="370" max="9" man="1"/>
    <brk id="415" max="9" man="1"/>
    <brk id="444" max="9" man="1"/>
    <brk id="489" max="9" man="1"/>
    <brk id="518" max="9" man="1"/>
    <brk id="563" max="9" man="1"/>
    <brk id="592" max="9" man="1"/>
    <brk id="637" max="9" man="1"/>
    <brk id="666" max="9" man="1"/>
    <brk id="711" max="9" man="1"/>
    <brk id="740" max="9" man="1"/>
    <brk id="785" max="9" man="1"/>
    <brk id="814" max="9" man="1"/>
    <brk id="859" max="9" man="1"/>
    <brk id="888" max="9" man="1"/>
    <brk id="933" max="9" man="1"/>
    <brk id="962" max="9" man="1"/>
    <brk id="1007" max="9" man="1"/>
    <brk id="1036" max="9" man="1"/>
    <brk id="1081" max="9" man="1"/>
    <brk id="1110" max="9" man="1"/>
    <brk id="1155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12月 </vt:lpstr>
      <vt:lpstr>'12月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KM LU</cp:lastModifiedBy>
  <cp:lastPrinted>2024-12-30T01:41:00Z</cp:lastPrinted>
  <dcterms:created xsi:type="dcterms:W3CDTF">2021-09-30T02:16:30Z</dcterms:created>
  <dcterms:modified xsi:type="dcterms:W3CDTF">2024-12-31T07:16:31Z</dcterms:modified>
</cp:coreProperties>
</file>