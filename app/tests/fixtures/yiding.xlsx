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LB22TCK\scan\公共工程\1.得標\13.雲林縣四湖鄉四湖國民小學_四湖國小活動中心場地整修工程案_01_00\1.日誌\"/>
    </mc:Choice>
  </mc:AlternateContent>
  <xr:revisionPtr revIDLastSave="0" documentId="13_ncr:1_{B1D8180F-7865-4107-B3A8-0D8FE246892D}" xr6:coauthVersionLast="47" xr6:coauthVersionMax="47" xr10:uidLastSave="{00000000-0000-0000-0000-000000000000}"/>
  <bookViews>
    <workbookView xWindow="-108" yWindow="-108" windowWidth="23256" windowHeight="12576" firstSheet="13" activeTab="19" xr2:uid="{B85E84F1-4914-4721-963C-0A004A0920F7}"/>
  </bookViews>
  <sheets>
    <sheet name="1131111 (1)" sheetId="1" r:id="rId1"/>
    <sheet name="1131112 (2)" sheetId="2" r:id="rId2"/>
    <sheet name="1131113 (3)" sheetId="3" r:id="rId3"/>
    <sheet name="1131114 (4)" sheetId="4" r:id="rId4"/>
    <sheet name="1131115 (5)" sheetId="5" r:id="rId5"/>
    <sheet name="1131116 (6)" sheetId="6" r:id="rId6"/>
    <sheet name="1131117 (7)" sheetId="7" r:id="rId7"/>
    <sheet name="1131118 (8)" sheetId="8" r:id="rId8"/>
    <sheet name="1131119 (9)" sheetId="9" r:id="rId9"/>
    <sheet name="1131120 (10)" sheetId="10" r:id="rId10"/>
    <sheet name="1131121 (11)" sheetId="11" r:id="rId11"/>
    <sheet name="1131122 (12)" sheetId="12" r:id="rId12"/>
    <sheet name="1131123 (13)" sheetId="13" r:id="rId13"/>
    <sheet name="1131124 (14)" sheetId="14" r:id="rId14"/>
    <sheet name="1131125 (15)" sheetId="15" r:id="rId15"/>
    <sheet name="1131126 (16)" sheetId="16" r:id="rId16"/>
    <sheet name="1131127 (17)" sheetId="17" r:id="rId17"/>
    <sheet name="1131128 (18)" sheetId="18" r:id="rId18"/>
    <sheet name="1131129 (19)" sheetId="19" r:id="rId19"/>
    <sheet name="1131130 (20)" sheetId="20" r:id="rId20"/>
  </sheets>
  <externalReferences>
    <externalReference r:id="rId21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7" i="2" l="1"/>
  <c r="I17" i="20"/>
  <c r="I25" i="20" s="1"/>
  <c r="D7" i="20"/>
  <c r="K7" i="20"/>
  <c r="G25" i="20"/>
  <c r="G24" i="20"/>
  <c r="I16" i="20"/>
  <c r="I24" i="20" s="1"/>
  <c r="I5" i="20"/>
  <c r="B2" i="20"/>
  <c r="K7" i="18"/>
  <c r="K7" i="19"/>
  <c r="I17" i="19"/>
  <c r="I25" i="19" s="1"/>
  <c r="D7" i="19"/>
  <c r="G25" i="19"/>
  <c r="G24" i="19"/>
  <c r="I16" i="19"/>
  <c r="I24" i="19" s="1"/>
  <c r="I5" i="19"/>
  <c r="B2" i="19"/>
  <c r="G25" i="18"/>
  <c r="D7" i="18"/>
  <c r="I25" i="18"/>
  <c r="G24" i="18"/>
  <c r="I16" i="18"/>
  <c r="I24" i="18" s="1"/>
  <c r="I5" i="18"/>
  <c r="B2" i="18"/>
  <c r="D7" i="17"/>
  <c r="K7" i="17"/>
  <c r="I25" i="17"/>
  <c r="G25" i="17"/>
  <c r="G17" i="17"/>
  <c r="I16" i="17"/>
  <c r="I24" i="17" s="1"/>
  <c r="G24" i="17"/>
  <c r="I5" i="17"/>
  <c r="B2" i="17"/>
  <c r="D7" i="16"/>
  <c r="K7" i="16"/>
  <c r="I16" i="16"/>
  <c r="I24" i="16" s="1"/>
  <c r="G16" i="16"/>
  <c r="G24" i="16"/>
  <c r="I5" i="16"/>
  <c r="B2" i="16"/>
  <c r="K7" i="15"/>
  <c r="G24" i="15"/>
  <c r="I24" i="15"/>
  <c r="I5" i="15"/>
  <c r="B2" i="15"/>
  <c r="D7" i="14"/>
  <c r="K7" i="14"/>
  <c r="I5" i="14"/>
  <c r="B2" i="14"/>
  <c r="D7" i="13"/>
  <c r="K7" i="13"/>
  <c r="I5" i="13"/>
  <c r="B2" i="13"/>
  <c r="D7" i="12"/>
  <c r="K7" i="12"/>
  <c r="I5" i="12"/>
  <c r="B2" i="12"/>
  <c r="D7" i="11"/>
  <c r="K7" i="11"/>
  <c r="I5" i="11"/>
  <c r="B2" i="11"/>
  <c r="K7" i="10"/>
  <c r="I5" i="10"/>
  <c r="B2" i="10"/>
  <c r="D7" i="9"/>
  <c r="K7" i="9"/>
  <c r="I5" i="9"/>
  <c r="B2" i="9"/>
  <c r="K7" i="8"/>
  <c r="D7" i="8"/>
  <c r="I5" i="8"/>
  <c r="B2" i="8"/>
  <c r="K7" i="7"/>
  <c r="D7" i="7"/>
  <c r="I5" i="7"/>
  <c r="B2" i="7"/>
  <c r="K7" i="6"/>
  <c r="D7" i="6"/>
  <c r="I5" i="6"/>
  <c r="B2" i="6"/>
  <c r="K7" i="5"/>
  <c r="D7" i="3"/>
  <c r="I5" i="5"/>
  <c r="B2" i="5"/>
  <c r="D7" i="4"/>
  <c r="I5" i="4"/>
  <c r="B2" i="4"/>
  <c r="I5" i="3"/>
  <c r="B2" i="3"/>
  <c r="I5" i="2"/>
  <c r="B2" i="2"/>
  <c r="D7" i="1" l="1"/>
  <c r="I5" i="1"/>
  <c r="B2" i="1"/>
</calcChain>
</file>

<file path=xl/sharedStrings.xml><?xml version="1.0" encoding="utf-8"?>
<sst xmlns="http://schemas.openxmlformats.org/spreadsheetml/2006/main" count="2060" uniqueCount="97">
  <si>
    <t>公共工程施工日誌</t>
  </si>
  <si>
    <t>表報編號：</t>
  </si>
  <si>
    <t xml:space="preserve">本日天氣：            </t>
  </si>
  <si>
    <t xml:space="preserve">上午：               </t>
  </si>
  <si>
    <t>晴</t>
    <phoneticPr fontId="6" type="noConversion"/>
  </si>
  <si>
    <t xml:space="preserve">下午：     </t>
  </si>
  <si>
    <t xml:space="preserve"> </t>
    <phoneticPr fontId="6" type="noConversion"/>
  </si>
  <si>
    <t>填表日期：</t>
  </si>
  <si>
    <t xml:space="preserve">工程名稱： </t>
  </si>
  <si>
    <t>四湖國小活動中心場地整修工程</t>
    <phoneticPr fontId="6" type="noConversion"/>
  </si>
  <si>
    <t>承攬廠商名稱</t>
  </si>
  <si>
    <t>義鼎營造有限公司</t>
  </si>
  <si>
    <t>核定工期</t>
  </si>
  <si>
    <t>天</t>
  </si>
  <si>
    <t>累計工期</t>
  </si>
  <si>
    <t>剩餘工期</t>
  </si>
  <si>
    <t>工期展延天數</t>
  </si>
  <si>
    <t>天</t>
    <phoneticPr fontId="3" type="noConversion"/>
  </si>
  <si>
    <t>開工日期</t>
  </si>
  <si>
    <t>完工日期</t>
    <phoneticPr fontId="3" type="noConversion"/>
  </si>
  <si>
    <t>預定進度(%)</t>
  </si>
  <si>
    <t>實際進度(%)</t>
  </si>
  <si>
    <t>一、依施工計畫書執行按圖施工概況(含約定之重要施工項目及完成數量等)：</t>
  </si>
  <si>
    <t>備料中</t>
    <phoneticPr fontId="3" type="noConversion"/>
  </si>
  <si>
    <t>契約項目</t>
  </si>
  <si>
    <t>單位</t>
  </si>
  <si>
    <t>數量</t>
  </si>
  <si>
    <t>本日完成數量</t>
  </si>
  <si>
    <t>累計完成數量</t>
  </si>
  <si>
    <t>工程告示牌與職安告示牌(租用)</t>
    <phoneticPr fontId="12" type="noConversion"/>
  </si>
  <si>
    <t>式</t>
    <phoneticPr fontId="12" type="noConversion"/>
  </si>
  <si>
    <t>交通管制與保護設施(租用)</t>
    <phoneticPr fontId="12" type="noConversion"/>
  </si>
  <si>
    <t>施工動線開闢及損害復原；測量與放樣</t>
    <phoneticPr fontId="12" type="noConversion"/>
  </si>
  <si>
    <t>中央區切割刨除清運既有PU層，基面清潔</t>
    <phoneticPr fontId="12" type="noConversion"/>
  </si>
  <si>
    <t>M2</t>
    <phoneticPr fontId="12" type="noConversion"/>
  </si>
  <si>
    <t>新設排球網柱(依既有規格)</t>
    <phoneticPr fontId="12" type="noConversion"/>
  </si>
  <si>
    <t>組</t>
    <phoneticPr fontId="12" type="noConversion"/>
  </si>
  <si>
    <t>外周區切割挖除凸起面層，基面清潔，坑洞與裂縫以樹脂砂漿或PU修補整平</t>
    <phoneticPr fontId="12" type="noConversion"/>
  </si>
  <si>
    <t>刷油性強化底漆固化劑</t>
    <phoneticPr fontId="12" type="noConversion"/>
  </si>
  <si>
    <t>面鋪3mmPU面層與PU耐候保護面漆止滑處理(2道)</t>
    <phoneticPr fontId="12" type="noConversion"/>
  </si>
  <si>
    <t>外周區刷PU耐候保護面漆止滑處理(2道)</t>
    <phoneticPr fontId="12" type="noConversion"/>
  </si>
  <si>
    <t>球場畫線</t>
    <phoneticPr fontId="12" type="noConversion"/>
  </si>
  <si>
    <t>場</t>
    <phoneticPr fontId="12" type="noConversion"/>
  </si>
  <si>
    <t>二、工地材料管理概況(含約定之重要材料使用狀況及數量等)：</t>
  </si>
  <si>
    <t>材料名稱</t>
  </si>
  <si>
    <t>設計數量</t>
  </si>
  <si>
    <t>備註</t>
  </si>
  <si>
    <t>三、工地人員及機具管理（含約定之出工人數及機具使用情形及數量）：</t>
  </si>
  <si>
    <t>工別</t>
  </si>
  <si>
    <t>本日人數</t>
  </si>
  <si>
    <t>累計人數</t>
  </si>
  <si>
    <t>機具名稱</t>
  </si>
  <si>
    <t>本日使用數量</t>
  </si>
  <si>
    <t>累計使用數量</t>
  </si>
  <si>
    <t>普通工</t>
  </si>
  <si>
    <t>切割機</t>
    <phoneticPr fontId="3" type="noConversion"/>
  </si>
  <si>
    <t>技術工</t>
    <phoneticPr fontId="3" type="noConversion"/>
  </si>
  <si>
    <t>刨除機</t>
    <phoneticPr fontId="3" type="noConversion"/>
  </si>
  <si>
    <t>現場工程師</t>
  </si>
  <si>
    <r>
      <rPr>
        <sz val="14"/>
        <rFont val="標楷體"/>
        <family val="4"/>
        <charset val="136"/>
      </rPr>
      <t xml:space="preserve">四、本日施工項目是否有須依「營造業專業工程特定施工項目應置之技術士種類、比率或人數標準表」規定應設置技術士之專業工程：□有 </t>
    </r>
    <r>
      <rPr>
        <sz val="14"/>
        <rFont val="Segoe UI Symbol"/>
        <family val="2"/>
      </rPr>
      <t>☑</t>
    </r>
    <r>
      <rPr>
        <sz val="14"/>
        <rFont val="標楷體"/>
        <family val="4"/>
        <charset val="136"/>
      </rPr>
      <t>無（此項如勾選”有”，則應填寫後附「公共工程施工日誌之技術士簽章表」）</t>
    </r>
  </si>
  <si>
    <t>五、工地職業安全衛生事項之督導、公共環境與安全之維護及其他工地行政事務：</t>
  </si>
  <si>
    <t xml:space="preserve">  (ㄧ)施工前檢查事項：</t>
  </si>
  <si>
    <r>
      <rPr>
        <sz val="14"/>
        <color theme="1"/>
        <rFont val="標楷體"/>
        <family val="4"/>
        <charset val="136"/>
      </rPr>
      <t xml:space="preserve">   1.實施勤前教育(含工地預防災變及危害告知)：</t>
    </r>
    <r>
      <rPr>
        <sz val="14"/>
        <color theme="1"/>
        <rFont val="Segoe UI Symbol"/>
        <family val="2"/>
      </rPr>
      <t>☑</t>
    </r>
    <r>
      <rPr>
        <sz val="14"/>
        <color theme="1"/>
        <rFont val="標楷體"/>
        <family val="4"/>
        <charset val="136"/>
      </rPr>
      <t>有 □無</t>
    </r>
  </si>
  <si>
    <r>
      <rPr>
        <sz val="14"/>
        <color theme="1"/>
        <rFont val="標楷體"/>
        <family val="4"/>
        <charset val="136"/>
      </rPr>
      <t xml:space="preserve">   2.確認新進勞工是否提報勞工保險(或其他商業保險)資料及安全衛生教育訓練紀錄：□有 □無 </t>
    </r>
    <r>
      <rPr>
        <sz val="14"/>
        <color theme="1"/>
        <rFont val="Segoe UI Symbol"/>
        <family val="2"/>
      </rPr>
      <t>☑</t>
    </r>
    <r>
      <rPr>
        <sz val="14"/>
        <color theme="1"/>
        <rFont val="標楷體"/>
        <family val="4"/>
        <charset val="136"/>
      </rPr>
      <t>無新進勞工</t>
    </r>
  </si>
  <si>
    <r>
      <rPr>
        <sz val="14"/>
        <color theme="1"/>
        <rFont val="標楷體"/>
        <family val="4"/>
        <charset val="136"/>
      </rPr>
      <t xml:space="preserve">   3.檢查勞工個人防護具：</t>
    </r>
    <r>
      <rPr>
        <sz val="14"/>
        <color theme="1"/>
        <rFont val="Segoe UI Symbol"/>
        <family val="2"/>
      </rPr>
      <t>☑</t>
    </r>
    <r>
      <rPr>
        <sz val="14"/>
        <color theme="1"/>
        <rFont val="標楷體"/>
        <family val="4"/>
        <charset val="136"/>
      </rPr>
      <t>有 □無</t>
    </r>
  </si>
  <si>
    <t xml:space="preserve">  (二)其他事項：</t>
  </si>
  <si>
    <t xml:space="preserve">六、施工取樣試驗紀錄： </t>
  </si>
  <si>
    <t>七、通知協力廠商辦理事項：</t>
  </si>
  <si>
    <t>八、重要事項記錄：</t>
    <phoneticPr fontId="3" type="noConversion"/>
  </si>
  <si>
    <t>簽章：【工地主任】</t>
  </si>
  <si>
    <t>註：1. 依營造業法第32 條第1 項第2 款規定，工地主任應按日填報施工日誌</t>
  </si>
  <si>
    <t>2.本施工日誌格式僅供參考，惟原則應包含上開欄位，各機關亦得依工程性質及契約約定事項自行增訂之。</t>
  </si>
  <si>
    <t>3.本工程依營造業法第 30 條規定須置工地主任者，由工地主任簽章；依上開規定免置工地主任者，</t>
  </si>
  <si>
    <t>則由營造業法第 32 條第 2 項所定之人員簽章。廠商非屬營造業者，由工地負責人簽章。</t>
  </si>
  <si>
    <t>4.契約工期如有修正，應填修正後之契約工期，含展延工期及不計工期天數；如有依契約變更設計，</t>
  </si>
  <si>
    <t>預定進度及實際進度應填變更設計後計算之進度。</t>
  </si>
  <si>
    <t>5.上開重要事項記錄包含（1）主辦機關及監造單位指示（2）工地遇緊急異常狀況之通報處理情形</t>
  </si>
  <si>
    <t>（3）本日是否由專任工程人員督察按圖施工、解決施工技術問題等。</t>
  </si>
  <si>
    <t>壹</t>
    <phoneticPr fontId="12" type="noConversion"/>
  </si>
  <si>
    <t>直接工程</t>
    <phoneticPr fontId="12" type="noConversion"/>
  </si>
  <si>
    <t>壹1</t>
    <phoneticPr fontId="3" type="noConversion"/>
  </si>
  <si>
    <t>壹2</t>
    <phoneticPr fontId="3" type="noConversion"/>
  </si>
  <si>
    <t>壹3</t>
    <phoneticPr fontId="3" type="noConversion"/>
  </si>
  <si>
    <t>壹4</t>
    <phoneticPr fontId="3" type="noConversion"/>
  </si>
  <si>
    <t>壹5</t>
    <phoneticPr fontId="3" type="noConversion"/>
  </si>
  <si>
    <t>壹6</t>
    <phoneticPr fontId="3" type="noConversion"/>
  </si>
  <si>
    <t>壹7</t>
    <phoneticPr fontId="3" type="noConversion"/>
  </si>
  <si>
    <t>壹8</t>
    <phoneticPr fontId="3" type="noConversion"/>
  </si>
  <si>
    <t>壹9</t>
    <phoneticPr fontId="3" type="noConversion"/>
  </si>
  <si>
    <t>壹10</t>
    <phoneticPr fontId="3" type="noConversion"/>
  </si>
  <si>
    <t>堆高機</t>
    <phoneticPr fontId="3" type="noConversion"/>
  </si>
  <si>
    <t>工程告示牌與職安告示牌(租用)</t>
    <phoneticPr fontId="3" type="noConversion"/>
  </si>
  <si>
    <t>交通管制與保護設施(租用)+施工動線開闢及損害復原；測量與放樣</t>
    <phoneticPr fontId="3" type="noConversion"/>
  </si>
  <si>
    <t>中央區切割刨除清運既有PU層，基面清潔</t>
    <phoneticPr fontId="3" type="noConversion"/>
  </si>
  <si>
    <t>樹脂砂漿或PU修補整平</t>
    <phoneticPr fontId="3" type="noConversion"/>
  </si>
  <si>
    <t>材料進場-外周區切割挖除凸起面層，基面清潔，坑洞與裂縫以樹脂砂漿或PU修補整平</t>
    <phoneticPr fontId="3" type="noConversion"/>
  </si>
  <si>
    <t>刷油性強化底漆固化劑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</si>
</sst>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76" formatCode="[$-404]e&quot;年&quot;m&quot;月&quot;d&quot;日&quot;\ aaaa"/>
    <numFmt numFmtId="177" formatCode="yyyy&quot;年&quot;m&quot;月&quot;d&quot;日&quot;;@"/>
    <numFmt numFmtId="178" formatCode="_-* #,##0.00_-;\-* #,##0.00_-;_-* &quot;-&quot;_-;_-@_-"/>
    <numFmt numFmtId="179" formatCode="0.00_);[Red]\(0.00\)"/>
    <numFmt numFmtId="180" formatCode="#,##0_);[Red]\(#,##0\)"/>
    <numFmt numFmtId="181" formatCode="_ * #,##0.00_ ;_ * \-#,##0.00_ ;_ * &quot;-&quot;??_ ;_ @_ "/>
  </numFmts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5"/>
      <color theme="1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4"/>
      <color theme="1"/>
      <name val="標楷體"/>
      <family val="4"/>
      <charset val="136"/>
    </font>
    <font>
      <sz val="9"/>
      <name val="新細明體"/>
      <family val="3"/>
      <charset val="136"/>
      <scheme val="minor"/>
    </font>
    <font>
      <sz val="14"/>
      <color rgb="FFFF0000"/>
      <name val="標楷體"/>
      <family val="4"/>
      <charset val="136"/>
    </font>
    <font>
      <sz val="14"/>
      <name val="標楷體"/>
      <family val="4"/>
      <charset val="136"/>
    </font>
    <font>
      <sz val="14"/>
      <color rgb="FF000000"/>
      <name val="標楷體"/>
      <family val="4"/>
      <charset val="136"/>
    </font>
    <font>
      <sz val="16"/>
      <color rgb="FFFF0000"/>
      <name val="標楷體"/>
      <family val="4"/>
      <charset val="136"/>
    </font>
    <font>
      <sz val="16"/>
      <name val="標楷體"/>
      <family val="4"/>
      <charset val="136"/>
    </font>
    <font>
      <sz val="9"/>
      <name val="新細明體"/>
      <family val="1"/>
      <charset val="136"/>
    </font>
    <font>
      <sz val="12"/>
      <name val="標楷體"/>
      <family val="4"/>
      <charset val="136"/>
    </font>
    <font>
      <sz val="12"/>
      <color indexed="8"/>
      <name val="標楷體"/>
      <family val="4"/>
      <charset val="136"/>
    </font>
    <font>
      <sz val="14"/>
      <name val="Segoe UI Symbol"/>
      <family val="2"/>
    </font>
    <font>
      <sz val="14"/>
      <color theme="1"/>
      <name val="Segoe UI Symbol"/>
      <family val="2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129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9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8" fillId="0" borderId="13" xfId="0" applyFont="1" applyBorder="1" applyAlignment="1" applyProtection="1">
      <alignment horizontal="center" shrinkToFit="1"/>
      <protection locked="0"/>
    </xf>
    <xf numFmtId="0" fontId="13" fillId="0" borderId="17" xfId="0" applyFont="1" applyBorder="1" applyAlignment="1">
      <alignment horizontal="center" vertical="center"/>
    </xf>
    <xf numFmtId="0" fontId="13" fillId="0" borderId="17" xfId="0" applyFont="1" applyBorder="1" applyAlignment="1">
      <alignment horizontal="center"/>
    </xf>
    <xf numFmtId="0" fontId="8" fillId="0" borderId="17" xfId="0" applyFont="1" applyBorder="1" applyAlignment="1">
      <alignment horizontal="center" vertical="top" wrapText="1"/>
    </xf>
    <xf numFmtId="2" fontId="4" fillId="0" borderId="17" xfId="0" applyNumberFormat="1" applyFont="1" applyBorder="1" applyAlignment="1">
      <alignment horizontal="center" vertical="center"/>
    </xf>
    <xf numFmtId="2" fontId="14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 applyProtection="1">
      <alignment horizontal="center" shrinkToFit="1"/>
      <protection locked="0"/>
    </xf>
    <xf numFmtId="0" fontId="4" fillId="0" borderId="0" xfId="0" applyFont="1" applyAlignment="1">
      <alignment horizontal="center" vertical="center"/>
    </xf>
    <xf numFmtId="179" fontId="8" fillId="0" borderId="17" xfId="0" applyNumberFormat="1" applyFont="1" applyBorder="1" applyAlignment="1">
      <alignment horizontal="center" vertical="top" wrapText="1"/>
    </xf>
    <xf numFmtId="0" fontId="8" fillId="0" borderId="17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 wrapText="1"/>
    </xf>
    <xf numFmtId="0" fontId="14" fillId="0" borderId="17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 shrinkToFit="1"/>
    </xf>
    <xf numFmtId="0" fontId="4" fillId="0" borderId="17" xfId="0" applyFont="1" applyBorder="1" applyAlignment="1">
      <alignment horizontal="left" vertical="center" shrinkToFit="1"/>
    </xf>
    <xf numFmtId="0" fontId="13" fillId="0" borderId="18" xfId="0" applyFont="1" applyBorder="1" applyAlignment="1">
      <alignment horizontal="center"/>
    </xf>
    <xf numFmtId="0" fontId="13" fillId="0" borderId="16" xfId="0" applyFont="1" applyBorder="1" applyAlignment="1">
      <alignment horizontal="center"/>
    </xf>
    <xf numFmtId="180" fontId="13" fillId="0" borderId="18" xfId="1" applyNumberFormat="1" applyFont="1" applyFill="1" applyBorder="1" applyAlignment="1">
      <alignment horizontal="center" vertical="center"/>
    </xf>
    <xf numFmtId="180" fontId="13" fillId="0" borderId="15" xfId="1" applyNumberFormat="1" applyFont="1" applyFill="1" applyBorder="1" applyAlignment="1">
      <alignment horizontal="center" vertical="center"/>
    </xf>
    <xf numFmtId="180" fontId="13" fillId="0" borderId="16" xfId="1" applyNumberFormat="1" applyFont="1" applyFill="1" applyBorder="1" applyAlignment="1">
      <alignment horizontal="center" vertical="center"/>
    </xf>
    <xf numFmtId="0" fontId="17" fillId="0" borderId="9" xfId="0" applyFont="1" applyBorder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7" fillId="0" borderId="10" xfId="0" applyFont="1" applyBorder="1" applyAlignment="1">
      <alignment horizontal="left" vertical="center"/>
    </xf>
    <xf numFmtId="0" fontId="17" fillId="0" borderId="27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0" fontId="17" fillId="0" borderId="8" xfId="0" applyFont="1" applyBorder="1" applyAlignment="1">
      <alignment horizontal="left" vertical="center"/>
    </xf>
    <xf numFmtId="0" fontId="14" fillId="0" borderId="17" xfId="0" applyFont="1" applyBorder="1" applyAlignment="1">
      <alignment horizontal="left" vertical="center"/>
    </xf>
    <xf numFmtId="0" fontId="17" fillId="0" borderId="7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0" fontId="18" fillId="0" borderId="10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2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13" fillId="0" borderId="25" xfId="0" applyFont="1" applyBorder="1" applyAlignment="1" applyProtection="1">
      <alignment horizontal="left" shrinkToFit="1"/>
      <protection locked="0"/>
    </xf>
    <xf numFmtId="0" fontId="13" fillId="0" borderId="17" xfId="0" applyFont="1" applyBorder="1" applyAlignment="1" applyProtection="1">
      <alignment horizontal="left" shrinkToFit="1"/>
      <protection locked="0"/>
    </xf>
    <xf numFmtId="181" fontId="13" fillId="0" borderId="17" xfId="0" applyNumberFormat="1" applyFont="1" applyBorder="1" applyAlignment="1" applyProtection="1">
      <alignment vertical="center" shrinkToFit="1"/>
      <protection locked="0"/>
    </xf>
    <xf numFmtId="181" fontId="8" fillId="0" borderId="17" xfId="0" applyNumberFormat="1" applyFont="1" applyBorder="1" applyAlignment="1">
      <alignment horizontal="center" vertical="top" wrapText="1"/>
    </xf>
    <xf numFmtId="0" fontId="8" fillId="0" borderId="12" xfId="0" applyFont="1" applyBorder="1" applyAlignment="1">
      <alignment horizontal="left" vertical="center" wrapText="1"/>
    </xf>
    <xf numFmtId="0" fontId="8" fillId="0" borderId="13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 wrapText="1"/>
    </xf>
    <xf numFmtId="0" fontId="8" fillId="0" borderId="22" xfId="0" applyFont="1" applyBorder="1" applyAlignment="1">
      <alignment horizontal="left" vertical="top" wrapText="1"/>
    </xf>
    <xf numFmtId="0" fontId="8" fillId="0" borderId="23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0" fontId="8" fillId="0" borderId="25" xfId="0" applyFont="1" applyBorder="1" applyAlignment="1">
      <alignment horizontal="center" vertical="top" wrapText="1"/>
    </xf>
    <xf numFmtId="0" fontId="8" fillId="0" borderId="17" xfId="0" applyFont="1" applyBorder="1" applyAlignment="1">
      <alignment horizontal="left" vertical="top" wrapText="1" indent="1"/>
    </xf>
    <xf numFmtId="0" fontId="8" fillId="0" borderId="7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0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8" fillId="0" borderId="12" xfId="0" applyFont="1" applyBorder="1" applyAlignment="1" applyProtection="1">
      <alignment horizontal="center" shrinkToFit="1"/>
      <protection locked="0"/>
    </xf>
    <xf numFmtId="0" fontId="8" fillId="0" borderId="13" xfId="0" applyFont="1" applyBorder="1" applyAlignment="1" applyProtection="1">
      <alignment horizontal="center" shrinkToFit="1"/>
      <protection locked="0"/>
    </xf>
    <xf numFmtId="178" fontId="8" fillId="0" borderId="13" xfId="0" applyNumberFormat="1" applyFont="1" applyBorder="1" applyAlignment="1" applyProtection="1">
      <alignment vertical="center" shrinkToFit="1"/>
      <protection locked="0"/>
    </xf>
    <xf numFmtId="0" fontId="8" fillId="0" borderId="13" xfId="0" applyFont="1" applyBorder="1" applyAlignment="1">
      <alignment horizontal="center" vertical="top" wrapText="1"/>
    </xf>
    <xf numFmtId="179" fontId="8" fillId="0" borderId="13" xfId="0" applyNumberFormat="1" applyFont="1" applyBorder="1" applyAlignment="1">
      <alignment horizontal="center" vertical="top" wrapText="1"/>
    </xf>
    <xf numFmtId="0" fontId="8" fillId="0" borderId="14" xfId="0" applyFont="1" applyBorder="1" applyAlignment="1">
      <alignment horizontal="center" vertical="top" wrapText="1"/>
    </xf>
    <xf numFmtId="0" fontId="13" fillId="0" borderId="17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left" vertical="center" wrapText="1"/>
    </xf>
    <xf numFmtId="177" fontId="5" fillId="0" borderId="4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right" vertical="center" wrapText="1"/>
    </xf>
    <xf numFmtId="177" fontId="5" fillId="0" borderId="5" xfId="0" applyNumberFormat="1" applyFont="1" applyBorder="1" applyAlignment="1">
      <alignment horizontal="center" vertical="center" wrapText="1"/>
    </xf>
    <xf numFmtId="177" fontId="5" fillId="0" borderId="3" xfId="0" applyNumberFormat="1" applyFont="1" applyBorder="1" applyAlignment="1">
      <alignment horizontal="center" vertical="center" wrapText="1"/>
    </xf>
    <xf numFmtId="177" fontId="5" fillId="0" borderId="4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right" vertical="center" wrapText="1"/>
    </xf>
    <xf numFmtId="0" fontId="5" fillId="0" borderId="11" xfId="0" applyFont="1" applyBorder="1" applyAlignment="1">
      <alignment horizontal="right" vertical="center" wrapText="1"/>
    </xf>
    <xf numFmtId="0" fontId="5" fillId="0" borderId="10" xfId="0" applyFont="1" applyBorder="1" applyAlignment="1">
      <alignment horizontal="right" vertical="center" wrapText="1"/>
    </xf>
    <xf numFmtId="10" fontId="5" fillId="0" borderId="0" xfId="0" applyNumberFormat="1" applyFont="1" applyAlignment="1">
      <alignment horizontal="left" vertical="center" wrapText="1"/>
    </xf>
    <xf numFmtId="0" fontId="5" fillId="0" borderId="6" xfId="0" applyFont="1" applyBorder="1" applyAlignment="1">
      <alignment horizontal="right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10" fontId="5" fillId="0" borderId="3" xfId="0" applyNumberFormat="1" applyFont="1" applyBorder="1" applyAlignment="1">
      <alignment horizontal="center" vertical="center" wrapText="1"/>
    </xf>
    <xf numFmtId="10" fontId="5" fillId="0" borderId="4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76" fontId="7" fillId="0" borderId="0" xfId="0" applyNumberFormat="1" applyFont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43" fontId="8" fillId="0" borderId="17" xfId="0" applyNumberFormat="1" applyFont="1" applyBorder="1" applyAlignment="1">
      <alignment vertical="center" wrapText="1"/>
    </xf>
  </cellXfs>
  <cellStyles count="2">
    <cellStyle name="一般" xfId="0" builtinId="0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DESKTOP-LB22TCK\scan\&#20844;&#20849;&#24037;&#31243;\1.&#24471;&#27161;\13.&#38642;&#26519;&#32291;&#22235;&#28246;&#37129;&#22235;&#28246;&#22283;&#27665;&#23567;&#23416;_&#22235;&#28246;&#22283;&#23567;&#27963;&#21205;&#20013;&#24515;&#22580;&#22320;&#25972;&#20462;&#24037;&#31243;&#26696;_01_00\1.&#26085;&#35468;\&#22235;&#28246;&#22283;&#23567;&#27963;&#21205;&#20013;&#24515;&#22580;&#22320;&#25972;&#20462;&#24037;&#31243;%20&#36914;&#24230;&#22294;.xlsx" TargetMode="External"/><Relationship Id="rId1" Type="http://schemas.openxmlformats.org/officeDocument/2006/relationships/externalLinkPath" Target="&#22235;&#28246;&#22283;&#23567;&#27963;&#21205;&#20013;&#24515;&#22580;&#22320;&#25972;&#20462;&#24037;&#31243;%20&#36914;&#24230;&#22294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實際施工進度表"/>
      <sheetName val="%數"/>
    </sheetNames>
    <sheetDataSet>
      <sheetData sheetId="0">
        <row r="6">
          <cell r="C6">
            <v>4.544365792195435E-3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CB930-A009-4070-8ACC-41FDB5E02876}">
  <sheetPr>
    <pageSetUpPr fitToPage="1"/>
  </sheetPr>
  <dimension ref="A1:N54"/>
  <sheetViews>
    <sheetView zoomScale="70" zoomScaleNormal="70" workbookViewId="0">
      <selection activeCell="G12" sqref="G12:H12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45607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</v>
      </c>
      <c r="G5" s="17" t="s">
        <v>13</v>
      </c>
      <c r="H5" s="18" t="s">
        <v>15</v>
      </c>
      <c r="I5" s="12">
        <f>B5-F5</f>
        <v>59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(0.09%*1)</f>
        <v>8.9999999999999998E-4</v>
      </c>
      <c r="E7" s="55"/>
      <c r="F7" s="55"/>
      <c r="G7" s="56"/>
      <c r="H7" s="111" t="s">
        <v>21</v>
      </c>
      <c r="I7" s="112"/>
      <c r="J7" s="115"/>
      <c r="K7" s="116">
        <v>0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31"/>
      <c r="H12" s="31"/>
      <c r="I12" s="30"/>
      <c r="J12" s="30"/>
      <c r="K12" s="30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31"/>
      <c r="H13" s="31"/>
      <c r="I13" s="30"/>
      <c r="J13" s="30"/>
      <c r="K13" s="30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31"/>
      <c r="H14" s="31"/>
      <c r="I14" s="30"/>
      <c r="J14" s="30"/>
      <c r="K14" s="30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31"/>
      <c r="H15" s="31"/>
      <c r="I15" s="30"/>
      <c r="J15" s="30"/>
      <c r="K15" s="30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31"/>
      <c r="H16" s="31"/>
      <c r="I16" s="30"/>
      <c r="J16" s="30"/>
      <c r="K16" s="30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31"/>
      <c r="H17" s="31"/>
      <c r="I17" s="30"/>
      <c r="J17" s="30"/>
      <c r="K17" s="30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31"/>
      <c r="H18" s="31"/>
      <c r="I18" s="30"/>
      <c r="J18" s="30"/>
      <c r="K18" s="30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31"/>
      <c r="H19" s="31"/>
      <c r="I19" s="30"/>
      <c r="J19" s="30"/>
      <c r="K19" s="30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31"/>
      <c r="H20" s="31"/>
      <c r="I20" s="30"/>
      <c r="J20" s="30"/>
      <c r="K20" s="30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31"/>
      <c r="H21" s="31"/>
      <c r="I21" s="30"/>
      <c r="J21" s="30"/>
      <c r="K21" s="30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/>
      <c r="F29" s="76"/>
      <c r="G29" s="76"/>
      <c r="H29" s="76" t="s">
        <v>55</v>
      </c>
      <c r="I29" s="76"/>
      <c r="J29" s="76"/>
      <c r="K29" s="76"/>
      <c r="L29" s="76"/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/>
      <c r="F30" s="76"/>
      <c r="G30" s="76"/>
      <c r="H30" s="76" t="s">
        <v>57</v>
      </c>
      <c r="I30" s="76"/>
      <c r="J30" s="76"/>
      <c r="K30" s="76"/>
      <c r="L30" s="76"/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/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B6:G6"/>
    <mergeCell ref="H6:J6"/>
    <mergeCell ref="K6:N6"/>
    <mergeCell ref="A7:C7"/>
    <mergeCell ref="D7:G7"/>
    <mergeCell ref="H7:J7"/>
    <mergeCell ref="K7:N7"/>
    <mergeCell ref="A1:M1"/>
    <mergeCell ref="K3:M3"/>
    <mergeCell ref="B4:G4"/>
    <mergeCell ref="H4:J4"/>
    <mergeCell ref="K4:N4"/>
    <mergeCell ref="D5:E5"/>
    <mergeCell ref="K5:L5"/>
    <mergeCell ref="A22:N22"/>
    <mergeCell ref="A23:C23"/>
    <mergeCell ref="E23:F23"/>
    <mergeCell ref="G23:H23"/>
    <mergeCell ref="I23:K23"/>
    <mergeCell ref="L23:N23"/>
    <mergeCell ref="A8:N8"/>
    <mergeCell ref="A9:N9"/>
    <mergeCell ref="A10:C10"/>
    <mergeCell ref="E10:F10"/>
    <mergeCell ref="G10:H10"/>
    <mergeCell ref="I10:K10"/>
    <mergeCell ref="L10:N10"/>
    <mergeCell ref="B11:C11"/>
    <mergeCell ref="E21:F21"/>
    <mergeCell ref="E20:F20"/>
    <mergeCell ref="E19:F19"/>
    <mergeCell ref="E17:F17"/>
    <mergeCell ref="E16:F16"/>
    <mergeCell ref="E15:F15"/>
    <mergeCell ref="E14:F14"/>
    <mergeCell ref="E13:F13"/>
    <mergeCell ref="B17:C17"/>
    <mergeCell ref="B16:C16"/>
    <mergeCell ref="A26:C26"/>
    <mergeCell ref="E26:F26"/>
    <mergeCell ref="G26:H26"/>
    <mergeCell ref="I26:K26"/>
    <mergeCell ref="L26:N26"/>
    <mergeCell ref="A27:N27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9:B29"/>
    <mergeCell ref="C29:D29"/>
    <mergeCell ref="E29:G29"/>
    <mergeCell ref="H29:I29"/>
    <mergeCell ref="J29:K29"/>
    <mergeCell ref="L29:N29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B21:C21"/>
    <mergeCell ref="B20:C20"/>
    <mergeCell ref="B19:C19"/>
    <mergeCell ref="B18:C18"/>
    <mergeCell ref="G18:H18"/>
    <mergeCell ref="I18:K18"/>
    <mergeCell ref="L18:N18"/>
    <mergeCell ref="G19:H19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  <mergeCell ref="A35:N35"/>
    <mergeCell ref="A36:N36"/>
    <mergeCell ref="B15:C15"/>
    <mergeCell ref="B14:C14"/>
    <mergeCell ref="B13:C13"/>
    <mergeCell ref="B12:C12"/>
    <mergeCell ref="E11:F11"/>
    <mergeCell ref="E18:F18"/>
    <mergeCell ref="G11:H11"/>
    <mergeCell ref="I11:K11"/>
    <mergeCell ref="L11:N11"/>
    <mergeCell ref="G12:H12"/>
    <mergeCell ref="I12:K12"/>
    <mergeCell ref="L12:N12"/>
    <mergeCell ref="G13:H13"/>
    <mergeCell ref="I13:K13"/>
    <mergeCell ref="L13:N13"/>
    <mergeCell ref="G14:H14"/>
    <mergeCell ref="I14:K14"/>
    <mergeCell ref="L14:N14"/>
    <mergeCell ref="G15:H15"/>
    <mergeCell ref="I15:K15"/>
    <mergeCell ref="L15:N15"/>
    <mergeCell ref="E12:F12"/>
    <mergeCell ref="I19:K19"/>
    <mergeCell ref="L19:N19"/>
    <mergeCell ref="G20:H20"/>
    <mergeCell ref="I20:K20"/>
    <mergeCell ref="L20:N20"/>
    <mergeCell ref="G21:H21"/>
    <mergeCell ref="I21:K21"/>
    <mergeCell ref="L21:N21"/>
    <mergeCell ref="G16:H16"/>
    <mergeCell ref="I16:K16"/>
    <mergeCell ref="L16:N16"/>
    <mergeCell ref="G17:H17"/>
    <mergeCell ref="I17:K17"/>
    <mergeCell ref="L17:N17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5607C-E4B9-4E35-AA5B-0D75E0784FAC}">
  <sheetPr>
    <pageSetUpPr fitToPage="1"/>
  </sheetPr>
  <dimension ref="A1:N54"/>
  <sheetViews>
    <sheetView zoomScale="70" zoomScaleNormal="70" workbookViewId="0">
      <selection activeCell="B6" sqref="B6:G6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2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45609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2</v>
      </c>
      <c r="G5" s="17" t="s">
        <v>13</v>
      </c>
      <c r="H5" s="18" t="s">
        <v>15</v>
      </c>
      <c r="I5" s="12">
        <f>B5-F5</f>
        <v>58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(0.09%*2)</f>
        <v>1.8E-3</v>
      </c>
      <c r="E7" s="55"/>
      <c r="F7" s="55"/>
      <c r="G7" s="56"/>
      <c r="H7" s="111" t="s">
        <v>21</v>
      </c>
      <c r="I7" s="112"/>
      <c r="J7" s="115"/>
      <c r="K7" s="116">
        <v>0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31"/>
      <c r="H12" s="31"/>
      <c r="I12" s="30"/>
      <c r="J12" s="30"/>
      <c r="K12" s="30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31"/>
      <c r="H13" s="31"/>
      <c r="I13" s="30"/>
      <c r="J13" s="30"/>
      <c r="K13" s="30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31"/>
      <c r="H14" s="31"/>
      <c r="I14" s="30"/>
      <c r="J14" s="30"/>
      <c r="K14" s="30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31"/>
      <c r="H15" s="31"/>
      <c r="I15" s="30"/>
      <c r="J15" s="30"/>
      <c r="K15" s="30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31"/>
      <c r="H16" s="31"/>
      <c r="I16" s="30"/>
      <c r="J16" s="30"/>
      <c r="K16" s="30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31"/>
      <c r="H17" s="31"/>
      <c r="I17" s="30"/>
      <c r="J17" s="30"/>
      <c r="K17" s="30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31"/>
      <c r="H18" s="31"/>
      <c r="I18" s="30"/>
      <c r="J18" s="30"/>
      <c r="K18" s="30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31"/>
      <c r="H19" s="31"/>
      <c r="I19" s="30"/>
      <c r="J19" s="30"/>
      <c r="K19" s="30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31"/>
      <c r="H20" s="31"/>
      <c r="I20" s="30"/>
      <c r="J20" s="30"/>
      <c r="K20" s="30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31"/>
      <c r="H21" s="31"/>
      <c r="I21" s="30"/>
      <c r="J21" s="30"/>
      <c r="K21" s="30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/>
      <c r="F29" s="76"/>
      <c r="G29" s="76"/>
      <c r="H29" s="76" t="s">
        <v>55</v>
      </c>
      <c r="I29" s="76"/>
      <c r="J29" s="76"/>
      <c r="K29" s="76"/>
      <c r="L29" s="76"/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/>
      <c r="F30" s="76"/>
      <c r="G30" s="76"/>
      <c r="H30" s="76" t="s">
        <v>57</v>
      </c>
      <c r="I30" s="76"/>
      <c r="J30" s="76"/>
      <c r="K30" s="76"/>
      <c r="L30" s="76"/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/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A6965-06F2-450B-B37E-A7AEF2FC7D95}">
  <sheetPr>
    <pageSetUpPr fitToPage="1"/>
  </sheetPr>
  <dimension ref="A1:N54"/>
  <sheetViews>
    <sheetView zoomScale="70" zoomScaleNormal="70" workbookViewId="0">
      <selection activeCell="D7" sqref="D7:G7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3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45609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3</v>
      </c>
      <c r="G5" s="17" t="s">
        <v>13</v>
      </c>
      <c r="H5" s="18" t="s">
        <v>15</v>
      </c>
      <c r="I5" s="12">
        <f>B5-F5</f>
        <v>57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(0.09%*3)</f>
        <v>2.7000000000000001E-3</v>
      </c>
      <c r="E7" s="55"/>
      <c r="F7" s="55"/>
      <c r="G7" s="56"/>
      <c r="H7" s="111" t="s">
        <v>21</v>
      </c>
      <c r="I7" s="112"/>
      <c r="J7" s="115"/>
      <c r="K7" s="116">
        <v>0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31"/>
      <c r="H12" s="31"/>
      <c r="I12" s="30"/>
      <c r="J12" s="30"/>
      <c r="K12" s="30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31"/>
      <c r="H13" s="31"/>
      <c r="I13" s="30"/>
      <c r="J13" s="30"/>
      <c r="K13" s="30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31"/>
      <c r="H14" s="31"/>
      <c r="I14" s="30"/>
      <c r="J14" s="30"/>
      <c r="K14" s="30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31"/>
      <c r="H15" s="31"/>
      <c r="I15" s="30"/>
      <c r="J15" s="30"/>
      <c r="K15" s="30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31"/>
      <c r="H16" s="31"/>
      <c r="I16" s="30"/>
      <c r="J16" s="30"/>
      <c r="K16" s="30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31"/>
      <c r="H17" s="31"/>
      <c r="I17" s="30"/>
      <c r="J17" s="30"/>
      <c r="K17" s="30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31"/>
      <c r="H18" s="31"/>
      <c r="I18" s="30"/>
      <c r="J18" s="30"/>
      <c r="K18" s="30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31"/>
      <c r="H19" s="31"/>
      <c r="I19" s="30"/>
      <c r="J19" s="30"/>
      <c r="K19" s="30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31"/>
      <c r="H20" s="31"/>
      <c r="I20" s="30"/>
      <c r="J20" s="30"/>
      <c r="K20" s="30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31"/>
      <c r="H21" s="31"/>
      <c r="I21" s="30"/>
      <c r="J21" s="30"/>
      <c r="K21" s="30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/>
      <c r="F29" s="76"/>
      <c r="G29" s="76"/>
      <c r="H29" s="76" t="s">
        <v>55</v>
      </c>
      <c r="I29" s="76"/>
      <c r="J29" s="76"/>
      <c r="K29" s="76"/>
      <c r="L29" s="76"/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/>
      <c r="F30" s="76"/>
      <c r="G30" s="76"/>
      <c r="H30" s="76" t="s">
        <v>57</v>
      </c>
      <c r="I30" s="76"/>
      <c r="J30" s="76"/>
      <c r="K30" s="76"/>
      <c r="L30" s="76"/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/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0031E-E624-49A8-8E50-873DCFF2526A}">
  <sheetPr>
    <pageSetUpPr fitToPage="1"/>
  </sheetPr>
  <dimension ref="A1:N54"/>
  <sheetViews>
    <sheetView zoomScale="70" zoomScaleNormal="70" workbookViewId="0">
      <selection activeCell="E18" sqref="E18:F18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4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45610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4</v>
      </c>
      <c r="G5" s="17" t="s">
        <v>13</v>
      </c>
      <c r="H5" s="18" t="s">
        <v>15</v>
      </c>
      <c r="I5" s="12">
        <f>B5-F5</f>
        <v>56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(0.09%*4)</f>
        <v>3.5999999999999999E-3</v>
      </c>
      <c r="E7" s="55"/>
      <c r="F7" s="55"/>
      <c r="G7" s="56"/>
      <c r="H7" s="111" t="s">
        <v>21</v>
      </c>
      <c r="I7" s="112"/>
      <c r="J7" s="115"/>
      <c r="K7" s="116">
        <v>0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31"/>
      <c r="H12" s="31"/>
      <c r="I12" s="30"/>
      <c r="J12" s="30"/>
      <c r="K12" s="30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31"/>
      <c r="H13" s="31"/>
      <c r="I13" s="30"/>
      <c r="J13" s="30"/>
      <c r="K13" s="30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31"/>
      <c r="H14" s="31"/>
      <c r="I14" s="30"/>
      <c r="J14" s="30"/>
      <c r="K14" s="30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31"/>
      <c r="H15" s="31"/>
      <c r="I15" s="30"/>
      <c r="J15" s="30"/>
      <c r="K15" s="30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31"/>
      <c r="H16" s="31"/>
      <c r="I16" s="30"/>
      <c r="J16" s="30"/>
      <c r="K16" s="30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31"/>
      <c r="H17" s="31"/>
      <c r="I17" s="30"/>
      <c r="J17" s="30"/>
      <c r="K17" s="30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31"/>
      <c r="H18" s="31"/>
      <c r="I18" s="30"/>
      <c r="J18" s="30"/>
      <c r="K18" s="30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31"/>
      <c r="H19" s="31"/>
      <c r="I19" s="30"/>
      <c r="J19" s="30"/>
      <c r="K19" s="30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31"/>
      <c r="H20" s="31"/>
      <c r="I20" s="30"/>
      <c r="J20" s="30"/>
      <c r="K20" s="30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31"/>
      <c r="H21" s="31"/>
      <c r="I21" s="30"/>
      <c r="J21" s="30"/>
      <c r="K21" s="30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/>
      <c r="F29" s="76"/>
      <c r="G29" s="76"/>
      <c r="H29" s="76" t="s">
        <v>55</v>
      </c>
      <c r="I29" s="76"/>
      <c r="J29" s="76"/>
      <c r="K29" s="76"/>
      <c r="L29" s="76"/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/>
      <c r="F30" s="76"/>
      <c r="G30" s="76"/>
      <c r="H30" s="76" t="s">
        <v>57</v>
      </c>
      <c r="I30" s="76"/>
      <c r="J30" s="76"/>
      <c r="K30" s="76"/>
      <c r="L30" s="76"/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/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2ED0D-B708-4802-A818-7F8412A97169}">
  <sheetPr>
    <pageSetUpPr fitToPage="1"/>
  </sheetPr>
  <dimension ref="A1:N54"/>
  <sheetViews>
    <sheetView zoomScale="70" zoomScaleNormal="70" workbookViewId="0">
      <selection activeCell="A8" sqref="A8:N8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5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45611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5</v>
      </c>
      <c r="G5" s="17" t="s">
        <v>13</v>
      </c>
      <c r="H5" s="18" t="s">
        <v>15</v>
      </c>
      <c r="I5" s="12">
        <f>B5-F5</f>
        <v>55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v>4.4999999999999997E-3</v>
      </c>
      <c r="E7" s="55"/>
      <c r="F7" s="55"/>
      <c r="G7" s="56"/>
      <c r="H7" s="111" t="s">
        <v>21</v>
      </c>
      <c r="I7" s="112"/>
      <c r="J7" s="115"/>
      <c r="K7" s="116">
        <f>[1]實際施工進度表!$C$6</f>
        <v>4.544365792195435E-3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91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>
        <v>1</v>
      </c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/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/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/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1</v>
      </c>
      <c r="D29" s="76"/>
      <c r="E29" s="76">
        <v>1</v>
      </c>
      <c r="F29" s="76"/>
      <c r="G29" s="76"/>
      <c r="H29" s="76" t="s">
        <v>55</v>
      </c>
      <c r="I29" s="76"/>
      <c r="J29" s="76"/>
      <c r="K29" s="76"/>
      <c r="L29" s="76"/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/>
      <c r="F30" s="76"/>
      <c r="G30" s="76"/>
      <c r="H30" s="76" t="s">
        <v>57</v>
      </c>
      <c r="I30" s="76"/>
      <c r="J30" s="76"/>
      <c r="K30" s="76"/>
      <c r="L30" s="76"/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/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00689-8CE9-47F3-B25A-84F9CE469AD6}">
  <sheetPr>
    <pageSetUpPr fitToPage="1"/>
  </sheetPr>
  <dimension ref="A1:N54"/>
  <sheetViews>
    <sheetView zoomScale="70" zoomScaleNormal="70" workbookViewId="0">
      <selection activeCell="E30" sqref="E30:G30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6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45612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6</v>
      </c>
      <c r="G5" s="17" t="s">
        <v>13</v>
      </c>
      <c r="H5" s="18" t="s">
        <v>15</v>
      </c>
      <c r="I5" s="12">
        <f>B5-F5</f>
        <v>54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(0.09%*5)+(0.22%*1)</f>
        <v>6.6999999999999994E-3</v>
      </c>
      <c r="E7" s="55"/>
      <c r="F7" s="55"/>
      <c r="G7" s="56"/>
      <c r="H7" s="111" t="s">
        <v>21</v>
      </c>
      <c r="I7" s="112"/>
      <c r="J7" s="115"/>
      <c r="K7" s="116">
        <f>0.45%+1.1%+2.21%</f>
        <v>3.7600000000000001E-2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92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>
        <v>1</v>
      </c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>
        <v>1</v>
      </c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/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1</v>
      </c>
      <c r="D29" s="76"/>
      <c r="E29" s="76">
        <v>2</v>
      </c>
      <c r="F29" s="76"/>
      <c r="G29" s="76"/>
      <c r="H29" s="76" t="s">
        <v>55</v>
      </c>
      <c r="I29" s="76"/>
      <c r="J29" s="76"/>
      <c r="K29" s="76"/>
      <c r="L29" s="76"/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/>
      <c r="F30" s="76"/>
      <c r="G30" s="76"/>
      <c r="H30" s="76" t="s">
        <v>57</v>
      </c>
      <c r="I30" s="76"/>
      <c r="J30" s="76"/>
      <c r="K30" s="76"/>
      <c r="L30" s="76"/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/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30212-D0F6-474C-8F22-6BC47EA3507D}">
  <sheetPr>
    <pageSetUpPr fitToPage="1"/>
  </sheetPr>
  <dimension ref="A1:N54"/>
  <sheetViews>
    <sheetView zoomScale="70" zoomScaleNormal="70" workbookViewId="0">
      <selection activeCell="A29" sqref="A29:N31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7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45613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7</v>
      </c>
      <c r="G5" s="17" t="s">
        <v>13</v>
      </c>
      <c r="H5" s="18" t="s">
        <v>15</v>
      </c>
      <c r="I5" s="12">
        <f>B5-F5</f>
        <v>53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(0.09%*5)+(0.22%*2)</f>
        <v>8.8999999999999999E-3</v>
      </c>
      <c r="E7" s="55"/>
      <c r="F7" s="55"/>
      <c r="G7" s="56"/>
      <c r="H7" s="111" t="s">
        <v>21</v>
      </c>
      <c r="I7" s="112"/>
      <c r="J7" s="115"/>
      <c r="K7" s="116">
        <f>0.45%+1.1%+2.21%+(7.29%*1)</f>
        <v>0.11050000000000001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>
        <v>220</v>
      </c>
      <c r="H15" s="128"/>
      <c r="I15" s="128">
        <v>220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4</v>
      </c>
      <c r="F29" s="76"/>
      <c r="G29" s="76"/>
      <c r="H29" s="76" t="s">
        <v>55</v>
      </c>
      <c r="I29" s="76"/>
      <c r="J29" s="76">
        <v>1</v>
      </c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>
        <v>2</v>
      </c>
      <c r="D30" s="76"/>
      <c r="E30" s="76">
        <v>2</v>
      </c>
      <c r="F30" s="76"/>
      <c r="G30" s="76"/>
      <c r="H30" s="76" t="s">
        <v>57</v>
      </c>
      <c r="I30" s="76"/>
      <c r="J30" s="76">
        <v>2</v>
      </c>
      <c r="K30" s="76"/>
      <c r="L30" s="76">
        <v>2</v>
      </c>
      <c r="M30" s="76"/>
      <c r="N30" s="77"/>
    </row>
    <row r="31" spans="1:14" ht="19.8" x14ac:dyDescent="0.3">
      <c r="A31" s="75" t="s">
        <v>58</v>
      </c>
      <c r="B31" s="76"/>
      <c r="C31" s="76">
        <v>1</v>
      </c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261B8-DE77-4164-A590-B31EABE74CC7}">
  <sheetPr>
    <pageSetUpPr fitToPage="1"/>
  </sheetPr>
  <dimension ref="A1:N54"/>
  <sheetViews>
    <sheetView zoomScale="70" zoomScaleNormal="70" workbookViewId="0">
      <selection activeCell="I17" sqref="I17:K17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8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45614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8</v>
      </c>
      <c r="G5" s="17" t="s">
        <v>13</v>
      </c>
      <c r="H5" s="18" t="s">
        <v>15</v>
      </c>
      <c r="I5" s="12">
        <f>B5-F5</f>
        <v>52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(0.09%*5)+(0.22%*3)</f>
        <v>1.1099999999999999E-2</v>
      </c>
      <c r="E7" s="55"/>
      <c r="F7" s="55"/>
      <c r="G7" s="56"/>
      <c r="H7" s="111" t="s">
        <v>21</v>
      </c>
      <c r="I7" s="112"/>
      <c r="J7" s="115"/>
      <c r="K7" s="116">
        <f>0.45%+1.1%+2.21%+(7.29%*2)</f>
        <v>0.18340000000000001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>
        <v>220</v>
      </c>
      <c r="H15" s="128"/>
      <c r="I15" s="128">
        <v>440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6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>
        <v>2</v>
      </c>
      <c r="D30" s="76"/>
      <c r="E30" s="76">
        <v>4</v>
      </c>
      <c r="F30" s="76"/>
      <c r="G30" s="76"/>
      <c r="H30" s="76" t="s">
        <v>57</v>
      </c>
      <c r="I30" s="76"/>
      <c r="J30" s="76">
        <v>2</v>
      </c>
      <c r="K30" s="76"/>
      <c r="L30" s="76">
        <v>4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8B28E-08CE-478B-862A-217796BE6910}">
  <sheetPr>
    <pageSetUpPr fitToPage="1"/>
  </sheetPr>
  <dimension ref="A1:N54"/>
  <sheetViews>
    <sheetView zoomScale="70" zoomScaleNormal="70" workbookViewId="0">
      <selection activeCell="B6" sqref="B6:G6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9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45615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9</v>
      </c>
      <c r="G5" s="17" t="s">
        <v>13</v>
      </c>
      <c r="H5" s="18" t="s">
        <v>15</v>
      </c>
      <c r="I5" s="12">
        <f>B5-F5</f>
        <v>51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(0.09%*5)+(0.22%*4)</f>
        <v>1.3299999999999999E-2</v>
      </c>
      <c r="E7" s="55"/>
      <c r="F7" s="55"/>
      <c r="G7" s="56"/>
      <c r="H7" s="111" t="s">
        <v>21</v>
      </c>
      <c r="I7" s="112"/>
      <c r="J7" s="115"/>
      <c r="K7" s="116">
        <f>0.45%+1.1%+2.21%+(7.29%*3)</f>
        <v>0.25630000000000003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>
        <v>220</v>
      </c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8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>
        <v>2</v>
      </c>
      <c r="D30" s="76"/>
      <c r="E30" s="76">
        <v>6</v>
      </c>
      <c r="F30" s="76"/>
      <c r="G30" s="76"/>
      <c r="H30" s="76" t="s">
        <v>57</v>
      </c>
      <c r="I30" s="76"/>
      <c r="J30" s="76">
        <v>2</v>
      </c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29E7-BDE4-424E-853F-3BEB1DC191A3}">
  <sheetPr>
    <pageSetUpPr fitToPage="1"/>
  </sheetPr>
  <dimension ref="A1:N54"/>
  <sheetViews>
    <sheetView zoomScale="70" zoomScaleNormal="70" workbookViewId="0">
      <selection activeCell="A8" sqref="A8:N8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10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45616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10</v>
      </c>
      <c r="G5" s="17" t="s">
        <v>13</v>
      </c>
      <c r="H5" s="18" t="s">
        <v>15</v>
      </c>
      <c r="I5" s="12">
        <f>B5-F5</f>
        <v>50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v>1.5599999999999999E-2</v>
      </c>
      <c r="E7" s="55"/>
      <c r="F7" s="55"/>
      <c r="G7" s="56"/>
      <c r="H7" s="111" t="s">
        <v>21</v>
      </c>
      <c r="I7" s="112"/>
      <c r="J7" s="115"/>
      <c r="K7" s="116">
        <f>0.45%+1.1%+2.21%+(7.29%*3)</f>
        <v>0.25630000000000003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>
        <v>8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6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DC63B-7A56-485A-9AFD-8D46C2D84A86}">
  <sheetPr>
    <pageSetUpPr fitToPage="1"/>
  </sheetPr>
  <dimension ref="A1:N54"/>
  <sheetViews>
    <sheetView zoomScale="70" zoomScaleNormal="70" workbookViewId="0">
      <selection activeCell="G16" sqref="G16:H16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11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45617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11</v>
      </c>
      <c r="G5" s="17" t="s">
        <v>13</v>
      </c>
      <c r="H5" s="18" t="s">
        <v>15</v>
      </c>
      <c r="I5" s="12">
        <f>B5-F5</f>
        <v>49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(0.09%*5)+(0.22%*5)+(0.44%*1)</f>
        <v>1.9900000000000001E-2</v>
      </c>
      <c r="E7" s="55"/>
      <c r="F7" s="55"/>
      <c r="G7" s="56"/>
      <c r="H7" s="111" t="s">
        <v>21</v>
      </c>
      <c r="I7" s="112"/>
      <c r="J7" s="115"/>
      <c r="K7" s="116">
        <f>0.45%+1.1%+2.21%+(7.29%*3)</f>
        <v>0.25630000000000003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>
        <v>8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6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F27CA-0264-4A78-8B95-F5A8FCA99E7A}">
  <sheetPr>
    <pageSetUpPr fitToPage="1"/>
  </sheetPr>
  <dimension ref="A1:N54"/>
  <sheetViews>
    <sheetView zoomScale="70" zoomScaleNormal="70" workbookViewId="0">
      <selection activeCell="L20" sqref="L20:N20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12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45618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12</v>
      </c>
      <c r="G5" s="17" t="s">
        <v>13</v>
      </c>
      <c r="H5" s="18" t="s">
        <v>15</v>
      </c>
      <c r="I5" s="12">
        <f>B5-F5</f>
        <v>48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(0.09%*5)+(0.22%*5)+(0.44%*2)</f>
        <v>2.4300000000000002E-2</v>
      </c>
      <c r="E7" s="55"/>
      <c r="F7" s="55"/>
      <c r="G7" s="56"/>
      <c r="H7" s="111" t="s">
        <v>21</v>
      </c>
      <c r="I7" s="112"/>
      <c r="J7" s="115"/>
      <c r="K7" s="116">
        <f>0.45%+1.1%+2.21%+(7.29%*3)</f>
        <v>0.25630000000000003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>
        <v>8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6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D1289-5629-4E44-8BC2-EBCB1F2E02B0}">
  <sheetPr>
    <pageSetUpPr fitToPage="1"/>
  </sheetPr>
  <dimension ref="A1:N54"/>
  <sheetViews>
    <sheetView zoomScale="70" zoomScaleNormal="70" workbookViewId="0">
      <selection activeCell="A8" sqref="A8:N8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13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45619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13</v>
      </c>
      <c r="G5" s="17" t="s">
        <v>13</v>
      </c>
      <c r="H5" s="18" t="s">
        <v>15</v>
      </c>
      <c r="I5" s="12">
        <f>B5-F5</f>
        <v>47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(0.09%*5)+(0.22%*5)+(0.44%*3)</f>
        <v>2.87E-2</v>
      </c>
      <c r="E7" s="55"/>
      <c r="F7" s="55"/>
      <c r="G7" s="56"/>
      <c r="H7" s="111" t="s">
        <v>21</v>
      </c>
      <c r="I7" s="112"/>
      <c r="J7" s="115"/>
      <c r="K7" s="116">
        <f>0.45%+1.1%+2.21%+(7.29%*3)</f>
        <v>0.25630000000000003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>
        <v>8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6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0A67-C0BA-4B33-90BF-C2B5380B15E5}">
  <sheetPr>
    <pageSetUpPr fitToPage="1"/>
  </sheetPr>
  <dimension ref="A1:N54"/>
  <sheetViews>
    <sheetView zoomScale="70" zoomScaleNormal="70" workbookViewId="0">
      <selection activeCell="A8" sqref="A8:N8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14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45620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14</v>
      </c>
      <c r="G5" s="17" t="s">
        <v>13</v>
      </c>
      <c r="H5" s="18" t="s">
        <v>15</v>
      </c>
      <c r="I5" s="12">
        <f>B5-F5</f>
        <v>46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(0.09%*5)+(0.22%*5)+(0.44%*4)</f>
        <v>3.3100000000000004E-2</v>
      </c>
      <c r="E7" s="55"/>
      <c r="F7" s="55"/>
      <c r="G7" s="56"/>
      <c r="H7" s="111" t="s">
        <v>21</v>
      </c>
      <c r="I7" s="112"/>
      <c r="J7" s="115"/>
      <c r="K7" s="116">
        <f>0.45%+1.1%+2.21%+(7.29%*3)</f>
        <v>0.25630000000000003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23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/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/>
      <c r="B24" s="79"/>
      <c r="C24" s="79"/>
      <c r="D24" s="28"/>
      <c r="E24" s="80"/>
      <c r="F24" s="80"/>
      <c r="G24" s="81"/>
      <c r="H24" s="81"/>
      <c r="I24" s="81"/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/>
      <c r="D29" s="76"/>
      <c r="E29" s="76">
        <v>8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6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/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469B7-E882-4BC7-A51C-E3672702B6DE}">
  <sheetPr>
    <pageSetUpPr fitToPage="1"/>
  </sheetPr>
  <dimension ref="A1:N54"/>
  <sheetViews>
    <sheetView zoomScale="70" zoomScaleNormal="70" workbookViewId="0">
      <selection activeCell="K7" sqref="K7:N7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15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45621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15</v>
      </c>
      <c r="G5" s="17" t="s">
        <v>13</v>
      </c>
      <c r="H5" s="18" t="s">
        <v>15</v>
      </c>
      <c r="I5" s="12">
        <f>B5-F5</f>
        <v>45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v>3.7699999999999997E-2</v>
      </c>
      <c r="E7" s="55"/>
      <c r="F7" s="55"/>
      <c r="G7" s="56"/>
      <c r="H7" s="111" t="s">
        <v>21</v>
      </c>
      <c r="I7" s="112"/>
      <c r="J7" s="115"/>
      <c r="K7" s="116">
        <f>0.45%+1.1%+2.21%+(7.29%*3)+(1.43%*1)</f>
        <v>0.27060000000000001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95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>
        <v>70</v>
      </c>
      <c r="H16" s="128"/>
      <c r="I16" s="128">
        <v>70</v>
      </c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 t="s">
        <v>94</v>
      </c>
      <c r="B24" s="79"/>
      <c r="C24" s="79"/>
      <c r="D24" s="27" t="s">
        <v>34</v>
      </c>
      <c r="E24" s="38">
        <v>152</v>
      </c>
      <c r="F24" s="40"/>
      <c r="G24" s="81">
        <f>G16</f>
        <v>70</v>
      </c>
      <c r="H24" s="81"/>
      <c r="I24" s="81">
        <f>I16</f>
        <v>70</v>
      </c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10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>
        <v>1</v>
      </c>
      <c r="D30" s="76"/>
      <c r="E30" s="76">
        <v>7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>
        <v>1</v>
      </c>
      <c r="K31" s="76"/>
      <c r="L31" s="76">
        <v>1</v>
      </c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D71C-3C94-4248-BE35-57CDCA4E0DAF}">
  <sheetPr>
    <pageSetUpPr fitToPage="1"/>
  </sheetPr>
  <dimension ref="A1:N54"/>
  <sheetViews>
    <sheetView zoomScale="70" zoomScaleNormal="70" workbookViewId="0">
      <selection activeCell="G17" sqref="G17:H17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16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45622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16</v>
      </c>
      <c r="G5" s="17" t="s">
        <v>13</v>
      </c>
      <c r="H5" s="18" t="s">
        <v>15</v>
      </c>
      <c r="I5" s="12">
        <f>B5-F5</f>
        <v>44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3.77%+(4.37%*1)</f>
        <v>8.14E-2</v>
      </c>
      <c r="E7" s="55"/>
      <c r="F7" s="55"/>
      <c r="G7" s="56"/>
      <c r="H7" s="111" t="s">
        <v>21</v>
      </c>
      <c r="I7" s="112"/>
      <c r="J7" s="115"/>
      <c r="K7" s="116">
        <f>0.45%+1.1%+2.21%+(7.29%*3)+(1.43%*2)</f>
        <v>0.28490000000000004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95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>
        <f>152-70</f>
        <v>82</v>
      </c>
      <c r="H16" s="128"/>
      <c r="I16" s="128">
        <f>E16</f>
        <v>152</v>
      </c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/>
      <c r="H17" s="128"/>
      <c r="I17" s="128"/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 t="s">
        <v>94</v>
      </c>
      <c r="B24" s="79"/>
      <c r="C24" s="79"/>
      <c r="D24" s="27" t="s">
        <v>34</v>
      </c>
      <c r="E24" s="38">
        <v>152</v>
      </c>
      <c r="F24" s="40"/>
      <c r="G24" s="81">
        <f>G16</f>
        <v>82</v>
      </c>
      <c r="H24" s="81"/>
      <c r="I24" s="81">
        <f>I16</f>
        <v>152</v>
      </c>
      <c r="J24" s="81"/>
      <c r="K24" s="81"/>
      <c r="L24" s="31"/>
      <c r="M24" s="31"/>
      <c r="N24" s="32"/>
    </row>
    <row r="25" spans="1:14" s="3" customFormat="1" ht="19.8" x14ac:dyDescent="0.3">
      <c r="A25" s="78"/>
      <c r="B25" s="79"/>
      <c r="C25" s="79"/>
      <c r="D25" s="28"/>
      <c r="E25" s="80"/>
      <c r="F25" s="80"/>
      <c r="G25" s="81"/>
      <c r="H25" s="81"/>
      <c r="I25" s="81"/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12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>
        <v>1</v>
      </c>
      <c r="D30" s="76"/>
      <c r="E30" s="76">
        <v>8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>
        <v>1</v>
      </c>
      <c r="K31" s="76"/>
      <c r="L31" s="76">
        <v>2</v>
      </c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5C285-7D5D-4292-BF17-12EA7CB582FC}">
  <sheetPr>
    <pageSetUpPr fitToPage="1"/>
  </sheetPr>
  <dimension ref="A1:N54"/>
  <sheetViews>
    <sheetView zoomScale="70" zoomScaleNormal="70" workbookViewId="0">
      <selection activeCell="K7" sqref="K7:N7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17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45623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17</v>
      </c>
      <c r="G5" s="17" t="s">
        <v>13</v>
      </c>
      <c r="H5" s="18" t="s">
        <v>15</v>
      </c>
      <c r="I5" s="12">
        <f>B5-F5</f>
        <v>43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3.77%+(4.37%*2)</f>
        <v>0.12509999999999999</v>
      </c>
      <c r="E7" s="55"/>
      <c r="F7" s="55"/>
      <c r="G7" s="56"/>
      <c r="H7" s="111" t="s">
        <v>21</v>
      </c>
      <c r="I7" s="112"/>
      <c r="J7" s="115"/>
      <c r="K7" s="116">
        <f>0.45%+1.1%+2.21%+(7.29%*3)+(1.43%*2)+(5.6%*1)</f>
        <v>0.34090000000000004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96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>
        <f>E16</f>
        <v>152</v>
      </c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>
        <f>E17/4</f>
        <v>203</v>
      </c>
      <c r="H17" s="128"/>
      <c r="I17" s="128">
        <v>203</v>
      </c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 t="s">
        <v>94</v>
      </c>
      <c r="B24" s="79"/>
      <c r="C24" s="79"/>
      <c r="D24" s="27" t="s">
        <v>34</v>
      </c>
      <c r="E24" s="38">
        <v>152</v>
      </c>
      <c r="F24" s="40"/>
      <c r="G24" s="81">
        <f>G16</f>
        <v>0</v>
      </c>
      <c r="H24" s="81"/>
      <c r="I24" s="81">
        <f>I16</f>
        <v>152</v>
      </c>
      <c r="J24" s="81"/>
      <c r="K24" s="81"/>
      <c r="L24" s="31"/>
      <c r="M24" s="31"/>
      <c r="N24" s="32"/>
    </row>
    <row r="25" spans="1:14" s="3" customFormat="1" ht="19.8" x14ac:dyDescent="0.3">
      <c r="A25" s="78" t="s">
        <v>96</v>
      </c>
      <c r="B25" s="79"/>
      <c r="C25" s="79"/>
      <c r="D25" s="27" t="s">
        <v>34</v>
      </c>
      <c r="E25" s="38">
        <v>812</v>
      </c>
      <c r="F25" s="40"/>
      <c r="G25" s="81">
        <f>G17</f>
        <v>203</v>
      </c>
      <c r="H25" s="81"/>
      <c r="I25" s="81">
        <f>I17</f>
        <v>203</v>
      </c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14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8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>
        <v>2</v>
      </c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3499-A380-4605-AA78-11BD0668394E}">
  <sheetPr>
    <pageSetUpPr fitToPage="1"/>
  </sheetPr>
  <dimension ref="A1:N54"/>
  <sheetViews>
    <sheetView zoomScale="70" zoomScaleNormal="70" workbookViewId="0">
      <selection activeCell="K7" sqref="K7:N7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18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45624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18</v>
      </c>
      <c r="G5" s="17" t="s">
        <v>13</v>
      </c>
      <c r="H5" s="18" t="s">
        <v>15</v>
      </c>
      <c r="I5" s="12">
        <f>B5-F5</f>
        <v>42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3.77%+(4.37%*3)</f>
        <v>0.16880000000000001</v>
      </c>
      <c r="E7" s="55"/>
      <c r="F7" s="55"/>
      <c r="G7" s="56"/>
      <c r="H7" s="111" t="s">
        <v>21</v>
      </c>
      <c r="I7" s="112"/>
      <c r="J7" s="115"/>
      <c r="K7" s="116">
        <f>0.45%+1.1%+2.21%+(7.29%*3)+(1.43%*2)+(5.6%*2)</f>
        <v>0.39690000000000003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96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>
        <f>E16</f>
        <v>152</v>
      </c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>
        <v>203</v>
      </c>
      <c r="H17" s="128"/>
      <c r="I17" s="128">
        <v>406</v>
      </c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 t="s">
        <v>94</v>
      </c>
      <c r="B24" s="79"/>
      <c r="C24" s="79"/>
      <c r="D24" s="27" t="s">
        <v>34</v>
      </c>
      <c r="E24" s="38">
        <v>152</v>
      </c>
      <c r="F24" s="40"/>
      <c r="G24" s="81">
        <f>G16</f>
        <v>0</v>
      </c>
      <c r="H24" s="81"/>
      <c r="I24" s="81">
        <f>I16</f>
        <v>152</v>
      </c>
      <c r="J24" s="81"/>
      <c r="K24" s="81"/>
      <c r="L24" s="31"/>
      <c r="M24" s="31"/>
      <c r="N24" s="32"/>
    </row>
    <row r="25" spans="1:14" s="3" customFormat="1" ht="19.8" x14ac:dyDescent="0.3">
      <c r="A25" s="78" t="s">
        <v>96</v>
      </c>
      <c r="B25" s="79"/>
      <c r="C25" s="79"/>
      <c r="D25" s="27" t="s">
        <v>34</v>
      </c>
      <c r="E25" s="38">
        <v>812</v>
      </c>
      <c r="F25" s="40"/>
      <c r="G25" s="81">
        <f>G17</f>
        <v>203</v>
      </c>
      <c r="H25" s="81"/>
      <c r="I25" s="81">
        <f>I17</f>
        <v>406</v>
      </c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16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8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>
        <v>2</v>
      </c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926D-92C2-4F56-826B-A8C82BD75F1D}">
  <sheetPr>
    <pageSetUpPr fitToPage="1"/>
  </sheetPr>
  <dimension ref="A1:N54"/>
  <sheetViews>
    <sheetView zoomScale="70" zoomScaleNormal="70" workbookViewId="0">
      <selection activeCell="K7" sqref="K7:N7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19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45625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19</v>
      </c>
      <c r="G5" s="17" t="s">
        <v>13</v>
      </c>
      <c r="H5" s="18" t="s">
        <v>15</v>
      </c>
      <c r="I5" s="12">
        <f>B5-F5</f>
        <v>41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3.77%+(4.37%*4)</f>
        <v>0.21250000000000002</v>
      </c>
      <c r="E7" s="55"/>
      <c r="F7" s="55"/>
      <c r="G7" s="56"/>
      <c r="H7" s="111" t="s">
        <v>21</v>
      </c>
      <c r="I7" s="112"/>
      <c r="J7" s="115"/>
      <c r="K7" s="116">
        <f>0.45%+1.1%+2.21%+(7.29%*3)+(1.43%*2)+(5.6%*3)</f>
        <v>0.45290000000000002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96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>
        <f>E16</f>
        <v>152</v>
      </c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>
        <v>203</v>
      </c>
      <c r="H17" s="128"/>
      <c r="I17" s="128">
        <f>406+203</f>
        <v>609</v>
      </c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 t="s">
        <v>94</v>
      </c>
      <c r="B24" s="79"/>
      <c r="C24" s="79"/>
      <c r="D24" s="27" t="s">
        <v>34</v>
      </c>
      <c r="E24" s="38">
        <v>152</v>
      </c>
      <c r="F24" s="40"/>
      <c r="G24" s="81">
        <f>G16</f>
        <v>0</v>
      </c>
      <c r="H24" s="81"/>
      <c r="I24" s="81">
        <f>I16</f>
        <v>152</v>
      </c>
      <c r="J24" s="81"/>
      <c r="K24" s="81"/>
      <c r="L24" s="31"/>
      <c r="M24" s="31"/>
      <c r="N24" s="32"/>
    </row>
    <row r="25" spans="1:14" s="3" customFormat="1" ht="19.8" x14ac:dyDescent="0.3">
      <c r="A25" s="78" t="s">
        <v>96</v>
      </c>
      <c r="B25" s="79"/>
      <c r="C25" s="79"/>
      <c r="D25" s="27" t="s">
        <v>34</v>
      </c>
      <c r="E25" s="38">
        <v>812</v>
      </c>
      <c r="F25" s="40"/>
      <c r="G25" s="81">
        <f>G17</f>
        <v>203</v>
      </c>
      <c r="H25" s="81"/>
      <c r="I25" s="81">
        <f>I17</f>
        <v>609</v>
      </c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18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8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>
        <v>2</v>
      </c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FB85-5346-452B-8391-1DE04F3D3775}">
  <sheetPr>
    <pageSetUpPr fitToPage="1"/>
  </sheetPr>
  <dimension ref="A1:N54"/>
  <sheetViews>
    <sheetView tabSelected="1" zoomScale="70" zoomScaleNormal="70" workbookViewId="0">
      <selection activeCell="B6" sqref="B6:G6"/>
    </sheetView>
  </sheetViews>
  <sheetFormatPr defaultColWidth="8.88671875" defaultRowHeight="16.2" x14ac:dyDescent="0.3"/>
  <cols>
    <col min="1" max="1" width="15.6640625" style="1" customWidth="1"/>
    <col min="2" max="2" width="32.109375" style="1" customWidth="1"/>
    <col min="3" max="3" width="12.88671875" style="1" customWidth="1"/>
    <col min="4" max="4" width="8.33203125" style="1" customWidth="1"/>
    <col min="5" max="6" width="7.33203125" style="1" customWidth="1"/>
    <col min="7" max="7" width="4.21875" style="29" customWidth="1"/>
    <col min="8" max="8" width="12.44140625" style="29" customWidth="1"/>
    <col min="9" max="9" width="5.5546875" style="1" customWidth="1"/>
    <col min="10" max="10" width="11.33203125" style="1" customWidth="1"/>
    <col min="11" max="11" width="9.6640625" style="1" customWidth="1"/>
    <col min="12" max="12" width="12" style="1" customWidth="1"/>
    <col min="13" max="13" width="8.5546875" style="1" customWidth="1"/>
    <col min="14" max="14" width="16.88671875" style="1" customWidth="1"/>
    <col min="15" max="16384" width="8.88671875" style="1"/>
  </cols>
  <sheetData>
    <row r="1" spans="1:14" ht="34.200000000000003" x14ac:dyDescent="0.3">
      <c r="A1" s="119" t="s">
        <v>0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4"/>
    </row>
    <row r="2" spans="1:14" s="2" customFormat="1" ht="19.8" x14ac:dyDescent="0.3">
      <c r="A2" s="2" t="s">
        <v>1</v>
      </c>
      <c r="B2" s="5">
        <f>F5</f>
        <v>20</v>
      </c>
      <c r="G2" s="6"/>
      <c r="H2" s="6"/>
    </row>
    <row r="3" spans="1:14" s="2" customFormat="1" ht="20.399999999999999" thickBot="1" x14ac:dyDescent="0.35">
      <c r="A3" s="7" t="s">
        <v>2</v>
      </c>
      <c r="B3" s="7" t="s">
        <v>3</v>
      </c>
      <c r="C3" s="7" t="s">
        <v>4</v>
      </c>
      <c r="D3" s="7" t="s">
        <v>5</v>
      </c>
      <c r="E3" s="7" t="s">
        <v>6</v>
      </c>
      <c r="F3" s="7"/>
      <c r="G3" s="8"/>
      <c r="H3" s="6"/>
      <c r="J3" s="2" t="s">
        <v>7</v>
      </c>
      <c r="K3" s="120">
        <v>45626</v>
      </c>
      <c r="L3" s="120"/>
      <c r="M3" s="120"/>
      <c r="N3" s="9"/>
    </row>
    <row r="4" spans="1:14" ht="20.399999999999999" thickBot="1" x14ac:dyDescent="0.35">
      <c r="A4" s="10" t="s">
        <v>8</v>
      </c>
      <c r="B4" s="61" t="s">
        <v>9</v>
      </c>
      <c r="C4" s="61"/>
      <c r="D4" s="61"/>
      <c r="E4" s="61"/>
      <c r="F4" s="61"/>
      <c r="G4" s="62"/>
      <c r="H4" s="121" t="s">
        <v>10</v>
      </c>
      <c r="I4" s="122"/>
      <c r="J4" s="123"/>
      <c r="K4" s="121" t="s">
        <v>11</v>
      </c>
      <c r="L4" s="122"/>
      <c r="M4" s="122"/>
      <c r="N4" s="123"/>
    </row>
    <row r="5" spans="1:14" ht="20.399999999999999" thickBot="1" x14ac:dyDescent="0.35">
      <c r="A5" s="14" t="s">
        <v>12</v>
      </c>
      <c r="B5" s="13">
        <v>60</v>
      </c>
      <c r="C5" s="15" t="s">
        <v>13</v>
      </c>
      <c r="D5" s="124" t="s">
        <v>14</v>
      </c>
      <c r="E5" s="125"/>
      <c r="F5" s="16">
        <v>20</v>
      </c>
      <c r="G5" s="17" t="s">
        <v>13</v>
      </c>
      <c r="H5" s="18" t="s">
        <v>15</v>
      </c>
      <c r="I5" s="12">
        <f>B5-F5</f>
        <v>40</v>
      </c>
      <c r="J5" s="11" t="s">
        <v>13</v>
      </c>
      <c r="K5" s="126" t="s">
        <v>16</v>
      </c>
      <c r="L5" s="127"/>
      <c r="M5" s="19"/>
      <c r="N5" s="20" t="s">
        <v>17</v>
      </c>
    </row>
    <row r="6" spans="1:14" ht="20.399999999999999" thickBot="1" x14ac:dyDescent="0.35">
      <c r="A6" s="21" t="s">
        <v>18</v>
      </c>
      <c r="B6" s="104">
        <v>45607</v>
      </c>
      <c r="C6" s="104"/>
      <c r="D6" s="104"/>
      <c r="E6" s="104"/>
      <c r="F6" s="104"/>
      <c r="G6" s="105"/>
      <c r="H6" s="106" t="s">
        <v>19</v>
      </c>
      <c r="I6" s="106"/>
      <c r="J6" s="107"/>
      <c r="K6" s="108">
        <v>45300</v>
      </c>
      <c r="L6" s="109"/>
      <c r="M6" s="109"/>
      <c r="N6" s="110"/>
    </row>
    <row r="7" spans="1:14" ht="20.399999999999999" thickBot="1" x14ac:dyDescent="0.35">
      <c r="A7" s="111" t="s">
        <v>20</v>
      </c>
      <c r="B7" s="112"/>
      <c r="C7" s="113"/>
      <c r="D7" s="114">
        <f>3.77%+(4.37%*5)</f>
        <v>0.25620000000000004</v>
      </c>
      <c r="E7" s="55"/>
      <c r="F7" s="55"/>
      <c r="G7" s="56"/>
      <c r="H7" s="111" t="s">
        <v>21</v>
      </c>
      <c r="I7" s="112"/>
      <c r="J7" s="115"/>
      <c r="K7" s="116">
        <f>0.45%+1.1%+2.21%+(7.29%*3)+(1.43%*2)+(5.6%*4)</f>
        <v>0.50890000000000002</v>
      </c>
      <c r="L7" s="117"/>
      <c r="M7" s="117"/>
      <c r="N7" s="118"/>
    </row>
    <row r="8" spans="1:14" s="3" customFormat="1" ht="19.8" x14ac:dyDescent="0.3">
      <c r="A8" s="90" t="s">
        <v>22</v>
      </c>
      <c r="B8" s="91"/>
      <c r="C8" s="91"/>
      <c r="D8" s="91"/>
      <c r="E8" s="91"/>
      <c r="F8" s="91"/>
      <c r="G8" s="91"/>
      <c r="H8" s="91"/>
      <c r="I8" s="91"/>
      <c r="J8" s="91"/>
      <c r="K8" s="92"/>
      <c r="L8" s="92"/>
      <c r="M8" s="92"/>
      <c r="N8" s="93"/>
    </row>
    <row r="9" spans="1:14" s="3" customFormat="1" ht="22.8" customHeight="1" thickBot="1" x14ac:dyDescent="0.35">
      <c r="A9" s="94" t="s">
        <v>96</v>
      </c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6"/>
    </row>
    <row r="10" spans="1:14" s="3" customFormat="1" ht="19.8" x14ac:dyDescent="0.4">
      <c r="A10" s="97" t="s">
        <v>24</v>
      </c>
      <c r="B10" s="98"/>
      <c r="C10" s="98"/>
      <c r="D10" s="22" t="s">
        <v>25</v>
      </c>
      <c r="E10" s="99" t="s">
        <v>26</v>
      </c>
      <c r="F10" s="99"/>
      <c r="G10" s="100" t="s">
        <v>27</v>
      </c>
      <c r="H10" s="100"/>
      <c r="I10" s="101" t="s">
        <v>28</v>
      </c>
      <c r="J10" s="101"/>
      <c r="K10" s="101"/>
      <c r="L10" s="100"/>
      <c r="M10" s="100"/>
      <c r="N10" s="102"/>
    </row>
    <row r="11" spans="1:14" customFormat="1" ht="20.100000000000001" customHeight="1" x14ac:dyDescent="0.3">
      <c r="A11" s="23" t="s">
        <v>78</v>
      </c>
      <c r="B11" s="103" t="s">
        <v>79</v>
      </c>
      <c r="C11" s="103"/>
      <c r="D11" s="24"/>
      <c r="E11" s="36"/>
      <c r="F11" s="37"/>
      <c r="G11" s="31"/>
      <c r="H11" s="31"/>
      <c r="I11" s="30"/>
      <c r="J11" s="30"/>
      <c r="K11" s="30"/>
      <c r="L11" s="31"/>
      <c r="M11" s="31"/>
      <c r="N11" s="32"/>
    </row>
    <row r="12" spans="1:14" customFormat="1" ht="36" customHeight="1" x14ac:dyDescent="0.3">
      <c r="A12" s="23" t="s">
        <v>80</v>
      </c>
      <c r="B12" s="35" t="s">
        <v>29</v>
      </c>
      <c r="C12" s="35"/>
      <c r="D12" s="26" t="s">
        <v>30</v>
      </c>
      <c r="E12" s="38">
        <v>1</v>
      </c>
      <c r="F12" s="40"/>
      <c r="G12" s="128"/>
      <c r="H12" s="128"/>
      <c r="I12" s="128">
        <v>1</v>
      </c>
      <c r="J12" s="128"/>
      <c r="K12" s="128"/>
      <c r="L12" s="31"/>
      <c r="M12" s="31"/>
      <c r="N12" s="32"/>
    </row>
    <row r="13" spans="1:14" customFormat="1" ht="36" customHeight="1" x14ac:dyDescent="0.3">
      <c r="A13" s="23" t="s">
        <v>81</v>
      </c>
      <c r="B13" s="34" t="s">
        <v>31</v>
      </c>
      <c r="C13" s="34"/>
      <c r="D13" s="26" t="s">
        <v>30</v>
      </c>
      <c r="E13" s="38">
        <v>1</v>
      </c>
      <c r="F13" s="40"/>
      <c r="G13" s="128"/>
      <c r="H13" s="128"/>
      <c r="I13" s="128">
        <v>1</v>
      </c>
      <c r="J13" s="128"/>
      <c r="K13" s="128"/>
      <c r="L13" s="31"/>
      <c r="M13" s="31"/>
      <c r="N13" s="32"/>
    </row>
    <row r="14" spans="1:14" customFormat="1" ht="36" customHeight="1" x14ac:dyDescent="0.3">
      <c r="A14" s="23" t="s">
        <v>82</v>
      </c>
      <c r="B14" s="34" t="s">
        <v>32</v>
      </c>
      <c r="C14" s="34"/>
      <c r="D14" s="26" t="s">
        <v>30</v>
      </c>
      <c r="E14" s="38">
        <v>1</v>
      </c>
      <c r="F14" s="40"/>
      <c r="G14" s="128"/>
      <c r="H14" s="128"/>
      <c r="I14" s="128">
        <v>1</v>
      </c>
      <c r="J14" s="128"/>
      <c r="K14" s="128"/>
      <c r="L14" s="31"/>
      <c r="M14" s="31"/>
      <c r="N14" s="32"/>
    </row>
    <row r="15" spans="1:14" customFormat="1" ht="36" customHeight="1" x14ac:dyDescent="0.3">
      <c r="A15" s="23" t="s">
        <v>83</v>
      </c>
      <c r="B15" s="33" t="s">
        <v>33</v>
      </c>
      <c r="C15" s="33"/>
      <c r="D15" s="27" t="s">
        <v>34</v>
      </c>
      <c r="E15" s="38">
        <v>660</v>
      </c>
      <c r="F15" s="40"/>
      <c r="G15" s="128"/>
      <c r="H15" s="128"/>
      <c r="I15" s="128">
        <v>660</v>
      </c>
      <c r="J15" s="128"/>
      <c r="K15" s="128"/>
      <c r="L15" s="31"/>
      <c r="M15" s="31"/>
      <c r="N15" s="32"/>
    </row>
    <row r="16" spans="1:14" customFormat="1" ht="36" customHeight="1" x14ac:dyDescent="0.3">
      <c r="A16" s="23" t="s">
        <v>84</v>
      </c>
      <c r="B16" s="33" t="s">
        <v>37</v>
      </c>
      <c r="C16" s="33"/>
      <c r="D16" s="27" t="s">
        <v>34</v>
      </c>
      <c r="E16" s="38">
        <v>152</v>
      </c>
      <c r="F16" s="40"/>
      <c r="G16" s="128"/>
      <c r="H16" s="128"/>
      <c r="I16" s="128">
        <f>E16</f>
        <v>152</v>
      </c>
      <c r="J16" s="128"/>
      <c r="K16" s="128"/>
      <c r="L16" s="31"/>
      <c r="M16" s="31"/>
      <c r="N16" s="32"/>
    </row>
    <row r="17" spans="1:14" customFormat="1" ht="36" customHeight="1" x14ac:dyDescent="0.3">
      <c r="A17" s="23" t="s">
        <v>85</v>
      </c>
      <c r="B17" s="33" t="s">
        <v>38</v>
      </c>
      <c r="C17" s="33"/>
      <c r="D17" s="27" t="s">
        <v>34</v>
      </c>
      <c r="E17" s="38">
        <v>812</v>
      </c>
      <c r="F17" s="40"/>
      <c r="G17" s="128">
        <v>203</v>
      </c>
      <c r="H17" s="128"/>
      <c r="I17" s="128">
        <f>609+203</f>
        <v>812</v>
      </c>
      <c r="J17" s="128"/>
      <c r="K17" s="128"/>
      <c r="L17" s="31"/>
      <c r="M17" s="31"/>
      <c r="N17" s="32"/>
    </row>
    <row r="18" spans="1:14" customFormat="1" ht="36" customHeight="1" x14ac:dyDescent="0.3">
      <c r="A18" s="23" t="s">
        <v>86</v>
      </c>
      <c r="B18" s="33" t="s">
        <v>39</v>
      </c>
      <c r="C18" s="33"/>
      <c r="D18" s="27" t="s">
        <v>34</v>
      </c>
      <c r="E18" s="38">
        <v>660</v>
      </c>
      <c r="F18" s="39"/>
      <c r="G18" s="128"/>
      <c r="H18" s="128"/>
      <c r="I18" s="128"/>
      <c r="J18" s="128"/>
      <c r="K18" s="128"/>
      <c r="L18" s="31"/>
      <c r="M18" s="31"/>
      <c r="N18" s="32"/>
    </row>
    <row r="19" spans="1:14" customFormat="1" ht="36" customHeight="1" x14ac:dyDescent="0.3">
      <c r="A19" s="23" t="s">
        <v>87</v>
      </c>
      <c r="B19" s="33" t="s">
        <v>40</v>
      </c>
      <c r="C19" s="33"/>
      <c r="D19" s="27" t="s">
        <v>34</v>
      </c>
      <c r="E19" s="38">
        <v>152</v>
      </c>
      <c r="F19" s="40"/>
      <c r="G19" s="128"/>
      <c r="H19" s="128"/>
      <c r="I19" s="128"/>
      <c r="J19" s="128"/>
      <c r="K19" s="128"/>
      <c r="L19" s="31"/>
      <c r="M19" s="31"/>
      <c r="N19" s="32"/>
    </row>
    <row r="20" spans="1:14" customFormat="1" ht="36" customHeight="1" x14ac:dyDescent="0.3">
      <c r="A20" s="23" t="s">
        <v>88</v>
      </c>
      <c r="B20" s="47" t="s">
        <v>41</v>
      </c>
      <c r="C20" s="47"/>
      <c r="D20" s="27" t="s">
        <v>42</v>
      </c>
      <c r="E20" s="38">
        <v>5</v>
      </c>
      <c r="F20" s="40"/>
      <c r="G20" s="128"/>
      <c r="H20" s="128"/>
      <c r="I20" s="128"/>
      <c r="J20" s="128"/>
      <c r="K20" s="128"/>
      <c r="L20" s="31"/>
      <c r="M20" s="31"/>
      <c r="N20" s="32"/>
    </row>
    <row r="21" spans="1:14" customFormat="1" ht="36" customHeight="1" x14ac:dyDescent="0.3">
      <c r="A21" s="23" t="s">
        <v>89</v>
      </c>
      <c r="B21" s="33" t="s">
        <v>35</v>
      </c>
      <c r="C21" s="33"/>
      <c r="D21" s="27" t="s">
        <v>36</v>
      </c>
      <c r="E21" s="38">
        <v>1</v>
      </c>
      <c r="F21" s="40"/>
      <c r="G21" s="128"/>
      <c r="H21" s="128"/>
      <c r="I21" s="128"/>
      <c r="J21" s="128"/>
      <c r="K21" s="128"/>
      <c r="L21" s="31"/>
      <c r="M21" s="31"/>
      <c r="N21" s="32"/>
    </row>
    <row r="22" spans="1:14" s="3" customFormat="1" ht="19.8" x14ac:dyDescent="0.3">
      <c r="A22" s="85" t="s">
        <v>43</v>
      </c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</row>
    <row r="23" spans="1:14" s="3" customFormat="1" ht="19.8" x14ac:dyDescent="0.3">
      <c r="A23" s="88" t="s">
        <v>44</v>
      </c>
      <c r="B23" s="31"/>
      <c r="C23" s="31"/>
      <c r="D23" s="25" t="s">
        <v>25</v>
      </c>
      <c r="E23" s="89" t="s">
        <v>45</v>
      </c>
      <c r="F23" s="89"/>
      <c r="G23" s="31" t="s">
        <v>27</v>
      </c>
      <c r="H23" s="31"/>
      <c r="I23" s="89" t="s">
        <v>28</v>
      </c>
      <c r="J23" s="89"/>
      <c r="K23" s="89"/>
      <c r="L23" s="31" t="s">
        <v>46</v>
      </c>
      <c r="M23" s="31"/>
      <c r="N23" s="32"/>
    </row>
    <row r="24" spans="1:14" s="3" customFormat="1" ht="19.8" x14ac:dyDescent="0.3">
      <c r="A24" s="78" t="s">
        <v>94</v>
      </c>
      <c r="B24" s="79"/>
      <c r="C24" s="79"/>
      <c r="D24" s="27" t="s">
        <v>34</v>
      </c>
      <c r="E24" s="38">
        <v>152</v>
      </c>
      <c r="F24" s="40"/>
      <c r="G24" s="81">
        <f>G16</f>
        <v>0</v>
      </c>
      <c r="H24" s="81"/>
      <c r="I24" s="81">
        <f>I16</f>
        <v>152</v>
      </c>
      <c r="J24" s="81"/>
      <c r="K24" s="81"/>
      <c r="L24" s="31"/>
      <c r="M24" s="31"/>
      <c r="N24" s="32"/>
    </row>
    <row r="25" spans="1:14" s="3" customFormat="1" ht="19.8" x14ac:dyDescent="0.3">
      <c r="A25" s="78" t="s">
        <v>96</v>
      </c>
      <c r="B25" s="79"/>
      <c r="C25" s="79"/>
      <c r="D25" s="27" t="s">
        <v>34</v>
      </c>
      <c r="E25" s="38">
        <v>812</v>
      </c>
      <c r="F25" s="40"/>
      <c r="G25" s="81">
        <f>G17</f>
        <v>203</v>
      </c>
      <c r="H25" s="81"/>
      <c r="I25" s="81">
        <f>I17</f>
        <v>812</v>
      </c>
      <c r="J25" s="81"/>
      <c r="K25" s="81"/>
      <c r="L25" s="31"/>
      <c r="M25" s="31"/>
      <c r="N25" s="32"/>
    </row>
    <row r="26" spans="1:14" s="3" customFormat="1" ht="20.399999999999999" thickBot="1" x14ac:dyDescent="0.35">
      <c r="A26" s="78"/>
      <c r="B26" s="79"/>
      <c r="C26" s="79"/>
      <c r="D26" s="28"/>
      <c r="E26" s="80"/>
      <c r="F26" s="80"/>
      <c r="G26" s="81"/>
      <c r="H26" s="81"/>
      <c r="I26" s="81"/>
      <c r="J26" s="81"/>
      <c r="K26" s="81"/>
      <c r="L26" s="31"/>
      <c r="M26" s="31"/>
      <c r="N26" s="32"/>
    </row>
    <row r="27" spans="1:14" ht="19.8" x14ac:dyDescent="0.3">
      <c r="A27" s="82" t="s">
        <v>47</v>
      </c>
      <c r="B27" s="83"/>
      <c r="C27" s="83"/>
      <c r="D27" s="83"/>
      <c r="E27" s="83"/>
      <c r="F27" s="83"/>
      <c r="G27" s="83"/>
      <c r="H27" s="83"/>
      <c r="I27" s="83"/>
      <c r="J27" s="83"/>
      <c r="K27" s="83"/>
      <c r="L27" s="83"/>
      <c r="M27" s="83"/>
      <c r="N27" s="84"/>
    </row>
    <row r="28" spans="1:14" ht="19.8" x14ac:dyDescent="0.3">
      <c r="A28" s="75" t="s">
        <v>48</v>
      </c>
      <c r="B28" s="76"/>
      <c r="C28" s="76" t="s">
        <v>49</v>
      </c>
      <c r="D28" s="76"/>
      <c r="E28" s="76" t="s">
        <v>50</v>
      </c>
      <c r="F28" s="76"/>
      <c r="G28" s="76"/>
      <c r="H28" s="76" t="s">
        <v>51</v>
      </c>
      <c r="I28" s="76"/>
      <c r="J28" s="76" t="s">
        <v>52</v>
      </c>
      <c r="K28" s="76"/>
      <c r="L28" s="76" t="s">
        <v>53</v>
      </c>
      <c r="M28" s="76"/>
      <c r="N28" s="77"/>
    </row>
    <row r="29" spans="1:14" ht="19.8" x14ac:dyDescent="0.3">
      <c r="A29" s="75" t="s">
        <v>54</v>
      </c>
      <c r="B29" s="76"/>
      <c r="C29" s="76">
        <v>2</v>
      </c>
      <c r="D29" s="76"/>
      <c r="E29" s="76">
        <v>20</v>
      </c>
      <c r="F29" s="76"/>
      <c r="G29" s="76"/>
      <c r="H29" s="76" t="s">
        <v>55</v>
      </c>
      <c r="I29" s="76"/>
      <c r="J29" s="76"/>
      <c r="K29" s="76"/>
      <c r="L29" s="76">
        <v>1</v>
      </c>
      <c r="M29" s="76"/>
      <c r="N29" s="77"/>
    </row>
    <row r="30" spans="1:14" ht="19.8" x14ac:dyDescent="0.3">
      <c r="A30" s="75" t="s">
        <v>56</v>
      </c>
      <c r="B30" s="76"/>
      <c r="C30" s="76"/>
      <c r="D30" s="76"/>
      <c r="E30" s="76">
        <v>8</v>
      </c>
      <c r="F30" s="76"/>
      <c r="G30" s="76"/>
      <c r="H30" s="76" t="s">
        <v>57</v>
      </c>
      <c r="I30" s="76"/>
      <c r="J30" s="76"/>
      <c r="K30" s="76"/>
      <c r="L30" s="76">
        <v>6</v>
      </c>
      <c r="M30" s="76"/>
      <c r="N30" s="77"/>
    </row>
    <row r="31" spans="1:14" ht="19.8" x14ac:dyDescent="0.3">
      <c r="A31" s="75" t="s">
        <v>58</v>
      </c>
      <c r="B31" s="76"/>
      <c r="C31" s="76"/>
      <c r="D31" s="76"/>
      <c r="E31" s="76">
        <v>1</v>
      </c>
      <c r="F31" s="76"/>
      <c r="G31" s="76"/>
      <c r="H31" s="76" t="s">
        <v>90</v>
      </c>
      <c r="I31" s="76"/>
      <c r="J31" s="76"/>
      <c r="K31" s="76"/>
      <c r="L31" s="76">
        <v>2</v>
      </c>
      <c r="M31" s="76"/>
      <c r="N31" s="77"/>
    </row>
    <row r="32" spans="1:14" ht="19.8" x14ac:dyDescent="0.3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7"/>
    </row>
    <row r="33" spans="1:14" ht="19.8" x14ac:dyDescent="0.3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7"/>
    </row>
    <row r="34" spans="1:14" ht="20.399999999999999" thickBot="1" x14ac:dyDescent="0.35">
      <c r="A34" s="72"/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4"/>
    </row>
    <row r="35" spans="1:14" ht="45" customHeight="1" thickBot="1" x14ac:dyDescent="0.35">
      <c r="A35" s="69" t="s">
        <v>59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1"/>
    </row>
    <row r="36" spans="1:14" ht="19.8" x14ac:dyDescent="0.3">
      <c r="A36" s="63" t="s">
        <v>60</v>
      </c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5"/>
    </row>
    <row r="37" spans="1:14" ht="19.8" x14ac:dyDescent="0.3">
      <c r="A37" s="54" t="s">
        <v>61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6"/>
    </row>
    <row r="38" spans="1:14" ht="19.8" x14ac:dyDescent="0.3">
      <c r="A38" s="54" t="s">
        <v>62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6"/>
    </row>
    <row r="39" spans="1:14" ht="19.8" x14ac:dyDescent="0.3">
      <c r="A39" s="54" t="s">
        <v>63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6"/>
    </row>
    <row r="40" spans="1:14" ht="19.8" x14ac:dyDescent="0.3">
      <c r="A40" s="54" t="s">
        <v>64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6"/>
    </row>
    <row r="41" spans="1:14" ht="19.8" x14ac:dyDescent="0.3">
      <c r="A41" s="54" t="s">
        <v>65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6"/>
    </row>
    <row r="42" spans="1:14" ht="20.399999999999999" thickBot="1" x14ac:dyDescent="0.35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9"/>
    </row>
    <row r="43" spans="1:14" ht="20.399999999999999" thickBot="1" x14ac:dyDescent="0.35">
      <c r="A43" s="60" t="s">
        <v>66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2"/>
    </row>
    <row r="44" spans="1:14" ht="20.399999999999999" thickBot="1" x14ac:dyDescent="0.35">
      <c r="A44" s="60" t="s">
        <v>67</v>
      </c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2"/>
    </row>
    <row r="45" spans="1:14" ht="20.399999999999999" thickBot="1" x14ac:dyDescent="0.35">
      <c r="A45" s="63" t="s">
        <v>68</v>
      </c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5"/>
    </row>
    <row r="46" spans="1:14" ht="54" customHeight="1" thickBot="1" x14ac:dyDescent="0.35">
      <c r="A46" s="66" t="s">
        <v>69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68"/>
    </row>
    <row r="47" spans="1:14" x14ac:dyDescent="0.3">
      <c r="A47" s="48" t="s">
        <v>70</v>
      </c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50"/>
    </row>
    <row r="48" spans="1:14" x14ac:dyDescent="0.3">
      <c r="A48" s="51" t="s">
        <v>71</v>
      </c>
      <c r="B48" s="52"/>
      <c r="C48" s="52"/>
      <c r="D48" s="52"/>
      <c r="E48" s="52"/>
      <c r="F48" s="52"/>
      <c r="G48" s="52"/>
      <c r="H48" s="52"/>
      <c r="I48" s="52"/>
      <c r="J48" s="52"/>
      <c r="K48" s="52"/>
      <c r="L48" s="52"/>
      <c r="M48" s="52"/>
      <c r="N48" s="53"/>
    </row>
    <row r="49" spans="1:14" x14ac:dyDescent="0.3">
      <c r="A49" s="41" t="s">
        <v>72</v>
      </c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3"/>
    </row>
    <row r="50" spans="1:14" x14ac:dyDescent="0.3">
      <c r="A50" s="41" t="s">
        <v>73</v>
      </c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3"/>
    </row>
    <row r="51" spans="1:14" x14ac:dyDescent="0.3">
      <c r="A51" s="41" t="s">
        <v>74</v>
      </c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3"/>
    </row>
    <row r="52" spans="1:14" x14ac:dyDescent="0.3">
      <c r="A52" s="41" t="s">
        <v>75</v>
      </c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3"/>
    </row>
    <row r="53" spans="1:14" x14ac:dyDescent="0.3">
      <c r="A53" s="41" t="s">
        <v>76</v>
      </c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3"/>
    </row>
    <row r="54" spans="1:14" ht="16.8" thickBot="1" x14ac:dyDescent="0.35">
      <c r="A54" s="44" t="s">
        <v>77</v>
      </c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6"/>
    </row>
  </sheetData>
  <mergeCells count="160">
    <mergeCell ref="A1:M1"/>
    <mergeCell ref="K3:M3"/>
    <mergeCell ref="B4:G4"/>
    <mergeCell ref="H4:J4"/>
    <mergeCell ref="K4:N4"/>
    <mergeCell ref="D5:E5"/>
    <mergeCell ref="K5:L5"/>
    <mergeCell ref="A8:N8"/>
    <mergeCell ref="A9:N9"/>
    <mergeCell ref="A10:C10"/>
    <mergeCell ref="E10:F10"/>
    <mergeCell ref="G10:H10"/>
    <mergeCell ref="I10:K10"/>
    <mergeCell ref="L10:N10"/>
    <mergeCell ref="B6:G6"/>
    <mergeCell ref="H6:J6"/>
    <mergeCell ref="K6:N6"/>
    <mergeCell ref="A7:C7"/>
    <mergeCell ref="D7:G7"/>
    <mergeCell ref="H7:J7"/>
    <mergeCell ref="K7:N7"/>
    <mergeCell ref="B11:C11"/>
    <mergeCell ref="E11:F11"/>
    <mergeCell ref="G11:H11"/>
    <mergeCell ref="I11:K11"/>
    <mergeCell ref="L11:N11"/>
    <mergeCell ref="B12:C12"/>
    <mergeCell ref="E12:F12"/>
    <mergeCell ref="G12:H12"/>
    <mergeCell ref="I12:K12"/>
    <mergeCell ref="L12:N12"/>
    <mergeCell ref="B13:C13"/>
    <mergeCell ref="E13:F13"/>
    <mergeCell ref="G13:H13"/>
    <mergeCell ref="I13:K13"/>
    <mergeCell ref="L13:N13"/>
    <mergeCell ref="B14:C14"/>
    <mergeCell ref="E14:F14"/>
    <mergeCell ref="G14:H14"/>
    <mergeCell ref="I14:K14"/>
    <mergeCell ref="L14:N14"/>
    <mergeCell ref="B15:C15"/>
    <mergeCell ref="E15:F15"/>
    <mergeCell ref="G15:H15"/>
    <mergeCell ref="I15:K15"/>
    <mergeCell ref="L15:N15"/>
    <mergeCell ref="B16:C16"/>
    <mergeCell ref="E16:F16"/>
    <mergeCell ref="G16:H16"/>
    <mergeCell ref="I16:K16"/>
    <mergeCell ref="L16:N16"/>
    <mergeCell ref="B17:C17"/>
    <mergeCell ref="E17:F17"/>
    <mergeCell ref="G17:H17"/>
    <mergeCell ref="I17:K17"/>
    <mergeCell ref="L17:N17"/>
    <mergeCell ref="B18:C18"/>
    <mergeCell ref="E18:F18"/>
    <mergeCell ref="G18:H18"/>
    <mergeCell ref="I18:K18"/>
    <mergeCell ref="L18:N18"/>
    <mergeCell ref="B21:C21"/>
    <mergeCell ref="E21:F21"/>
    <mergeCell ref="G21:H21"/>
    <mergeCell ref="I21:K21"/>
    <mergeCell ref="L21:N21"/>
    <mergeCell ref="A22:N22"/>
    <mergeCell ref="B19:C19"/>
    <mergeCell ref="E19:F19"/>
    <mergeCell ref="G19:H19"/>
    <mergeCell ref="I19:K19"/>
    <mergeCell ref="L19:N19"/>
    <mergeCell ref="B20:C20"/>
    <mergeCell ref="E20:F20"/>
    <mergeCell ref="G20:H20"/>
    <mergeCell ref="I20:K20"/>
    <mergeCell ref="L20:N20"/>
    <mergeCell ref="A23:C23"/>
    <mergeCell ref="E23:F23"/>
    <mergeCell ref="G23:H23"/>
    <mergeCell ref="I23:K23"/>
    <mergeCell ref="L23:N23"/>
    <mergeCell ref="A24:C24"/>
    <mergeCell ref="E24:F24"/>
    <mergeCell ref="G24:H24"/>
    <mergeCell ref="I24:K24"/>
    <mergeCell ref="L24:N24"/>
    <mergeCell ref="A25:C25"/>
    <mergeCell ref="E25:F25"/>
    <mergeCell ref="G25:H25"/>
    <mergeCell ref="I25:K25"/>
    <mergeCell ref="L25:N25"/>
    <mergeCell ref="A26:C26"/>
    <mergeCell ref="E26:F26"/>
    <mergeCell ref="G26:H26"/>
    <mergeCell ref="I26:K26"/>
    <mergeCell ref="L26:N26"/>
    <mergeCell ref="A29:B29"/>
    <mergeCell ref="C29:D29"/>
    <mergeCell ref="E29:G29"/>
    <mergeCell ref="H29:I29"/>
    <mergeCell ref="J29:K29"/>
    <mergeCell ref="L29:N29"/>
    <mergeCell ref="A27:N27"/>
    <mergeCell ref="A28:B28"/>
    <mergeCell ref="C28:D28"/>
    <mergeCell ref="E28:G28"/>
    <mergeCell ref="H28:I28"/>
    <mergeCell ref="J28:K28"/>
    <mergeCell ref="L28:N28"/>
    <mergeCell ref="A31:B31"/>
    <mergeCell ref="C31:D31"/>
    <mergeCell ref="E31:G31"/>
    <mergeCell ref="H31:I31"/>
    <mergeCell ref="J31:K31"/>
    <mergeCell ref="L31:N31"/>
    <mergeCell ref="A30:B30"/>
    <mergeCell ref="C30:D30"/>
    <mergeCell ref="E30:G30"/>
    <mergeCell ref="H30:I30"/>
    <mergeCell ref="J30:K30"/>
    <mergeCell ref="L30:N30"/>
    <mergeCell ref="A33:B33"/>
    <mergeCell ref="C33:D33"/>
    <mergeCell ref="E33:G33"/>
    <mergeCell ref="H33:I33"/>
    <mergeCell ref="J33:K33"/>
    <mergeCell ref="L33:N33"/>
    <mergeCell ref="A32:B32"/>
    <mergeCell ref="C32:D32"/>
    <mergeCell ref="E32:G32"/>
    <mergeCell ref="H32:I32"/>
    <mergeCell ref="J32:K32"/>
    <mergeCell ref="L32:N32"/>
    <mergeCell ref="A35:N35"/>
    <mergeCell ref="A36:N36"/>
    <mergeCell ref="A37:N37"/>
    <mergeCell ref="A38:N38"/>
    <mergeCell ref="A39:N39"/>
    <mergeCell ref="A40:N40"/>
    <mergeCell ref="A34:B34"/>
    <mergeCell ref="C34:D34"/>
    <mergeCell ref="E34:G34"/>
    <mergeCell ref="H34:I34"/>
    <mergeCell ref="J34:K34"/>
    <mergeCell ref="L34:N34"/>
    <mergeCell ref="A53:N53"/>
    <mergeCell ref="A54:N54"/>
    <mergeCell ref="A47:N47"/>
    <mergeCell ref="A48:N48"/>
    <mergeCell ref="A49:N49"/>
    <mergeCell ref="A50:N50"/>
    <mergeCell ref="A51:N51"/>
    <mergeCell ref="A52:N52"/>
    <mergeCell ref="A41:N41"/>
    <mergeCell ref="A42:N42"/>
    <mergeCell ref="A43:N43"/>
    <mergeCell ref="A44:N44"/>
    <mergeCell ref="A45:N45"/>
    <mergeCell ref="A46:N46"/>
  </mergeCells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1131111 (1)</vt:lpstr>
      <vt:lpstr>1131112 (2)</vt:lpstr>
      <vt:lpstr>1131113 (3)</vt:lpstr>
      <vt:lpstr>1131114 (4)</vt:lpstr>
      <vt:lpstr>1131115 (5)</vt:lpstr>
      <vt:lpstr>1131116 (6)</vt:lpstr>
      <vt:lpstr>1131117 (7)</vt:lpstr>
      <vt:lpstr>1131118 (8)</vt:lpstr>
      <vt:lpstr>1131119 (9)</vt:lpstr>
      <vt:lpstr>1131120 (10)</vt:lpstr>
      <vt:lpstr>1131121 (11)</vt:lpstr>
      <vt:lpstr>1131122 (12)</vt:lpstr>
      <vt:lpstr>1131123 (13)</vt:lpstr>
      <vt:lpstr>1131124 (14)</vt:lpstr>
      <vt:lpstr>1131125 (15)</vt:lpstr>
      <vt:lpstr>1131126 (16)</vt:lpstr>
      <vt:lpstr>1131127 (17)</vt:lpstr>
      <vt:lpstr>1131128 (18)</vt:lpstr>
      <vt:lpstr>1131129 (19)</vt:lpstr>
      <vt:lpstr>1131130 (20)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營造有限公司 義鼎</dc:creator>
  <cp:lastModifiedBy>營造有限公司 義鼎</cp:lastModifiedBy>
  <cp:lastPrinted>2024-12-04T00:19:11Z</cp:lastPrinted>
  <dcterms:created xsi:type="dcterms:W3CDTF">2024-12-04T00:09:29Z</dcterms:created>
  <dcterms:modified xsi:type="dcterms:W3CDTF">2024-12-04T01:10:20Z</dcterms:modified>
</cp:coreProperties>
</file>