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.231\共用資料夾\123-pc\01-發包圖檔\114-嘉義縣立永慶高級中學-114年度沙灘排球場地整建(振典)\日報表\"/>
    </mc:Choice>
  </mc:AlternateContent>
  <bookViews>
    <workbookView xWindow="0" yWindow="0" windowWidth="14520" windowHeight="10470" activeTab="1"/>
  </bookViews>
  <sheets>
    <sheet name="11月" sheetId="1" r:id="rId1"/>
    <sheet name="12月" sheetId="2" r:id="rId2"/>
    <sheet name="115年1月" sheetId="3" r:id="rId3"/>
  </sheets>
  <definedNames>
    <definedName name="_xlnm.Print_Area" localSheetId="2">'115年1月'!$A$1:$M$870</definedName>
    <definedName name="_xlnm.Print_Area" localSheetId="0">'11月'!$A$1:$M$231</definedName>
    <definedName name="_xlnm.Print_Area" localSheetId="1">'12月'!$A$1:$M$1797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13" i="2" l="1"/>
  <c r="J355" i="2"/>
  <c r="J239" i="2"/>
  <c r="J181" i="2"/>
  <c r="J123" i="2"/>
  <c r="J65" i="2"/>
  <c r="J181" i="1"/>
  <c r="J123" i="1"/>
  <c r="J65" i="1"/>
  <c r="J180" i="1"/>
  <c r="J297" i="2" l="1"/>
  <c r="J471" i="2" s="1"/>
  <c r="J529" i="2" s="1"/>
  <c r="J587" i="2" s="1"/>
  <c r="J645" i="2" s="1"/>
  <c r="J703" i="2" s="1"/>
  <c r="J761" i="2" s="1"/>
  <c r="J819" i="2" s="1"/>
  <c r="J877" i="2" s="1"/>
  <c r="J935" i="2" s="1"/>
  <c r="J993" i="2" s="1"/>
  <c r="H1772" i="3" l="1"/>
  <c r="H1771" i="3"/>
  <c r="H1770" i="3"/>
  <c r="P1759" i="3"/>
  <c r="P1758" i="3"/>
  <c r="P1757" i="3"/>
  <c r="P1756" i="3"/>
  <c r="P1755" i="3"/>
  <c r="P1754" i="3"/>
  <c r="P1753" i="3"/>
  <c r="P1752" i="3"/>
  <c r="P1751" i="3"/>
  <c r="H1714" i="3"/>
  <c r="H1713" i="3"/>
  <c r="H1712" i="3"/>
  <c r="P1701" i="3"/>
  <c r="P1700" i="3"/>
  <c r="P1699" i="3"/>
  <c r="P1698" i="3"/>
  <c r="P1697" i="3"/>
  <c r="P1696" i="3"/>
  <c r="P1695" i="3"/>
  <c r="P1694" i="3"/>
  <c r="P1693" i="3"/>
  <c r="H1656" i="3"/>
  <c r="H1655" i="3"/>
  <c r="H1654" i="3"/>
  <c r="P1643" i="3"/>
  <c r="P1642" i="3"/>
  <c r="P1641" i="3"/>
  <c r="P1640" i="3"/>
  <c r="P1639" i="3"/>
  <c r="P1638" i="3"/>
  <c r="P1637" i="3"/>
  <c r="P1636" i="3"/>
  <c r="P1635" i="3"/>
  <c r="H1598" i="3"/>
  <c r="H1597" i="3"/>
  <c r="H1596" i="3"/>
  <c r="P1585" i="3"/>
  <c r="P1584" i="3"/>
  <c r="P1583" i="3"/>
  <c r="P1582" i="3"/>
  <c r="P1581" i="3"/>
  <c r="P1580" i="3"/>
  <c r="P1579" i="3"/>
  <c r="P1578" i="3"/>
  <c r="P1577" i="3"/>
  <c r="H1540" i="3"/>
  <c r="H1539" i="3"/>
  <c r="H1538" i="3"/>
  <c r="P1527" i="3"/>
  <c r="P1526" i="3"/>
  <c r="P1525" i="3"/>
  <c r="P1524" i="3"/>
  <c r="P1523" i="3"/>
  <c r="P1522" i="3"/>
  <c r="P1521" i="3"/>
  <c r="P1520" i="3"/>
  <c r="P1519" i="3"/>
  <c r="Q1528" i="3" s="1"/>
  <c r="P1529" i="3" s="1"/>
  <c r="H1482" i="3"/>
  <c r="H1481" i="3"/>
  <c r="H1480" i="3"/>
  <c r="P1469" i="3"/>
  <c r="P1468" i="3"/>
  <c r="P1467" i="3"/>
  <c r="P1466" i="3"/>
  <c r="P1465" i="3"/>
  <c r="P1464" i="3"/>
  <c r="P1463" i="3"/>
  <c r="P1462" i="3"/>
  <c r="P1461" i="3"/>
  <c r="H1424" i="3"/>
  <c r="H1423" i="3"/>
  <c r="H1422" i="3"/>
  <c r="P1411" i="3"/>
  <c r="P1410" i="3"/>
  <c r="P1409" i="3"/>
  <c r="P1408" i="3"/>
  <c r="P1407" i="3"/>
  <c r="P1406" i="3"/>
  <c r="P1405" i="3"/>
  <c r="P1404" i="3"/>
  <c r="P1403" i="3"/>
  <c r="H1366" i="3"/>
  <c r="H1365" i="3"/>
  <c r="H1364" i="3"/>
  <c r="P1353" i="3"/>
  <c r="P1352" i="3"/>
  <c r="P1351" i="3"/>
  <c r="P1350" i="3"/>
  <c r="P1349" i="3"/>
  <c r="P1348" i="3"/>
  <c r="P1347" i="3"/>
  <c r="P1346" i="3"/>
  <c r="P1345" i="3"/>
  <c r="H1308" i="3"/>
  <c r="H1307" i="3"/>
  <c r="H1306" i="3"/>
  <c r="P1295" i="3"/>
  <c r="P1294" i="3"/>
  <c r="P1293" i="3"/>
  <c r="P1292" i="3"/>
  <c r="P1291" i="3"/>
  <c r="P1290" i="3"/>
  <c r="P1289" i="3"/>
  <c r="P1288" i="3"/>
  <c r="P1287" i="3"/>
  <c r="H1250" i="3"/>
  <c r="H1249" i="3"/>
  <c r="H1248" i="3"/>
  <c r="P1237" i="3"/>
  <c r="P1236" i="3"/>
  <c r="P1235" i="3"/>
  <c r="P1234" i="3"/>
  <c r="P1233" i="3"/>
  <c r="P1232" i="3"/>
  <c r="P1231" i="3"/>
  <c r="P1230" i="3"/>
  <c r="P1229" i="3"/>
  <c r="H1192" i="3"/>
  <c r="H1191" i="3"/>
  <c r="H1190" i="3"/>
  <c r="P1179" i="3"/>
  <c r="P1178" i="3"/>
  <c r="P1177" i="3"/>
  <c r="P1176" i="3"/>
  <c r="P1175" i="3"/>
  <c r="P1174" i="3"/>
  <c r="P1173" i="3"/>
  <c r="P1172" i="3"/>
  <c r="P1171" i="3"/>
  <c r="H1134" i="3"/>
  <c r="H1133" i="3"/>
  <c r="H1132" i="3"/>
  <c r="P1121" i="3"/>
  <c r="P1120" i="3"/>
  <c r="P1119" i="3"/>
  <c r="P1118" i="3"/>
  <c r="P1117" i="3"/>
  <c r="P1116" i="3"/>
  <c r="P1115" i="3"/>
  <c r="P1114" i="3"/>
  <c r="P1113" i="3"/>
  <c r="H1076" i="3"/>
  <c r="H1075" i="3"/>
  <c r="H1074" i="3"/>
  <c r="P1063" i="3"/>
  <c r="P1062" i="3"/>
  <c r="P1061" i="3"/>
  <c r="P1060" i="3"/>
  <c r="P1059" i="3"/>
  <c r="P1058" i="3"/>
  <c r="P1057" i="3"/>
  <c r="P1056" i="3"/>
  <c r="P1055" i="3"/>
  <c r="H1018" i="3"/>
  <c r="H1017" i="3"/>
  <c r="H1016" i="3"/>
  <c r="P1005" i="3"/>
  <c r="P1004" i="3"/>
  <c r="P1003" i="3"/>
  <c r="P1002" i="3"/>
  <c r="P1001" i="3"/>
  <c r="P1000" i="3"/>
  <c r="P999" i="3"/>
  <c r="P998" i="3"/>
  <c r="P997" i="3"/>
  <c r="H960" i="3"/>
  <c r="H959" i="3"/>
  <c r="H958" i="3"/>
  <c r="P947" i="3"/>
  <c r="P946" i="3"/>
  <c r="P945" i="3"/>
  <c r="P944" i="3"/>
  <c r="P943" i="3"/>
  <c r="P942" i="3"/>
  <c r="P941" i="3"/>
  <c r="P940" i="3"/>
  <c r="P939" i="3"/>
  <c r="H902" i="3"/>
  <c r="H901" i="3"/>
  <c r="H900" i="3"/>
  <c r="P889" i="3"/>
  <c r="P888" i="3"/>
  <c r="P887" i="3"/>
  <c r="P886" i="3"/>
  <c r="P885" i="3"/>
  <c r="P884" i="3"/>
  <c r="P883" i="3"/>
  <c r="P882" i="3"/>
  <c r="P881" i="3"/>
  <c r="H844" i="3"/>
  <c r="H843" i="3"/>
  <c r="H842" i="3"/>
  <c r="P831" i="3"/>
  <c r="P830" i="3"/>
  <c r="P829" i="3"/>
  <c r="P828" i="3"/>
  <c r="P827" i="3"/>
  <c r="P826" i="3"/>
  <c r="P825" i="3"/>
  <c r="P824" i="3"/>
  <c r="P823" i="3"/>
  <c r="H786" i="3"/>
  <c r="H785" i="3"/>
  <c r="H784" i="3"/>
  <c r="P773" i="3"/>
  <c r="P772" i="3"/>
  <c r="P771" i="3"/>
  <c r="P770" i="3"/>
  <c r="P769" i="3"/>
  <c r="P768" i="3"/>
  <c r="P767" i="3"/>
  <c r="P766" i="3"/>
  <c r="P765" i="3"/>
  <c r="H728" i="3"/>
  <c r="H727" i="3"/>
  <c r="H726" i="3"/>
  <c r="P715" i="3"/>
  <c r="P714" i="3"/>
  <c r="P713" i="3"/>
  <c r="P712" i="3"/>
  <c r="P711" i="3"/>
  <c r="P710" i="3"/>
  <c r="P709" i="3"/>
  <c r="P708" i="3"/>
  <c r="P707" i="3"/>
  <c r="H670" i="3"/>
  <c r="H669" i="3"/>
  <c r="H668" i="3"/>
  <c r="P657" i="3"/>
  <c r="P656" i="3"/>
  <c r="P655" i="3"/>
  <c r="P654" i="3"/>
  <c r="P653" i="3"/>
  <c r="P652" i="3"/>
  <c r="P651" i="3"/>
  <c r="P650" i="3"/>
  <c r="P649" i="3"/>
  <c r="H612" i="3"/>
  <c r="H611" i="3"/>
  <c r="H610" i="3"/>
  <c r="P599" i="3"/>
  <c r="P598" i="3"/>
  <c r="P597" i="3"/>
  <c r="P596" i="3"/>
  <c r="P595" i="3"/>
  <c r="P594" i="3"/>
  <c r="P593" i="3"/>
  <c r="P592" i="3"/>
  <c r="P591" i="3"/>
  <c r="H554" i="3"/>
  <c r="H553" i="3"/>
  <c r="H552" i="3"/>
  <c r="P541" i="3"/>
  <c r="P540" i="3"/>
  <c r="P539" i="3"/>
  <c r="P538" i="3"/>
  <c r="P537" i="3"/>
  <c r="P536" i="3"/>
  <c r="P535" i="3"/>
  <c r="P534" i="3"/>
  <c r="P533" i="3"/>
  <c r="H496" i="3"/>
  <c r="H495" i="3"/>
  <c r="H494" i="3"/>
  <c r="P483" i="3"/>
  <c r="P482" i="3"/>
  <c r="P481" i="3"/>
  <c r="P480" i="3"/>
  <c r="P479" i="3"/>
  <c r="P478" i="3"/>
  <c r="P477" i="3"/>
  <c r="P476" i="3"/>
  <c r="P475" i="3"/>
  <c r="H438" i="3"/>
  <c r="H437" i="3"/>
  <c r="H436" i="3"/>
  <c r="P425" i="3"/>
  <c r="P424" i="3"/>
  <c r="P423" i="3"/>
  <c r="P422" i="3"/>
  <c r="P421" i="3"/>
  <c r="P420" i="3"/>
  <c r="P419" i="3"/>
  <c r="P418" i="3"/>
  <c r="P417" i="3"/>
  <c r="H380" i="3"/>
  <c r="H379" i="3"/>
  <c r="H378" i="3"/>
  <c r="P367" i="3"/>
  <c r="P366" i="3"/>
  <c r="P365" i="3"/>
  <c r="P364" i="3"/>
  <c r="P363" i="3"/>
  <c r="P362" i="3"/>
  <c r="P361" i="3"/>
  <c r="P360" i="3"/>
  <c r="P359" i="3"/>
  <c r="H322" i="3"/>
  <c r="H321" i="3"/>
  <c r="H320" i="3"/>
  <c r="P309" i="3"/>
  <c r="P308" i="3"/>
  <c r="P307" i="3"/>
  <c r="P306" i="3"/>
  <c r="P305" i="3"/>
  <c r="P304" i="3"/>
  <c r="P303" i="3"/>
  <c r="P302" i="3"/>
  <c r="P301" i="3"/>
  <c r="Q310" i="3" s="1"/>
  <c r="P311" i="3" s="1"/>
  <c r="H264" i="3"/>
  <c r="H263" i="3"/>
  <c r="H262" i="3"/>
  <c r="P251" i="3"/>
  <c r="P250" i="3"/>
  <c r="P249" i="3"/>
  <c r="P248" i="3"/>
  <c r="P247" i="3"/>
  <c r="P246" i="3"/>
  <c r="P245" i="3"/>
  <c r="P244" i="3"/>
  <c r="P243" i="3"/>
  <c r="H206" i="3"/>
  <c r="H205" i="3"/>
  <c r="H204" i="3"/>
  <c r="P193" i="3"/>
  <c r="P192" i="3"/>
  <c r="P191" i="3"/>
  <c r="P190" i="3"/>
  <c r="P189" i="3"/>
  <c r="P188" i="3"/>
  <c r="P187" i="3"/>
  <c r="P186" i="3"/>
  <c r="P185" i="3"/>
  <c r="H148" i="3"/>
  <c r="H147" i="3"/>
  <c r="H146" i="3"/>
  <c r="P135" i="3"/>
  <c r="P134" i="3"/>
  <c r="P133" i="3"/>
  <c r="P132" i="3"/>
  <c r="P131" i="3"/>
  <c r="P130" i="3"/>
  <c r="P129" i="3"/>
  <c r="P128" i="3"/>
  <c r="P127" i="3"/>
  <c r="H90" i="3"/>
  <c r="H89" i="3"/>
  <c r="H88" i="3"/>
  <c r="P77" i="3"/>
  <c r="P76" i="3"/>
  <c r="P75" i="3"/>
  <c r="P74" i="3"/>
  <c r="P73" i="3"/>
  <c r="P72" i="3"/>
  <c r="P71" i="3"/>
  <c r="P70" i="3"/>
  <c r="P69" i="3"/>
  <c r="H32" i="3"/>
  <c r="H31" i="3"/>
  <c r="H30" i="3"/>
  <c r="P19" i="3"/>
  <c r="P18" i="3"/>
  <c r="P17" i="3"/>
  <c r="P16" i="3"/>
  <c r="P15" i="3"/>
  <c r="P14" i="3"/>
  <c r="P13" i="3"/>
  <c r="P12" i="3"/>
  <c r="P11" i="3"/>
  <c r="H1772" i="2"/>
  <c r="H1771" i="2"/>
  <c r="H1770" i="2"/>
  <c r="P1759" i="2"/>
  <c r="P1758" i="2"/>
  <c r="P1757" i="2"/>
  <c r="P1756" i="2"/>
  <c r="P1755" i="2"/>
  <c r="P1754" i="2"/>
  <c r="P1753" i="2"/>
  <c r="P1752" i="2"/>
  <c r="P1751" i="2"/>
  <c r="H1714" i="2"/>
  <c r="H1713" i="2"/>
  <c r="H1712" i="2"/>
  <c r="P1701" i="2"/>
  <c r="P1700" i="2"/>
  <c r="P1699" i="2"/>
  <c r="P1698" i="2"/>
  <c r="P1697" i="2"/>
  <c r="P1696" i="2"/>
  <c r="P1695" i="2"/>
  <c r="P1694" i="2"/>
  <c r="P1693" i="2"/>
  <c r="H1656" i="2"/>
  <c r="H1655" i="2"/>
  <c r="H1654" i="2"/>
  <c r="P1643" i="2"/>
  <c r="P1642" i="2"/>
  <c r="P1641" i="2"/>
  <c r="P1640" i="2"/>
  <c r="P1639" i="2"/>
  <c r="P1638" i="2"/>
  <c r="P1637" i="2"/>
  <c r="P1636" i="2"/>
  <c r="P1635" i="2"/>
  <c r="H1598" i="2"/>
  <c r="H1597" i="2"/>
  <c r="H1596" i="2"/>
  <c r="P1585" i="2"/>
  <c r="P1584" i="2"/>
  <c r="P1583" i="2"/>
  <c r="P1582" i="2"/>
  <c r="P1581" i="2"/>
  <c r="P1580" i="2"/>
  <c r="P1579" i="2"/>
  <c r="P1578" i="2"/>
  <c r="P1577" i="2"/>
  <c r="Q1586" i="2" s="1"/>
  <c r="P1587" i="2" s="1"/>
  <c r="H1540" i="2"/>
  <c r="H1539" i="2"/>
  <c r="H1538" i="2"/>
  <c r="P1527" i="2"/>
  <c r="P1526" i="2"/>
  <c r="P1525" i="2"/>
  <c r="P1524" i="2"/>
  <c r="P1523" i="2"/>
  <c r="P1522" i="2"/>
  <c r="P1521" i="2"/>
  <c r="P1520" i="2"/>
  <c r="P1519" i="2"/>
  <c r="Q1528" i="2" s="1"/>
  <c r="P1529" i="2" s="1"/>
  <c r="H1482" i="2"/>
  <c r="H1481" i="2"/>
  <c r="H1480" i="2"/>
  <c r="P1469" i="2"/>
  <c r="P1468" i="2"/>
  <c r="P1467" i="2"/>
  <c r="P1466" i="2"/>
  <c r="P1465" i="2"/>
  <c r="P1464" i="2"/>
  <c r="P1463" i="2"/>
  <c r="P1462" i="2"/>
  <c r="P1461" i="2"/>
  <c r="Q1470" i="2" s="1"/>
  <c r="P1471" i="2" s="1"/>
  <c r="H1424" i="2"/>
  <c r="H1423" i="2"/>
  <c r="H1422" i="2"/>
  <c r="P1411" i="2"/>
  <c r="P1410" i="2"/>
  <c r="P1409" i="2"/>
  <c r="P1408" i="2"/>
  <c r="P1407" i="2"/>
  <c r="P1406" i="2"/>
  <c r="P1405" i="2"/>
  <c r="P1404" i="2"/>
  <c r="P1403" i="2"/>
  <c r="Q1412" i="2" s="1"/>
  <c r="P1413" i="2" s="1"/>
  <c r="H1366" i="2"/>
  <c r="H1365" i="2"/>
  <c r="H1364" i="2"/>
  <c r="P1353" i="2"/>
  <c r="P1352" i="2"/>
  <c r="P1351" i="2"/>
  <c r="P1350" i="2"/>
  <c r="P1349" i="2"/>
  <c r="P1348" i="2"/>
  <c r="P1347" i="2"/>
  <c r="P1346" i="2"/>
  <c r="P1345" i="2"/>
  <c r="H1308" i="2"/>
  <c r="H1307" i="2"/>
  <c r="H1306" i="2"/>
  <c r="P1295" i="2"/>
  <c r="P1294" i="2"/>
  <c r="P1293" i="2"/>
  <c r="P1292" i="2"/>
  <c r="P1291" i="2"/>
  <c r="P1290" i="2"/>
  <c r="P1289" i="2"/>
  <c r="P1288" i="2"/>
  <c r="P1287" i="2"/>
  <c r="F1254" i="2"/>
  <c r="F1312" i="2" s="1"/>
  <c r="F1370" i="2" s="1"/>
  <c r="F1428" i="2" s="1"/>
  <c r="F1486" i="2" s="1"/>
  <c r="F1544" i="2" s="1"/>
  <c r="F1602" i="2" s="1"/>
  <c r="F1660" i="2" s="1"/>
  <c r="F1718" i="2" s="1"/>
  <c r="F1776" i="2" s="1"/>
  <c r="F36" i="3" s="1"/>
  <c r="F94" i="3" s="1"/>
  <c r="F152" i="3" s="1"/>
  <c r="F210" i="3" s="1"/>
  <c r="F268" i="3" s="1"/>
  <c r="F326" i="3" s="1"/>
  <c r="F384" i="3" s="1"/>
  <c r="F442" i="3" s="1"/>
  <c r="F500" i="3" s="1"/>
  <c r="F558" i="3" s="1"/>
  <c r="F616" i="3" s="1"/>
  <c r="F674" i="3" s="1"/>
  <c r="F732" i="3" s="1"/>
  <c r="F790" i="3" s="1"/>
  <c r="F848" i="3" s="1"/>
  <c r="F906" i="3" s="1"/>
  <c r="F964" i="3" s="1"/>
  <c r="F1022" i="3" s="1"/>
  <c r="F1080" i="3" s="1"/>
  <c r="F1138" i="3" s="1"/>
  <c r="F1196" i="3" s="1"/>
  <c r="F1254" i="3" s="1"/>
  <c r="F1312" i="3" s="1"/>
  <c r="F1370" i="3" s="1"/>
  <c r="F1428" i="3" s="1"/>
  <c r="F1486" i="3" s="1"/>
  <c r="F1544" i="3" s="1"/>
  <c r="F1602" i="3" s="1"/>
  <c r="F1660" i="3" s="1"/>
  <c r="F1718" i="3" s="1"/>
  <c r="F1776" i="3" s="1"/>
  <c r="H1250" i="2"/>
  <c r="H1249" i="2"/>
  <c r="H1248" i="2"/>
  <c r="P1237" i="2"/>
  <c r="P1236" i="2"/>
  <c r="P1235" i="2"/>
  <c r="P1234" i="2"/>
  <c r="P1233" i="2"/>
  <c r="P1232" i="2"/>
  <c r="P1231" i="2"/>
  <c r="P1230" i="2"/>
  <c r="P1229" i="2"/>
  <c r="H1192" i="2"/>
  <c r="H1191" i="2"/>
  <c r="H1190" i="2"/>
  <c r="P1179" i="2"/>
  <c r="P1178" i="2"/>
  <c r="P1177" i="2"/>
  <c r="P1176" i="2"/>
  <c r="P1175" i="2"/>
  <c r="P1174" i="2"/>
  <c r="P1173" i="2"/>
  <c r="P1172" i="2"/>
  <c r="P1171" i="2"/>
  <c r="H1134" i="2"/>
  <c r="H1133" i="2"/>
  <c r="H1132" i="2"/>
  <c r="P1121" i="2"/>
  <c r="P1120" i="2"/>
  <c r="P1119" i="2"/>
  <c r="P1118" i="2"/>
  <c r="P1117" i="2"/>
  <c r="P1116" i="2"/>
  <c r="P1115" i="2"/>
  <c r="P1114" i="2"/>
  <c r="P1113" i="2"/>
  <c r="H1076" i="2"/>
  <c r="H1075" i="2"/>
  <c r="H1074" i="2"/>
  <c r="P1063" i="2"/>
  <c r="P1062" i="2"/>
  <c r="P1061" i="2"/>
  <c r="P1060" i="2"/>
  <c r="P1059" i="2"/>
  <c r="P1058" i="2"/>
  <c r="P1057" i="2"/>
  <c r="P1056" i="2"/>
  <c r="P1055" i="2"/>
  <c r="H1018" i="2"/>
  <c r="H1017" i="2"/>
  <c r="H1016" i="2"/>
  <c r="P1005" i="2"/>
  <c r="P1004" i="2"/>
  <c r="P1003" i="2"/>
  <c r="P1002" i="2"/>
  <c r="P1001" i="2"/>
  <c r="P1000" i="2"/>
  <c r="P999" i="2"/>
  <c r="P998" i="2"/>
  <c r="P997" i="2"/>
  <c r="H960" i="2"/>
  <c r="H959" i="2"/>
  <c r="H958" i="2"/>
  <c r="P947" i="2"/>
  <c r="P946" i="2"/>
  <c r="P945" i="2"/>
  <c r="P944" i="2"/>
  <c r="P943" i="2"/>
  <c r="P942" i="2"/>
  <c r="P941" i="2"/>
  <c r="P940" i="2"/>
  <c r="P939" i="2"/>
  <c r="H902" i="2"/>
  <c r="H901" i="2"/>
  <c r="H900" i="2"/>
  <c r="P889" i="2"/>
  <c r="P888" i="2"/>
  <c r="P887" i="2"/>
  <c r="P886" i="2"/>
  <c r="P885" i="2"/>
  <c r="P884" i="2"/>
  <c r="P883" i="2"/>
  <c r="P882" i="2"/>
  <c r="P881" i="2"/>
  <c r="H844" i="2"/>
  <c r="H843" i="2"/>
  <c r="H842" i="2"/>
  <c r="P831" i="2"/>
  <c r="P830" i="2"/>
  <c r="P829" i="2"/>
  <c r="P828" i="2"/>
  <c r="P827" i="2"/>
  <c r="P826" i="2"/>
  <c r="P825" i="2"/>
  <c r="P824" i="2"/>
  <c r="P823" i="2"/>
  <c r="H786" i="2"/>
  <c r="H785" i="2"/>
  <c r="H784" i="2"/>
  <c r="P773" i="2"/>
  <c r="P772" i="2"/>
  <c r="P771" i="2"/>
  <c r="P770" i="2"/>
  <c r="P769" i="2"/>
  <c r="P768" i="2"/>
  <c r="P767" i="2"/>
  <c r="P766" i="2"/>
  <c r="P765" i="2"/>
  <c r="H728" i="2"/>
  <c r="H727" i="2"/>
  <c r="H726" i="2"/>
  <c r="P715" i="2"/>
  <c r="P714" i="2"/>
  <c r="P713" i="2"/>
  <c r="P712" i="2"/>
  <c r="P711" i="2"/>
  <c r="P710" i="2"/>
  <c r="P709" i="2"/>
  <c r="P708" i="2"/>
  <c r="P707" i="2"/>
  <c r="H670" i="2"/>
  <c r="H669" i="2"/>
  <c r="H668" i="2"/>
  <c r="P657" i="2"/>
  <c r="P656" i="2"/>
  <c r="P655" i="2"/>
  <c r="P654" i="2"/>
  <c r="P653" i="2"/>
  <c r="P652" i="2"/>
  <c r="P651" i="2"/>
  <c r="P650" i="2"/>
  <c r="P649" i="2"/>
  <c r="H612" i="2"/>
  <c r="H611" i="2"/>
  <c r="H610" i="2"/>
  <c r="P599" i="2"/>
  <c r="P598" i="2"/>
  <c r="P597" i="2"/>
  <c r="P596" i="2"/>
  <c r="P595" i="2"/>
  <c r="P594" i="2"/>
  <c r="P593" i="2"/>
  <c r="P592" i="2"/>
  <c r="P591" i="2"/>
  <c r="H554" i="2"/>
  <c r="H553" i="2"/>
  <c r="H552" i="2"/>
  <c r="P541" i="2"/>
  <c r="P540" i="2"/>
  <c r="P539" i="2"/>
  <c r="P538" i="2"/>
  <c r="P537" i="2"/>
  <c r="P536" i="2"/>
  <c r="P535" i="2"/>
  <c r="P534" i="2"/>
  <c r="P533" i="2"/>
  <c r="H496" i="2"/>
  <c r="H495" i="2"/>
  <c r="H494" i="2"/>
  <c r="P483" i="2"/>
  <c r="P482" i="2"/>
  <c r="P481" i="2"/>
  <c r="P480" i="2"/>
  <c r="P479" i="2"/>
  <c r="P478" i="2"/>
  <c r="P477" i="2"/>
  <c r="P476" i="2"/>
  <c r="P475" i="2"/>
  <c r="H438" i="2"/>
  <c r="H437" i="2"/>
  <c r="H436" i="2"/>
  <c r="P425" i="2"/>
  <c r="P424" i="2"/>
  <c r="P423" i="2"/>
  <c r="P422" i="2"/>
  <c r="P421" i="2"/>
  <c r="P420" i="2"/>
  <c r="P419" i="2"/>
  <c r="P418" i="2"/>
  <c r="P417" i="2"/>
  <c r="C407" i="2"/>
  <c r="C465" i="2" s="1"/>
  <c r="C523" i="2" s="1"/>
  <c r="C581" i="2" s="1"/>
  <c r="C639" i="2" s="1"/>
  <c r="C697" i="2" s="1"/>
  <c r="C755" i="2" s="1"/>
  <c r="C813" i="2" s="1"/>
  <c r="C871" i="2" s="1"/>
  <c r="C929" i="2" s="1"/>
  <c r="C987" i="2" s="1"/>
  <c r="C1045" i="2" s="1"/>
  <c r="C1103" i="2" s="1"/>
  <c r="C1161" i="2" s="1"/>
  <c r="C1219" i="2" s="1"/>
  <c r="C1277" i="2" s="1"/>
  <c r="C1335" i="2" s="1"/>
  <c r="C1393" i="2" s="1"/>
  <c r="C1451" i="2" s="1"/>
  <c r="C1509" i="2" s="1"/>
  <c r="C1567" i="2" s="1"/>
  <c r="C1625" i="2" s="1"/>
  <c r="C1683" i="2" s="1"/>
  <c r="C1741" i="2" s="1"/>
  <c r="C1" i="3" s="1"/>
  <c r="C59" i="3" s="1"/>
  <c r="C117" i="3" s="1"/>
  <c r="C175" i="3" s="1"/>
  <c r="C233" i="3" s="1"/>
  <c r="C291" i="3" s="1"/>
  <c r="C349" i="3" s="1"/>
  <c r="C407" i="3" s="1"/>
  <c r="C465" i="3" s="1"/>
  <c r="C523" i="3" s="1"/>
  <c r="C581" i="3" s="1"/>
  <c r="C639" i="3" s="1"/>
  <c r="C697" i="3" s="1"/>
  <c r="C755" i="3" s="1"/>
  <c r="C813" i="3" s="1"/>
  <c r="C871" i="3" s="1"/>
  <c r="C929" i="3" s="1"/>
  <c r="C987" i="3" s="1"/>
  <c r="C1045" i="3" s="1"/>
  <c r="C1103" i="3" s="1"/>
  <c r="C1161" i="3" s="1"/>
  <c r="C1219" i="3" s="1"/>
  <c r="C1277" i="3" s="1"/>
  <c r="C1335" i="3" s="1"/>
  <c r="C1393" i="3" s="1"/>
  <c r="C1451" i="3" s="1"/>
  <c r="C1509" i="3" s="1"/>
  <c r="C1567" i="3" s="1"/>
  <c r="C1625" i="3" s="1"/>
  <c r="C1683" i="3" s="1"/>
  <c r="C1741" i="3" s="1"/>
  <c r="H380" i="2"/>
  <c r="H379" i="2"/>
  <c r="H378" i="2"/>
  <c r="P367" i="2"/>
  <c r="P366" i="2"/>
  <c r="P365" i="2"/>
  <c r="P364" i="2"/>
  <c r="P363" i="2"/>
  <c r="P362" i="2"/>
  <c r="P361" i="2"/>
  <c r="P360" i="2"/>
  <c r="P359" i="2"/>
  <c r="C349" i="2"/>
  <c r="H322" i="2"/>
  <c r="H321" i="2"/>
  <c r="H320" i="2"/>
  <c r="P309" i="2"/>
  <c r="P308" i="2"/>
  <c r="P307" i="2"/>
  <c r="P306" i="2"/>
  <c r="P305" i="2"/>
  <c r="P304" i="2"/>
  <c r="P303" i="2"/>
  <c r="P302" i="2"/>
  <c r="P301" i="2"/>
  <c r="C291" i="2"/>
  <c r="L270" i="2"/>
  <c r="L328" i="2" s="1"/>
  <c r="L386" i="2" s="1"/>
  <c r="L444" i="2" s="1"/>
  <c r="L502" i="2" s="1"/>
  <c r="L560" i="2" s="1"/>
  <c r="L618" i="2" s="1"/>
  <c r="L676" i="2" s="1"/>
  <c r="L734" i="2" s="1"/>
  <c r="L792" i="2" s="1"/>
  <c r="L850" i="2" s="1"/>
  <c r="L908" i="2" s="1"/>
  <c r="L966" i="2" s="1"/>
  <c r="L1024" i="2" s="1"/>
  <c r="L1082" i="2" s="1"/>
  <c r="L1140" i="2" s="1"/>
  <c r="L1198" i="2" s="1"/>
  <c r="L1256" i="2" s="1"/>
  <c r="L1314" i="2" s="1"/>
  <c r="L1372" i="2" s="1"/>
  <c r="L1430" i="2" s="1"/>
  <c r="L1488" i="2" s="1"/>
  <c r="L1546" i="2" s="1"/>
  <c r="L1604" i="2" s="1"/>
  <c r="L1662" i="2" s="1"/>
  <c r="L1720" i="2" s="1"/>
  <c r="L1778" i="2" s="1"/>
  <c r="L38" i="3" s="1"/>
  <c r="L96" i="3" s="1"/>
  <c r="L154" i="3" s="1"/>
  <c r="L212" i="3" s="1"/>
  <c r="L270" i="3" s="1"/>
  <c r="L328" i="3" s="1"/>
  <c r="L386" i="3" s="1"/>
  <c r="L444" i="3" s="1"/>
  <c r="L502" i="3" s="1"/>
  <c r="L560" i="3" s="1"/>
  <c r="L618" i="3" s="1"/>
  <c r="L676" i="3" s="1"/>
  <c r="L734" i="3" s="1"/>
  <c r="L792" i="3" s="1"/>
  <c r="L850" i="3" s="1"/>
  <c r="L908" i="3" s="1"/>
  <c r="L966" i="3" s="1"/>
  <c r="L1024" i="3" s="1"/>
  <c r="L1082" i="3" s="1"/>
  <c r="L1140" i="3" s="1"/>
  <c r="L1198" i="3" s="1"/>
  <c r="L1256" i="3" s="1"/>
  <c r="L1314" i="3" s="1"/>
  <c r="L1372" i="3" s="1"/>
  <c r="L1430" i="3" s="1"/>
  <c r="L1488" i="3" s="1"/>
  <c r="L1546" i="3" s="1"/>
  <c r="L1604" i="3" s="1"/>
  <c r="L1662" i="3" s="1"/>
  <c r="L1720" i="3" s="1"/>
  <c r="L1778" i="3" s="1"/>
  <c r="H264" i="2"/>
  <c r="H263" i="2"/>
  <c r="H262" i="2"/>
  <c r="P251" i="2"/>
  <c r="P250" i="2"/>
  <c r="P249" i="2"/>
  <c r="P248" i="2"/>
  <c r="P247" i="2"/>
  <c r="P246" i="2"/>
  <c r="P245" i="2"/>
  <c r="P244" i="2"/>
  <c r="P243" i="2"/>
  <c r="D63" i="1"/>
  <c r="D121" i="1" s="1"/>
  <c r="D179" i="1" s="1"/>
  <c r="D5" i="2" s="1"/>
  <c r="D63" i="2" s="1"/>
  <c r="D121" i="2" s="1"/>
  <c r="D179" i="2" s="1"/>
  <c r="D237" i="2" s="1"/>
  <c r="D295" i="2" s="1"/>
  <c r="D353" i="2" s="1"/>
  <c r="D411" i="2" s="1"/>
  <c r="D469" i="2" s="1"/>
  <c r="D527" i="2" s="1"/>
  <c r="D585" i="2" s="1"/>
  <c r="D643" i="2" s="1"/>
  <c r="D701" i="2" s="1"/>
  <c r="D759" i="2" s="1"/>
  <c r="D817" i="2" s="1"/>
  <c r="D875" i="2" s="1"/>
  <c r="D933" i="2" s="1"/>
  <c r="D991" i="2" s="1"/>
  <c r="D1049" i="2" s="1"/>
  <c r="D1107" i="2" s="1"/>
  <c r="D1165" i="2" s="1"/>
  <c r="D1223" i="2" s="1"/>
  <c r="D1281" i="2" s="1"/>
  <c r="D1339" i="2" s="1"/>
  <c r="D1397" i="2" s="1"/>
  <c r="D1455" i="2" s="1"/>
  <c r="D1513" i="2" s="1"/>
  <c r="D1571" i="2" s="1"/>
  <c r="D1629" i="2" s="1"/>
  <c r="D1687" i="2" s="1"/>
  <c r="D1745" i="2" s="1"/>
  <c r="D5" i="3" s="1"/>
  <c r="D63" i="3" s="1"/>
  <c r="D121" i="3" s="1"/>
  <c r="D179" i="3" s="1"/>
  <c r="D237" i="3" s="1"/>
  <c r="D295" i="3" s="1"/>
  <c r="D353" i="3" s="1"/>
  <c r="D411" i="3" s="1"/>
  <c r="D469" i="3" s="1"/>
  <c r="D527" i="3" s="1"/>
  <c r="D585" i="3" s="1"/>
  <c r="D643" i="3" s="1"/>
  <c r="D701" i="3" s="1"/>
  <c r="D759" i="3" s="1"/>
  <c r="D817" i="3" s="1"/>
  <c r="D875" i="3" s="1"/>
  <c r="D933" i="3" s="1"/>
  <c r="D991" i="3" s="1"/>
  <c r="D1049" i="3" s="1"/>
  <c r="D1107" i="3" s="1"/>
  <c r="D1165" i="3" s="1"/>
  <c r="D1223" i="3" s="1"/>
  <c r="D1281" i="3" s="1"/>
  <c r="D1339" i="3" s="1"/>
  <c r="D1397" i="3" s="1"/>
  <c r="D1455" i="3" s="1"/>
  <c r="D1513" i="3" s="1"/>
  <c r="D1571" i="3" s="1"/>
  <c r="D1629" i="3" s="1"/>
  <c r="D1687" i="3" s="1"/>
  <c r="D1745" i="3" s="1"/>
  <c r="H206" i="2"/>
  <c r="H205" i="2"/>
  <c r="H204" i="2"/>
  <c r="P193" i="2"/>
  <c r="P192" i="2"/>
  <c r="P191" i="2"/>
  <c r="P190" i="2"/>
  <c r="P189" i="2"/>
  <c r="P188" i="2"/>
  <c r="P187" i="2"/>
  <c r="P186" i="2"/>
  <c r="P185" i="2"/>
  <c r="H148" i="2"/>
  <c r="H147" i="2"/>
  <c r="H146" i="2"/>
  <c r="P135" i="2"/>
  <c r="P134" i="2"/>
  <c r="P133" i="2"/>
  <c r="P132" i="2"/>
  <c r="P131" i="2"/>
  <c r="P130" i="2"/>
  <c r="P129" i="2"/>
  <c r="P128" i="2"/>
  <c r="P127" i="2"/>
  <c r="H90" i="2"/>
  <c r="H89" i="2"/>
  <c r="H88" i="2"/>
  <c r="P77" i="2"/>
  <c r="P76" i="2"/>
  <c r="P75" i="2"/>
  <c r="P74" i="2"/>
  <c r="P73" i="2"/>
  <c r="P72" i="2"/>
  <c r="P71" i="2"/>
  <c r="P70" i="2"/>
  <c r="P69" i="2"/>
  <c r="H32" i="2"/>
  <c r="H31" i="2"/>
  <c r="H30" i="2"/>
  <c r="P19" i="2"/>
  <c r="P18" i="2"/>
  <c r="P17" i="2"/>
  <c r="P16" i="2"/>
  <c r="P15" i="2"/>
  <c r="P14" i="2"/>
  <c r="P13" i="2"/>
  <c r="P12" i="2"/>
  <c r="P11" i="2"/>
  <c r="H206" i="1"/>
  <c r="H205" i="1"/>
  <c r="H204" i="1"/>
  <c r="P193" i="1"/>
  <c r="P192" i="1"/>
  <c r="P191" i="1"/>
  <c r="P190" i="1"/>
  <c r="P189" i="1"/>
  <c r="P188" i="1"/>
  <c r="P187" i="1"/>
  <c r="P186" i="1"/>
  <c r="P185" i="1"/>
  <c r="H148" i="1"/>
  <c r="H147" i="1"/>
  <c r="H146" i="1"/>
  <c r="P135" i="1"/>
  <c r="P134" i="1"/>
  <c r="P133" i="1"/>
  <c r="P132" i="1"/>
  <c r="P131" i="1"/>
  <c r="P130" i="1"/>
  <c r="P129" i="1"/>
  <c r="P128" i="1"/>
  <c r="P127" i="1"/>
  <c r="L94" i="1"/>
  <c r="L152" i="1" s="1"/>
  <c r="L210" i="1" s="1"/>
  <c r="L36" i="2" s="1"/>
  <c r="L94" i="2" s="1"/>
  <c r="L152" i="2" s="1"/>
  <c r="L210" i="2" s="1"/>
  <c r="L268" i="2" s="1"/>
  <c r="L326" i="2" s="1"/>
  <c r="L384" i="2" s="1"/>
  <c r="L442" i="2" s="1"/>
  <c r="L500" i="2" s="1"/>
  <c r="L558" i="2" s="1"/>
  <c r="L616" i="2" s="1"/>
  <c r="L674" i="2" s="1"/>
  <c r="L732" i="2" s="1"/>
  <c r="L790" i="2" s="1"/>
  <c r="L848" i="2" s="1"/>
  <c r="L906" i="2" s="1"/>
  <c r="L964" i="2" s="1"/>
  <c r="L1022" i="2" s="1"/>
  <c r="L1080" i="2" s="1"/>
  <c r="L1138" i="2" s="1"/>
  <c r="L1196" i="2" s="1"/>
  <c r="L1254" i="2" s="1"/>
  <c r="L1312" i="2" s="1"/>
  <c r="L1370" i="2" s="1"/>
  <c r="L1428" i="2" s="1"/>
  <c r="L1486" i="2" s="1"/>
  <c r="L1544" i="2" s="1"/>
  <c r="L1602" i="2" s="1"/>
  <c r="L1660" i="2" s="1"/>
  <c r="L1718" i="2" s="1"/>
  <c r="L1776" i="2" s="1"/>
  <c r="L36" i="3" s="1"/>
  <c r="L94" i="3" s="1"/>
  <c r="L152" i="3" s="1"/>
  <c r="L210" i="3" s="1"/>
  <c r="L268" i="3" s="1"/>
  <c r="L326" i="3" s="1"/>
  <c r="L384" i="3" s="1"/>
  <c r="L442" i="3" s="1"/>
  <c r="L500" i="3" s="1"/>
  <c r="L558" i="3" s="1"/>
  <c r="L616" i="3" s="1"/>
  <c r="L674" i="3" s="1"/>
  <c r="L732" i="3" s="1"/>
  <c r="L790" i="3" s="1"/>
  <c r="L848" i="3" s="1"/>
  <c r="L906" i="3" s="1"/>
  <c r="L964" i="3" s="1"/>
  <c r="L1022" i="3" s="1"/>
  <c r="L1080" i="3" s="1"/>
  <c r="L1138" i="3" s="1"/>
  <c r="L1196" i="3" s="1"/>
  <c r="L1254" i="3" s="1"/>
  <c r="L1312" i="3" s="1"/>
  <c r="L1370" i="3" s="1"/>
  <c r="L1428" i="3" s="1"/>
  <c r="L1486" i="3" s="1"/>
  <c r="L1544" i="3" s="1"/>
  <c r="L1602" i="3" s="1"/>
  <c r="L1660" i="3" s="1"/>
  <c r="L1718" i="3" s="1"/>
  <c r="L1776" i="3" s="1"/>
  <c r="L95" i="1"/>
  <c r="L153" i="1" s="1"/>
  <c r="L211" i="1" s="1"/>
  <c r="L37" i="2" s="1"/>
  <c r="L95" i="2" s="1"/>
  <c r="L153" i="2" s="1"/>
  <c r="L211" i="2" s="1"/>
  <c r="L269" i="2" s="1"/>
  <c r="L327" i="2" s="1"/>
  <c r="L385" i="2" s="1"/>
  <c r="L443" i="2" s="1"/>
  <c r="L501" i="2" s="1"/>
  <c r="L559" i="2" s="1"/>
  <c r="L617" i="2" s="1"/>
  <c r="L675" i="2" s="1"/>
  <c r="L733" i="2" s="1"/>
  <c r="L791" i="2" s="1"/>
  <c r="L849" i="2" s="1"/>
  <c r="L907" i="2" s="1"/>
  <c r="L965" i="2" s="1"/>
  <c r="L1023" i="2" s="1"/>
  <c r="L1081" i="2" s="1"/>
  <c r="L1139" i="2" s="1"/>
  <c r="L1197" i="2" s="1"/>
  <c r="L1255" i="2" s="1"/>
  <c r="L1313" i="2" s="1"/>
  <c r="L1371" i="2" s="1"/>
  <c r="L1429" i="2" s="1"/>
  <c r="L1487" i="2" s="1"/>
  <c r="L1545" i="2" s="1"/>
  <c r="L1603" i="2" s="1"/>
  <c r="L1661" i="2" s="1"/>
  <c r="L1719" i="2" s="1"/>
  <c r="L1777" i="2" s="1"/>
  <c r="L37" i="3" s="1"/>
  <c r="L95" i="3" s="1"/>
  <c r="L153" i="3" s="1"/>
  <c r="L211" i="3" s="1"/>
  <c r="L269" i="3" s="1"/>
  <c r="L327" i="3" s="1"/>
  <c r="L385" i="3" s="1"/>
  <c r="L443" i="3" s="1"/>
  <c r="L501" i="3" s="1"/>
  <c r="L559" i="3" s="1"/>
  <c r="L617" i="3" s="1"/>
  <c r="L675" i="3" s="1"/>
  <c r="L733" i="3" s="1"/>
  <c r="L791" i="3" s="1"/>
  <c r="L849" i="3" s="1"/>
  <c r="L907" i="3" s="1"/>
  <c r="L965" i="3" s="1"/>
  <c r="L1023" i="3" s="1"/>
  <c r="L1081" i="3" s="1"/>
  <c r="L1139" i="3" s="1"/>
  <c r="L1197" i="3" s="1"/>
  <c r="L1255" i="3" s="1"/>
  <c r="L1313" i="3" s="1"/>
  <c r="L1371" i="3" s="1"/>
  <c r="L1429" i="3" s="1"/>
  <c r="L1487" i="3" s="1"/>
  <c r="L1545" i="3" s="1"/>
  <c r="L1603" i="3" s="1"/>
  <c r="L1661" i="3" s="1"/>
  <c r="L1719" i="3" s="1"/>
  <c r="L1777" i="3" s="1"/>
  <c r="L96" i="1"/>
  <c r="L154" i="1" s="1"/>
  <c r="L212" i="1" s="1"/>
  <c r="L38" i="2" s="1"/>
  <c r="L96" i="2" s="1"/>
  <c r="L154" i="2" s="1"/>
  <c r="L212" i="2" s="1"/>
  <c r="F96" i="1"/>
  <c r="F154" i="1" s="1"/>
  <c r="F212" i="1" s="1"/>
  <c r="F38" i="2" s="1"/>
  <c r="F96" i="2" s="1"/>
  <c r="F154" i="2" s="1"/>
  <c r="F212" i="2" s="1"/>
  <c r="F270" i="2" s="1"/>
  <c r="F328" i="2" s="1"/>
  <c r="F386" i="2" s="1"/>
  <c r="F444" i="2" s="1"/>
  <c r="F502" i="2" s="1"/>
  <c r="F560" i="2" s="1"/>
  <c r="F618" i="2" s="1"/>
  <c r="F676" i="2" s="1"/>
  <c r="F734" i="2" s="1"/>
  <c r="F792" i="2" s="1"/>
  <c r="F850" i="2" s="1"/>
  <c r="F908" i="2" s="1"/>
  <c r="F966" i="2" s="1"/>
  <c r="F1024" i="2" s="1"/>
  <c r="F1082" i="2" s="1"/>
  <c r="F1140" i="2" s="1"/>
  <c r="F1198" i="2" s="1"/>
  <c r="F1256" i="2" s="1"/>
  <c r="F1314" i="2" s="1"/>
  <c r="F1372" i="2" s="1"/>
  <c r="F1430" i="2" s="1"/>
  <c r="F1488" i="2" s="1"/>
  <c r="F1546" i="2" s="1"/>
  <c r="F1604" i="2" s="1"/>
  <c r="F1662" i="2" s="1"/>
  <c r="F1720" i="2" s="1"/>
  <c r="F1778" i="2" s="1"/>
  <c r="F38" i="3" s="1"/>
  <c r="F96" i="3" s="1"/>
  <c r="F154" i="3" s="1"/>
  <c r="F212" i="3" s="1"/>
  <c r="F270" i="3" s="1"/>
  <c r="F328" i="3" s="1"/>
  <c r="F386" i="3" s="1"/>
  <c r="F444" i="3" s="1"/>
  <c r="F502" i="3" s="1"/>
  <c r="F560" i="3" s="1"/>
  <c r="F618" i="3" s="1"/>
  <c r="F676" i="3" s="1"/>
  <c r="F734" i="3" s="1"/>
  <c r="F792" i="3" s="1"/>
  <c r="F850" i="3" s="1"/>
  <c r="F908" i="3" s="1"/>
  <c r="F966" i="3" s="1"/>
  <c r="F1024" i="3" s="1"/>
  <c r="F1082" i="3" s="1"/>
  <c r="F1140" i="3" s="1"/>
  <c r="F1198" i="3" s="1"/>
  <c r="F1256" i="3" s="1"/>
  <c r="F1314" i="3" s="1"/>
  <c r="F1372" i="3" s="1"/>
  <c r="F1430" i="3" s="1"/>
  <c r="F1488" i="3" s="1"/>
  <c r="F1546" i="3" s="1"/>
  <c r="F1604" i="3" s="1"/>
  <c r="F1662" i="3" s="1"/>
  <c r="F1720" i="3" s="1"/>
  <c r="F1778" i="3" s="1"/>
  <c r="J73" i="1"/>
  <c r="T73" i="1" s="1"/>
  <c r="J63" i="1"/>
  <c r="J121" i="1" s="1"/>
  <c r="J179" i="1" s="1"/>
  <c r="J5" i="2" s="1"/>
  <c r="J63" i="2" s="1"/>
  <c r="J121" i="2" s="1"/>
  <c r="J179" i="2" s="1"/>
  <c r="J237" i="2" s="1"/>
  <c r="J295" i="2" s="1"/>
  <c r="J353" i="2" s="1"/>
  <c r="J411" i="2" s="1"/>
  <c r="J469" i="2" s="1"/>
  <c r="J527" i="2" s="1"/>
  <c r="J585" i="2" s="1"/>
  <c r="J643" i="2" s="1"/>
  <c r="J701" i="2" s="1"/>
  <c r="J759" i="2" s="1"/>
  <c r="J817" i="2" s="1"/>
  <c r="J875" i="2" s="1"/>
  <c r="J933" i="2" s="1"/>
  <c r="J991" i="2" s="1"/>
  <c r="J1049" i="2" s="1"/>
  <c r="J1107" i="2" s="1"/>
  <c r="J1165" i="2" s="1"/>
  <c r="J1223" i="2" s="1"/>
  <c r="J1281" i="2" s="1"/>
  <c r="J1339" i="2" s="1"/>
  <c r="J1397" i="2" s="1"/>
  <c r="J1455" i="2" s="1"/>
  <c r="J1513" i="2" s="1"/>
  <c r="J1571" i="2" s="1"/>
  <c r="J1629" i="2" s="1"/>
  <c r="J1687" i="2" s="1"/>
  <c r="J1745" i="2" s="1"/>
  <c r="J5" i="3" s="1"/>
  <c r="J63" i="3" s="1"/>
  <c r="J121" i="3" s="1"/>
  <c r="J179" i="3" s="1"/>
  <c r="J237" i="3" s="1"/>
  <c r="J295" i="3" s="1"/>
  <c r="J353" i="3" s="1"/>
  <c r="J411" i="3" s="1"/>
  <c r="J469" i="3" s="1"/>
  <c r="J527" i="3" s="1"/>
  <c r="J585" i="3" s="1"/>
  <c r="J643" i="3" s="1"/>
  <c r="J701" i="3" s="1"/>
  <c r="J759" i="3" s="1"/>
  <c r="J817" i="3" s="1"/>
  <c r="J875" i="3" s="1"/>
  <c r="J933" i="3" s="1"/>
  <c r="J991" i="3" s="1"/>
  <c r="J1049" i="3" s="1"/>
  <c r="J1107" i="3" s="1"/>
  <c r="J1165" i="3" s="1"/>
  <c r="J1223" i="3" s="1"/>
  <c r="J1281" i="3" s="1"/>
  <c r="J1339" i="3" s="1"/>
  <c r="J1397" i="3" s="1"/>
  <c r="J1455" i="3" s="1"/>
  <c r="J1513" i="3" s="1"/>
  <c r="J1571" i="3" s="1"/>
  <c r="J1629" i="3" s="1"/>
  <c r="J1687" i="3" s="1"/>
  <c r="J1745" i="3" s="1"/>
  <c r="J60" i="1"/>
  <c r="J118" i="1" s="1"/>
  <c r="L62" i="1"/>
  <c r="L120" i="1" s="1"/>
  <c r="L178" i="1" s="1"/>
  <c r="L4" i="2" s="1"/>
  <c r="L62" i="2" s="1"/>
  <c r="L120" i="2" s="1"/>
  <c r="L178" i="2" s="1"/>
  <c r="L236" i="2" s="1"/>
  <c r="L294" i="2" s="1"/>
  <c r="L352" i="2" s="1"/>
  <c r="L410" i="2" s="1"/>
  <c r="L468" i="2" s="1"/>
  <c r="L526" i="2" s="1"/>
  <c r="L584" i="2" s="1"/>
  <c r="L642" i="2" s="1"/>
  <c r="L700" i="2" s="1"/>
  <c r="L758" i="2" s="1"/>
  <c r="L816" i="2" s="1"/>
  <c r="L874" i="2" s="1"/>
  <c r="L932" i="2" s="1"/>
  <c r="L990" i="2" s="1"/>
  <c r="L1048" i="2" s="1"/>
  <c r="L1106" i="2" s="1"/>
  <c r="L1164" i="2" s="1"/>
  <c r="L1222" i="2" s="1"/>
  <c r="L1280" i="2" s="1"/>
  <c r="L1338" i="2" s="1"/>
  <c r="L1396" i="2" s="1"/>
  <c r="L1454" i="2" s="1"/>
  <c r="L1512" i="2" s="1"/>
  <c r="L1570" i="2" s="1"/>
  <c r="L1628" i="2" s="1"/>
  <c r="L1686" i="2" s="1"/>
  <c r="L1744" i="2" s="1"/>
  <c r="L4" i="3" s="1"/>
  <c r="L62" i="3" s="1"/>
  <c r="L120" i="3" s="1"/>
  <c r="L178" i="3" s="1"/>
  <c r="L236" i="3" s="1"/>
  <c r="L294" i="3" s="1"/>
  <c r="L352" i="3" s="1"/>
  <c r="L410" i="3" s="1"/>
  <c r="L468" i="3" s="1"/>
  <c r="L526" i="3" s="1"/>
  <c r="L584" i="3" s="1"/>
  <c r="L642" i="3" s="1"/>
  <c r="L700" i="3" s="1"/>
  <c r="L758" i="3" s="1"/>
  <c r="L816" i="3" s="1"/>
  <c r="L874" i="3" s="1"/>
  <c r="L932" i="3" s="1"/>
  <c r="L990" i="3" s="1"/>
  <c r="L1048" i="3" s="1"/>
  <c r="L1106" i="3" s="1"/>
  <c r="L1164" i="3" s="1"/>
  <c r="L1222" i="3" s="1"/>
  <c r="L1280" i="3" s="1"/>
  <c r="L1338" i="3" s="1"/>
  <c r="L1396" i="3" s="1"/>
  <c r="L1454" i="3" s="1"/>
  <c r="L1512" i="3" s="1"/>
  <c r="L1570" i="3" s="1"/>
  <c r="L1628" i="3" s="1"/>
  <c r="L1686" i="3" s="1"/>
  <c r="L1744" i="3" s="1"/>
  <c r="F62" i="1"/>
  <c r="C59" i="1"/>
  <c r="C117" i="1" s="1"/>
  <c r="C175" i="1" s="1"/>
  <c r="C1" i="2" s="1"/>
  <c r="C59" i="2" s="1"/>
  <c r="C117" i="2" s="1"/>
  <c r="C175" i="2" s="1"/>
  <c r="C233" i="2" s="1"/>
  <c r="H90" i="1"/>
  <c r="H89" i="1"/>
  <c r="H88" i="1"/>
  <c r="P77" i="1"/>
  <c r="P76" i="1"/>
  <c r="P75" i="1"/>
  <c r="P74" i="1"/>
  <c r="P73" i="1"/>
  <c r="P72" i="1"/>
  <c r="P71" i="1"/>
  <c r="P70" i="1"/>
  <c r="P69" i="1"/>
  <c r="H32" i="1"/>
  <c r="J32" i="1" s="1"/>
  <c r="H31" i="1"/>
  <c r="J31" i="1" s="1"/>
  <c r="H30" i="1"/>
  <c r="J30" i="1" s="1"/>
  <c r="J88" i="1" s="1"/>
  <c r="J5" i="1"/>
  <c r="L38" i="1"/>
  <c r="F38" i="1"/>
  <c r="L37" i="1"/>
  <c r="F37" i="1"/>
  <c r="F95" i="1" s="1"/>
  <c r="F153" i="1" s="1"/>
  <c r="F211" i="1" s="1"/>
  <c r="F37" i="2" s="1"/>
  <c r="F95" i="2" s="1"/>
  <c r="F153" i="2" s="1"/>
  <c r="F211" i="2" s="1"/>
  <c r="F269" i="2" s="1"/>
  <c r="F327" i="2" s="1"/>
  <c r="F385" i="2" s="1"/>
  <c r="F443" i="2" s="1"/>
  <c r="F501" i="2" s="1"/>
  <c r="F559" i="2" s="1"/>
  <c r="F617" i="2" s="1"/>
  <c r="F675" i="2" s="1"/>
  <c r="F733" i="2" s="1"/>
  <c r="F791" i="2" s="1"/>
  <c r="F849" i="2" s="1"/>
  <c r="F907" i="2" s="1"/>
  <c r="F965" i="2" s="1"/>
  <c r="F1023" i="2" s="1"/>
  <c r="F1081" i="2" s="1"/>
  <c r="F1139" i="2" s="1"/>
  <c r="F1197" i="2" s="1"/>
  <c r="F1255" i="2" s="1"/>
  <c r="F1313" i="2" s="1"/>
  <c r="F1371" i="2" s="1"/>
  <c r="F1429" i="2" s="1"/>
  <c r="F1487" i="2" s="1"/>
  <c r="F1545" i="2" s="1"/>
  <c r="F1603" i="2" s="1"/>
  <c r="F1661" i="2" s="1"/>
  <c r="F1719" i="2" s="1"/>
  <c r="F1777" i="2" s="1"/>
  <c r="F37" i="3" s="1"/>
  <c r="F95" i="3" s="1"/>
  <c r="F153" i="3" s="1"/>
  <c r="F211" i="3" s="1"/>
  <c r="F269" i="3" s="1"/>
  <c r="F327" i="3" s="1"/>
  <c r="F385" i="3" s="1"/>
  <c r="F443" i="3" s="1"/>
  <c r="F501" i="3" s="1"/>
  <c r="F559" i="3" s="1"/>
  <c r="F617" i="3" s="1"/>
  <c r="F675" i="3" s="1"/>
  <c r="F733" i="3" s="1"/>
  <c r="F791" i="3" s="1"/>
  <c r="F849" i="3" s="1"/>
  <c r="F907" i="3" s="1"/>
  <c r="F965" i="3" s="1"/>
  <c r="F1023" i="3" s="1"/>
  <c r="F1081" i="3" s="1"/>
  <c r="F1139" i="3" s="1"/>
  <c r="F1197" i="3" s="1"/>
  <c r="F1255" i="3" s="1"/>
  <c r="F1313" i="3" s="1"/>
  <c r="F1371" i="3" s="1"/>
  <c r="F1429" i="3" s="1"/>
  <c r="F1487" i="3" s="1"/>
  <c r="F1545" i="3" s="1"/>
  <c r="F1603" i="3" s="1"/>
  <c r="F1661" i="3" s="1"/>
  <c r="F1719" i="3" s="1"/>
  <c r="F1777" i="3" s="1"/>
  <c r="L36" i="1"/>
  <c r="F36" i="1"/>
  <c r="F94" i="1" s="1"/>
  <c r="F152" i="1" s="1"/>
  <c r="F210" i="1" s="1"/>
  <c r="F36" i="2" s="1"/>
  <c r="F94" i="2" s="1"/>
  <c r="F152" i="2" s="1"/>
  <c r="F210" i="2" s="1"/>
  <c r="F268" i="2" s="1"/>
  <c r="F326" i="2" s="1"/>
  <c r="F384" i="2" s="1"/>
  <c r="F442" i="2" s="1"/>
  <c r="F500" i="2" s="1"/>
  <c r="F558" i="2" s="1"/>
  <c r="F616" i="2" s="1"/>
  <c r="F674" i="2" s="1"/>
  <c r="F732" i="2" s="1"/>
  <c r="F790" i="2" s="1"/>
  <c r="F848" i="2" s="1"/>
  <c r="F906" i="2" s="1"/>
  <c r="F964" i="2" s="1"/>
  <c r="F1022" i="2" s="1"/>
  <c r="F1080" i="2" s="1"/>
  <c r="F1138" i="2" s="1"/>
  <c r="F1196" i="2" s="1"/>
  <c r="L35" i="1"/>
  <c r="L93" i="1" s="1"/>
  <c r="L151" i="1" s="1"/>
  <c r="L209" i="1" s="1"/>
  <c r="L35" i="2" s="1"/>
  <c r="L93" i="2" s="1"/>
  <c r="L151" i="2" s="1"/>
  <c r="L209" i="2" s="1"/>
  <c r="L267" i="2" s="1"/>
  <c r="L325" i="2" s="1"/>
  <c r="L383" i="2" s="1"/>
  <c r="L441" i="2" s="1"/>
  <c r="L499" i="2" s="1"/>
  <c r="L557" i="2" s="1"/>
  <c r="L615" i="2" s="1"/>
  <c r="L673" i="2" s="1"/>
  <c r="L731" i="2" s="1"/>
  <c r="L789" i="2" s="1"/>
  <c r="L847" i="2" s="1"/>
  <c r="L905" i="2" s="1"/>
  <c r="L963" i="2" s="1"/>
  <c r="L1021" i="2" s="1"/>
  <c r="L1079" i="2" s="1"/>
  <c r="L1137" i="2" s="1"/>
  <c r="L1195" i="2" s="1"/>
  <c r="L1253" i="2" s="1"/>
  <c r="L1311" i="2" s="1"/>
  <c r="L1369" i="2" s="1"/>
  <c r="L1427" i="2" s="1"/>
  <c r="L1485" i="2" s="1"/>
  <c r="L1543" i="2" s="1"/>
  <c r="L1601" i="2" s="1"/>
  <c r="L1659" i="2" s="1"/>
  <c r="L1717" i="2" s="1"/>
  <c r="L1775" i="2" s="1"/>
  <c r="L35" i="3" s="1"/>
  <c r="L93" i="3" s="1"/>
  <c r="L151" i="3" s="1"/>
  <c r="L209" i="3" s="1"/>
  <c r="L267" i="3" s="1"/>
  <c r="L325" i="3" s="1"/>
  <c r="L383" i="3" s="1"/>
  <c r="L441" i="3" s="1"/>
  <c r="L499" i="3" s="1"/>
  <c r="L557" i="3" s="1"/>
  <c r="L615" i="3" s="1"/>
  <c r="L673" i="3" s="1"/>
  <c r="L731" i="3" s="1"/>
  <c r="L789" i="3" s="1"/>
  <c r="L847" i="3" s="1"/>
  <c r="L905" i="3" s="1"/>
  <c r="L963" i="3" s="1"/>
  <c r="L1021" i="3" s="1"/>
  <c r="L1079" i="3" s="1"/>
  <c r="L1137" i="3" s="1"/>
  <c r="L1195" i="3" s="1"/>
  <c r="L1253" i="3" s="1"/>
  <c r="L1311" i="3" s="1"/>
  <c r="L1369" i="3" s="1"/>
  <c r="L1427" i="3" s="1"/>
  <c r="L1485" i="3" s="1"/>
  <c r="L1543" i="3" s="1"/>
  <c r="L1601" i="3" s="1"/>
  <c r="L1659" i="3" s="1"/>
  <c r="L1717" i="3" s="1"/>
  <c r="L1775" i="3" s="1"/>
  <c r="F35" i="1"/>
  <c r="F93" i="1" s="1"/>
  <c r="F151" i="1" s="1"/>
  <c r="F209" i="1" s="1"/>
  <c r="F35" i="2" s="1"/>
  <c r="F93" i="2" s="1"/>
  <c r="F151" i="2" s="1"/>
  <c r="F209" i="2" s="1"/>
  <c r="F267" i="2" s="1"/>
  <c r="F325" i="2" s="1"/>
  <c r="F383" i="2" s="1"/>
  <c r="F441" i="2" s="1"/>
  <c r="F499" i="2" s="1"/>
  <c r="F557" i="2" s="1"/>
  <c r="F615" i="2" s="1"/>
  <c r="F673" i="2" s="1"/>
  <c r="F731" i="2" s="1"/>
  <c r="F789" i="2" s="1"/>
  <c r="F847" i="2" s="1"/>
  <c r="F905" i="2" s="1"/>
  <c r="F963" i="2" s="1"/>
  <c r="F1021" i="2" s="1"/>
  <c r="F1079" i="2" s="1"/>
  <c r="F1137" i="2" s="1"/>
  <c r="F1195" i="2" s="1"/>
  <c r="F1253" i="2" s="1"/>
  <c r="F1311" i="2" s="1"/>
  <c r="F1369" i="2" s="1"/>
  <c r="F1427" i="2" s="1"/>
  <c r="F1485" i="2" s="1"/>
  <c r="F1543" i="2" s="1"/>
  <c r="F1601" i="2" s="1"/>
  <c r="F1659" i="2" s="1"/>
  <c r="F1717" i="2" s="1"/>
  <c r="F1775" i="2" s="1"/>
  <c r="F35" i="3" s="1"/>
  <c r="F93" i="3" s="1"/>
  <c r="F151" i="3" s="1"/>
  <c r="F209" i="3" s="1"/>
  <c r="F267" i="3" s="1"/>
  <c r="F325" i="3" s="1"/>
  <c r="F383" i="3" s="1"/>
  <c r="F441" i="3" s="1"/>
  <c r="F499" i="3" s="1"/>
  <c r="F557" i="3" s="1"/>
  <c r="F615" i="3" s="1"/>
  <c r="F673" i="3" s="1"/>
  <c r="F731" i="3" s="1"/>
  <c r="F789" i="3" s="1"/>
  <c r="F847" i="3" s="1"/>
  <c r="F905" i="3" s="1"/>
  <c r="F963" i="3" s="1"/>
  <c r="F1021" i="3" s="1"/>
  <c r="F1079" i="3" s="1"/>
  <c r="F1137" i="3" s="1"/>
  <c r="F1195" i="3" s="1"/>
  <c r="F1253" i="3" s="1"/>
  <c r="F1311" i="3" s="1"/>
  <c r="F1369" i="3" s="1"/>
  <c r="F1427" i="3" s="1"/>
  <c r="F1485" i="3" s="1"/>
  <c r="F1543" i="3" s="1"/>
  <c r="F1601" i="3" s="1"/>
  <c r="F1659" i="3" s="1"/>
  <c r="F1717" i="3" s="1"/>
  <c r="F1775" i="3" s="1"/>
  <c r="P19" i="1"/>
  <c r="J19" i="1"/>
  <c r="S19" i="1" s="1"/>
  <c r="P18" i="1"/>
  <c r="J18" i="1"/>
  <c r="T18" i="1" s="1"/>
  <c r="P17" i="1"/>
  <c r="J17" i="1"/>
  <c r="S17" i="1" s="1"/>
  <c r="P16" i="1"/>
  <c r="J16" i="1"/>
  <c r="S16" i="1" s="1"/>
  <c r="P15" i="1"/>
  <c r="J15" i="1"/>
  <c r="T15" i="1" s="1"/>
  <c r="P14" i="1"/>
  <c r="J14" i="1"/>
  <c r="S14" i="1" s="1"/>
  <c r="P13" i="1"/>
  <c r="J13" i="1"/>
  <c r="S13" i="1" s="1"/>
  <c r="P12" i="1"/>
  <c r="J12" i="1"/>
  <c r="S12" i="1" s="1"/>
  <c r="P11" i="1"/>
  <c r="J11" i="1"/>
  <c r="T11" i="1" s="1"/>
  <c r="D7" i="1"/>
  <c r="D65" i="1" s="1"/>
  <c r="D123" i="1" s="1"/>
  <c r="D181" i="1" s="1"/>
  <c r="D7" i="2" s="1"/>
  <c r="D65" i="2" s="1"/>
  <c r="D123" i="2" s="1"/>
  <c r="D181" i="2" s="1"/>
  <c r="D239" i="2" s="1"/>
  <c r="D297" i="2" s="1"/>
  <c r="D355" i="2" s="1"/>
  <c r="I4" i="1"/>
  <c r="L2" i="1"/>
  <c r="Q1760" i="3" l="1"/>
  <c r="P1761" i="3" s="1"/>
  <c r="P1762" i="3" s="1"/>
  <c r="J1746" i="3" s="1"/>
  <c r="L118" i="1"/>
  <c r="J176" i="1"/>
  <c r="Q542" i="3"/>
  <c r="P543" i="3" s="1"/>
  <c r="L545" i="3" s="1"/>
  <c r="Q832" i="3"/>
  <c r="P833" i="3" s="1"/>
  <c r="L835" i="3" s="1"/>
  <c r="I62" i="1"/>
  <c r="F120" i="1"/>
  <c r="Q774" i="2"/>
  <c r="P775" i="2" s="1"/>
  <c r="P776" i="2" s="1"/>
  <c r="J760" i="2" s="1"/>
  <c r="Q194" i="3"/>
  <c r="P195" i="3" s="1"/>
  <c r="Q426" i="2"/>
  <c r="P427" i="2" s="1"/>
  <c r="J72" i="1"/>
  <c r="Q1354" i="2"/>
  <c r="P1355" i="2" s="1"/>
  <c r="Q78" i="3"/>
  <c r="P79" i="3" s="1"/>
  <c r="Q1006" i="3"/>
  <c r="P1007" i="3" s="1"/>
  <c r="L1009" i="3" s="1"/>
  <c r="Q1238" i="2"/>
  <c r="P1239" i="2" s="1"/>
  <c r="P1240" i="2" s="1"/>
  <c r="J1224" i="2" s="1"/>
  <c r="Q368" i="2"/>
  <c r="P369" i="2" s="1"/>
  <c r="Q1296" i="2"/>
  <c r="P1297" i="2" s="1"/>
  <c r="Q890" i="3"/>
  <c r="P891" i="3" s="1"/>
  <c r="L893" i="3" s="1"/>
  <c r="J89" i="1"/>
  <c r="Q1180" i="2"/>
  <c r="P1181" i="2" s="1"/>
  <c r="L1183" i="2" s="1"/>
  <c r="J90" i="1"/>
  <c r="Q1122" i="2"/>
  <c r="P1123" i="2" s="1"/>
  <c r="L1125" i="2" s="1"/>
  <c r="Q1064" i="2"/>
  <c r="P1065" i="2" s="1"/>
  <c r="L1067" i="2" s="1"/>
  <c r="Q1586" i="3"/>
  <c r="P1587" i="3" s="1"/>
  <c r="Q194" i="1"/>
  <c r="P195" i="1" s="1"/>
  <c r="Q1470" i="3"/>
  <c r="P1471" i="3" s="1"/>
  <c r="Q136" i="3"/>
  <c r="P137" i="3" s="1"/>
  <c r="L139" i="3" s="1"/>
  <c r="Q948" i="3"/>
  <c r="P949" i="3" s="1"/>
  <c r="Q1644" i="2"/>
  <c r="P1645" i="2" s="1"/>
  <c r="D413" i="2"/>
  <c r="D471" i="2" s="1"/>
  <c r="D529" i="2" s="1"/>
  <c r="D587" i="2" s="1"/>
  <c r="L60" i="1"/>
  <c r="Q1006" i="2"/>
  <c r="P1007" i="2" s="1"/>
  <c r="P1008" i="2" s="1"/>
  <c r="J992" i="2" s="1"/>
  <c r="Q1760" i="2"/>
  <c r="P1761" i="2" s="1"/>
  <c r="L1763" i="2" s="1"/>
  <c r="Q252" i="3"/>
  <c r="P253" i="3" s="1"/>
  <c r="L255" i="3" s="1"/>
  <c r="Q136" i="1"/>
  <c r="P137" i="1" s="1"/>
  <c r="Q948" i="2"/>
  <c r="P949" i="2" s="1"/>
  <c r="Q1702" i="2"/>
  <c r="P1703" i="2" s="1"/>
  <c r="L1705" i="2" s="1"/>
  <c r="Q890" i="2"/>
  <c r="P891" i="2" s="1"/>
  <c r="L893" i="2" s="1"/>
  <c r="J131" i="1"/>
  <c r="S131" i="1" s="1"/>
  <c r="Q832" i="2"/>
  <c r="P833" i="2" s="1"/>
  <c r="P834" i="2" s="1"/>
  <c r="J818" i="2" s="1"/>
  <c r="Q716" i="2"/>
  <c r="P717" i="2" s="1"/>
  <c r="L719" i="2" s="1"/>
  <c r="Q658" i="2"/>
  <c r="P659" i="2" s="1"/>
  <c r="P660" i="2" s="1"/>
  <c r="J644" i="2" s="1"/>
  <c r="Q600" i="2"/>
  <c r="P601" i="2" s="1"/>
  <c r="P602" i="2" s="1"/>
  <c r="J586" i="2" s="1"/>
  <c r="Q542" i="2"/>
  <c r="P543" i="2" s="1"/>
  <c r="L545" i="2" s="1"/>
  <c r="Q484" i="2"/>
  <c r="P485" i="2" s="1"/>
  <c r="L487" i="2" s="1"/>
  <c r="Q310" i="2"/>
  <c r="P311" i="2" s="1"/>
  <c r="P312" i="2" s="1"/>
  <c r="J296" i="2" s="1"/>
  <c r="Q252" i="2"/>
  <c r="P253" i="2" s="1"/>
  <c r="P254" i="2" s="1"/>
  <c r="J238" i="2" s="1"/>
  <c r="Q194" i="2"/>
  <c r="P195" i="2" s="1"/>
  <c r="P196" i="2" s="1"/>
  <c r="J180" i="2" s="1"/>
  <c r="Q136" i="2"/>
  <c r="P137" i="2" s="1"/>
  <c r="P138" i="2" s="1"/>
  <c r="J122" i="2" s="1"/>
  <c r="Q78" i="2"/>
  <c r="P79" i="2" s="1"/>
  <c r="P80" i="2" s="1"/>
  <c r="J64" i="2" s="1"/>
  <c r="Q78" i="1"/>
  <c r="P79" i="1" s="1"/>
  <c r="L81" i="1" s="1"/>
  <c r="J69" i="1"/>
  <c r="T69" i="1" s="1"/>
  <c r="L313" i="3"/>
  <c r="P312" i="3"/>
  <c r="J296" i="3" s="1"/>
  <c r="P1008" i="3"/>
  <c r="J992" i="3" s="1"/>
  <c r="L951" i="3"/>
  <c r="P950" i="3"/>
  <c r="J934" i="3" s="1"/>
  <c r="Q20" i="3"/>
  <c r="P21" i="3" s="1"/>
  <c r="P80" i="3"/>
  <c r="J64" i="3" s="1"/>
  <c r="L81" i="3"/>
  <c r="L197" i="3"/>
  <c r="P196" i="3"/>
  <c r="J180" i="3" s="1"/>
  <c r="Q1644" i="3"/>
  <c r="P1645" i="3" s="1"/>
  <c r="Q368" i="3"/>
  <c r="P369" i="3" s="1"/>
  <c r="Q426" i="3"/>
  <c r="P427" i="3" s="1"/>
  <c r="L1531" i="3"/>
  <c r="P1530" i="3"/>
  <c r="J1514" i="3" s="1"/>
  <c r="Q1354" i="3"/>
  <c r="P1355" i="3" s="1"/>
  <c r="Q1412" i="3"/>
  <c r="P1413" i="3" s="1"/>
  <c r="Q1180" i="3"/>
  <c r="P1181" i="3" s="1"/>
  <c r="Q1238" i="3"/>
  <c r="P1239" i="3" s="1"/>
  <c r="Q1296" i="3"/>
  <c r="P1297" i="3" s="1"/>
  <c r="L1763" i="3"/>
  <c r="Q600" i="3"/>
  <c r="P601" i="3" s="1"/>
  <c r="Q1122" i="3"/>
  <c r="P1123" i="3" s="1"/>
  <c r="Q1064" i="3"/>
  <c r="P1065" i="3" s="1"/>
  <c r="Q716" i="3"/>
  <c r="P717" i="3" s="1"/>
  <c r="Q774" i="3"/>
  <c r="P775" i="3" s="1"/>
  <c r="Q1702" i="3"/>
  <c r="P1703" i="3" s="1"/>
  <c r="Q658" i="3"/>
  <c r="P659" i="3" s="1"/>
  <c r="Q484" i="3"/>
  <c r="P485" i="3" s="1"/>
  <c r="P1704" i="2"/>
  <c r="J1688" i="2" s="1"/>
  <c r="L1647" i="2"/>
  <c r="P1646" i="2"/>
  <c r="J1630" i="2" s="1"/>
  <c r="L1589" i="2"/>
  <c r="P1588" i="2"/>
  <c r="J1572" i="2" s="1"/>
  <c r="L1531" i="2"/>
  <c r="P1530" i="2"/>
  <c r="J1514" i="2" s="1"/>
  <c r="L1473" i="2"/>
  <c r="P1472" i="2"/>
  <c r="J1456" i="2" s="1"/>
  <c r="P1414" i="2"/>
  <c r="J1398" i="2" s="1"/>
  <c r="L1415" i="2"/>
  <c r="L1357" i="2"/>
  <c r="P1356" i="2"/>
  <c r="J1340" i="2" s="1"/>
  <c r="L1299" i="2"/>
  <c r="P1298" i="2"/>
  <c r="J1282" i="2" s="1"/>
  <c r="L951" i="2"/>
  <c r="P950" i="2"/>
  <c r="J934" i="2" s="1"/>
  <c r="P892" i="2"/>
  <c r="J876" i="2" s="1"/>
  <c r="L835" i="2"/>
  <c r="L777" i="2"/>
  <c r="L661" i="2"/>
  <c r="L603" i="2"/>
  <c r="P544" i="2"/>
  <c r="J528" i="2" s="1"/>
  <c r="P486" i="2"/>
  <c r="J470" i="2" s="1"/>
  <c r="P428" i="2"/>
  <c r="J412" i="2" s="1"/>
  <c r="L429" i="2"/>
  <c r="L371" i="2"/>
  <c r="P370" i="2"/>
  <c r="J354" i="2" s="1"/>
  <c r="J74" i="1"/>
  <c r="J146" i="1"/>
  <c r="J75" i="1"/>
  <c r="J76" i="1"/>
  <c r="T76" i="1" s="1"/>
  <c r="J147" i="1"/>
  <c r="J148" i="1"/>
  <c r="J77" i="1"/>
  <c r="J204" i="1"/>
  <c r="J30" i="2" s="1"/>
  <c r="J88" i="2" s="1"/>
  <c r="J146" i="2" s="1"/>
  <c r="J204" i="2" s="1"/>
  <c r="J262" i="2" s="1"/>
  <c r="J320" i="2" s="1"/>
  <c r="J378" i="2" s="1"/>
  <c r="J436" i="2" s="1"/>
  <c r="J494" i="2" s="1"/>
  <c r="J552" i="2" s="1"/>
  <c r="J610" i="2" s="1"/>
  <c r="J668" i="2" s="1"/>
  <c r="J726" i="2" s="1"/>
  <c r="J784" i="2" s="1"/>
  <c r="J842" i="2" s="1"/>
  <c r="J900" i="2" s="1"/>
  <c r="J958" i="2" s="1"/>
  <c r="J1016" i="2" s="1"/>
  <c r="J1074" i="2" s="1"/>
  <c r="J1132" i="2" s="1"/>
  <c r="J1190" i="2" s="1"/>
  <c r="J1248" i="2" s="1"/>
  <c r="J1306" i="2" s="1"/>
  <c r="J1364" i="2" s="1"/>
  <c r="J1422" i="2" s="1"/>
  <c r="J1480" i="2" s="1"/>
  <c r="J1538" i="2" s="1"/>
  <c r="J1596" i="2" s="1"/>
  <c r="J1654" i="2" s="1"/>
  <c r="J1712" i="2" s="1"/>
  <c r="J1770" i="2" s="1"/>
  <c r="J30" i="3" s="1"/>
  <c r="J88" i="3" s="1"/>
  <c r="J146" i="3" s="1"/>
  <c r="J204" i="3" s="1"/>
  <c r="J262" i="3" s="1"/>
  <c r="J320" i="3" s="1"/>
  <c r="J378" i="3" s="1"/>
  <c r="J436" i="3" s="1"/>
  <c r="J494" i="3" s="1"/>
  <c r="J552" i="3" s="1"/>
  <c r="J610" i="3" s="1"/>
  <c r="J668" i="3" s="1"/>
  <c r="J726" i="3" s="1"/>
  <c r="J784" i="3" s="1"/>
  <c r="J842" i="3" s="1"/>
  <c r="J900" i="3" s="1"/>
  <c r="J958" i="3" s="1"/>
  <c r="J1016" i="3" s="1"/>
  <c r="J1074" i="3" s="1"/>
  <c r="J1132" i="3" s="1"/>
  <c r="J1190" i="3" s="1"/>
  <c r="J1248" i="3" s="1"/>
  <c r="J1306" i="3" s="1"/>
  <c r="J1364" i="3" s="1"/>
  <c r="J1422" i="3" s="1"/>
  <c r="J1480" i="3" s="1"/>
  <c r="J1538" i="3" s="1"/>
  <c r="J1596" i="3" s="1"/>
  <c r="J1654" i="3" s="1"/>
  <c r="J1712" i="3" s="1"/>
  <c r="J1770" i="3" s="1"/>
  <c r="J205" i="1"/>
  <c r="J31" i="2" s="1"/>
  <c r="J206" i="1"/>
  <c r="J32" i="2" s="1"/>
  <c r="J90" i="2" s="1"/>
  <c r="J148" i="2" s="1"/>
  <c r="J206" i="2" s="1"/>
  <c r="J264" i="2" s="1"/>
  <c r="J322" i="2" s="1"/>
  <c r="J380" i="2" s="1"/>
  <c r="J438" i="2" s="1"/>
  <c r="J496" i="2" s="1"/>
  <c r="J554" i="2" s="1"/>
  <c r="J612" i="2" s="1"/>
  <c r="J670" i="2" s="1"/>
  <c r="J728" i="2" s="1"/>
  <c r="J786" i="2" s="1"/>
  <c r="J844" i="2" s="1"/>
  <c r="J902" i="2" s="1"/>
  <c r="J960" i="2" s="1"/>
  <c r="J1018" i="2" s="1"/>
  <c r="J1076" i="2" s="1"/>
  <c r="J1134" i="2" s="1"/>
  <c r="J1192" i="2" s="1"/>
  <c r="J1250" i="2" s="1"/>
  <c r="J1308" i="2" s="1"/>
  <c r="J1366" i="2" s="1"/>
  <c r="J1424" i="2" s="1"/>
  <c r="J1482" i="2" s="1"/>
  <c r="J1540" i="2" s="1"/>
  <c r="J1598" i="2" s="1"/>
  <c r="J1656" i="2" s="1"/>
  <c r="J1714" i="2" s="1"/>
  <c r="J1772" i="2" s="1"/>
  <c r="J32" i="3" s="1"/>
  <c r="J90" i="3" s="1"/>
  <c r="J148" i="3" s="1"/>
  <c r="J206" i="3" s="1"/>
  <c r="J264" i="3" s="1"/>
  <c r="J322" i="3" s="1"/>
  <c r="J380" i="3" s="1"/>
  <c r="J438" i="3" s="1"/>
  <c r="J496" i="3" s="1"/>
  <c r="J554" i="3" s="1"/>
  <c r="J612" i="3" s="1"/>
  <c r="J670" i="3" s="1"/>
  <c r="J728" i="3" s="1"/>
  <c r="J786" i="3" s="1"/>
  <c r="J844" i="3" s="1"/>
  <c r="J902" i="3" s="1"/>
  <c r="J960" i="3" s="1"/>
  <c r="J1018" i="3" s="1"/>
  <c r="J1076" i="3" s="1"/>
  <c r="J1134" i="3" s="1"/>
  <c r="J1192" i="3" s="1"/>
  <c r="J1250" i="3" s="1"/>
  <c r="J1308" i="3" s="1"/>
  <c r="J1366" i="3" s="1"/>
  <c r="J1424" i="3" s="1"/>
  <c r="J1482" i="3" s="1"/>
  <c r="J1540" i="3" s="1"/>
  <c r="J1598" i="3" s="1"/>
  <c r="J1656" i="3" s="1"/>
  <c r="J1714" i="3" s="1"/>
  <c r="J1772" i="3" s="1"/>
  <c r="J89" i="2"/>
  <c r="J147" i="2"/>
  <c r="J205" i="2" s="1"/>
  <c r="J263" i="2" s="1"/>
  <c r="J321" i="2" s="1"/>
  <c r="J379" i="2" s="1"/>
  <c r="J437" i="2" s="1"/>
  <c r="J495" i="2" s="1"/>
  <c r="J553" i="2" s="1"/>
  <c r="J611" i="2" s="1"/>
  <c r="J669" i="2" s="1"/>
  <c r="J727" i="2" s="1"/>
  <c r="J785" i="2" s="1"/>
  <c r="J843" i="2" s="1"/>
  <c r="J901" i="2" s="1"/>
  <c r="J959" i="2" s="1"/>
  <c r="J1017" i="2" s="1"/>
  <c r="J1075" i="2" s="1"/>
  <c r="J1133" i="2" s="1"/>
  <c r="J1191" i="2" s="1"/>
  <c r="J1249" i="2" s="1"/>
  <c r="J1307" i="2" s="1"/>
  <c r="J1365" i="2" s="1"/>
  <c r="J1423" i="2" s="1"/>
  <c r="J1481" i="2" s="1"/>
  <c r="J1539" i="2" s="1"/>
  <c r="J1597" i="2" s="1"/>
  <c r="J1655" i="2" s="1"/>
  <c r="J1713" i="2" s="1"/>
  <c r="J1771" i="2" s="1"/>
  <c r="J31" i="3" s="1"/>
  <c r="J89" i="3" s="1"/>
  <c r="J147" i="3" s="1"/>
  <c r="J205" i="3" s="1"/>
  <c r="J263" i="3" s="1"/>
  <c r="J321" i="3" s="1"/>
  <c r="J379" i="3" s="1"/>
  <c r="J437" i="3" s="1"/>
  <c r="J495" i="3" s="1"/>
  <c r="J553" i="3" s="1"/>
  <c r="J611" i="3" s="1"/>
  <c r="J669" i="3" s="1"/>
  <c r="J727" i="3" s="1"/>
  <c r="J785" i="3" s="1"/>
  <c r="J843" i="3" s="1"/>
  <c r="J901" i="3" s="1"/>
  <c r="J959" i="3" s="1"/>
  <c r="J1017" i="3" s="1"/>
  <c r="J1075" i="3" s="1"/>
  <c r="J1133" i="3" s="1"/>
  <c r="J1191" i="3" s="1"/>
  <c r="J1249" i="3" s="1"/>
  <c r="J1307" i="3" s="1"/>
  <c r="J1365" i="3" s="1"/>
  <c r="J1423" i="3" s="1"/>
  <c r="J1481" i="3" s="1"/>
  <c r="J1539" i="3" s="1"/>
  <c r="J1597" i="3" s="1"/>
  <c r="J1655" i="3" s="1"/>
  <c r="J1713" i="3" s="1"/>
  <c r="J1771" i="3" s="1"/>
  <c r="Q20" i="2"/>
  <c r="P21" i="2" s="1"/>
  <c r="L23" i="2" s="1"/>
  <c r="L197" i="1"/>
  <c r="P196" i="1"/>
  <c r="L139" i="1"/>
  <c r="P138" i="1"/>
  <c r="J122" i="1" s="1"/>
  <c r="T74" i="1"/>
  <c r="S75" i="1"/>
  <c r="J71" i="1"/>
  <c r="T71" i="1" s="1"/>
  <c r="J70" i="1"/>
  <c r="S72" i="1"/>
  <c r="S73" i="1"/>
  <c r="S11" i="1"/>
  <c r="T12" i="1"/>
  <c r="T19" i="1"/>
  <c r="Q20" i="1"/>
  <c r="P21" i="1" s="1"/>
  <c r="T17" i="1"/>
  <c r="T13" i="1"/>
  <c r="S15" i="1"/>
  <c r="T16" i="1"/>
  <c r="S18" i="1"/>
  <c r="T14" i="1"/>
  <c r="P1124" i="2" l="1"/>
  <c r="J1108" i="2" s="1"/>
  <c r="P1182" i="2"/>
  <c r="J1166" i="2" s="1"/>
  <c r="D645" i="2"/>
  <c r="D703" i="2" s="1"/>
  <c r="D761" i="2" s="1"/>
  <c r="D819" i="2" s="1"/>
  <c r="D877" i="2" s="1"/>
  <c r="D935" i="2" s="1"/>
  <c r="D993" i="2" s="1"/>
  <c r="D1051" i="2" s="1"/>
  <c r="D1109" i="2" s="1"/>
  <c r="D1167" i="2" s="1"/>
  <c r="D1225" i="2" s="1"/>
  <c r="D1283" i="2" s="1"/>
  <c r="D1341" i="2" s="1"/>
  <c r="D1399" i="2" s="1"/>
  <c r="D1457" i="2" s="1"/>
  <c r="D1515" i="2" s="1"/>
  <c r="D1573" i="2" s="1"/>
  <c r="D1631" i="2" s="1"/>
  <c r="D1689" i="2" s="1"/>
  <c r="D1747" i="2" s="1"/>
  <c r="D7" i="3" s="1"/>
  <c r="D65" i="3" s="1"/>
  <c r="D123" i="3" s="1"/>
  <c r="D181" i="3" s="1"/>
  <c r="D239" i="3" s="1"/>
  <c r="D297" i="3" s="1"/>
  <c r="D355" i="3" s="1"/>
  <c r="D413" i="3" s="1"/>
  <c r="D471" i="3" s="1"/>
  <c r="D529" i="3" s="1"/>
  <c r="D587" i="3" s="1"/>
  <c r="D645" i="3" s="1"/>
  <c r="D703" i="3" s="1"/>
  <c r="D761" i="3" s="1"/>
  <c r="D819" i="3" s="1"/>
  <c r="D877" i="3" s="1"/>
  <c r="D935" i="3" s="1"/>
  <c r="D993" i="3" s="1"/>
  <c r="D1051" i="3" s="1"/>
  <c r="D1109" i="3" s="1"/>
  <c r="D1167" i="3" s="1"/>
  <c r="D1225" i="3" s="1"/>
  <c r="D1283" i="3" s="1"/>
  <c r="D1341" i="3" s="1"/>
  <c r="D1399" i="3" s="1"/>
  <c r="D1457" i="3" s="1"/>
  <c r="D1515" i="3" s="1"/>
  <c r="D1573" i="3" s="1"/>
  <c r="D1631" i="3" s="1"/>
  <c r="D1689" i="3" s="1"/>
  <c r="D1747" i="3" s="1"/>
  <c r="L1241" i="2"/>
  <c r="P254" i="3"/>
  <c r="J238" i="3" s="1"/>
  <c r="J189" i="1"/>
  <c r="S189" i="1" s="1"/>
  <c r="T72" i="1"/>
  <c r="J130" i="1"/>
  <c r="P80" i="1"/>
  <c r="J64" i="1" s="1"/>
  <c r="P544" i="3"/>
  <c r="J528" i="3" s="1"/>
  <c r="T131" i="1"/>
  <c r="P834" i="3"/>
  <c r="J818" i="3" s="1"/>
  <c r="P892" i="3"/>
  <c r="J876" i="3" s="1"/>
  <c r="P718" i="2"/>
  <c r="J702" i="2" s="1"/>
  <c r="I120" i="1"/>
  <c r="F178" i="1"/>
  <c r="L1009" i="2"/>
  <c r="L176" i="1"/>
  <c r="J2" i="2"/>
  <c r="L313" i="2"/>
  <c r="P1066" i="2"/>
  <c r="J1050" i="2" s="1"/>
  <c r="J1051" i="2" s="1"/>
  <c r="P138" i="3"/>
  <c r="J122" i="3" s="1"/>
  <c r="P1472" i="3"/>
  <c r="J1456" i="3" s="1"/>
  <c r="L1473" i="3"/>
  <c r="L81" i="2"/>
  <c r="P1762" i="2"/>
  <c r="J1746" i="2" s="1"/>
  <c r="L1589" i="3"/>
  <c r="P1588" i="3"/>
  <c r="J1572" i="3" s="1"/>
  <c r="L255" i="2"/>
  <c r="L197" i="2"/>
  <c r="L139" i="2"/>
  <c r="P22" i="2"/>
  <c r="J6" i="2" s="1"/>
  <c r="S69" i="1"/>
  <c r="J127" i="1"/>
  <c r="T127" i="1" s="1"/>
  <c r="P428" i="3"/>
  <c r="J412" i="3" s="1"/>
  <c r="L429" i="3"/>
  <c r="L1647" i="3"/>
  <c r="P1646" i="3"/>
  <c r="J1630" i="3" s="1"/>
  <c r="L1415" i="3"/>
  <c r="P1414" i="3"/>
  <c r="J1398" i="3" s="1"/>
  <c r="L1299" i="3"/>
  <c r="P1298" i="3"/>
  <c r="J1282" i="3" s="1"/>
  <c r="L719" i="3"/>
  <c r="P718" i="3"/>
  <c r="J702" i="3" s="1"/>
  <c r="L1067" i="3"/>
  <c r="P1066" i="3"/>
  <c r="J1050" i="3" s="1"/>
  <c r="P1124" i="3"/>
  <c r="J1108" i="3" s="1"/>
  <c r="L1125" i="3"/>
  <c r="L777" i="3"/>
  <c r="P776" i="3"/>
  <c r="J760" i="3" s="1"/>
  <c r="L603" i="3"/>
  <c r="P602" i="3"/>
  <c r="J586" i="3" s="1"/>
  <c r="L661" i="3"/>
  <c r="P660" i="3"/>
  <c r="J644" i="3" s="1"/>
  <c r="L1705" i="3"/>
  <c r="P1704" i="3"/>
  <c r="J1688" i="3" s="1"/>
  <c r="L1357" i="3"/>
  <c r="P1356" i="3"/>
  <c r="J1340" i="3" s="1"/>
  <c r="L487" i="3"/>
  <c r="P486" i="3"/>
  <c r="J470" i="3" s="1"/>
  <c r="P370" i="3"/>
  <c r="J354" i="3" s="1"/>
  <c r="L371" i="3"/>
  <c r="L1241" i="3"/>
  <c r="P1240" i="3"/>
  <c r="J1224" i="3" s="1"/>
  <c r="L1183" i="3"/>
  <c r="P1182" i="3"/>
  <c r="J1166" i="3" s="1"/>
  <c r="L23" i="3"/>
  <c r="P22" i="3"/>
  <c r="J6" i="3" s="1"/>
  <c r="S70" i="1"/>
  <c r="J128" i="1"/>
  <c r="S71" i="1"/>
  <c r="J129" i="1"/>
  <c r="T77" i="1"/>
  <c r="J135" i="1"/>
  <c r="S76" i="1"/>
  <c r="J134" i="1"/>
  <c r="S77" i="1"/>
  <c r="T75" i="1"/>
  <c r="J133" i="1"/>
  <c r="T70" i="1"/>
  <c r="T189" i="1"/>
  <c r="J15" i="2"/>
  <c r="S74" i="1"/>
  <c r="J132" i="1"/>
  <c r="L23" i="1"/>
  <c r="L24" i="1" s="1"/>
  <c r="L82" i="1" s="1"/>
  <c r="L140" i="1" s="1"/>
  <c r="L198" i="1" s="1"/>
  <c r="L24" i="2" s="1"/>
  <c r="L82" i="2" s="1"/>
  <c r="P22" i="1"/>
  <c r="J6" i="1" s="1"/>
  <c r="S20" i="1"/>
  <c r="J1109" i="2" l="1"/>
  <c r="J1167" i="2" s="1"/>
  <c r="J1225" i="2" s="1"/>
  <c r="J1283" i="2" s="1"/>
  <c r="J1341" i="2" s="1"/>
  <c r="J1399" i="2" s="1"/>
  <c r="J1457" i="2" s="1"/>
  <c r="J1515" i="2" s="1"/>
  <c r="J1573" i="2" s="1"/>
  <c r="J1631" i="2" s="1"/>
  <c r="J1689" i="2" s="1"/>
  <c r="J1747" i="2" s="1"/>
  <c r="J7" i="3" s="1"/>
  <c r="J65" i="3" s="1"/>
  <c r="J123" i="3" s="1"/>
  <c r="J181" i="3" s="1"/>
  <c r="J239" i="3" s="1"/>
  <c r="J297" i="3" s="1"/>
  <c r="J355" i="3" s="1"/>
  <c r="J413" i="3" s="1"/>
  <c r="J471" i="3" s="1"/>
  <c r="J529" i="3" s="1"/>
  <c r="J587" i="3" s="1"/>
  <c r="J645" i="3" s="1"/>
  <c r="J703" i="3" s="1"/>
  <c r="J761" i="3" s="1"/>
  <c r="J819" i="3" s="1"/>
  <c r="J877" i="3" s="1"/>
  <c r="J935" i="3" s="1"/>
  <c r="J993" i="3" s="1"/>
  <c r="J1051" i="3" s="1"/>
  <c r="J1109" i="3" s="1"/>
  <c r="J1167" i="3" s="1"/>
  <c r="J1225" i="3" s="1"/>
  <c r="J1283" i="3" s="1"/>
  <c r="J1341" i="3" s="1"/>
  <c r="J1399" i="3" s="1"/>
  <c r="J1457" i="3" s="1"/>
  <c r="J1515" i="3" s="1"/>
  <c r="J1573" i="3" s="1"/>
  <c r="J1631" i="3" s="1"/>
  <c r="J1689" i="3" s="1"/>
  <c r="L140" i="2"/>
  <c r="L198" i="2" s="1"/>
  <c r="L256" i="2" s="1"/>
  <c r="L314" i="2" s="1"/>
  <c r="L372" i="2" s="1"/>
  <c r="L430" i="2" s="1"/>
  <c r="L488" i="2" s="1"/>
  <c r="L546" i="2" s="1"/>
  <c r="L604" i="2" s="1"/>
  <c r="L662" i="2" s="1"/>
  <c r="L720" i="2" s="1"/>
  <c r="L778" i="2" s="1"/>
  <c r="L836" i="2" s="1"/>
  <c r="L894" i="2" s="1"/>
  <c r="L952" i="2" s="1"/>
  <c r="L1010" i="2" s="1"/>
  <c r="L1068" i="2" s="1"/>
  <c r="L1126" i="2" s="1"/>
  <c r="L1184" i="2" s="1"/>
  <c r="L1242" i="2" s="1"/>
  <c r="L1300" i="2" s="1"/>
  <c r="L1358" i="2" s="1"/>
  <c r="L1416" i="2" s="1"/>
  <c r="L1474" i="2" s="1"/>
  <c r="L1532" i="2" s="1"/>
  <c r="L1590" i="2" s="1"/>
  <c r="L1648" i="2" s="1"/>
  <c r="L1706" i="2" s="1"/>
  <c r="L1764" i="2" s="1"/>
  <c r="L24" i="3" s="1"/>
  <c r="L82" i="3" s="1"/>
  <c r="L140" i="3" s="1"/>
  <c r="L198" i="3" s="1"/>
  <c r="L256" i="3" s="1"/>
  <c r="L314" i="3" s="1"/>
  <c r="L372" i="3" s="1"/>
  <c r="L430" i="3" s="1"/>
  <c r="L488" i="3" s="1"/>
  <c r="L546" i="3" s="1"/>
  <c r="L604" i="3" s="1"/>
  <c r="L662" i="3" s="1"/>
  <c r="L720" i="3" s="1"/>
  <c r="L778" i="3" s="1"/>
  <c r="L836" i="3" s="1"/>
  <c r="L894" i="3" s="1"/>
  <c r="L952" i="3" s="1"/>
  <c r="L1010" i="3" s="1"/>
  <c r="L1068" i="3" s="1"/>
  <c r="L1126" i="3" s="1"/>
  <c r="L1184" i="3" s="1"/>
  <c r="L1242" i="3" s="1"/>
  <c r="L1300" i="3" s="1"/>
  <c r="L1358" i="3" s="1"/>
  <c r="L1416" i="3" s="1"/>
  <c r="L1474" i="3" s="1"/>
  <c r="L1532" i="3" s="1"/>
  <c r="L1590" i="3" s="1"/>
  <c r="L1648" i="3" s="1"/>
  <c r="L1706" i="3" s="1"/>
  <c r="L1764" i="3" s="1"/>
  <c r="I178" i="1"/>
  <c r="F4" i="2"/>
  <c r="S130" i="1"/>
  <c r="T130" i="1"/>
  <c r="J188" i="1"/>
  <c r="J60" i="2"/>
  <c r="L2" i="2"/>
  <c r="J7" i="2"/>
  <c r="S78" i="1"/>
  <c r="S127" i="1"/>
  <c r="J185" i="1"/>
  <c r="S185" i="1" s="1"/>
  <c r="J1747" i="3"/>
  <c r="T135" i="1"/>
  <c r="J193" i="1"/>
  <c r="S135" i="1"/>
  <c r="S132" i="1"/>
  <c r="T132" i="1"/>
  <c r="J190" i="1"/>
  <c r="S15" i="2"/>
  <c r="T15" i="2"/>
  <c r="J73" i="2"/>
  <c r="T133" i="1"/>
  <c r="J191" i="1"/>
  <c r="S133" i="1"/>
  <c r="T134" i="1"/>
  <c r="J192" i="1"/>
  <c r="S134" i="1"/>
  <c r="T129" i="1"/>
  <c r="J187" i="1"/>
  <c r="S129" i="1"/>
  <c r="S128" i="1"/>
  <c r="J186" i="1"/>
  <c r="T128" i="1"/>
  <c r="J7" i="1"/>
  <c r="L60" i="2" l="1"/>
  <c r="J118" i="2"/>
  <c r="T188" i="1"/>
  <c r="J14" i="2"/>
  <c r="S188" i="1"/>
  <c r="F62" i="2"/>
  <c r="I4" i="2"/>
  <c r="T185" i="1"/>
  <c r="J11" i="2"/>
  <c r="S136" i="1"/>
  <c r="T193" i="1"/>
  <c r="J19" i="2"/>
  <c r="S193" i="1"/>
  <c r="T186" i="1"/>
  <c r="J12" i="2"/>
  <c r="S186" i="1"/>
  <c r="T187" i="1"/>
  <c r="J13" i="2"/>
  <c r="S187" i="1"/>
  <c r="T11" i="2"/>
  <c r="J69" i="2"/>
  <c r="S11" i="2"/>
  <c r="T192" i="1"/>
  <c r="J18" i="2"/>
  <c r="S192" i="1"/>
  <c r="T191" i="1"/>
  <c r="J17" i="2"/>
  <c r="S191" i="1"/>
  <c r="S73" i="2"/>
  <c r="J131" i="2"/>
  <c r="T73" i="2"/>
  <c r="T190" i="1"/>
  <c r="J16" i="2"/>
  <c r="S190" i="1"/>
  <c r="I62" i="2" l="1"/>
  <c r="F120" i="2"/>
  <c r="J72" i="2"/>
  <c r="T14" i="2"/>
  <c r="S14" i="2"/>
  <c r="L118" i="2"/>
  <c r="J176" i="2"/>
  <c r="S17" i="2"/>
  <c r="T17" i="2"/>
  <c r="J75" i="2"/>
  <c r="S131" i="2"/>
  <c r="J189" i="2"/>
  <c r="J247" i="2" s="1"/>
  <c r="T131" i="2"/>
  <c r="T12" i="2"/>
  <c r="J70" i="2"/>
  <c r="S12" i="2"/>
  <c r="T16" i="2"/>
  <c r="S16" i="2"/>
  <c r="J74" i="2"/>
  <c r="S13" i="2"/>
  <c r="J71" i="2"/>
  <c r="T13" i="2"/>
  <c r="J76" i="2"/>
  <c r="T18" i="2"/>
  <c r="S18" i="2"/>
  <c r="S69" i="2"/>
  <c r="J127" i="2"/>
  <c r="T69" i="2"/>
  <c r="S194" i="1"/>
  <c r="S19" i="2"/>
  <c r="J77" i="2"/>
  <c r="T19" i="2"/>
  <c r="L176" i="2" l="1"/>
  <c r="J234" i="2"/>
  <c r="F178" i="2"/>
  <c r="I120" i="2"/>
  <c r="T72" i="2"/>
  <c r="J130" i="2"/>
  <c r="S72" i="2"/>
  <c r="S247" i="2"/>
  <c r="J305" i="2"/>
  <c r="T247" i="2"/>
  <c r="S20" i="2"/>
  <c r="T127" i="2"/>
  <c r="S127" i="2"/>
  <c r="J185" i="2"/>
  <c r="J243" i="2" s="1"/>
  <c r="T74" i="2"/>
  <c r="S74" i="2"/>
  <c r="J132" i="2"/>
  <c r="J135" i="2"/>
  <c r="T77" i="2"/>
  <c r="S77" i="2"/>
  <c r="T76" i="2"/>
  <c r="S76" i="2"/>
  <c r="J134" i="2"/>
  <c r="J129" i="2"/>
  <c r="S71" i="2"/>
  <c r="T71" i="2"/>
  <c r="T70" i="2"/>
  <c r="S70" i="2"/>
  <c r="J128" i="2"/>
  <c r="S189" i="2"/>
  <c r="T189" i="2"/>
  <c r="S75" i="2"/>
  <c r="J133" i="2"/>
  <c r="T75" i="2"/>
  <c r="S130" i="2" l="1"/>
  <c r="T130" i="2"/>
  <c r="J188" i="2"/>
  <c r="L234" i="2"/>
  <c r="J292" i="2"/>
  <c r="I178" i="2"/>
  <c r="F236" i="2"/>
  <c r="T305" i="2"/>
  <c r="J363" i="2"/>
  <c r="S305" i="2"/>
  <c r="S78" i="2"/>
  <c r="S243" i="2"/>
  <c r="J301" i="2"/>
  <c r="T243" i="2"/>
  <c r="T133" i="2"/>
  <c r="S133" i="2"/>
  <c r="J191" i="2"/>
  <c r="J249" i="2" s="1"/>
  <c r="S129" i="2"/>
  <c r="T129" i="2"/>
  <c r="J187" i="2"/>
  <c r="J245" i="2" s="1"/>
  <c r="J192" i="2"/>
  <c r="J250" i="2" s="1"/>
  <c r="T134" i="2"/>
  <c r="S134" i="2"/>
  <c r="J193" i="2"/>
  <c r="J251" i="2" s="1"/>
  <c r="S135" i="2"/>
  <c r="T135" i="2"/>
  <c r="T185" i="2"/>
  <c r="S185" i="2"/>
  <c r="T128" i="2"/>
  <c r="S128" i="2"/>
  <c r="J186" i="2"/>
  <c r="J244" i="2" s="1"/>
  <c r="T132" i="2"/>
  <c r="S132" i="2"/>
  <c r="J190" i="2"/>
  <c r="J248" i="2" s="1"/>
  <c r="T250" i="2" l="1"/>
  <c r="J308" i="2"/>
  <c r="S250" i="2"/>
  <c r="S251" i="2"/>
  <c r="J309" i="2"/>
  <c r="T251" i="2"/>
  <c r="I236" i="2"/>
  <c r="F294" i="2"/>
  <c r="T249" i="2"/>
  <c r="J307" i="2"/>
  <c r="S249" i="2"/>
  <c r="L292" i="2"/>
  <c r="J350" i="2"/>
  <c r="J246" i="2"/>
  <c r="T188" i="2"/>
  <c r="S188" i="2"/>
  <c r="T248" i="2"/>
  <c r="J306" i="2"/>
  <c r="S248" i="2"/>
  <c r="S136" i="2"/>
  <c r="T363" i="2"/>
  <c r="J421" i="2"/>
  <c r="S363" i="2"/>
  <c r="S245" i="2"/>
  <c r="J303" i="2"/>
  <c r="T245" i="2"/>
  <c r="T244" i="2"/>
  <c r="J302" i="2"/>
  <c r="S244" i="2"/>
  <c r="T301" i="2"/>
  <c r="J359" i="2"/>
  <c r="S301" i="2"/>
  <c r="T193" i="2"/>
  <c r="S193" i="2"/>
  <c r="T190" i="2"/>
  <c r="S190" i="2"/>
  <c r="T186" i="2"/>
  <c r="S186" i="2"/>
  <c r="T192" i="2"/>
  <c r="S192" i="2"/>
  <c r="T191" i="2"/>
  <c r="S191" i="2"/>
  <c r="T187" i="2"/>
  <c r="S187" i="2"/>
  <c r="I294" i="2" l="1"/>
  <c r="F352" i="2"/>
  <c r="L350" i="2"/>
  <c r="J408" i="2"/>
  <c r="S246" i="2"/>
  <c r="S252" i="2" s="1"/>
  <c r="T246" i="2"/>
  <c r="J304" i="2"/>
  <c r="T307" i="2"/>
  <c r="J365" i="2"/>
  <c r="S307" i="2"/>
  <c r="T309" i="2"/>
  <c r="J367" i="2"/>
  <c r="S309" i="2"/>
  <c r="S308" i="2"/>
  <c r="J366" i="2"/>
  <c r="T308" i="2"/>
  <c r="T306" i="2"/>
  <c r="J364" i="2"/>
  <c r="S306" i="2"/>
  <c r="T421" i="2"/>
  <c r="J479" i="2"/>
  <c r="S421" i="2"/>
  <c r="T303" i="2"/>
  <c r="J361" i="2"/>
  <c r="S303" i="2"/>
  <c r="S194" i="2"/>
  <c r="T302" i="2"/>
  <c r="J360" i="2"/>
  <c r="S302" i="2"/>
  <c r="T359" i="2"/>
  <c r="J417" i="2"/>
  <c r="S359" i="2"/>
  <c r="S366" i="2" l="1"/>
  <c r="J424" i="2"/>
  <c r="T366" i="2"/>
  <c r="S304" i="2"/>
  <c r="S310" i="2" s="1"/>
  <c r="J362" i="2"/>
  <c r="T304" i="2"/>
  <c r="I352" i="2"/>
  <c r="F410" i="2"/>
  <c r="T367" i="2"/>
  <c r="J425" i="2"/>
  <c r="S367" i="2"/>
  <c r="T365" i="2"/>
  <c r="J423" i="2"/>
  <c r="S365" i="2"/>
  <c r="L408" i="2"/>
  <c r="J466" i="2"/>
  <c r="T364" i="2"/>
  <c r="J422" i="2"/>
  <c r="S364" i="2"/>
  <c r="T479" i="2"/>
  <c r="J537" i="2"/>
  <c r="S479" i="2"/>
  <c r="S361" i="2"/>
  <c r="J419" i="2"/>
  <c r="T361" i="2"/>
  <c r="T360" i="2"/>
  <c r="J418" i="2"/>
  <c r="S360" i="2"/>
  <c r="T417" i="2"/>
  <c r="J475" i="2"/>
  <c r="S417" i="2"/>
  <c r="T423" i="2" l="1"/>
  <c r="J481" i="2"/>
  <c r="S423" i="2"/>
  <c r="S425" i="2"/>
  <c r="J483" i="2"/>
  <c r="T425" i="2"/>
  <c r="L466" i="2"/>
  <c r="J524" i="2"/>
  <c r="I410" i="2"/>
  <c r="F468" i="2"/>
  <c r="J420" i="2"/>
  <c r="S362" i="2"/>
  <c r="S368" i="2" s="1"/>
  <c r="T362" i="2"/>
  <c r="S424" i="2"/>
  <c r="J482" i="2"/>
  <c r="T424" i="2"/>
  <c r="T422" i="2"/>
  <c r="J480" i="2"/>
  <c r="S422" i="2"/>
  <c r="T537" i="2"/>
  <c r="J595" i="2"/>
  <c r="S537" i="2"/>
  <c r="T419" i="2"/>
  <c r="J477" i="2"/>
  <c r="S419" i="2"/>
  <c r="S418" i="2"/>
  <c r="J476" i="2"/>
  <c r="T418" i="2"/>
  <c r="S475" i="2"/>
  <c r="J533" i="2"/>
  <c r="T475" i="2"/>
  <c r="T420" i="2" l="1"/>
  <c r="J478" i="2"/>
  <c r="S420" i="2"/>
  <c r="I468" i="2"/>
  <c r="F526" i="2"/>
  <c r="L524" i="2"/>
  <c r="J582" i="2"/>
  <c r="T482" i="2"/>
  <c r="J540" i="2"/>
  <c r="S482" i="2"/>
  <c r="T483" i="2"/>
  <c r="J541" i="2"/>
  <c r="S483" i="2"/>
  <c r="T481" i="2"/>
  <c r="J539" i="2"/>
  <c r="S481" i="2"/>
  <c r="S426" i="2"/>
  <c r="T480" i="2"/>
  <c r="J538" i="2"/>
  <c r="S480" i="2"/>
  <c r="S595" i="2"/>
  <c r="J653" i="2"/>
  <c r="T595" i="2"/>
  <c r="T477" i="2"/>
  <c r="J535" i="2"/>
  <c r="S477" i="2"/>
  <c r="S476" i="2"/>
  <c r="J534" i="2"/>
  <c r="T476" i="2"/>
  <c r="S533" i="2"/>
  <c r="J591" i="2"/>
  <c r="T533" i="2"/>
  <c r="T539" i="2" l="1"/>
  <c r="J597" i="2"/>
  <c r="S539" i="2"/>
  <c r="T541" i="2"/>
  <c r="J599" i="2"/>
  <c r="S541" i="2"/>
  <c r="L582" i="2"/>
  <c r="J640" i="2"/>
  <c r="I526" i="2"/>
  <c r="F584" i="2"/>
  <c r="J536" i="2"/>
  <c r="T478" i="2"/>
  <c r="S478" i="2"/>
  <c r="S484" i="2" s="1"/>
  <c r="T540" i="2"/>
  <c r="J598" i="2"/>
  <c r="S540" i="2"/>
  <c r="T538" i="2"/>
  <c r="J596" i="2"/>
  <c r="S538" i="2"/>
  <c r="S653" i="2"/>
  <c r="J711" i="2"/>
  <c r="T653" i="2"/>
  <c r="T535" i="2"/>
  <c r="J593" i="2"/>
  <c r="S535" i="2"/>
  <c r="T534" i="2"/>
  <c r="J592" i="2"/>
  <c r="S534" i="2"/>
  <c r="S591" i="2"/>
  <c r="J649" i="2"/>
  <c r="T591" i="2"/>
  <c r="S598" i="2" l="1"/>
  <c r="J656" i="2"/>
  <c r="T598" i="2"/>
  <c r="T536" i="2"/>
  <c r="S536" i="2"/>
  <c r="J594" i="2"/>
  <c r="I584" i="2"/>
  <c r="F642" i="2"/>
  <c r="S599" i="2"/>
  <c r="J657" i="2"/>
  <c r="T599" i="2"/>
  <c r="T597" i="2"/>
  <c r="J655" i="2"/>
  <c r="S597" i="2"/>
  <c r="L640" i="2"/>
  <c r="J698" i="2"/>
  <c r="S542" i="2"/>
  <c r="T596" i="2"/>
  <c r="J654" i="2"/>
  <c r="S596" i="2"/>
  <c r="T711" i="2"/>
  <c r="J769" i="2"/>
  <c r="S711" i="2"/>
  <c r="S593" i="2"/>
  <c r="J651" i="2"/>
  <c r="T593" i="2"/>
  <c r="T592" i="2"/>
  <c r="J650" i="2"/>
  <c r="S592" i="2"/>
  <c r="S649" i="2"/>
  <c r="J707" i="2"/>
  <c r="T649" i="2"/>
  <c r="T657" i="2" l="1"/>
  <c r="J715" i="2"/>
  <c r="S657" i="2"/>
  <c r="L698" i="2"/>
  <c r="J756" i="2"/>
  <c r="T655" i="2"/>
  <c r="J713" i="2"/>
  <c r="S655" i="2"/>
  <c r="F700" i="2"/>
  <c r="I642" i="2"/>
  <c r="J652" i="2"/>
  <c r="T594" i="2"/>
  <c r="S594" i="2"/>
  <c r="S600" i="2" s="1"/>
  <c r="T656" i="2"/>
  <c r="J714" i="2"/>
  <c r="S656" i="2"/>
  <c r="T654" i="2"/>
  <c r="J712" i="2"/>
  <c r="S654" i="2"/>
  <c r="T769" i="2"/>
  <c r="J827" i="2"/>
  <c r="S769" i="2"/>
  <c r="T651" i="2"/>
  <c r="J709" i="2"/>
  <c r="S651" i="2"/>
  <c r="T650" i="2"/>
  <c r="J708" i="2"/>
  <c r="S650" i="2"/>
  <c r="T707" i="2"/>
  <c r="J765" i="2"/>
  <c r="S707" i="2"/>
  <c r="S714" i="2" l="1"/>
  <c r="J772" i="2"/>
  <c r="T714" i="2"/>
  <c r="J710" i="2"/>
  <c r="S652" i="2"/>
  <c r="T652" i="2"/>
  <c r="I700" i="2"/>
  <c r="F758" i="2"/>
  <c r="T713" i="2"/>
  <c r="J771" i="2"/>
  <c r="S713" i="2"/>
  <c r="L756" i="2"/>
  <c r="J814" i="2"/>
  <c r="S715" i="2"/>
  <c r="J773" i="2"/>
  <c r="T715" i="2"/>
  <c r="T712" i="2"/>
  <c r="J770" i="2"/>
  <c r="S712" i="2"/>
  <c r="S658" i="2"/>
  <c r="T827" i="2"/>
  <c r="J885" i="2"/>
  <c r="S827" i="2"/>
  <c r="S709" i="2"/>
  <c r="J767" i="2"/>
  <c r="T709" i="2"/>
  <c r="T708" i="2"/>
  <c r="J766" i="2"/>
  <c r="S708" i="2"/>
  <c r="S765" i="2"/>
  <c r="J823" i="2"/>
  <c r="T765" i="2"/>
  <c r="T773" i="2" l="1"/>
  <c r="J831" i="2"/>
  <c r="S773" i="2"/>
  <c r="L814" i="2"/>
  <c r="J872" i="2"/>
  <c r="S771" i="2"/>
  <c r="J829" i="2"/>
  <c r="T771" i="2"/>
  <c r="I758" i="2"/>
  <c r="F816" i="2"/>
  <c r="J768" i="2"/>
  <c r="S710" i="2"/>
  <c r="S716" i="2" s="1"/>
  <c r="T710" i="2"/>
  <c r="S772" i="2"/>
  <c r="J830" i="2"/>
  <c r="T772" i="2"/>
  <c r="T770" i="2"/>
  <c r="J828" i="2"/>
  <c r="S770" i="2"/>
  <c r="T885" i="2"/>
  <c r="J943" i="2"/>
  <c r="S885" i="2"/>
  <c r="T767" i="2"/>
  <c r="J825" i="2"/>
  <c r="S767" i="2"/>
  <c r="T766" i="2"/>
  <c r="J824" i="2"/>
  <c r="S766" i="2"/>
  <c r="T823" i="2"/>
  <c r="J881" i="2"/>
  <c r="S823" i="2"/>
  <c r="T830" i="2" l="1"/>
  <c r="J888" i="2"/>
  <c r="S830" i="2"/>
  <c r="J826" i="2"/>
  <c r="S768" i="2"/>
  <c r="T768" i="2"/>
  <c r="L872" i="2"/>
  <c r="J930" i="2"/>
  <c r="I816" i="2"/>
  <c r="F874" i="2"/>
  <c r="T829" i="2"/>
  <c r="J887" i="2"/>
  <c r="S829" i="2"/>
  <c r="T831" i="2"/>
  <c r="J889" i="2"/>
  <c r="S831" i="2"/>
  <c r="T828" i="2"/>
  <c r="J886" i="2"/>
  <c r="S828" i="2"/>
  <c r="S774" i="2"/>
  <c r="T943" i="2"/>
  <c r="J1001" i="2"/>
  <c r="S943" i="2"/>
  <c r="S825" i="2"/>
  <c r="J883" i="2"/>
  <c r="T825" i="2"/>
  <c r="S824" i="2"/>
  <c r="J882" i="2"/>
  <c r="T824" i="2"/>
  <c r="T881" i="2"/>
  <c r="J939" i="2"/>
  <c r="S881" i="2"/>
  <c r="L930" i="2" l="1"/>
  <c r="J988" i="2"/>
  <c r="T887" i="2"/>
  <c r="J945" i="2"/>
  <c r="S887" i="2"/>
  <c r="I874" i="2"/>
  <c r="F932" i="2"/>
  <c r="T826" i="2"/>
  <c r="S826" i="2"/>
  <c r="S832" i="2" s="1"/>
  <c r="J884" i="2"/>
  <c r="S889" i="2"/>
  <c r="J947" i="2"/>
  <c r="T889" i="2"/>
  <c r="T888" i="2"/>
  <c r="J946" i="2"/>
  <c r="S888" i="2"/>
  <c r="T886" i="2"/>
  <c r="J944" i="2"/>
  <c r="S886" i="2"/>
  <c r="T1001" i="2"/>
  <c r="J1059" i="2"/>
  <c r="S1001" i="2"/>
  <c r="T883" i="2"/>
  <c r="J941" i="2"/>
  <c r="S883" i="2"/>
  <c r="T882" i="2"/>
  <c r="J940" i="2"/>
  <c r="S882" i="2"/>
  <c r="S939" i="2"/>
  <c r="J997" i="2"/>
  <c r="T939" i="2"/>
  <c r="S947" i="2" l="1"/>
  <c r="J1005" i="2"/>
  <c r="T947" i="2"/>
  <c r="S884" i="2"/>
  <c r="S890" i="2" s="1"/>
  <c r="J942" i="2"/>
  <c r="T884" i="2"/>
  <c r="S946" i="2"/>
  <c r="J1004" i="2"/>
  <c r="T946" i="2"/>
  <c r="I932" i="2"/>
  <c r="F990" i="2"/>
  <c r="T945" i="2"/>
  <c r="J1003" i="2"/>
  <c r="S945" i="2"/>
  <c r="L988" i="2"/>
  <c r="J1046" i="2"/>
  <c r="T944" i="2"/>
  <c r="J1002" i="2"/>
  <c r="S944" i="2"/>
  <c r="T1059" i="2"/>
  <c r="J1117" i="2"/>
  <c r="S1059" i="2"/>
  <c r="S941" i="2"/>
  <c r="J999" i="2"/>
  <c r="T941" i="2"/>
  <c r="S940" i="2"/>
  <c r="J998" i="2"/>
  <c r="T940" i="2"/>
  <c r="T997" i="2"/>
  <c r="J1055" i="2"/>
  <c r="S997" i="2"/>
  <c r="T1003" i="2" l="1"/>
  <c r="J1061" i="2"/>
  <c r="S1003" i="2"/>
  <c r="I990" i="2"/>
  <c r="F1048" i="2"/>
  <c r="L1046" i="2"/>
  <c r="J1104" i="2"/>
  <c r="T1004" i="2"/>
  <c r="J1062" i="2"/>
  <c r="S1004" i="2"/>
  <c r="T1005" i="2"/>
  <c r="J1063" i="2"/>
  <c r="S1005" i="2"/>
  <c r="J1000" i="2"/>
  <c r="T942" i="2"/>
  <c r="S942" i="2"/>
  <c r="S948" i="2" s="1"/>
  <c r="T1002" i="2"/>
  <c r="J1060" i="2"/>
  <c r="S1002" i="2"/>
  <c r="T1117" i="2"/>
  <c r="J1175" i="2"/>
  <c r="S1117" i="2"/>
  <c r="T999" i="2"/>
  <c r="J1057" i="2"/>
  <c r="S999" i="2"/>
  <c r="T998" i="2"/>
  <c r="J1056" i="2"/>
  <c r="S998" i="2"/>
  <c r="S1055" i="2"/>
  <c r="J1113" i="2"/>
  <c r="T1055" i="2"/>
  <c r="I1048" i="2" l="1"/>
  <c r="F1106" i="2"/>
  <c r="T1061" i="2"/>
  <c r="J1119" i="2"/>
  <c r="S1061" i="2"/>
  <c r="T1000" i="2"/>
  <c r="J1058" i="2"/>
  <c r="S1000" i="2"/>
  <c r="S1063" i="2"/>
  <c r="J1121" i="2"/>
  <c r="T1063" i="2"/>
  <c r="S1062" i="2"/>
  <c r="J1120" i="2"/>
  <c r="T1062" i="2"/>
  <c r="L1104" i="2"/>
  <c r="J1162" i="2"/>
  <c r="S1006" i="2"/>
  <c r="T1060" i="2"/>
  <c r="J1118" i="2"/>
  <c r="S1060" i="2"/>
  <c r="T1175" i="2"/>
  <c r="J1233" i="2"/>
  <c r="S1175" i="2"/>
  <c r="S1057" i="2"/>
  <c r="J1115" i="2"/>
  <c r="T1057" i="2"/>
  <c r="S1056" i="2"/>
  <c r="J1114" i="2"/>
  <c r="T1056" i="2"/>
  <c r="T1113" i="2"/>
  <c r="J1171" i="2"/>
  <c r="S1113" i="2"/>
  <c r="L1162" i="2" l="1"/>
  <c r="J1220" i="2"/>
  <c r="T1121" i="2"/>
  <c r="J1179" i="2"/>
  <c r="S1121" i="2"/>
  <c r="J1116" i="2"/>
  <c r="S1058" i="2"/>
  <c r="S1064" i="2" s="1"/>
  <c r="T1058" i="2"/>
  <c r="T1119" i="2"/>
  <c r="J1177" i="2"/>
  <c r="S1119" i="2"/>
  <c r="I1106" i="2"/>
  <c r="F1164" i="2"/>
  <c r="T1120" i="2"/>
  <c r="J1178" i="2"/>
  <c r="S1120" i="2"/>
  <c r="T1118" i="2"/>
  <c r="J1176" i="2"/>
  <c r="S1118" i="2"/>
  <c r="T1233" i="2"/>
  <c r="J1291" i="2"/>
  <c r="S1233" i="2"/>
  <c r="S1115" i="2"/>
  <c r="J1173" i="2"/>
  <c r="T1115" i="2"/>
  <c r="T1114" i="2"/>
  <c r="J1172" i="2"/>
  <c r="S1114" i="2"/>
  <c r="S1171" i="2"/>
  <c r="J1229" i="2"/>
  <c r="T1171" i="2"/>
  <c r="S1178" i="2" l="1"/>
  <c r="J1236" i="2"/>
  <c r="T1178" i="2"/>
  <c r="T1177" i="2"/>
  <c r="J1235" i="2"/>
  <c r="S1177" i="2"/>
  <c r="S1116" i="2"/>
  <c r="S1122" i="2" s="1"/>
  <c r="T1116" i="2"/>
  <c r="J1174" i="2"/>
  <c r="I1164" i="2"/>
  <c r="F1222" i="2"/>
  <c r="T1179" i="2"/>
  <c r="J1237" i="2"/>
  <c r="S1179" i="2"/>
  <c r="L1220" i="2"/>
  <c r="J1278" i="2"/>
  <c r="T1176" i="2"/>
  <c r="J1234" i="2"/>
  <c r="S1176" i="2"/>
  <c r="T1291" i="2"/>
  <c r="J1349" i="2"/>
  <c r="S1291" i="2"/>
  <c r="S1173" i="2"/>
  <c r="J1231" i="2"/>
  <c r="T1173" i="2"/>
  <c r="T1172" i="2"/>
  <c r="J1230" i="2"/>
  <c r="S1172" i="2"/>
  <c r="T1229" i="2"/>
  <c r="J1287" i="2"/>
  <c r="S1229" i="2"/>
  <c r="L1278" i="2" l="1"/>
  <c r="J1336" i="2"/>
  <c r="T1237" i="2"/>
  <c r="J1295" i="2"/>
  <c r="S1237" i="2"/>
  <c r="I1222" i="2"/>
  <c r="F1280" i="2"/>
  <c r="T1174" i="2"/>
  <c r="S1174" i="2"/>
  <c r="S1180" i="2" s="1"/>
  <c r="J1232" i="2"/>
  <c r="T1236" i="2"/>
  <c r="J1294" i="2"/>
  <c r="S1236" i="2"/>
  <c r="T1235" i="2"/>
  <c r="J1293" i="2"/>
  <c r="S1235" i="2"/>
  <c r="T1234" i="2"/>
  <c r="J1292" i="2"/>
  <c r="S1234" i="2"/>
  <c r="T1349" i="2"/>
  <c r="J1407" i="2"/>
  <c r="S1349" i="2"/>
  <c r="S1231" i="2"/>
  <c r="T1231" i="2"/>
  <c r="J1289" i="2"/>
  <c r="T1230" i="2"/>
  <c r="J1288" i="2"/>
  <c r="S1230" i="2"/>
  <c r="S1287" i="2"/>
  <c r="J1345" i="2"/>
  <c r="T1287" i="2"/>
  <c r="S1232" i="2" l="1"/>
  <c r="J1290" i="2"/>
  <c r="T1232" i="2"/>
  <c r="T1293" i="2"/>
  <c r="J1351" i="2"/>
  <c r="S1293" i="2"/>
  <c r="L1336" i="2"/>
  <c r="J1394" i="2"/>
  <c r="S1294" i="2"/>
  <c r="J1352" i="2"/>
  <c r="T1294" i="2"/>
  <c r="I1280" i="2"/>
  <c r="F1338" i="2"/>
  <c r="S1295" i="2"/>
  <c r="J1353" i="2"/>
  <c r="T1295" i="2"/>
  <c r="T1292" i="2"/>
  <c r="J1350" i="2"/>
  <c r="S1292" i="2"/>
  <c r="T1407" i="2"/>
  <c r="J1465" i="2"/>
  <c r="S1407" i="2"/>
  <c r="T1289" i="2"/>
  <c r="J1347" i="2"/>
  <c r="S1289" i="2"/>
  <c r="S1238" i="2"/>
  <c r="S1288" i="2"/>
  <c r="J1346" i="2"/>
  <c r="T1288" i="2"/>
  <c r="S1345" i="2"/>
  <c r="J1403" i="2"/>
  <c r="T1345" i="2"/>
  <c r="S1353" i="2" l="1"/>
  <c r="J1411" i="2"/>
  <c r="T1353" i="2"/>
  <c r="I1338" i="2"/>
  <c r="F1396" i="2"/>
  <c r="L1394" i="2"/>
  <c r="J1452" i="2"/>
  <c r="T1290" i="2"/>
  <c r="S1290" i="2"/>
  <c r="J1348" i="2"/>
  <c r="S1352" i="2"/>
  <c r="J1410" i="2"/>
  <c r="T1352" i="2"/>
  <c r="T1351" i="2"/>
  <c r="J1409" i="2"/>
  <c r="S1351" i="2"/>
  <c r="T1350" i="2"/>
  <c r="J1408" i="2"/>
  <c r="S1350" i="2"/>
  <c r="S1296" i="2"/>
  <c r="T1465" i="2"/>
  <c r="J1523" i="2"/>
  <c r="S1465" i="2"/>
  <c r="S1347" i="2"/>
  <c r="J1405" i="2"/>
  <c r="T1347" i="2"/>
  <c r="T1346" i="2"/>
  <c r="J1404" i="2"/>
  <c r="S1346" i="2"/>
  <c r="T1403" i="2"/>
  <c r="J1461" i="2"/>
  <c r="S1403" i="2"/>
  <c r="T1409" i="2" l="1"/>
  <c r="J1467" i="2"/>
  <c r="S1409" i="2"/>
  <c r="S1410" i="2"/>
  <c r="J1468" i="2"/>
  <c r="T1410" i="2"/>
  <c r="J1406" i="2"/>
  <c r="T1348" i="2"/>
  <c r="S1348" i="2"/>
  <c r="F1454" i="2"/>
  <c r="I1396" i="2"/>
  <c r="S1411" i="2"/>
  <c r="J1469" i="2"/>
  <c r="T1411" i="2"/>
  <c r="L1452" i="2"/>
  <c r="J1510" i="2"/>
  <c r="T1408" i="2"/>
  <c r="J1466" i="2"/>
  <c r="S1408" i="2"/>
  <c r="T1523" i="2"/>
  <c r="J1581" i="2"/>
  <c r="S1523" i="2"/>
  <c r="S1354" i="2"/>
  <c r="S1405" i="2"/>
  <c r="J1463" i="2"/>
  <c r="T1405" i="2"/>
  <c r="S1404" i="2"/>
  <c r="J1462" i="2"/>
  <c r="T1404" i="2"/>
  <c r="S1461" i="2"/>
  <c r="J1519" i="2"/>
  <c r="T1461" i="2"/>
  <c r="T1469" i="2" l="1"/>
  <c r="J1527" i="2"/>
  <c r="S1469" i="2"/>
  <c r="L1510" i="2"/>
  <c r="J1568" i="2"/>
  <c r="J1464" i="2"/>
  <c r="T1406" i="2"/>
  <c r="S1406" i="2"/>
  <c r="S1412" i="2" s="1"/>
  <c r="T1468" i="2"/>
  <c r="J1526" i="2"/>
  <c r="S1468" i="2"/>
  <c r="T1467" i="2"/>
  <c r="J1525" i="2"/>
  <c r="S1467" i="2"/>
  <c r="I1454" i="2"/>
  <c r="F1512" i="2"/>
  <c r="T1466" i="2"/>
  <c r="J1524" i="2"/>
  <c r="S1466" i="2"/>
  <c r="T1581" i="2"/>
  <c r="J1639" i="2"/>
  <c r="S1581" i="2"/>
  <c r="T1463" i="2"/>
  <c r="J1521" i="2"/>
  <c r="S1463" i="2"/>
  <c r="T1462" i="2"/>
  <c r="J1520" i="2"/>
  <c r="S1462" i="2"/>
  <c r="S1519" i="2"/>
  <c r="J1577" i="2"/>
  <c r="T1519" i="2"/>
  <c r="I1512" i="2" l="1"/>
  <c r="F1570" i="2"/>
  <c r="T1526" i="2"/>
  <c r="J1584" i="2"/>
  <c r="S1526" i="2"/>
  <c r="T1525" i="2"/>
  <c r="J1583" i="2"/>
  <c r="S1525" i="2"/>
  <c r="T1527" i="2"/>
  <c r="J1585" i="2"/>
  <c r="S1527" i="2"/>
  <c r="J1522" i="2"/>
  <c r="T1464" i="2"/>
  <c r="S1464" i="2"/>
  <c r="S1470" i="2" s="1"/>
  <c r="L1568" i="2"/>
  <c r="J1626" i="2"/>
  <c r="T1524" i="2"/>
  <c r="J1582" i="2"/>
  <c r="S1524" i="2"/>
  <c r="T1639" i="2"/>
  <c r="J1697" i="2"/>
  <c r="S1639" i="2"/>
  <c r="T1521" i="2"/>
  <c r="J1579" i="2"/>
  <c r="S1521" i="2"/>
  <c r="T1520" i="2"/>
  <c r="J1578" i="2"/>
  <c r="S1520" i="2"/>
  <c r="T1577" i="2"/>
  <c r="J1635" i="2"/>
  <c r="S1577" i="2"/>
  <c r="L1626" i="2" l="1"/>
  <c r="J1684" i="2"/>
  <c r="T1583" i="2"/>
  <c r="J1641" i="2"/>
  <c r="S1583" i="2"/>
  <c r="S1584" i="2"/>
  <c r="J1642" i="2"/>
  <c r="T1584" i="2"/>
  <c r="F1628" i="2"/>
  <c r="I1570" i="2"/>
  <c r="J1580" i="2"/>
  <c r="T1522" i="2"/>
  <c r="S1522" i="2"/>
  <c r="S1528" i="2" s="1"/>
  <c r="S1585" i="2"/>
  <c r="J1643" i="2"/>
  <c r="T1585" i="2"/>
  <c r="T1582" i="2"/>
  <c r="J1640" i="2"/>
  <c r="S1582" i="2"/>
  <c r="T1697" i="2"/>
  <c r="J1755" i="2"/>
  <c r="S1697" i="2"/>
  <c r="T1579" i="2"/>
  <c r="J1637" i="2"/>
  <c r="S1579" i="2"/>
  <c r="S1578" i="2"/>
  <c r="J1636" i="2"/>
  <c r="T1578" i="2"/>
  <c r="T1635" i="2"/>
  <c r="J1693" i="2"/>
  <c r="S1635" i="2"/>
  <c r="T1643" i="2" l="1"/>
  <c r="J1701" i="2"/>
  <c r="S1643" i="2"/>
  <c r="J1638" i="2"/>
  <c r="T1580" i="2"/>
  <c r="S1580" i="2"/>
  <c r="S1586" i="2" s="1"/>
  <c r="I1628" i="2"/>
  <c r="F1686" i="2"/>
  <c r="T1642" i="2"/>
  <c r="J1700" i="2"/>
  <c r="S1642" i="2"/>
  <c r="T1641" i="2"/>
  <c r="J1699" i="2"/>
  <c r="S1641" i="2"/>
  <c r="L1684" i="2"/>
  <c r="J1742" i="2"/>
  <c r="T1640" i="2"/>
  <c r="J1698" i="2"/>
  <c r="S1640" i="2"/>
  <c r="S1755" i="2"/>
  <c r="J15" i="3"/>
  <c r="T1755" i="2"/>
  <c r="T1637" i="2"/>
  <c r="J1695" i="2"/>
  <c r="S1637" i="2"/>
  <c r="T1636" i="2"/>
  <c r="J1694" i="2"/>
  <c r="S1636" i="2"/>
  <c r="S1693" i="2"/>
  <c r="J1751" i="2"/>
  <c r="T1693" i="2"/>
  <c r="T1699" i="2" l="1"/>
  <c r="J1757" i="2"/>
  <c r="S1699" i="2"/>
  <c r="L1742" i="2"/>
  <c r="J2" i="3"/>
  <c r="S1700" i="2"/>
  <c r="J1758" i="2"/>
  <c r="T1700" i="2"/>
  <c r="I1686" i="2"/>
  <c r="F1744" i="2"/>
  <c r="J1696" i="2"/>
  <c r="T1638" i="2"/>
  <c r="S1638" i="2"/>
  <c r="S1644" i="2" s="1"/>
  <c r="T1701" i="2"/>
  <c r="J1759" i="2"/>
  <c r="S1701" i="2"/>
  <c r="T1698" i="2"/>
  <c r="J1756" i="2"/>
  <c r="S1698" i="2"/>
  <c r="J73" i="3"/>
  <c r="T15" i="3"/>
  <c r="S15" i="3"/>
  <c r="S1695" i="2"/>
  <c r="J1753" i="2"/>
  <c r="T1695" i="2"/>
  <c r="S1694" i="2"/>
  <c r="J1752" i="2"/>
  <c r="T1694" i="2"/>
  <c r="T1751" i="2"/>
  <c r="J11" i="3"/>
  <c r="S1751" i="2"/>
  <c r="T1759" i="2" l="1"/>
  <c r="J19" i="3"/>
  <c r="S1759" i="2"/>
  <c r="S1696" i="2"/>
  <c r="S1702" i="2" s="1"/>
  <c r="T1696" i="2"/>
  <c r="J1754" i="2"/>
  <c r="I1744" i="2"/>
  <c r="F4" i="3"/>
  <c r="T1758" i="2"/>
  <c r="J18" i="3"/>
  <c r="S1758" i="2"/>
  <c r="L2" i="3"/>
  <c r="J60" i="3"/>
  <c r="T1757" i="2"/>
  <c r="J17" i="3"/>
  <c r="S1757" i="2"/>
  <c r="T1756" i="2"/>
  <c r="J16" i="3"/>
  <c r="S1756" i="2"/>
  <c r="S73" i="3"/>
  <c r="T73" i="3"/>
  <c r="J131" i="3"/>
  <c r="T1753" i="2"/>
  <c r="J13" i="3"/>
  <c r="S1753" i="2"/>
  <c r="T1752" i="2"/>
  <c r="J12" i="3"/>
  <c r="S1752" i="2"/>
  <c r="J69" i="3"/>
  <c r="T11" i="3"/>
  <c r="S11" i="3"/>
  <c r="J118" i="3" l="1"/>
  <c r="L60" i="3"/>
  <c r="T18" i="3"/>
  <c r="J76" i="3"/>
  <c r="S18" i="3"/>
  <c r="I4" i="3"/>
  <c r="F62" i="3"/>
  <c r="T17" i="3"/>
  <c r="S17" i="3"/>
  <c r="J75" i="3"/>
  <c r="J14" i="3"/>
  <c r="T1754" i="2"/>
  <c r="S1754" i="2"/>
  <c r="S1760" i="2" s="1"/>
  <c r="T19" i="3"/>
  <c r="J77" i="3"/>
  <c r="S19" i="3"/>
  <c r="S16" i="3"/>
  <c r="J74" i="3"/>
  <c r="T16" i="3"/>
  <c r="S131" i="3"/>
  <c r="J189" i="3"/>
  <c r="T131" i="3"/>
  <c r="T13" i="3"/>
  <c r="J71" i="3"/>
  <c r="S13" i="3"/>
  <c r="J70" i="3"/>
  <c r="T12" i="3"/>
  <c r="S12" i="3"/>
  <c r="T69" i="3"/>
  <c r="S69" i="3"/>
  <c r="J127" i="3"/>
  <c r="J72" i="3" l="1"/>
  <c r="S14" i="3"/>
  <c r="T14" i="3"/>
  <c r="I62" i="3"/>
  <c r="F120" i="3"/>
  <c r="J134" i="3"/>
  <c r="T76" i="3"/>
  <c r="S76" i="3"/>
  <c r="T77" i="3"/>
  <c r="S77" i="3"/>
  <c r="J135" i="3"/>
  <c r="J133" i="3"/>
  <c r="T75" i="3"/>
  <c r="S75" i="3"/>
  <c r="L118" i="3"/>
  <c r="J176" i="3"/>
  <c r="J132" i="3"/>
  <c r="T74" i="3"/>
  <c r="S74" i="3"/>
  <c r="S20" i="3"/>
  <c r="T189" i="3"/>
  <c r="S189" i="3"/>
  <c r="J247" i="3"/>
  <c r="S71" i="3"/>
  <c r="T71" i="3"/>
  <c r="J129" i="3"/>
  <c r="T70" i="3"/>
  <c r="S70" i="3"/>
  <c r="J128" i="3"/>
  <c r="T127" i="3"/>
  <c r="S127" i="3"/>
  <c r="J185" i="3"/>
  <c r="S135" i="3" l="1"/>
  <c r="J193" i="3"/>
  <c r="T135" i="3"/>
  <c r="L176" i="3"/>
  <c r="J234" i="3"/>
  <c r="T133" i="3"/>
  <c r="S133" i="3"/>
  <c r="J191" i="3"/>
  <c r="J192" i="3"/>
  <c r="T134" i="3"/>
  <c r="S134" i="3"/>
  <c r="I120" i="3"/>
  <c r="F178" i="3"/>
  <c r="J130" i="3"/>
  <c r="T72" i="3"/>
  <c r="S72" i="3"/>
  <c r="S78" i="3" s="1"/>
  <c r="T132" i="3"/>
  <c r="J190" i="3"/>
  <c r="S132" i="3"/>
  <c r="S247" i="3"/>
  <c r="T247" i="3"/>
  <c r="J305" i="3"/>
  <c r="J187" i="3"/>
  <c r="T129" i="3"/>
  <c r="S129" i="3"/>
  <c r="S128" i="3"/>
  <c r="T128" i="3"/>
  <c r="J186" i="3"/>
  <c r="J243" i="3"/>
  <c r="T185" i="3"/>
  <c r="S185" i="3"/>
  <c r="J188" i="3" l="1"/>
  <c r="T130" i="3"/>
  <c r="S130" i="3"/>
  <c r="S136" i="3" s="1"/>
  <c r="T192" i="3"/>
  <c r="S192" i="3"/>
  <c r="J250" i="3"/>
  <c r="F236" i="3"/>
  <c r="I178" i="3"/>
  <c r="T191" i="3"/>
  <c r="J249" i="3"/>
  <c r="S191" i="3"/>
  <c r="J292" i="3"/>
  <c r="L234" i="3"/>
  <c r="J251" i="3"/>
  <c r="T193" i="3"/>
  <c r="S193" i="3"/>
  <c r="S190" i="3"/>
  <c r="J248" i="3"/>
  <c r="T190" i="3"/>
  <c r="J363" i="3"/>
  <c r="T305" i="3"/>
  <c r="S305" i="3"/>
  <c r="T187" i="3"/>
  <c r="J245" i="3"/>
  <c r="S187" i="3"/>
  <c r="S186" i="3"/>
  <c r="T186" i="3"/>
  <c r="J244" i="3"/>
  <c r="J301" i="3"/>
  <c r="T243" i="3"/>
  <c r="S243" i="3"/>
  <c r="L292" i="3" l="1"/>
  <c r="J350" i="3"/>
  <c r="J309" i="3"/>
  <c r="T251" i="3"/>
  <c r="S251" i="3"/>
  <c r="J307" i="3"/>
  <c r="S249" i="3"/>
  <c r="T249" i="3"/>
  <c r="F294" i="3"/>
  <c r="I236" i="3"/>
  <c r="S250" i="3"/>
  <c r="J308" i="3"/>
  <c r="T250" i="3"/>
  <c r="S188" i="3"/>
  <c r="T188" i="3"/>
  <c r="J246" i="3"/>
  <c r="S248" i="3"/>
  <c r="T248" i="3"/>
  <c r="J306" i="3"/>
  <c r="S194" i="3"/>
  <c r="J421" i="3"/>
  <c r="T363" i="3"/>
  <c r="S363" i="3"/>
  <c r="S245" i="3"/>
  <c r="T245" i="3"/>
  <c r="J303" i="3"/>
  <c r="J302" i="3"/>
  <c r="T244" i="3"/>
  <c r="S244" i="3"/>
  <c r="S301" i="3"/>
  <c r="T301" i="3"/>
  <c r="J359" i="3"/>
  <c r="S308" i="3" l="1"/>
  <c r="J366" i="3"/>
  <c r="T308" i="3"/>
  <c r="L350" i="3"/>
  <c r="J408" i="3"/>
  <c r="T246" i="3"/>
  <c r="J304" i="3"/>
  <c r="S246" i="3"/>
  <c r="S252" i="3" s="1"/>
  <c r="F352" i="3"/>
  <c r="I294" i="3"/>
  <c r="T307" i="3"/>
  <c r="S307" i="3"/>
  <c r="J365" i="3"/>
  <c r="T309" i="3"/>
  <c r="J367" i="3"/>
  <c r="S309" i="3"/>
  <c r="S306" i="3"/>
  <c r="J364" i="3"/>
  <c r="T306" i="3"/>
  <c r="J479" i="3"/>
  <c r="S421" i="3"/>
  <c r="T421" i="3"/>
  <c r="J361" i="3"/>
  <c r="S303" i="3"/>
  <c r="T303" i="3"/>
  <c r="S302" i="3"/>
  <c r="T302" i="3"/>
  <c r="J360" i="3"/>
  <c r="T359" i="3"/>
  <c r="J417" i="3"/>
  <c r="S359" i="3"/>
  <c r="J362" i="3" l="1"/>
  <c r="T304" i="3"/>
  <c r="S304" i="3"/>
  <c r="L408" i="3"/>
  <c r="J466" i="3"/>
  <c r="S366" i="3"/>
  <c r="T366" i="3"/>
  <c r="J424" i="3"/>
  <c r="S367" i="3"/>
  <c r="T367" i="3"/>
  <c r="J425" i="3"/>
  <c r="T365" i="3"/>
  <c r="S365" i="3"/>
  <c r="J423" i="3"/>
  <c r="F410" i="3"/>
  <c r="I352" i="3"/>
  <c r="T364" i="3"/>
  <c r="S364" i="3"/>
  <c r="J422" i="3"/>
  <c r="S310" i="3"/>
  <c r="S479" i="3"/>
  <c r="T479" i="3"/>
  <c r="J537" i="3"/>
  <c r="J419" i="3"/>
  <c r="S361" i="3"/>
  <c r="T361" i="3"/>
  <c r="J418" i="3"/>
  <c r="S360" i="3"/>
  <c r="T360" i="3"/>
  <c r="S417" i="3"/>
  <c r="J475" i="3"/>
  <c r="T417" i="3"/>
  <c r="S423" i="3" l="1"/>
  <c r="T423" i="3"/>
  <c r="J481" i="3"/>
  <c r="L466" i="3"/>
  <c r="J524" i="3"/>
  <c r="F468" i="3"/>
  <c r="I410" i="3"/>
  <c r="S425" i="3"/>
  <c r="J483" i="3"/>
  <c r="T425" i="3"/>
  <c r="J482" i="3"/>
  <c r="S424" i="3"/>
  <c r="T424" i="3"/>
  <c r="T362" i="3"/>
  <c r="J420" i="3"/>
  <c r="S362" i="3"/>
  <c r="S368" i="3" s="1"/>
  <c r="J480" i="3"/>
  <c r="T422" i="3"/>
  <c r="S422" i="3"/>
  <c r="J595" i="3"/>
  <c r="S537" i="3"/>
  <c r="T537" i="3"/>
  <c r="S419" i="3"/>
  <c r="T419" i="3"/>
  <c r="J477" i="3"/>
  <c r="J476" i="3"/>
  <c r="T418" i="3"/>
  <c r="S418" i="3"/>
  <c r="T475" i="3"/>
  <c r="S475" i="3"/>
  <c r="J533" i="3"/>
  <c r="T420" i="3" l="1"/>
  <c r="S420" i="3"/>
  <c r="S426" i="3" s="1"/>
  <c r="J478" i="3"/>
  <c r="S482" i="3"/>
  <c r="T482" i="3"/>
  <c r="J540" i="3"/>
  <c r="T483" i="3"/>
  <c r="S483" i="3"/>
  <c r="J541" i="3"/>
  <c r="I468" i="3"/>
  <c r="F526" i="3"/>
  <c r="J582" i="3"/>
  <c r="L524" i="3"/>
  <c r="J539" i="3"/>
  <c r="S481" i="3"/>
  <c r="T481" i="3"/>
  <c r="J538" i="3"/>
  <c r="S480" i="3"/>
  <c r="T480" i="3"/>
  <c r="S595" i="3"/>
  <c r="T595" i="3"/>
  <c r="J653" i="3"/>
  <c r="J535" i="3"/>
  <c r="S477" i="3"/>
  <c r="T477" i="3"/>
  <c r="T476" i="3"/>
  <c r="J534" i="3"/>
  <c r="S476" i="3"/>
  <c r="T533" i="3"/>
  <c r="J591" i="3"/>
  <c r="S533" i="3"/>
  <c r="T540" i="3" l="1"/>
  <c r="J598" i="3"/>
  <c r="S540" i="3"/>
  <c r="T539" i="3"/>
  <c r="S539" i="3"/>
  <c r="J597" i="3"/>
  <c r="J640" i="3"/>
  <c r="L582" i="3"/>
  <c r="I526" i="3"/>
  <c r="F584" i="3"/>
  <c r="T541" i="3"/>
  <c r="S541" i="3"/>
  <c r="J599" i="3"/>
  <c r="S478" i="3"/>
  <c r="S484" i="3" s="1"/>
  <c r="J536" i="3"/>
  <c r="T478" i="3"/>
  <c r="S538" i="3"/>
  <c r="T538" i="3"/>
  <c r="J596" i="3"/>
  <c r="S653" i="3"/>
  <c r="J711" i="3"/>
  <c r="T653" i="3"/>
  <c r="J593" i="3"/>
  <c r="S535" i="3"/>
  <c r="T535" i="3"/>
  <c r="S534" i="3"/>
  <c r="T534" i="3"/>
  <c r="J592" i="3"/>
  <c r="S591" i="3"/>
  <c r="J649" i="3"/>
  <c r="T591" i="3"/>
  <c r="L640" i="3" l="1"/>
  <c r="J698" i="3"/>
  <c r="T598" i="3"/>
  <c r="S598" i="3"/>
  <c r="J656" i="3"/>
  <c r="J594" i="3"/>
  <c r="T536" i="3"/>
  <c r="S536" i="3"/>
  <c r="T599" i="3"/>
  <c r="S599" i="3"/>
  <c r="J657" i="3"/>
  <c r="I584" i="3"/>
  <c r="F642" i="3"/>
  <c r="T597" i="3"/>
  <c r="J655" i="3"/>
  <c r="S597" i="3"/>
  <c r="S596" i="3"/>
  <c r="T596" i="3"/>
  <c r="J654" i="3"/>
  <c r="S711" i="3"/>
  <c r="J769" i="3"/>
  <c r="T711" i="3"/>
  <c r="S542" i="3"/>
  <c r="T593" i="3"/>
  <c r="S593" i="3"/>
  <c r="J651" i="3"/>
  <c r="J650" i="3"/>
  <c r="T592" i="3"/>
  <c r="S592" i="3"/>
  <c r="J707" i="3"/>
  <c r="T649" i="3"/>
  <c r="S649" i="3"/>
  <c r="S655" i="3" l="1"/>
  <c r="J713" i="3"/>
  <c r="T655" i="3"/>
  <c r="I642" i="3"/>
  <c r="F700" i="3"/>
  <c r="T657" i="3"/>
  <c r="J715" i="3"/>
  <c r="S657" i="3"/>
  <c r="J652" i="3"/>
  <c r="T594" i="3"/>
  <c r="S594" i="3"/>
  <c r="S600" i="3" s="1"/>
  <c r="S656" i="3"/>
  <c r="T656" i="3"/>
  <c r="J714" i="3"/>
  <c r="J756" i="3"/>
  <c r="L698" i="3"/>
  <c r="S654" i="3"/>
  <c r="J712" i="3"/>
  <c r="T654" i="3"/>
  <c r="J827" i="3"/>
  <c r="T769" i="3"/>
  <c r="S769" i="3"/>
  <c r="J709" i="3"/>
  <c r="S651" i="3"/>
  <c r="T651" i="3"/>
  <c r="S650" i="3"/>
  <c r="J708" i="3"/>
  <c r="T650" i="3"/>
  <c r="J765" i="3"/>
  <c r="S707" i="3"/>
  <c r="T707" i="3"/>
  <c r="T714" i="3" l="1"/>
  <c r="J772" i="3"/>
  <c r="S714" i="3"/>
  <c r="S652" i="3"/>
  <c r="S658" i="3" s="1"/>
  <c r="T652" i="3"/>
  <c r="J710" i="3"/>
  <c r="J814" i="3"/>
  <c r="L756" i="3"/>
  <c r="J773" i="3"/>
  <c r="T715" i="3"/>
  <c r="S715" i="3"/>
  <c r="I700" i="3"/>
  <c r="F758" i="3"/>
  <c r="S713" i="3"/>
  <c r="T713" i="3"/>
  <c r="J771" i="3"/>
  <c r="J770" i="3"/>
  <c r="T712" i="3"/>
  <c r="S712" i="3"/>
  <c r="S827" i="3"/>
  <c r="J885" i="3"/>
  <c r="T827" i="3"/>
  <c r="T709" i="3"/>
  <c r="J767" i="3"/>
  <c r="S709" i="3"/>
  <c r="S708" i="3"/>
  <c r="J766" i="3"/>
  <c r="T708" i="3"/>
  <c r="T765" i="3"/>
  <c r="J823" i="3"/>
  <c r="S765" i="3"/>
  <c r="T771" i="3" l="1"/>
  <c r="J829" i="3"/>
  <c r="S771" i="3"/>
  <c r="J872" i="3"/>
  <c r="L814" i="3"/>
  <c r="T710" i="3"/>
  <c r="S710" i="3"/>
  <c r="J768" i="3"/>
  <c r="T772" i="3"/>
  <c r="S772" i="3"/>
  <c r="J830" i="3"/>
  <c r="F816" i="3"/>
  <c r="I758" i="3"/>
  <c r="J831" i="3"/>
  <c r="T773" i="3"/>
  <c r="S773" i="3"/>
  <c r="S716" i="3"/>
  <c r="S770" i="3"/>
  <c r="T770" i="3"/>
  <c r="J828" i="3"/>
  <c r="T885" i="3"/>
  <c r="J943" i="3"/>
  <c r="S885" i="3"/>
  <c r="T767" i="3"/>
  <c r="J825" i="3"/>
  <c r="S767" i="3"/>
  <c r="S766" i="3"/>
  <c r="J824" i="3"/>
  <c r="T766" i="3"/>
  <c r="T823" i="3"/>
  <c r="S823" i="3"/>
  <c r="J881" i="3"/>
  <c r="F874" i="3" l="1"/>
  <c r="I816" i="3"/>
  <c r="T831" i="3"/>
  <c r="S831" i="3"/>
  <c r="J889" i="3"/>
  <c r="T830" i="3"/>
  <c r="S830" i="3"/>
  <c r="J888" i="3"/>
  <c r="T768" i="3"/>
  <c r="J826" i="3"/>
  <c r="S768" i="3"/>
  <c r="S774" i="3" s="1"/>
  <c r="L872" i="3"/>
  <c r="J930" i="3"/>
  <c r="S829" i="3"/>
  <c r="J887" i="3"/>
  <c r="T829" i="3"/>
  <c r="J886" i="3"/>
  <c r="T828" i="3"/>
  <c r="S828" i="3"/>
  <c r="J1001" i="3"/>
  <c r="S943" i="3"/>
  <c r="T943" i="3"/>
  <c r="J883" i="3"/>
  <c r="S825" i="3"/>
  <c r="T825" i="3"/>
  <c r="T824" i="3"/>
  <c r="S824" i="3"/>
  <c r="J882" i="3"/>
  <c r="J939" i="3"/>
  <c r="S881" i="3"/>
  <c r="T881" i="3"/>
  <c r="J884" i="3" l="1"/>
  <c r="S826" i="3"/>
  <c r="T826" i="3"/>
  <c r="T889" i="3"/>
  <c r="J947" i="3"/>
  <c r="S889" i="3"/>
  <c r="T887" i="3"/>
  <c r="J945" i="3"/>
  <c r="S887" i="3"/>
  <c r="L930" i="3"/>
  <c r="J988" i="3"/>
  <c r="S888" i="3"/>
  <c r="T888" i="3"/>
  <c r="J946" i="3"/>
  <c r="S832" i="3"/>
  <c r="I874" i="3"/>
  <c r="F932" i="3"/>
  <c r="J944" i="3"/>
  <c r="S886" i="3"/>
  <c r="T886" i="3"/>
  <c r="S1001" i="3"/>
  <c r="J1059" i="3"/>
  <c r="T1001" i="3"/>
  <c r="J941" i="3"/>
  <c r="T883" i="3"/>
  <c r="S883" i="3"/>
  <c r="T882" i="3"/>
  <c r="J940" i="3"/>
  <c r="S882" i="3"/>
  <c r="J997" i="3"/>
  <c r="S939" i="3"/>
  <c r="T939" i="3"/>
  <c r="T945" i="3" l="1"/>
  <c r="S945" i="3"/>
  <c r="J1003" i="3"/>
  <c r="S947" i="3"/>
  <c r="T947" i="3"/>
  <c r="J1005" i="3"/>
  <c r="F990" i="3"/>
  <c r="I932" i="3"/>
  <c r="S946" i="3"/>
  <c r="J1004" i="3"/>
  <c r="T946" i="3"/>
  <c r="J1046" i="3"/>
  <c r="L988" i="3"/>
  <c r="T884" i="3"/>
  <c r="J942" i="3"/>
  <c r="S884" i="3"/>
  <c r="S944" i="3"/>
  <c r="T944" i="3"/>
  <c r="J1002" i="3"/>
  <c r="S890" i="3"/>
  <c r="J1117" i="3"/>
  <c r="S1059" i="3"/>
  <c r="T1059" i="3"/>
  <c r="S941" i="3"/>
  <c r="T941" i="3"/>
  <c r="J999" i="3"/>
  <c r="S940" i="3"/>
  <c r="J998" i="3"/>
  <c r="T940" i="3"/>
  <c r="T997" i="3"/>
  <c r="S997" i="3"/>
  <c r="J1055" i="3"/>
  <c r="T942" i="3" l="1"/>
  <c r="S942" i="3"/>
  <c r="S948" i="3" s="1"/>
  <c r="J1000" i="3"/>
  <c r="J1104" i="3"/>
  <c r="L1046" i="3"/>
  <c r="S1004" i="3"/>
  <c r="T1004" i="3"/>
  <c r="J1062" i="3"/>
  <c r="I990" i="3"/>
  <c r="F1048" i="3"/>
  <c r="T1005" i="3"/>
  <c r="J1063" i="3"/>
  <c r="S1005" i="3"/>
  <c r="S1003" i="3"/>
  <c r="J1061" i="3"/>
  <c r="T1003" i="3"/>
  <c r="J1060" i="3"/>
  <c r="T1002" i="3"/>
  <c r="S1002" i="3"/>
  <c r="J1175" i="3"/>
  <c r="S1117" i="3"/>
  <c r="T1117" i="3"/>
  <c r="T999" i="3"/>
  <c r="J1057" i="3"/>
  <c r="S999" i="3"/>
  <c r="J1056" i="3"/>
  <c r="T998" i="3"/>
  <c r="S998" i="3"/>
  <c r="J1113" i="3"/>
  <c r="T1055" i="3"/>
  <c r="S1055" i="3"/>
  <c r="T1061" i="3" l="1"/>
  <c r="J1119" i="3"/>
  <c r="S1061" i="3"/>
  <c r="S1062" i="3"/>
  <c r="T1062" i="3"/>
  <c r="J1120" i="3"/>
  <c r="T1063" i="3"/>
  <c r="S1063" i="3"/>
  <c r="J1121" i="3"/>
  <c r="I1048" i="3"/>
  <c r="F1106" i="3"/>
  <c r="J1162" i="3"/>
  <c r="L1104" i="3"/>
  <c r="T1000" i="3"/>
  <c r="J1058" i="3"/>
  <c r="S1000" i="3"/>
  <c r="S1006" i="3" s="1"/>
  <c r="S1060" i="3"/>
  <c r="T1060" i="3"/>
  <c r="J1118" i="3"/>
  <c r="S1175" i="3"/>
  <c r="T1175" i="3"/>
  <c r="J1233" i="3"/>
  <c r="T1057" i="3"/>
  <c r="J1115" i="3"/>
  <c r="S1057" i="3"/>
  <c r="J1114" i="3"/>
  <c r="S1056" i="3"/>
  <c r="T1056" i="3"/>
  <c r="T1113" i="3"/>
  <c r="J1171" i="3"/>
  <c r="S1113" i="3"/>
  <c r="S1058" i="3" l="1"/>
  <c r="J1116" i="3"/>
  <c r="T1058" i="3"/>
  <c r="T1121" i="3"/>
  <c r="J1179" i="3"/>
  <c r="S1121" i="3"/>
  <c r="T1120" i="3"/>
  <c r="J1178" i="3"/>
  <c r="S1120" i="3"/>
  <c r="L1162" i="3"/>
  <c r="J1220" i="3"/>
  <c r="I1106" i="3"/>
  <c r="F1164" i="3"/>
  <c r="T1119" i="3"/>
  <c r="J1177" i="3"/>
  <c r="S1119" i="3"/>
  <c r="T1118" i="3"/>
  <c r="S1118" i="3"/>
  <c r="J1176" i="3"/>
  <c r="S1064" i="3"/>
  <c r="J1291" i="3"/>
  <c r="S1233" i="3"/>
  <c r="T1233" i="3"/>
  <c r="T1115" i="3"/>
  <c r="S1115" i="3"/>
  <c r="J1173" i="3"/>
  <c r="T1114" i="3"/>
  <c r="J1172" i="3"/>
  <c r="S1114" i="3"/>
  <c r="T1171" i="3"/>
  <c r="J1229" i="3"/>
  <c r="S1171" i="3"/>
  <c r="I1164" i="3" l="1"/>
  <c r="F1222" i="3"/>
  <c r="T1179" i="3"/>
  <c r="J1237" i="3"/>
  <c r="S1179" i="3"/>
  <c r="J1235" i="3"/>
  <c r="T1177" i="3"/>
  <c r="S1177" i="3"/>
  <c r="L1220" i="3"/>
  <c r="J1278" i="3"/>
  <c r="T1178" i="3"/>
  <c r="S1178" i="3"/>
  <c r="J1236" i="3"/>
  <c r="S1116" i="3"/>
  <c r="J1174" i="3"/>
  <c r="T1116" i="3"/>
  <c r="J1234" i="3"/>
  <c r="S1176" i="3"/>
  <c r="T1176" i="3"/>
  <c r="S1291" i="3"/>
  <c r="T1291" i="3"/>
  <c r="J1349" i="3"/>
  <c r="S1122" i="3"/>
  <c r="T1173" i="3"/>
  <c r="S1173" i="3"/>
  <c r="J1231" i="3"/>
  <c r="S1172" i="3"/>
  <c r="T1172" i="3"/>
  <c r="J1230" i="3"/>
  <c r="T1229" i="3"/>
  <c r="J1287" i="3"/>
  <c r="S1229" i="3"/>
  <c r="J1293" i="3" l="1"/>
  <c r="T1235" i="3"/>
  <c r="S1235" i="3"/>
  <c r="I1222" i="3"/>
  <c r="F1280" i="3"/>
  <c r="S1174" i="3"/>
  <c r="S1180" i="3" s="1"/>
  <c r="J1232" i="3"/>
  <c r="T1174" i="3"/>
  <c r="S1236" i="3"/>
  <c r="J1294" i="3"/>
  <c r="T1236" i="3"/>
  <c r="J1336" i="3"/>
  <c r="L1278" i="3"/>
  <c r="T1237" i="3"/>
  <c r="S1237" i="3"/>
  <c r="J1295" i="3"/>
  <c r="S1234" i="3"/>
  <c r="J1292" i="3"/>
  <c r="T1234" i="3"/>
  <c r="S1349" i="3"/>
  <c r="J1407" i="3"/>
  <c r="T1349" i="3"/>
  <c r="T1231" i="3"/>
  <c r="J1289" i="3"/>
  <c r="S1231" i="3"/>
  <c r="S1230" i="3"/>
  <c r="T1230" i="3"/>
  <c r="J1288" i="3"/>
  <c r="T1287" i="3"/>
  <c r="J1345" i="3"/>
  <c r="S1287" i="3"/>
  <c r="T1295" i="3" l="1"/>
  <c r="S1295" i="3"/>
  <c r="J1353" i="3"/>
  <c r="J1394" i="3"/>
  <c r="L1336" i="3"/>
  <c r="T1294" i="3"/>
  <c r="J1352" i="3"/>
  <c r="S1294" i="3"/>
  <c r="S1232" i="3"/>
  <c r="J1290" i="3"/>
  <c r="T1232" i="3"/>
  <c r="F1338" i="3"/>
  <c r="I1280" i="3"/>
  <c r="T1293" i="3"/>
  <c r="J1351" i="3"/>
  <c r="S1293" i="3"/>
  <c r="J1350" i="3"/>
  <c r="S1292" i="3"/>
  <c r="T1292" i="3"/>
  <c r="S1238" i="3"/>
  <c r="S1407" i="3"/>
  <c r="T1407" i="3"/>
  <c r="J1465" i="3"/>
  <c r="J1347" i="3"/>
  <c r="S1289" i="3"/>
  <c r="T1289" i="3"/>
  <c r="T1288" i="3"/>
  <c r="J1346" i="3"/>
  <c r="S1288" i="3"/>
  <c r="T1345" i="3"/>
  <c r="J1403" i="3"/>
  <c r="S1345" i="3"/>
  <c r="J1409" i="3" l="1"/>
  <c r="S1351" i="3"/>
  <c r="T1351" i="3"/>
  <c r="I1338" i="3"/>
  <c r="F1396" i="3"/>
  <c r="J1348" i="3"/>
  <c r="T1290" i="3"/>
  <c r="S1290" i="3"/>
  <c r="S1296" i="3" s="1"/>
  <c r="T1352" i="3"/>
  <c r="J1410" i="3"/>
  <c r="S1352" i="3"/>
  <c r="J1452" i="3"/>
  <c r="L1394" i="3"/>
  <c r="J1411" i="3"/>
  <c r="T1353" i="3"/>
  <c r="S1353" i="3"/>
  <c r="T1350" i="3"/>
  <c r="J1408" i="3"/>
  <c r="S1350" i="3"/>
  <c r="S1465" i="3"/>
  <c r="T1465" i="3"/>
  <c r="J1523" i="3"/>
  <c r="S1347" i="3"/>
  <c r="T1347" i="3"/>
  <c r="J1405" i="3"/>
  <c r="T1346" i="3"/>
  <c r="S1346" i="3"/>
  <c r="J1404" i="3"/>
  <c r="T1403" i="3"/>
  <c r="J1461" i="3"/>
  <c r="S1403" i="3"/>
  <c r="S1411" i="3" l="1"/>
  <c r="T1411" i="3"/>
  <c r="J1469" i="3"/>
  <c r="J1510" i="3"/>
  <c r="L1452" i="3"/>
  <c r="S1410" i="3"/>
  <c r="T1410" i="3"/>
  <c r="J1468" i="3"/>
  <c r="F1454" i="3"/>
  <c r="I1396" i="3"/>
  <c r="T1348" i="3"/>
  <c r="S1348" i="3"/>
  <c r="J1406" i="3"/>
  <c r="J1467" i="3"/>
  <c r="S1409" i="3"/>
  <c r="T1409" i="3"/>
  <c r="S1354" i="3"/>
  <c r="T1408" i="3"/>
  <c r="S1408" i="3"/>
  <c r="J1466" i="3"/>
  <c r="S1523" i="3"/>
  <c r="T1523" i="3"/>
  <c r="J1581" i="3"/>
  <c r="S1405" i="3"/>
  <c r="T1405" i="3"/>
  <c r="J1463" i="3"/>
  <c r="T1404" i="3"/>
  <c r="S1404" i="3"/>
  <c r="J1462" i="3"/>
  <c r="T1461" i="3"/>
  <c r="J1519" i="3"/>
  <c r="S1461" i="3"/>
  <c r="F1512" i="3" l="1"/>
  <c r="I1454" i="3"/>
  <c r="J1525" i="3"/>
  <c r="S1467" i="3"/>
  <c r="T1467" i="3"/>
  <c r="J1464" i="3"/>
  <c r="T1406" i="3"/>
  <c r="S1406" i="3"/>
  <c r="J1526" i="3"/>
  <c r="S1468" i="3"/>
  <c r="T1468" i="3"/>
  <c r="J1568" i="3"/>
  <c r="L1510" i="3"/>
  <c r="J1527" i="3"/>
  <c r="S1469" i="3"/>
  <c r="T1469" i="3"/>
  <c r="J1524" i="3"/>
  <c r="S1466" i="3"/>
  <c r="T1466" i="3"/>
  <c r="S1581" i="3"/>
  <c r="T1581" i="3"/>
  <c r="J1639" i="3"/>
  <c r="S1412" i="3"/>
  <c r="S1463" i="3"/>
  <c r="T1463" i="3"/>
  <c r="J1521" i="3"/>
  <c r="T1462" i="3"/>
  <c r="J1520" i="3"/>
  <c r="S1462" i="3"/>
  <c r="S1519" i="3"/>
  <c r="J1577" i="3"/>
  <c r="T1519" i="3"/>
  <c r="J1584" i="3" l="1"/>
  <c r="S1526" i="3"/>
  <c r="T1526" i="3"/>
  <c r="T1464" i="3"/>
  <c r="J1522" i="3"/>
  <c r="S1464" i="3"/>
  <c r="S1470" i="3" s="1"/>
  <c r="J1583" i="3"/>
  <c r="S1525" i="3"/>
  <c r="T1525" i="3"/>
  <c r="J1626" i="3"/>
  <c r="L1568" i="3"/>
  <c r="J1585" i="3"/>
  <c r="S1527" i="3"/>
  <c r="T1527" i="3"/>
  <c r="F1570" i="3"/>
  <c r="I1512" i="3"/>
  <c r="T1524" i="3"/>
  <c r="J1582" i="3"/>
  <c r="S1524" i="3"/>
  <c r="J1697" i="3"/>
  <c r="S1639" i="3"/>
  <c r="T1639" i="3"/>
  <c r="T1521" i="3"/>
  <c r="J1579" i="3"/>
  <c r="S1521" i="3"/>
  <c r="J1578" i="3"/>
  <c r="S1520" i="3"/>
  <c r="T1520" i="3"/>
  <c r="J1635" i="3"/>
  <c r="S1577" i="3"/>
  <c r="T1577" i="3"/>
  <c r="L1626" i="3" l="1"/>
  <c r="J1684" i="3"/>
  <c r="F1628" i="3"/>
  <c r="I1570" i="3"/>
  <c r="S1585" i="3"/>
  <c r="T1585" i="3"/>
  <c r="J1643" i="3"/>
  <c r="T1583" i="3"/>
  <c r="J1641" i="3"/>
  <c r="S1583" i="3"/>
  <c r="S1522" i="3"/>
  <c r="J1580" i="3"/>
  <c r="T1522" i="3"/>
  <c r="T1584" i="3"/>
  <c r="S1584" i="3"/>
  <c r="J1642" i="3"/>
  <c r="S1528" i="3"/>
  <c r="J1640" i="3"/>
  <c r="S1582" i="3"/>
  <c r="T1582" i="3"/>
  <c r="S1697" i="3"/>
  <c r="T1697" i="3"/>
  <c r="J1755" i="3"/>
  <c r="J1637" i="3"/>
  <c r="S1579" i="3"/>
  <c r="T1579" i="3"/>
  <c r="S1578" i="3"/>
  <c r="J1636" i="3"/>
  <c r="T1578" i="3"/>
  <c r="T1635" i="3"/>
  <c r="J1693" i="3"/>
  <c r="S1635" i="3"/>
  <c r="J1638" i="3" l="1"/>
  <c r="T1580" i="3"/>
  <c r="S1580" i="3"/>
  <c r="T1641" i="3"/>
  <c r="S1641" i="3"/>
  <c r="J1699" i="3"/>
  <c r="T1642" i="3"/>
  <c r="S1642" i="3"/>
  <c r="J1700" i="3"/>
  <c r="J1701" i="3"/>
  <c r="S1643" i="3"/>
  <c r="T1643" i="3"/>
  <c r="I1628" i="3"/>
  <c r="F1686" i="3"/>
  <c r="J1742" i="3"/>
  <c r="L1742" i="3" s="1"/>
  <c r="L1684" i="3"/>
  <c r="T1640" i="3"/>
  <c r="J1698" i="3"/>
  <c r="S1640" i="3"/>
  <c r="S1755" i="3"/>
  <c r="T1755" i="3"/>
  <c r="S1637" i="3"/>
  <c r="J1695" i="3"/>
  <c r="T1637" i="3"/>
  <c r="S1586" i="3"/>
  <c r="S1636" i="3"/>
  <c r="T1636" i="3"/>
  <c r="J1694" i="3"/>
  <c r="T1693" i="3"/>
  <c r="J1751" i="3"/>
  <c r="S1693" i="3"/>
  <c r="F1744" i="3" l="1"/>
  <c r="I1744" i="3" s="1"/>
  <c r="I1686" i="3"/>
  <c r="S1700" i="3"/>
  <c r="J1758" i="3"/>
  <c r="T1700" i="3"/>
  <c r="J1757" i="3"/>
  <c r="T1699" i="3"/>
  <c r="S1699" i="3"/>
  <c r="J1759" i="3"/>
  <c r="T1701" i="3"/>
  <c r="S1701" i="3"/>
  <c r="T1638" i="3"/>
  <c r="S1638" i="3"/>
  <c r="J1696" i="3"/>
  <c r="J1756" i="3"/>
  <c r="S1698" i="3"/>
  <c r="T1698" i="3"/>
  <c r="S1644" i="3"/>
  <c r="T1695" i="3"/>
  <c r="S1695" i="3"/>
  <c r="J1753" i="3"/>
  <c r="T1694" i="3"/>
  <c r="S1694" i="3"/>
  <c r="J1752" i="3"/>
  <c r="T1751" i="3"/>
  <c r="S1751" i="3"/>
  <c r="T1759" i="3" l="1"/>
  <c r="S1759" i="3"/>
  <c r="T1696" i="3"/>
  <c r="S1696" i="3"/>
  <c r="S1702" i="3" s="1"/>
  <c r="J1754" i="3"/>
  <c r="T1757" i="3"/>
  <c r="S1757" i="3"/>
  <c r="S1758" i="3"/>
  <c r="T1758" i="3"/>
  <c r="T1756" i="3"/>
  <c r="S1756" i="3"/>
  <c r="T1753" i="3"/>
  <c r="S1753" i="3"/>
  <c r="T1752" i="3"/>
  <c r="S1752" i="3"/>
  <c r="T1754" i="3" l="1"/>
  <c r="S1754" i="3"/>
  <c r="S1760" i="3" s="1"/>
</calcChain>
</file>

<file path=xl/sharedStrings.xml><?xml version="1.0" encoding="utf-8"?>
<sst xmlns="http://schemas.openxmlformats.org/spreadsheetml/2006/main" count="8782" uniqueCount="163">
  <si>
    <t>表報編號：</t>
    <phoneticPr fontId="3" type="noConversion"/>
  </si>
  <si>
    <t>本日天氣：</t>
    <phoneticPr fontId="3" type="noConversion"/>
  </si>
  <si>
    <t>上午：</t>
    <phoneticPr fontId="3" type="noConversion"/>
  </si>
  <si>
    <t>下午：</t>
    <phoneticPr fontId="3" type="noConversion"/>
  </si>
  <si>
    <t>填表日期：</t>
    <phoneticPr fontId="3" type="noConversion"/>
  </si>
  <si>
    <t>工程名稱</t>
    <phoneticPr fontId="3" type="noConversion"/>
  </si>
  <si>
    <t>廠商名稱</t>
    <phoneticPr fontId="3" type="noConversion"/>
  </si>
  <si>
    <t>核定工期</t>
    <phoneticPr fontId="3" type="noConversion"/>
  </si>
  <si>
    <t>天</t>
    <phoneticPr fontId="3" type="noConversion"/>
  </si>
  <si>
    <t>累計工期</t>
    <phoneticPr fontId="3" type="noConversion"/>
  </si>
  <si>
    <t>剩餘工期</t>
    <phoneticPr fontId="3" type="noConversion"/>
  </si>
  <si>
    <t>天</t>
    <phoneticPr fontId="3" type="noConversion"/>
  </si>
  <si>
    <t>工期展延天數</t>
    <phoneticPr fontId="3" type="noConversion"/>
  </si>
  <si>
    <t>開工日期</t>
    <phoneticPr fontId="3" type="noConversion"/>
  </si>
  <si>
    <t>完工日期</t>
    <phoneticPr fontId="3" type="noConversion"/>
  </si>
  <si>
    <t>本日預定進度(%)</t>
    <phoneticPr fontId="3" type="noConversion"/>
  </si>
  <si>
    <t>本日實際進度(%)</t>
    <phoneticPr fontId="3" type="noConversion"/>
  </si>
  <si>
    <t>累計預定進度(%)</t>
    <phoneticPr fontId="3" type="noConversion"/>
  </si>
  <si>
    <t>累計實際進度(%)</t>
    <phoneticPr fontId="3" type="noConversion"/>
  </si>
  <si>
    <t>一、依施工計畫書執行按圖施工概況(含約定之重要施工項目及完成數量等):</t>
    <phoneticPr fontId="3" type="noConversion"/>
  </si>
  <si>
    <t>項次</t>
    <phoneticPr fontId="3" type="noConversion"/>
  </si>
  <si>
    <t>施工項目</t>
    <phoneticPr fontId="3" type="noConversion"/>
  </si>
  <si>
    <t>單位</t>
    <phoneticPr fontId="3" type="noConversion"/>
  </si>
  <si>
    <t>契約數量</t>
    <phoneticPr fontId="3" type="noConversion"/>
  </si>
  <si>
    <t>本日完成數量</t>
    <phoneticPr fontId="3" type="noConversion"/>
  </si>
  <si>
    <t>累計完成數量</t>
    <phoneticPr fontId="3" type="noConversion"/>
  </si>
  <si>
    <t>備註</t>
    <phoneticPr fontId="3" type="noConversion"/>
  </si>
  <si>
    <t>單價</t>
    <phoneticPr fontId="3" type="noConversion"/>
  </si>
  <si>
    <t>總價</t>
    <phoneticPr fontId="3" type="noConversion"/>
  </si>
  <si>
    <t>剩餘數量</t>
    <phoneticPr fontId="3" type="noConversion"/>
  </si>
  <si>
    <t>壹</t>
    <phoneticPr fontId="3" type="noConversion"/>
  </si>
  <si>
    <t>直接工程</t>
    <phoneticPr fontId="3" type="noConversion"/>
  </si>
  <si>
    <t>式</t>
    <phoneticPr fontId="3" type="noConversion"/>
  </si>
  <si>
    <t>式</t>
    <phoneticPr fontId="3" type="noConversion"/>
  </si>
  <si>
    <t>式</t>
    <phoneticPr fontId="3" type="noConversion"/>
  </si>
  <si>
    <t>M</t>
    <phoneticPr fontId="3" type="noConversion"/>
  </si>
  <si>
    <t>組</t>
    <phoneticPr fontId="3" type="noConversion"/>
  </si>
  <si>
    <t>合計</t>
    <phoneticPr fontId="3" type="noConversion"/>
  </si>
  <si>
    <t>總計：</t>
    <phoneticPr fontId="3" type="noConversion"/>
  </si>
  <si>
    <t>百分比</t>
    <phoneticPr fontId="3" type="noConversion"/>
  </si>
  <si>
    <t>本日合計</t>
    <phoneticPr fontId="3" type="noConversion"/>
  </si>
  <si>
    <t>累計合計金額</t>
    <phoneticPr fontId="3" type="noConversion"/>
  </si>
  <si>
    <t>營造業專業工程特定施工項目</t>
    <phoneticPr fontId="3" type="noConversion"/>
  </si>
  <si>
    <t>A.</t>
    <phoneticPr fontId="3" type="noConversion"/>
  </si>
  <si>
    <t>B.</t>
    <phoneticPr fontId="3" type="noConversion"/>
  </si>
  <si>
    <t>二、工地材料管理概況(含約定之重要材料使用狀況及數量等)：</t>
    <phoneticPr fontId="3" type="noConversion"/>
  </si>
  <si>
    <t>材料名稱</t>
    <phoneticPr fontId="3" type="noConversion"/>
  </si>
  <si>
    <t>契約數量</t>
    <phoneticPr fontId="3" type="noConversion"/>
  </si>
  <si>
    <t>本日使用數量</t>
    <phoneticPr fontId="3" type="noConversion"/>
  </si>
  <si>
    <t>累計使用數量</t>
    <phoneticPr fontId="3" type="noConversion"/>
  </si>
  <si>
    <t>備註</t>
    <phoneticPr fontId="3" type="noConversion"/>
  </si>
  <si>
    <t>RC水溝B設置重載型連續式止滑細縫水溝蓋板</t>
    <phoneticPr fontId="4" type="noConversion"/>
  </si>
  <si>
    <t>三、工地人員及機具管理(含約定之出工人數及機具使用情形及數量)：</t>
    <phoneticPr fontId="3" type="noConversion"/>
  </si>
  <si>
    <t>工別</t>
    <phoneticPr fontId="3" type="noConversion"/>
  </si>
  <si>
    <t>本日人數</t>
    <phoneticPr fontId="3" type="noConversion"/>
  </si>
  <si>
    <t>累計人數</t>
    <phoneticPr fontId="3" type="noConversion"/>
  </si>
  <si>
    <t>機具名稱</t>
    <phoneticPr fontId="3" type="noConversion"/>
  </si>
  <si>
    <t>技術工</t>
  </si>
  <si>
    <t>貨車</t>
  </si>
  <si>
    <t>水泥工</t>
    <phoneticPr fontId="3" type="noConversion"/>
  </si>
  <si>
    <t>吊卡車</t>
    <phoneticPr fontId="3" type="noConversion"/>
  </si>
  <si>
    <t>體力工</t>
    <phoneticPr fontId="3" type="noConversion"/>
  </si>
  <si>
    <t>挖土機(怪手)</t>
  </si>
  <si>
    <t>模板工</t>
    <phoneticPr fontId="3" type="noConversion"/>
  </si>
  <si>
    <t>山貓(堆土機)</t>
    <phoneticPr fontId="3" type="noConversion"/>
  </si>
  <si>
    <t>四、本日施工項目是否有須依「營造業專業工程特定施工項目應置之技術士總類、比率或人數標準表」規定應設置技術士之專業工程：□有 ■無 （此項如勾選“有”，則應填寫「公共工程施工日誌之技術士簽章表」)</t>
    <phoneticPr fontId="3" type="noConversion"/>
  </si>
  <si>
    <t>五、工地職業安全衛生事項之督導、公共環境與安全之維護及其他工地行政事務：</t>
    <phoneticPr fontId="3" type="noConversion"/>
  </si>
  <si>
    <t>(一)施工前檢查事項：</t>
    <phoneticPr fontId="3" type="noConversion"/>
  </si>
  <si>
    <t xml:space="preserve">    2.確實新進勞工是否提報勞工保險(或其他商業保險)資料及安全衛生教育訓練記錄：</t>
    <phoneticPr fontId="3" type="noConversion"/>
  </si>
  <si>
    <t>(二)其他事項：</t>
    <phoneticPr fontId="3" type="noConversion"/>
  </si>
  <si>
    <t>六、施工取樣試驗記錄：</t>
    <phoneticPr fontId="3" type="noConversion"/>
  </si>
  <si>
    <t>七、通知協力廠商辦理事項：</t>
    <phoneticPr fontId="3" type="noConversion"/>
  </si>
  <si>
    <t>簽章：【工地主任】(註3)：</t>
    <phoneticPr fontId="3" type="noConversion"/>
  </si>
  <si>
    <t>註：1.依營造業法第32條第1項第2款規定，工地主任應接日填報施工日誌。</t>
    <phoneticPr fontId="3" type="noConversion"/>
  </si>
  <si>
    <t xml:space="preserve">    2.本施工日誌格式僅供參考，惟原則應包含上開欄位，各機關亦得依工程性質及契約約定事項自行增訂之。</t>
    <phoneticPr fontId="3" type="noConversion"/>
  </si>
  <si>
    <t xml:space="preserve">    3.本工程依營造業法第30條規定須置工地主任者，由工地主任簽章；依上開規定免置工地主任者，則由營造業法第32條第2項所定之人員簽章。廠商非屬營造業者，由工地負責人簽章。</t>
    <phoneticPr fontId="3" type="noConversion"/>
  </si>
  <si>
    <t xml:space="preserve">    4.契約工期如有修正，應填修正後之契約工期，含展延工期及不計工期天數；如有依契約變更設計，預定進度及實際進度應填變更設計後計算之進度。</t>
    <phoneticPr fontId="3" type="noConversion"/>
  </si>
  <si>
    <t xml:space="preserve">    5.上開重要事項記錄包含(1)主辦機關及監造單位指示(2)工地遇緊急異常狀況之通報處理情形(3)本日是否由專任工程人員督察按圖施工、解決施工技術問題等。</t>
    <phoneticPr fontId="3" type="noConversion"/>
  </si>
  <si>
    <t xml:space="preserve">    6.上開施工前檢查事項所列工作應由職業安全衛生管理辦法第3條規定所置職業安全衛全人員於每日施工前辦理(檢查記錄參考範例如附工地職業安全衛生施工前檢查記錄表)，工地主任負責督導及確認該事項完成後於施工日誌填載。</t>
    <phoneticPr fontId="3" type="noConversion"/>
  </si>
  <si>
    <t xml:space="preserve">    7.公共工程屬建築物者，請依內政部最新訂頒之「建築物施工日誌」填寫。</t>
    <phoneticPr fontId="3" type="noConversion"/>
  </si>
  <si>
    <t>八、重要事項記錄：</t>
    <phoneticPr fontId="3" type="noConversion"/>
  </si>
  <si>
    <t xml:space="preserve">    1.實施勤前教育(含工地預防災及危害告知)：□有  □無</t>
    <phoneticPr fontId="3" type="noConversion"/>
  </si>
  <si>
    <t xml:space="preserve">      □有  □無  □無新進勞工</t>
    <phoneticPr fontId="3" type="noConversion"/>
  </si>
  <si>
    <t>114年度沙灘排球場地整建</t>
    <phoneticPr fontId="3" type="noConversion"/>
  </si>
  <si>
    <t>施工動線開闢與復原;測量與放樣;環境保護與清潔費</t>
    <phoneticPr fontId="4" type="noConversion"/>
  </si>
  <si>
    <t>球場施工範圍及周遭，移植喬木與遷移地磚至校方指定位置</t>
    <phoneticPr fontId="4" type="noConversion"/>
  </si>
  <si>
    <t>開挖整地，挖除土方平鋪校園空地整平，整地，鋪設不織布</t>
    <phoneticPr fontId="4" type="noConversion"/>
  </si>
  <si>
    <t>設置L型RC緣石與埋設PVC排水管</t>
    <phoneticPr fontId="4" type="noConversion"/>
  </si>
  <si>
    <t>吊料鋪設#3白色矽砂整平</t>
    <phoneticPr fontId="4" type="noConversion"/>
  </si>
  <si>
    <t>安裝RC基礎底板與套管組、金屬排球柱含捲揚機、排球網與球柱防撞墊</t>
    <phoneticPr fontId="4" type="noConversion"/>
  </si>
  <si>
    <t>安裝沙灘排球場標準線</t>
    <phoneticPr fontId="4" type="noConversion"/>
  </si>
  <si>
    <t>工程告示牌與職安告示牌(租用)</t>
    <phoneticPr fontId="4" type="noConversion"/>
  </si>
  <si>
    <t>施工區管制措施(租用)</t>
    <phoneticPr fontId="4" type="noConversion"/>
  </si>
  <si>
    <t>㎡</t>
    <phoneticPr fontId="3" type="noConversion"/>
  </si>
  <si>
    <t>噸</t>
    <phoneticPr fontId="3" type="noConversion"/>
  </si>
  <si>
    <t>組</t>
    <phoneticPr fontId="3" type="noConversion"/>
  </si>
  <si>
    <t>場</t>
    <phoneticPr fontId="3" type="noConversion"/>
  </si>
  <si>
    <t>設置L型RC緣石與埋設PVC排水管</t>
    <phoneticPr fontId="4" type="noConversion"/>
  </si>
  <si>
    <t>噸</t>
    <phoneticPr fontId="3" type="noConversion"/>
  </si>
  <si>
    <t xml:space="preserve">    3.檢查勞工個人防護具：□有  □無</t>
    <phoneticPr fontId="3" type="noConversion"/>
  </si>
  <si>
    <t>晴</t>
    <phoneticPr fontId="3" type="noConversion"/>
  </si>
  <si>
    <t>晴</t>
    <phoneticPr fontId="3" type="noConversion"/>
  </si>
  <si>
    <t>八、重要事項記錄：申報開工</t>
    <phoneticPr fontId="3" type="noConversion"/>
  </si>
  <si>
    <t>晴</t>
    <phoneticPr fontId="3" type="noConversion"/>
  </si>
  <si>
    <t>晴</t>
    <phoneticPr fontId="3" type="noConversion"/>
  </si>
  <si>
    <t>晴</t>
    <phoneticPr fontId="3" type="noConversion"/>
  </si>
  <si>
    <t>開挖整地，挖除土方平鋪校園空地整平，整地，鋪設不織布</t>
    <phoneticPr fontId="4" type="noConversion"/>
  </si>
  <si>
    <t>球場施工範圍及周遭，移植喬木與遷移地磚至校方指定位置</t>
    <phoneticPr fontId="4" type="noConversion"/>
  </si>
  <si>
    <t>晴</t>
    <phoneticPr fontId="3" type="noConversion"/>
  </si>
  <si>
    <t>八、重要事項記錄：工程備料</t>
    <phoneticPr fontId="3" type="noConversion"/>
  </si>
  <si>
    <t>工程告示牌與職安告示牌(租用)</t>
    <phoneticPr fontId="4" type="noConversion"/>
  </si>
  <si>
    <t>施工區管制措施(租用)</t>
    <phoneticPr fontId="4" type="noConversion"/>
  </si>
  <si>
    <t>八、重要事項記錄：工程告示牌與職安告示牌、施工區管制措施</t>
    <phoneticPr fontId="3" type="noConversion"/>
  </si>
  <si>
    <t>晴</t>
    <phoneticPr fontId="3" type="noConversion"/>
  </si>
  <si>
    <t>晴</t>
    <phoneticPr fontId="3" type="noConversion"/>
  </si>
  <si>
    <t>開挖整地，挖除土方平鋪校園空地整平，整地，鋪設不織布</t>
    <phoneticPr fontId="4" type="noConversion"/>
  </si>
  <si>
    <t>八、重要事項記錄：開挖整地，挖除土方平鋪校園空地整平，整地，鋪設不織布</t>
    <phoneticPr fontId="3" type="noConversion"/>
  </si>
  <si>
    <t>晴</t>
    <phoneticPr fontId="3" type="noConversion"/>
  </si>
  <si>
    <t>八、重要事項記錄：工程備料</t>
    <phoneticPr fontId="3" type="noConversion"/>
  </si>
  <si>
    <t>設置L型RC緣石與埋設PVC排水管</t>
    <phoneticPr fontId="4" type="noConversion"/>
  </si>
  <si>
    <t>八、重要事項記錄：開挖整地，挖除土方平鋪校園空地整平，整地，鋪設不織布、設置L型RC緣石與埋設PVC排水管</t>
    <phoneticPr fontId="3" type="noConversion"/>
  </si>
  <si>
    <t>設置L型RC緣石與埋設PVC排水管</t>
    <phoneticPr fontId="4" type="noConversion"/>
  </si>
  <si>
    <t>八、重要事項記錄：設置L型RC緣石與埋設PVC排水管</t>
    <phoneticPr fontId="3" type="noConversion"/>
  </si>
  <si>
    <t>八、重要事項記錄：設置L型RC緣石與埋設PVC排水管</t>
    <phoneticPr fontId="3" type="noConversion"/>
  </si>
  <si>
    <t>八、重要事項記錄：設置L型RC緣石與埋設PVC排水管</t>
    <phoneticPr fontId="3" type="noConversion"/>
  </si>
  <si>
    <t>八、重要事項記錄：設置L型RC緣石與埋設PVC排水管</t>
    <phoneticPr fontId="3" type="noConversion"/>
  </si>
  <si>
    <t>晴</t>
    <phoneticPr fontId="3" type="noConversion"/>
  </si>
  <si>
    <t>晴</t>
    <phoneticPr fontId="3" type="noConversion"/>
  </si>
  <si>
    <t>八、重要事項記錄：設置L型RC緣石與埋設PVC排水管</t>
    <phoneticPr fontId="3" type="noConversion"/>
  </si>
  <si>
    <t>八、重要事項記錄：設置L型RC緣石與埋設PVC排水管</t>
    <phoneticPr fontId="3" type="noConversion"/>
  </si>
  <si>
    <t>八、重要事項記錄：混凝土查驗、設置L型RC緣石與埋設PVC排水管</t>
    <phoneticPr fontId="3" type="noConversion"/>
  </si>
  <si>
    <t>開挖整地，挖除土方平鋪校園空地整平，整地，鋪設不織布</t>
    <phoneticPr fontId="4" type="noConversion"/>
  </si>
  <si>
    <t>八、重要事項記錄：開挖整地，挖除土方平鋪校園空地整平，整地，鋪設不織布</t>
    <phoneticPr fontId="3" type="noConversion"/>
  </si>
  <si>
    <t xml:space="preserve">    1.實施勤前教育(含工地預防災及危害告知)：■有  □無</t>
    <phoneticPr fontId="3" type="noConversion"/>
  </si>
  <si>
    <t xml:space="preserve">      □有  □無  ■無新進勞工</t>
    <phoneticPr fontId="3" type="noConversion"/>
  </si>
  <si>
    <t xml:space="preserve">    3.檢查勞工個人防護具：■有  □無</t>
    <phoneticPr fontId="3" type="noConversion"/>
  </si>
  <si>
    <t>晴</t>
    <phoneticPr fontId="3" type="noConversion"/>
  </si>
  <si>
    <t>晴</t>
    <phoneticPr fontId="3" type="noConversion"/>
  </si>
  <si>
    <t>晴</t>
    <phoneticPr fontId="3" type="noConversion"/>
  </si>
  <si>
    <t>晴</t>
    <phoneticPr fontId="3" type="noConversion"/>
  </si>
  <si>
    <t>設置L型RC緣石與埋設PVC排水管</t>
    <phoneticPr fontId="4" type="noConversion"/>
  </si>
  <si>
    <t>八、重要事項記錄：工程備料</t>
    <phoneticPr fontId="3" type="noConversion"/>
  </si>
  <si>
    <t>八、重要事項記錄：工程備料</t>
    <phoneticPr fontId="3" type="noConversion"/>
  </si>
  <si>
    <t>晴</t>
    <phoneticPr fontId="3" type="noConversion"/>
  </si>
  <si>
    <t>設置L型RC緣石與埋設PVC排水管</t>
    <phoneticPr fontId="4" type="noConversion"/>
  </si>
  <si>
    <t>八、重要事項記錄：設置L型RC緣石與埋設PVC排水管</t>
    <phoneticPr fontId="3" type="noConversion"/>
  </si>
  <si>
    <t xml:space="preserve">    1.實施勤前教育(含工地預防災及危害告知)：■有  □無</t>
    <phoneticPr fontId="3" type="noConversion"/>
  </si>
  <si>
    <t xml:space="preserve">      □有  □無  ■無新進勞工</t>
    <phoneticPr fontId="3" type="noConversion"/>
  </si>
  <si>
    <t xml:space="preserve">    3.檢查勞工個人防護具：■有  □無</t>
    <phoneticPr fontId="3" type="noConversion"/>
  </si>
  <si>
    <t>晴</t>
    <phoneticPr fontId="3" type="noConversion"/>
  </si>
  <si>
    <t>八、重要事項記錄：工程備料</t>
    <phoneticPr fontId="3" type="noConversion"/>
  </si>
  <si>
    <t>晴</t>
    <phoneticPr fontId="3" type="noConversion"/>
  </si>
  <si>
    <t>晴</t>
    <phoneticPr fontId="3" type="noConversion"/>
  </si>
  <si>
    <t>八、重要事項記錄：工程備料</t>
    <phoneticPr fontId="3" type="noConversion"/>
  </si>
  <si>
    <t>晴</t>
    <phoneticPr fontId="3" type="noConversion"/>
  </si>
  <si>
    <t>八、重要事項記錄：工程備料</t>
    <phoneticPr fontId="3" type="noConversion"/>
  </si>
  <si>
    <t>八、重要事項記錄：排球柱基礎埋設</t>
    <phoneticPr fontId="3" type="noConversion"/>
  </si>
  <si>
    <t xml:space="preserve">    1.實施勤前教育(含工地預防災及危害告知)：■有  □無</t>
    <phoneticPr fontId="3" type="noConversion"/>
  </si>
  <si>
    <t xml:space="preserve">      □有  □無  ■無新進勞工</t>
    <phoneticPr fontId="3" type="noConversion"/>
  </si>
  <si>
    <t>八、重要事項記錄：工程備料</t>
    <phoneticPr fontId="3" type="noConversion"/>
  </si>
  <si>
    <t>晴</t>
    <phoneticPr fontId="3" type="noConversion"/>
  </si>
  <si>
    <t>晴</t>
    <phoneticPr fontId="3" type="noConversion"/>
  </si>
  <si>
    <t>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</si>
</sst>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1" formatCode="_-* #,##0_-;\-* #,##0_-;_-* &quot;-&quot;_-;_-@_-"/>
    <numFmt numFmtId="43" formatCode="_-* #,##0.00_-;\-* #,##0.00_-;_-* &quot;-&quot;??_-;_-@_-"/>
    <numFmt numFmtId="176" formatCode="_-* #,##0.0_-;\-* #,##0.0_-;_-* &quot;-&quot;??_-;_-@_-"/>
    <numFmt numFmtId="177" formatCode="m&quot;月&quot;d&quot;日&quot;;@"/>
    <numFmt numFmtId="178" formatCode="[$-404]aaaa;@"/>
    <numFmt numFmtId="179" formatCode="[$-404]e&quot;年&quot;m&quot;月&quot;d&quot;日&quot;;@"/>
    <numFmt numFmtId="180" formatCode="_-* #,##0.000_-;\-* #,##0.000_-;_-* &quot;-&quot;???_-;_-@_-"/>
    <numFmt numFmtId="181" formatCode="_-* #,##0_-;\-* #,##0_-;_-* &quot;-&quot;??_-;_-@_-"/>
    <numFmt numFmtId="182" formatCode="_-* #,##0.00_-;\-* #,##0.00_-;_-* &quot;-&quot;???_-;_-@_-"/>
    <numFmt numFmtId="183" formatCode="0_);\(0\)"/>
    <numFmt numFmtId="184" formatCode="0.00_ "/>
    <numFmt numFmtId="185" formatCode="_-* #,##0.000_-;\-* #,##0.000_-;_-* &quot;-&quot;??_-;_-@_-"/>
    <numFmt numFmtId="186" formatCode="_-* #,##0.0000_-;\-* #,##0.0000_-;_-* &quot;-&quot;??_-;_-@_-"/>
  </numFmts>
  <fonts count="15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1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10"/>
      <color theme="1"/>
      <name val="新細明體"/>
      <family val="2"/>
      <charset val="136"/>
      <scheme val="minor"/>
    </font>
    <font>
      <sz val="11"/>
      <name val="標楷體"/>
      <family val="4"/>
      <charset val="136"/>
    </font>
    <font>
      <sz val="12"/>
      <name val="新細明體"/>
      <family val="2"/>
      <charset val="136"/>
      <scheme val="minor"/>
    </font>
    <font>
      <sz val="12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theme="1"/>
      <name val="新細明體"/>
      <family val="1"/>
      <charset val="136"/>
      <scheme val="minor"/>
    </font>
    <font>
      <b/>
      <sz val="9"/>
      <color theme="1"/>
      <name val="標楷體"/>
      <family val="4"/>
      <charset val="136"/>
    </font>
    <font>
      <sz val="6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3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0" fontId="2" fillId="0" borderId="2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shrinkToFit="1"/>
    </xf>
    <xf numFmtId="41" fontId="2" fillId="0" borderId="2" xfId="0" applyNumberFormat="1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1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/>
    </xf>
    <xf numFmtId="181" fontId="0" fillId="0" borderId="0" xfId="1" applyNumberFormat="1" applyFont="1">
      <alignment vertical="center"/>
    </xf>
    <xf numFmtId="41" fontId="0" fillId="0" borderId="0" xfId="0" applyNumberFormat="1">
      <alignment vertical="center"/>
    </xf>
    <xf numFmtId="182" fontId="0" fillId="0" borderId="0" xfId="0" applyNumberFormat="1">
      <alignment vertical="center"/>
    </xf>
    <xf numFmtId="183" fontId="2" fillId="0" borderId="2" xfId="0" applyNumberFormat="1" applyFont="1" applyBorder="1" applyAlignment="1">
      <alignment horizontal="center" vertical="top"/>
    </xf>
    <xf numFmtId="0" fontId="2" fillId="0" borderId="3" xfId="0" applyFont="1" applyBorder="1" applyAlignment="1">
      <alignment horizontal="left" vertical="top" shrinkToFit="1"/>
    </xf>
    <xf numFmtId="0" fontId="0" fillId="0" borderId="5" xfId="0" applyBorder="1" applyAlignment="1">
      <alignment horizontal="left" vertical="top" shrinkToFit="1"/>
    </xf>
    <xf numFmtId="0" fontId="0" fillId="0" borderId="4" xfId="0" applyBorder="1" applyAlignment="1">
      <alignment horizontal="left" vertical="top" shrinkToFit="1"/>
    </xf>
    <xf numFmtId="43" fontId="2" fillId="0" borderId="3" xfId="1" applyFont="1" applyBorder="1" applyAlignment="1">
      <alignment horizontal="center" vertical="center"/>
    </xf>
    <xf numFmtId="176" fontId="2" fillId="0" borderId="4" xfId="1" applyNumberFormat="1" applyFont="1" applyBorder="1" applyAlignment="1">
      <alignment horizontal="center" vertical="center"/>
    </xf>
    <xf numFmtId="184" fontId="0" fillId="0" borderId="0" xfId="0" applyNumberFormat="1">
      <alignment vertical="center"/>
    </xf>
    <xf numFmtId="0" fontId="12" fillId="0" borderId="0" xfId="0" applyFont="1">
      <alignment vertical="center"/>
    </xf>
    <xf numFmtId="181" fontId="12" fillId="0" borderId="0" xfId="0" applyNumberFormat="1" applyFont="1">
      <alignment vertical="center"/>
    </xf>
    <xf numFmtId="185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3" xfId="0" applyBorder="1">
      <alignment vertical="center"/>
    </xf>
    <xf numFmtId="0" fontId="10" fillId="0" borderId="2" xfId="0" applyFont="1" applyFill="1" applyBorder="1" applyAlignment="1">
      <alignment horizontal="center" vertical="center"/>
    </xf>
    <xf numFmtId="0" fontId="0" fillId="0" borderId="6" xfId="0" applyBorder="1">
      <alignment vertical="center"/>
    </xf>
    <xf numFmtId="0" fontId="10" fillId="0" borderId="8" xfId="0" applyFont="1" applyFill="1" applyBorder="1" applyAlignment="1">
      <alignment horizontal="center" vertical="center"/>
    </xf>
    <xf numFmtId="0" fontId="0" fillId="0" borderId="11" xfId="0" applyBorder="1">
      <alignment vertical="center"/>
    </xf>
    <xf numFmtId="0" fontId="2" fillId="0" borderId="14" xfId="0" applyFont="1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19" xfId="0" applyBorder="1">
      <alignment vertical="center"/>
    </xf>
    <xf numFmtId="0" fontId="2" fillId="0" borderId="22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176" fontId="2" fillId="0" borderId="0" xfId="0" applyNumberFormat="1" applyFont="1" applyBorder="1">
      <alignment vertical="center"/>
    </xf>
    <xf numFmtId="0" fontId="2" fillId="0" borderId="7" xfId="0" applyFont="1" applyBorder="1">
      <alignment vertical="center"/>
    </xf>
    <xf numFmtId="0" fontId="0" fillId="0" borderId="27" xfId="0" applyBorder="1">
      <alignment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14" fillId="0" borderId="26" xfId="0" applyFont="1" applyBorder="1" applyAlignment="1">
      <alignment vertical="center"/>
    </xf>
    <xf numFmtId="0" fontId="0" fillId="0" borderId="26" xfId="0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shrinkToFit="1"/>
    </xf>
    <xf numFmtId="0" fontId="2" fillId="0" borderId="9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41" fontId="2" fillId="0" borderId="3" xfId="0" applyNumberFormat="1" applyFont="1" applyBorder="1" applyAlignment="1">
      <alignment horizontal="center" vertical="center"/>
    </xf>
    <xf numFmtId="41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10" fillId="0" borderId="3" xfId="0" applyFont="1" applyBorder="1" applyAlignment="1">
      <alignment horizontal="left" vertical="center" shrinkToFit="1"/>
    </xf>
    <xf numFmtId="0" fontId="0" fillId="0" borderId="5" xfId="0" applyBorder="1" applyAlignment="1">
      <alignment horizontal="left" vertical="center" shrinkToFit="1"/>
    </xf>
    <xf numFmtId="0" fontId="0" fillId="0" borderId="4" xfId="0" applyBorder="1" applyAlignment="1">
      <alignment horizontal="left" vertical="center" shrinkToFit="1"/>
    </xf>
    <xf numFmtId="43" fontId="2" fillId="0" borderId="3" xfId="1" applyNumberFormat="1" applyFont="1" applyBorder="1" applyAlignment="1">
      <alignment horizontal="center" vertical="center"/>
    </xf>
    <xf numFmtId="43" fontId="2" fillId="0" borderId="4" xfId="1" applyNumberFormat="1" applyFont="1" applyBorder="1" applyAlignment="1">
      <alignment horizontal="center" vertical="center"/>
    </xf>
    <xf numFmtId="43" fontId="2" fillId="0" borderId="2" xfId="1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" xfId="0" applyBorder="1" applyAlignment="1">
      <alignment vertical="center"/>
    </xf>
    <xf numFmtId="0" fontId="11" fillId="0" borderId="5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11" fillId="0" borderId="20" xfId="0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0" fontId="2" fillId="0" borderId="2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43" fontId="13" fillId="0" borderId="9" xfId="1" applyFont="1" applyBorder="1" applyAlignment="1">
      <alignment horizontal="center" vertical="center"/>
    </xf>
    <xf numFmtId="43" fontId="13" fillId="0" borderId="10" xfId="1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 shrinkToFit="1"/>
    </xf>
    <xf numFmtId="0" fontId="2" fillId="0" borderId="13" xfId="0" applyFont="1" applyBorder="1" applyAlignment="1">
      <alignment horizontal="left" vertical="center" shrinkToFit="1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186" fontId="2" fillId="0" borderId="2" xfId="0" applyNumberFormat="1" applyFont="1" applyBorder="1" applyAlignment="1">
      <alignment horizontal="center" vertical="center"/>
    </xf>
    <xf numFmtId="43" fontId="13" fillId="0" borderId="3" xfId="1" applyFont="1" applyBorder="1" applyAlignment="1">
      <alignment horizontal="center" vertical="center"/>
    </xf>
    <xf numFmtId="43" fontId="13" fillId="0" borderId="4" xfId="1" applyFont="1" applyBorder="1" applyAlignment="1">
      <alignment horizontal="center" vertical="center"/>
    </xf>
    <xf numFmtId="43" fontId="2" fillId="0" borderId="3" xfId="1" applyFont="1" applyBorder="1" applyAlignment="1">
      <alignment horizontal="center" vertical="center"/>
    </xf>
    <xf numFmtId="43" fontId="2" fillId="0" borderId="4" xfId="1" applyFont="1" applyBorder="1" applyAlignment="1">
      <alignment horizontal="center" vertical="center"/>
    </xf>
    <xf numFmtId="0" fontId="0" fillId="0" borderId="3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2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 shrinkToFit="1"/>
    </xf>
    <xf numFmtId="180" fontId="2" fillId="0" borderId="3" xfId="0" applyNumberFormat="1" applyFont="1" applyBorder="1" applyAlignment="1">
      <alignment horizontal="center" vertical="center"/>
    </xf>
    <xf numFmtId="180" fontId="2" fillId="0" borderId="5" xfId="0" applyNumberFormat="1" applyFont="1" applyBorder="1" applyAlignment="1">
      <alignment horizontal="center" vertical="center"/>
    </xf>
    <xf numFmtId="180" fontId="2" fillId="0" borderId="4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 shrinkToFit="1"/>
    </xf>
    <xf numFmtId="0" fontId="2" fillId="0" borderId="2" xfId="0" applyFont="1" applyBorder="1" applyAlignment="1">
      <alignment vertical="center"/>
    </xf>
    <xf numFmtId="179" fontId="8" fillId="0" borderId="3" xfId="0" applyNumberFormat="1" applyFont="1" applyBorder="1" applyAlignment="1">
      <alignment horizontal="center" vertical="center"/>
    </xf>
    <xf numFmtId="179" fontId="9" fillId="0" borderId="5" xfId="0" applyNumberFormat="1" applyFont="1" applyBorder="1" applyAlignment="1">
      <alignment horizontal="center" vertical="center"/>
    </xf>
    <xf numFmtId="179" fontId="9" fillId="0" borderId="4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177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2"/>
  <sheetViews>
    <sheetView view="pageBreakPreview" topLeftCell="A59" zoomScaleSheetLayoutView="100" workbookViewId="0">
      <selection activeCell="J62" sqref="J62"/>
    </sheetView>
  </sheetViews>
  <sheetFormatPr defaultRowHeight="16.5"/>
  <cols>
    <col min="15" max="15" width="9.25" bestFit="1" customWidth="1"/>
    <col min="16" max="16" width="12.375" customWidth="1"/>
    <col min="17" max="17" width="13" customWidth="1"/>
    <col min="19" max="19" width="13.5" customWidth="1"/>
  </cols>
  <sheetData>
    <row r="1" spans="1:20" s="2" customFormat="1" ht="35.1" customHeight="1">
      <c r="A1" s="126" t="s">
        <v>0</v>
      </c>
      <c r="B1" s="126"/>
      <c r="C1" s="1">
        <v>1</v>
      </c>
      <c r="G1" s="3"/>
    </row>
    <row r="2" spans="1:20" s="2" customFormat="1" ht="35.1" customHeight="1">
      <c r="A2" s="126" t="s">
        <v>1</v>
      </c>
      <c r="B2" s="126"/>
      <c r="C2" s="2" t="s">
        <v>2</v>
      </c>
      <c r="D2" s="2" t="s">
        <v>100</v>
      </c>
      <c r="E2" s="2" t="s">
        <v>3</v>
      </c>
      <c r="F2" s="2" t="s">
        <v>101</v>
      </c>
      <c r="G2" s="3"/>
      <c r="H2" s="127" t="s">
        <v>4</v>
      </c>
      <c r="I2" s="128"/>
      <c r="J2" s="129">
        <v>45988</v>
      </c>
      <c r="K2" s="130"/>
      <c r="L2" s="131">
        <f>J2</f>
        <v>45988</v>
      </c>
      <c r="M2" s="132"/>
    </row>
    <row r="3" spans="1:20" s="2" customFormat="1" ht="30" customHeight="1">
      <c r="A3" s="72" t="s">
        <v>5</v>
      </c>
      <c r="B3" s="114"/>
      <c r="C3" s="119" t="s">
        <v>83</v>
      </c>
      <c r="D3" s="119"/>
      <c r="E3" s="119"/>
      <c r="F3" s="119"/>
      <c r="G3" s="119"/>
      <c r="H3" s="54" t="s">
        <v>6</v>
      </c>
      <c r="I3" s="59"/>
      <c r="J3" s="120"/>
      <c r="K3" s="120"/>
      <c r="L3" s="120"/>
      <c r="M3" s="120"/>
    </row>
    <row r="4" spans="1:20" s="1" customFormat="1" ht="30" customHeight="1">
      <c r="A4" s="72" t="s">
        <v>7</v>
      </c>
      <c r="B4" s="114"/>
      <c r="C4" s="4">
        <v>50</v>
      </c>
      <c r="D4" s="4" t="s">
        <v>8</v>
      </c>
      <c r="E4" s="4" t="s">
        <v>9</v>
      </c>
      <c r="F4" s="4">
        <v>1</v>
      </c>
      <c r="G4" s="5" t="s">
        <v>8</v>
      </c>
      <c r="H4" s="4" t="s">
        <v>10</v>
      </c>
      <c r="I4" s="4">
        <f>C4-F4+L4</f>
        <v>49</v>
      </c>
      <c r="J4" s="4" t="s">
        <v>11</v>
      </c>
      <c r="K4" s="6" t="s">
        <v>12</v>
      </c>
      <c r="L4" s="7"/>
      <c r="M4" s="4" t="s">
        <v>8</v>
      </c>
    </row>
    <row r="5" spans="1:20" s="2" customFormat="1" ht="30" customHeight="1">
      <c r="A5" s="72" t="s">
        <v>13</v>
      </c>
      <c r="B5" s="75"/>
      <c r="C5" s="75"/>
      <c r="D5" s="121">
        <v>45988</v>
      </c>
      <c r="E5" s="122"/>
      <c r="F5" s="122"/>
      <c r="G5" s="123"/>
      <c r="H5" s="124" t="s">
        <v>14</v>
      </c>
      <c r="I5" s="125"/>
      <c r="J5" s="121">
        <f>D5+50-1</f>
        <v>46037</v>
      </c>
      <c r="K5" s="122"/>
      <c r="L5" s="122"/>
      <c r="M5" s="123"/>
    </row>
    <row r="6" spans="1:20" s="2" customFormat="1" ht="30" customHeight="1">
      <c r="A6" s="72" t="s">
        <v>15</v>
      </c>
      <c r="B6" s="114"/>
      <c r="C6" s="114"/>
      <c r="D6" s="72">
        <v>0.216</v>
      </c>
      <c r="E6" s="72"/>
      <c r="F6" s="72"/>
      <c r="G6" s="72"/>
      <c r="H6" s="64" t="s">
        <v>16</v>
      </c>
      <c r="I6" s="115"/>
      <c r="J6" s="116">
        <f>P22</f>
        <v>0</v>
      </c>
      <c r="K6" s="117"/>
      <c r="L6" s="117"/>
      <c r="M6" s="118"/>
    </row>
    <row r="7" spans="1:20" s="2" customFormat="1" ht="30" customHeight="1">
      <c r="A7" s="72" t="s">
        <v>17</v>
      </c>
      <c r="B7" s="114"/>
      <c r="C7" s="114"/>
      <c r="D7" s="72">
        <f>D6</f>
        <v>0.216</v>
      </c>
      <c r="E7" s="72"/>
      <c r="F7" s="72"/>
      <c r="G7" s="72"/>
      <c r="H7" s="64" t="s">
        <v>18</v>
      </c>
      <c r="I7" s="115"/>
      <c r="J7" s="116">
        <f>J6</f>
        <v>0</v>
      </c>
      <c r="K7" s="117"/>
      <c r="L7" s="117"/>
      <c r="M7" s="118"/>
    </row>
    <row r="8" spans="1:20" s="2" customFormat="1" ht="30" customHeight="1">
      <c r="A8" s="111" t="s">
        <v>19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</row>
    <row r="9" spans="1:20" s="2" customFormat="1" ht="30" customHeight="1">
      <c r="A9" s="8" t="s">
        <v>20</v>
      </c>
      <c r="B9" s="72" t="s">
        <v>21</v>
      </c>
      <c r="C9" s="72"/>
      <c r="D9" s="72"/>
      <c r="E9" s="4" t="s">
        <v>22</v>
      </c>
      <c r="F9" s="54" t="s">
        <v>23</v>
      </c>
      <c r="G9" s="59"/>
      <c r="H9" s="72" t="s">
        <v>24</v>
      </c>
      <c r="I9" s="72"/>
      <c r="J9" s="72" t="s">
        <v>25</v>
      </c>
      <c r="K9" s="72"/>
      <c r="L9" s="72" t="s">
        <v>26</v>
      </c>
      <c r="M9" s="72"/>
      <c r="O9" s="1" t="s">
        <v>27</v>
      </c>
      <c r="P9" s="1" t="s">
        <v>28</v>
      </c>
      <c r="T9" s="2" t="s">
        <v>29</v>
      </c>
    </row>
    <row r="10" spans="1:20" s="2" customFormat="1" ht="24.95" customHeight="1">
      <c r="A10" s="9" t="s">
        <v>30</v>
      </c>
      <c r="B10" s="110" t="s">
        <v>31</v>
      </c>
      <c r="C10" s="110"/>
      <c r="D10" s="110"/>
      <c r="E10" s="4"/>
      <c r="F10" s="54"/>
      <c r="G10" s="59"/>
      <c r="H10" s="72"/>
      <c r="I10" s="72"/>
      <c r="J10" s="72"/>
      <c r="K10" s="72"/>
      <c r="L10" s="72"/>
      <c r="M10" s="72"/>
    </row>
    <row r="11" spans="1:20" ht="24.95" customHeight="1">
      <c r="A11" s="10">
        <v>1</v>
      </c>
      <c r="B11" s="66" t="s">
        <v>91</v>
      </c>
      <c r="C11" s="67" t="s">
        <v>91</v>
      </c>
      <c r="D11" s="68" t="s">
        <v>91</v>
      </c>
      <c r="E11" s="4" t="s">
        <v>32</v>
      </c>
      <c r="F11" s="69">
        <v>1</v>
      </c>
      <c r="G11" s="70"/>
      <c r="H11" s="69"/>
      <c r="I11" s="70"/>
      <c r="J11" s="71">
        <f t="shared" ref="J11:J19" si="0">H11</f>
        <v>0</v>
      </c>
      <c r="K11" s="71"/>
      <c r="L11" s="72"/>
      <c r="M11" s="72"/>
      <c r="O11" s="11">
        <v>4000</v>
      </c>
      <c r="P11" s="11">
        <f>ROUND(H11*O11,0)</f>
        <v>0</v>
      </c>
      <c r="Q11" s="12"/>
      <c r="S11" s="11">
        <f>ROUND(J11*O11,0)</f>
        <v>0</v>
      </c>
      <c r="T11" s="13">
        <f>F11-J11</f>
        <v>1</v>
      </c>
    </row>
    <row r="12" spans="1:20" ht="24.95" customHeight="1">
      <c r="A12" s="10">
        <v>2</v>
      </c>
      <c r="B12" s="66" t="s">
        <v>92</v>
      </c>
      <c r="C12" s="67" t="s">
        <v>92</v>
      </c>
      <c r="D12" s="68" t="s">
        <v>92</v>
      </c>
      <c r="E12" s="4" t="s">
        <v>32</v>
      </c>
      <c r="F12" s="69">
        <v>1</v>
      </c>
      <c r="G12" s="70"/>
      <c r="H12" s="69"/>
      <c r="I12" s="70"/>
      <c r="J12" s="71">
        <f t="shared" si="0"/>
        <v>0</v>
      </c>
      <c r="K12" s="71"/>
      <c r="L12" s="72"/>
      <c r="M12" s="72"/>
      <c r="O12" s="11">
        <v>14334</v>
      </c>
      <c r="P12" s="11">
        <f t="shared" ref="P12:P19" si="1">ROUND(H12*O12,0)</f>
        <v>0</v>
      </c>
      <c r="Q12" s="12"/>
      <c r="S12" s="11">
        <f t="shared" ref="S12:S19" si="2">ROUND(J12*O12,0)</f>
        <v>0</v>
      </c>
      <c r="T12" s="13">
        <f t="shared" ref="T12:T19" si="3">F12-J12</f>
        <v>1</v>
      </c>
    </row>
    <row r="13" spans="1:20" ht="24.95" customHeight="1">
      <c r="A13" s="10">
        <v>3</v>
      </c>
      <c r="B13" s="66" t="s">
        <v>84</v>
      </c>
      <c r="C13" s="67" t="s">
        <v>84</v>
      </c>
      <c r="D13" s="68" t="s">
        <v>84</v>
      </c>
      <c r="E13" s="4" t="s">
        <v>33</v>
      </c>
      <c r="F13" s="69">
        <v>1</v>
      </c>
      <c r="G13" s="70"/>
      <c r="H13" s="69"/>
      <c r="I13" s="70"/>
      <c r="J13" s="71">
        <f t="shared" si="0"/>
        <v>0</v>
      </c>
      <c r="K13" s="71"/>
      <c r="L13" s="72"/>
      <c r="M13" s="72"/>
      <c r="O13" s="11">
        <v>7000</v>
      </c>
      <c r="P13" s="11">
        <f t="shared" si="1"/>
        <v>0</v>
      </c>
      <c r="Q13" s="12"/>
      <c r="S13" s="11">
        <f t="shared" si="2"/>
        <v>0</v>
      </c>
      <c r="T13" s="13">
        <f t="shared" si="3"/>
        <v>1</v>
      </c>
    </row>
    <row r="14" spans="1:20" ht="24.95" customHeight="1">
      <c r="A14" s="10">
        <v>4</v>
      </c>
      <c r="B14" s="66" t="s">
        <v>85</v>
      </c>
      <c r="C14" s="67" t="s">
        <v>85</v>
      </c>
      <c r="D14" s="68" t="s">
        <v>85</v>
      </c>
      <c r="E14" s="4" t="s">
        <v>34</v>
      </c>
      <c r="F14" s="69">
        <v>1</v>
      </c>
      <c r="G14" s="70"/>
      <c r="H14" s="69"/>
      <c r="I14" s="70"/>
      <c r="J14" s="71">
        <f t="shared" si="0"/>
        <v>0</v>
      </c>
      <c r="K14" s="71"/>
      <c r="L14" s="72"/>
      <c r="M14" s="72"/>
      <c r="O14" s="11">
        <v>74000</v>
      </c>
      <c r="P14" s="11">
        <f t="shared" si="1"/>
        <v>0</v>
      </c>
      <c r="Q14" s="12"/>
      <c r="S14" s="11">
        <f t="shared" si="2"/>
        <v>0</v>
      </c>
      <c r="T14" s="13">
        <f t="shared" si="3"/>
        <v>1</v>
      </c>
    </row>
    <row r="15" spans="1:20" ht="24.95" customHeight="1">
      <c r="A15" s="10">
        <v>5</v>
      </c>
      <c r="B15" s="66" t="s">
        <v>86</v>
      </c>
      <c r="C15" s="67" t="s">
        <v>86</v>
      </c>
      <c r="D15" s="68" t="s">
        <v>86</v>
      </c>
      <c r="E15" s="4" t="s">
        <v>93</v>
      </c>
      <c r="F15" s="69">
        <v>396</v>
      </c>
      <c r="G15" s="70"/>
      <c r="H15" s="69"/>
      <c r="I15" s="70"/>
      <c r="J15" s="71">
        <f t="shared" si="0"/>
        <v>0</v>
      </c>
      <c r="K15" s="71"/>
      <c r="L15" s="72"/>
      <c r="M15" s="72"/>
      <c r="O15" s="11">
        <v>200</v>
      </c>
      <c r="P15" s="11">
        <f t="shared" si="1"/>
        <v>0</v>
      </c>
      <c r="Q15" s="12"/>
      <c r="S15" s="11">
        <f t="shared" si="2"/>
        <v>0</v>
      </c>
      <c r="T15" s="13">
        <f t="shared" si="3"/>
        <v>396</v>
      </c>
    </row>
    <row r="16" spans="1:20" ht="24.95" customHeight="1">
      <c r="A16" s="10">
        <v>6</v>
      </c>
      <c r="B16" s="66" t="s">
        <v>97</v>
      </c>
      <c r="C16" s="67" t="s">
        <v>87</v>
      </c>
      <c r="D16" s="68" t="s">
        <v>87</v>
      </c>
      <c r="E16" s="4" t="s">
        <v>35</v>
      </c>
      <c r="F16" s="69">
        <v>80</v>
      </c>
      <c r="G16" s="70">
        <v>183.6</v>
      </c>
      <c r="H16" s="69"/>
      <c r="I16" s="70"/>
      <c r="J16" s="69">
        <f t="shared" si="0"/>
        <v>0</v>
      </c>
      <c r="K16" s="70"/>
      <c r="L16" s="54"/>
      <c r="M16" s="59"/>
      <c r="O16" s="11">
        <v>1463</v>
      </c>
      <c r="P16" s="11">
        <f t="shared" si="1"/>
        <v>0</v>
      </c>
      <c r="S16" s="11">
        <f t="shared" si="2"/>
        <v>0</v>
      </c>
      <c r="T16" s="13">
        <f t="shared" si="3"/>
        <v>80</v>
      </c>
    </row>
    <row r="17" spans="1:20" ht="24.95" customHeight="1">
      <c r="A17" s="10">
        <v>7</v>
      </c>
      <c r="B17" s="66" t="s">
        <v>88</v>
      </c>
      <c r="C17" s="67" t="s">
        <v>88</v>
      </c>
      <c r="D17" s="68" t="s">
        <v>88</v>
      </c>
      <c r="E17" s="4" t="s">
        <v>94</v>
      </c>
      <c r="F17" s="69">
        <v>126</v>
      </c>
      <c r="G17" s="70">
        <v>19</v>
      </c>
      <c r="H17" s="69"/>
      <c r="I17" s="70"/>
      <c r="J17" s="69">
        <f t="shared" si="0"/>
        <v>0</v>
      </c>
      <c r="K17" s="70"/>
      <c r="L17" s="54"/>
      <c r="M17" s="59"/>
      <c r="O17" s="11">
        <v>6350</v>
      </c>
      <c r="P17" s="11">
        <f t="shared" si="1"/>
        <v>0</v>
      </c>
      <c r="S17" s="11">
        <f t="shared" si="2"/>
        <v>0</v>
      </c>
      <c r="T17" s="13">
        <f t="shared" si="3"/>
        <v>126</v>
      </c>
    </row>
    <row r="18" spans="1:20" ht="24.95" customHeight="1">
      <c r="A18" s="10">
        <v>8</v>
      </c>
      <c r="B18" s="66" t="s">
        <v>89</v>
      </c>
      <c r="C18" s="67" t="s">
        <v>89</v>
      </c>
      <c r="D18" s="68" t="s">
        <v>89</v>
      </c>
      <c r="E18" s="4" t="s">
        <v>95</v>
      </c>
      <c r="F18" s="69">
        <v>1</v>
      </c>
      <c r="G18" s="70">
        <v>1192</v>
      </c>
      <c r="H18" s="69"/>
      <c r="I18" s="70"/>
      <c r="J18" s="69">
        <f t="shared" si="0"/>
        <v>0</v>
      </c>
      <c r="K18" s="70"/>
      <c r="L18" s="54"/>
      <c r="M18" s="59"/>
      <c r="O18" s="11">
        <v>47600</v>
      </c>
      <c r="P18" s="11">
        <f t="shared" si="1"/>
        <v>0</v>
      </c>
      <c r="S18" s="11">
        <f t="shared" si="2"/>
        <v>0</v>
      </c>
      <c r="T18" s="13">
        <f t="shared" si="3"/>
        <v>1</v>
      </c>
    </row>
    <row r="19" spans="1:20" ht="24.95" customHeight="1">
      <c r="A19" s="10">
        <v>9</v>
      </c>
      <c r="B19" s="66" t="s">
        <v>90</v>
      </c>
      <c r="C19" s="67" t="s">
        <v>90</v>
      </c>
      <c r="D19" s="68" t="s">
        <v>90</v>
      </c>
      <c r="E19" s="4" t="s">
        <v>96</v>
      </c>
      <c r="F19" s="69">
        <v>1</v>
      </c>
      <c r="G19" s="70">
        <v>1261</v>
      </c>
      <c r="H19" s="69"/>
      <c r="I19" s="70"/>
      <c r="J19" s="69">
        <f t="shared" si="0"/>
        <v>0</v>
      </c>
      <c r="K19" s="70"/>
      <c r="L19" s="54"/>
      <c r="M19" s="59"/>
      <c r="O19" s="11">
        <v>10000</v>
      </c>
      <c r="P19" s="11">
        <f t="shared" si="1"/>
        <v>0</v>
      </c>
      <c r="S19" s="11">
        <f t="shared" si="2"/>
        <v>0</v>
      </c>
      <c r="T19" s="13">
        <f t="shared" si="3"/>
        <v>1</v>
      </c>
    </row>
    <row r="20" spans="1:20" ht="24.95" customHeight="1">
      <c r="A20" s="14"/>
      <c r="B20" s="15"/>
      <c r="C20" s="16"/>
      <c r="D20" s="17"/>
      <c r="E20" s="4"/>
      <c r="F20" s="18"/>
      <c r="G20" s="19"/>
      <c r="H20" s="105"/>
      <c r="I20" s="106"/>
      <c r="J20" s="105"/>
      <c r="K20" s="106"/>
      <c r="L20" s="54"/>
      <c r="M20" s="59"/>
      <c r="N20" s="20"/>
      <c r="P20" s="21" t="s">
        <v>37</v>
      </c>
      <c r="Q20" s="22">
        <f>SUM(P11:P19)</f>
        <v>0</v>
      </c>
      <c r="R20" s="23"/>
      <c r="S20" s="24">
        <f>SUM(S11:S19)</f>
        <v>0</v>
      </c>
      <c r="T20" s="13"/>
    </row>
    <row r="21" spans="1:20" ht="24.95" customHeight="1">
      <c r="A21" s="107"/>
      <c r="B21" s="108"/>
      <c r="C21" s="108"/>
      <c r="D21" s="109"/>
      <c r="E21" s="4"/>
      <c r="F21" s="54"/>
      <c r="G21" s="59"/>
      <c r="H21" s="72"/>
      <c r="I21" s="72"/>
      <c r="J21" s="72"/>
      <c r="K21" s="72"/>
      <c r="L21" s="72"/>
      <c r="M21" s="72"/>
      <c r="O21" t="s">
        <v>38</v>
      </c>
      <c r="P21" s="24">
        <f>Q20</f>
        <v>0</v>
      </c>
      <c r="T21" s="13"/>
    </row>
    <row r="22" spans="1:20" ht="24.95" customHeight="1">
      <c r="A22" s="97"/>
      <c r="B22" s="98"/>
      <c r="C22" s="98"/>
      <c r="D22" s="99"/>
      <c r="E22" s="4"/>
      <c r="F22" s="54"/>
      <c r="G22" s="59"/>
      <c r="H22" s="72"/>
      <c r="I22" s="72"/>
      <c r="J22" s="72"/>
      <c r="K22" s="72"/>
      <c r="L22" s="72"/>
      <c r="M22" s="72"/>
      <c r="O22" t="s">
        <v>39</v>
      </c>
      <c r="P22" s="23">
        <f>ROUND(P21/1153274,4)*100</f>
        <v>0</v>
      </c>
      <c r="T22" s="13"/>
    </row>
    <row r="23" spans="1:20" ht="24.95" customHeight="1">
      <c r="A23" s="25"/>
      <c r="B23" s="63" t="s">
        <v>40</v>
      </c>
      <c r="C23" s="63"/>
      <c r="D23" s="59"/>
      <c r="E23" s="26"/>
      <c r="F23" s="100"/>
      <c r="G23" s="101"/>
      <c r="H23" s="100"/>
      <c r="I23" s="101"/>
      <c r="J23" s="102"/>
      <c r="K23" s="102"/>
      <c r="L23" s="103">
        <f>P21</f>
        <v>0</v>
      </c>
      <c r="M23" s="104"/>
      <c r="T23" s="13"/>
    </row>
    <row r="24" spans="1:20" ht="24.95" customHeight="1" thickBot="1">
      <c r="A24" s="27"/>
      <c r="B24" s="85" t="s">
        <v>41</v>
      </c>
      <c r="C24" s="85"/>
      <c r="D24" s="86"/>
      <c r="E24" s="28"/>
      <c r="F24" s="87"/>
      <c r="G24" s="88"/>
      <c r="H24" s="87"/>
      <c r="I24" s="88"/>
      <c r="J24" s="87"/>
      <c r="K24" s="88"/>
      <c r="L24" s="89">
        <f>L23</f>
        <v>0</v>
      </c>
      <c r="M24" s="90"/>
      <c r="T24" s="13"/>
    </row>
    <row r="25" spans="1:20" ht="24.95" customHeight="1">
      <c r="A25" s="29"/>
      <c r="B25" s="91" t="s">
        <v>42</v>
      </c>
      <c r="C25" s="91"/>
      <c r="D25" s="92"/>
      <c r="E25" s="30"/>
      <c r="F25" s="93"/>
      <c r="G25" s="94"/>
      <c r="H25" s="95"/>
      <c r="I25" s="95"/>
      <c r="J25" s="95"/>
      <c r="K25" s="95"/>
      <c r="L25" s="95"/>
      <c r="M25" s="96"/>
      <c r="T25" s="13"/>
    </row>
    <row r="26" spans="1:20" ht="24.95" customHeight="1">
      <c r="A26" s="31"/>
      <c r="B26" s="76" t="s">
        <v>43</v>
      </c>
      <c r="C26" s="76"/>
      <c r="D26" s="77"/>
      <c r="E26" s="4"/>
      <c r="F26" s="54"/>
      <c r="G26" s="59"/>
      <c r="H26" s="72"/>
      <c r="I26" s="72"/>
      <c r="J26" s="72"/>
      <c r="K26" s="72"/>
      <c r="L26" s="72"/>
      <c r="M26" s="78"/>
      <c r="T26" s="13"/>
    </row>
    <row r="27" spans="1:20" ht="24.95" customHeight="1" thickBot="1">
      <c r="A27" s="32"/>
      <c r="B27" s="79" t="s">
        <v>44</v>
      </c>
      <c r="C27" s="79"/>
      <c r="D27" s="80"/>
      <c r="E27" s="33"/>
      <c r="F27" s="81"/>
      <c r="G27" s="82"/>
      <c r="H27" s="83"/>
      <c r="I27" s="83"/>
      <c r="J27" s="83"/>
      <c r="K27" s="83"/>
      <c r="L27" s="83"/>
      <c r="M27" s="84"/>
      <c r="T27" s="13"/>
    </row>
    <row r="28" spans="1:20" ht="24.95" customHeight="1">
      <c r="A28" s="73" t="s">
        <v>45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T28" s="13"/>
    </row>
    <row r="29" spans="1:20" ht="24.95" customHeight="1">
      <c r="A29" s="72" t="s">
        <v>46</v>
      </c>
      <c r="B29" s="75"/>
      <c r="C29" s="75"/>
      <c r="D29" s="75"/>
      <c r="E29" s="4" t="s">
        <v>22</v>
      </c>
      <c r="F29" s="72" t="s">
        <v>47</v>
      </c>
      <c r="G29" s="72"/>
      <c r="H29" s="72" t="s">
        <v>48</v>
      </c>
      <c r="I29" s="72"/>
      <c r="J29" s="72" t="s">
        <v>49</v>
      </c>
      <c r="K29" s="72"/>
      <c r="L29" s="72" t="s">
        <v>50</v>
      </c>
      <c r="M29" s="72"/>
      <c r="T29" s="13"/>
    </row>
    <row r="30" spans="1:20" ht="24.95" customHeight="1">
      <c r="A30" s="10">
        <v>6</v>
      </c>
      <c r="B30" s="66" t="s">
        <v>97</v>
      </c>
      <c r="C30" s="67" t="s">
        <v>51</v>
      </c>
      <c r="D30" s="68" t="s">
        <v>51</v>
      </c>
      <c r="E30" s="4" t="s">
        <v>35</v>
      </c>
      <c r="F30" s="69">
        <v>80</v>
      </c>
      <c r="G30" s="70">
        <v>1261</v>
      </c>
      <c r="H30" s="71">
        <f>H16</f>
        <v>0</v>
      </c>
      <c r="I30" s="71"/>
      <c r="J30" s="71">
        <f t="shared" ref="J30" si="4">H30</f>
        <v>0</v>
      </c>
      <c r="K30" s="71"/>
      <c r="L30" s="72"/>
      <c r="M30" s="72"/>
      <c r="T30" s="13"/>
    </row>
    <row r="31" spans="1:20" ht="24.95" customHeight="1">
      <c r="A31" s="10">
        <v>7</v>
      </c>
      <c r="B31" s="66" t="s">
        <v>88</v>
      </c>
      <c r="C31" s="67" t="s">
        <v>88</v>
      </c>
      <c r="D31" s="68" t="s">
        <v>88</v>
      </c>
      <c r="E31" s="4" t="s">
        <v>98</v>
      </c>
      <c r="F31" s="69">
        <v>126</v>
      </c>
      <c r="G31" s="70"/>
      <c r="H31" s="71">
        <f>H17</f>
        <v>0</v>
      </c>
      <c r="I31" s="71"/>
      <c r="J31" s="71">
        <f t="shared" ref="J31:J32" si="5">H31</f>
        <v>0</v>
      </c>
      <c r="K31" s="71"/>
      <c r="L31" s="72"/>
      <c r="M31" s="72"/>
      <c r="T31" s="13"/>
    </row>
    <row r="32" spans="1:20" ht="24.95" customHeight="1">
      <c r="A32" s="10">
        <v>8</v>
      </c>
      <c r="B32" s="66" t="s">
        <v>89</v>
      </c>
      <c r="C32" s="67" t="s">
        <v>89</v>
      </c>
      <c r="D32" s="68" t="s">
        <v>89</v>
      </c>
      <c r="E32" s="4" t="s">
        <v>36</v>
      </c>
      <c r="F32" s="69">
        <v>1</v>
      </c>
      <c r="G32" s="70"/>
      <c r="H32" s="71">
        <f>H18</f>
        <v>0</v>
      </c>
      <c r="I32" s="71"/>
      <c r="J32" s="71">
        <f t="shared" si="5"/>
        <v>0</v>
      </c>
      <c r="K32" s="71"/>
      <c r="L32" s="72"/>
      <c r="M32" s="72"/>
      <c r="T32" s="13"/>
    </row>
    <row r="33" spans="1:20" ht="24.95" customHeight="1">
      <c r="A33" s="51" t="s">
        <v>52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3"/>
      <c r="T33" s="13"/>
    </row>
    <row r="34" spans="1:20" ht="24.95" customHeight="1">
      <c r="A34" s="54" t="s">
        <v>53</v>
      </c>
      <c r="B34" s="63"/>
      <c r="C34" s="63"/>
      <c r="D34" s="59"/>
      <c r="E34" s="4" t="s">
        <v>54</v>
      </c>
      <c r="F34" s="54" t="s">
        <v>55</v>
      </c>
      <c r="G34" s="59"/>
      <c r="H34" s="54" t="s">
        <v>56</v>
      </c>
      <c r="I34" s="59"/>
      <c r="J34" s="54" t="s">
        <v>48</v>
      </c>
      <c r="K34" s="59"/>
      <c r="L34" s="64" t="s">
        <v>49</v>
      </c>
      <c r="M34" s="65"/>
      <c r="T34" s="13"/>
    </row>
    <row r="35" spans="1:20" ht="24.95" customHeight="1">
      <c r="A35" s="54" t="s">
        <v>57</v>
      </c>
      <c r="B35" s="55"/>
      <c r="C35" s="55"/>
      <c r="D35" s="56"/>
      <c r="E35" s="4"/>
      <c r="F35" s="57">
        <f t="shared" ref="F35:F38" si="6">E35</f>
        <v>0</v>
      </c>
      <c r="G35" s="58"/>
      <c r="H35" s="54" t="s">
        <v>58</v>
      </c>
      <c r="I35" s="59"/>
      <c r="J35" s="54"/>
      <c r="K35" s="59"/>
      <c r="L35" s="57">
        <f t="shared" ref="L35:L38" si="7">J35</f>
        <v>0</v>
      </c>
      <c r="M35" s="58"/>
      <c r="T35" s="13"/>
    </row>
    <row r="36" spans="1:20" ht="24.95" customHeight="1">
      <c r="A36" s="54" t="s">
        <v>59</v>
      </c>
      <c r="B36" s="55"/>
      <c r="C36" s="55"/>
      <c r="D36" s="56"/>
      <c r="E36" s="4"/>
      <c r="F36" s="57">
        <f t="shared" si="6"/>
        <v>0</v>
      </c>
      <c r="G36" s="58"/>
      <c r="H36" s="54" t="s">
        <v>60</v>
      </c>
      <c r="I36" s="59"/>
      <c r="J36" s="54"/>
      <c r="K36" s="59"/>
      <c r="L36" s="57">
        <f t="shared" si="7"/>
        <v>0</v>
      </c>
      <c r="M36" s="58"/>
      <c r="T36" s="13"/>
    </row>
    <row r="37" spans="1:20" ht="24.95" customHeight="1">
      <c r="A37" s="54" t="s">
        <v>61</v>
      </c>
      <c r="B37" s="55"/>
      <c r="C37" s="55"/>
      <c r="D37" s="56"/>
      <c r="E37" s="4"/>
      <c r="F37" s="57">
        <f t="shared" si="6"/>
        <v>0</v>
      </c>
      <c r="G37" s="58"/>
      <c r="H37" s="54" t="s">
        <v>62</v>
      </c>
      <c r="I37" s="59"/>
      <c r="J37" s="54"/>
      <c r="K37" s="59"/>
      <c r="L37" s="57">
        <f t="shared" si="7"/>
        <v>0</v>
      </c>
      <c r="M37" s="58"/>
      <c r="T37" s="13"/>
    </row>
    <row r="38" spans="1:20" ht="24.95" customHeight="1">
      <c r="A38" s="54" t="s">
        <v>63</v>
      </c>
      <c r="B38" s="55"/>
      <c r="C38" s="55"/>
      <c r="D38" s="56"/>
      <c r="E38" s="4"/>
      <c r="F38" s="57">
        <f t="shared" si="6"/>
        <v>0</v>
      </c>
      <c r="G38" s="58"/>
      <c r="H38" s="54" t="s">
        <v>64</v>
      </c>
      <c r="I38" s="59"/>
      <c r="J38" s="54"/>
      <c r="K38" s="59"/>
      <c r="L38" s="57">
        <f t="shared" si="7"/>
        <v>0</v>
      </c>
      <c r="M38" s="58"/>
      <c r="T38" s="13"/>
    </row>
    <row r="39" spans="1:20" ht="64.5" customHeight="1">
      <c r="A39" s="60" t="s">
        <v>65</v>
      </c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2"/>
      <c r="T39" s="13"/>
    </row>
    <row r="40" spans="1:20" ht="24.95" customHeight="1">
      <c r="A40" s="46" t="s">
        <v>66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8"/>
      <c r="T40" s="13"/>
    </row>
    <row r="41" spans="1:20" ht="24.95" customHeight="1">
      <c r="A41" s="27"/>
      <c r="B41" s="34" t="s">
        <v>67</v>
      </c>
      <c r="C41" s="34"/>
      <c r="D41" s="34"/>
      <c r="E41" s="34"/>
      <c r="F41" s="34"/>
      <c r="G41" s="35"/>
      <c r="H41" s="34"/>
      <c r="I41" s="34"/>
      <c r="J41" s="34"/>
      <c r="K41" s="34"/>
      <c r="L41" s="34"/>
      <c r="M41" s="36"/>
      <c r="T41" s="13"/>
    </row>
    <row r="42" spans="1:20" ht="24.95" customHeight="1">
      <c r="A42" s="27"/>
      <c r="B42" s="34" t="s">
        <v>81</v>
      </c>
      <c r="C42" s="34"/>
      <c r="D42" s="34"/>
      <c r="E42" s="34"/>
      <c r="F42" s="34"/>
      <c r="G42" s="35"/>
      <c r="H42" s="34"/>
      <c r="I42" s="34"/>
      <c r="J42" s="34"/>
      <c r="K42" s="34"/>
      <c r="L42" s="34"/>
      <c r="M42" s="36"/>
      <c r="T42" s="13"/>
    </row>
    <row r="43" spans="1:20" ht="24.95" customHeight="1">
      <c r="A43" s="27"/>
      <c r="B43" s="34" t="s">
        <v>68</v>
      </c>
      <c r="C43" s="34"/>
      <c r="D43" s="34"/>
      <c r="E43" s="34"/>
      <c r="F43" s="34"/>
      <c r="G43" s="35"/>
      <c r="H43" s="34"/>
      <c r="I43" s="34"/>
      <c r="J43" s="34"/>
      <c r="K43" s="34"/>
      <c r="L43" s="34"/>
      <c r="M43" s="36"/>
      <c r="T43" s="13"/>
    </row>
    <row r="44" spans="1:20" ht="24.95" customHeight="1">
      <c r="A44" s="27"/>
      <c r="B44" s="34" t="s">
        <v>82</v>
      </c>
      <c r="C44" s="34"/>
      <c r="D44" s="34"/>
      <c r="E44" s="34"/>
      <c r="F44" s="34"/>
      <c r="G44" s="35"/>
      <c r="H44" s="34"/>
      <c r="I44" s="34"/>
      <c r="J44" s="34"/>
      <c r="K44" s="34"/>
      <c r="L44" s="34"/>
      <c r="M44" s="36"/>
      <c r="T44" s="13"/>
    </row>
    <row r="45" spans="1:20" ht="24.95" customHeight="1">
      <c r="A45" s="27"/>
      <c r="B45" s="34" t="s">
        <v>99</v>
      </c>
      <c r="C45" s="34"/>
      <c r="D45" s="34"/>
      <c r="E45" s="34"/>
      <c r="F45" s="34"/>
      <c r="G45" s="35"/>
      <c r="H45" s="34"/>
      <c r="I45" s="34"/>
      <c r="J45" s="34"/>
      <c r="K45" s="34"/>
      <c r="L45" s="34"/>
      <c r="M45" s="36"/>
      <c r="T45" s="13"/>
    </row>
    <row r="46" spans="1:20" ht="24.95" customHeight="1">
      <c r="A46" s="37"/>
      <c r="B46" s="49" t="s">
        <v>69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50"/>
      <c r="T46" s="13"/>
    </row>
    <row r="47" spans="1:20" ht="44.25" customHeight="1">
      <c r="A47" s="51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3"/>
      <c r="T47" s="13"/>
    </row>
    <row r="48" spans="1:20" ht="48" customHeight="1">
      <c r="A48" s="51" t="s">
        <v>71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3"/>
      <c r="T48" s="13"/>
    </row>
    <row r="49" spans="1:20" ht="81" customHeight="1">
      <c r="A49" s="51" t="s">
        <v>102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3"/>
      <c r="T49" s="13"/>
    </row>
    <row r="50" spans="1:20" ht="100.5" customHeight="1">
      <c r="A50" s="51" t="s">
        <v>72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3"/>
      <c r="T50" s="13"/>
    </row>
    <row r="51" spans="1:20" ht="12" customHeight="1">
      <c r="A51" s="41" t="s">
        <v>73</v>
      </c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38"/>
      <c r="T51" s="13"/>
    </row>
    <row r="52" spans="1:20" ht="12" customHeight="1">
      <c r="A52" s="43" t="s">
        <v>74</v>
      </c>
      <c r="B52" s="43"/>
      <c r="C52" s="40"/>
      <c r="D52" s="40"/>
      <c r="E52" s="40"/>
      <c r="F52" s="40"/>
      <c r="G52" s="40"/>
      <c r="H52" s="40"/>
      <c r="I52" s="40"/>
      <c r="J52" s="40"/>
      <c r="K52" s="40"/>
      <c r="L52" s="38"/>
      <c r="M52" s="38"/>
      <c r="T52" s="13"/>
    </row>
    <row r="53" spans="1:20" ht="12" customHeight="1">
      <c r="A53" s="44" t="s">
        <v>75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T53" s="13"/>
    </row>
    <row r="54" spans="1:20" ht="12" customHeight="1">
      <c r="A54" s="39" t="s">
        <v>76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T54" s="13"/>
    </row>
    <row r="55" spans="1:20" ht="12" customHeight="1">
      <c r="A55" s="39" t="s">
        <v>77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T55" s="13"/>
    </row>
    <row r="56" spans="1:20" ht="12" customHeight="1">
      <c r="A56" s="45" t="s">
        <v>78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T56" s="13"/>
    </row>
    <row r="57" spans="1:20" ht="12" customHeight="1">
      <c r="A57" s="39" t="s">
        <v>79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T57" s="13"/>
    </row>
    <row r="58" spans="1:20" ht="409.5" customHeight="1"/>
    <row r="59" spans="1:20" s="2" customFormat="1" ht="35.1" customHeight="1">
      <c r="A59" s="126" t="s">
        <v>0</v>
      </c>
      <c r="B59" s="126"/>
      <c r="C59" s="1">
        <f>C1+1</f>
        <v>2</v>
      </c>
      <c r="G59" s="3"/>
    </row>
    <row r="60" spans="1:20" s="2" customFormat="1" ht="35.1" customHeight="1">
      <c r="A60" s="126" t="s">
        <v>1</v>
      </c>
      <c r="B60" s="126"/>
      <c r="C60" s="2" t="s">
        <v>2</v>
      </c>
      <c r="D60" s="2" t="s">
        <v>160</v>
      </c>
      <c r="E60" s="2" t="s">
        <v>3</v>
      </c>
      <c r="F60" s="2" t="s">
        <v>161</v>
      </c>
      <c r="G60" s="3"/>
      <c r="H60" s="127" t="s">
        <v>4</v>
      </c>
      <c r="I60" s="128"/>
      <c r="J60" s="129">
        <f>J2+1</f>
        <v>45989</v>
      </c>
      <c r="K60" s="130"/>
      <c r="L60" s="131">
        <f>J60</f>
        <v>45989</v>
      </c>
      <c r="M60" s="132"/>
    </row>
    <row r="61" spans="1:20" s="2" customFormat="1" ht="30" customHeight="1">
      <c r="A61" s="72" t="s">
        <v>5</v>
      </c>
      <c r="B61" s="114"/>
      <c r="C61" s="119" t="s">
        <v>83</v>
      </c>
      <c r="D61" s="119"/>
      <c r="E61" s="119"/>
      <c r="F61" s="119"/>
      <c r="G61" s="119"/>
      <c r="H61" s="54" t="s">
        <v>6</v>
      </c>
      <c r="I61" s="59"/>
      <c r="J61" s="120"/>
      <c r="K61" s="120"/>
      <c r="L61" s="120"/>
      <c r="M61" s="120"/>
    </row>
    <row r="62" spans="1:20" s="1" customFormat="1" ht="30" customHeight="1">
      <c r="A62" s="72" t="s">
        <v>7</v>
      </c>
      <c r="B62" s="114"/>
      <c r="C62" s="4">
        <v>50</v>
      </c>
      <c r="D62" s="4" t="s">
        <v>8</v>
      </c>
      <c r="E62" s="4" t="s">
        <v>9</v>
      </c>
      <c r="F62" s="4">
        <f>F4+1</f>
        <v>2</v>
      </c>
      <c r="G62" s="5" t="s">
        <v>8</v>
      </c>
      <c r="H62" s="4" t="s">
        <v>10</v>
      </c>
      <c r="I62" s="4">
        <f>C62-F62+L62</f>
        <v>48</v>
      </c>
      <c r="J62" s="4" t="s">
        <v>11</v>
      </c>
      <c r="K62" s="6" t="s">
        <v>12</v>
      </c>
      <c r="L62" s="7">
        <f>L4</f>
        <v>0</v>
      </c>
      <c r="M62" s="4" t="s">
        <v>8</v>
      </c>
    </row>
    <row r="63" spans="1:20" s="2" customFormat="1" ht="30" customHeight="1">
      <c r="A63" s="72" t="s">
        <v>13</v>
      </c>
      <c r="B63" s="75"/>
      <c r="C63" s="75"/>
      <c r="D63" s="121">
        <f>D5</f>
        <v>45988</v>
      </c>
      <c r="E63" s="122"/>
      <c r="F63" s="122"/>
      <c r="G63" s="123"/>
      <c r="H63" s="124" t="s">
        <v>14</v>
      </c>
      <c r="I63" s="125"/>
      <c r="J63" s="121">
        <f>J5</f>
        <v>46037</v>
      </c>
      <c r="K63" s="122"/>
      <c r="L63" s="122"/>
      <c r="M63" s="123"/>
    </row>
    <row r="64" spans="1:20" s="2" customFormat="1" ht="30" customHeight="1">
      <c r="A64" s="72" t="s">
        <v>15</v>
      </c>
      <c r="B64" s="114"/>
      <c r="C64" s="114"/>
      <c r="D64" s="72">
        <v>0.216</v>
      </c>
      <c r="E64" s="72"/>
      <c r="F64" s="72"/>
      <c r="G64" s="72"/>
      <c r="H64" s="64" t="s">
        <v>16</v>
      </c>
      <c r="I64" s="115"/>
      <c r="J64" s="116">
        <f>P80</f>
        <v>1.59</v>
      </c>
      <c r="K64" s="117"/>
      <c r="L64" s="117"/>
      <c r="M64" s="118"/>
    </row>
    <row r="65" spans="1:20" s="2" customFormat="1" ht="30" customHeight="1">
      <c r="A65" s="72" t="s">
        <v>17</v>
      </c>
      <c r="B65" s="114"/>
      <c r="C65" s="114"/>
      <c r="D65" s="72">
        <f>D64+D7</f>
        <v>0.432</v>
      </c>
      <c r="E65" s="72"/>
      <c r="F65" s="72"/>
      <c r="G65" s="72"/>
      <c r="H65" s="64" t="s">
        <v>18</v>
      </c>
      <c r="I65" s="115"/>
      <c r="J65" s="116">
        <f>J64+J7</f>
        <v>1.59</v>
      </c>
      <c r="K65" s="117"/>
      <c r="L65" s="117"/>
      <c r="M65" s="118"/>
    </row>
    <row r="66" spans="1:20" s="2" customFormat="1" ht="30" customHeight="1">
      <c r="A66" s="111" t="s">
        <v>19</v>
      </c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3"/>
    </row>
    <row r="67" spans="1:20" s="2" customFormat="1" ht="30" customHeight="1">
      <c r="A67" s="8" t="s">
        <v>20</v>
      </c>
      <c r="B67" s="72" t="s">
        <v>21</v>
      </c>
      <c r="C67" s="72"/>
      <c r="D67" s="72"/>
      <c r="E67" s="4" t="s">
        <v>22</v>
      </c>
      <c r="F67" s="54" t="s">
        <v>23</v>
      </c>
      <c r="G67" s="59"/>
      <c r="H67" s="72" t="s">
        <v>24</v>
      </c>
      <c r="I67" s="72"/>
      <c r="J67" s="72" t="s">
        <v>25</v>
      </c>
      <c r="K67" s="72"/>
      <c r="L67" s="72" t="s">
        <v>26</v>
      </c>
      <c r="M67" s="72"/>
      <c r="O67" s="1" t="s">
        <v>27</v>
      </c>
      <c r="P67" s="1" t="s">
        <v>28</v>
      </c>
      <c r="T67" s="2" t="s">
        <v>29</v>
      </c>
    </row>
    <row r="68" spans="1:20" s="2" customFormat="1" ht="24.95" customHeight="1">
      <c r="A68" s="9" t="s">
        <v>30</v>
      </c>
      <c r="B68" s="110" t="s">
        <v>31</v>
      </c>
      <c r="C68" s="110"/>
      <c r="D68" s="110"/>
      <c r="E68" s="4"/>
      <c r="F68" s="54"/>
      <c r="G68" s="59"/>
      <c r="H68" s="72"/>
      <c r="I68" s="72"/>
      <c r="J68" s="72"/>
      <c r="K68" s="72"/>
      <c r="L68" s="72"/>
      <c r="M68" s="72"/>
    </row>
    <row r="69" spans="1:20" ht="24.95" customHeight="1">
      <c r="A69" s="10">
        <v>1</v>
      </c>
      <c r="B69" s="66" t="s">
        <v>110</v>
      </c>
      <c r="C69" s="67" t="s">
        <v>91</v>
      </c>
      <c r="D69" s="68" t="s">
        <v>91</v>
      </c>
      <c r="E69" s="4" t="s">
        <v>32</v>
      </c>
      <c r="F69" s="69">
        <v>1</v>
      </c>
      <c r="G69" s="70"/>
      <c r="H69" s="69">
        <v>1</v>
      </c>
      <c r="I69" s="70"/>
      <c r="J69" s="71">
        <f>H69+J11</f>
        <v>1</v>
      </c>
      <c r="K69" s="71"/>
      <c r="L69" s="72"/>
      <c r="M69" s="72"/>
      <c r="O69" s="11">
        <v>4000</v>
      </c>
      <c r="P69" s="11">
        <f>ROUND(H69*O69,0)</f>
        <v>4000</v>
      </c>
      <c r="Q69" s="12"/>
      <c r="S69" s="11">
        <f>ROUND(J69*O69,0)</f>
        <v>4000</v>
      </c>
      <c r="T69" s="13">
        <f>F69-J69</f>
        <v>0</v>
      </c>
    </row>
    <row r="70" spans="1:20" ht="24.95" customHeight="1">
      <c r="A70" s="10">
        <v>2</v>
      </c>
      <c r="B70" s="66" t="s">
        <v>111</v>
      </c>
      <c r="C70" s="67" t="s">
        <v>92</v>
      </c>
      <c r="D70" s="68" t="s">
        <v>92</v>
      </c>
      <c r="E70" s="4" t="s">
        <v>32</v>
      </c>
      <c r="F70" s="69">
        <v>1</v>
      </c>
      <c r="G70" s="70"/>
      <c r="H70" s="69">
        <v>1</v>
      </c>
      <c r="I70" s="70"/>
      <c r="J70" s="71">
        <f t="shared" ref="J70:J77" si="8">H70+J12</f>
        <v>1</v>
      </c>
      <c r="K70" s="71"/>
      <c r="L70" s="72"/>
      <c r="M70" s="72"/>
      <c r="O70" s="11">
        <v>14334</v>
      </c>
      <c r="P70" s="11">
        <f t="shared" ref="P70:P77" si="9">ROUND(H70*O70,0)</f>
        <v>14334</v>
      </c>
      <c r="Q70" s="12"/>
      <c r="S70" s="11">
        <f t="shared" ref="S70:S77" si="10">ROUND(J70*O70,0)</f>
        <v>14334</v>
      </c>
      <c r="T70" s="13">
        <f t="shared" ref="T70:T77" si="11">F70-J70</f>
        <v>0</v>
      </c>
    </row>
    <row r="71" spans="1:20" ht="24.95" customHeight="1">
      <c r="A71" s="10">
        <v>3</v>
      </c>
      <c r="B71" s="66" t="s">
        <v>84</v>
      </c>
      <c r="C71" s="67" t="s">
        <v>84</v>
      </c>
      <c r="D71" s="68" t="s">
        <v>84</v>
      </c>
      <c r="E71" s="4" t="s">
        <v>33</v>
      </c>
      <c r="F71" s="69">
        <v>1</v>
      </c>
      <c r="G71" s="70"/>
      <c r="H71" s="69"/>
      <c r="I71" s="70"/>
      <c r="J71" s="71">
        <f t="shared" si="8"/>
        <v>0</v>
      </c>
      <c r="K71" s="71"/>
      <c r="L71" s="72"/>
      <c r="M71" s="72"/>
      <c r="O71" s="11">
        <v>7000</v>
      </c>
      <c r="P71" s="11">
        <f t="shared" si="9"/>
        <v>0</v>
      </c>
      <c r="Q71" s="12"/>
      <c r="S71" s="11">
        <f t="shared" si="10"/>
        <v>0</v>
      </c>
      <c r="T71" s="13">
        <f t="shared" si="11"/>
        <v>1</v>
      </c>
    </row>
    <row r="72" spans="1:20" ht="24.95" customHeight="1">
      <c r="A72" s="10">
        <v>4</v>
      </c>
      <c r="B72" s="66" t="s">
        <v>85</v>
      </c>
      <c r="C72" s="67" t="s">
        <v>85</v>
      </c>
      <c r="D72" s="68" t="s">
        <v>85</v>
      </c>
      <c r="E72" s="4" t="s">
        <v>34</v>
      </c>
      <c r="F72" s="69">
        <v>1</v>
      </c>
      <c r="G72" s="70"/>
      <c r="H72" s="69"/>
      <c r="I72" s="70"/>
      <c r="J72" s="71">
        <f t="shared" si="8"/>
        <v>0</v>
      </c>
      <c r="K72" s="71"/>
      <c r="L72" s="72"/>
      <c r="M72" s="72"/>
      <c r="O72" s="11">
        <v>74000</v>
      </c>
      <c r="P72" s="11">
        <f t="shared" si="9"/>
        <v>0</v>
      </c>
      <c r="Q72" s="12"/>
      <c r="S72" s="11">
        <f t="shared" si="10"/>
        <v>0</v>
      </c>
      <c r="T72" s="13">
        <f t="shared" si="11"/>
        <v>1</v>
      </c>
    </row>
    <row r="73" spans="1:20" ht="24.95" customHeight="1">
      <c r="A73" s="10">
        <v>5</v>
      </c>
      <c r="B73" s="66" t="s">
        <v>86</v>
      </c>
      <c r="C73" s="67" t="s">
        <v>86</v>
      </c>
      <c r="D73" s="68" t="s">
        <v>86</v>
      </c>
      <c r="E73" s="4" t="s">
        <v>93</v>
      </c>
      <c r="F73" s="69">
        <v>396</v>
      </c>
      <c r="G73" s="70"/>
      <c r="H73" s="69"/>
      <c r="I73" s="70"/>
      <c r="J73" s="71">
        <f t="shared" si="8"/>
        <v>0</v>
      </c>
      <c r="K73" s="71"/>
      <c r="L73" s="72"/>
      <c r="M73" s="72"/>
      <c r="O73" s="11">
        <v>200</v>
      </c>
      <c r="P73" s="11">
        <f t="shared" si="9"/>
        <v>0</v>
      </c>
      <c r="Q73" s="12"/>
      <c r="S73" s="11">
        <f t="shared" si="10"/>
        <v>0</v>
      </c>
      <c r="T73" s="13">
        <f t="shared" si="11"/>
        <v>396</v>
      </c>
    </row>
    <row r="74" spans="1:20" ht="24.95" customHeight="1">
      <c r="A74" s="10">
        <v>6</v>
      </c>
      <c r="B74" s="66" t="s">
        <v>97</v>
      </c>
      <c r="C74" s="67" t="s">
        <v>87</v>
      </c>
      <c r="D74" s="68" t="s">
        <v>87</v>
      </c>
      <c r="E74" s="4" t="s">
        <v>35</v>
      </c>
      <c r="F74" s="69">
        <v>80</v>
      </c>
      <c r="G74" s="70">
        <v>183.6</v>
      </c>
      <c r="H74" s="69"/>
      <c r="I74" s="70"/>
      <c r="J74" s="71">
        <f t="shared" si="8"/>
        <v>0</v>
      </c>
      <c r="K74" s="71"/>
      <c r="L74" s="54"/>
      <c r="M74" s="59"/>
      <c r="O74" s="11">
        <v>1463</v>
      </c>
      <c r="P74" s="11">
        <f t="shared" si="9"/>
        <v>0</v>
      </c>
      <c r="S74" s="11">
        <f t="shared" si="10"/>
        <v>0</v>
      </c>
      <c r="T74" s="13">
        <f t="shared" si="11"/>
        <v>80</v>
      </c>
    </row>
    <row r="75" spans="1:20" ht="24.95" customHeight="1">
      <c r="A75" s="10">
        <v>7</v>
      </c>
      <c r="B75" s="66" t="s">
        <v>88</v>
      </c>
      <c r="C75" s="67" t="s">
        <v>88</v>
      </c>
      <c r="D75" s="68" t="s">
        <v>88</v>
      </c>
      <c r="E75" s="4" t="s">
        <v>94</v>
      </c>
      <c r="F75" s="69">
        <v>126</v>
      </c>
      <c r="G75" s="70">
        <v>19</v>
      </c>
      <c r="H75" s="69"/>
      <c r="I75" s="70"/>
      <c r="J75" s="71">
        <f t="shared" si="8"/>
        <v>0</v>
      </c>
      <c r="K75" s="71"/>
      <c r="L75" s="54"/>
      <c r="M75" s="59"/>
      <c r="O75" s="11">
        <v>6350</v>
      </c>
      <c r="P75" s="11">
        <f t="shared" si="9"/>
        <v>0</v>
      </c>
      <c r="S75" s="11">
        <f t="shared" si="10"/>
        <v>0</v>
      </c>
      <c r="T75" s="13">
        <f t="shared" si="11"/>
        <v>126</v>
      </c>
    </row>
    <row r="76" spans="1:20" ht="24.95" customHeight="1">
      <c r="A76" s="10">
        <v>8</v>
      </c>
      <c r="B76" s="66" t="s">
        <v>89</v>
      </c>
      <c r="C76" s="67" t="s">
        <v>89</v>
      </c>
      <c r="D76" s="68" t="s">
        <v>89</v>
      </c>
      <c r="E76" s="4" t="s">
        <v>95</v>
      </c>
      <c r="F76" s="69">
        <v>1</v>
      </c>
      <c r="G76" s="70">
        <v>1192</v>
      </c>
      <c r="H76" s="69"/>
      <c r="I76" s="70"/>
      <c r="J76" s="71">
        <f t="shared" si="8"/>
        <v>0</v>
      </c>
      <c r="K76" s="71"/>
      <c r="L76" s="54"/>
      <c r="M76" s="59"/>
      <c r="O76" s="11">
        <v>47600</v>
      </c>
      <c r="P76" s="11">
        <f t="shared" si="9"/>
        <v>0</v>
      </c>
      <c r="S76" s="11">
        <f t="shared" si="10"/>
        <v>0</v>
      </c>
      <c r="T76" s="13">
        <f t="shared" si="11"/>
        <v>1</v>
      </c>
    </row>
    <row r="77" spans="1:20" ht="24.95" customHeight="1">
      <c r="A77" s="10">
        <v>9</v>
      </c>
      <c r="B77" s="66" t="s">
        <v>90</v>
      </c>
      <c r="C77" s="67" t="s">
        <v>90</v>
      </c>
      <c r="D77" s="68" t="s">
        <v>90</v>
      </c>
      <c r="E77" s="4" t="s">
        <v>96</v>
      </c>
      <c r="F77" s="69">
        <v>1</v>
      </c>
      <c r="G77" s="70">
        <v>1261</v>
      </c>
      <c r="H77" s="69"/>
      <c r="I77" s="70"/>
      <c r="J77" s="71">
        <f t="shared" si="8"/>
        <v>0</v>
      </c>
      <c r="K77" s="71"/>
      <c r="L77" s="54"/>
      <c r="M77" s="59"/>
      <c r="O77" s="11">
        <v>10000</v>
      </c>
      <c r="P77" s="11">
        <f t="shared" si="9"/>
        <v>0</v>
      </c>
      <c r="S77" s="11">
        <f t="shared" si="10"/>
        <v>0</v>
      </c>
      <c r="T77" s="13">
        <f t="shared" si="11"/>
        <v>1</v>
      </c>
    </row>
    <row r="78" spans="1:20" ht="24.95" customHeight="1">
      <c r="A78" s="14"/>
      <c r="B78" s="15"/>
      <c r="C78" s="16"/>
      <c r="D78" s="17"/>
      <c r="E78" s="4"/>
      <c r="F78" s="18"/>
      <c r="G78" s="19"/>
      <c r="H78" s="105"/>
      <c r="I78" s="106"/>
      <c r="J78" s="105"/>
      <c r="K78" s="106"/>
      <c r="L78" s="54"/>
      <c r="M78" s="59"/>
      <c r="N78" s="20"/>
      <c r="P78" s="21" t="s">
        <v>37</v>
      </c>
      <c r="Q78" s="22">
        <f>SUM(P69:P77)</f>
        <v>18334</v>
      </c>
      <c r="R78" s="23"/>
      <c r="S78" s="24">
        <f>SUM(S69:S77)</f>
        <v>18334</v>
      </c>
      <c r="T78" s="13"/>
    </row>
    <row r="79" spans="1:20" ht="24.95" customHeight="1">
      <c r="A79" s="107"/>
      <c r="B79" s="108"/>
      <c r="C79" s="108"/>
      <c r="D79" s="109"/>
      <c r="E79" s="4"/>
      <c r="F79" s="54"/>
      <c r="G79" s="59"/>
      <c r="H79" s="72"/>
      <c r="I79" s="72"/>
      <c r="J79" s="72"/>
      <c r="K79" s="72"/>
      <c r="L79" s="72"/>
      <c r="M79" s="72"/>
      <c r="O79" t="s">
        <v>38</v>
      </c>
      <c r="P79" s="24">
        <f>Q78</f>
        <v>18334</v>
      </c>
      <c r="T79" s="13"/>
    </row>
    <row r="80" spans="1:20" ht="24.95" customHeight="1">
      <c r="A80" s="97"/>
      <c r="B80" s="98"/>
      <c r="C80" s="98"/>
      <c r="D80" s="99"/>
      <c r="E80" s="4"/>
      <c r="F80" s="54"/>
      <c r="G80" s="59"/>
      <c r="H80" s="72"/>
      <c r="I80" s="72"/>
      <c r="J80" s="72"/>
      <c r="K80" s="72"/>
      <c r="L80" s="72"/>
      <c r="M80" s="72"/>
      <c r="O80" t="s">
        <v>39</v>
      </c>
      <c r="P80" s="23">
        <f>ROUND(P79/1153274,4)*100</f>
        <v>1.59</v>
      </c>
      <c r="T80" s="13"/>
    </row>
    <row r="81" spans="1:20" ht="24.95" customHeight="1">
      <c r="A81" s="25"/>
      <c r="B81" s="63" t="s">
        <v>40</v>
      </c>
      <c r="C81" s="63"/>
      <c r="D81" s="59"/>
      <c r="E81" s="26"/>
      <c r="F81" s="100"/>
      <c r="G81" s="101"/>
      <c r="H81" s="100"/>
      <c r="I81" s="101"/>
      <c r="J81" s="102"/>
      <c r="K81" s="102"/>
      <c r="L81" s="103">
        <f>P79</f>
        <v>18334</v>
      </c>
      <c r="M81" s="104"/>
      <c r="T81" s="13"/>
    </row>
    <row r="82" spans="1:20" ht="24.95" customHeight="1" thickBot="1">
      <c r="A82" s="27"/>
      <c r="B82" s="85" t="s">
        <v>41</v>
      </c>
      <c r="C82" s="85"/>
      <c r="D82" s="86"/>
      <c r="E82" s="28"/>
      <c r="F82" s="87"/>
      <c r="G82" s="88"/>
      <c r="H82" s="87"/>
      <c r="I82" s="88"/>
      <c r="J82" s="87"/>
      <c r="K82" s="88"/>
      <c r="L82" s="89">
        <f>L81+L24</f>
        <v>18334</v>
      </c>
      <c r="M82" s="90"/>
      <c r="T82" s="13"/>
    </row>
    <row r="83" spans="1:20" ht="24.95" customHeight="1">
      <c r="A83" s="29"/>
      <c r="B83" s="91" t="s">
        <v>42</v>
      </c>
      <c r="C83" s="91"/>
      <c r="D83" s="92"/>
      <c r="E83" s="30"/>
      <c r="F83" s="93"/>
      <c r="G83" s="94"/>
      <c r="H83" s="95"/>
      <c r="I83" s="95"/>
      <c r="J83" s="95"/>
      <c r="K83" s="95"/>
      <c r="L83" s="95"/>
      <c r="M83" s="96"/>
      <c r="T83" s="13"/>
    </row>
    <row r="84" spans="1:20" ht="24.95" customHeight="1">
      <c r="A84" s="31"/>
      <c r="B84" s="76" t="s">
        <v>43</v>
      </c>
      <c r="C84" s="76"/>
      <c r="D84" s="77"/>
      <c r="E84" s="4"/>
      <c r="F84" s="54"/>
      <c r="G84" s="59"/>
      <c r="H84" s="72"/>
      <c r="I84" s="72"/>
      <c r="J84" s="72"/>
      <c r="K84" s="72"/>
      <c r="L84" s="72"/>
      <c r="M84" s="78"/>
      <c r="T84" s="13"/>
    </row>
    <row r="85" spans="1:20" ht="24.95" customHeight="1" thickBot="1">
      <c r="A85" s="32"/>
      <c r="B85" s="79" t="s">
        <v>44</v>
      </c>
      <c r="C85" s="79"/>
      <c r="D85" s="80"/>
      <c r="E85" s="33"/>
      <c r="F85" s="81"/>
      <c r="G85" s="82"/>
      <c r="H85" s="83"/>
      <c r="I85" s="83"/>
      <c r="J85" s="83"/>
      <c r="K85" s="83"/>
      <c r="L85" s="83"/>
      <c r="M85" s="84"/>
      <c r="T85" s="13"/>
    </row>
    <row r="86" spans="1:20" ht="24.95" customHeight="1">
      <c r="A86" s="73" t="s">
        <v>45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T86" s="13"/>
    </row>
    <row r="87" spans="1:20" ht="24.95" customHeight="1">
      <c r="A87" s="72" t="s">
        <v>46</v>
      </c>
      <c r="B87" s="75"/>
      <c r="C87" s="75"/>
      <c r="D87" s="75"/>
      <c r="E87" s="4" t="s">
        <v>22</v>
      </c>
      <c r="F87" s="72" t="s">
        <v>47</v>
      </c>
      <c r="G87" s="72"/>
      <c r="H87" s="72" t="s">
        <v>48</v>
      </c>
      <c r="I87" s="72"/>
      <c r="J87" s="72" t="s">
        <v>49</v>
      </c>
      <c r="K87" s="72"/>
      <c r="L87" s="72" t="s">
        <v>50</v>
      </c>
      <c r="M87" s="72"/>
      <c r="T87" s="13"/>
    </row>
    <row r="88" spans="1:20" ht="24.95" customHeight="1">
      <c r="A88" s="10">
        <v>6</v>
      </c>
      <c r="B88" s="66" t="s">
        <v>97</v>
      </c>
      <c r="C88" s="67" t="s">
        <v>51</v>
      </c>
      <c r="D88" s="68" t="s">
        <v>51</v>
      </c>
      <c r="E88" s="4" t="s">
        <v>35</v>
      </c>
      <c r="F88" s="69">
        <v>80</v>
      </c>
      <c r="G88" s="70">
        <v>1261</v>
      </c>
      <c r="H88" s="71">
        <f>H74</f>
        <v>0</v>
      </c>
      <c r="I88" s="71"/>
      <c r="J88" s="71">
        <f>H88+J30</f>
        <v>0</v>
      </c>
      <c r="K88" s="71"/>
      <c r="L88" s="72"/>
      <c r="M88" s="72"/>
      <c r="T88" s="13"/>
    </row>
    <row r="89" spans="1:20" ht="24.95" customHeight="1">
      <c r="A89" s="10">
        <v>7</v>
      </c>
      <c r="B89" s="66" t="s">
        <v>88</v>
      </c>
      <c r="C89" s="67" t="s">
        <v>88</v>
      </c>
      <c r="D89" s="68" t="s">
        <v>88</v>
      </c>
      <c r="E89" s="4" t="s">
        <v>98</v>
      </c>
      <c r="F89" s="69">
        <v>126</v>
      </c>
      <c r="G89" s="70"/>
      <c r="H89" s="71">
        <f>H75</f>
        <v>0</v>
      </c>
      <c r="I89" s="71"/>
      <c r="J89" s="71">
        <f t="shared" ref="J89:J90" si="12">H89+J31</f>
        <v>0</v>
      </c>
      <c r="K89" s="71"/>
      <c r="L89" s="72"/>
      <c r="M89" s="72"/>
      <c r="T89" s="13"/>
    </row>
    <row r="90" spans="1:20" ht="24.95" customHeight="1">
      <c r="A90" s="10">
        <v>8</v>
      </c>
      <c r="B90" s="66" t="s">
        <v>89</v>
      </c>
      <c r="C90" s="67" t="s">
        <v>89</v>
      </c>
      <c r="D90" s="68" t="s">
        <v>89</v>
      </c>
      <c r="E90" s="4" t="s">
        <v>36</v>
      </c>
      <c r="F90" s="69">
        <v>1</v>
      </c>
      <c r="G90" s="70"/>
      <c r="H90" s="71">
        <f>H76</f>
        <v>0</v>
      </c>
      <c r="I90" s="71"/>
      <c r="J90" s="71">
        <f t="shared" si="12"/>
        <v>0</v>
      </c>
      <c r="K90" s="71"/>
      <c r="L90" s="72"/>
      <c r="M90" s="72"/>
      <c r="T90" s="13"/>
    </row>
    <row r="91" spans="1:20" ht="24.95" customHeight="1">
      <c r="A91" s="51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3"/>
      <c r="T91" s="13"/>
    </row>
    <row r="92" spans="1:20" ht="24.95" customHeight="1">
      <c r="A92" s="54" t="s">
        <v>53</v>
      </c>
      <c r="B92" s="63"/>
      <c r="C92" s="63"/>
      <c r="D92" s="59"/>
      <c r="E92" s="4" t="s">
        <v>54</v>
      </c>
      <c r="F92" s="54" t="s">
        <v>55</v>
      </c>
      <c r="G92" s="59"/>
      <c r="H92" s="54" t="s">
        <v>56</v>
      </c>
      <c r="I92" s="59"/>
      <c r="J92" s="54" t="s">
        <v>48</v>
      </c>
      <c r="K92" s="59"/>
      <c r="L92" s="64" t="s">
        <v>49</v>
      </c>
      <c r="M92" s="65"/>
      <c r="T92" s="13"/>
    </row>
    <row r="93" spans="1:20" ht="24.95" customHeight="1">
      <c r="A93" s="54" t="s">
        <v>57</v>
      </c>
      <c r="B93" s="55"/>
      <c r="C93" s="55"/>
      <c r="D93" s="56"/>
      <c r="E93" s="4">
        <v>2</v>
      </c>
      <c r="F93" s="57">
        <f>E93+F35</f>
        <v>2</v>
      </c>
      <c r="G93" s="58"/>
      <c r="H93" s="54" t="s">
        <v>58</v>
      </c>
      <c r="I93" s="59"/>
      <c r="J93" s="54">
        <v>1</v>
      </c>
      <c r="K93" s="59"/>
      <c r="L93" s="57">
        <f>J93+L35</f>
        <v>1</v>
      </c>
      <c r="M93" s="58"/>
      <c r="T93" s="13"/>
    </row>
    <row r="94" spans="1:20" ht="24.95" customHeight="1">
      <c r="A94" s="54" t="s">
        <v>59</v>
      </c>
      <c r="B94" s="55"/>
      <c r="C94" s="55"/>
      <c r="D94" s="56"/>
      <c r="E94" s="4"/>
      <c r="F94" s="57">
        <f t="shared" ref="F94:F96" si="13">E94+F36</f>
        <v>0</v>
      </c>
      <c r="G94" s="58"/>
      <c r="H94" s="54" t="s">
        <v>60</v>
      </c>
      <c r="I94" s="59"/>
      <c r="J94" s="54"/>
      <c r="K94" s="59"/>
      <c r="L94" s="57">
        <f t="shared" ref="L94:L96" si="14">J94+L36</f>
        <v>0</v>
      </c>
      <c r="M94" s="58"/>
      <c r="T94" s="13"/>
    </row>
    <row r="95" spans="1:20" ht="24.95" customHeight="1">
      <c r="A95" s="54" t="s">
        <v>61</v>
      </c>
      <c r="B95" s="55"/>
      <c r="C95" s="55"/>
      <c r="D95" s="56"/>
      <c r="E95" s="4"/>
      <c r="F95" s="57">
        <f t="shared" si="13"/>
        <v>0</v>
      </c>
      <c r="G95" s="58"/>
      <c r="H95" s="54" t="s">
        <v>62</v>
      </c>
      <c r="I95" s="59"/>
      <c r="J95" s="54"/>
      <c r="K95" s="59"/>
      <c r="L95" s="57">
        <f t="shared" si="14"/>
        <v>0</v>
      </c>
      <c r="M95" s="58"/>
      <c r="T95" s="13"/>
    </row>
    <row r="96" spans="1:20" ht="24.95" customHeight="1">
      <c r="A96" s="54" t="s">
        <v>63</v>
      </c>
      <c r="B96" s="55"/>
      <c r="C96" s="55"/>
      <c r="D96" s="56"/>
      <c r="E96" s="4"/>
      <c r="F96" s="57">
        <f t="shared" si="13"/>
        <v>0</v>
      </c>
      <c r="G96" s="58"/>
      <c r="H96" s="54" t="s">
        <v>64</v>
      </c>
      <c r="I96" s="59"/>
      <c r="J96" s="54"/>
      <c r="K96" s="59"/>
      <c r="L96" s="57">
        <f t="shared" si="14"/>
        <v>0</v>
      </c>
      <c r="M96" s="58"/>
      <c r="T96" s="13"/>
    </row>
    <row r="97" spans="1:20" ht="64.5" customHeight="1">
      <c r="A97" s="60" t="s">
        <v>65</v>
      </c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2"/>
      <c r="T97" s="13"/>
    </row>
    <row r="98" spans="1:20" ht="24.95" customHeight="1">
      <c r="A98" s="46" t="s">
        <v>66</v>
      </c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8"/>
      <c r="T98" s="13"/>
    </row>
    <row r="99" spans="1:20" ht="24.95" customHeight="1">
      <c r="A99" s="27"/>
      <c r="B99" s="34" t="s">
        <v>67</v>
      </c>
      <c r="C99" s="34"/>
      <c r="D99" s="34"/>
      <c r="E99" s="34"/>
      <c r="F99" s="34"/>
      <c r="G99" s="35"/>
      <c r="H99" s="34"/>
      <c r="I99" s="34"/>
      <c r="J99" s="34"/>
      <c r="K99" s="34"/>
      <c r="L99" s="34"/>
      <c r="M99" s="36"/>
      <c r="T99" s="13"/>
    </row>
    <row r="100" spans="1:20" ht="24.95" customHeight="1">
      <c r="A100" s="27"/>
      <c r="B100" s="34" t="s">
        <v>133</v>
      </c>
      <c r="C100" s="34"/>
      <c r="D100" s="34"/>
      <c r="E100" s="34"/>
      <c r="F100" s="34"/>
      <c r="G100" s="35"/>
      <c r="H100" s="34"/>
      <c r="I100" s="34"/>
      <c r="J100" s="34"/>
      <c r="K100" s="34"/>
      <c r="L100" s="34"/>
      <c r="M100" s="36"/>
      <c r="T100" s="13"/>
    </row>
    <row r="101" spans="1:20" ht="24.95" customHeight="1">
      <c r="A101" s="27"/>
      <c r="B101" s="34" t="s">
        <v>68</v>
      </c>
      <c r="C101" s="34"/>
      <c r="D101" s="34"/>
      <c r="E101" s="34"/>
      <c r="F101" s="34"/>
      <c r="G101" s="35"/>
      <c r="H101" s="34"/>
      <c r="I101" s="34"/>
      <c r="J101" s="34"/>
      <c r="K101" s="34"/>
      <c r="L101" s="34"/>
      <c r="M101" s="36"/>
      <c r="T101" s="13"/>
    </row>
    <row r="102" spans="1:20" ht="24.95" customHeight="1">
      <c r="A102" s="27"/>
      <c r="B102" s="34" t="s">
        <v>134</v>
      </c>
      <c r="C102" s="34"/>
      <c r="D102" s="34"/>
      <c r="E102" s="34"/>
      <c r="F102" s="34"/>
      <c r="G102" s="35"/>
      <c r="H102" s="34"/>
      <c r="I102" s="34"/>
      <c r="J102" s="34"/>
      <c r="K102" s="34"/>
      <c r="L102" s="34"/>
      <c r="M102" s="36"/>
      <c r="T102" s="13"/>
    </row>
    <row r="103" spans="1:20" ht="24.95" customHeight="1">
      <c r="A103" s="27"/>
      <c r="B103" s="34" t="s">
        <v>135</v>
      </c>
      <c r="C103" s="34"/>
      <c r="D103" s="34"/>
      <c r="E103" s="34"/>
      <c r="F103" s="34"/>
      <c r="G103" s="35"/>
      <c r="H103" s="34"/>
      <c r="I103" s="34"/>
      <c r="J103" s="34"/>
      <c r="K103" s="34"/>
      <c r="L103" s="34"/>
      <c r="M103" s="36"/>
      <c r="T103" s="13"/>
    </row>
    <row r="104" spans="1:20" ht="24.95" customHeight="1">
      <c r="A104" s="37"/>
      <c r="B104" s="49" t="s">
        <v>69</v>
      </c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50"/>
      <c r="T104" s="13"/>
    </row>
    <row r="105" spans="1:20" ht="44.25" customHeight="1">
      <c r="A105" s="51" t="s">
        <v>70</v>
      </c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3"/>
      <c r="T105" s="13"/>
    </row>
    <row r="106" spans="1:20" ht="48" customHeight="1">
      <c r="A106" s="51" t="s">
        <v>71</v>
      </c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3"/>
      <c r="T106" s="13"/>
    </row>
    <row r="107" spans="1:20" ht="81" customHeight="1">
      <c r="A107" s="51" t="s">
        <v>112</v>
      </c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3"/>
      <c r="T107" s="13"/>
    </row>
    <row r="108" spans="1:20" ht="100.5" customHeight="1">
      <c r="A108" s="51" t="s">
        <v>72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3"/>
      <c r="T108" s="13"/>
    </row>
    <row r="109" spans="1:20" ht="12" customHeight="1">
      <c r="A109" s="41" t="s">
        <v>73</v>
      </c>
      <c r="B109" s="41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38"/>
      <c r="T109" s="13"/>
    </row>
    <row r="110" spans="1:20" ht="12" customHeight="1">
      <c r="A110" s="43" t="s">
        <v>74</v>
      </c>
      <c r="B110" s="43"/>
      <c r="C110" s="40"/>
      <c r="D110" s="40"/>
      <c r="E110" s="40"/>
      <c r="F110" s="40"/>
      <c r="G110" s="40"/>
      <c r="H110" s="40"/>
      <c r="I110" s="40"/>
      <c r="J110" s="40"/>
      <c r="K110" s="40"/>
      <c r="L110" s="38"/>
      <c r="M110" s="38"/>
      <c r="T110" s="13"/>
    </row>
    <row r="111" spans="1:20" ht="12" customHeight="1">
      <c r="A111" s="44" t="s">
        <v>75</v>
      </c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T111" s="13"/>
    </row>
    <row r="112" spans="1:20" ht="12" customHeight="1">
      <c r="A112" s="39" t="s">
        <v>76</v>
      </c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T112" s="13"/>
    </row>
    <row r="113" spans="1:20" ht="12" customHeight="1">
      <c r="A113" s="39" t="s">
        <v>77</v>
      </c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T113" s="13"/>
    </row>
    <row r="114" spans="1:20" ht="12" customHeight="1">
      <c r="A114" s="45" t="s">
        <v>78</v>
      </c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T114" s="13"/>
    </row>
    <row r="115" spans="1:20" ht="12" customHeight="1">
      <c r="A115" s="39" t="s">
        <v>79</v>
      </c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T115" s="13"/>
    </row>
    <row r="116" spans="1:20" ht="409.5" customHeight="1"/>
    <row r="117" spans="1:20" s="2" customFormat="1" ht="35.1" customHeight="1">
      <c r="A117" s="126" t="s">
        <v>0</v>
      </c>
      <c r="B117" s="126"/>
      <c r="C117" s="1">
        <f>C59+1</f>
        <v>3</v>
      </c>
      <c r="G117" s="3"/>
    </row>
    <row r="118" spans="1:20" s="2" customFormat="1" ht="35.1" customHeight="1">
      <c r="A118" s="126" t="s">
        <v>1</v>
      </c>
      <c r="B118" s="126"/>
      <c r="C118" s="2" t="s">
        <v>2</v>
      </c>
      <c r="D118" s="2" t="s">
        <v>113</v>
      </c>
      <c r="E118" s="2" t="s">
        <v>3</v>
      </c>
      <c r="F118" s="2" t="s">
        <v>114</v>
      </c>
      <c r="G118" s="3"/>
      <c r="H118" s="127" t="s">
        <v>4</v>
      </c>
      <c r="I118" s="128"/>
      <c r="J118" s="129">
        <f>J60+1</f>
        <v>45990</v>
      </c>
      <c r="K118" s="130"/>
      <c r="L118" s="131">
        <f>J118</f>
        <v>45990</v>
      </c>
      <c r="M118" s="132"/>
    </row>
    <row r="119" spans="1:20" s="2" customFormat="1" ht="30" customHeight="1">
      <c r="A119" s="72" t="s">
        <v>5</v>
      </c>
      <c r="B119" s="114"/>
      <c r="C119" s="119" t="s">
        <v>83</v>
      </c>
      <c r="D119" s="119"/>
      <c r="E119" s="119"/>
      <c r="F119" s="119"/>
      <c r="G119" s="119"/>
      <c r="H119" s="54" t="s">
        <v>6</v>
      </c>
      <c r="I119" s="59"/>
      <c r="J119" s="120"/>
      <c r="K119" s="120"/>
      <c r="L119" s="120"/>
      <c r="M119" s="120"/>
    </row>
    <row r="120" spans="1:20" s="1" customFormat="1" ht="30" customHeight="1">
      <c r="A120" s="72" t="s">
        <v>7</v>
      </c>
      <c r="B120" s="114"/>
      <c r="C120" s="4">
        <v>50</v>
      </c>
      <c r="D120" s="4" t="s">
        <v>8</v>
      </c>
      <c r="E120" s="4" t="s">
        <v>9</v>
      </c>
      <c r="F120" s="4">
        <f>F62+1</f>
        <v>3</v>
      </c>
      <c r="G120" s="5" t="s">
        <v>8</v>
      </c>
      <c r="H120" s="4" t="s">
        <v>10</v>
      </c>
      <c r="I120" s="4">
        <f>C120-F120+L120</f>
        <v>47</v>
      </c>
      <c r="J120" s="4" t="s">
        <v>11</v>
      </c>
      <c r="K120" s="6" t="s">
        <v>12</v>
      </c>
      <c r="L120" s="7">
        <f>L62</f>
        <v>0</v>
      </c>
      <c r="M120" s="4" t="s">
        <v>8</v>
      </c>
    </row>
    <row r="121" spans="1:20" s="2" customFormat="1" ht="30" customHeight="1">
      <c r="A121" s="72" t="s">
        <v>13</v>
      </c>
      <c r="B121" s="75"/>
      <c r="C121" s="75"/>
      <c r="D121" s="121">
        <f>D63</f>
        <v>45988</v>
      </c>
      <c r="E121" s="122"/>
      <c r="F121" s="122"/>
      <c r="G121" s="123"/>
      <c r="H121" s="124" t="s">
        <v>14</v>
      </c>
      <c r="I121" s="125"/>
      <c r="J121" s="121">
        <f>J63</f>
        <v>46037</v>
      </c>
      <c r="K121" s="122"/>
      <c r="L121" s="122"/>
      <c r="M121" s="123"/>
    </row>
    <row r="122" spans="1:20" s="2" customFormat="1" ht="30" customHeight="1">
      <c r="A122" s="72" t="s">
        <v>15</v>
      </c>
      <c r="B122" s="114"/>
      <c r="C122" s="114"/>
      <c r="D122" s="72">
        <v>0.45400000000000001</v>
      </c>
      <c r="E122" s="72"/>
      <c r="F122" s="72"/>
      <c r="G122" s="72"/>
      <c r="H122" s="64" t="s">
        <v>16</v>
      </c>
      <c r="I122" s="115"/>
      <c r="J122" s="116">
        <f>P138</f>
        <v>1.73</v>
      </c>
      <c r="K122" s="117"/>
      <c r="L122" s="117"/>
      <c r="M122" s="118"/>
    </row>
    <row r="123" spans="1:20" s="2" customFormat="1" ht="30" customHeight="1">
      <c r="A123" s="72" t="s">
        <v>17</v>
      </c>
      <c r="B123" s="114"/>
      <c r="C123" s="114"/>
      <c r="D123" s="72">
        <f>D122+D65</f>
        <v>0.88600000000000001</v>
      </c>
      <c r="E123" s="72"/>
      <c r="F123" s="72"/>
      <c r="G123" s="72"/>
      <c r="H123" s="64" t="s">
        <v>18</v>
      </c>
      <c r="I123" s="115"/>
      <c r="J123" s="116">
        <f>J122+J65</f>
        <v>3.3200000000000003</v>
      </c>
      <c r="K123" s="117"/>
      <c r="L123" s="117"/>
      <c r="M123" s="118"/>
    </row>
    <row r="124" spans="1:20" s="2" customFormat="1" ht="30" customHeight="1">
      <c r="A124" s="111" t="s">
        <v>19</v>
      </c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3"/>
    </row>
    <row r="125" spans="1:20" s="2" customFormat="1" ht="30" customHeight="1">
      <c r="A125" s="8" t="s">
        <v>20</v>
      </c>
      <c r="B125" s="72" t="s">
        <v>21</v>
      </c>
      <c r="C125" s="72"/>
      <c r="D125" s="72"/>
      <c r="E125" s="4" t="s">
        <v>22</v>
      </c>
      <c r="F125" s="54" t="s">
        <v>23</v>
      </c>
      <c r="G125" s="59"/>
      <c r="H125" s="72" t="s">
        <v>24</v>
      </c>
      <c r="I125" s="72"/>
      <c r="J125" s="72" t="s">
        <v>25</v>
      </c>
      <c r="K125" s="72"/>
      <c r="L125" s="72" t="s">
        <v>26</v>
      </c>
      <c r="M125" s="72"/>
      <c r="O125" s="1" t="s">
        <v>27</v>
      </c>
      <c r="P125" s="1" t="s">
        <v>28</v>
      </c>
      <c r="T125" s="2" t="s">
        <v>29</v>
      </c>
    </row>
    <row r="126" spans="1:20" s="2" customFormat="1" ht="24.95" customHeight="1">
      <c r="A126" s="9" t="s">
        <v>30</v>
      </c>
      <c r="B126" s="110" t="s">
        <v>31</v>
      </c>
      <c r="C126" s="110"/>
      <c r="D126" s="110"/>
      <c r="E126" s="4"/>
      <c r="F126" s="54"/>
      <c r="G126" s="59"/>
      <c r="H126" s="72"/>
      <c r="I126" s="72"/>
      <c r="J126" s="72"/>
      <c r="K126" s="72"/>
      <c r="L126" s="72"/>
      <c r="M126" s="72"/>
    </row>
    <row r="127" spans="1:20" ht="24.95" customHeight="1">
      <c r="A127" s="10">
        <v>1</v>
      </c>
      <c r="B127" s="66" t="s">
        <v>91</v>
      </c>
      <c r="C127" s="67" t="s">
        <v>91</v>
      </c>
      <c r="D127" s="68" t="s">
        <v>91</v>
      </c>
      <c r="E127" s="4" t="s">
        <v>32</v>
      </c>
      <c r="F127" s="69">
        <v>1</v>
      </c>
      <c r="G127" s="70"/>
      <c r="H127" s="69"/>
      <c r="I127" s="70"/>
      <c r="J127" s="71">
        <f>H127+J69</f>
        <v>1</v>
      </c>
      <c r="K127" s="71"/>
      <c r="L127" s="72"/>
      <c r="M127" s="72"/>
      <c r="O127" s="11">
        <v>4000</v>
      </c>
      <c r="P127" s="11">
        <f>ROUND(H127*O127,0)</f>
        <v>0</v>
      </c>
      <c r="Q127" s="12"/>
      <c r="S127" s="11">
        <f>ROUND(J127*O127,0)</f>
        <v>4000</v>
      </c>
      <c r="T127" s="13">
        <f>F127-J127</f>
        <v>0</v>
      </c>
    </row>
    <row r="128" spans="1:20" ht="24.95" customHeight="1">
      <c r="A128" s="10">
        <v>2</v>
      </c>
      <c r="B128" s="66" t="s">
        <v>92</v>
      </c>
      <c r="C128" s="67" t="s">
        <v>92</v>
      </c>
      <c r="D128" s="68" t="s">
        <v>92</v>
      </c>
      <c r="E128" s="4" t="s">
        <v>32</v>
      </c>
      <c r="F128" s="69">
        <v>1</v>
      </c>
      <c r="G128" s="70"/>
      <c r="H128" s="69"/>
      <c r="I128" s="70"/>
      <c r="J128" s="71">
        <f t="shared" ref="J128:J135" si="15">H128+J70</f>
        <v>1</v>
      </c>
      <c r="K128" s="71"/>
      <c r="L128" s="72"/>
      <c r="M128" s="72"/>
      <c r="O128" s="11">
        <v>14334</v>
      </c>
      <c r="P128" s="11">
        <f t="shared" ref="P128:P135" si="16">ROUND(H128*O128,0)</f>
        <v>0</v>
      </c>
      <c r="Q128" s="12"/>
      <c r="S128" s="11">
        <f t="shared" ref="S128:S135" si="17">ROUND(J128*O128,0)</f>
        <v>14334</v>
      </c>
      <c r="T128" s="13">
        <f t="shared" ref="T128:T135" si="18">F128-J128</f>
        <v>0</v>
      </c>
    </row>
    <row r="129" spans="1:20" ht="24.95" customHeight="1">
      <c r="A129" s="10">
        <v>3</v>
      </c>
      <c r="B129" s="66" t="s">
        <v>84</v>
      </c>
      <c r="C129" s="67" t="s">
        <v>84</v>
      </c>
      <c r="D129" s="68" t="s">
        <v>84</v>
      </c>
      <c r="E129" s="4" t="s">
        <v>33</v>
      </c>
      <c r="F129" s="69">
        <v>1</v>
      </c>
      <c r="G129" s="70"/>
      <c r="H129" s="69"/>
      <c r="I129" s="70"/>
      <c r="J129" s="71">
        <f t="shared" si="15"/>
        <v>0</v>
      </c>
      <c r="K129" s="71"/>
      <c r="L129" s="72"/>
      <c r="M129" s="72"/>
      <c r="O129" s="11">
        <v>7000</v>
      </c>
      <c r="P129" s="11">
        <f t="shared" si="16"/>
        <v>0</v>
      </c>
      <c r="Q129" s="12"/>
      <c r="S129" s="11">
        <f t="shared" si="17"/>
        <v>0</v>
      </c>
      <c r="T129" s="13">
        <f t="shared" si="18"/>
        <v>1</v>
      </c>
    </row>
    <row r="130" spans="1:20" ht="24.95" customHeight="1">
      <c r="A130" s="10">
        <v>4</v>
      </c>
      <c r="B130" s="66" t="s">
        <v>85</v>
      </c>
      <c r="C130" s="67" t="s">
        <v>85</v>
      </c>
      <c r="D130" s="68" t="s">
        <v>85</v>
      </c>
      <c r="E130" s="4" t="s">
        <v>34</v>
      </c>
      <c r="F130" s="69">
        <v>1</v>
      </c>
      <c r="G130" s="70"/>
      <c r="H130" s="69"/>
      <c r="I130" s="70"/>
      <c r="J130" s="71">
        <f t="shared" si="15"/>
        <v>0</v>
      </c>
      <c r="K130" s="71"/>
      <c r="L130" s="72"/>
      <c r="M130" s="72"/>
      <c r="O130" s="11">
        <v>74000</v>
      </c>
      <c r="P130" s="11">
        <f t="shared" si="16"/>
        <v>0</v>
      </c>
      <c r="Q130" s="12"/>
      <c r="S130" s="11">
        <f t="shared" si="17"/>
        <v>0</v>
      </c>
      <c r="T130" s="13">
        <f t="shared" si="18"/>
        <v>1</v>
      </c>
    </row>
    <row r="131" spans="1:20" ht="24.95" customHeight="1">
      <c r="A131" s="10">
        <v>5</v>
      </c>
      <c r="B131" s="66" t="s">
        <v>115</v>
      </c>
      <c r="C131" s="67" t="s">
        <v>86</v>
      </c>
      <c r="D131" s="68" t="s">
        <v>86</v>
      </c>
      <c r="E131" s="4" t="s">
        <v>93</v>
      </c>
      <c r="F131" s="69">
        <v>396</v>
      </c>
      <c r="G131" s="70"/>
      <c r="H131" s="69">
        <v>100</v>
      </c>
      <c r="I131" s="70"/>
      <c r="J131" s="71">
        <f t="shared" si="15"/>
        <v>100</v>
      </c>
      <c r="K131" s="71"/>
      <c r="L131" s="72"/>
      <c r="M131" s="72"/>
      <c r="O131" s="11">
        <v>200</v>
      </c>
      <c r="P131" s="11">
        <f t="shared" si="16"/>
        <v>20000</v>
      </c>
      <c r="Q131" s="12"/>
      <c r="S131" s="11">
        <f t="shared" si="17"/>
        <v>20000</v>
      </c>
      <c r="T131" s="13">
        <f t="shared" si="18"/>
        <v>296</v>
      </c>
    </row>
    <row r="132" spans="1:20" ht="24.95" customHeight="1">
      <c r="A132" s="10">
        <v>6</v>
      </c>
      <c r="B132" s="66" t="s">
        <v>97</v>
      </c>
      <c r="C132" s="67" t="s">
        <v>87</v>
      </c>
      <c r="D132" s="68" t="s">
        <v>87</v>
      </c>
      <c r="E132" s="4" t="s">
        <v>35</v>
      </c>
      <c r="F132" s="69">
        <v>80</v>
      </c>
      <c r="G132" s="70">
        <v>183.6</v>
      </c>
      <c r="H132" s="69"/>
      <c r="I132" s="70"/>
      <c r="J132" s="71">
        <f t="shared" si="15"/>
        <v>0</v>
      </c>
      <c r="K132" s="71"/>
      <c r="L132" s="54"/>
      <c r="M132" s="59"/>
      <c r="O132" s="11">
        <v>1463</v>
      </c>
      <c r="P132" s="11">
        <f t="shared" si="16"/>
        <v>0</v>
      </c>
      <c r="S132" s="11">
        <f t="shared" si="17"/>
        <v>0</v>
      </c>
      <c r="T132" s="13">
        <f t="shared" si="18"/>
        <v>80</v>
      </c>
    </row>
    <row r="133" spans="1:20" ht="24.95" customHeight="1">
      <c r="A133" s="10">
        <v>7</v>
      </c>
      <c r="B133" s="66" t="s">
        <v>88</v>
      </c>
      <c r="C133" s="67" t="s">
        <v>88</v>
      </c>
      <c r="D133" s="68" t="s">
        <v>88</v>
      </c>
      <c r="E133" s="4" t="s">
        <v>94</v>
      </c>
      <c r="F133" s="69">
        <v>126</v>
      </c>
      <c r="G133" s="70">
        <v>19</v>
      </c>
      <c r="H133" s="69"/>
      <c r="I133" s="70"/>
      <c r="J133" s="71">
        <f t="shared" si="15"/>
        <v>0</v>
      </c>
      <c r="K133" s="71"/>
      <c r="L133" s="54"/>
      <c r="M133" s="59"/>
      <c r="O133" s="11">
        <v>6350</v>
      </c>
      <c r="P133" s="11">
        <f t="shared" si="16"/>
        <v>0</v>
      </c>
      <c r="S133" s="11">
        <f t="shared" si="17"/>
        <v>0</v>
      </c>
      <c r="T133" s="13">
        <f t="shared" si="18"/>
        <v>126</v>
      </c>
    </row>
    <row r="134" spans="1:20" ht="24.95" customHeight="1">
      <c r="A134" s="10">
        <v>8</v>
      </c>
      <c r="B134" s="66" t="s">
        <v>89</v>
      </c>
      <c r="C134" s="67" t="s">
        <v>89</v>
      </c>
      <c r="D134" s="68" t="s">
        <v>89</v>
      </c>
      <c r="E134" s="4" t="s">
        <v>95</v>
      </c>
      <c r="F134" s="69">
        <v>1</v>
      </c>
      <c r="G134" s="70">
        <v>1192</v>
      </c>
      <c r="H134" s="69"/>
      <c r="I134" s="70"/>
      <c r="J134" s="71">
        <f t="shared" si="15"/>
        <v>0</v>
      </c>
      <c r="K134" s="71"/>
      <c r="L134" s="54"/>
      <c r="M134" s="59"/>
      <c r="O134" s="11">
        <v>47600</v>
      </c>
      <c r="P134" s="11">
        <f t="shared" si="16"/>
        <v>0</v>
      </c>
      <c r="S134" s="11">
        <f t="shared" si="17"/>
        <v>0</v>
      </c>
      <c r="T134" s="13">
        <f t="shared" si="18"/>
        <v>1</v>
      </c>
    </row>
    <row r="135" spans="1:20" ht="24.95" customHeight="1">
      <c r="A135" s="10">
        <v>9</v>
      </c>
      <c r="B135" s="66" t="s">
        <v>90</v>
      </c>
      <c r="C135" s="67" t="s">
        <v>90</v>
      </c>
      <c r="D135" s="68" t="s">
        <v>90</v>
      </c>
      <c r="E135" s="4" t="s">
        <v>96</v>
      </c>
      <c r="F135" s="69">
        <v>1</v>
      </c>
      <c r="G135" s="70">
        <v>1261</v>
      </c>
      <c r="H135" s="69"/>
      <c r="I135" s="70"/>
      <c r="J135" s="71">
        <f t="shared" si="15"/>
        <v>0</v>
      </c>
      <c r="K135" s="71"/>
      <c r="L135" s="54"/>
      <c r="M135" s="59"/>
      <c r="O135" s="11">
        <v>10000</v>
      </c>
      <c r="P135" s="11">
        <f t="shared" si="16"/>
        <v>0</v>
      </c>
      <c r="S135" s="11">
        <f t="shared" si="17"/>
        <v>0</v>
      </c>
      <c r="T135" s="13">
        <f t="shared" si="18"/>
        <v>1</v>
      </c>
    </row>
    <row r="136" spans="1:20" ht="24.95" customHeight="1">
      <c r="A136" s="14"/>
      <c r="B136" s="15"/>
      <c r="C136" s="16"/>
      <c r="D136" s="17"/>
      <c r="E136" s="4"/>
      <c r="F136" s="18"/>
      <c r="G136" s="19"/>
      <c r="H136" s="105"/>
      <c r="I136" s="106"/>
      <c r="J136" s="105"/>
      <c r="K136" s="106"/>
      <c r="L136" s="54"/>
      <c r="M136" s="59"/>
      <c r="N136" s="20"/>
      <c r="P136" s="21" t="s">
        <v>37</v>
      </c>
      <c r="Q136" s="22">
        <f>SUM(P127:P135)</f>
        <v>20000</v>
      </c>
      <c r="R136" s="23"/>
      <c r="S136" s="24">
        <f>SUM(S127:S135)</f>
        <v>38334</v>
      </c>
      <c r="T136" s="13"/>
    </row>
    <row r="137" spans="1:20" ht="24.95" customHeight="1">
      <c r="A137" s="107"/>
      <c r="B137" s="108"/>
      <c r="C137" s="108"/>
      <c r="D137" s="109"/>
      <c r="E137" s="4"/>
      <c r="F137" s="54"/>
      <c r="G137" s="59"/>
      <c r="H137" s="72"/>
      <c r="I137" s="72"/>
      <c r="J137" s="72"/>
      <c r="K137" s="72"/>
      <c r="L137" s="72"/>
      <c r="M137" s="72"/>
      <c r="O137" t="s">
        <v>38</v>
      </c>
      <c r="P137" s="24">
        <f>Q136</f>
        <v>20000</v>
      </c>
      <c r="T137" s="13"/>
    </row>
    <row r="138" spans="1:20" ht="24.95" customHeight="1">
      <c r="A138" s="97"/>
      <c r="B138" s="98"/>
      <c r="C138" s="98"/>
      <c r="D138" s="99"/>
      <c r="E138" s="4"/>
      <c r="F138" s="54"/>
      <c r="G138" s="59"/>
      <c r="H138" s="72"/>
      <c r="I138" s="72"/>
      <c r="J138" s="72"/>
      <c r="K138" s="72"/>
      <c r="L138" s="72"/>
      <c r="M138" s="72"/>
      <c r="O138" t="s">
        <v>39</v>
      </c>
      <c r="P138" s="23">
        <f>ROUND(P137/1153274,4)*100</f>
        <v>1.73</v>
      </c>
      <c r="T138" s="13"/>
    </row>
    <row r="139" spans="1:20" ht="24.95" customHeight="1">
      <c r="A139" s="25"/>
      <c r="B139" s="63" t="s">
        <v>40</v>
      </c>
      <c r="C139" s="63"/>
      <c r="D139" s="59"/>
      <c r="E139" s="26"/>
      <c r="F139" s="100"/>
      <c r="G139" s="101"/>
      <c r="H139" s="100"/>
      <c r="I139" s="101"/>
      <c r="J139" s="102"/>
      <c r="K139" s="102"/>
      <c r="L139" s="103">
        <f>P137</f>
        <v>20000</v>
      </c>
      <c r="M139" s="104"/>
      <c r="T139" s="13"/>
    </row>
    <row r="140" spans="1:20" ht="24.95" customHeight="1" thickBot="1">
      <c r="A140" s="27"/>
      <c r="B140" s="85" t="s">
        <v>41</v>
      </c>
      <c r="C140" s="85"/>
      <c r="D140" s="86"/>
      <c r="E140" s="28"/>
      <c r="F140" s="87"/>
      <c r="G140" s="88"/>
      <c r="H140" s="87"/>
      <c r="I140" s="88"/>
      <c r="J140" s="87"/>
      <c r="K140" s="88"/>
      <c r="L140" s="89">
        <f>L139+L82</f>
        <v>38334</v>
      </c>
      <c r="M140" s="90"/>
      <c r="T140" s="13"/>
    </row>
    <row r="141" spans="1:20" ht="24.95" customHeight="1">
      <c r="A141" s="29"/>
      <c r="B141" s="91" t="s">
        <v>42</v>
      </c>
      <c r="C141" s="91"/>
      <c r="D141" s="92"/>
      <c r="E141" s="30"/>
      <c r="F141" s="93"/>
      <c r="G141" s="94"/>
      <c r="H141" s="95"/>
      <c r="I141" s="95"/>
      <c r="J141" s="95"/>
      <c r="K141" s="95"/>
      <c r="L141" s="95"/>
      <c r="M141" s="96"/>
      <c r="T141" s="13"/>
    </row>
    <row r="142" spans="1:20" ht="24.95" customHeight="1">
      <c r="A142" s="31"/>
      <c r="B142" s="76" t="s">
        <v>43</v>
      </c>
      <c r="C142" s="76"/>
      <c r="D142" s="77"/>
      <c r="E142" s="4"/>
      <c r="F142" s="54"/>
      <c r="G142" s="59"/>
      <c r="H142" s="72"/>
      <c r="I142" s="72"/>
      <c r="J142" s="72"/>
      <c r="K142" s="72"/>
      <c r="L142" s="72"/>
      <c r="M142" s="78"/>
      <c r="T142" s="13"/>
    </row>
    <row r="143" spans="1:20" ht="24.95" customHeight="1" thickBot="1">
      <c r="A143" s="32"/>
      <c r="B143" s="79" t="s">
        <v>44</v>
      </c>
      <c r="C143" s="79"/>
      <c r="D143" s="80"/>
      <c r="E143" s="33"/>
      <c r="F143" s="81"/>
      <c r="G143" s="82"/>
      <c r="H143" s="83"/>
      <c r="I143" s="83"/>
      <c r="J143" s="83"/>
      <c r="K143" s="83"/>
      <c r="L143" s="83"/>
      <c r="M143" s="84"/>
      <c r="T143" s="13"/>
    </row>
    <row r="144" spans="1:20" ht="24.95" customHeight="1">
      <c r="A144" s="73" t="s">
        <v>45</v>
      </c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T144" s="13"/>
    </row>
    <row r="145" spans="1:20" ht="24.95" customHeight="1">
      <c r="A145" s="72" t="s">
        <v>46</v>
      </c>
      <c r="B145" s="75"/>
      <c r="C145" s="75"/>
      <c r="D145" s="75"/>
      <c r="E145" s="4" t="s">
        <v>22</v>
      </c>
      <c r="F145" s="72" t="s">
        <v>47</v>
      </c>
      <c r="G145" s="72"/>
      <c r="H145" s="72" t="s">
        <v>48</v>
      </c>
      <c r="I145" s="72"/>
      <c r="J145" s="72" t="s">
        <v>49</v>
      </c>
      <c r="K145" s="72"/>
      <c r="L145" s="72" t="s">
        <v>50</v>
      </c>
      <c r="M145" s="72"/>
      <c r="T145" s="13"/>
    </row>
    <row r="146" spans="1:20" ht="24.95" customHeight="1">
      <c r="A146" s="10">
        <v>6</v>
      </c>
      <c r="B146" s="66" t="s">
        <v>97</v>
      </c>
      <c r="C146" s="67" t="s">
        <v>51</v>
      </c>
      <c r="D146" s="68" t="s">
        <v>51</v>
      </c>
      <c r="E146" s="4" t="s">
        <v>35</v>
      </c>
      <c r="F146" s="69">
        <v>80</v>
      </c>
      <c r="G146" s="70">
        <v>1261</v>
      </c>
      <c r="H146" s="71">
        <f>H132</f>
        <v>0</v>
      </c>
      <c r="I146" s="71"/>
      <c r="J146" s="71">
        <f>H146+J88</f>
        <v>0</v>
      </c>
      <c r="K146" s="71"/>
      <c r="L146" s="72"/>
      <c r="M146" s="72"/>
      <c r="T146" s="13"/>
    </row>
    <row r="147" spans="1:20" ht="24.95" customHeight="1">
      <c r="A147" s="10">
        <v>7</v>
      </c>
      <c r="B147" s="66" t="s">
        <v>88</v>
      </c>
      <c r="C147" s="67" t="s">
        <v>88</v>
      </c>
      <c r="D147" s="68" t="s">
        <v>88</v>
      </c>
      <c r="E147" s="4" t="s">
        <v>98</v>
      </c>
      <c r="F147" s="69">
        <v>126</v>
      </c>
      <c r="G147" s="70"/>
      <c r="H147" s="71">
        <f>H133</f>
        <v>0</v>
      </c>
      <c r="I147" s="71"/>
      <c r="J147" s="71">
        <f t="shared" ref="J147:J148" si="19">H147+J89</f>
        <v>0</v>
      </c>
      <c r="K147" s="71"/>
      <c r="L147" s="72"/>
      <c r="M147" s="72"/>
      <c r="T147" s="13"/>
    </row>
    <row r="148" spans="1:20" ht="24.95" customHeight="1">
      <c r="A148" s="10">
        <v>8</v>
      </c>
      <c r="B148" s="66" t="s">
        <v>89</v>
      </c>
      <c r="C148" s="67" t="s">
        <v>89</v>
      </c>
      <c r="D148" s="68" t="s">
        <v>89</v>
      </c>
      <c r="E148" s="4" t="s">
        <v>36</v>
      </c>
      <c r="F148" s="69">
        <v>1</v>
      </c>
      <c r="G148" s="70"/>
      <c r="H148" s="71">
        <f>H134</f>
        <v>0</v>
      </c>
      <c r="I148" s="71"/>
      <c r="J148" s="71">
        <f t="shared" si="19"/>
        <v>0</v>
      </c>
      <c r="K148" s="71"/>
      <c r="L148" s="72"/>
      <c r="M148" s="72"/>
      <c r="T148" s="13"/>
    </row>
    <row r="149" spans="1:20" ht="24.95" customHeight="1">
      <c r="A149" s="51" t="s">
        <v>52</v>
      </c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3"/>
      <c r="T149" s="13"/>
    </row>
    <row r="150" spans="1:20" ht="24.95" customHeight="1">
      <c r="A150" s="54" t="s">
        <v>53</v>
      </c>
      <c r="B150" s="63"/>
      <c r="C150" s="63"/>
      <c r="D150" s="59"/>
      <c r="E150" s="4" t="s">
        <v>54</v>
      </c>
      <c r="F150" s="54" t="s">
        <v>55</v>
      </c>
      <c r="G150" s="59"/>
      <c r="H150" s="54" t="s">
        <v>56</v>
      </c>
      <c r="I150" s="59"/>
      <c r="J150" s="54" t="s">
        <v>48</v>
      </c>
      <c r="K150" s="59"/>
      <c r="L150" s="64" t="s">
        <v>49</v>
      </c>
      <c r="M150" s="65"/>
      <c r="T150" s="13"/>
    </row>
    <row r="151" spans="1:20" ht="24.95" customHeight="1">
      <c r="A151" s="54" t="s">
        <v>57</v>
      </c>
      <c r="B151" s="55"/>
      <c r="C151" s="55"/>
      <c r="D151" s="56"/>
      <c r="E151" s="4">
        <v>2</v>
      </c>
      <c r="F151" s="57">
        <f>E151+F93</f>
        <v>4</v>
      </c>
      <c r="G151" s="58"/>
      <c r="H151" s="54" t="s">
        <v>58</v>
      </c>
      <c r="I151" s="59"/>
      <c r="J151" s="54">
        <v>1</v>
      </c>
      <c r="K151" s="59"/>
      <c r="L151" s="57">
        <f>J151+L93</f>
        <v>2</v>
      </c>
      <c r="M151" s="58"/>
      <c r="T151" s="13"/>
    </row>
    <row r="152" spans="1:20" ht="24.95" customHeight="1">
      <c r="A152" s="54" t="s">
        <v>59</v>
      </c>
      <c r="B152" s="55"/>
      <c r="C152" s="55"/>
      <c r="D152" s="56"/>
      <c r="E152" s="4"/>
      <c r="F152" s="57">
        <f t="shared" ref="F152:F154" si="20">E152+F94</f>
        <v>0</v>
      </c>
      <c r="G152" s="58"/>
      <c r="H152" s="54" t="s">
        <v>60</v>
      </c>
      <c r="I152" s="59"/>
      <c r="J152" s="54"/>
      <c r="K152" s="59"/>
      <c r="L152" s="57">
        <f t="shared" ref="L152:L154" si="21">J152+L94</f>
        <v>0</v>
      </c>
      <c r="M152" s="58"/>
      <c r="T152" s="13"/>
    </row>
    <row r="153" spans="1:20" ht="24.95" customHeight="1">
      <c r="A153" s="54" t="s">
        <v>61</v>
      </c>
      <c r="B153" s="55"/>
      <c r="C153" s="55"/>
      <c r="D153" s="56"/>
      <c r="E153" s="4"/>
      <c r="F153" s="57">
        <f t="shared" si="20"/>
        <v>0</v>
      </c>
      <c r="G153" s="58"/>
      <c r="H153" s="54" t="s">
        <v>62</v>
      </c>
      <c r="I153" s="59"/>
      <c r="J153" s="54">
        <v>1</v>
      </c>
      <c r="K153" s="59"/>
      <c r="L153" s="57">
        <f t="shared" si="21"/>
        <v>1</v>
      </c>
      <c r="M153" s="58"/>
      <c r="T153" s="13"/>
    </row>
    <row r="154" spans="1:20" ht="24.95" customHeight="1">
      <c r="A154" s="54" t="s">
        <v>63</v>
      </c>
      <c r="B154" s="55"/>
      <c r="C154" s="55"/>
      <c r="D154" s="56"/>
      <c r="E154" s="4"/>
      <c r="F154" s="57">
        <f t="shared" si="20"/>
        <v>0</v>
      </c>
      <c r="G154" s="58"/>
      <c r="H154" s="54" t="s">
        <v>64</v>
      </c>
      <c r="I154" s="59"/>
      <c r="J154" s="54"/>
      <c r="K154" s="59"/>
      <c r="L154" s="57">
        <f t="shared" si="21"/>
        <v>0</v>
      </c>
      <c r="M154" s="58"/>
      <c r="T154" s="13"/>
    </row>
    <row r="155" spans="1:20" ht="64.5" customHeight="1">
      <c r="A155" s="60" t="s">
        <v>65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2"/>
      <c r="T155" s="13"/>
    </row>
    <row r="156" spans="1:20" ht="24.95" customHeight="1">
      <c r="A156" s="46" t="s">
        <v>66</v>
      </c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8"/>
      <c r="T156" s="13"/>
    </row>
    <row r="157" spans="1:20" ht="24.95" customHeight="1">
      <c r="A157" s="27"/>
      <c r="B157" s="34" t="s">
        <v>67</v>
      </c>
      <c r="C157" s="34"/>
      <c r="D157" s="34"/>
      <c r="E157" s="34"/>
      <c r="F157" s="34"/>
      <c r="G157" s="35"/>
      <c r="H157" s="34"/>
      <c r="I157" s="34"/>
      <c r="J157" s="34"/>
      <c r="K157" s="34"/>
      <c r="L157" s="34"/>
      <c r="M157" s="36"/>
      <c r="T157" s="13"/>
    </row>
    <row r="158" spans="1:20" ht="24.95" customHeight="1">
      <c r="A158" s="27"/>
      <c r="B158" s="34" t="s">
        <v>133</v>
      </c>
      <c r="C158" s="34"/>
      <c r="D158" s="34"/>
      <c r="E158" s="34"/>
      <c r="F158" s="34"/>
      <c r="G158" s="35"/>
      <c r="H158" s="34"/>
      <c r="I158" s="34"/>
      <c r="J158" s="34"/>
      <c r="K158" s="34"/>
      <c r="L158" s="34"/>
      <c r="M158" s="36"/>
      <c r="T158" s="13"/>
    </row>
    <row r="159" spans="1:20" ht="24.95" customHeight="1">
      <c r="A159" s="27"/>
      <c r="B159" s="34" t="s">
        <v>68</v>
      </c>
      <c r="C159" s="34"/>
      <c r="D159" s="34"/>
      <c r="E159" s="34"/>
      <c r="F159" s="34"/>
      <c r="G159" s="35"/>
      <c r="H159" s="34"/>
      <c r="I159" s="34"/>
      <c r="J159" s="34"/>
      <c r="K159" s="34"/>
      <c r="L159" s="34"/>
      <c r="M159" s="36"/>
      <c r="T159" s="13"/>
    </row>
    <row r="160" spans="1:20" ht="24.95" customHeight="1">
      <c r="A160" s="27"/>
      <c r="B160" s="34" t="s">
        <v>134</v>
      </c>
      <c r="C160" s="34"/>
      <c r="D160" s="34"/>
      <c r="E160" s="34"/>
      <c r="F160" s="34"/>
      <c r="G160" s="35"/>
      <c r="H160" s="34"/>
      <c r="I160" s="34"/>
      <c r="J160" s="34"/>
      <c r="K160" s="34"/>
      <c r="L160" s="34"/>
      <c r="M160" s="36"/>
      <c r="T160" s="13"/>
    </row>
    <row r="161" spans="1:20" ht="24.95" customHeight="1">
      <c r="A161" s="27"/>
      <c r="B161" s="34" t="s">
        <v>135</v>
      </c>
      <c r="C161" s="34"/>
      <c r="D161" s="34"/>
      <c r="E161" s="34"/>
      <c r="F161" s="34"/>
      <c r="G161" s="35"/>
      <c r="H161" s="34"/>
      <c r="I161" s="34"/>
      <c r="J161" s="34"/>
      <c r="K161" s="34"/>
      <c r="L161" s="34"/>
      <c r="M161" s="36"/>
      <c r="T161" s="13"/>
    </row>
    <row r="162" spans="1:20" ht="24.95" customHeight="1">
      <c r="A162" s="37"/>
      <c r="B162" s="49" t="s">
        <v>69</v>
      </c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50"/>
      <c r="T162" s="13"/>
    </row>
    <row r="163" spans="1:20" ht="44.25" customHeight="1">
      <c r="A163" s="51" t="s">
        <v>70</v>
      </c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3"/>
      <c r="T163" s="13"/>
    </row>
    <row r="164" spans="1:20" ht="48" customHeight="1">
      <c r="A164" s="51" t="s">
        <v>71</v>
      </c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3"/>
      <c r="T164" s="13"/>
    </row>
    <row r="165" spans="1:20" ht="81" customHeight="1">
      <c r="A165" s="51" t="s">
        <v>116</v>
      </c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3"/>
      <c r="T165" s="13"/>
    </row>
    <row r="166" spans="1:20" ht="100.5" customHeight="1">
      <c r="A166" s="51" t="s">
        <v>72</v>
      </c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3"/>
      <c r="T166" s="13"/>
    </row>
    <row r="167" spans="1:20" ht="12" customHeight="1">
      <c r="A167" s="41" t="s">
        <v>73</v>
      </c>
      <c r="B167" s="41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38"/>
      <c r="T167" s="13"/>
    </row>
    <row r="168" spans="1:20" ht="12" customHeight="1">
      <c r="A168" s="43" t="s">
        <v>74</v>
      </c>
      <c r="B168" s="43"/>
      <c r="C168" s="40"/>
      <c r="D168" s="40"/>
      <c r="E168" s="40"/>
      <c r="F168" s="40"/>
      <c r="G168" s="40"/>
      <c r="H168" s="40"/>
      <c r="I168" s="40"/>
      <c r="J168" s="40"/>
      <c r="K168" s="40"/>
      <c r="L168" s="38"/>
      <c r="M168" s="38"/>
      <c r="T168" s="13"/>
    </row>
    <row r="169" spans="1:20" ht="12" customHeight="1">
      <c r="A169" s="44" t="s">
        <v>75</v>
      </c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T169" s="13"/>
    </row>
    <row r="170" spans="1:20" ht="12" customHeight="1">
      <c r="A170" s="39" t="s">
        <v>76</v>
      </c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T170" s="13"/>
    </row>
    <row r="171" spans="1:20" ht="12" customHeight="1">
      <c r="A171" s="39" t="s">
        <v>77</v>
      </c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T171" s="13"/>
    </row>
    <row r="172" spans="1:20" ht="12" customHeight="1">
      <c r="A172" s="45" t="s">
        <v>78</v>
      </c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T172" s="13"/>
    </row>
    <row r="173" spans="1:20" ht="12" customHeight="1">
      <c r="A173" s="39" t="s">
        <v>79</v>
      </c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T173" s="13"/>
    </row>
    <row r="174" spans="1:20" ht="409.5" customHeight="1"/>
    <row r="175" spans="1:20" s="2" customFormat="1" ht="35.1" customHeight="1">
      <c r="A175" s="126" t="s">
        <v>0</v>
      </c>
      <c r="B175" s="126"/>
      <c r="C175" s="1">
        <f>C117+1</f>
        <v>4</v>
      </c>
      <c r="G175" s="3"/>
    </row>
    <row r="176" spans="1:20" s="2" customFormat="1" ht="35.1" customHeight="1">
      <c r="A176" s="126" t="s">
        <v>1</v>
      </c>
      <c r="B176" s="126"/>
      <c r="C176" s="2" t="s">
        <v>2</v>
      </c>
      <c r="D176" s="2" t="s">
        <v>117</v>
      </c>
      <c r="E176" s="2" t="s">
        <v>3</v>
      </c>
      <c r="F176" s="2" t="s">
        <v>114</v>
      </c>
      <c r="G176" s="3"/>
      <c r="H176" s="127" t="s">
        <v>4</v>
      </c>
      <c r="I176" s="128"/>
      <c r="J176" s="129">
        <f>J118+1</f>
        <v>45991</v>
      </c>
      <c r="K176" s="130"/>
      <c r="L176" s="131">
        <f>J176</f>
        <v>45991</v>
      </c>
      <c r="M176" s="132"/>
    </row>
    <row r="177" spans="1:20" s="2" customFormat="1" ht="30" customHeight="1">
      <c r="A177" s="72" t="s">
        <v>5</v>
      </c>
      <c r="B177" s="114"/>
      <c r="C177" s="119" t="s">
        <v>83</v>
      </c>
      <c r="D177" s="119"/>
      <c r="E177" s="119"/>
      <c r="F177" s="119"/>
      <c r="G177" s="119"/>
      <c r="H177" s="54" t="s">
        <v>6</v>
      </c>
      <c r="I177" s="59"/>
      <c r="J177" s="120"/>
      <c r="K177" s="120"/>
      <c r="L177" s="120"/>
      <c r="M177" s="120"/>
    </row>
    <row r="178" spans="1:20" s="1" customFormat="1" ht="30" customHeight="1">
      <c r="A178" s="72" t="s">
        <v>7</v>
      </c>
      <c r="B178" s="114"/>
      <c r="C178" s="4">
        <v>50</v>
      </c>
      <c r="D178" s="4" t="s">
        <v>8</v>
      </c>
      <c r="E178" s="4" t="s">
        <v>9</v>
      </c>
      <c r="F178" s="4">
        <f>F120+1</f>
        <v>4</v>
      </c>
      <c r="G178" s="5" t="s">
        <v>8</v>
      </c>
      <c r="H178" s="4" t="s">
        <v>10</v>
      </c>
      <c r="I178" s="4">
        <f>C178-F178+L178</f>
        <v>46</v>
      </c>
      <c r="J178" s="4" t="s">
        <v>11</v>
      </c>
      <c r="K178" s="6" t="s">
        <v>12</v>
      </c>
      <c r="L178" s="7">
        <f>L120</f>
        <v>0</v>
      </c>
      <c r="M178" s="4" t="s">
        <v>8</v>
      </c>
    </row>
    <row r="179" spans="1:20" s="2" customFormat="1" ht="30" customHeight="1">
      <c r="A179" s="72" t="s">
        <v>13</v>
      </c>
      <c r="B179" s="75"/>
      <c r="C179" s="75"/>
      <c r="D179" s="121">
        <f>D121</f>
        <v>45988</v>
      </c>
      <c r="E179" s="122"/>
      <c r="F179" s="122"/>
      <c r="G179" s="123"/>
      <c r="H179" s="124" t="s">
        <v>14</v>
      </c>
      <c r="I179" s="125"/>
      <c r="J179" s="121">
        <f>J121</f>
        <v>46037</v>
      </c>
      <c r="K179" s="122"/>
      <c r="L179" s="122"/>
      <c r="M179" s="123"/>
    </row>
    <row r="180" spans="1:20" s="2" customFormat="1" ht="30" customHeight="1">
      <c r="A180" s="72" t="s">
        <v>15</v>
      </c>
      <c r="B180" s="114"/>
      <c r="C180" s="114"/>
      <c r="D180" s="72">
        <v>0.45400000000000001</v>
      </c>
      <c r="E180" s="72"/>
      <c r="F180" s="72"/>
      <c r="G180" s="72"/>
      <c r="H180" s="64" t="s">
        <v>16</v>
      </c>
      <c r="I180" s="115"/>
      <c r="J180" s="116">
        <f>P196</f>
        <v>0</v>
      </c>
      <c r="K180" s="117"/>
      <c r="L180" s="117"/>
      <c r="M180" s="118"/>
    </row>
    <row r="181" spans="1:20" s="2" customFormat="1" ht="30" customHeight="1">
      <c r="A181" s="72" t="s">
        <v>17</v>
      </c>
      <c r="B181" s="114"/>
      <c r="C181" s="114"/>
      <c r="D181" s="72">
        <f>D180+D123</f>
        <v>1.34</v>
      </c>
      <c r="E181" s="72"/>
      <c r="F181" s="72"/>
      <c r="G181" s="72"/>
      <c r="H181" s="64" t="s">
        <v>18</v>
      </c>
      <c r="I181" s="115"/>
      <c r="J181" s="116">
        <f>J180+J123</f>
        <v>3.3200000000000003</v>
      </c>
      <c r="K181" s="117"/>
      <c r="L181" s="117"/>
      <c r="M181" s="118"/>
    </row>
    <row r="182" spans="1:20" s="2" customFormat="1" ht="30" customHeight="1">
      <c r="A182" s="111" t="s">
        <v>19</v>
      </c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3"/>
    </row>
    <row r="183" spans="1:20" s="2" customFormat="1" ht="30" customHeight="1">
      <c r="A183" s="8" t="s">
        <v>20</v>
      </c>
      <c r="B183" s="72" t="s">
        <v>21</v>
      </c>
      <c r="C183" s="72"/>
      <c r="D183" s="72"/>
      <c r="E183" s="4" t="s">
        <v>22</v>
      </c>
      <c r="F183" s="54" t="s">
        <v>23</v>
      </c>
      <c r="G183" s="59"/>
      <c r="H183" s="72" t="s">
        <v>24</v>
      </c>
      <c r="I183" s="72"/>
      <c r="J183" s="72" t="s">
        <v>25</v>
      </c>
      <c r="K183" s="72"/>
      <c r="L183" s="72" t="s">
        <v>26</v>
      </c>
      <c r="M183" s="72"/>
      <c r="O183" s="1" t="s">
        <v>27</v>
      </c>
      <c r="P183" s="1" t="s">
        <v>28</v>
      </c>
      <c r="T183" s="2" t="s">
        <v>29</v>
      </c>
    </row>
    <row r="184" spans="1:20" s="2" customFormat="1" ht="24.95" customHeight="1">
      <c r="A184" s="9" t="s">
        <v>30</v>
      </c>
      <c r="B184" s="110" t="s">
        <v>31</v>
      </c>
      <c r="C184" s="110"/>
      <c r="D184" s="110"/>
      <c r="E184" s="4"/>
      <c r="F184" s="54"/>
      <c r="G184" s="59"/>
      <c r="H184" s="72"/>
      <c r="I184" s="72"/>
      <c r="J184" s="72"/>
      <c r="K184" s="72"/>
      <c r="L184" s="72"/>
      <c r="M184" s="72"/>
    </row>
    <row r="185" spans="1:20" ht="24.95" customHeight="1">
      <c r="A185" s="10">
        <v>1</v>
      </c>
      <c r="B185" s="66" t="s">
        <v>91</v>
      </c>
      <c r="C185" s="67" t="s">
        <v>91</v>
      </c>
      <c r="D185" s="68" t="s">
        <v>91</v>
      </c>
      <c r="E185" s="4" t="s">
        <v>32</v>
      </c>
      <c r="F185" s="69">
        <v>1</v>
      </c>
      <c r="G185" s="70"/>
      <c r="H185" s="69"/>
      <c r="I185" s="70"/>
      <c r="J185" s="71">
        <f>H185+J127</f>
        <v>1</v>
      </c>
      <c r="K185" s="71"/>
      <c r="L185" s="72"/>
      <c r="M185" s="72"/>
      <c r="O185" s="11">
        <v>4000</v>
      </c>
      <c r="P185" s="11">
        <f>ROUND(H185*O185,0)</f>
        <v>0</v>
      </c>
      <c r="Q185" s="12"/>
      <c r="S185" s="11">
        <f>ROUND(J185*O185,0)</f>
        <v>4000</v>
      </c>
      <c r="T185" s="13">
        <f>F185-J185</f>
        <v>0</v>
      </c>
    </row>
    <row r="186" spans="1:20" ht="24.95" customHeight="1">
      <c r="A186" s="10">
        <v>2</v>
      </c>
      <c r="B186" s="66" t="s">
        <v>92</v>
      </c>
      <c r="C186" s="67" t="s">
        <v>92</v>
      </c>
      <c r="D186" s="68" t="s">
        <v>92</v>
      </c>
      <c r="E186" s="4" t="s">
        <v>32</v>
      </c>
      <c r="F186" s="69">
        <v>1</v>
      </c>
      <c r="G186" s="70"/>
      <c r="H186" s="69"/>
      <c r="I186" s="70"/>
      <c r="J186" s="71">
        <f t="shared" ref="J186:J193" si="22">H186+J128</f>
        <v>1</v>
      </c>
      <c r="K186" s="71"/>
      <c r="L186" s="72"/>
      <c r="M186" s="72"/>
      <c r="O186" s="11">
        <v>14334</v>
      </c>
      <c r="P186" s="11">
        <f t="shared" ref="P186:P193" si="23">ROUND(H186*O186,0)</f>
        <v>0</v>
      </c>
      <c r="Q186" s="12"/>
      <c r="S186" s="11">
        <f t="shared" ref="S186:S193" si="24">ROUND(J186*O186,0)</f>
        <v>14334</v>
      </c>
      <c r="T186" s="13">
        <f t="shared" ref="T186:T193" si="25">F186-J186</f>
        <v>0</v>
      </c>
    </row>
    <row r="187" spans="1:20" ht="24.95" customHeight="1">
      <c r="A187" s="10">
        <v>3</v>
      </c>
      <c r="B187" s="66" t="s">
        <v>84</v>
      </c>
      <c r="C187" s="67" t="s">
        <v>84</v>
      </c>
      <c r="D187" s="68" t="s">
        <v>84</v>
      </c>
      <c r="E187" s="4" t="s">
        <v>33</v>
      </c>
      <c r="F187" s="69">
        <v>1</v>
      </c>
      <c r="G187" s="70"/>
      <c r="H187" s="69"/>
      <c r="I187" s="70"/>
      <c r="J187" s="71">
        <f t="shared" si="22"/>
        <v>0</v>
      </c>
      <c r="K187" s="71"/>
      <c r="L187" s="72"/>
      <c r="M187" s="72"/>
      <c r="O187" s="11">
        <v>7000</v>
      </c>
      <c r="P187" s="11">
        <f t="shared" si="23"/>
        <v>0</v>
      </c>
      <c r="Q187" s="12"/>
      <c r="S187" s="11">
        <f t="shared" si="24"/>
        <v>0</v>
      </c>
      <c r="T187" s="13">
        <f t="shared" si="25"/>
        <v>1</v>
      </c>
    </row>
    <row r="188" spans="1:20" ht="24.95" customHeight="1">
      <c r="A188" s="10">
        <v>4</v>
      </c>
      <c r="B188" s="66" t="s">
        <v>85</v>
      </c>
      <c r="C188" s="67" t="s">
        <v>85</v>
      </c>
      <c r="D188" s="68" t="s">
        <v>85</v>
      </c>
      <c r="E188" s="4" t="s">
        <v>34</v>
      </c>
      <c r="F188" s="69">
        <v>1</v>
      </c>
      <c r="G188" s="70"/>
      <c r="H188" s="69"/>
      <c r="I188" s="70"/>
      <c r="J188" s="71">
        <f t="shared" si="22"/>
        <v>0</v>
      </c>
      <c r="K188" s="71"/>
      <c r="L188" s="72"/>
      <c r="M188" s="72"/>
      <c r="O188" s="11">
        <v>74000</v>
      </c>
      <c r="P188" s="11">
        <f t="shared" si="23"/>
        <v>0</v>
      </c>
      <c r="Q188" s="12"/>
      <c r="S188" s="11">
        <f t="shared" si="24"/>
        <v>0</v>
      </c>
      <c r="T188" s="13">
        <f t="shared" si="25"/>
        <v>1</v>
      </c>
    </row>
    <row r="189" spans="1:20" ht="24.95" customHeight="1">
      <c r="A189" s="10">
        <v>5</v>
      </c>
      <c r="B189" s="66" t="s">
        <v>86</v>
      </c>
      <c r="C189" s="67" t="s">
        <v>86</v>
      </c>
      <c r="D189" s="68" t="s">
        <v>86</v>
      </c>
      <c r="E189" s="4" t="s">
        <v>93</v>
      </c>
      <c r="F189" s="69">
        <v>396</v>
      </c>
      <c r="G189" s="70"/>
      <c r="H189" s="69"/>
      <c r="I189" s="70"/>
      <c r="J189" s="71">
        <f t="shared" si="22"/>
        <v>100</v>
      </c>
      <c r="K189" s="71"/>
      <c r="L189" s="72"/>
      <c r="M189" s="72"/>
      <c r="O189" s="11">
        <v>200</v>
      </c>
      <c r="P189" s="11">
        <f t="shared" si="23"/>
        <v>0</v>
      </c>
      <c r="Q189" s="12"/>
      <c r="S189" s="11">
        <f t="shared" si="24"/>
        <v>20000</v>
      </c>
      <c r="T189" s="13">
        <f t="shared" si="25"/>
        <v>296</v>
      </c>
    </row>
    <row r="190" spans="1:20" ht="24.95" customHeight="1">
      <c r="A190" s="10">
        <v>6</v>
      </c>
      <c r="B190" s="66" t="s">
        <v>97</v>
      </c>
      <c r="C190" s="67" t="s">
        <v>87</v>
      </c>
      <c r="D190" s="68" t="s">
        <v>87</v>
      </c>
      <c r="E190" s="4" t="s">
        <v>35</v>
      </c>
      <c r="F190" s="69">
        <v>80</v>
      </c>
      <c r="G190" s="70">
        <v>183.6</v>
      </c>
      <c r="H190" s="69"/>
      <c r="I190" s="70"/>
      <c r="J190" s="71">
        <f t="shared" si="22"/>
        <v>0</v>
      </c>
      <c r="K190" s="71"/>
      <c r="L190" s="54"/>
      <c r="M190" s="59"/>
      <c r="O190" s="11">
        <v>1463</v>
      </c>
      <c r="P190" s="11">
        <f t="shared" si="23"/>
        <v>0</v>
      </c>
      <c r="S190" s="11">
        <f t="shared" si="24"/>
        <v>0</v>
      </c>
      <c r="T190" s="13">
        <f t="shared" si="25"/>
        <v>80</v>
      </c>
    </row>
    <row r="191" spans="1:20" ht="24.95" customHeight="1">
      <c r="A191" s="10">
        <v>7</v>
      </c>
      <c r="B191" s="66" t="s">
        <v>88</v>
      </c>
      <c r="C191" s="67" t="s">
        <v>88</v>
      </c>
      <c r="D191" s="68" t="s">
        <v>88</v>
      </c>
      <c r="E191" s="4" t="s">
        <v>94</v>
      </c>
      <c r="F191" s="69">
        <v>126</v>
      </c>
      <c r="G191" s="70">
        <v>19</v>
      </c>
      <c r="H191" s="69"/>
      <c r="I191" s="70"/>
      <c r="J191" s="71">
        <f t="shared" si="22"/>
        <v>0</v>
      </c>
      <c r="K191" s="71"/>
      <c r="L191" s="54"/>
      <c r="M191" s="59"/>
      <c r="O191" s="11">
        <v>6350</v>
      </c>
      <c r="P191" s="11">
        <f t="shared" si="23"/>
        <v>0</v>
      </c>
      <c r="S191" s="11">
        <f t="shared" si="24"/>
        <v>0</v>
      </c>
      <c r="T191" s="13">
        <f t="shared" si="25"/>
        <v>126</v>
      </c>
    </row>
    <row r="192" spans="1:20" ht="24.95" customHeight="1">
      <c r="A192" s="10">
        <v>8</v>
      </c>
      <c r="B192" s="66" t="s">
        <v>89</v>
      </c>
      <c r="C192" s="67" t="s">
        <v>89</v>
      </c>
      <c r="D192" s="68" t="s">
        <v>89</v>
      </c>
      <c r="E192" s="4" t="s">
        <v>95</v>
      </c>
      <c r="F192" s="69">
        <v>1</v>
      </c>
      <c r="G192" s="70">
        <v>1192</v>
      </c>
      <c r="H192" s="69"/>
      <c r="I192" s="70"/>
      <c r="J192" s="71">
        <f t="shared" si="22"/>
        <v>0</v>
      </c>
      <c r="K192" s="71"/>
      <c r="L192" s="54"/>
      <c r="M192" s="59"/>
      <c r="O192" s="11">
        <v>47600</v>
      </c>
      <c r="P192" s="11">
        <f t="shared" si="23"/>
        <v>0</v>
      </c>
      <c r="S192" s="11">
        <f t="shared" si="24"/>
        <v>0</v>
      </c>
      <c r="T192" s="13">
        <f t="shared" si="25"/>
        <v>1</v>
      </c>
    </row>
    <row r="193" spans="1:20" ht="24.95" customHeight="1">
      <c r="A193" s="10">
        <v>9</v>
      </c>
      <c r="B193" s="66" t="s">
        <v>90</v>
      </c>
      <c r="C193" s="67" t="s">
        <v>90</v>
      </c>
      <c r="D193" s="68" t="s">
        <v>90</v>
      </c>
      <c r="E193" s="4" t="s">
        <v>96</v>
      </c>
      <c r="F193" s="69">
        <v>1</v>
      </c>
      <c r="G193" s="70">
        <v>1261</v>
      </c>
      <c r="H193" s="69"/>
      <c r="I193" s="70"/>
      <c r="J193" s="71">
        <f t="shared" si="22"/>
        <v>0</v>
      </c>
      <c r="K193" s="71"/>
      <c r="L193" s="54"/>
      <c r="M193" s="59"/>
      <c r="O193" s="11">
        <v>10000</v>
      </c>
      <c r="P193" s="11">
        <f t="shared" si="23"/>
        <v>0</v>
      </c>
      <c r="S193" s="11">
        <f t="shared" si="24"/>
        <v>0</v>
      </c>
      <c r="T193" s="13">
        <f t="shared" si="25"/>
        <v>1</v>
      </c>
    </row>
    <row r="194" spans="1:20" ht="24.95" customHeight="1">
      <c r="A194" s="14"/>
      <c r="B194" s="15"/>
      <c r="C194" s="16"/>
      <c r="D194" s="17"/>
      <c r="E194" s="4"/>
      <c r="F194" s="18"/>
      <c r="G194" s="19"/>
      <c r="H194" s="105"/>
      <c r="I194" s="106"/>
      <c r="J194" s="105"/>
      <c r="K194" s="106"/>
      <c r="L194" s="54"/>
      <c r="M194" s="59"/>
      <c r="N194" s="20"/>
      <c r="P194" s="21" t="s">
        <v>37</v>
      </c>
      <c r="Q194" s="22">
        <f>SUM(P185:P193)</f>
        <v>0</v>
      </c>
      <c r="R194" s="23"/>
      <c r="S194" s="24">
        <f>SUM(S185:S193)</f>
        <v>38334</v>
      </c>
      <c r="T194" s="13"/>
    </row>
    <row r="195" spans="1:20" ht="24.95" customHeight="1">
      <c r="A195" s="107"/>
      <c r="B195" s="108"/>
      <c r="C195" s="108"/>
      <c r="D195" s="109"/>
      <c r="E195" s="4"/>
      <c r="F195" s="54"/>
      <c r="G195" s="59"/>
      <c r="H195" s="72"/>
      <c r="I195" s="72"/>
      <c r="J195" s="72"/>
      <c r="K195" s="72"/>
      <c r="L195" s="72"/>
      <c r="M195" s="72"/>
      <c r="O195" t="s">
        <v>38</v>
      </c>
      <c r="P195" s="24">
        <f>Q194</f>
        <v>0</v>
      </c>
      <c r="T195" s="13"/>
    </row>
    <row r="196" spans="1:20" ht="24.95" customHeight="1">
      <c r="A196" s="97"/>
      <c r="B196" s="98"/>
      <c r="C196" s="98"/>
      <c r="D196" s="99"/>
      <c r="E196" s="4"/>
      <c r="F196" s="54"/>
      <c r="G196" s="59"/>
      <c r="H196" s="72"/>
      <c r="I196" s="72"/>
      <c r="J196" s="72"/>
      <c r="K196" s="72"/>
      <c r="L196" s="72"/>
      <c r="M196" s="72"/>
      <c r="O196" t="s">
        <v>39</v>
      </c>
      <c r="P196" s="23">
        <f>ROUND(P195/1153274,4)*100</f>
        <v>0</v>
      </c>
      <c r="T196" s="13"/>
    </row>
    <row r="197" spans="1:20" ht="24.95" customHeight="1">
      <c r="A197" s="25"/>
      <c r="B197" s="63" t="s">
        <v>40</v>
      </c>
      <c r="C197" s="63"/>
      <c r="D197" s="59"/>
      <c r="E197" s="26"/>
      <c r="F197" s="100"/>
      <c r="G197" s="101"/>
      <c r="H197" s="100"/>
      <c r="I197" s="101"/>
      <c r="J197" s="102"/>
      <c r="K197" s="102"/>
      <c r="L197" s="103">
        <f>P195</f>
        <v>0</v>
      </c>
      <c r="M197" s="104"/>
      <c r="T197" s="13"/>
    </row>
    <row r="198" spans="1:20" ht="24.95" customHeight="1" thickBot="1">
      <c r="A198" s="27"/>
      <c r="B198" s="85" t="s">
        <v>41</v>
      </c>
      <c r="C198" s="85"/>
      <c r="D198" s="86"/>
      <c r="E198" s="28"/>
      <c r="F198" s="87"/>
      <c r="G198" s="88"/>
      <c r="H198" s="87"/>
      <c r="I198" s="88"/>
      <c r="J198" s="87"/>
      <c r="K198" s="88"/>
      <c r="L198" s="89">
        <f>L197+L140</f>
        <v>38334</v>
      </c>
      <c r="M198" s="90"/>
      <c r="T198" s="13"/>
    </row>
    <row r="199" spans="1:20" ht="24.95" customHeight="1">
      <c r="A199" s="29"/>
      <c r="B199" s="91" t="s">
        <v>42</v>
      </c>
      <c r="C199" s="91"/>
      <c r="D199" s="92"/>
      <c r="E199" s="30"/>
      <c r="F199" s="93"/>
      <c r="G199" s="94"/>
      <c r="H199" s="95"/>
      <c r="I199" s="95"/>
      <c r="J199" s="95"/>
      <c r="K199" s="95"/>
      <c r="L199" s="95"/>
      <c r="M199" s="96"/>
      <c r="T199" s="13"/>
    </row>
    <row r="200" spans="1:20" ht="24.95" customHeight="1">
      <c r="A200" s="31"/>
      <c r="B200" s="76" t="s">
        <v>43</v>
      </c>
      <c r="C200" s="76"/>
      <c r="D200" s="77"/>
      <c r="E200" s="4"/>
      <c r="F200" s="54"/>
      <c r="G200" s="59"/>
      <c r="H200" s="72"/>
      <c r="I200" s="72"/>
      <c r="J200" s="72"/>
      <c r="K200" s="72"/>
      <c r="L200" s="72"/>
      <c r="M200" s="78"/>
      <c r="T200" s="13"/>
    </row>
    <row r="201" spans="1:20" ht="24.95" customHeight="1" thickBot="1">
      <c r="A201" s="32"/>
      <c r="B201" s="79" t="s">
        <v>44</v>
      </c>
      <c r="C201" s="79"/>
      <c r="D201" s="80"/>
      <c r="E201" s="33"/>
      <c r="F201" s="81"/>
      <c r="G201" s="82"/>
      <c r="H201" s="83"/>
      <c r="I201" s="83"/>
      <c r="J201" s="83"/>
      <c r="K201" s="83"/>
      <c r="L201" s="83"/>
      <c r="M201" s="84"/>
      <c r="T201" s="13"/>
    </row>
    <row r="202" spans="1:20" ht="24.95" customHeight="1">
      <c r="A202" s="73" t="s">
        <v>45</v>
      </c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T202" s="13"/>
    </row>
    <row r="203" spans="1:20" ht="24.95" customHeight="1">
      <c r="A203" s="72" t="s">
        <v>46</v>
      </c>
      <c r="B203" s="75"/>
      <c r="C203" s="75"/>
      <c r="D203" s="75"/>
      <c r="E203" s="4" t="s">
        <v>22</v>
      </c>
      <c r="F203" s="72" t="s">
        <v>47</v>
      </c>
      <c r="G203" s="72"/>
      <c r="H203" s="72" t="s">
        <v>48</v>
      </c>
      <c r="I203" s="72"/>
      <c r="J203" s="72" t="s">
        <v>49</v>
      </c>
      <c r="K203" s="72"/>
      <c r="L203" s="72" t="s">
        <v>50</v>
      </c>
      <c r="M203" s="72"/>
      <c r="T203" s="13"/>
    </row>
    <row r="204" spans="1:20" ht="24.95" customHeight="1">
      <c r="A204" s="10">
        <v>6</v>
      </c>
      <c r="B204" s="66" t="s">
        <v>97</v>
      </c>
      <c r="C204" s="67" t="s">
        <v>51</v>
      </c>
      <c r="D204" s="68" t="s">
        <v>51</v>
      </c>
      <c r="E204" s="4" t="s">
        <v>35</v>
      </c>
      <c r="F204" s="69">
        <v>80</v>
      </c>
      <c r="G204" s="70">
        <v>1261</v>
      </c>
      <c r="H204" s="71">
        <f>H190</f>
        <v>0</v>
      </c>
      <c r="I204" s="71"/>
      <c r="J204" s="71">
        <f>H204+J146</f>
        <v>0</v>
      </c>
      <c r="K204" s="71"/>
      <c r="L204" s="72"/>
      <c r="M204" s="72"/>
      <c r="T204" s="13"/>
    </row>
    <row r="205" spans="1:20" ht="24.95" customHeight="1">
      <c r="A205" s="10">
        <v>7</v>
      </c>
      <c r="B205" s="66" t="s">
        <v>88</v>
      </c>
      <c r="C205" s="67" t="s">
        <v>88</v>
      </c>
      <c r="D205" s="68" t="s">
        <v>88</v>
      </c>
      <c r="E205" s="4" t="s">
        <v>98</v>
      </c>
      <c r="F205" s="69">
        <v>126</v>
      </c>
      <c r="G205" s="70"/>
      <c r="H205" s="71">
        <f>H191</f>
        <v>0</v>
      </c>
      <c r="I205" s="71"/>
      <c r="J205" s="71">
        <f t="shared" ref="J205:J206" si="26">H205+J147</f>
        <v>0</v>
      </c>
      <c r="K205" s="71"/>
      <c r="L205" s="72"/>
      <c r="M205" s="72"/>
      <c r="T205" s="13"/>
    </row>
    <row r="206" spans="1:20" ht="24.95" customHeight="1">
      <c r="A206" s="10">
        <v>8</v>
      </c>
      <c r="B206" s="66" t="s">
        <v>89</v>
      </c>
      <c r="C206" s="67" t="s">
        <v>89</v>
      </c>
      <c r="D206" s="68" t="s">
        <v>89</v>
      </c>
      <c r="E206" s="4" t="s">
        <v>36</v>
      </c>
      <c r="F206" s="69">
        <v>1</v>
      </c>
      <c r="G206" s="70"/>
      <c r="H206" s="71">
        <f>H192</f>
        <v>0</v>
      </c>
      <c r="I206" s="71"/>
      <c r="J206" s="71">
        <f t="shared" si="26"/>
        <v>0</v>
      </c>
      <c r="K206" s="71"/>
      <c r="L206" s="72"/>
      <c r="M206" s="72"/>
      <c r="T206" s="13"/>
    </row>
    <row r="207" spans="1:20" ht="24.95" customHeight="1">
      <c r="A207" s="51" t="s">
        <v>52</v>
      </c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3"/>
      <c r="T207" s="13"/>
    </row>
    <row r="208" spans="1:20" ht="24.95" customHeight="1">
      <c r="A208" s="54" t="s">
        <v>53</v>
      </c>
      <c r="B208" s="63"/>
      <c r="C208" s="63"/>
      <c r="D208" s="59"/>
      <c r="E208" s="4" t="s">
        <v>54</v>
      </c>
      <c r="F208" s="54" t="s">
        <v>55</v>
      </c>
      <c r="G208" s="59"/>
      <c r="H208" s="54" t="s">
        <v>56</v>
      </c>
      <c r="I208" s="59"/>
      <c r="J208" s="54" t="s">
        <v>48</v>
      </c>
      <c r="K208" s="59"/>
      <c r="L208" s="64" t="s">
        <v>49</v>
      </c>
      <c r="M208" s="65"/>
      <c r="T208" s="13"/>
    </row>
    <row r="209" spans="1:20" ht="24.95" customHeight="1">
      <c r="A209" s="54" t="s">
        <v>57</v>
      </c>
      <c r="B209" s="55"/>
      <c r="C209" s="55"/>
      <c r="D209" s="56"/>
      <c r="E209" s="4"/>
      <c r="F209" s="57">
        <f>E209+F151</f>
        <v>4</v>
      </c>
      <c r="G209" s="58"/>
      <c r="H209" s="54" t="s">
        <v>58</v>
      </c>
      <c r="I209" s="59"/>
      <c r="J209" s="54"/>
      <c r="K209" s="59"/>
      <c r="L209" s="57">
        <f>J209+L151</f>
        <v>2</v>
      </c>
      <c r="M209" s="58"/>
      <c r="T209" s="13"/>
    </row>
    <row r="210" spans="1:20" ht="24.95" customHeight="1">
      <c r="A210" s="54" t="s">
        <v>59</v>
      </c>
      <c r="B210" s="55"/>
      <c r="C210" s="55"/>
      <c r="D210" s="56"/>
      <c r="E210" s="4"/>
      <c r="F210" s="57">
        <f t="shared" ref="F210:F212" si="27">E210+F152</f>
        <v>0</v>
      </c>
      <c r="G210" s="58"/>
      <c r="H210" s="54" t="s">
        <v>60</v>
      </c>
      <c r="I210" s="59"/>
      <c r="J210" s="54"/>
      <c r="K210" s="59"/>
      <c r="L210" s="57">
        <f t="shared" ref="L210:L212" si="28">J210+L152</f>
        <v>0</v>
      </c>
      <c r="M210" s="58"/>
      <c r="T210" s="13"/>
    </row>
    <row r="211" spans="1:20" ht="24.95" customHeight="1">
      <c r="A211" s="54" t="s">
        <v>61</v>
      </c>
      <c r="B211" s="55"/>
      <c r="C211" s="55"/>
      <c r="D211" s="56"/>
      <c r="E211" s="4"/>
      <c r="F211" s="57">
        <f t="shared" si="27"/>
        <v>0</v>
      </c>
      <c r="G211" s="58"/>
      <c r="H211" s="54" t="s">
        <v>62</v>
      </c>
      <c r="I211" s="59"/>
      <c r="J211" s="54"/>
      <c r="K211" s="59"/>
      <c r="L211" s="57">
        <f t="shared" si="28"/>
        <v>1</v>
      </c>
      <c r="M211" s="58"/>
      <c r="T211" s="13"/>
    </row>
    <row r="212" spans="1:20" ht="24.95" customHeight="1">
      <c r="A212" s="54" t="s">
        <v>63</v>
      </c>
      <c r="B212" s="55"/>
      <c r="C212" s="55"/>
      <c r="D212" s="56"/>
      <c r="E212" s="4"/>
      <c r="F212" s="57">
        <f t="shared" si="27"/>
        <v>0</v>
      </c>
      <c r="G212" s="58"/>
      <c r="H212" s="54" t="s">
        <v>64</v>
      </c>
      <c r="I212" s="59"/>
      <c r="J212" s="54"/>
      <c r="K212" s="59"/>
      <c r="L212" s="57">
        <f t="shared" si="28"/>
        <v>0</v>
      </c>
      <c r="M212" s="58"/>
      <c r="T212" s="13"/>
    </row>
    <row r="213" spans="1:20" ht="64.5" customHeight="1">
      <c r="A213" s="60" t="s">
        <v>65</v>
      </c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2"/>
      <c r="T213" s="13"/>
    </row>
    <row r="214" spans="1:20" ht="24.95" customHeight="1">
      <c r="A214" s="46" t="s">
        <v>66</v>
      </c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8"/>
      <c r="T214" s="13"/>
    </row>
    <row r="215" spans="1:20" ht="24.95" customHeight="1">
      <c r="A215" s="27"/>
      <c r="B215" s="34" t="s">
        <v>67</v>
      </c>
      <c r="C215" s="34"/>
      <c r="D215" s="34"/>
      <c r="E215" s="34"/>
      <c r="F215" s="34"/>
      <c r="G215" s="35"/>
      <c r="H215" s="34"/>
      <c r="I215" s="34"/>
      <c r="J215" s="34"/>
      <c r="K215" s="34"/>
      <c r="L215" s="34"/>
      <c r="M215" s="36"/>
      <c r="T215" s="13"/>
    </row>
    <row r="216" spans="1:20" ht="24.95" customHeight="1">
      <c r="A216" s="27"/>
      <c r="B216" s="34" t="s">
        <v>81</v>
      </c>
      <c r="C216" s="34"/>
      <c r="D216" s="34"/>
      <c r="E216" s="34"/>
      <c r="F216" s="34"/>
      <c r="G216" s="35"/>
      <c r="H216" s="34"/>
      <c r="I216" s="34"/>
      <c r="J216" s="34"/>
      <c r="K216" s="34"/>
      <c r="L216" s="34"/>
      <c r="M216" s="36"/>
      <c r="T216" s="13"/>
    </row>
    <row r="217" spans="1:20" ht="24.95" customHeight="1">
      <c r="A217" s="27"/>
      <c r="B217" s="34" t="s">
        <v>68</v>
      </c>
      <c r="C217" s="34"/>
      <c r="D217" s="34"/>
      <c r="E217" s="34"/>
      <c r="F217" s="34"/>
      <c r="G217" s="35"/>
      <c r="H217" s="34"/>
      <c r="I217" s="34"/>
      <c r="J217" s="34"/>
      <c r="K217" s="34"/>
      <c r="L217" s="34"/>
      <c r="M217" s="36"/>
      <c r="T217" s="13"/>
    </row>
    <row r="218" spans="1:20" ht="24.95" customHeight="1">
      <c r="A218" s="27"/>
      <c r="B218" s="34" t="s">
        <v>82</v>
      </c>
      <c r="C218" s="34"/>
      <c r="D218" s="34"/>
      <c r="E218" s="34"/>
      <c r="F218" s="34"/>
      <c r="G218" s="35"/>
      <c r="H218" s="34"/>
      <c r="I218" s="34"/>
      <c r="J218" s="34"/>
      <c r="K218" s="34"/>
      <c r="L218" s="34"/>
      <c r="M218" s="36"/>
      <c r="T218" s="13"/>
    </row>
    <row r="219" spans="1:20" ht="24.95" customHeight="1">
      <c r="A219" s="27"/>
      <c r="B219" s="34" t="s">
        <v>99</v>
      </c>
      <c r="C219" s="34"/>
      <c r="D219" s="34"/>
      <c r="E219" s="34"/>
      <c r="F219" s="34"/>
      <c r="G219" s="35"/>
      <c r="H219" s="34"/>
      <c r="I219" s="34"/>
      <c r="J219" s="34"/>
      <c r="K219" s="34"/>
      <c r="L219" s="34"/>
      <c r="M219" s="36"/>
      <c r="T219" s="13"/>
    </row>
    <row r="220" spans="1:20" ht="24.95" customHeight="1">
      <c r="A220" s="37"/>
      <c r="B220" s="49" t="s">
        <v>69</v>
      </c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50"/>
      <c r="T220" s="13"/>
    </row>
    <row r="221" spans="1:20" ht="44.25" customHeight="1">
      <c r="A221" s="51" t="s">
        <v>70</v>
      </c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3"/>
      <c r="T221" s="13"/>
    </row>
    <row r="222" spans="1:20" ht="48" customHeight="1">
      <c r="A222" s="51" t="s">
        <v>71</v>
      </c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3"/>
      <c r="T222" s="13"/>
    </row>
    <row r="223" spans="1:20" ht="81" customHeight="1">
      <c r="A223" s="51" t="s">
        <v>118</v>
      </c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3"/>
      <c r="T223" s="13"/>
    </row>
    <row r="224" spans="1:20" ht="100.5" customHeight="1">
      <c r="A224" s="51" t="s">
        <v>72</v>
      </c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3"/>
      <c r="T224" s="13"/>
    </row>
    <row r="225" spans="1:20" ht="12" customHeight="1">
      <c r="A225" s="41" t="s">
        <v>73</v>
      </c>
      <c r="B225" s="41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38"/>
      <c r="T225" s="13"/>
    </row>
    <row r="226" spans="1:20" ht="12" customHeight="1">
      <c r="A226" s="43" t="s">
        <v>74</v>
      </c>
      <c r="B226" s="43"/>
      <c r="C226" s="40"/>
      <c r="D226" s="40"/>
      <c r="E226" s="40"/>
      <c r="F226" s="40"/>
      <c r="G226" s="40"/>
      <c r="H226" s="40"/>
      <c r="I226" s="40"/>
      <c r="J226" s="40"/>
      <c r="K226" s="40"/>
      <c r="L226" s="38"/>
      <c r="M226" s="38"/>
      <c r="T226" s="13"/>
    </row>
    <row r="227" spans="1:20" ht="12" customHeight="1">
      <c r="A227" s="44" t="s">
        <v>75</v>
      </c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T227" s="13"/>
    </row>
    <row r="228" spans="1:20" ht="12" customHeight="1">
      <c r="A228" s="39" t="s">
        <v>76</v>
      </c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T228" s="13"/>
    </row>
    <row r="229" spans="1:20" ht="12" customHeight="1">
      <c r="A229" s="39" t="s">
        <v>77</v>
      </c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T229" s="13"/>
    </row>
    <row r="230" spans="1:20" ht="12" customHeight="1">
      <c r="A230" s="45" t="s">
        <v>78</v>
      </c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T230" s="13"/>
    </row>
    <row r="231" spans="1:20" ht="12" customHeight="1">
      <c r="A231" s="39" t="s">
        <v>79</v>
      </c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T231" s="13"/>
    </row>
    <row r="232" spans="1:20" ht="409.5" customHeight="1"/>
  </sheetData>
  <mergeCells count="708">
    <mergeCell ref="A1:B1"/>
    <mergeCell ref="A2:B2"/>
    <mergeCell ref="H2:I2"/>
    <mergeCell ref="J2:K2"/>
    <mergeCell ref="L2:M2"/>
    <mergeCell ref="A3:B3"/>
    <mergeCell ref="C3:G3"/>
    <mergeCell ref="H3:I3"/>
    <mergeCell ref="J3:M3"/>
    <mergeCell ref="A4:B4"/>
    <mergeCell ref="A5:C5"/>
    <mergeCell ref="D5:G5"/>
    <mergeCell ref="H5:I5"/>
    <mergeCell ref="J5:M5"/>
    <mergeCell ref="A6:C6"/>
    <mergeCell ref="D6:G6"/>
    <mergeCell ref="H6:I6"/>
    <mergeCell ref="J6:M6"/>
    <mergeCell ref="A7:C7"/>
    <mergeCell ref="D7:G7"/>
    <mergeCell ref="H7:I7"/>
    <mergeCell ref="J7:M7"/>
    <mergeCell ref="A8:M8"/>
    <mergeCell ref="B9:D9"/>
    <mergeCell ref="F9:G9"/>
    <mergeCell ref="H9:I9"/>
    <mergeCell ref="J9:K9"/>
    <mergeCell ref="L9:M9"/>
    <mergeCell ref="B10:D10"/>
    <mergeCell ref="F10:G10"/>
    <mergeCell ref="H10:I10"/>
    <mergeCell ref="J10:K10"/>
    <mergeCell ref="L10:M10"/>
    <mergeCell ref="B11:D11"/>
    <mergeCell ref="F11:G11"/>
    <mergeCell ref="H11:I11"/>
    <mergeCell ref="J11:K11"/>
    <mergeCell ref="L11:M11"/>
    <mergeCell ref="B12:D12"/>
    <mergeCell ref="F12:G12"/>
    <mergeCell ref="H12:I12"/>
    <mergeCell ref="J12:K12"/>
    <mergeCell ref="L12:M12"/>
    <mergeCell ref="B13:D13"/>
    <mergeCell ref="F13:G13"/>
    <mergeCell ref="H13:I13"/>
    <mergeCell ref="J13:K13"/>
    <mergeCell ref="L13:M13"/>
    <mergeCell ref="B14:D14"/>
    <mergeCell ref="F14:G14"/>
    <mergeCell ref="H14:I14"/>
    <mergeCell ref="J14:K14"/>
    <mergeCell ref="L14:M14"/>
    <mergeCell ref="B15:D15"/>
    <mergeCell ref="F15:G15"/>
    <mergeCell ref="H15:I15"/>
    <mergeCell ref="J15:K15"/>
    <mergeCell ref="L15:M15"/>
    <mergeCell ref="B16:D16"/>
    <mergeCell ref="F16:G16"/>
    <mergeCell ref="H16:I16"/>
    <mergeCell ref="J16:K16"/>
    <mergeCell ref="L16:M16"/>
    <mergeCell ref="B17:D17"/>
    <mergeCell ref="F17:G17"/>
    <mergeCell ref="H17:I17"/>
    <mergeCell ref="J17:K17"/>
    <mergeCell ref="L17:M17"/>
    <mergeCell ref="H20:I20"/>
    <mergeCell ref="J20:K20"/>
    <mergeCell ref="L20:M20"/>
    <mergeCell ref="A21:D21"/>
    <mergeCell ref="F21:G21"/>
    <mergeCell ref="H21:I21"/>
    <mergeCell ref="J21:K21"/>
    <mergeCell ref="L21:M21"/>
    <mergeCell ref="B18:D18"/>
    <mergeCell ref="F18:G18"/>
    <mergeCell ref="H18:I18"/>
    <mergeCell ref="J18:K18"/>
    <mergeCell ref="L18:M18"/>
    <mergeCell ref="B19:D19"/>
    <mergeCell ref="F19:G19"/>
    <mergeCell ref="H19:I19"/>
    <mergeCell ref="J19:K19"/>
    <mergeCell ref="L19:M19"/>
    <mergeCell ref="A22:D22"/>
    <mergeCell ref="F22:G22"/>
    <mergeCell ref="H22:I22"/>
    <mergeCell ref="J22:K22"/>
    <mergeCell ref="L22:M22"/>
    <mergeCell ref="B23:D23"/>
    <mergeCell ref="F23:G23"/>
    <mergeCell ref="H23:I23"/>
    <mergeCell ref="J23:K23"/>
    <mergeCell ref="L23:M23"/>
    <mergeCell ref="B24:D24"/>
    <mergeCell ref="F24:G24"/>
    <mergeCell ref="H24:I24"/>
    <mergeCell ref="J24:K24"/>
    <mergeCell ref="L24:M24"/>
    <mergeCell ref="B25:D25"/>
    <mergeCell ref="F25:G25"/>
    <mergeCell ref="H25:I25"/>
    <mergeCell ref="J25:K25"/>
    <mergeCell ref="L25:M25"/>
    <mergeCell ref="A28:M28"/>
    <mergeCell ref="A29:D29"/>
    <mergeCell ref="F29:G29"/>
    <mergeCell ref="H29:I29"/>
    <mergeCell ref="J29:K29"/>
    <mergeCell ref="L29:M29"/>
    <mergeCell ref="B26:D26"/>
    <mergeCell ref="F26:G26"/>
    <mergeCell ref="H26:I26"/>
    <mergeCell ref="J26:K26"/>
    <mergeCell ref="L26:M26"/>
    <mergeCell ref="B27:D27"/>
    <mergeCell ref="F27:G27"/>
    <mergeCell ref="H27:I27"/>
    <mergeCell ref="J27:K27"/>
    <mergeCell ref="L27:M27"/>
    <mergeCell ref="A33:M33"/>
    <mergeCell ref="B32:D32"/>
    <mergeCell ref="F32:G32"/>
    <mergeCell ref="H32:I32"/>
    <mergeCell ref="J32:K32"/>
    <mergeCell ref="L32:M32"/>
    <mergeCell ref="B30:D30"/>
    <mergeCell ref="F30:G30"/>
    <mergeCell ref="H30:I30"/>
    <mergeCell ref="J30:K30"/>
    <mergeCell ref="L30:M30"/>
    <mergeCell ref="B31:D31"/>
    <mergeCell ref="F31:G31"/>
    <mergeCell ref="H31:I31"/>
    <mergeCell ref="J31:K31"/>
    <mergeCell ref="L31:M31"/>
    <mergeCell ref="A34:D34"/>
    <mergeCell ref="F34:G34"/>
    <mergeCell ref="H34:I34"/>
    <mergeCell ref="J34:K34"/>
    <mergeCell ref="L34:M34"/>
    <mergeCell ref="A35:D35"/>
    <mergeCell ref="F35:G35"/>
    <mergeCell ref="H35:I35"/>
    <mergeCell ref="J35:K35"/>
    <mergeCell ref="L35:M35"/>
    <mergeCell ref="A36:D36"/>
    <mergeCell ref="F36:G36"/>
    <mergeCell ref="H36:I36"/>
    <mergeCell ref="J36:K36"/>
    <mergeCell ref="L36:M36"/>
    <mergeCell ref="A37:D37"/>
    <mergeCell ref="F37:G37"/>
    <mergeCell ref="H37:I37"/>
    <mergeCell ref="J37:K37"/>
    <mergeCell ref="L37:M37"/>
    <mergeCell ref="A40:M40"/>
    <mergeCell ref="B46:M46"/>
    <mergeCell ref="A47:M47"/>
    <mergeCell ref="A48:M48"/>
    <mergeCell ref="A49:M49"/>
    <mergeCell ref="A50:M50"/>
    <mergeCell ref="A38:D38"/>
    <mergeCell ref="F38:G38"/>
    <mergeCell ref="H38:I38"/>
    <mergeCell ref="J38:K38"/>
    <mergeCell ref="L38:M38"/>
    <mergeCell ref="A39:M39"/>
    <mergeCell ref="A57:M57"/>
    <mergeCell ref="A59:B59"/>
    <mergeCell ref="A60:B60"/>
    <mergeCell ref="H60:I60"/>
    <mergeCell ref="J60:K60"/>
    <mergeCell ref="L60:M60"/>
    <mergeCell ref="A51:L51"/>
    <mergeCell ref="A52:K52"/>
    <mergeCell ref="A53:M53"/>
    <mergeCell ref="A54:M54"/>
    <mergeCell ref="A55:M55"/>
    <mergeCell ref="A56:M56"/>
    <mergeCell ref="A61:B61"/>
    <mergeCell ref="C61:G61"/>
    <mergeCell ref="H61:I61"/>
    <mergeCell ref="J61:M61"/>
    <mergeCell ref="A62:B62"/>
    <mergeCell ref="A63:C63"/>
    <mergeCell ref="D63:G63"/>
    <mergeCell ref="H63:I63"/>
    <mergeCell ref="J63:M63"/>
    <mergeCell ref="A66:M66"/>
    <mergeCell ref="B67:D67"/>
    <mergeCell ref="F67:G67"/>
    <mergeCell ref="H67:I67"/>
    <mergeCell ref="J67:K67"/>
    <mergeCell ref="L67:M67"/>
    <mergeCell ref="A64:C64"/>
    <mergeCell ref="D64:G64"/>
    <mergeCell ref="H64:I64"/>
    <mergeCell ref="J64:M64"/>
    <mergeCell ref="A65:C65"/>
    <mergeCell ref="D65:G65"/>
    <mergeCell ref="H65:I65"/>
    <mergeCell ref="J65:M65"/>
    <mergeCell ref="B68:D68"/>
    <mergeCell ref="F68:G68"/>
    <mergeCell ref="H68:I68"/>
    <mergeCell ref="J68:K68"/>
    <mergeCell ref="L68:M68"/>
    <mergeCell ref="B69:D69"/>
    <mergeCell ref="F69:G69"/>
    <mergeCell ref="H69:I69"/>
    <mergeCell ref="J69:K69"/>
    <mergeCell ref="L69:M69"/>
    <mergeCell ref="B70:D70"/>
    <mergeCell ref="F70:G70"/>
    <mergeCell ref="H70:I70"/>
    <mergeCell ref="J70:K70"/>
    <mergeCell ref="L70:M70"/>
    <mergeCell ref="B71:D71"/>
    <mergeCell ref="F71:G71"/>
    <mergeCell ref="H71:I71"/>
    <mergeCell ref="J71:K71"/>
    <mergeCell ref="L71:M71"/>
    <mergeCell ref="B72:D72"/>
    <mergeCell ref="F72:G72"/>
    <mergeCell ref="H72:I72"/>
    <mergeCell ref="J72:K72"/>
    <mergeCell ref="L72:M72"/>
    <mergeCell ref="B73:D73"/>
    <mergeCell ref="F73:G73"/>
    <mergeCell ref="H73:I73"/>
    <mergeCell ref="J73:K73"/>
    <mergeCell ref="L73:M73"/>
    <mergeCell ref="B74:D74"/>
    <mergeCell ref="F74:G74"/>
    <mergeCell ref="H74:I74"/>
    <mergeCell ref="J74:K74"/>
    <mergeCell ref="L74:M74"/>
    <mergeCell ref="B75:D75"/>
    <mergeCell ref="F75:G75"/>
    <mergeCell ref="H75:I75"/>
    <mergeCell ref="J75:K75"/>
    <mergeCell ref="L75:M75"/>
    <mergeCell ref="H78:I78"/>
    <mergeCell ref="J78:K78"/>
    <mergeCell ref="L78:M78"/>
    <mergeCell ref="A79:D79"/>
    <mergeCell ref="F79:G79"/>
    <mergeCell ref="H79:I79"/>
    <mergeCell ref="J79:K79"/>
    <mergeCell ref="L79:M79"/>
    <mergeCell ref="B76:D76"/>
    <mergeCell ref="F76:G76"/>
    <mergeCell ref="H76:I76"/>
    <mergeCell ref="J76:K76"/>
    <mergeCell ref="L76:M76"/>
    <mergeCell ref="B77:D77"/>
    <mergeCell ref="F77:G77"/>
    <mergeCell ref="H77:I77"/>
    <mergeCell ref="J77:K77"/>
    <mergeCell ref="L77:M77"/>
    <mergeCell ref="A80:D80"/>
    <mergeCell ref="F80:G80"/>
    <mergeCell ref="H80:I80"/>
    <mergeCell ref="J80:K80"/>
    <mergeCell ref="L80:M80"/>
    <mergeCell ref="B81:D81"/>
    <mergeCell ref="F81:G81"/>
    <mergeCell ref="H81:I81"/>
    <mergeCell ref="J81:K81"/>
    <mergeCell ref="L81:M81"/>
    <mergeCell ref="B82:D82"/>
    <mergeCell ref="F82:G82"/>
    <mergeCell ref="H82:I82"/>
    <mergeCell ref="J82:K82"/>
    <mergeCell ref="L82:M82"/>
    <mergeCell ref="B83:D83"/>
    <mergeCell ref="F83:G83"/>
    <mergeCell ref="H83:I83"/>
    <mergeCell ref="J83:K83"/>
    <mergeCell ref="L83:M83"/>
    <mergeCell ref="A86:M86"/>
    <mergeCell ref="A87:D87"/>
    <mergeCell ref="F87:G87"/>
    <mergeCell ref="H87:I87"/>
    <mergeCell ref="J87:K87"/>
    <mergeCell ref="L87:M87"/>
    <mergeCell ref="B84:D84"/>
    <mergeCell ref="F84:G84"/>
    <mergeCell ref="H84:I84"/>
    <mergeCell ref="J84:K84"/>
    <mergeCell ref="L84:M84"/>
    <mergeCell ref="B85:D85"/>
    <mergeCell ref="F85:G85"/>
    <mergeCell ref="H85:I85"/>
    <mergeCell ref="J85:K85"/>
    <mergeCell ref="L85:M85"/>
    <mergeCell ref="B90:D90"/>
    <mergeCell ref="F90:G90"/>
    <mergeCell ref="H90:I90"/>
    <mergeCell ref="J90:K90"/>
    <mergeCell ref="L90:M90"/>
    <mergeCell ref="A91:M91"/>
    <mergeCell ref="B88:D88"/>
    <mergeCell ref="F88:G88"/>
    <mergeCell ref="H88:I88"/>
    <mergeCell ref="J88:K88"/>
    <mergeCell ref="L88:M88"/>
    <mergeCell ref="B89:D89"/>
    <mergeCell ref="F89:G89"/>
    <mergeCell ref="H89:I89"/>
    <mergeCell ref="J89:K89"/>
    <mergeCell ref="L89:M89"/>
    <mergeCell ref="A92:D92"/>
    <mergeCell ref="F92:G92"/>
    <mergeCell ref="H92:I92"/>
    <mergeCell ref="J92:K92"/>
    <mergeCell ref="L92:M92"/>
    <mergeCell ref="A93:D93"/>
    <mergeCell ref="F93:G93"/>
    <mergeCell ref="H93:I93"/>
    <mergeCell ref="J93:K93"/>
    <mergeCell ref="L93:M93"/>
    <mergeCell ref="A94:D94"/>
    <mergeCell ref="F94:G94"/>
    <mergeCell ref="H94:I94"/>
    <mergeCell ref="J94:K94"/>
    <mergeCell ref="L94:M94"/>
    <mergeCell ref="A95:D95"/>
    <mergeCell ref="F95:G95"/>
    <mergeCell ref="H95:I95"/>
    <mergeCell ref="J95:K95"/>
    <mergeCell ref="L95:M95"/>
    <mergeCell ref="A98:M98"/>
    <mergeCell ref="B104:M104"/>
    <mergeCell ref="A105:M105"/>
    <mergeCell ref="A106:M106"/>
    <mergeCell ref="A107:M107"/>
    <mergeCell ref="A108:M108"/>
    <mergeCell ref="A96:D96"/>
    <mergeCell ref="F96:G96"/>
    <mergeCell ref="H96:I96"/>
    <mergeCell ref="J96:K96"/>
    <mergeCell ref="L96:M96"/>
    <mergeCell ref="A97:M97"/>
    <mergeCell ref="A115:M115"/>
    <mergeCell ref="A117:B117"/>
    <mergeCell ref="A118:B118"/>
    <mergeCell ref="H118:I118"/>
    <mergeCell ref="J118:K118"/>
    <mergeCell ref="L118:M118"/>
    <mergeCell ref="A109:L109"/>
    <mergeCell ref="A110:K110"/>
    <mergeCell ref="A111:M111"/>
    <mergeCell ref="A112:M112"/>
    <mergeCell ref="A113:M113"/>
    <mergeCell ref="A114:M114"/>
    <mergeCell ref="A119:B119"/>
    <mergeCell ref="C119:G119"/>
    <mergeCell ref="H119:I119"/>
    <mergeCell ref="J119:M119"/>
    <mergeCell ref="A120:B120"/>
    <mergeCell ref="A121:C121"/>
    <mergeCell ref="D121:G121"/>
    <mergeCell ref="H121:I121"/>
    <mergeCell ref="J121:M121"/>
    <mergeCell ref="A124:M124"/>
    <mergeCell ref="B125:D125"/>
    <mergeCell ref="F125:G125"/>
    <mergeCell ref="H125:I125"/>
    <mergeCell ref="J125:K125"/>
    <mergeCell ref="L125:M125"/>
    <mergeCell ref="A122:C122"/>
    <mergeCell ref="D122:G122"/>
    <mergeCell ref="H122:I122"/>
    <mergeCell ref="J122:M122"/>
    <mergeCell ref="A123:C123"/>
    <mergeCell ref="D123:G123"/>
    <mergeCell ref="H123:I123"/>
    <mergeCell ref="J123:M123"/>
    <mergeCell ref="B126:D126"/>
    <mergeCell ref="F126:G126"/>
    <mergeCell ref="H126:I126"/>
    <mergeCell ref="J126:K126"/>
    <mergeCell ref="L126:M126"/>
    <mergeCell ref="B127:D127"/>
    <mergeCell ref="F127:G127"/>
    <mergeCell ref="H127:I127"/>
    <mergeCell ref="J127:K127"/>
    <mergeCell ref="L127:M127"/>
    <mergeCell ref="B128:D128"/>
    <mergeCell ref="F128:G128"/>
    <mergeCell ref="H128:I128"/>
    <mergeCell ref="J128:K128"/>
    <mergeCell ref="L128:M128"/>
    <mergeCell ref="B129:D129"/>
    <mergeCell ref="F129:G129"/>
    <mergeCell ref="H129:I129"/>
    <mergeCell ref="J129:K129"/>
    <mergeCell ref="L129:M129"/>
    <mergeCell ref="B130:D130"/>
    <mergeCell ref="F130:G130"/>
    <mergeCell ref="H130:I130"/>
    <mergeCell ref="J130:K130"/>
    <mergeCell ref="L130:M130"/>
    <mergeCell ref="B131:D131"/>
    <mergeCell ref="F131:G131"/>
    <mergeCell ref="H131:I131"/>
    <mergeCell ref="J131:K131"/>
    <mergeCell ref="L131:M131"/>
    <mergeCell ref="B132:D132"/>
    <mergeCell ref="F132:G132"/>
    <mergeCell ref="H132:I132"/>
    <mergeCell ref="J132:K132"/>
    <mergeCell ref="L132:M132"/>
    <mergeCell ref="B133:D133"/>
    <mergeCell ref="F133:G133"/>
    <mergeCell ref="H133:I133"/>
    <mergeCell ref="J133:K133"/>
    <mergeCell ref="L133:M133"/>
    <mergeCell ref="H136:I136"/>
    <mergeCell ref="J136:K136"/>
    <mergeCell ref="L136:M136"/>
    <mergeCell ref="A137:D137"/>
    <mergeCell ref="F137:G137"/>
    <mergeCell ref="H137:I137"/>
    <mergeCell ref="J137:K137"/>
    <mergeCell ref="L137:M137"/>
    <mergeCell ref="B134:D134"/>
    <mergeCell ref="F134:G134"/>
    <mergeCell ref="H134:I134"/>
    <mergeCell ref="J134:K134"/>
    <mergeCell ref="L134:M134"/>
    <mergeCell ref="B135:D135"/>
    <mergeCell ref="F135:G135"/>
    <mergeCell ref="H135:I135"/>
    <mergeCell ref="J135:K135"/>
    <mergeCell ref="L135:M135"/>
    <mergeCell ref="A138:D138"/>
    <mergeCell ref="F138:G138"/>
    <mergeCell ref="H138:I138"/>
    <mergeCell ref="J138:K138"/>
    <mergeCell ref="L138:M138"/>
    <mergeCell ref="B139:D139"/>
    <mergeCell ref="F139:G139"/>
    <mergeCell ref="H139:I139"/>
    <mergeCell ref="J139:K139"/>
    <mergeCell ref="L139:M139"/>
    <mergeCell ref="B140:D140"/>
    <mergeCell ref="F140:G140"/>
    <mergeCell ref="H140:I140"/>
    <mergeCell ref="J140:K140"/>
    <mergeCell ref="L140:M140"/>
    <mergeCell ref="B141:D141"/>
    <mergeCell ref="F141:G141"/>
    <mergeCell ref="H141:I141"/>
    <mergeCell ref="J141:K141"/>
    <mergeCell ref="L141:M141"/>
    <mergeCell ref="A144:M144"/>
    <mergeCell ref="A145:D145"/>
    <mergeCell ref="F145:G145"/>
    <mergeCell ref="H145:I145"/>
    <mergeCell ref="J145:K145"/>
    <mergeCell ref="L145:M145"/>
    <mergeCell ref="B142:D142"/>
    <mergeCell ref="F142:G142"/>
    <mergeCell ref="H142:I142"/>
    <mergeCell ref="J142:K142"/>
    <mergeCell ref="L142:M142"/>
    <mergeCell ref="B143:D143"/>
    <mergeCell ref="F143:G143"/>
    <mergeCell ref="H143:I143"/>
    <mergeCell ref="J143:K143"/>
    <mergeCell ref="L143:M143"/>
    <mergeCell ref="B148:D148"/>
    <mergeCell ref="F148:G148"/>
    <mergeCell ref="H148:I148"/>
    <mergeCell ref="J148:K148"/>
    <mergeCell ref="L148:M148"/>
    <mergeCell ref="A149:M149"/>
    <mergeCell ref="B146:D146"/>
    <mergeCell ref="F146:G146"/>
    <mergeCell ref="H146:I146"/>
    <mergeCell ref="J146:K146"/>
    <mergeCell ref="L146:M146"/>
    <mergeCell ref="B147:D147"/>
    <mergeCell ref="F147:G147"/>
    <mergeCell ref="H147:I147"/>
    <mergeCell ref="J147:K147"/>
    <mergeCell ref="L147:M147"/>
    <mergeCell ref="A150:D150"/>
    <mergeCell ref="F150:G150"/>
    <mergeCell ref="H150:I150"/>
    <mergeCell ref="J150:K150"/>
    <mergeCell ref="L150:M150"/>
    <mergeCell ref="A151:D151"/>
    <mergeCell ref="F151:G151"/>
    <mergeCell ref="H151:I151"/>
    <mergeCell ref="J151:K151"/>
    <mergeCell ref="L151:M151"/>
    <mergeCell ref="A152:D152"/>
    <mergeCell ref="F152:G152"/>
    <mergeCell ref="H152:I152"/>
    <mergeCell ref="J152:K152"/>
    <mergeCell ref="L152:M152"/>
    <mergeCell ref="A153:D153"/>
    <mergeCell ref="F153:G153"/>
    <mergeCell ref="H153:I153"/>
    <mergeCell ref="J153:K153"/>
    <mergeCell ref="L153:M153"/>
    <mergeCell ref="A156:M156"/>
    <mergeCell ref="B162:M162"/>
    <mergeCell ref="A163:M163"/>
    <mergeCell ref="A164:M164"/>
    <mergeCell ref="A165:M165"/>
    <mergeCell ref="A166:M166"/>
    <mergeCell ref="A154:D154"/>
    <mergeCell ref="F154:G154"/>
    <mergeCell ref="H154:I154"/>
    <mergeCell ref="J154:K154"/>
    <mergeCell ref="L154:M154"/>
    <mergeCell ref="A155:M155"/>
    <mergeCell ref="A173:M173"/>
    <mergeCell ref="A175:B175"/>
    <mergeCell ref="A176:B176"/>
    <mergeCell ref="H176:I176"/>
    <mergeCell ref="J176:K176"/>
    <mergeCell ref="L176:M176"/>
    <mergeCell ref="A167:L167"/>
    <mergeCell ref="A168:K168"/>
    <mergeCell ref="A169:M169"/>
    <mergeCell ref="A170:M170"/>
    <mergeCell ref="A171:M171"/>
    <mergeCell ref="A172:M172"/>
    <mergeCell ref="A177:B177"/>
    <mergeCell ref="C177:G177"/>
    <mergeCell ref="H177:I177"/>
    <mergeCell ref="J177:M177"/>
    <mergeCell ref="A178:B178"/>
    <mergeCell ref="A179:C179"/>
    <mergeCell ref="D179:G179"/>
    <mergeCell ref="H179:I179"/>
    <mergeCell ref="J179:M179"/>
    <mergeCell ref="A182:M182"/>
    <mergeCell ref="B183:D183"/>
    <mergeCell ref="F183:G183"/>
    <mergeCell ref="H183:I183"/>
    <mergeCell ref="J183:K183"/>
    <mergeCell ref="L183:M183"/>
    <mergeCell ref="A180:C180"/>
    <mergeCell ref="D180:G180"/>
    <mergeCell ref="H180:I180"/>
    <mergeCell ref="J180:M180"/>
    <mergeCell ref="A181:C181"/>
    <mergeCell ref="D181:G181"/>
    <mergeCell ref="H181:I181"/>
    <mergeCell ref="J181:M181"/>
    <mergeCell ref="B184:D184"/>
    <mergeCell ref="F184:G184"/>
    <mergeCell ref="H184:I184"/>
    <mergeCell ref="J184:K184"/>
    <mergeCell ref="L184:M184"/>
    <mergeCell ref="B185:D185"/>
    <mergeCell ref="F185:G185"/>
    <mergeCell ref="H185:I185"/>
    <mergeCell ref="J185:K185"/>
    <mergeCell ref="L185:M185"/>
    <mergeCell ref="B186:D186"/>
    <mergeCell ref="F186:G186"/>
    <mergeCell ref="H186:I186"/>
    <mergeCell ref="J186:K186"/>
    <mergeCell ref="L186:M186"/>
    <mergeCell ref="B187:D187"/>
    <mergeCell ref="F187:G187"/>
    <mergeCell ref="H187:I187"/>
    <mergeCell ref="J187:K187"/>
    <mergeCell ref="L187:M187"/>
    <mergeCell ref="B188:D188"/>
    <mergeCell ref="F188:G188"/>
    <mergeCell ref="H188:I188"/>
    <mergeCell ref="J188:K188"/>
    <mergeCell ref="L188:M188"/>
    <mergeCell ref="B189:D189"/>
    <mergeCell ref="F189:G189"/>
    <mergeCell ref="H189:I189"/>
    <mergeCell ref="J189:K189"/>
    <mergeCell ref="L189:M189"/>
    <mergeCell ref="B190:D190"/>
    <mergeCell ref="F190:G190"/>
    <mergeCell ref="H190:I190"/>
    <mergeCell ref="J190:K190"/>
    <mergeCell ref="L190:M190"/>
    <mergeCell ref="B191:D191"/>
    <mergeCell ref="F191:G191"/>
    <mergeCell ref="H191:I191"/>
    <mergeCell ref="J191:K191"/>
    <mergeCell ref="L191:M191"/>
    <mergeCell ref="H194:I194"/>
    <mergeCell ref="J194:K194"/>
    <mergeCell ref="L194:M194"/>
    <mergeCell ref="A195:D195"/>
    <mergeCell ref="F195:G195"/>
    <mergeCell ref="H195:I195"/>
    <mergeCell ref="J195:K195"/>
    <mergeCell ref="L195:M195"/>
    <mergeCell ref="B192:D192"/>
    <mergeCell ref="F192:G192"/>
    <mergeCell ref="H192:I192"/>
    <mergeCell ref="J192:K192"/>
    <mergeCell ref="L192:M192"/>
    <mergeCell ref="B193:D193"/>
    <mergeCell ref="F193:G193"/>
    <mergeCell ref="H193:I193"/>
    <mergeCell ref="J193:K193"/>
    <mergeCell ref="L193:M193"/>
    <mergeCell ref="A196:D196"/>
    <mergeCell ref="F196:G196"/>
    <mergeCell ref="H196:I196"/>
    <mergeCell ref="J196:K196"/>
    <mergeCell ref="L196:M196"/>
    <mergeCell ref="B197:D197"/>
    <mergeCell ref="F197:G197"/>
    <mergeCell ref="H197:I197"/>
    <mergeCell ref="J197:K197"/>
    <mergeCell ref="L197:M197"/>
    <mergeCell ref="B198:D198"/>
    <mergeCell ref="F198:G198"/>
    <mergeCell ref="H198:I198"/>
    <mergeCell ref="J198:K198"/>
    <mergeCell ref="L198:M198"/>
    <mergeCell ref="B199:D199"/>
    <mergeCell ref="F199:G199"/>
    <mergeCell ref="H199:I199"/>
    <mergeCell ref="J199:K199"/>
    <mergeCell ref="L199:M199"/>
    <mergeCell ref="A202:M202"/>
    <mergeCell ref="A203:D203"/>
    <mergeCell ref="F203:G203"/>
    <mergeCell ref="H203:I203"/>
    <mergeCell ref="J203:K203"/>
    <mergeCell ref="L203:M203"/>
    <mergeCell ref="B200:D200"/>
    <mergeCell ref="F200:G200"/>
    <mergeCell ref="H200:I200"/>
    <mergeCell ref="J200:K200"/>
    <mergeCell ref="L200:M200"/>
    <mergeCell ref="B201:D201"/>
    <mergeCell ref="F201:G201"/>
    <mergeCell ref="H201:I201"/>
    <mergeCell ref="J201:K201"/>
    <mergeCell ref="L201:M201"/>
    <mergeCell ref="B206:D206"/>
    <mergeCell ref="F206:G206"/>
    <mergeCell ref="H206:I206"/>
    <mergeCell ref="J206:K206"/>
    <mergeCell ref="L206:M206"/>
    <mergeCell ref="A207:M207"/>
    <mergeCell ref="B204:D204"/>
    <mergeCell ref="F204:G204"/>
    <mergeCell ref="H204:I204"/>
    <mergeCell ref="J204:K204"/>
    <mergeCell ref="L204:M204"/>
    <mergeCell ref="B205:D205"/>
    <mergeCell ref="F205:G205"/>
    <mergeCell ref="H205:I205"/>
    <mergeCell ref="J205:K205"/>
    <mergeCell ref="L205:M205"/>
    <mergeCell ref="A208:D208"/>
    <mergeCell ref="F208:G208"/>
    <mergeCell ref="H208:I208"/>
    <mergeCell ref="J208:K208"/>
    <mergeCell ref="L208:M208"/>
    <mergeCell ref="A209:D209"/>
    <mergeCell ref="F209:G209"/>
    <mergeCell ref="H209:I209"/>
    <mergeCell ref="J209:K209"/>
    <mergeCell ref="L209:M209"/>
    <mergeCell ref="A212:D212"/>
    <mergeCell ref="F212:G212"/>
    <mergeCell ref="H212:I212"/>
    <mergeCell ref="J212:K212"/>
    <mergeCell ref="L212:M212"/>
    <mergeCell ref="A213:M213"/>
    <mergeCell ref="A210:D210"/>
    <mergeCell ref="F210:G210"/>
    <mergeCell ref="H210:I210"/>
    <mergeCell ref="J210:K210"/>
    <mergeCell ref="L210:M210"/>
    <mergeCell ref="A211:D211"/>
    <mergeCell ref="F211:G211"/>
    <mergeCell ref="H211:I211"/>
    <mergeCell ref="J211:K211"/>
    <mergeCell ref="L211:M211"/>
    <mergeCell ref="A231:M231"/>
    <mergeCell ref="A225:L225"/>
    <mergeCell ref="A226:K226"/>
    <mergeCell ref="A227:M227"/>
    <mergeCell ref="A228:M228"/>
    <mergeCell ref="A229:M229"/>
    <mergeCell ref="A230:M230"/>
    <mergeCell ref="A214:M214"/>
    <mergeCell ref="B220:M220"/>
    <mergeCell ref="A221:M221"/>
    <mergeCell ref="A222:M222"/>
    <mergeCell ref="A223:M223"/>
    <mergeCell ref="A224:M224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75" orientation="portrait" horizontalDpi="1200" verticalDpi="1200" r:id="rId1"/>
  <headerFooter>
    <oddHeader>&amp;C&amp;"標楷體,標準"&amp;16公共工程
施工日誌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98"/>
  <sheetViews>
    <sheetView tabSelected="1" view="pageBreakPreview" topLeftCell="A1220" zoomScaleSheetLayoutView="100" workbookViewId="0">
      <selection activeCell="J1225" sqref="J1225:M1225"/>
    </sheetView>
  </sheetViews>
  <sheetFormatPr defaultRowHeight="16.5"/>
  <cols>
    <col min="15" max="15" width="9.25" bestFit="1" customWidth="1"/>
    <col min="16" max="16" width="12.375" customWidth="1"/>
    <col min="17" max="17" width="13" customWidth="1"/>
    <col min="19" max="19" width="13.5" customWidth="1"/>
  </cols>
  <sheetData>
    <row r="1" spans="1:20" s="2" customFormat="1" ht="35.1" customHeight="1">
      <c r="A1" s="126" t="s">
        <v>0</v>
      </c>
      <c r="B1" s="126"/>
      <c r="C1" s="1">
        <f>'11月'!C175+1</f>
        <v>5</v>
      </c>
      <c r="G1" s="3"/>
    </row>
    <row r="2" spans="1:20" s="2" customFormat="1" ht="35.1" customHeight="1">
      <c r="A2" s="126" t="s">
        <v>1</v>
      </c>
      <c r="B2" s="126"/>
      <c r="C2" s="2" t="s">
        <v>2</v>
      </c>
      <c r="D2" s="2" t="s">
        <v>103</v>
      </c>
      <c r="E2" s="2" t="s">
        <v>3</v>
      </c>
      <c r="F2" s="2" t="s">
        <v>103</v>
      </c>
      <c r="G2" s="3"/>
      <c r="H2" s="127" t="s">
        <v>4</v>
      </c>
      <c r="I2" s="128"/>
      <c r="J2" s="129">
        <f>'11月'!J176:K176+1</f>
        <v>45992</v>
      </c>
      <c r="K2" s="130"/>
      <c r="L2" s="131">
        <f>J2</f>
        <v>45992</v>
      </c>
      <c r="M2" s="132"/>
    </row>
    <row r="3" spans="1:20" s="2" customFormat="1" ht="30" customHeight="1">
      <c r="A3" s="72" t="s">
        <v>5</v>
      </c>
      <c r="B3" s="114"/>
      <c r="C3" s="119" t="s">
        <v>83</v>
      </c>
      <c r="D3" s="119"/>
      <c r="E3" s="119"/>
      <c r="F3" s="119"/>
      <c r="G3" s="119"/>
      <c r="H3" s="54" t="s">
        <v>6</v>
      </c>
      <c r="I3" s="59"/>
      <c r="J3" s="120"/>
      <c r="K3" s="120"/>
      <c r="L3" s="120"/>
      <c r="M3" s="120"/>
    </row>
    <row r="4" spans="1:20" s="1" customFormat="1" ht="30" customHeight="1">
      <c r="A4" s="72" t="s">
        <v>7</v>
      </c>
      <c r="B4" s="114"/>
      <c r="C4" s="4">
        <v>50</v>
      </c>
      <c r="D4" s="4" t="s">
        <v>8</v>
      </c>
      <c r="E4" s="4" t="s">
        <v>9</v>
      </c>
      <c r="F4" s="4">
        <f>'11月'!F178+1</f>
        <v>5</v>
      </c>
      <c r="G4" s="5" t="s">
        <v>8</v>
      </c>
      <c r="H4" s="4" t="s">
        <v>10</v>
      </c>
      <c r="I4" s="4">
        <f>C4-F4+L4</f>
        <v>45</v>
      </c>
      <c r="J4" s="4" t="s">
        <v>11</v>
      </c>
      <c r="K4" s="6" t="s">
        <v>12</v>
      </c>
      <c r="L4" s="7">
        <f>'11月'!L178</f>
        <v>0</v>
      </c>
      <c r="M4" s="4" t="s">
        <v>8</v>
      </c>
    </row>
    <row r="5" spans="1:20" s="2" customFormat="1" ht="30" customHeight="1">
      <c r="A5" s="72" t="s">
        <v>13</v>
      </c>
      <c r="B5" s="75"/>
      <c r="C5" s="75"/>
      <c r="D5" s="121">
        <f>'11月'!D179:G179</f>
        <v>45988</v>
      </c>
      <c r="E5" s="122"/>
      <c r="F5" s="122"/>
      <c r="G5" s="123"/>
      <c r="H5" s="124" t="s">
        <v>14</v>
      </c>
      <c r="I5" s="125"/>
      <c r="J5" s="121">
        <f>'11月'!J179:M179</f>
        <v>46037</v>
      </c>
      <c r="K5" s="122"/>
      <c r="L5" s="122"/>
      <c r="M5" s="123"/>
    </row>
    <row r="6" spans="1:20" s="2" customFormat="1" ht="30" customHeight="1">
      <c r="A6" s="72" t="s">
        <v>15</v>
      </c>
      <c r="B6" s="114"/>
      <c r="C6" s="114"/>
      <c r="D6" s="72">
        <v>0.45400000000000001</v>
      </c>
      <c r="E6" s="72"/>
      <c r="F6" s="72"/>
      <c r="G6" s="72"/>
      <c r="H6" s="64" t="s">
        <v>16</v>
      </c>
      <c r="I6" s="115"/>
      <c r="J6" s="116">
        <f>P22</f>
        <v>9.7199999999999989</v>
      </c>
      <c r="K6" s="117"/>
      <c r="L6" s="117"/>
      <c r="M6" s="118"/>
    </row>
    <row r="7" spans="1:20" s="2" customFormat="1" ht="30" customHeight="1">
      <c r="A7" s="72" t="s">
        <v>17</v>
      </c>
      <c r="B7" s="114"/>
      <c r="C7" s="114"/>
      <c r="D7" s="72">
        <f>D6+'11月'!D181:G181</f>
        <v>1.794</v>
      </c>
      <c r="E7" s="72"/>
      <c r="F7" s="72"/>
      <c r="G7" s="72"/>
      <c r="H7" s="64" t="s">
        <v>18</v>
      </c>
      <c r="I7" s="115"/>
      <c r="J7" s="116">
        <f>J6+'11月'!J181:M181</f>
        <v>13.04</v>
      </c>
      <c r="K7" s="117"/>
      <c r="L7" s="117"/>
      <c r="M7" s="118"/>
    </row>
    <row r="8" spans="1:20" s="2" customFormat="1" ht="30" customHeight="1">
      <c r="A8" s="111" t="s">
        <v>19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</row>
    <row r="9" spans="1:20" s="2" customFormat="1" ht="30" customHeight="1">
      <c r="A9" s="8" t="s">
        <v>20</v>
      </c>
      <c r="B9" s="72" t="s">
        <v>21</v>
      </c>
      <c r="C9" s="72"/>
      <c r="D9" s="72"/>
      <c r="E9" s="4" t="s">
        <v>22</v>
      </c>
      <c r="F9" s="54" t="s">
        <v>23</v>
      </c>
      <c r="G9" s="59"/>
      <c r="H9" s="72" t="s">
        <v>24</v>
      </c>
      <c r="I9" s="72"/>
      <c r="J9" s="72" t="s">
        <v>25</v>
      </c>
      <c r="K9" s="72"/>
      <c r="L9" s="72" t="s">
        <v>26</v>
      </c>
      <c r="M9" s="72"/>
      <c r="O9" s="1" t="s">
        <v>27</v>
      </c>
      <c r="P9" s="1" t="s">
        <v>28</v>
      </c>
      <c r="T9" s="2" t="s">
        <v>29</v>
      </c>
    </row>
    <row r="10" spans="1:20" s="2" customFormat="1" ht="24.95" customHeight="1">
      <c r="A10" s="9" t="s">
        <v>30</v>
      </c>
      <c r="B10" s="110" t="s">
        <v>31</v>
      </c>
      <c r="C10" s="110"/>
      <c r="D10" s="110"/>
      <c r="E10" s="4"/>
      <c r="F10" s="54"/>
      <c r="G10" s="59"/>
      <c r="H10" s="72"/>
      <c r="I10" s="72"/>
      <c r="J10" s="72"/>
      <c r="K10" s="72"/>
      <c r="L10" s="72"/>
      <c r="M10" s="72"/>
    </row>
    <row r="11" spans="1:20" ht="24.95" customHeight="1">
      <c r="A11" s="10">
        <v>1</v>
      </c>
      <c r="B11" s="66" t="s">
        <v>91</v>
      </c>
      <c r="C11" s="67" t="s">
        <v>91</v>
      </c>
      <c r="D11" s="68" t="s">
        <v>91</v>
      </c>
      <c r="E11" s="4" t="s">
        <v>32</v>
      </c>
      <c r="F11" s="69">
        <v>1</v>
      </c>
      <c r="G11" s="70"/>
      <c r="H11" s="69"/>
      <c r="I11" s="70"/>
      <c r="J11" s="71">
        <f>H11+'11月'!J185:K185</f>
        <v>1</v>
      </c>
      <c r="K11" s="71"/>
      <c r="L11" s="72"/>
      <c r="M11" s="72"/>
      <c r="O11" s="11">
        <v>4000</v>
      </c>
      <c r="P11" s="11">
        <f>ROUND(H11*O11,0)</f>
        <v>0</v>
      </c>
      <c r="Q11" s="12"/>
      <c r="S11" s="11">
        <f>ROUND(J11*O11,0)</f>
        <v>4000</v>
      </c>
      <c r="T11" s="13">
        <f>F11-J11</f>
        <v>0</v>
      </c>
    </row>
    <row r="12" spans="1:20" ht="24.95" customHeight="1">
      <c r="A12" s="10">
        <v>2</v>
      </c>
      <c r="B12" s="66" t="s">
        <v>92</v>
      </c>
      <c r="C12" s="67" t="s">
        <v>92</v>
      </c>
      <c r="D12" s="68" t="s">
        <v>92</v>
      </c>
      <c r="E12" s="4" t="s">
        <v>32</v>
      </c>
      <c r="F12" s="69">
        <v>1</v>
      </c>
      <c r="G12" s="70"/>
      <c r="H12" s="69"/>
      <c r="I12" s="70"/>
      <c r="J12" s="71">
        <f>H12+'11月'!J186:K186</f>
        <v>1</v>
      </c>
      <c r="K12" s="71"/>
      <c r="L12" s="72"/>
      <c r="M12" s="72"/>
      <c r="O12" s="11">
        <v>14334</v>
      </c>
      <c r="P12" s="11">
        <f t="shared" ref="P12:P19" si="0">ROUND(H12*O12,0)</f>
        <v>0</v>
      </c>
      <c r="Q12" s="12"/>
      <c r="S12" s="11">
        <f t="shared" ref="S12:S19" si="1">ROUND(J12*O12,0)</f>
        <v>14334</v>
      </c>
      <c r="T12" s="13">
        <f t="shared" ref="T12:T19" si="2">F12-J12</f>
        <v>0</v>
      </c>
    </row>
    <row r="13" spans="1:20" ht="24.95" customHeight="1">
      <c r="A13" s="10">
        <v>3</v>
      </c>
      <c r="B13" s="66" t="s">
        <v>84</v>
      </c>
      <c r="C13" s="67" t="s">
        <v>84</v>
      </c>
      <c r="D13" s="68" t="s">
        <v>84</v>
      </c>
      <c r="E13" s="4" t="s">
        <v>33</v>
      </c>
      <c r="F13" s="69">
        <v>1</v>
      </c>
      <c r="G13" s="70"/>
      <c r="H13" s="69">
        <v>0.5</v>
      </c>
      <c r="I13" s="70"/>
      <c r="J13" s="71">
        <f>H13+'11月'!J187:K187</f>
        <v>0.5</v>
      </c>
      <c r="K13" s="71"/>
      <c r="L13" s="72"/>
      <c r="M13" s="72"/>
      <c r="O13" s="11">
        <v>7000</v>
      </c>
      <c r="P13" s="11">
        <f t="shared" si="0"/>
        <v>3500</v>
      </c>
      <c r="Q13" s="12"/>
      <c r="S13" s="11">
        <f t="shared" si="1"/>
        <v>3500</v>
      </c>
      <c r="T13" s="13">
        <f t="shared" si="2"/>
        <v>0.5</v>
      </c>
    </row>
    <row r="14" spans="1:20" ht="24.95" customHeight="1">
      <c r="A14" s="10">
        <v>4</v>
      </c>
      <c r="B14" s="66" t="s">
        <v>85</v>
      </c>
      <c r="C14" s="67" t="s">
        <v>85</v>
      </c>
      <c r="D14" s="68" t="s">
        <v>85</v>
      </c>
      <c r="E14" s="4" t="s">
        <v>34</v>
      </c>
      <c r="F14" s="69">
        <v>1</v>
      </c>
      <c r="G14" s="70"/>
      <c r="H14" s="69">
        <v>1</v>
      </c>
      <c r="I14" s="70"/>
      <c r="J14" s="71">
        <f>H14+'11月'!J188:K188</f>
        <v>1</v>
      </c>
      <c r="K14" s="71"/>
      <c r="L14" s="72"/>
      <c r="M14" s="72"/>
      <c r="O14" s="11">
        <v>74000</v>
      </c>
      <c r="P14" s="11">
        <f t="shared" si="0"/>
        <v>74000</v>
      </c>
      <c r="Q14" s="12"/>
      <c r="S14" s="11">
        <f t="shared" si="1"/>
        <v>74000</v>
      </c>
      <c r="T14" s="13">
        <f t="shared" si="2"/>
        <v>0</v>
      </c>
    </row>
    <row r="15" spans="1:20" ht="24.95" customHeight="1">
      <c r="A15" s="10">
        <v>5</v>
      </c>
      <c r="B15" s="66" t="s">
        <v>115</v>
      </c>
      <c r="C15" s="67" t="s">
        <v>86</v>
      </c>
      <c r="D15" s="68" t="s">
        <v>86</v>
      </c>
      <c r="E15" s="4" t="s">
        <v>93</v>
      </c>
      <c r="F15" s="69">
        <v>396</v>
      </c>
      <c r="G15" s="70"/>
      <c r="H15" s="69">
        <v>100</v>
      </c>
      <c r="I15" s="70"/>
      <c r="J15" s="71">
        <f>H15+'11月'!J189:K189</f>
        <v>200</v>
      </c>
      <c r="K15" s="71"/>
      <c r="L15" s="72"/>
      <c r="M15" s="72"/>
      <c r="O15" s="11">
        <v>200</v>
      </c>
      <c r="P15" s="11">
        <f t="shared" si="0"/>
        <v>20000</v>
      </c>
      <c r="Q15" s="12"/>
      <c r="S15" s="11">
        <f t="shared" si="1"/>
        <v>40000</v>
      </c>
      <c r="T15" s="13">
        <f t="shared" si="2"/>
        <v>196</v>
      </c>
    </row>
    <row r="16" spans="1:20" ht="24.95" customHeight="1">
      <c r="A16" s="10">
        <v>6</v>
      </c>
      <c r="B16" s="66" t="s">
        <v>119</v>
      </c>
      <c r="C16" s="67" t="s">
        <v>87</v>
      </c>
      <c r="D16" s="68" t="s">
        <v>87</v>
      </c>
      <c r="E16" s="4" t="s">
        <v>35</v>
      </c>
      <c r="F16" s="69">
        <v>80</v>
      </c>
      <c r="G16" s="70">
        <v>183.6</v>
      </c>
      <c r="H16" s="69">
        <v>10</v>
      </c>
      <c r="I16" s="70"/>
      <c r="J16" s="71">
        <f>H16+'11月'!J190:K190</f>
        <v>10</v>
      </c>
      <c r="K16" s="71"/>
      <c r="L16" s="54"/>
      <c r="M16" s="59"/>
      <c r="O16" s="11">
        <v>1463</v>
      </c>
      <c r="P16" s="11">
        <f t="shared" si="0"/>
        <v>14630</v>
      </c>
      <c r="S16" s="11">
        <f t="shared" si="1"/>
        <v>14630</v>
      </c>
      <c r="T16" s="13">
        <f t="shared" si="2"/>
        <v>70</v>
      </c>
    </row>
    <row r="17" spans="1:20" ht="24.95" customHeight="1">
      <c r="A17" s="10">
        <v>7</v>
      </c>
      <c r="B17" s="66" t="s">
        <v>88</v>
      </c>
      <c r="C17" s="67" t="s">
        <v>88</v>
      </c>
      <c r="D17" s="68" t="s">
        <v>88</v>
      </c>
      <c r="E17" s="4" t="s">
        <v>94</v>
      </c>
      <c r="F17" s="69">
        <v>126</v>
      </c>
      <c r="G17" s="70">
        <v>19</v>
      </c>
      <c r="H17" s="69"/>
      <c r="I17" s="70"/>
      <c r="J17" s="71">
        <f>H17+'11月'!J191:K191</f>
        <v>0</v>
      </c>
      <c r="K17" s="71"/>
      <c r="L17" s="54"/>
      <c r="M17" s="59"/>
      <c r="O17" s="11">
        <v>6350</v>
      </c>
      <c r="P17" s="11">
        <f t="shared" si="0"/>
        <v>0</v>
      </c>
      <c r="S17" s="11">
        <f t="shared" si="1"/>
        <v>0</v>
      </c>
      <c r="T17" s="13">
        <f t="shared" si="2"/>
        <v>126</v>
      </c>
    </row>
    <row r="18" spans="1:20" ht="24.95" customHeight="1">
      <c r="A18" s="10">
        <v>8</v>
      </c>
      <c r="B18" s="66" t="s">
        <v>89</v>
      </c>
      <c r="C18" s="67" t="s">
        <v>89</v>
      </c>
      <c r="D18" s="68" t="s">
        <v>89</v>
      </c>
      <c r="E18" s="4" t="s">
        <v>95</v>
      </c>
      <c r="F18" s="69">
        <v>1</v>
      </c>
      <c r="G18" s="70">
        <v>1192</v>
      </c>
      <c r="H18" s="69"/>
      <c r="I18" s="70"/>
      <c r="J18" s="71">
        <f>H18+'11月'!J192:K192</f>
        <v>0</v>
      </c>
      <c r="K18" s="71"/>
      <c r="L18" s="54"/>
      <c r="M18" s="59"/>
      <c r="O18" s="11">
        <v>47600</v>
      </c>
      <c r="P18" s="11">
        <f t="shared" si="0"/>
        <v>0</v>
      </c>
      <c r="S18" s="11">
        <f t="shared" si="1"/>
        <v>0</v>
      </c>
      <c r="T18" s="13">
        <f t="shared" si="2"/>
        <v>1</v>
      </c>
    </row>
    <row r="19" spans="1:20" ht="24.95" customHeight="1">
      <c r="A19" s="10">
        <v>9</v>
      </c>
      <c r="B19" s="66" t="s">
        <v>90</v>
      </c>
      <c r="C19" s="67" t="s">
        <v>90</v>
      </c>
      <c r="D19" s="68" t="s">
        <v>90</v>
      </c>
      <c r="E19" s="4" t="s">
        <v>96</v>
      </c>
      <c r="F19" s="69">
        <v>1</v>
      </c>
      <c r="G19" s="70">
        <v>1261</v>
      </c>
      <c r="H19" s="69"/>
      <c r="I19" s="70"/>
      <c r="J19" s="71">
        <f>H19+'11月'!J193:K193</f>
        <v>0</v>
      </c>
      <c r="K19" s="71"/>
      <c r="L19" s="54"/>
      <c r="M19" s="59"/>
      <c r="O19" s="11">
        <v>10000</v>
      </c>
      <c r="P19" s="11">
        <f t="shared" si="0"/>
        <v>0</v>
      </c>
      <c r="S19" s="11">
        <f t="shared" si="1"/>
        <v>0</v>
      </c>
      <c r="T19" s="13">
        <f t="shared" si="2"/>
        <v>1</v>
      </c>
    </row>
    <row r="20" spans="1:20" ht="24.95" customHeight="1">
      <c r="A20" s="14"/>
      <c r="B20" s="15"/>
      <c r="C20" s="16"/>
      <c r="D20" s="17"/>
      <c r="E20" s="4"/>
      <c r="F20" s="18"/>
      <c r="G20" s="19"/>
      <c r="H20" s="105"/>
      <c r="I20" s="106"/>
      <c r="J20" s="105"/>
      <c r="K20" s="106"/>
      <c r="L20" s="54"/>
      <c r="M20" s="59"/>
      <c r="N20" s="20"/>
      <c r="P20" s="21" t="s">
        <v>37</v>
      </c>
      <c r="Q20" s="22">
        <f>SUM(P11:P19)</f>
        <v>112130</v>
      </c>
      <c r="R20" s="23"/>
      <c r="S20" s="24">
        <f>SUM(S11:S19)</f>
        <v>150464</v>
      </c>
      <c r="T20" s="13"/>
    </row>
    <row r="21" spans="1:20" ht="24.95" customHeight="1">
      <c r="A21" s="107"/>
      <c r="B21" s="108"/>
      <c r="C21" s="108"/>
      <c r="D21" s="109"/>
      <c r="E21" s="4"/>
      <c r="F21" s="54"/>
      <c r="G21" s="59"/>
      <c r="H21" s="72"/>
      <c r="I21" s="72"/>
      <c r="J21" s="72"/>
      <c r="K21" s="72"/>
      <c r="L21" s="72"/>
      <c r="M21" s="72"/>
      <c r="O21" t="s">
        <v>38</v>
      </c>
      <c r="P21" s="24">
        <f>Q20</f>
        <v>112130</v>
      </c>
      <c r="T21" s="13"/>
    </row>
    <row r="22" spans="1:20" ht="24.95" customHeight="1">
      <c r="A22" s="97"/>
      <c r="B22" s="98"/>
      <c r="C22" s="98"/>
      <c r="D22" s="99"/>
      <c r="E22" s="4"/>
      <c r="F22" s="54"/>
      <c r="G22" s="59"/>
      <c r="H22" s="72"/>
      <c r="I22" s="72"/>
      <c r="J22" s="72"/>
      <c r="K22" s="72"/>
      <c r="L22" s="72"/>
      <c r="M22" s="72"/>
      <c r="O22" t="s">
        <v>39</v>
      </c>
      <c r="P22" s="23">
        <f>ROUND(P21/1153274,4)*100</f>
        <v>9.7199999999999989</v>
      </c>
      <c r="T22" s="13"/>
    </row>
    <row r="23" spans="1:20" ht="24.95" customHeight="1">
      <c r="A23" s="25"/>
      <c r="B23" s="63" t="s">
        <v>40</v>
      </c>
      <c r="C23" s="63"/>
      <c r="D23" s="59"/>
      <c r="E23" s="26"/>
      <c r="F23" s="100"/>
      <c r="G23" s="101"/>
      <c r="H23" s="100"/>
      <c r="I23" s="101"/>
      <c r="J23" s="102"/>
      <c r="K23" s="102"/>
      <c r="L23" s="103">
        <f>P21</f>
        <v>112130</v>
      </c>
      <c r="M23" s="104"/>
      <c r="T23" s="13"/>
    </row>
    <row r="24" spans="1:20" ht="24.95" customHeight="1" thickBot="1">
      <c r="A24" s="27"/>
      <c r="B24" s="85" t="s">
        <v>41</v>
      </c>
      <c r="C24" s="85"/>
      <c r="D24" s="86"/>
      <c r="E24" s="28"/>
      <c r="F24" s="87"/>
      <c r="G24" s="88"/>
      <c r="H24" s="87"/>
      <c r="I24" s="88"/>
      <c r="J24" s="87"/>
      <c r="K24" s="88"/>
      <c r="L24" s="89">
        <f>L23+'11月'!L198:M198</f>
        <v>150464</v>
      </c>
      <c r="M24" s="90"/>
      <c r="T24" s="13"/>
    </row>
    <row r="25" spans="1:20" ht="24.95" customHeight="1">
      <c r="A25" s="29"/>
      <c r="B25" s="91" t="s">
        <v>42</v>
      </c>
      <c r="C25" s="91"/>
      <c r="D25" s="92"/>
      <c r="E25" s="30"/>
      <c r="F25" s="93"/>
      <c r="G25" s="94"/>
      <c r="H25" s="95"/>
      <c r="I25" s="95"/>
      <c r="J25" s="95"/>
      <c r="K25" s="95"/>
      <c r="L25" s="95"/>
      <c r="M25" s="96"/>
      <c r="T25" s="13"/>
    </row>
    <row r="26" spans="1:20" ht="24.95" customHeight="1">
      <c r="A26" s="31"/>
      <c r="B26" s="76" t="s">
        <v>43</v>
      </c>
      <c r="C26" s="76"/>
      <c r="D26" s="77"/>
      <c r="E26" s="4"/>
      <c r="F26" s="54"/>
      <c r="G26" s="59"/>
      <c r="H26" s="72"/>
      <c r="I26" s="72"/>
      <c r="J26" s="72"/>
      <c r="K26" s="72"/>
      <c r="L26" s="72"/>
      <c r="M26" s="78"/>
      <c r="T26" s="13"/>
    </row>
    <row r="27" spans="1:20" ht="24.95" customHeight="1" thickBot="1">
      <c r="A27" s="32"/>
      <c r="B27" s="79" t="s">
        <v>44</v>
      </c>
      <c r="C27" s="79"/>
      <c r="D27" s="80"/>
      <c r="E27" s="33"/>
      <c r="F27" s="81"/>
      <c r="G27" s="82"/>
      <c r="H27" s="83"/>
      <c r="I27" s="83"/>
      <c r="J27" s="83"/>
      <c r="K27" s="83"/>
      <c r="L27" s="83"/>
      <c r="M27" s="84"/>
      <c r="T27" s="13"/>
    </row>
    <row r="28" spans="1:20" ht="24.95" customHeight="1">
      <c r="A28" s="73" t="s">
        <v>45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T28" s="13"/>
    </row>
    <row r="29" spans="1:20" ht="24.95" customHeight="1">
      <c r="A29" s="72" t="s">
        <v>46</v>
      </c>
      <c r="B29" s="75"/>
      <c r="C29" s="75"/>
      <c r="D29" s="75"/>
      <c r="E29" s="4" t="s">
        <v>22</v>
      </c>
      <c r="F29" s="72" t="s">
        <v>47</v>
      </c>
      <c r="G29" s="72"/>
      <c r="H29" s="72" t="s">
        <v>48</v>
      </c>
      <c r="I29" s="72"/>
      <c r="J29" s="72" t="s">
        <v>49</v>
      </c>
      <c r="K29" s="72"/>
      <c r="L29" s="72" t="s">
        <v>50</v>
      </c>
      <c r="M29" s="72"/>
      <c r="T29" s="13"/>
    </row>
    <row r="30" spans="1:20" ht="24.95" customHeight="1">
      <c r="A30" s="10">
        <v>6</v>
      </c>
      <c r="B30" s="66" t="s">
        <v>97</v>
      </c>
      <c r="C30" s="67" t="s">
        <v>51</v>
      </c>
      <c r="D30" s="68" t="s">
        <v>51</v>
      </c>
      <c r="E30" s="4" t="s">
        <v>35</v>
      </c>
      <c r="F30" s="69">
        <v>80</v>
      </c>
      <c r="G30" s="70">
        <v>1261</v>
      </c>
      <c r="H30" s="71">
        <f>H16</f>
        <v>10</v>
      </c>
      <c r="I30" s="71"/>
      <c r="J30" s="71">
        <f>H30+'11月'!J204:K204</f>
        <v>10</v>
      </c>
      <c r="K30" s="71"/>
      <c r="L30" s="72"/>
      <c r="M30" s="72"/>
      <c r="T30" s="13"/>
    </row>
    <row r="31" spans="1:20" ht="24.95" customHeight="1">
      <c r="A31" s="10">
        <v>7</v>
      </c>
      <c r="B31" s="66" t="s">
        <v>88</v>
      </c>
      <c r="C31" s="67" t="s">
        <v>88</v>
      </c>
      <c r="D31" s="68" t="s">
        <v>88</v>
      </c>
      <c r="E31" s="4" t="s">
        <v>98</v>
      </c>
      <c r="F31" s="69">
        <v>126</v>
      </c>
      <c r="G31" s="70"/>
      <c r="H31" s="71">
        <f>H17</f>
        <v>0</v>
      </c>
      <c r="I31" s="71"/>
      <c r="J31" s="71">
        <f>H31+'11月'!J205:K205</f>
        <v>0</v>
      </c>
      <c r="K31" s="71"/>
      <c r="L31" s="72"/>
      <c r="M31" s="72"/>
      <c r="T31" s="13"/>
    </row>
    <row r="32" spans="1:20" ht="24.95" customHeight="1">
      <c r="A32" s="10">
        <v>8</v>
      </c>
      <c r="B32" s="66" t="s">
        <v>89</v>
      </c>
      <c r="C32" s="67" t="s">
        <v>89</v>
      </c>
      <c r="D32" s="68" t="s">
        <v>89</v>
      </c>
      <c r="E32" s="4" t="s">
        <v>36</v>
      </c>
      <c r="F32" s="69">
        <v>1</v>
      </c>
      <c r="G32" s="70"/>
      <c r="H32" s="71">
        <f>H18</f>
        <v>0</v>
      </c>
      <c r="I32" s="71"/>
      <c r="J32" s="71">
        <f>H32+'11月'!J206:K206</f>
        <v>0</v>
      </c>
      <c r="K32" s="71"/>
      <c r="L32" s="72"/>
      <c r="M32" s="72"/>
      <c r="T32" s="13"/>
    </row>
    <row r="33" spans="1:20" ht="24.95" customHeight="1">
      <c r="A33" s="51" t="s">
        <v>52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3"/>
      <c r="T33" s="13"/>
    </row>
    <row r="34" spans="1:20" ht="24.95" customHeight="1">
      <c r="A34" s="54" t="s">
        <v>53</v>
      </c>
      <c r="B34" s="63"/>
      <c r="C34" s="63"/>
      <c r="D34" s="59"/>
      <c r="E34" s="4" t="s">
        <v>54</v>
      </c>
      <c r="F34" s="54" t="s">
        <v>55</v>
      </c>
      <c r="G34" s="59"/>
      <c r="H34" s="54" t="s">
        <v>56</v>
      </c>
      <c r="I34" s="59"/>
      <c r="J34" s="54" t="s">
        <v>48</v>
      </c>
      <c r="K34" s="59"/>
      <c r="L34" s="64" t="s">
        <v>49</v>
      </c>
      <c r="M34" s="65"/>
      <c r="T34" s="13"/>
    </row>
    <row r="35" spans="1:20" ht="24.95" customHeight="1">
      <c r="A35" s="54" t="s">
        <v>57</v>
      </c>
      <c r="B35" s="55"/>
      <c r="C35" s="55"/>
      <c r="D35" s="56"/>
      <c r="E35" s="4">
        <v>2</v>
      </c>
      <c r="F35" s="57">
        <f>E35+'11月'!F209:G209</f>
        <v>6</v>
      </c>
      <c r="G35" s="58"/>
      <c r="H35" s="54" t="s">
        <v>58</v>
      </c>
      <c r="I35" s="59"/>
      <c r="J35" s="54">
        <v>1</v>
      </c>
      <c r="K35" s="59"/>
      <c r="L35" s="57">
        <f>J35+'11月'!L209:M209</f>
        <v>3</v>
      </c>
      <c r="M35" s="58"/>
      <c r="T35" s="13"/>
    </row>
    <row r="36" spans="1:20" ht="24.95" customHeight="1">
      <c r="A36" s="54" t="s">
        <v>59</v>
      </c>
      <c r="B36" s="55"/>
      <c r="C36" s="55"/>
      <c r="D36" s="56"/>
      <c r="E36" s="4"/>
      <c r="F36" s="57">
        <f>E36+'11月'!F210:G210</f>
        <v>0</v>
      </c>
      <c r="G36" s="58"/>
      <c r="H36" s="54" t="s">
        <v>60</v>
      </c>
      <c r="I36" s="59"/>
      <c r="J36" s="54"/>
      <c r="K36" s="59"/>
      <c r="L36" s="57">
        <f>J36+'11月'!L210:M210</f>
        <v>0</v>
      </c>
      <c r="M36" s="58"/>
      <c r="T36" s="13"/>
    </row>
    <row r="37" spans="1:20" ht="24.95" customHeight="1">
      <c r="A37" s="54" t="s">
        <v>61</v>
      </c>
      <c r="B37" s="55"/>
      <c r="C37" s="55"/>
      <c r="D37" s="56"/>
      <c r="E37" s="4"/>
      <c r="F37" s="57">
        <f>E37+'11月'!F211:G211</f>
        <v>0</v>
      </c>
      <c r="G37" s="58"/>
      <c r="H37" s="54" t="s">
        <v>62</v>
      </c>
      <c r="I37" s="59"/>
      <c r="J37" s="54">
        <v>1</v>
      </c>
      <c r="K37" s="59"/>
      <c r="L37" s="57">
        <f>J37+'11月'!L211:M211</f>
        <v>2</v>
      </c>
      <c r="M37" s="58"/>
      <c r="T37" s="13"/>
    </row>
    <row r="38" spans="1:20" ht="24.95" customHeight="1">
      <c r="A38" s="54" t="s">
        <v>63</v>
      </c>
      <c r="B38" s="55"/>
      <c r="C38" s="55"/>
      <c r="D38" s="56"/>
      <c r="E38" s="4"/>
      <c r="F38" s="57">
        <f>E38+'11月'!F212:G212</f>
        <v>0</v>
      </c>
      <c r="G38" s="58"/>
      <c r="H38" s="54" t="s">
        <v>64</v>
      </c>
      <c r="I38" s="59"/>
      <c r="J38" s="54"/>
      <c r="K38" s="59"/>
      <c r="L38" s="57">
        <f>J38+'11月'!L212:M212</f>
        <v>0</v>
      </c>
      <c r="M38" s="58"/>
      <c r="T38" s="13"/>
    </row>
    <row r="39" spans="1:20" ht="64.5" customHeight="1">
      <c r="A39" s="60" t="s">
        <v>65</v>
      </c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2"/>
      <c r="T39" s="13"/>
    </row>
    <row r="40" spans="1:20" ht="24.95" customHeight="1">
      <c r="A40" s="46" t="s">
        <v>66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8"/>
      <c r="T40" s="13"/>
    </row>
    <row r="41" spans="1:20" ht="24.95" customHeight="1">
      <c r="A41" s="27"/>
      <c r="B41" s="34" t="s">
        <v>67</v>
      </c>
      <c r="C41" s="34"/>
      <c r="D41" s="34"/>
      <c r="E41" s="34"/>
      <c r="F41" s="34"/>
      <c r="G41" s="35"/>
      <c r="H41" s="34"/>
      <c r="I41" s="34"/>
      <c r="J41" s="34"/>
      <c r="K41" s="34"/>
      <c r="L41" s="34"/>
      <c r="M41" s="36"/>
      <c r="T41" s="13"/>
    </row>
    <row r="42" spans="1:20" ht="24.95" customHeight="1">
      <c r="A42" s="27"/>
      <c r="B42" s="34" t="s">
        <v>133</v>
      </c>
      <c r="C42" s="34"/>
      <c r="D42" s="34"/>
      <c r="E42" s="34"/>
      <c r="F42" s="34"/>
      <c r="G42" s="35"/>
      <c r="H42" s="34"/>
      <c r="I42" s="34"/>
      <c r="J42" s="34"/>
      <c r="K42" s="34"/>
      <c r="L42" s="34"/>
      <c r="M42" s="36"/>
      <c r="T42" s="13"/>
    </row>
    <row r="43" spans="1:20" ht="24.95" customHeight="1">
      <c r="A43" s="27"/>
      <c r="B43" s="34" t="s">
        <v>68</v>
      </c>
      <c r="C43" s="34"/>
      <c r="D43" s="34"/>
      <c r="E43" s="34"/>
      <c r="F43" s="34"/>
      <c r="G43" s="35"/>
      <c r="H43" s="34"/>
      <c r="I43" s="34"/>
      <c r="J43" s="34"/>
      <c r="K43" s="34"/>
      <c r="L43" s="34"/>
      <c r="M43" s="36"/>
      <c r="T43" s="13"/>
    </row>
    <row r="44" spans="1:20" ht="24.95" customHeight="1">
      <c r="A44" s="27"/>
      <c r="B44" s="34" t="s">
        <v>134</v>
      </c>
      <c r="C44" s="34"/>
      <c r="D44" s="34"/>
      <c r="E44" s="34"/>
      <c r="F44" s="34"/>
      <c r="G44" s="35"/>
      <c r="H44" s="34"/>
      <c r="I44" s="34"/>
      <c r="J44" s="34"/>
      <c r="K44" s="34"/>
      <c r="L44" s="34"/>
      <c r="M44" s="36"/>
      <c r="T44" s="13"/>
    </row>
    <row r="45" spans="1:20" ht="24.95" customHeight="1">
      <c r="A45" s="27"/>
      <c r="B45" s="34" t="s">
        <v>135</v>
      </c>
      <c r="C45" s="34"/>
      <c r="D45" s="34"/>
      <c r="E45" s="34"/>
      <c r="F45" s="34"/>
      <c r="G45" s="35"/>
      <c r="H45" s="34"/>
      <c r="I45" s="34"/>
      <c r="J45" s="34"/>
      <c r="K45" s="34"/>
      <c r="L45" s="34"/>
      <c r="M45" s="36"/>
      <c r="T45" s="13"/>
    </row>
    <row r="46" spans="1:20" ht="24.95" customHeight="1">
      <c r="A46" s="37"/>
      <c r="B46" s="49" t="s">
        <v>69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50"/>
      <c r="T46" s="13"/>
    </row>
    <row r="47" spans="1:20" ht="44.25" customHeight="1">
      <c r="A47" s="51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3"/>
      <c r="T47" s="13"/>
    </row>
    <row r="48" spans="1:20" ht="48" customHeight="1">
      <c r="A48" s="51" t="s">
        <v>71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3"/>
      <c r="T48" s="13"/>
    </row>
    <row r="49" spans="1:20" ht="81" customHeight="1">
      <c r="A49" s="51" t="s">
        <v>120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3"/>
      <c r="T49" s="13"/>
    </row>
    <row r="50" spans="1:20" ht="100.5" customHeight="1">
      <c r="A50" s="51" t="s">
        <v>72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3"/>
      <c r="T50" s="13"/>
    </row>
    <row r="51" spans="1:20" ht="12" customHeight="1">
      <c r="A51" s="41" t="s">
        <v>73</v>
      </c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38"/>
      <c r="T51" s="13"/>
    </row>
    <row r="52" spans="1:20" ht="12" customHeight="1">
      <c r="A52" s="43" t="s">
        <v>74</v>
      </c>
      <c r="B52" s="43"/>
      <c r="C52" s="40"/>
      <c r="D52" s="40"/>
      <c r="E52" s="40"/>
      <c r="F52" s="40"/>
      <c r="G52" s="40"/>
      <c r="H52" s="40"/>
      <c r="I52" s="40"/>
      <c r="J52" s="40"/>
      <c r="K52" s="40"/>
      <c r="L52" s="38"/>
      <c r="M52" s="38"/>
      <c r="T52" s="13"/>
    </row>
    <row r="53" spans="1:20" ht="12" customHeight="1">
      <c r="A53" s="44" t="s">
        <v>75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T53" s="13"/>
    </row>
    <row r="54" spans="1:20" ht="12" customHeight="1">
      <c r="A54" s="39" t="s">
        <v>76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T54" s="13"/>
    </row>
    <row r="55" spans="1:20" ht="12" customHeight="1">
      <c r="A55" s="39" t="s">
        <v>77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T55" s="13"/>
    </row>
    <row r="56" spans="1:20" ht="12" customHeight="1">
      <c r="A56" s="45" t="s">
        <v>78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T56" s="13"/>
    </row>
    <row r="57" spans="1:20" ht="12" customHeight="1">
      <c r="A57" s="39" t="s">
        <v>79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T57" s="13"/>
    </row>
    <row r="58" spans="1:20" ht="409.5" customHeight="1"/>
    <row r="59" spans="1:20" s="2" customFormat="1" ht="35.1" customHeight="1">
      <c r="A59" s="126" t="s">
        <v>0</v>
      </c>
      <c r="B59" s="126"/>
      <c r="C59" s="1">
        <f>C1+1</f>
        <v>6</v>
      </c>
      <c r="G59" s="3"/>
    </row>
    <row r="60" spans="1:20" s="2" customFormat="1" ht="35.1" customHeight="1">
      <c r="A60" s="126" t="s">
        <v>1</v>
      </c>
      <c r="B60" s="126"/>
      <c r="C60" s="2" t="s">
        <v>2</v>
      </c>
      <c r="D60" s="2" t="s">
        <v>103</v>
      </c>
      <c r="E60" s="2" t="s">
        <v>3</v>
      </c>
      <c r="F60" s="2" t="s">
        <v>103</v>
      </c>
      <c r="G60" s="3"/>
      <c r="H60" s="127" t="s">
        <v>4</v>
      </c>
      <c r="I60" s="128"/>
      <c r="J60" s="129">
        <f>J2+1</f>
        <v>45993</v>
      </c>
      <c r="K60" s="130"/>
      <c r="L60" s="131">
        <f>J60</f>
        <v>45993</v>
      </c>
      <c r="M60" s="132"/>
    </row>
    <row r="61" spans="1:20" s="2" customFormat="1" ht="30" customHeight="1">
      <c r="A61" s="72" t="s">
        <v>5</v>
      </c>
      <c r="B61" s="114"/>
      <c r="C61" s="119" t="s">
        <v>83</v>
      </c>
      <c r="D61" s="119"/>
      <c r="E61" s="119"/>
      <c r="F61" s="119"/>
      <c r="G61" s="119"/>
      <c r="H61" s="54" t="s">
        <v>6</v>
      </c>
      <c r="I61" s="59"/>
      <c r="J61" s="120"/>
      <c r="K61" s="120"/>
      <c r="L61" s="120"/>
      <c r="M61" s="120"/>
    </row>
    <row r="62" spans="1:20" s="1" customFormat="1" ht="30" customHeight="1">
      <c r="A62" s="72" t="s">
        <v>7</v>
      </c>
      <c r="B62" s="114"/>
      <c r="C62" s="4">
        <v>50</v>
      </c>
      <c r="D62" s="4" t="s">
        <v>8</v>
      </c>
      <c r="E62" s="4" t="s">
        <v>9</v>
      </c>
      <c r="F62" s="4">
        <f>F4+1</f>
        <v>6</v>
      </c>
      <c r="G62" s="5" t="s">
        <v>8</v>
      </c>
      <c r="H62" s="4" t="s">
        <v>10</v>
      </c>
      <c r="I62" s="4">
        <f>C62-F62+L62</f>
        <v>44</v>
      </c>
      <c r="J62" s="4" t="s">
        <v>11</v>
      </c>
      <c r="K62" s="6" t="s">
        <v>12</v>
      </c>
      <c r="L62" s="7">
        <f>L4</f>
        <v>0</v>
      </c>
      <c r="M62" s="4" t="s">
        <v>8</v>
      </c>
    </row>
    <row r="63" spans="1:20" s="2" customFormat="1" ht="30" customHeight="1">
      <c r="A63" s="72" t="s">
        <v>13</v>
      </c>
      <c r="B63" s="75"/>
      <c r="C63" s="75"/>
      <c r="D63" s="121">
        <f>D5</f>
        <v>45988</v>
      </c>
      <c r="E63" s="122"/>
      <c r="F63" s="122"/>
      <c r="G63" s="123"/>
      <c r="H63" s="124" t="s">
        <v>14</v>
      </c>
      <c r="I63" s="125"/>
      <c r="J63" s="121">
        <f>J5</f>
        <v>46037</v>
      </c>
      <c r="K63" s="122"/>
      <c r="L63" s="122"/>
      <c r="M63" s="123"/>
    </row>
    <row r="64" spans="1:20" s="2" customFormat="1" ht="30" customHeight="1">
      <c r="A64" s="72" t="s">
        <v>15</v>
      </c>
      <c r="B64" s="114"/>
      <c r="C64" s="114"/>
      <c r="D64" s="72">
        <v>4.1000000000000002E-2</v>
      </c>
      <c r="E64" s="72"/>
      <c r="F64" s="72"/>
      <c r="G64" s="72"/>
      <c r="H64" s="64" t="s">
        <v>16</v>
      </c>
      <c r="I64" s="115"/>
      <c r="J64" s="116">
        <f>P80</f>
        <v>1.27</v>
      </c>
      <c r="K64" s="117"/>
      <c r="L64" s="117"/>
      <c r="M64" s="118"/>
    </row>
    <row r="65" spans="1:20" s="2" customFormat="1" ht="30" customHeight="1">
      <c r="A65" s="72" t="s">
        <v>17</v>
      </c>
      <c r="B65" s="114"/>
      <c r="C65" s="114"/>
      <c r="D65" s="72">
        <f>D64+D7</f>
        <v>1.835</v>
      </c>
      <c r="E65" s="72"/>
      <c r="F65" s="72"/>
      <c r="G65" s="72"/>
      <c r="H65" s="64" t="s">
        <v>18</v>
      </c>
      <c r="I65" s="115"/>
      <c r="J65" s="116">
        <f>J64+J7</f>
        <v>14.309999999999999</v>
      </c>
      <c r="K65" s="117"/>
      <c r="L65" s="117"/>
      <c r="M65" s="118"/>
    </row>
    <row r="66" spans="1:20" s="2" customFormat="1" ht="30" customHeight="1">
      <c r="A66" s="111" t="s">
        <v>19</v>
      </c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3"/>
    </row>
    <row r="67" spans="1:20" s="2" customFormat="1" ht="30" customHeight="1">
      <c r="A67" s="8" t="s">
        <v>20</v>
      </c>
      <c r="B67" s="72" t="s">
        <v>21</v>
      </c>
      <c r="C67" s="72"/>
      <c r="D67" s="72"/>
      <c r="E67" s="4" t="s">
        <v>22</v>
      </c>
      <c r="F67" s="54" t="s">
        <v>23</v>
      </c>
      <c r="G67" s="59"/>
      <c r="H67" s="72" t="s">
        <v>24</v>
      </c>
      <c r="I67" s="72"/>
      <c r="J67" s="72" t="s">
        <v>25</v>
      </c>
      <c r="K67" s="72"/>
      <c r="L67" s="72" t="s">
        <v>26</v>
      </c>
      <c r="M67" s="72"/>
      <c r="O67" s="1" t="s">
        <v>27</v>
      </c>
      <c r="P67" s="1" t="s">
        <v>28</v>
      </c>
      <c r="T67" s="2" t="s">
        <v>29</v>
      </c>
    </row>
    <row r="68" spans="1:20" s="2" customFormat="1" ht="24.95" customHeight="1">
      <c r="A68" s="9" t="s">
        <v>30</v>
      </c>
      <c r="B68" s="110" t="s">
        <v>31</v>
      </c>
      <c r="C68" s="110"/>
      <c r="D68" s="110"/>
      <c r="E68" s="4"/>
      <c r="F68" s="54"/>
      <c r="G68" s="59"/>
      <c r="H68" s="72"/>
      <c r="I68" s="72"/>
      <c r="J68" s="72"/>
      <c r="K68" s="72"/>
      <c r="L68" s="72"/>
      <c r="M68" s="72"/>
    </row>
    <row r="69" spans="1:20" ht="24.95" customHeight="1">
      <c r="A69" s="10">
        <v>1</v>
      </c>
      <c r="B69" s="66" t="s">
        <v>91</v>
      </c>
      <c r="C69" s="67" t="s">
        <v>91</v>
      </c>
      <c r="D69" s="68" t="s">
        <v>91</v>
      </c>
      <c r="E69" s="4" t="s">
        <v>32</v>
      </c>
      <c r="F69" s="69">
        <v>1</v>
      </c>
      <c r="G69" s="70"/>
      <c r="H69" s="69"/>
      <c r="I69" s="70"/>
      <c r="J69" s="71">
        <f>H69+J11</f>
        <v>1</v>
      </c>
      <c r="K69" s="71"/>
      <c r="L69" s="72"/>
      <c r="M69" s="72"/>
      <c r="O69" s="11">
        <v>4000</v>
      </c>
      <c r="P69" s="11">
        <f>ROUND(H69*O69,0)</f>
        <v>0</v>
      </c>
      <c r="Q69" s="12"/>
      <c r="S69" s="11">
        <f>ROUND(J69*O69,0)</f>
        <v>4000</v>
      </c>
      <c r="T69" s="13">
        <f>F69-J69</f>
        <v>0</v>
      </c>
    </row>
    <row r="70" spans="1:20" ht="24.95" customHeight="1">
      <c r="A70" s="10">
        <v>2</v>
      </c>
      <c r="B70" s="66" t="s">
        <v>92</v>
      </c>
      <c r="C70" s="67" t="s">
        <v>92</v>
      </c>
      <c r="D70" s="68" t="s">
        <v>92</v>
      </c>
      <c r="E70" s="4" t="s">
        <v>32</v>
      </c>
      <c r="F70" s="69">
        <v>1</v>
      </c>
      <c r="G70" s="70"/>
      <c r="H70" s="69"/>
      <c r="I70" s="70"/>
      <c r="J70" s="71">
        <f t="shared" ref="J70:J77" si="3">H70+J12</f>
        <v>1</v>
      </c>
      <c r="K70" s="71"/>
      <c r="L70" s="72"/>
      <c r="M70" s="72"/>
      <c r="O70" s="11">
        <v>14334</v>
      </c>
      <c r="P70" s="11">
        <f t="shared" ref="P70:P77" si="4">ROUND(H70*O70,0)</f>
        <v>0</v>
      </c>
      <c r="Q70" s="12"/>
      <c r="S70" s="11">
        <f t="shared" ref="S70:S77" si="5">ROUND(J70*O70,0)</f>
        <v>14334</v>
      </c>
      <c r="T70" s="13">
        <f t="shared" ref="T70:T77" si="6">F70-J70</f>
        <v>0</v>
      </c>
    </row>
    <row r="71" spans="1:20" ht="24.95" customHeight="1">
      <c r="A71" s="10">
        <v>3</v>
      </c>
      <c r="B71" s="66" t="s">
        <v>84</v>
      </c>
      <c r="C71" s="67" t="s">
        <v>84</v>
      </c>
      <c r="D71" s="68" t="s">
        <v>84</v>
      </c>
      <c r="E71" s="4" t="s">
        <v>33</v>
      </c>
      <c r="F71" s="69">
        <v>1</v>
      </c>
      <c r="G71" s="70"/>
      <c r="H71" s="69"/>
      <c r="I71" s="70"/>
      <c r="J71" s="71">
        <f t="shared" si="3"/>
        <v>0.5</v>
      </c>
      <c r="K71" s="71"/>
      <c r="L71" s="72"/>
      <c r="M71" s="72"/>
      <c r="O71" s="11">
        <v>7000</v>
      </c>
      <c r="P71" s="11">
        <f t="shared" si="4"/>
        <v>0</v>
      </c>
      <c r="Q71" s="12"/>
      <c r="S71" s="11">
        <f t="shared" si="5"/>
        <v>3500</v>
      </c>
      <c r="T71" s="13">
        <f t="shared" si="6"/>
        <v>0.5</v>
      </c>
    </row>
    <row r="72" spans="1:20" ht="24.95" customHeight="1">
      <c r="A72" s="10">
        <v>4</v>
      </c>
      <c r="B72" s="66" t="s">
        <v>85</v>
      </c>
      <c r="C72" s="67" t="s">
        <v>85</v>
      </c>
      <c r="D72" s="68" t="s">
        <v>85</v>
      </c>
      <c r="E72" s="4" t="s">
        <v>34</v>
      </c>
      <c r="F72" s="69">
        <v>1</v>
      </c>
      <c r="G72" s="70"/>
      <c r="H72" s="69"/>
      <c r="I72" s="70"/>
      <c r="J72" s="71">
        <f t="shared" si="3"/>
        <v>1</v>
      </c>
      <c r="K72" s="71"/>
      <c r="L72" s="72"/>
      <c r="M72" s="72"/>
      <c r="O72" s="11">
        <v>74000</v>
      </c>
      <c r="P72" s="11">
        <f t="shared" si="4"/>
        <v>0</v>
      </c>
      <c r="Q72" s="12"/>
      <c r="S72" s="11">
        <f t="shared" si="5"/>
        <v>74000</v>
      </c>
      <c r="T72" s="13">
        <f t="shared" si="6"/>
        <v>0</v>
      </c>
    </row>
    <row r="73" spans="1:20" ht="24.95" customHeight="1">
      <c r="A73" s="10">
        <v>5</v>
      </c>
      <c r="B73" s="66" t="s">
        <v>86</v>
      </c>
      <c r="C73" s="67" t="s">
        <v>86</v>
      </c>
      <c r="D73" s="68" t="s">
        <v>86</v>
      </c>
      <c r="E73" s="4" t="s">
        <v>93</v>
      </c>
      <c r="F73" s="69">
        <v>396</v>
      </c>
      <c r="G73" s="70"/>
      <c r="H73" s="69"/>
      <c r="I73" s="70"/>
      <c r="J73" s="71">
        <f t="shared" si="3"/>
        <v>200</v>
      </c>
      <c r="K73" s="71"/>
      <c r="L73" s="72"/>
      <c r="M73" s="72"/>
      <c r="O73" s="11">
        <v>200</v>
      </c>
      <c r="P73" s="11">
        <f t="shared" si="4"/>
        <v>0</v>
      </c>
      <c r="Q73" s="12"/>
      <c r="S73" s="11">
        <f t="shared" si="5"/>
        <v>40000</v>
      </c>
      <c r="T73" s="13">
        <f t="shared" si="6"/>
        <v>196</v>
      </c>
    </row>
    <row r="74" spans="1:20" ht="24.95" customHeight="1">
      <c r="A74" s="10">
        <v>6</v>
      </c>
      <c r="B74" s="66" t="s">
        <v>121</v>
      </c>
      <c r="C74" s="67" t="s">
        <v>87</v>
      </c>
      <c r="D74" s="68" t="s">
        <v>87</v>
      </c>
      <c r="E74" s="4" t="s">
        <v>35</v>
      </c>
      <c r="F74" s="69">
        <v>80</v>
      </c>
      <c r="G74" s="70">
        <v>183.6</v>
      </c>
      <c r="H74" s="69">
        <v>10</v>
      </c>
      <c r="I74" s="70"/>
      <c r="J74" s="71">
        <f t="shared" si="3"/>
        <v>20</v>
      </c>
      <c r="K74" s="71"/>
      <c r="L74" s="54"/>
      <c r="M74" s="59"/>
      <c r="O74" s="11">
        <v>1463</v>
      </c>
      <c r="P74" s="11">
        <f t="shared" si="4"/>
        <v>14630</v>
      </c>
      <c r="S74" s="11">
        <f t="shared" si="5"/>
        <v>29260</v>
      </c>
      <c r="T74" s="13">
        <f t="shared" si="6"/>
        <v>60</v>
      </c>
    </row>
    <row r="75" spans="1:20" ht="24.95" customHeight="1">
      <c r="A75" s="10">
        <v>7</v>
      </c>
      <c r="B75" s="66" t="s">
        <v>88</v>
      </c>
      <c r="C75" s="67" t="s">
        <v>88</v>
      </c>
      <c r="D75" s="68" t="s">
        <v>88</v>
      </c>
      <c r="E75" s="4" t="s">
        <v>94</v>
      </c>
      <c r="F75" s="69">
        <v>126</v>
      </c>
      <c r="G75" s="70">
        <v>19</v>
      </c>
      <c r="H75" s="69"/>
      <c r="I75" s="70"/>
      <c r="J75" s="71">
        <f t="shared" si="3"/>
        <v>0</v>
      </c>
      <c r="K75" s="71"/>
      <c r="L75" s="54"/>
      <c r="M75" s="59"/>
      <c r="O75" s="11">
        <v>6350</v>
      </c>
      <c r="P75" s="11">
        <f t="shared" si="4"/>
        <v>0</v>
      </c>
      <c r="S75" s="11">
        <f t="shared" si="5"/>
        <v>0</v>
      </c>
      <c r="T75" s="13">
        <f t="shared" si="6"/>
        <v>126</v>
      </c>
    </row>
    <row r="76" spans="1:20" ht="24.95" customHeight="1">
      <c r="A76" s="10">
        <v>8</v>
      </c>
      <c r="B76" s="66" t="s">
        <v>89</v>
      </c>
      <c r="C76" s="67" t="s">
        <v>89</v>
      </c>
      <c r="D76" s="68" t="s">
        <v>89</v>
      </c>
      <c r="E76" s="4" t="s">
        <v>95</v>
      </c>
      <c r="F76" s="69">
        <v>1</v>
      </c>
      <c r="G76" s="70">
        <v>1192</v>
      </c>
      <c r="H76" s="69"/>
      <c r="I76" s="70"/>
      <c r="J76" s="71">
        <f t="shared" si="3"/>
        <v>0</v>
      </c>
      <c r="K76" s="71"/>
      <c r="L76" s="54"/>
      <c r="M76" s="59"/>
      <c r="O76" s="11">
        <v>47600</v>
      </c>
      <c r="P76" s="11">
        <f t="shared" si="4"/>
        <v>0</v>
      </c>
      <c r="S76" s="11">
        <f t="shared" si="5"/>
        <v>0</v>
      </c>
      <c r="T76" s="13">
        <f t="shared" si="6"/>
        <v>1</v>
      </c>
    </row>
    <row r="77" spans="1:20" ht="24.95" customHeight="1">
      <c r="A77" s="10">
        <v>9</v>
      </c>
      <c r="B77" s="66" t="s">
        <v>90</v>
      </c>
      <c r="C77" s="67" t="s">
        <v>90</v>
      </c>
      <c r="D77" s="68" t="s">
        <v>90</v>
      </c>
      <c r="E77" s="4" t="s">
        <v>96</v>
      </c>
      <c r="F77" s="69">
        <v>1</v>
      </c>
      <c r="G77" s="70">
        <v>1261</v>
      </c>
      <c r="H77" s="69"/>
      <c r="I77" s="70"/>
      <c r="J77" s="71">
        <f t="shared" si="3"/>
        <v>0</v>
      </c>
      <c r="K77" s="71"/>
      <c r="L77" s="54"/>
      <c r="M77" s="59"/>
      <c r="O77" s="11">
        <v>10000</v>
      </c>
      <c r="P77" s="11">
        <f t="shared" si="4"/>
        <v>0</v>
      </c>
      <c r="S77" s="11">
        <f t="shared" si="5"/>
        <v>0</v>
      </c>
      <c r="T77" s="13">
        <f t="shared" si="6"/>
        <v>1</v>
      </c>
    </row>
    <row r="78" spans="1:20" ht="24.95" customHeight="1">
      <c r="A78" s="14"/>
      <c r="B78" s="15"/>
      <c r="C78" s="16"/>
      <c r="D78" s="17"/>
      <c r="E78" s="4"/>
      <c r="F78" s="18"/>
      <c r="G78" s="19"/>
      <c r="H78" s="105"/>
      <c r="I78" s="106"/>
      <c r="J78" s="105"/>
      <c r="K78" s="106"/>
      <c r="L78" s="54"/>
      <c r="M78" s="59"/>
      <c r="N78" s="20"/>
      <c r="P78" s="21" t="s">
        <v>37</v>
      </c>
      <c r="Q78" s="22">
        <f>SUM(P69:P77)</f>
        <v>14630</v>
      </c>
      <c r="R78" s="23"/>
      <c r="S78" s="24">
        <f>SUM(S69:S77)</f>
        <v>165094</v>
      </c>
      <c r="T78" s="13"/>
    </row>
    <row r="79" spans="1:20" ht="24.95" customHeight="1">
      <c r="A79" s="107"/>
      <c r="B79" s="108"/>
      <c r="C79" s="108"/>
      <c r="D79" s="109"/>
      <c r="E79" s="4"/>
      <c r="F79" s="54"/>
      <c r="G79" s="59"/>
      <c r="H79" s="72"/>
      <c r="I79" s="72"/>
      <c r="J79" s="72"/>
      <c r="K79" s="72"/>
      <c r="L79" s="72"/>
      <c r="M79" s="72"/>
      <c r="O79" t="s">
        <v>38</v>
      </c>
      <c r="P79" s="24">
        <f>Q78</f>
        <v>14630</v>
      </c>
      <c r="T79" s="13"/>
    </row>
    <row r="80" spans="1:20" ht="24.95" customHeight="1">
      <c r="A80" s="97"/>
      <c r="B80" s="98"/>
      <c r="C80" s="98"/>
      <c r="D80" s="99"/>
      <c r="E80" s="4"/>
      <c r="F80" s="54"/>
      <c r="G80" s="59"/>
      <c r="H80" s="72"/>
      <c r="I80" s="72"/>
      <c r="J80" s="72"/>
      <c r="K80" s="72"/>
      <c r="L80" s="72"/>
      <c r="M80" s="72"/>
      <c r="O80" t="s">
        <v>39</v>
      </c>
      <c r="P80" s="23">
        <f>ROUND(P79/1153274,4)*100</f>
        <v>1.27</v>
      </c>
      <c r="T80" s="13"/>
    </row>
    <row r="81" spans="1:20" ht="24.95" customHeight="1">
      <c r="A81" s="25"/>
      <c r="B81" s="63" t="s">
        <v>40</v>
      </c>
      <c r="C81" s="63"/>
      <c r="D81" s="59"/>
      <c r="E81" s="26"/>
      <c r="F81" s="100"/>
      <c r="G81" s="101"/>
      <c r="H81" s="100"/>
      <c r="I81" s="101"/>
      <c r="J81" s="102"/>
      <c r="K81" s="102"/>
      <c r="L81" s="103">
        <f>P79</f>
        <v>14630</v>
      </c>
      <c r="M81" s="104"/>
      <c r="T81" s="13"/>
    </row>
    <row r="82" spans="1:20" ht="24.95" customHeight="1" thickBot="1">
      <c r="A82" s="27"/>
      <c r="B82" s="85" t="s">
        <v>41</v>
      </c>
      <c r="C82" s="85"/>
      <c r="D82" s="86"/>
      <c r="E82" s="28"/>
      <c r="F82" s="87"/>
      <c r="G82" s="88"/>
      <c r="H82" s="87"/>
      <c r="I82" s="88"/>
      <c r="J82" s="87"/>
      <c r="K82" s="88"/>
      <c r="L82" s="89">
        <f>L81+L24</f>
        <v>165094</v>
      </c>
      <c r="M82" s="90"/>
      <c r="T82" s="13"/>
    </row>
    <row r="83" spans="1:20" ht="24.95" customHeight="1">
      <c r="A83" s="29"/>
      <c r="B83" s="91" t="s">
        <v>42</v>
      </c>
      <c r="C83" s="91"/>
      <c r="D83" s="92"/>
      <c r="E83" s="30"/>
      <c r="F83" s="93"/>
      <c r="G83" s="94"/>
      <c r="H83" s="95"/>
      <c r="I83" s="95"/>
      <c r="J83" s="95"/>
      <c r="K83" s="95"/>
      <c r="L83" s="95"/>
      <c r="M83" s="96"/>
      <c r="T83" s="13"/>
    </row>
    <row r="84" spans="1:20" ht="24.95" customHeight="1">
      <c r="A84" s="31"/>
      <c r="B84" s="76" t="s">
        <v>43</v>
      </c>
      <c r="C84" s="76"/>
      <c r="D84" s="77"/>
      <c r="E84" s="4"/>
      <c r="F84" s="54"/>
      <c r="G84" s="59"/>
      <c r="H84" s="72"/>
      <c r="I84" s="72"/>
      <c r="J84" s="72"/>
      <c r="K84" s="72"/>
      <c r="L84" s="72"/>
      <c r="M84" s="78"/>
      <c r="T84" s="13"/>
    </row>
    <row r="85" spans="1:20" ht="24.95" customHeight="1" thickBot="1">
      <c r="A85" s="32"/>
      <c r="B85" s="79" t="s">
        <v>44</v>
      </c>
      <c r="C85" s="79"/>
      <c r="D85" s="80"/>
      <c r="E85" s="33"/>
      <c r="F85" s="81"/>
      <c r="G85" s="82"/>
      <c r="H85" s="83"/>
      <c r="I85" s="83"/>
      <c r="J85" s="83"/>
      <c r="K85" s="83"/>
      <c r="L85" s="83"/>
      <c r="M85" s="84"/>
      <c r="T85" s="13"/>
    </row>
    <row r="86" spans="1:20" ht="24.95" customHeight="1">
      <c r="A86" s="73" t="s">
        <v>45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T86" s="13"/>
    </row>
    <row r="87" spans="1:20" ht="24.95" customHeight="1">
      <c r="A87" s="72" t="s">
        <v>46</v>
      </c>
      <c r="B87" s="75"/>
      <c r="C87" s="75"/>
      <c r="D87" s="75"/>
      <c r="E87" s="4" t="s">
        <v>22</v>
      </c>
      <c r="F87" s="72" t="s">
        <v>47</v>
      </c>
      <c r="G87" s="72"/>
      <c r="H87" s="72" t="s">
        <v>48</v>
      </c>
      <c r="I87" s="72"/>
      <c r="J87" s="72" t="s">
        <v>49</v>
      </c>
      <c r="K87" s="72"/>
      <c r="L87" s="72" t="s">
        <v>50</v>
      </c>
      <c r="M87" s="72"/>
      <c r="T87" s="13"/>
    </row>
    <row r="88" spans="1:20" ht="24.95" customHeight="1">
      <c r="A88" s="10">
        <v>6</v>
      </c>
      <c r="B88" s="66" t="s">
        <v>97</v>
      </c>
      <c r="C88" s="67" t="s">
        <v>51</v>
      </c>
      <c r="D88" s="68" t="s">
        <v>51</v>
      </c>
      <c r="E88" s="4" t="s">
        <v>35</v>
      </c>
      <c r="F88" s="69">
        <v>80</v>
      </c>
      <c r="G88" s="70">
        <v>1261</v>
      </c>
      <c r="H88" s="71">
        <f>H74</f>
        <v>10</v>
      </c>
      <c r="I88" s="71"/>
      <c r="J88" s="71">
        <f>H88+J30</f>
        <v>20</v>
      </c>
      <c r="K88" s="71"/>
      <c r="L88" s="72"/>
      <c r="M88" s="72"/>
      <c r="T88" s="13"/>
    </row>
    <row r="89" spans="1:20" ht="24.95" customHeight="1">
      <c r="A89" s="10">
        <v>7</v>
      </c>
      <c r="B89" s="66" t="s">
        <v>88</v>
      </c>
      <c r="C89" s="67" t="s">
        <v>88</v>
      </c>
      <c r="D89" s="68" t="s">
        <v>88</v>
      </c>
      <c r="E89" s="4" t="s">
        <v>98</v>
      </c>
      <c r="F89" s="69">
        <v>126</v>
      </c>
      <c r="G89" s="70"/>
      <c r="H89" s="71">
        <f>H75</f>
        <v>0</v>
      </c>
      <c r="I89" s="71"/>
      <c r="J89" s="71">
        <f t="shared" ref="J89:J90" si="7">H89+J31</f>
        <v>0</v>
      </c>
      <c r="K89" s="71"/>
      <c r="L89" s="72"/>
      <c r="M89" s="72"/>
      <c r="T89" s="13"/>
    </row>
    <row r="90" spans="1:20" ht="24.95" customHeight="1">
      <c r="A90" s="10">
        <v>8</v>
      </c>
      <c r="B90" s="66" t="s">
        <v>89</v>
      </c>
      <c r="C90" s="67" t="s">
        <v>89</v>
      </c>
      <c r="D90" s="68" t="s">
        <v>89</v>
      </c>
      <c r="E90" s="4" t="s">
        <v>36</v>
      </c>
      <c r="F90" s="69">
        <v>1</v>
      </c>
      <c r="G90" s="70"/>
      <c r="H90" s="71">
        <f>H76</f>
        <v>0</v>
      </c>
      <c r="I90" s="71"/>
      <c r="J90" s="71">
        <f t="shared" si="7"/>
        <v>0</v>
      </c>
      <c r="K90" s="71"/>
      <c r="L90" s="72"/>
      <c r="M90" s="72"/>
      <c r="T90" s="13"/>
    </row>
    <row r="91" spans="1:20" ht="24.95" customHeight="1">
      <c r="A91" s="51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3"/>
      <c r="T91" s="13"/>
    </row>
    <row r="92" spans="1:20" ht="24.95" customHeight="1">
      <c r="A92" s="54" t="s">
        <v>53</v>
      </c>
      <c r="B92" s="63"/>
      <c r="C92" s="63"/>
      <c r="D92" s="59"/>
      <c r="E92" s="4" t="s">
        <v>54</v>
      </c>
      <c r="F92" s="54" t="s">
        <v>55</v>
      </c>
      <c r="G92" s="59"/>
      <c r="H92" s="54" t="s">
        <v>56</v>
      </c>
      <c r="I92" s="59"/>
      <c r="J92" s="54" t="s">
        <v>48</v>
      </c>
      <c r="K92" s="59"/>
      <c r="L92" s="64" t="s">
        <v>49</v>
      </c>
      <c r="M92" s="65"/>
      <c r="T92" s="13"/>
    </row>
    <row r="93" spans="1:20" ht="24.95" customHeight="1">
      <c r="A93" s="54" t="s">
        <v>57</v>
      </c>
      <c r="B93" s="55"/>
      <c r="C93" s="55"/>
      <c r="D93" s="56"/>
      <c r="E93" s="4">
        <v>2</v>
      </c>
      <c r="F93" s="57">
        <f>E93+F35</f>
        <v>8</v>
      </c>
      <c r="G93" s="58"/>
      <c r="H93" s="54" t="s">
        <v>58</v>
      </c>
      <c r="I93" s="59"/>
      <c r="J93" s="54">
        <v>1</v>
      </c>
      <c r="K93" s="59"/>
      <c r="L93" s="57">
        <f>J93+L35</f>
        <v>4</v>
      </c>
      <c r="M93" s="58"/>
      <c r="T93" s="13"/>
    </row>
    <row r="94" spans="1:20" ht="24.95" customHeight="1">
      <c r="A94" s="54" t="s">
        <v>59</v>
      </c>
      <c r="B94" s="55"/>
      <c r="C94" s="55"/>
      <c r="D94" s="56"/>
      <c r="E94" s="4"/>
      <c r="F94" s="57">
        <f t="shared" ref="F94:F96" si="8">E94+F36</f>
        <v>0</v>
      </c>
      <c r="G94" s="58"/>
      <c r="H94" s="54" t="s">
        <v>60</v>
      </c>
      <c r="I94" s="59"/>
      <c r="J94" s="54"/>
      <c r="K94" s="59"/>
      <c r="L94" s="57">
        <f t="shared" ref="L94:L96" si="9">J94+L36</f>
        <v>0</v>
      </c>
      <c r="M94" s="58"/>
      <c r="T94" s="13"/>
    </row>
    <row r="95" spans="1:20" ht="24.95" customHeight="1">
      <c r="A95" s="54" t="s">
        <v>61</v>
      </c>
      <c r="B95" s="55"/>
      <c r="C95" s="55"/>
      <c r="D95" s="56"/>
      <c r="E95" s="4"/>
      <c r="F95" s="57">
        <f t="shared" si="8"/>
        <v>0</v>
      </c>
      <c r="G95" s="58"/>
      <c r="H95" s="54" t="s">
        <v>62</v>
      </c>
      <c r="I95" s="59"/>
      <c r="J95" s="54"/>
      <c r="K95" s="59"/>
      <c r="L95" s="57">
        <f t="shared" si="9"/>
        <v>2</v>
      </c>
      <c r="M95" s="58"/>
      <c r="T95" s="13"/>
    </row>
    <row r="96" spans="1:20" ht="24.95" customHeight="1">
      <c r="A96" s="54" t="s">
        <v>63</v>
      </c>
      <c r="B96" s="55"/>
      <c r="C96" s="55"/>
      <c r="D96" s="56"/>
      <c r="E96" s="4"/>
      <c r="F96" s="57">
        <f t="shared" si="8"/>
        <v>0</v>
      </c>
      <c r="G96" s="58"/>
      <c r="H96" s="54" t="s">
        <v>64</v>
      </c>
      <c r="I96" s="59"/>
      <c r="J96" s="54"/>
      <c r="K96" s="59"/>
      <c r="L96" s="57">
        <f t="shared" si="9"/>
        <v>0</v>
      </c>
      <c r="M96" s="58"/>
      <c r="T96" s="13"/>
    </row>
    <row r="97" spans="1:20" ht="64.5" customHeight="1">
      <c r="A97" s="60" t="s">
        <v>65</v>
      </c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2"/>
      <c r="T97" s="13"/>
    </row>
    <row r="98" spans="1:20" ht="24.95" customHeight="1">
      <c r="A98" s="46" t="s">
        <v>66</v>
      </c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8"/>
      <c r="T98" s="13"/>
    </row>
    <row r="99" spans="1:20" ht="24.95" customHeight="1">
      <c r="A99" s="27"/>
      <c r="B99" s="34" t="s">
        <v>67</v>
      </c>
      <c r="C99" s="34"/>
      <c r="D99" s="34"/>
      <c r="E99" s="34"/>
      <c r="F99" s="34"/>
      <c r="G99" s="35"/>
      <c r="H99" s="34"/>
      <c r="I99" s="34"/>
      <c r="J99" s="34"/>
      <c r="K99" s="34"/>
      <c r="L99" s="34"/>
      <c r="M99" s="36"/>
      <c r="T99" s="13"/>
    </row>
    <row r="100" spans="1:20" ht="24.95" customHeight="1">
      <c r="A100" s="27"/>
      <c r="B100" s="34" t="s">
        <v>133</v>
      </c>
      <c r="C100" s="34"/>
      <c r="D100" s="34"/>
      <c r="E100" s="34"/>
      <c r="F100" s="34"/>
      <c r="G100" s="35"/>
      <c r="H100" s="34"/>
      <c r="I100" s="34"/>
      <c r="J100" s="34"/>
      <c r="K100" s="34"/>
      <c r="L100" s="34"/>
      <c r="M100" s="36"/>
      <c r="T100" s="13"/>
    </row>
    <row r="101" spans="1:20" ht="24.95" customHeight="1">
      <c r="A101" s="27"/>
      <c r="B101" s="34" t="s">
        <v>68</v>
      </c>
      <c r="C101" s="34"/>
      <c r="D101" s="34"/>
      <c r="E101" s="34"/>
      <c r="F101" s="34"/>
      <c r="G101" s="35"/>
      <c r="H101" s="34"/>
      <c r="I101" s="34"/>
      <c r="J101" s="34"/>
      <c r="K101" s="34"/>
      <c r="L101" s="34"/>
      <c r="M101" s="36"/>
      <c r="T101" s="13"/>
    </row>
    <row r="102" spans="1:20" ht="24.95" customHeight="1">
      <c r="A102" s="27"/>
      <c r="B102" s="34" t="s">
        <v>134</v>
      </c>
      <c r="C102" s="34"/>
      <c r="D102" s="34"/>
      <c r="E102" s="34"/>
      <c r="F102" s="34"/>
      <c r="G102" s="35"/>
      <c r="H102" s="34"/>
      <c r="I102" s="34"/>
      <c r="J102" s="34"/>
      <c r="K102" s="34"/>
      <c r="L102" s="34"/>
      <c r="M102" s="36"/>
      <c r="T102" s="13"/>
    </row>
    <row r="103" spans="1:20" ht="24.95" customHeight="1">
      <c r="A103" s="27"/>
      <c r="B103" s="34" t="s">
        <v>135</v>
      </c>
      <c r="C103" s="34"/>
      <c r="D103" s="34"/>
      <c r="E103" s="34"/>
      <c r="F103" s="34"/>
      <c r="G103" s="35"/>
      <c r="H103" s="34"/>
      <c r="I103" s="34"/>
      <c r="J103" s="34"/>
      <c r="K103" s="34"/>
      <c r="L103" s="34"/>
      <c r="M103" s="36"/>
      <c r="T103" s="13"/>
    </row>
    <row r="104" spans="1:20" ht="24.95" customHeight="1">
      <c r="A104" s="37"/>
      <c r="B104" s="49" t="s">
        <v>69</v>
      </c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50"/>
      <c r="T104" s="13"/>
    </row>
    <row r="105" spans="1:20" ht="44.25" customHeight="1">
      <c r="A105" s="51" t="s">
        <v>70</v>
      </c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3"/>
      <c r="T105" s="13"/>
    </row>
    <row r="106" spans="1:20" ht="48" customHeight="1">
      <c r="A106" s="51" t="s">
        <v>71</v>
      </c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3"/>
      <c r="T106" s="13"/>
    </row>
    <row r="107" spans="1:20" ht="81" customHeight="1">
      <c r="A107" s="51" t="s">
        <v>122</v>
      </c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3"/>
      <c r="T107" s="13"/>
    </row>
    <row r="108" spans="1:20" ht="100.5" customHeight="1">
      <c r="A108" s="51" t="s">
        <v>72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3"/>
      <c r="T108" s="13"/>
    </row>
    <row r="109" spans="1:20" ht="12" customHeight="1">
      <c r="A109" s="41" t="s">
        <v>73</v>
      </c>
      <c r="B109" s="41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38"/>
      <c r="T109" s="13"/>
    </row>
    <row r="110" spans="1:20" ht="12" customHeight="1">
      <c r="A110" s="43" t="s">
        <v>74</v>
      </c>
      <c r="B110" s="43"/>
      <c r="C110" s="40"/>
      <c r="D110" s="40"/>
      <c r="E110" s="40"/>
      <c r="F110" s="40"/>
      <c r="G110" s="40"/>
      <c r="H110" s="40"/>
      <c r="I110" s="40"/>
      <c r="J110" s="40"/>
      <c r="K110" s="40"/>
      <c r="L110" s="38"/>
      <c r="M110" s="38"/>
      <c r="T110" s="13"/>
    </row>
    <row r="111" spans="1:20" ht="12" customHeight="1">
      <c r="A111" s="44" t="s">
        <v>75</v>
      </c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T111" s="13"/>
    </row>
    <row r="112" spans="1:20" ht="12" customHeight="1">
      <c r="A112" s="39" t="s">
        <v>76</v>
      </c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T112" s="13"/>
    </row>
    <row r="113" spans="1:20" ht="12" customHeight="1">
      <c r="A113" s="39" t="s">
        <v>77</v>
      </c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T113" s="13"/>
    </row>
    <row r="114" spans="1:20" ht="12" customHeight="1">
      <c r="A114" s="45" t="s">
        <v>78</v>
      </c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T114" s="13"/>
    </row>
    <row r="115" spans="1:20" ht="12" customHeight="1">
      <c r="A115" s="39" t="s">
        <v>79</v>
      </c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T115" s="13"/>
    </row>
    <row r="116" spans="1:20" ht="409.5" customHeight="1"/>
    <row r="117" spans="1:20" s="2" customFormat="1" ht="35.1" customHeight="1">
      <c r="A117" s="126" t="s">
        <v>0</v>
      </c>
      <c r="B117" s="126"/>
      <c r="C117" s="1">
        <f>C59+1</f>
        <v>7</v>
      </c>
      <c r="G117" s="3"/>
    </row>
    <row r="118" spans="1:20" s="2" customFormat="1" ht="35.1" customHeight="1">
      <c r="A118" s="126" t="s">
        <v>1</v>
      </c>
      <c r="B118" s="126"/>
      <c r="C118" s="2" t="s">
        <v>2</v>
      </c>
      <c r="D118" s="2" t="s">
        <v>103</v>
      </c>
      <c r="E118" s="2" t="s">
        <v>3</v>
      </c>
      <c r="F118" s="2" t="s">
        <v>103</v>
      </c>
      <c r="G118" s="3"/>
      <c r="H118" s="127" t="s">
        <v>4</v>
      </c>
      <c r="I118" s="128"/>
      <c r="J118" s="129">
        <f>J60+1</f>
        <v>45994</v>
      </c>
      <c r="K118" s="130"/>
      <c r="L118" s="131">
        <f>J118</f>
        <v>45994</v>
      </c>
      <c r="M118" s="132"/>
    </row>
    <row r="119" spans="1:20" s="2" customFormat="1" ht="30" customHeight="1">
      <c r="A119" s="72" t="s">
        <v>5</v>
      </c>
      <c r="B119" s="114"/>
      <c r="C119" s="119" t="s">
        <v>83</v>
      </c>
      <c r="D119" s="119"/>
      <c r="E119" s="119"/>
      <c r="F119" s="119"/>
      <c r="G119" s="119"/>
      <c r="H119" s="54" t="s">
        <v>6</v>
      </c>
      <c r="I119" s="59"/>
      <c r="J119" s="120"/>
      <c r="K119" s="120"/>
      <c r="L119" s="120"/>
      <c r="M119" s="120"/>
    </row>
    <row r="120" spans="1:20" s="1" customFormat="1" ht="30" customHeight="1">
      <c r="A120" s="72" t="s">
        <v>7</v>
      </c>
      <c r="B120" s="114"/>
      <c r="C120" s="4">
        <v>50</v>
      </c>
      <c r="D120" s="4" t="s">
        <v>8</v>
      </c>
      <c r="E120" s="4" t="s">
        <v>9</v>
      </c>
      <c r="F120" s="4">
        <f>F62+1</f>
        <v>7</v>
      </c>
      <c r="G120" s="5" t="s">
        <v>8</v>
      </c>
      <c r="H120" s="4" t="s">
        <v>10</v>
      </c>
      <c r="I120" s="4">
        <f>C120-F120+L120</f>
        <v>43</v>
      </c>
      <c r="J120" s="4" t="s">
        <v>11</v>
      </c>
      <c r="K120" s="6" t="s">
        <v>12</v>
      </c>
      <c r="L120" s="7">
        <f>L62</f>
        <v>0</v>
      </c>
      <c r="M120" s="4" t="s">
        <v>8</v>
      </c>
    </row>
    <row r="121" spans="1:20" s="2" customFormat="1" ht="30" customHeight="1">
      <c r="A121" s="72" t="s">
        <v>13</v>
      </c>
      <c r="B121" s="75"/>
      <c r="C121" s="75"/>
      <c r="D121" s="121">
        <f>D63</f>
        <v>45988</v>
      </c>
      <c r="E121" s="122"/>
      <c r="F121" s="122"/>
      <c r="G121" s="123"/>
      <c r="H121" s="124" t="s">
        <v>14</v>
      </c>
      <c r="I121" s="125"/>
      <c r="J121" s="121">
        <f>J63</f>
        <v>46037</v>
      </c>
      <c r="K121" s="122"/>
      <c r="L121" s="122"/>
      <c r="M121" s="123"/>
    </row>
    <row r="122" spans="1:20" s="2" customFormat="1" ht="30" customHeight="1">
      <c r="A122" s="72" t="s">
        <v>15</v>
      </c>
      <c r="B122" s="114"/>
      <c r="C122" s="114"/>
      <c r="D122" s="72">
        <v>4.1000000000000002E-2</v>
      </c>
      <c r="E122" s="72"/>
      <c r="F122" s="72"/>
      <c r="G122" s="72"/>
      <c r="H122" s="64" t="s">
        <v>16</v>
      </c>
      <c r="I122" s="115"/>
      <c r="J122" s="116">
        <f>P138</f>
        <v>1.27</v>
      </c>
      <c r="K122" s="117"/>
      <c r="L122" s="117"/>
      <c r="M122" s="118"/>
    </row>
    <row r="123" spans="1:20" s="2" customFormat="1" ht="30" customHeight="1">
      <c r="A123" s="72" t="s">
        <v>17</v>
      </c>
      <c r="B123" s="114"/>
      <c r="C123" s="114"/>
      <c r="D123" s="72">
        <f>D122+D65</f>
        <v>1.8759999999999999</v>
      </c>
      <c r="E123" s="72"/>
      <c r="F123" s="72"/>
      <c r="G123" s="72"/>
      <c r="H123" s="64" t="s">
        <v>18</v>
      </c>
      <c r="I123" s="115"/>
      <c r="J123" s="116">
        <f>J122+J65</f>
        <v>15.579999999999998</v>
      </c>
      <c r="K123" s="117"/>
      <c r="L123" s="117"/>
      <c r="M123" s="118"/>
    </row>
    <row r="124" spans="1:20" s="2" customFormat="1" ht="30" customHeight="1">
      <c r="A124" s="111" t="s">
        <v>19</v>
      </c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3"/>
    </row>
    <row r="125" spans="1:20" s="2" customFormat="1" ht="30" customHeight="1">
      <c r="A125" s="8" t="s">
        <v>20</v>
      </c>
      <c r="B125" s="72" t="s">
        <v>21</v>
      </c>
      <c r="C125" s="72"/>
      <c r="D125" s="72"/>
      <c r="E125" s="4" t="s">
        <v>22</v>
      </c>
      <c r="F125" s="54" t="s">
        <v>23</v>
      </c>
      <c r="G125" s="59"/>
      <c r="H125" s="72" t="s">
        <v>24</v>
      </c>
      <c r="I125" s="72"/>
      <c r="J125" s="72" t="s">
        <v>25</v>
      </c>
      <c r="K125" s="72"/>
      <c r="L125" s="72" t="s">
        <v>26</v>
      </c>
      <c r="M125" s="72"/>
      <c r="O125" s="1" t="s">
        <v>27</v>
      </c>
      <c r="P125" s="1" t="s">
        <v>28</v>
      </c>
      <c r="T125" s="2" t="s">
        <v>29</v>
      </c>
    </row>
    <row r="126" spans="1:20" s="2" customFormat="1" ht="24.95" customHeight="1">
      <c r="A126" s="9" t="s">
        <v>30</v>
      </c>
      <c r="B126" s="110" t="s">
        <v>31</v>
      </c>
      <c r="C126" s="110"/>
      <c r="D126" s="110"/>
      <c r="E126" s="4"/>
      <c r="F126" s="54"/>
      <c r="G126" s="59"/>
      <c r="H126" s="72"/>
      <c r="I126" s="72"/>
      <c r="J126" s="72"/>
      <c r="K126" s="72"/>
      <c r="L126" s="72"/>
      <c r="M126" s="72"/>
    </row>
    <row r="127" spans="1:20" ht="24.95" customHeight="1">
      <c r="A127" s="10">
        <v>1</v>
      </c>
      <c r="B127" s="66" t="s">
        <v>91</v>
      </c>
      <c r="C127" s="67" t="s">
        <v>91</v>
      </c>
      <c r="D127" s="68" t="s">
        <v>91</v>
      </c>
      <c r="E127" s="4" t="s">
        <v>32</v>
      </c>
      <c r="F127" s="69">
        <v>1</v>
      </c>
      <c r="G127" s="70"/>
      <c r="H127" s="69"/>
      <c r="I127" s="70"/>
      <c r="J127" s="71">
        <f>H127+J69</f>
        <v>1</v>
      </c>
      <c r="K127" s="71"/>
      <c r="L127" s="72"/>
      <c r="M127" s="72"/>
      <c r="O127" s="11">
        <v>4000</v>
      </c>
      <c r="P127" s="11">
        <f>ROUND(H127*O127,0)</f>
        <v>0</v>
      </c>
      <c r="Q127" s="12"/>
      <c r="S127" s="11">
        <f>ROUND(J127*O127,0)</f>
        <v>4000</v>
      </c>
      <c r="T127" s="13">
        <f>F127-J127</f>
        <v>0</v>
      </c>
    </row>
    <row r="128" spans="1:20" ht="24.95" customHeight="1">
      <c r="A128" s="10">
        <v>2</v>
      </c>
      <c r="B128" s="66" t="s">
        <v>92</v>
      </c>
      <c r="C128" s="67" t="s">
        <v>92</v>
      </c>
      <c r="D128" s="68" t="s">
        <v>92</v>
      </c>
      <c r="E128" s="4" t="s">
        <v>32</v>
      </c>
      <c r="F128" s="69">
        <v>1</v>
      </c>
      <c r="G128" s="70"/>
      <c r="H128" s="69"/>
      <c r="I128" s="70"/>
      <c r="J128" s="71">
        <f t="shared" ref="J128:J135" si="10">H128+J70</f>
        <v>1</v>
      </c>
      <c r="K128" s="71"/>
      <c r="L128" s="72"/>
      <c r="M128" s="72"/>
      <c r="O128" s="11">
        <v>14334</v>
      </c>
      <c r="P128" s="11">
        <f t="shared" ref="P128:P135" si="11">ROUND(H128*O128,0)</f>
        <v>0</v>
      </c>
      <c r="Q128" s="12"/>
      <c r="S128" s="11">
        <f t="shared" ref="S128:S135" si="12">ROUND(J128*O128,0)</f>
        <v>14334</v>
      </c>
      <c r="T128" s="13">
        <f t="shared" ref="T128:T135" si="13">F128-J128</f>
        <v>0</v>
      </c>
    </row>
    <row r="129" spans="1:20" ht="24.95" customHeight="1">
      <c r="A129" s="10">
        <v>3</v>
      </c>
      <c r="B129" s="66" t="s">
        <v>84</v>
      </c>
      <c r="C129" s="67" t="s">
        <v>84</v>
      </c>
      <c r="D129" s="68" t="s">
        <v>84</v>
      </c>
      <c r="E129" s="4" t="s">
        <v>33</v>
      </c>
      <c r="F129" s="69">
        <v>1</v>
      </c>
      <c r="G129" s="70"/>
      <c r="H129" s="69"/>
      <c r="I129" s="70"/>
      <c r="J129" s="71">
        <f t="shared" si="10"/>
        <v>0.5</v>
      </c>
      <c r="K129" s="71"/>
      <c r="L129" s="72"/>
      <c r="M129" s="72"/>
      <c r="O129" s="11">
        <v>7000</v>
      </c>
      <c r="P129" s="11">
        <f t="shared" si="11"/>
        <v>0</v>
      </c>
      <c r="Q129" s="12"/>
      <c r="S129" s="11">
        <f t="shared" si="12"/>
        <v>3500</v>
      </c>
      <c r="T129" s="13">
        <f t="shared" si="13"/>
        <v>0.5</v>
      </c>
    </row>
    <row r="130" spans="1:20" ht="24.95" customHeight="1">
      <c r="A130" s="10">
        <v>4</v>
      </c>
      <c r="B130" s="66" t="s">
        <v>85</v>
      </c>
      <c r="C130" s="67" t="s">
        <v>85</v>
      </c>
      <c r="D130" s="68" t="s">
        <v>85</v>
      </c>
      <c r="E130" s="4" t="s">
        <v>34</v>
      </c>
      <c r="F130" s="69">
        <v>1</v>
      </c>
      <c r="G130" s="70"/>
      <c r="H130" s="69"/>
      <c r="I130" s="70"/>
      <c r="J130" s="71">
        <f t="shared" si="10"/>
        <v>1</v>
      </c>
      <c r="K130" s="71"/>
      <c r="L130" s="72"/>
      <c r="M130" s="72"/>
      <c r="O130" s="11">
        <v>74000</v>
      </c>
      <c r="P130" s="11">
        <f t="shared" si="11"/>
        <v>0</v>
      </c>
      <c r="Q130" s="12"/>
      <c r="S130" s="11">
        <f t="shared" si="12"/>
        <v>74000</v>
      </c>
      <c r="T130" s="13">
        <f t="shared" si="13"/>
        <v>0</v>
      </c>
    </row>
    <row r="131" spans="1:20" ht="24.95" customHeight="1">
      <c r="A131" s="10">
        <v>5</v>
      </c>
      <c r="B131" s="66" t="s">
        <v>86</v>
      </c>
      <c r="C131" s="67" t="s">
        <v>86</v>
      </c>
      <c r="D131" s="68" t="s">
        <v>86</v>
      </c>
      <c r="E131" s="4" t="s">
        <v>93</v>
      </c>
      <c r="F131" s="69">
        <v>396</v>
      </c>
      <c r="G131" s="70"/>
      <c r="H131" s="69"/>
      <c r="I131" s="70"/>
      <c r="J131" s="71">
        <f t="shared" si="10"/>
        <v>200</v>
      </c>
      <c r="K131" s="71"/>
      <c r="L131" s="72"/>
      <c r="M131" s="72"/>
      <c r="O131" s="11">
        <v>200</v>
      </c>
      <c r="P131" s="11">
        <f t="shared" si="11"/>
        <v>0</v>
      </c>
      <c r="Q131" s="12"/>
      <c r="S131" s="11">
        <f t="shared" si="12"/>
        <v>40000</v>
      </c>
      <c r="T131" s="13">
        <f t="shared" si="13"/>
        <v>196</v>
      </c>
    </row>
    <row r="132" spans="1:20" ht="24.95" customHeight="1">
      <c r="A132" s="10">
        <v>6</v>
      </c>
      <c r="B132" s="66" t="s">
        <v>97</v>
      </c>
      <c r="C132" s="67" t="s">
        <v>87</v>
      </c>
      <c r="D132" s="68" t="s">
        <v>87</v>
      </c>
      <c r="E132" s="4" t="s">
        <v>35</v>
      </c>
      <c r="F132" s="69">
        <v>80</v>
      </c>
      <c r="G132" s="70">
        <v>183.6</v>
      </c>
      <c r="H132" s="69">
        <v>10</v>
      </c>
      <c r="I132" s="70"/>
      <c r="J132" s="71">
        <f t="shared" si="10"/>
        <v>30</v>
      </c>
      <c r="K132" s="71"/>
      <c r="L132" s="54"/>
      <c r="M132" s="59"/>
      <c r="O132" s="11">
        <v>1463</v>
      </c>
      <c r="P132" s="11">
        <f t="shared" si="11"/>
        <v>14630</v>
      </c>
      <c r="S132" s="11">
        <f t="shared" si="12"/>
        <v>43890</v>
      </c>
      <c r="T132" s="13">
        <f t="shared" si="13"/>
        <v>50</v>
      </c>
    </row>
    <row r="133" spans="1:20" ht="24.95" customHeight="1">
      <c r="A133" s="10">
        <v>7</v>
      </c>
      <c r="B133" s="66" t="s">
        <v>88</v>
      </c>
      <c r="C133" s="67" t="s">
        <v>88</v>
      </c>
      <c r="D133" s="68" t="s">
        <v>88</v>
      </c>
      <c r="E133" s="4" t="s">
        <v>94</v>
      </c>
      <c r="F133" s="69">
        <v>126</v>
      </c>
      <c r="G133" s="70">
        <v>19</v>
      </c>
      <c r="H133" s="69"/>
      <c r="I133" s="70"/>
      <c r="J133" s="71">
        <f t="shared" si="10"/>
        <v>0</v>
      </c>
      <c r="K133" s="71"/>
      <c r="L133" s="54"/>
      <c r="M133" s="59"/>
      <c r="O133" s="11">
        <v>6350</v>
      </c>
      <c r="P133" s="11">
        <f t="shared" si="11"/>
        <v>0</v>
      </c>
      <c r="S133" s="11">
        <f t="shared" si="12"/>
        <v>0</v>
      </c>
      <c r="T133" s="13">
        <f t="shared" si="13"/>
        <v>126</v>
      </c>
    </row>
    <row r="134" spans="1:20" ht="24.95" customHeight="1">
      <c r="A134" s="10">
        <v>8</v>
      </c>
      <c r="B134" s="66" t="s">
        <v>89</v>
      </c>
      <c r="C134" s="67" t="s">
        <v>89</v>
      </c>
      <c r="D134" s="68" t="s">
        <v>89</v>
      </c>
      <c r="E134" s="4" t="s">
        <v>95</v>
      </c>
      <c r="F134" s="69">
        <v>1</v>
      </c>
      <c r="G134" s="70">
        <v>1192</v>
      </c>
      <c r="H134" s="69"/>
      <c r="I134" s="70"/>
      <c r="J134" s="71">
        <f t="shared" si="10"/>
        <v>0</v>
      </c>
      <c r="K134" s="71"/>
      <c r="L134" s="54"/>
      <c r="M134" s="59"/>
      <c r="O134" s="11">
        <v>47600</v>
      </c>
      <c r="P134" s="11">
        <f t="shared" si="11"/>
        <v>0</v>
      </c>
      <c r="S134" s="11">
        <f t="shared" si="12"/>
        <v>0</v>
      </c>
      <c r="T134" s="13">
        <f t="shared" si="13"/>
        <v>1</v>
      </c>
    </row>
    <row r="135" spans="1:20" ht="24.95" customHeight="1">
      <c r="A135" s="10">
        <v>9</v>
      </c>
      <c r="B135" s="66" t="s">
        <v>90</v>
      </c>
      <c r="C135" s="67" t="s">
        <v>90</v>
      </c>
      <c r="D135" s="68" t="s">
        <v>90</v>
      </c>
      <c r="E135" s="4" t="s">
        <v>96</v>
      </c>
      <c r="F135" s="69">
        <v>1</v>
      </c>
      <c r="G135" s="70">
        <v>1261</v>
      </c>
      <c r="H135" s="69"/>
      <c r="I135" s="70"/>
      <c r="J135" s="71">
        <f t="shared" si="10"/>
        <v>0</v>
      </c>
      <c r="K135" s="71"/>
      <c r="L135" s="54"/>
      <c r="M135" s="59"/>
      <c r="O135" s="11">
        <v>10000</v>
      </c>
      <c r="P135" s="11">
        <f t="shared" si="11"/>
        <v>0</v>
      </c>
      <c r="S135" s="11">
        <f t="shared" si="12"/>
        <v>0</v>
      </c>
      <c r="T135" s="13">
        <f t="shared" si="13"/>
        <v>1</v>
      </c>
    </row>
    <row r="136" spans="1:20" ht="24.95" customHeight="1">
      <c r="A136" s="14"/>
      <c r="B136" s="15"/>
      <c r="C136" s="16"/>
      <c r="D136" s="17"/>
      <c r="E136" s="4"/>
      <c r="F136" s="18"/>
      <c r="G136" s="19"/>
      <c r="H136" s="105"/>
      <c r="I136" s="106"/>
      <c r="J136" s="105"/>
      <c r="K136" s="106"/>
      <c r="L136" s="54"/>
      <c r="M136" s="59"/>
      <c r="N136" s="20"/>
      <c r="P136" s="21" t="s">
        <v>37</v>
      </c>
      <c r="Q136" s="22">
        <f>SUM(P127:P135)</f>
        <v>14630</v>
      </c>
      <c r="R136" s="23"/>
      <c r="S136" s="24">
        <f>SUM(S127:S135)</f>
        <v>179724</v>
      </c>
      <c r="T136" s="13"/>
    </row>
    <row r="137" spans="1:20" ht="24.95" customHeight="1">
      <c r="A137" s="107"/>
      <c r="B137" s="108"/>
      <c r="C137" s="108"/>
      <c r="D137" s="109"/>
      <c r="E137" s="4"/>
      <c r="F137" s="54"/>
      <c r="G137" s="59"/>
      <c r="H137" s="72"/>
      <c r="I137" s="72"/>
      <c r="J137" s="72"/>
      <c r="K137" s="72"/>
      <c r="L137" s="72"/>
      <c r="M137" s="72"/>
      <c r="O137" t="s">
        <v>38</v>
      </c>
      <c r="P137" s="24">
        <f>Q136</f>
        <v>14630</v>
      </c>
      <c r="T137" s="13"/>
    </row>
    <row r="138" spans="1:20" ht="24.95" customHeight="1">
      <c r="A138" s="97"/>
      <c r="B138" s="98"/>
      <c r="C138" s="98"/>
      <c r="D138" s="99"/>
      <c r="E138" s="4"/>
      <c r="F138" s="54"/>
      <c r="G138" s="59"/>
      <c r="H138" s="72"/>
      <c r="I138" s="72"/>
      <c r="J138" s="72"/>
      <c r="K138" s="72"/>
      <c r="L138" s="72"/>
      <c r="M138" s="72"/>
      <c r="O138" t="s">
        <v>39</v>
      </c>
      <c r="P138" s="23">
        <f>ROUND(P137/1153274,4)*100</f>
        <v>1.27</v>
      </c>
      <c r="T138" s="13"/>
    </row>
    <row r="139" spans="1:20" ht="24.95" customHeight="1">
      <c r="A139" s="25"/>
      <c r="B139" s="63" t="s">
        <v>40</v>
      </c>
      <c r="C139" s="63"/>
      <c r="D139" s="59"/>
      <c r="E139" s="26"/>
      <c r="F139" s="100"/>
      <c r="G139" s="101"/>
      <c r="H139" s="100"/>
      <c r="I139" s="101"/>
      <c r="J139" s="102"/>
      <c r="K139" s="102"/>
      <c r="L139" s="103">
        <f>P137</f>
        <v>14630</v>
      </c>
      <c r="M139" s="104"/>
      <c r="T139" s="13"/>
    </row>
    <row r="140" spans="1:20" ht="24.95" customHeight="1" thickBot="1">
      <c r="A140" s="27"/>
      <c r="B140" s="85" t="s">
        <v>41</v>
      </c>
      <c r="C140" s="85"/>
      <c r="D140" s="86"/>
      <c r="E140" s="28"/>
      <c r="F140" s="87"/>
      <c r="G140" s="88"/>
      <c r="H140" s="87"/>
      <c r="I140" s="88"/>
      <c r="J140" s="87"/>
      <c r="K140" s="88"/>
      <c r="L140" s="89">
        <f>L139+L82</f>
        <v>179724</v>
      </c>
      <c r="M140" s="90"/>
      <c r="T140" s="13"/>
    </row>
    <row r="141" spans="1:20" ht="24.95" customHeight="1">
      <c r="A141" s="29"/>
      <c r="B141" s="91" t="s">
        <v>42</v>
      </c>
      <c r="C141" s="91"/>
      <c r="D141" s="92"/>
      <c r="E141" s="30"/>
      <c r="F141" s="93"/>
      <c r="G141" s="94"/>
      <c r="H141" s="95"/>
      <c r="I141" s="95"/>
      <c r="J141" s="95"/>
      <c r="K141" s="95"/>
      <c r="L141" s="95"/>
      <c r="M141" s="96"/>
      <c r="T141" s="13"/>
    </row>
    <row r="142" spans="1:20" ht="24.95" customHeight="1">
      <c r="A142" s="31"/>
      <c r="B142" s="76" t="s">
        <v>43</v>
      </c>
      <c r="C142" s="76"/>
      <c r="D142" s="77"/>
      <c r="E142" s="4"/>
      <c r="F142" s="54"/>
      <c r="G142" s="59"/>
      <c r="H142" s="72"/>
      <c r="I142" s="72"/>
      <c r="J142" s="72"/>
      <c r="K142" s="72"/>
      <c r="L142" s="72"/>
      <c r="M142" s="78"/>
      <c r="T142" s="13"/>
    </row>
    <row r="143" spans="1:20" ht="24.95" customHeight="1" thickBot="1">
      <c r="A143" s="32"/>
      <c r="B143" s="79" t="s">
        <v>44</v>
      </c>
      <c r="C143" s="79"/>
      <c r="D143" s="80"/>
      <c r="E143" s="33"/>
      <c r="F143" s="81"/>
      <c r="G143" s="82"/>
      <c r="H143" s="83"/>
      <c r="I143" s="83"/>
      <c r="J143" s="83"/>
      <c r="K143" s="83"/>
      <c r="L143" s="83"/>
      <c r="M143" s="84"/>
      <c r="T143" s="13"/>
    </row>
    <row r="144" spans="1:20" ht="24.95" customHeight="1">
      <c r="A144" s="73" t="s">
        <v>45</v>
      </c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T144" s="13"/>
    </row>
    <row r="145" spans="1:20" ht="24.95" customHeight="1">
      <c r="A145" s="72" t="s">
        <v>46</v>
      </c>
      <c r="B145" s="75"/>
      <c r="C145" s="75"/>
      <c r="D145" s="75"/>
      <c r="E145" s="4" t="s">
        <v>22</v>
      </c>
      <c r="F145" s="72" t="s">
        <v>47</v>
      </c>
      <c r="G145" s="72"/>
      <c r="H145" s="72" t="s">
        <v>48</v>
      </c>
      <c r="I145" s="72"/>
      <c r="J145" s="72" t="s">
        <v>49</v>
      </c>
      <c r="K145" s="72"/>
      <c r="L145" s="72" t="s">
        <v>50</v>
      </c>
      <c r="M145" s="72"/>
      <c r="T145" s="13"/>
    </row>
    <row r="146" spans="1:20" ht="24.95" customHeight="1">
      <c r="A146" s="10">
        <v>6</v>
      </c>
      <c r="B146" s="66" t="s">
        <v>97</v>
      </c>
      <c r="C146" s="67" t="s">
        <v>51</v>
      </c>
      <c r="D146" s="68" t="s">
        <v>51</v>
      </c>
      <c r="E146" s="4" t="s">
        <v>35</v>
      </c>
      <c r="F146" s="69">
        <v>80</v>
      </c>
      <c r="G146" s="70">
        <v>1261</v>
      </c>
      <c r="H146" s="71">
        <f>H132</f>
        <v>10</v>
      </c>
      <c r="I146" s="71"/>
      <c r="J146" s="71">
        <f>H146+J88</f>
        <v>30</v>
      </c>
      <c r="K146" s="71"/>
      <c r="L146" s="72"/>
      <c r="M146" s="72"/>
      <c r="T146" s="13"/>
    </row>
    <row r="147" spans="1:20" ht="24.95" customHeight="1">
      <c r="A147" s="10">
        <v>7</v>
      </c>
      <c r="B147" s="66" t="s">
        <v>88</v>
      </c>
      <c r="C147" s="67" t="s">
        <v>88</v>
      </c>
      <c r="D147" s="68" t="s">
        <v>88</v>
      </c>
      <c r="E147" s="4" t="s">
        <v>98</v>
      </c>
      <c r="F147" s="69">
        <v>126</v>
      </c>
      <c r="G147" s="70"/>
      <c r="H147" s="71">
        <f>H133</f>
        <v>0</v>
      </c>
      <c r="I147" s="71"/>
      <c r="J147" s="71">
        <f t="shared" ref="J147:J148" si="14">H147+J89</f>
        <v>0</v>
      </c>
      <c r="K147" s="71"/>
      <c r="L147" s="72"/>
      <c r="M147" s="72"/>
      <c r="T147" s="13"/>
    </row>
    <row r="148" spans="1:20" ht="24.95" customHeight="1">
      <c r="A148" s="10">
        <v>8</v>
      </c>
      <c r="B148" s="66" t="s">
        <v>89</v>
      </c>
      <c r="C148" s="67" t="s">
        <v>89</v>
      </c>
      <c r="D148" s="68" t="s">
        <v>89</v>
      </c>
      <c r="E148" s="4" t="s">
        <v>36</v>
      </c>
      <c r="F148" s="69">
        <v>1</v>
      </c>
      <c r="G148" s="70"/>
      <c r="H148" s="71">
        <f>H134</f>
        <v>0</v>
      </c>
      <c r="I148" s="71"/>
      <c r="J148" s="71">
        <f t="shared" si="14"/>
        <v>0</v>
      </c>
      <c r="K148" s="71"/>
      <c r="L148" s="72"/>
      <c r="M148" s="72"/>
      <c r="T148" s="13"/>
    </row>
    <row r="149" spans="1:20" ht="24.95" customHeight="1">
      <c r="A149" s="51" t="s">
        <v>52</v>
      </c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3"/>
      <c r="T149" s="13"/>
    </row>
    <row r="150" spans="1:20" ht="24.95" customHeight="1">
      <c r="A150" s="54" t="s">
        <v>53</v>
      </c>
      <c r="B150" s="63"/>
      <c r="C150" s="63"/>
      <c r="D150" s="59"/>
      <c r="E150" s="4" t="s">
        <v>54</v>
      </c>
      <c r="F150" s="54" t="s">
        <v>55</v>
      </c>
      <c r="G150" s="59"/>
      <c r="H150" s="54" t="s">
        <v>56</v>
      </c>
      <c r="I150" s="59"/>
      <c r="J150" s="54" t="s">
        <v>48</v>
      </c>
      <c r="K150" s="59"/>
      <c r="L150" s="64" t="s">
        <v>49</v>
      </c>
      <c r="M150" s="65"/>
      <c r="T150" s="13"/>
    </row>
    <row r="151" spans="1:20" ht="24.95" customHeight="1">
      <c r="A151" s="54" t="s">
        <v>57</v>
      </c>
      <c r="B151" s="55"/>
      <c r="C151" s="55"/>
      <c r="D151" s="56"/>
      <c r="E151" s="4">
        <v>2</v>
      </c>
      <c r="F151" s="57">
        <f>E151+F93</f>
        <v>10</v>
      </c>
      <c r="G151" s="58"/>
      <c r="H151" s="54" t="s">
        <v>58</v>
      </c>
      <c r="I151" s="59"/>
      <c r="J151" s="54">
        <v>1</v>
      </c>
      <c r="K151" s="59"/>
      <c r="L151" s="57">
        <f>J151+L93</f>
        <v>5</v>
      </c>
      <c r="M151" s="58"/>
      <c r="T151" s="13"/>
    </row>
    <row r="152" spans="1:20" ht="24.95" customHeight="1">
      <c r="A152" s="54" t="s">
        <v>59</v>
      </c>
      <c r="B152" s="55"/>
      <c r="C152" s="55"/>
      <c r="D152" s="56"/>
      <c r="E152" s="4"/>
      <c r="F152" s="57">
        <f t="shared" ref="F152:F154" si="15">E152+F94</f>
        <v>0</v>
      </c>
      <c r="G152" s="58"/>
      <c r="H152" s="54" t="s">
        <v>60</v>
      </c>
      <c r="I152" s="59"/>
      <c r="J152" s="54"/>
      <c r="K152" s="59"/>
      <c r="L152" s="57">
        <f t="shared" ref="L152:L154" si="16">J152+L94</f>
        <v>0</v>
      </c>
      <c r="M152" s="58"/>
      <c r="T152" s="13"/>
    </row>
    <row r="153" spans="1:20" ht="24.95" customHeight="1">
      <c r="A153" s="54" t="s">
        <v>61</v>
      </c>
      <c r="B153" s="55"/>
      <c r="C153" s="55"/>
      <c r="D153" s="56"/>
      <c r="E153" s="4"/>
      <c r="F153" s="57">
        <f t="shared" si="15"/>
        <v>0</v>
      </c>
      <c r="G153" s="58"/>
      <c r="H153" s="54" t="s">
        <v>62</v>
      </c>
      <c r="I153" s="59"/>
      <c r="J153" s="54"/>
      <c r="K153" s="59"/>
      <c r="L153" s="57">
        <f t="shared" si="16"/>
        <v>2</v>
      </c>
      <c r="M153" s="58"/>
      <c r="T153" s="13"/>
    </row>
    <row r="154" spans="1:20" ht="24.95" customHeight="1">
      <c r="A154" s="54" t="s">
        <v>63</v>
      </c>
      <c r="B154" s="55"/>
      <c r="C154" s="55"/>
      <c r="D154" s="56"/>
      <c r="E154" s="4"/>
      <c r="F154" s="57">
        <f t="shared" si="15"/>
        <v>0</v>
      </c>
      <c r="G154" s="58"/>
      <c r="H154" s="54" t="s">
        <v>64</v>
      </c>
      <c r="I154" s="59"/>
      <c r="J154" s="54"/>
      <c r="K154" s="59"/>
      <c r="L154" s="57">
        <f t="shared" si="16"/>
        <v>0</v>
      </c>
      <c r="M154" s="58"/>
      <c r="T154" s="13"/>
    </row>
    <row r="155" spans="1:20" ht="64.5" customHeight="1">
      <c r="A155" s="60" t="s">
        <v>65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2"/>
      <c r="T155" s="13"/>
    </row>
    <row r="156" spans="1:20" ht="24.95" customHeight="1">
      <c r="A156" s="46" t="s">
        <v>66</v>
      </c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8"/>
      <c r="T156" s="13"/>
    </row>
    <row r="157" spans="1:20" ht="24.95" customHeight="1">
      <c r="A157" s="27"/>
      <c r="B157" s="34" t="s">
        <v>67</v>
      </c>
      <c r="C157" s="34"/>
      <c r="D157" s="34"/>
      <c r="E157" s="34"/>
      <c r="F157" s="34"/>
      <c r="G157" s="35"/>
      <c r="H157" s="34"/>
      <c r="I157" s="34"/>
      <c r="J157" s="34"/>
      <c r="K157" s="34"/>
      <c r="L157" s="34"/>
      <c r="M157" s="36"/>
      <c r="T157" s="13"/>
    </row>
    <row r="158" spans="1:20" ht="24.95" customHeight="1">
      <c r="A158" s="27"/>
      <c r="B158" s="34" t="s">
        <v>133</v>
      </c>
      <c r="C158" s="34"/>
      <c r="D158" s="34"/>
      <c r="E158" s="34"/>
      <c r="F158" s="34"/>
      <c r="G158" s="35"/>
      <c r="H158" s="34"/>
      <c r="I158" s="34"/>
      <c r="J158" s="34"/>
      <c r="K158" s="34"/>
      <c r="L158" s="34"/>
      <c r="M158" s="36"/>
      <c r="T158" s="13"/>
    </row>
    <row r="159" spans="1:20" ht="24.95" customHeight="1">
      <c r="A159" s="27"/>
      <c r="B159" s="34" t="s">
        <v>68</v>
      </c>
      <c r="C159" s="34"/>
      <c r="D159" s="34"/>
      <c r="E159" s="34"/>
      <c r="F159" s="34"/>
      <c r="G159" s="35"/>
      <c r="H159" s="34"/>
      <c r="I159" s="34"/>
      <c r="J159" s="34"/>
      <c r="K159" s="34"/>
      <c r="L159" s="34"/>
      <c r="M159" s="36"/>
      <c r="T159" s="13"/>
    </row>
    <row r="160" spans="1:20" ht="24.95" customHeight="1">
      <c r="A160" s="27"/>
      <c r="B160" s="34" t="s">
        <v>134</v>
      </c>
      <c r="C160" s="34"/>
      <c r="D160" s="34"/>
      <c r="E160" s="34"/>
      <c r="F160" s="34"/>
      <c r="G160" s="35"/>
      <c r="H160" s="34"/>
      <c r="I160" s="34"/>
      <c r="J160" s="34"/>
      <c r="K160" s="34"/>
      <c r="L160" s="34"/>
      <c r="M160" s="36"/>
      <c r="T160" s="13"/>
    </row>
    <row r="161" spans="1:20" ht="24.95" customHeight="1">
      <c r="A161" s="27"/>
      <c r="B161" s="34" t="s">
        <v>135</v>
      </c>
      <c r="C161" s="34"/>
      <c r="D161" s="34"/>
      <c r="E161" s="34"/>
      <c r="F161" s="34"/>
      <c r="G161" s="35"/>
      <c r="H161" s="34"/>
      <c r="I161" s="34"/>
      <c r="J161" s="34"/>
      <c r="K161" s="34"/>
      <c r="L161" s="34"/>
      <c r="M161" s="36"/>
      <c r="T161" s="13"/>
    </row>
    <row r="162" spans="1:20" ht="24.95" customHeight="1">
      <c r="A162" s="37"/>
      <c r="B162" s="49" t="s">
        <v>69</v>
      </c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50"/>
      <c r="T162" s="13"/>
    </row>
    <row r="163" spans="1:20" ht="44.25" customHeight="1">
      <c r="A163" s="51" t="s">
        <v>70</v>
      </c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3"/>
      <c r="T163" s="13"/>
    </row>
    <row r="164" spans="1:20" ht="48" customHeight="1">
      <c r="A164" s="51" t="s">
        <v>71</v>
      </c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3"/>
      <c r="T164" s="13"/>
    </row>
    <row r="165" spans="1:20" ht="81" customHeight="1">
      <c r="A165" s="51" t="s">
        <v>123</v>
      </c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3"/>
      <c r="T165" s="13"/>
    </row>
    <row r="166" spans="1:20" ht="100.5" customHeight="1">
      <c r="A166" s="51" t="s">
        <v>72</v>
      </c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3"/>
      <c r="T166" s="13"/>
    </row>
    <row r="167" spans="1:20" ht="12" customHeight="1">
      <c r="A167" s="41" t="s">
        <v>73</v>
      </c>
      <c r="B167" s="41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38"/>
      <c r="T167" s="13"/>
    </row>
    <row r="168" spans="1:20" ht="12" customHeight="1">
      <c r="A168" s="43" t="s">
        <v>74</v>
      </c>
      <c r="B168" s="43"/>
      <c r="C168" s="40"/>
      <c r="D168" s="40"/>
      <c r="E168" s="40"/>
      <c r="F168" s="40"/>
      <c r="G168" s="40"/>
      <c r="H168" s="40"/>
      <c r="I168" s="40"/>
      <c r="J168" s="40"/>
      <c r="K168" s="40"/>
      <c r="L168" s="38"/>
      <c r="M168" s="38"/>
      <c r="T168" s="13"/>
    </row>
    <row r="169" spans="1:20" ht="12" customHeight="1">
      <c r="A169" s="44" t="s">
        <v>75</v>
      </c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T169" s="13"/>
    </row>
    <row r="170" spans="1:20" ht="12" customHeight="1">
      <c r="A170" s="39" t="s">
        <v>76</v>
      </c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T170" s="13"/>
    </row>
    <row r="171" spans="1:20" ht="12" customHeight="1">
      <c r="A171" s="39" t="s">
        <v>77</v>
      </c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T171" s="13"/>
    </row>
    <row r="172" spans="1:20" ht="12" customHeight="1">
      <c r="A172" s="45" t="s">
        <v>78</v>
      </c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T172" s="13"/>
    </row>
    <row r="173" spans="1:20" ht="12" customHeight="1">
      <c r="A173" s="39" t="s">
        <v>79</v>
      </c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T173" s="13"/>
    </row>
    <row r="174" spans="1:20" ht="409.5" customHeight="1"/>
    <row r="175" spans="1:20" s="2" customFormat="1" ht="35.1" customHeight="1">
      <c r="A175" s="126" t="s">
        <v>0</v>
      </c>
      <c r="B175" s="126"/>
      <c r="C175" s="1">
        <f>C117+1</f>
        <v>8</v>
      </c>
      <c r="G175" s="3"/>
    </row>
    <row r="176" spans="1:20" s="2" customFormat="1" ht="35.1" customHeight="1">
      <c r="A176" s="126" t="s">
        <v>1</v>
      </c>
      <c r="B176" s="126"/>
      <c r="C176" s="2" t="s">
        <v>2</v>
      </c>
      <c r="D176" s="2" t="s">
        <v>103</v>
      </c>
      <c r="E176" s="2" t="s">
        <v>3</v>
      </c>
      <c r="F176" s="2" t="s">
        <v>103</v>
      </c>
      <c r="G176" s="3"/>
      <c r="H176" s="127" t="s">
        <v>4</v>
      </c>
      <c r="I176" s="128"/>
      <c r="J176" s="129">
        <f>J118+1</f>
        <v>45995</v>
      </c>
      <c r="K176" s="130"/>
      <c r="L176" s="131">
        <f>J176</f>
        <v>45995</v>
      </c>
      <c r="M176" s="132"/>
    </row>
    <row r="177" spans="1:20" s="2" customFormat="1" ht="30" customHeight="1">
      <c r="A177" s="72" t="s">
        <v>5</v>
      </c>
      <c r="B177" s="114"/>
      <c r="C177" s="119" t="s">
        <v>83</v>
      </c>
      <c r="D177" s="119"/>
      <c r="E177" s="119"/>
      <c r="F177" s="119"/>
      <c r="G177" s="119"/>
      <c r="H177" s="54" t="s">
        <v>6</v>
      </c>
      <c r="I177" s="59"/>
      <c r="J177" s="120"/>
      <c r="K177" s="120"/>
      <c r="L177" s="120"/>
      <c r="M177" s="120"/>
    </row>
    <row r="178" spans="1:20" s="1" customFormat="1" ht="30" customHeight="1">
      <c r="A178" s="72" t="s">
        <v>7</v>
      </c>
      <c r="B178" s="114"/>
      <c r="C178" s="4">
        <v>50</v>
      </c>
      <c r="D178" s="4" t="s">
        <v>8</v>
      </c>
      <c r="E178" s="4" t="s">
        <v>9</v>
      </c>
      <c r="F178" s="4">
        <f>F120+1</f>
        <v>8</v>
      </c>
      <c r="G178" s="5" t="s">
        <v>8</v>
      </c>
      <c r="H178" s="4" t="s">
        <v>10</v>
      </c>
      <c r="I178" s="4">
        <f>C178-F178+L178</f>
        <v>42</v>
      </c>
      <c r="J178" s="4" t="s">
        <v>11</v>
      </c>
      <c r="K178" s="6" t="s">
        <v>12</v>
      </c>
      <c r="L178" s="7">
        <f>L120</f>
        <v>0</v>
      </c>
      <c r="M178" s="4" t="s">
        <v>8</v>
      </c>
    </row>
    <row r="179" spans="1:20" s="2" customFormat="1" ht="30" customHeight="1">
      <c r="A179" s="72" t="s">
        <v>13</v>
      </c>
      <c r="B179" s="75"/>
      <c r="C179" s="75"/>
      <c r="D179" s="121">
        <f>D121</f>
        <v>45988</v>
      </c>
      <c r="E179" s="122"/>
      <c r="F179" s="122"/>
      <c r="G179" s="123"/>
      <c r="H179" s="124" t="s">
        <v>14</v>
      </c>
      <c r="I179" s="125"/>
      <c r="J179" s="121">
        <f>J121</f>
        <v>46037</v>
      </c>
      <c r="K179" s="122"/>
      <c r="L179" s="122"/>
      <c r="M179" s="123"/>
    </row>
    <row r="180" spans="1:20" s="2" customFormat="1" ht="30" customHeight="1">
      <c r="A180" s="72" t="s">
        <v>15</v>
      </c>
      <c r="B180" s="114"/>
      <c r="C180" s="114"/>
      <c r="D180" s="72">
        <v>4.1000000000000002E-2</v>
      </c>
      <c r="E180" s="72"/>
      <c r="F180" s="72"/>
      <c r="G180" s="72"/>
      <c r="H180" s="64" t="s">
        <v>16</v>
      </c>
      <c r="I180" s="115"/>
      <c r="J180" s="116">
        <f>P196</f>
        <v>0.63</v>
      </c>
      <c r="K180" s="117"/>
      <c r="L180" s="117"/>
      <c r="M180" s="118"/>
    </row>
    <row r="181" spans="1:20" s="2" customFormat="1" ht="30" customHeight="1">
      <c r="A181" s="72" t="s">
        <v>17</v>
      </c>
      <c r="B181" s="114"/>
      <c r="C181" s="114"/>
      <c r="D181" s="72">
        <f>D180+D123</f>
        <v>1.9169999999999998</v>
      </c>
      <c r="E181" s="72"/>
      <c r="F181" s="72"/>
      <c r="G181" s="72"/>
      <c r="H181" s="64" t="s">
        <v>18</v>
      </c>
      <c r="I181" s="115"/>
      <c r="J181" s="116">
        <f>J180+J123</f>
        <v>16.209999999999997</v>
      </c>
      <c r="K181" s="117"/>
      <c r="L181" s="117"/>
      <c r="M181" s="118"/>
    </row>
    <row r="182" spans="1:20" s="2" customFormat="1" ht="30" customHeight="1">
      <c r="A182" s="111" t="s">
        <v>19</v>
      </c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3"/>
    </row>
    <row r="183" spans="1:20" s="2" customFormat="1" ht="30" customHeight="1">
      <c r="A183" s="8" t="s">
        <v>20</v>
      </c>
      <c r="B183" s="72" t="s">
        <v>21</v>
      </c>
      <c r="C183" s="72"/>
      <c r="D183" s="72"/>
      <c r="E183" s="4" t="s">
        <v>22</v>
      </c>
      <c r="F183" s="54" t="s">
        <v>23</v>
      </c>
      <c r="G183" s="59"/>
      <c r="H183" s="72" t="s">
        <v>24</v>
      </c>
      <c r="I183" s="72"/>
      <c r="J183" s="72" t="s">
        <v>25</v>
      </c>
      <c r="K183" s="72"/>
      <c r="L183" s="72" t="s">
        <v>26</v>
      </c>
      <c r="M183" s="72"/>
      <c r="O183" s="1" t="s">
        <v>27</v>
      </c>
      <c r="P183" s="1" t="s">
        <v>28</v>
      </c>
      <c r="T183" s="2" t="s">
        <v>29</v>
      </c>
    </row>
    <row r="184" spans="1:20" s="2" customFormat="1" ht="24.95" customHeight="1">
      <c r="A184" s="9" t="s">
        <v>30</v>
      </c>
      <c r="B184" s="110" t="s">
        <v>31</v>
      </c>
      <c r="C184" s="110"/>
      <c r="D184" s="110"/>
      <c r="E184" s="4"/>
      <c r="F184" s="54"/>
      <c r="G184" s="59"/>
      <c r="H184" s="72"/>
      <c r="I184" s="72"/>
      <c r="J184" s="72"/>
      <c r="K184" s="72"/>
      <c r="L184" s="72"/>
      <c r="M184" s="72"/>
    </row>
    <row r="185" spans="1:20" ht="24.95" customHeight="1">
      <c r="A185" s="10">
        <v>1</v>
      </c>
      <c r="B185" s="66" t="s">
        <v>91</v>
      </c>
      <c r="C185" s="67" t="s">
        <v>91</v>
      </c>
      <c r="D185" s="68" t="s">
        <v>91</v>
      </c>
      <c r="E185" s="4" t="s">
        <v>32</v>
      </c>
      <c r="F185" s="69">
        <v>1</v>
      </c>
      <c r="G185" s="70"/>
      <c r="H185" s="69"/>
      <c r="I185" s="70"/>
      <c r="J185" s="71">
        <f>H185+J127</f>
        <v>1</v>
      </c>
      <c r="K185" s="71"/>
      <c r="L185" s="72"/>
      <c r="M185" s="72"/>
      <c r="O185" s="11">
        <v>4000</v>
      </c>
      <c r="P185" s="11">
        <f>ROUND(H185*O185,0)</f>
        <v>0</v>
      </c>
      <c r="Q185" s="12"/>
      <c r="S185" s="11">
        <f>ROUND(J185*O185,0)</f>
        <v>4000</v>
      </c>
      <c r="T185" s="13">
        <f>F185-J185</f>
        <v>0</v>
      </c>
    </row>
    <row r="186" spans="1:20" ht="24.95" customHeight="1">
      <c r="A186" s="10">
        <v>2</v>
      </c>
      <c r="B186" s="66" t="s">
        <v>92</v>
      </c>
      <c r="C186" s="67" t="s">
        <v>92</v>
      </c>
      <c r="D186" s="68" t="s">
        <v>92</v>
      </c>
      <c r="E186" s="4" t="s">
        <v>32</v>
      </c>
      <c r="F186" s="69">
        <v>1</v>
      </c>
      <c r="G186" s="70"/>
      <c r="H186" s="69"/>
      <c r="I186" s="70"/>
      <c r="J186" s="71">
        <f t="shared" ref="J186:J193" si="17">H186+J128</f>
        <v>1</v>
      </c>
      <c r="K186" s="71"/>
      <c r="L186" s="72"/>
      <c r="M186" s="72"/>
      <c r="O186" s="11">
        <v>14334</v>
      </c>
      <c r="P186" s="11">
        <f t="shared" ref="P186:P193" si="18">ROUND(H186*O186,0)</f>
        <v>0</v>
      </c>
      <c r="Q186" s="12"/>
      <c r="S186" s="11">
        <f t="shared" ref="S186:S193" si="19">ROUND(J186*O186,0)</f>
        <v>14334</v>
      </c>
      <c r="T186" s="13">
        <f t="shared" ref="T186:T193" si="20">F186-J186</f>
        <v>0</v>
      </c>
    </row>
    <row r="187" spans="1:20" ht="24.95" customHeight="1">
      <c r="A187" s="10">
        <v>3</v>
      </c>
      <c r="B187" s="66" t="s">
        <v>84</v>
      </c>
      <c r="C187" s="67" t="s">
        <v>84</v>
      </c>
      <c r="D187" s="68" t="s">
        <v>84</v>
      </c>
      <c r="E187" s="4" t="s">
        <v>33</v>
      </c>
      <c r="F187" s="69">
        <v>1</v>
      </c>
      <c r="G187" s="70"/>
      <c r="H187" s="69"/>
      <c r="I187" s="70"/>
      <c r="J187" s="71">
        <f t="shared" si="17"/>
        <v>0.5</v>
      </c>
      <c r="K187" s="71"/>
      <c r="L187" s="72"/>
      <c r="M187" s="72"/>
      <c r="O187" s="11">
        <v>7000</v>
      </c>
      <c r="P187" s="11">
        <f t="shared" si="18"/>
        <v>0</v>
      </c>
      <c r="Q187" s="12"/>
      <c r="S187" s="11">
        <f t="shared" si="19"/>
        <v>3500</v>
      </c>
      <c r="T187" s="13">
        <f t="shared" si="20"/>
        <v>0.5</v>
      </c>
    </row>
    <row r="188" spans="1:20" ht="24.95" customHeight="1">
      <c r="A188" s="10">
        <v>4</v>
      </c>
      <c r="B188" s="66" t="s">
        <v>85</v>
      </c>
      <c r="C188" s="67" t="s">
        <v>85</v>
      </c>
      <c r="D188" s="68" t="s">
        <v>85</v>
      </c>
      <c r="E188" s="4" t="s">
        <v>34</v>
      </c>
      <c r="F188" s="69">
        <v>1</v>
      </c>
      <c r="G188" s="70"/>
      <c r="H188" s="69"/>
      <c r="I188" s="70"/>
      <c r="J188" s="71">
        <f t="shared" si="17"/>
        <v>1</v>
      </c>
      <c r="K188" s="71"/>
      <c r="L188" s="72"/>
      <c r="M188" s="72"/>
      <c r="O188" s="11">
        <v>74000</v>
      </c>
      <c r="P188" s="11">
        <f t="shared" si="18"/>
        <v>0</v>
      </c>
      <c r="Q188" s="12"/>
      <c r="S188" s="11">
        <f t="shared" si="19"/>
        <v>74000</v>
      </c>
      <c r="T188" s="13">
        <f t="shared" si="20"/>
        <v>0</v>
      </c>
    </row>
    <row r="189" spans="1:20" ht="24.95" customHeight="1">
      <c r="A189" s="10">
        <v>5</v>
      </c>
      <c r="B189" s="66" t="s">
        <v>86</v>
      </c>
      <c r="C189" s="67" t="s">
        <v>86</v>
      </c>
      <c r="D189" s="68" t="s">
        <v>86</v>
      </c>
      <c r="E189" s="4" t="s">
        <v>93</v>
      </c>
      <c r="F189" s="69">
        <v>396</v>
      </c>
      <c r="G189" s="70"/>
      <c r="H189" s="69"/>
      <c r="I189" s="70"/>
      <c r="J189" s="71">
        <f t="shared" si="17"/>
        <v>200</v>
      </c>
      <c r="K189" s="71"/>
      <c r="L189" s="72"/>
      <c r="M189" s="72"/>
      <c r="O189" s="11">
        <v>200</v>
      </c>
      <c r="P189" s="11">
        <f t="shared" si="18"/>
        <v>0</v>
      </c>
      <c r="Q189" s="12"/>
      <c r="S189" s="11">
        <f t="shared" si="19"/>
        <v>40000</v>
      </c>
      <c r="T189" s="13">
        <f t="shared" si="20"/>
        <v>196</v>
      </c>
    </row>
    <row r="190" spans="1:20" ht="24.95" customHeight="1">
      <c r="A190" s="10">
        <v>6</v>
      </c>
      <c r="B190" s="66" t="s">
        <v>87</v>
      </c>
      <c r="C190" s="67" t="s">
        <v>87</v>
      </c>
      <c r="D190" s="68" t="s">
        <v>87</v>
      </c>
      <c r="E190" s="4" t="s">
        <v>35</v>
      </c>
      <c r="F190" s="69">
        <v>80</v>
      </c>
      <c r="G190" s="70">
        <v>183.6</v>
      </c>
      <c r="H190" s="69">
        <v>5</v>
      </c>
      <c r="I190" s="70"/>
      <c r="J190" s="71">
        <f t="shared" si="17"/>
        <v>35</v>
      </c>
      <c r="K190" s="71"/>
      <c r="L190" s="54"/>
      <c r="M190" s="59"/>
      <c r="O190" s="11">
        <v>1463</v>
      </c>
      <c r="P190" s="11">
        <f t="shared" si="18"/>
        <v>7315</v>
      </c>
      <c r="S190" s="11">
        <f t="shared" si="19"/>
        <v>51205</v>
      </c>
      <c r="T190" s="13">
        <f t="shared" si="20"/>
        <v>45</v>
      </c>
    </row>
    <row r="191" spans="1:20" ht="24.95" customHeight="1">
      <c r="A191" s="10">
        <v>7</v>
      </c>
      <c r="B191" s="66" t="s">
        <v>88</v>
      </c>
      <c r="C191" s="67" t="s">
        <v>88</v>
      </c>
      <c r="D191" s="68" t="s">
        <v>88</v>
      </c>
      <c r="E191" s="4" t="s">
        <v>94</v>
      </c>
      <c r="F191" s="69">
        <v>126</v>
      </c>
      <c r="G191" s="70">
        <v>19</v>
      </c>
      <c r="H191" s="69"/>
      <c r="I191" s="70"/>
      <c r="J191" s="71">
        <f t="shared" si="17"/>
        <v>0</v>
      </c>
      <c r="K191" s="71"/>
      <c r="L191" s="54"/>
      <c r="M191" s="59"/>
      <c r="O191" s="11">
        <v>6350</v>
      </c>
      <c r="P191" s="11">
        <f t="shared" si="18"/>
        <v>0</v>
      </c>
      <c r="S191" s="11">
        <f t="shared" si="19"/>
        <v>0</v>
      </c>
      <c r="T191" s="13">
        <f t="shared" si="20"/>
        <v>126</v>
      </c>
    </row>
    <row r="192" spans="1:20" ht="24.95" customHeight="1">
      <c r="A192" s="10">
        <v>8</v>
      </c>
      <c r="B192" s="66" t="s">
        <v>89</v>
      </c>
      <c r="C192" s="67" t="s">
        <v>89</v>
      </c>
      <c r="D192" s="68" t="s">
        <v>89</v>
      </c>
      <c r="E192" s="4" t="s">
        <v>95</v>
      </c>
      <c r="F192" s="69">
        <v>1</v>
      </c>
      <c r="G192" s="70">
        <v>1192</v>
      </c>
      <c r="H192" s="69"/>
      <c r="I192" s="70"/>
      <c r="J192" s="71">
        <f t="shared" si="17"/>
        <v>0</v>
      </c>
      <c r="K192" s="71"/>
      <c r="L192" s="54"/>
      <c r="M192" s="59"/>
      <c r="O192" s="11">
        <v>47600</v>
      </c>
      <c r="P192" s="11">
        <f t="shared" si="18"/>
        <v>0</v>
      </c>
      <c r="S192" s="11">
        <f t="shared" si="19"/>
        <v>0</v>
      </c>
      <c r="T192" s="13">
        <f t="shared" si="20"/>
        <v>1</v>
      </c>
    </row>
    <row r="193" spans="1:20" ht="24.95" customHeight="1">
      <c r="A193" s="10">
        <v>9</v>
      </c>
      <c r="B193" s="66" t="s">
        <v>90</v>
      </c>
      <c r="C193" s="67" t="s">
        <v>90</v>
      </c>
      <c r="D193" s="68" t="s">
        <v>90</v>
      </c>
      <c r="E193" s="4" t="s">
        <v>96</v>
      </c>
      <c r="F193" s="69">
        <v>1</v>
      </c>
      <c r="G193" s="70">
        <v>1261</v>
      </c>
      <c r="H193" s="69"/>
      <c r="I193" s="70"/>
      <c r="J193" s="71">
        <f t="shared" si="17"/>
        <v>0</v>
      </c>
      <c r="K193" s="71"/>
      <c r="L193" s="54"/>
      <c r="M193" s="59"/>
      <c r="O193" s="11">
        <v>10000</v>
      </c>
      <c r="P193" s="11">
        <f t="shared" si="18"/>
        <v>0</v>
      </c>
      <c r="S193" s="11">
        <f t="shared" si="19"/>
        <v>0</v>
      </c>
      <c r="T193" s="13">
        <f t="shared" si="20"/>
        <v>1</v>
      </c>
    </row>
    <row r="194" spans="1:20" ht="24.95" customHeight="1">
      <c r="A194" s="14"/>
      <c r="B194" s="15"/>
      <c r="C194" s="16"/>
      <c r="D194" s="17"/>
      <c r="E194" s="4"/>
      <c r="F194" s="18"/>
      <c r="G194" s="19"/>
      <c r="H194" s="105"/>
      <c r="I194" s="106"/>
      <c r="J194" s="105"/>
      <c r="K194" s="106"/>
      <c r="L194" s="54"/>
      <c r="M194" s="59"/>
      <c r="N194" s="20"/>
      <c r="P194" s="21" t="s">
        <v>37</v>
      </c>
      <c r="Q194" s="22">
        <f>SUM(P185:P193)</f>
        <v>7315</v>
      </c>
      <c r="R194" s="23"/>
      <c r="S194" s="24">
        <f>SUM(S185:S193)</f>
        <v>187039</v>
      </c>
      <c r="T194" s="13"/>
    </row>
    <row r="195" spans="1:20" ht="24.95" customHeight="1">
      <c r="A195" s="107"/>
      <c r="B195" s="108"/>
      <c r="C195" s="108"/>
      <c r="D195" s="109"/>
      <c r="E195" s="4"/>
      <c r="F195" s="54"/>
      <c r="G195" s="59"/>
      <c r="H195" s="72"/>
      <c r="I195" s="72"/>
      <c r="J195" s="72"/>
      <c r="K195" s="72"/>
      <c r="L195" s="72"/>
      <c r="M195" s="72"/>
      <c r="O195" t="s">
        <v>38</v>
      </c>
      <c r="P195" s="24">
        <f>Q194</f>
        <v>7315</v>
      </c>
      <c r="T195" s="13"/>
    </row>
    <row r="196" spans="1:20" ht="24.95" customHeight="1">
      <c r="A196" s="97"/>
      <c r="B196" s="98"/>
      <c r="C196" s="98"/>
      <c r="D196" s="99"/>
      <c r="E196" s="4"/>
      <c r="F196" s="54"/>
      <c r="G196" s="59"/>
      <c r="H196" s="72"/>
      <c r="I196" s="72"/>
      <c r="J196" s="72"/>
      <c r="K196" s="72"/>
      <c r="L196" s="72"/>
      <c r="M196" s="72"/>
      <c r="O196" t="s">
        <v>39</v>
      </c>
      <c r="P196" s="23">
        <f>ROUND(P195/1153274,4)*100</f>
        <v>0.63</v>
      </c>
      <c r="T196" s="13"/>
    </row>
    <row r="197" spans="1:20" ht="24.95" customHeight="1">
      <c r="A197" s="25"/>
      <c r="B197" s="63" t="s">
        <v>40</v>
      </c>
      <c r="C197" s="63"/>
      <c r="D197" s="59"/>
      <c r="E197" s="26"/>
      <c r="F197" s="100"/>
      <c r="G197" s="101"/>
      <c r="H197" s="100"/>
      <c r="I197" s="101"/>
      <c r="J197" s="102"/>
      <c r="K197" s="102"/>
      <c r="L197" s="103">
        <f>P195</f>
        <v>7315</v>
      </c>
      <c r="M197" s="104"/>
      <c r="T197" s="13"/>
    </row>
    <row r="198" spans="1:20" ht="24.95" customHeight="1" thickBot="1">
      <c r="A198" s="27"/>
      <c r="B198" s="85" t="s">
        <v>41</v>
      </c>
      <c r="C198" s="85"/>
      <c r="D198" s="86"/>
      <c r="E198" s="28"/>
      <c r="F198" s="87"/>
      <c r="G198" s="88"/>
      <c r="H198" s="87"/>
      <c r="I198" s="88"/>
      <c r="J198" s="87"/>
      <c r="K198" s="88"/>
      <c r="L198" s="89">
        <f>L197+L140</f>
        <v>187039</v>
      </c>
      <c r="M198" s="90"/>
      <c r="T198" s="13"/>
    </row>
    <row r="199" spans="1:20" ht="24.95" customHeight="1">
      <c r="A199" s="29"/>
      <c r="B199" s="91" t="s">
        <v>42</v>
      </c>
      <c r="C199" s="91"/>
      <c r="D199" s="92"/>
      <c r="E199" s="30"/>
      <c r="F199" s="93"/>
      <c r="G199" s="94"/>
      <c r="H199" s="95"/>
      <c r="I199" s="95"/>
      <c r="J199" s="95"/>
      <c r="K199" s="95"/>
      <c r="L199" s="95"/>
      <c r="M199" s="96"/>
      <c r="T199" s="13"/>
    </row>
    <row r="200" spans="1:20" ht="24.95" customHeight="1">
      <c r="A200" s="31"/>
      <c r="B200" s="76" t="s">
        <v>43</v>
      </c>
      <c r="C200" s="76"/>
      <c r="D200" s="77"/>
      <c r="E200" s="4"/>
      <c r="F200" s="54"/>
      <c r="G200" s="59"/>
      <c r="H200" s="72"/>
      <c r="I200" s="72"/>
      <c r="J200" s="72"/>
      <c r="K200" s="72"/>
      <c r="L200" s="72"/>
      <c r="M200" s="78"/>
      <c r="T200" s="13"/>
    </row>
    <row r="201" spans="1:20" ht="24.95" customHeight="1" thickBot="1">
      <c r="A201" s="32"/>
      <c r="B201" s="79" t="s">
        <v>44</v>
      </c>
      <c r="C201" s="79"/>
      <c r="D201" s="80"/>
      <c r="E201" s="33"/>
      <c r="F201" s="81"/>
      <c r="G201" s="82"/>
      <c r="H201" s="83"/>
      <c r="I201" s="83"/>
      <c r="J201" s="83"/>
      <c r="K201" s="83"/>
      <c r="L201" s="83"/>
      <c r="M201" s="84"/>
      <c r="T201" s="13"/>
    </row>
    <row r="202" spans="1:20" ht="24.95" customHeight="1">
      <c r="A202" s="73" t="s">
        <v>45</v>
      </c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T202" s="13"/>
    </row>
    <row r="203" spans="1:20" ht="24.95" customHeight="1">
      <c r="A203" s="72" t="s">
        <v>46</v>
      </c>
      <c r="B203" s="75"/>
      <c r="C203" s="75"/>
      <c r="D203" s="75"/>
      <c r="E203" s="4" t="s">
        <v>22</v>
      </c>
      <c r="F203" s="72" t="s">
        <v>47</v>
      </c>
      <c r="G203" s="72"/>
      <c r="H203" s="72" t="s">
        <v>48</v>
      </c>
      <c r="I203" s="72"/>
      <c r="J203" s="72" t="s">
        <v>49</v>
      </c>
      <c r="K203" s="72"/>
      <c r="L203" s="72" t="s">
        <v>50</v>
      </c>
      <c r="M203" s="72"/>
      <c r="T203" s="13"/>
    </row>
    <row r="204" spans="1:20" ht="24.95" customHeight="1">
      <c r="A204" s="10">
        <v>6</v>
      </c>
      <c r="B204" s="66" t="s">
        <v>97</v>
      </c>
      <c r="C204" s="67" t="s">
        <v>51</v>
      </c>
      <c r="D204" s="68" t="s">
        <v>51</v>
      </c>
      <c r="E204" s="4" t="s">
        <v>35</v>
      </c>
      <c r="F204" s="69">
        <v>80</v>
      </c>
      <c r="G204" s="70">
        <v>1261</v>
      </c>
      <c r="H204" s="71">
        <f>H190</f>
        <v>5</v>
      </c>
      <c r="I204" s="71"/>
      <c r="J204" s="71">
        <f>H204+J146</f>
        <v>35</v>
      </c>
      <c r="K204" s="71"/>
      <c r="L204" s="72"/>
      <c r="M204" s="72"/>
      <c r="T204" s="13"/>
    </row>
    <row r="205" spans="1:20" ht="24.95" customHeight="1">
      <c r="A205" s="10">
        <v>7</v>
      </c>
      <c r="B205" s="66" t="s">
        <v>88</v>
      </c>
      <c r="C205" s="67" t="s">
        <v>88</v>
      </c>
      <c r="D205" s="68" t="s">
        <v>88</v>
      </c>
      <c r="E205" s="4" t="s">
        <v>98</v>
      </c>
      <c r="F205" s="69">
        <v>126</v>
      </c>
      <c r="G205" s="70"/>
      <c r="H205" s="71">
        <f>H191</f>
        <v>0</v>
      </c>
      <c r="I205" s="71"/>
      <c r="J205" s="71">
        <f t="shared" ref="J205:J206" si="21">H205+J147</f>
        <v>0</v>
      </c>
      <c r="K205" s="71"/>
      <c r="L205" s="72"/>
      <c r="M205" s="72"/>
      <c r="T205" s="13"/>
    </row>
    <row r="206" spans="1:20" ht="24.95" customHeight="1">
      <c r="A206" s="10">
        <v>8</v>
      </c>
      <c r="B206" s="66" t="s">
        <v>89</v>
      </c>
      <c r="C206" s="67" t="s">
        <v>89</v>
      </c>
      <c r="D206" s="68" t="s">
        <v>89</v>
      </c>
      <c r="E206" s="4" t="s">
        <v>36</v>
      </c>
      <c r="F206" s="69">
        <v>1</v>
      </c>
      <c r="G206" s="70"/>
      <c r="H206" s="71">
        <f>H192</f>
        <v>0</v>
      </c>
      <c r="I206" s="71"/>
      <c r="J206" s="71">
        <f t="shared" si="21"/>
        <v>0</v>
      </c>
      <c r="K206" s="71"/>
      <c r="L206" s="72"/>
      <c r="M206" s="72"/>
      <c r="T206" s="13"/>
    </row>
    <row r="207" spans="1:20" ht="24.95" customHeight="1">
      <c r="A207" s="51" t="s">
        <v>52</v>
      </c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3"/>
      <c r="T207" s="13"/>
    </row>
    <row r="208" spans="1:20" ht="24.95" customHeight="1">
      <c r="A208" s="54" t="s">
        <v>53</v>
      </c>
      <c r="B208" s="63"/>
      <c r="C208" s="63"/>
      <c r="D208" s="59"/>
      <c r="E208" s="4" t="s">
        <v>54</v>
      </c>
      <c r="F208" s="54" t="s">
        <v>55</v>
      </c>
      <c r="G208" s="59"/>
      <c r="H208" s="54" t="s">
        <v>56</v>
      </c>
      <c r="I208" s="59"/>
      <c r="J208" s="54" t="s">
        <v>48</v>
      </c>
      <c r="K208" s="59"/>
      <c r="L208" s="64" t="s">
        <v>49</v>
      </c>
      <c r="M208" s="65"/>
      <c r="T208" s="13"/>
    </row>
    <row r="209" spans="1:20" ht="24.95" customHeight="1">
      <c r="A209" s="54" t="s">
        <v>57</v>
      </c>
      <c r="B209" s="55"/>
      <c r="C209" s="55"/>
      <c r="D209" s="56"/>
      <c r="E209" s="4">
        <v>2</v>
      </c>
      <c r="F209" s="57">
        <f>E209+F151</f>
        <v>12</v>
      </c>
      <c r="G209" s="58"/>
      <c r="H209" s="54" t="s">
        <v>58</v>
      </c>
      <c r="I209" s="59"/>
      <c r="J209" s="54">
        <v>1</v>
      </c>
      <c r="K209" s="59"/>
      <c r="L209" s="57">
        <f>J209+L151</f>
        <v>6</v>
      </c>
      <c r="M209" s="58"/>
      <c r="T209" s="13"/>
    </row>
    <row r="210" spans="1:20" ht="24.95" customHeight="1">
      <c r="A210" s="54" t="s">
        <v>59</v>
      </c>
      <c r="B210" s="55"/>
      <c r="C210" s="55"/>
      <c r="D210" s="56"/>
      <c r="E210" s="4"/>
      <c r="F210" s="57">
        <f t="shared" ref="F210:F212" si="22">E210+F152</f>
        <v>0</v>
      </c>
      <c r="G210" s="58"/>
      <c r="H210" s="54" t="s">
        <v>60</v>
      </c>
      <c r="I210" s="59"/>
      <c r="J210" s="54"/>
      <c r="K210" s="59"/>
      <c r="L210" s="57">
        <f t="shared" ref="L210:L212" si="23">J210+L152</f>
        <v>0</v>
      </c>
      <c r="M210" s="58"/>
      <c r="T210" s="13"/>
    </row>
    <row r="211" spans="1:20" ht="24.95" customHeight="1">
      <c r="A211" s="54" t="s">
        <v>61</v>
      </c>
      <c r="B211" s="55"/>
      <c r="C211" s="55"/>
      <c r="D211" s="56"/>
      <c r="E211" s="4"/>
      <c r="F211" s="57">
        <f t="shared" si="22"/>
        <v>0</v>
      </c>
      <c r="G211" s="58"/>
      <c r="H211" s="54" t="s">
        <v>62</v>
      </c>
      <c r="I211" s="59"/>
      <c r="J211" s="54"/>
      <c r="K211" s="59"/>
      <c r="L211" s="57">
        <f t="shared" si="23"/>
        <v>2</v>
      </c>
      <c r="M211" s="58"/>
      <c r="T211" s="13"/>
    </row>
    <row r="212" spans="1:20" ht="24.95" customHeight="1">
      <c r="A212" s="54" t="s">
        <v>63</v>
      </c>
      <c r="B212" s="55"/>
      <c r="C212" s="55"/>
      <c r="D212" s="56"/>
      <c r="E212" s="4"/>
      <c r="F212" s="57">
        <f t="shared" si="22"/>
        <v>0</v>
      </c>
      <c r="G212" s="58"/>
      <c r="H212" s="54" t="s">
        <v>64</v>
      </c>
      <c r="I212" s="59"/>
      <c r="J212" s="54"/>
      <c r="K212" s="59"/>
      <c r="L212" s="57">
        <f t="shared" si="23"/>
        <v>0</v>
      </c>
      <c r="M212" s="58"/>
      <c r="T212" s="13"/>
    </row>
    <row r="213" spans="1:20" ht="64.5" customHeight="1">
      <c r="A213" s="60" t="s">
        <v>65</v>
      </c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2"/>
      <c r="T213" s="13"/>
    </row>
    <row r="214" spans="1:20" ht="24.95" customHeight="1">
      <c r="A214" s="46" t="s">
        <v>66</v>
      </c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8"/>
      <c r="T214" s="13"/>
    </row>
    <row r="215" spans="1:20" ht="24.95" customHeight="1">
      <c r="A215" s="27"/>
      <c r="B215" s="34" t="s">
        <v>67</v>
      </c>
      <c r="C215" s="34"/>
      <c r="D215" s="34"/>
      <c r="E215" s="34"/>
      <c r="F215" s="34"/>
      <c r="G215" s="35"/>
      <c r="H215" s="34"/>
      <c r="I215" s="34"/>
      <c r="J215" s="34"/>
      <c r="K215" s="34"/>
      <c r="L215" s="34"/>
      <c r="M215" s="36"/>
      <c r="T215" s="13"/>
    </row>
    <row r="216" spans="1:20" ht="24.95" customHeight="1">
      <c r="A216" s="27"/>
      <c r="B216" s="34" t="s">
        <v>133</v>
      </c>
      <c r="C216" s="34"/>
      <c r="D216" s="34"/>
      <c r="E216" s="34"/>
      <c r="F216" s="34"/>
      <c r="G216" s="35"/>
      <c r="H216" s="34"/>
      <c r="I216" s="34"/>
      <c r="J216" s="34"/>
      <c r="K216" s="34"/>
      <c r="L216" s="34"/>
      <c r="M216" s="36"/>
      <c r="T216" s="13"/>
    </row>
    <row r="217" spans="1:20" ht="24.95" customHeight="1">
      <c r="A217" s="27"/>
      <c r="B217" s="34" t="s">
        <v>68</v>
      </c>
      <c r="C217" s="34"/>
      <c r="D217" s="34"/>
      <c r="E217" s="34"/>
      <c r="F217" s="34"/>
      <c r="G217" s="35"/>
      <c r="H217" s="34"/>
      <c r="I217" s="34"/>
      <c r="J217" s="34"/>
      <c r="K217" s="34"/>
      <c r="L217" s="34"/>
      <c r="M217" s="36"/>
      <c r="T217" s="13"/>
    </row>
    <row r="218" spans="1:20" ht="24.95" customHeight="1">
      <c r="A218" s="27"/>
      <c r="B218" s="34" t="s">
        <v>134</v>
      </c>
      <c r="C218" s="34"/>
      <c r="D218" s="34"/>
      <c r="E218" s="34"/>
      <c r="F218" s="34"/>
      <c r="G218" s="35"/>
      <c r="H218" s="34"/>
      <c r="I218" s="34"/>
      <c r="J218" s="34"/>
      <c r="K218" s="34"/>
      <c r="L218" s="34"/>
      <c r="M218" s="36"/>
      <c r="T218" s="13"/>
    </row>
    <row r="219" spans="1:20" ht="24.95" customHeight="1">
      <c r="A219" s="27"/>
      <c r="B219" s="34" t="s">
        <v>135</v>
      </c>
      <c r="C219" s="34"/>
      <c r="D219" s="34"/>
      <c r="E219" s="34"/>
      <c r="F219" s="34"/>
      <c r="G219" s="35"/>
      <c r="H219" s="34"/>
      <c r="I219" s="34"/>
      <c r="J219" s="34"/>
      <c r="K219" s="34"/>
      <c r="L219" s="34"/>
      <c r="M219" s="36"/>
      <c r="T219" s="13"/>
    </row>
    <row r="220" spans="1:20" ht="24.95" customHeight="1">
      <c r="A220" s="37"/>
      <c r="B220" s="49" t="s">
        <v>69</v>
      </c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50"/>
      <c r="T220" s="13"/>
    </row>
    <row r="221" spans="1:20" ht="44.25" customHeight="1">
      <c r="A221" s="51" t="s">
        <v>70</v>
      </c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3"/>
      <c r="T221" s="13"/>
    </row>
    <row r="222" spans="1:20" ht="48" customHeight="1">
      <c r="A222" s="51" t="s">
        <v>71</v>
      </c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3"/>
      <c r="T222" s="13"/>
    </row>
    <row r="223" spans="1:20" ht="81" customHeight="1">
      <c r="A223" s="51" t="s">
        <v>124</v>
      </c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3"/>
      <c r="T223" s="13"/>
    </row>
    <row r="224" spans="1:20" ht="100.5" customHeight="1">
      <c r="A224" s="51" t="s">
        <v>72</v>
      </c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3"/>
      <c r="T224" s="13"/>
    </row>
    <row r="225" spans="1:20" ht="12" customHeight="1">
      <c r="A225" s="41" t="s">
        <v>73</v>
      </c>
      <c r="B225" s="41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38"/>
      <c r="T225" s="13"/>
    </row>
    <row r="226" spans="1:20" ht="12" customHeight="1">
      <c r="A226" s="43" t="s">
        <v>74</v>
      </c>
      <c r="B226" s="43"/>
      <c r="C226" s="40"/>
      <c r="D226" s="40"/>
      <c r="E226" s="40"/>
      <c r="F226" s="40"/>
      <c r="G226" s="40"/>
      <c r="H226" s="40"/>
      <c r="I226" s="40"/>
      <c r="J226" s="40"/>
      <c r="K226" s="40"/>
      <c r="L226" s="38"/>
      <c r="M226" s="38"/>
      <c r="T226" s="13"/>
    </row>
    <row r="227" spans="1:20" ht="12" customHeight="1">
      <c r="A227" s="44" t="s">
        <v>75</v>
      </c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T227" s="13"/>
    </row>
    <row r="228" spans="1:20" ht="12" customHeight="1">
      <c r="A228" s="39" t="s">
        <v>76</v>
      </c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T228" s="13"/>
    </row>
    <row r="229" spans="1:20" ht="12" customHeight="1">
      <c r="A229" s="39" t="s">
        <v>77</v>
      </c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T229" s="13"/>
    </row>
    <row r="230" spans="1:20" ht="12" customHeight="1">
      <c r="A230" s="45" t="s">
        <v>78</v>
      </c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T230" s="13"/>
    </row>
    <row r="231" spans="1:20" ht="12" customHeight="1">
      <c r="A231" s="39" t="s">
        <v>79</v>
      </c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T231" s="13"/>
    </row>
    <row r="232" spans="1:20" ht="409.5" customHeight="1"/>
    <row r="233" spans="1:20" s="2" customFormat="1" ht="35.1" customHeight="1">
      <c r="A233" s="126" t="s">
        <v>0</v>
      </c>
      <c r="B233" s="126"/>
      <c r="C233" s="1">
        <f>C175+1</f>
        <v>9</v>
      </c>
      <c r="G233" s="3"/>
    </row>
    <row r="234" spans="1:20" s="2" customFormat="1" ht="35.1" customHeight="1">
      <c r="A234" s="126" t="s">
        <v>1</v>
      </c>
      <c r="B234" s="126"/>
      <c r="C234" s="2" t="s">
        <v>2</v>
      </c>
      <c r="D234" s="2" t="s">
        <v>103</v>
      </c>
      <c r="E234" s="2" t="s">
        <v>3</v>
      </c>
      <c r="F234" s="2" t="s">
        <v>103</v>
      </c>
      <c r="G234" s="3"/>
      <c r="H234" s="127" t="s">
        <v>4</v>
      </c>
      <c r="I234" s="128"/>
      <c r="J234" s="129">
        <f>J176+1</f>
        <v>45996</v>
      </c>
      <c r="K234" s="130"/>
      <c r="L234" s="131">
        <f>J234</f>
        <v>45996</v>
      </c>
      <c r="M234" s="132"/>
    </row>
    <row r="235" spans="1:20" s="2" customFormat="1" ht="30" customHeight="1">
      <c r="A235" s="72" t="s">
        <v>5</v>
      </c>
      <c r="B235" s="114"/>
      <c r="C235" s="119" t="s">
        <v>83</v>
      </c>
      <c r="D235" s="119"/>
      <c r="E235" s="119"/>
      <c r="F235" s="119"/>
      <c r="G235" s="119"/>
      <c r="H235" s="54" t="s">
        <v>6</v>
      </c>
      <c r="I235" s="59"/>
      <c r="J235" s="120"/>
      <c r="K235" s="120"/>
      <c r="L235" s="120"/>
      <c r="M235" s="120"/>
    </row>
    <row r="236" spans="1:20" s="1" customFormat="1" ht="30" customHeight="1">
      <c r="A236" s="72" t="s">
        <v>7</v>
      </c>
      <c r="B236" s="114"/>
      <c r="C236" s="4">
        <v>50</v>
      </c>
      <c r="D236" s="4" t="s">
        <v>8</v>
      </c>
      <c r="E236" s="4" t="s">
        <v>9</v>
      </c>
      <c r="F236" s="4">
        <f>F178+1</f>
        <v>9</v>
      </c>
      <c r="G236" s="5" t="s">
        <v>8</v>
      </c>
      <c r="H236" s="4" t="s">
        <v>10</v>
      </c>
      <c r="I236" s="4">
        <f>C236-F236+L236</f>
        <v>41</v>
      </c>
      <c r="J236" s="4" t="s">
        <v>11</v>
      </c>
      <c r="K236" s="6" t="s">
        <v>12</v>
      </c>
      <c r="L236" s="7">
        <f>L178</f>
        <v>0</v>
      </c>
      <c r="M236" s="4" t="s">
        <v>8</v>
      </c>
    </row>
    <row r="237" spans="1:20" s="2" customFormat="1" ht="30" customHeight="1">
      <c r="A237" s="72" t="s">
        <v>13</v>
      </c>
      <c r="B237" s="75"/>
      <c r="C237" s="75"/>
      <c r="D237" s="121">
        <f>D179</f>
        <v>45988</v>
      </c>
      <c r="E237" s="122"/>
      <c r="F237" s="122"/>
      <c r="G237" s="123"/>
      <c r="H237" s="124" t="s">
        <v>14</v>
      </c>
      <c r="I237" s="125"/>
      <c r="J237" s="121">
        <f>J179</f>
        <v>46037</v>
      </c>
      <c r="K237" s="122"/>
      <c r="L237" s="122"/>
      <c r="M237" s="123"/>
    </row>
    <row r="238" spans="1:20" s="2" customFormat="1" ht="30" customHeight="1">
      <c r="A238" s="72" t="s">
        <v>15</v>
      </c>
      <c r="B238" s="114"/>
      <c r="C238" s="114"/>
      <c r="D238" s="72">
        <v>4.1000000000000002E-2</v>
      </c>
      <c r="E238" s="72"/>
      <c r="F238" s="72"/>
      <c r="G238" s="72"/>
      <c r="H238" s="64" t="s">
        <v>16</v>
      </c>
      <c r="I238" s="115"/>
      <c r="J238" s="116">
        <f>P254</f>
        <v>0.63</v>
      </c>
      <c r="K238" s="117"/>
      <c r="L238" s="117"/>
      <c r="M238" s="118"/>
    </row>
    <row r="239" spans="1:20" s="2" customFormat="1" ht="30" customHeight="1">
      <c r="A239" s="72" t="s">
        <v>17</v>
      </c>
      <c r="B239" s="114"/>
      <c r="C239" s="114"/>
      <c r="D239" s="72">
        <f>D238+D181</f>
        <v>1.9579999999999997</v>
      </c>
      <c r="E239" s="72"/>
      <c r="F239" s="72"/>
      <c r="G239" s="72"/>
      <c r="H239" s="64" t="s">
        <v>18</v>
      </c>
      <c r="I239" s="115"/>
      <c r="J239" s="116">
        <f>J238+J181</f>
        <v>16.839999999999996</v>
      </c>
      <c r="K239" s="117"/>
      <c r="L239" s="117"/>
      <c r="M239" s="118"/>
    </row>
    <row r="240" spans="1:20" s="2" customFormat="1" ht="30" customHeight="1">
      <c r="A240" s="111" t="s">
        <v>19</v>
      </c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3"/>
    </row>
    <row r="241" spans="1:20" s="2" customFormat="1" ht="30" customHeight="1">
      <c r="A241" s="8" t="s">
        <v>20</v>
      </c>
      <c r="B241" s="72" t="s">
        <v>21</v>
      </c>
      <c r="C241" s="72"/>
      <c r="D241" s="72"/>
      <c r="E241" s="4" t="s">
        <v>22</v>
      </c>
      <c r="F241" s="54" t="s">
        <v>23</v>
      </c>
      <c r="G241" s="59"/>
      <c r="H241" s="72" t="s">
        <v>24</v>
      </c>
      <c r="I241" s="72"/>
      <c r="J241" s="72" t="s">
        <v>25</v>
      </c>
      <c r="K241" s="72"/>
      <c r="L241" s="72" t="s">
        <v>26</v>
      </c>
      <c r="M241" s="72"/>
      <c r="O241" s="1" t="s">
        <v>27</v>
      </c>
      <c r="P241" s="1" t="s">
        <v>28</v>
      </c>
      <c r="T241" s="2" t="s">
        <v>29</v>
      </c>
    </row>
    <row r="242" spans="1:20" s="2" customFormat="1" ht="24.95" customHeight="1">
      <c r="A242" s="9" t="s">
        <v>30</v>
      </c>
      <c r="B242" s="110" t="s">
        <v>31</v>
      </c>
      <c r="C242" s="110"/>
      <c r="D242" s="110"/>
      <c r="E242" s="4"/>
      <c r="F242" s="54"/>
      <c r="G242" s="59"/>
      <c r="H242" s="72"/>
      <c r="I242" s="72"/>
      <c r="J242" s="72"/>
      <c r="K242" s="72"/>
      <c r="L242" s="72"/>
      <c r="M242" s="72"/>
    </row>
    <row r="243" spans="1:20" ht="24.95" customHeight="1">
      <c r="A243" s="10">
        <v>1</v>
      </c>
      <c r="B243" s="66" t="s">
        <v>91</v>
      </c>
      <c r="C243" s="67" t="s">
        <v>91</v>
      </c>
      <c r="D243" s="68" t="s">
        <v>91</v>
      </c>
      <c r="E243" s="4" t="s">
        <v>32</v>
      </c>
      <c r="F243" s="69">
        <v>1</v>
      </c>
      <c r="G243" s="70"/>
      <c r="H243" s="69"/>
      <c r="I243" s="70"/>
      <c r="J243" s="71">
        <f>H243+J185</f>
        <v>1</v>
      </c>
      <c r="K243" s="71"/>
      <c r="L243" s="72"/>
      <c r="M243" s="72"/>
      <c r="O243" s="11">
        <v>4000</v>
      </c>
      <c r="P243" s="11">
        <f>ROUND(H243*O243,0)</f>
        <v>0</v>
      </c>
      <c r="Q243" s="12"/>
      <c r="S243" s="11">
        <f>ROUND(J243*O243,0)</f>
        <v>4000</v>
      </c>
      <c r="T243" s="13">
        <f>F243-J243</f>
        <v>0</v>
      </c>
    </row>
    <row r="244" spans="1:20" ht="24.95" customHeight="1">
      <c r="A244" s="10">
        <v>2</v>
      </c>
      <c r="B244" s="66" t="s">
        <v>92</v>
      </c>
      <c r="C244" s="67" t="s">
        <v>92</v>
      </c>
      <c r="D244" s="68" t="s">
        <v>92</v>
      </c>
      <c r="E244" s="4" t="s">
        <v>32</v>
      </c>
      <c r="F244" s="69">
        <v>1</v>
      </c>
      <c r="G244" s="70"/>
      <c r="H244" s="69"/>
      <c r="I244" s="70"/>
      <c r="J244" s="71">
        <f t="shared" ref="J244:J251" si="24">H244+J186</f>
        <v>1</v>
      </c>
      <c r="K244" s="71"/>
      <c r="L244" s="72"/>
      <c r="M244" s="72"/>
      <c r="O244" s="11">
        <v>14334</v>
      </c>
      <c r="P244" s="11">
        <f t="shared" ref="P244:P251" si="25">ROUND(H244*O244,0)</f>
        <v>0</v>
      </c>
      <c r="Q244" s="12"/>
      <c r="S244" s="11">
        <f t="shared" ref="S244:S251" si="26">ROUND(J244*O244,0)</f>
        <v>14334</v>
      </c>
      <c r="T244" s="13">
        <f t="shared" ref="T244:T251" si="27">F244-J244</f>
        <v>0</v>
      </c>
    </row>
    <row r="245" spans="1:20" ht="24.95" customHeight="1">
      <c r="A245" s="10">
        <v>3</v>
      </c>
      <c r="B245" s="66" t="s">
        <v>84</v>
      </c>
      <c r="C245" s="67" t="s">
        <v>84</v>
      </c>
      <c r="D245" s="68" t="s">
        <v>84</v>
      </c>
      <c r="E245" s="4" t="s">
        <v>33</v>
      </c>
      <c r="F245" s="69">
        <v>1</v>
      </c>
      <c r="G245" s="70"/>
      <c r="H245" s="69"/>
      <c r="I245" s="70"/>
      <c r="J245" s="71">
        <f t="shared" si="24"/>
        <v>0.5</v>
      </c>
      <c r="K245" s="71"/>
      <c r="L245" s="72"/>
      <c r="M245" s="72"/>
      <c r="O245" s="11">
        <v>7000</v>
      </c>
      <c r="P245" s="11">
        <f t="shared" si="25"/>
        <v>0</v>
      </c>
      <c r="Q245" s="12"/>
      <c r="S245" s="11">
        <f t="shared" si="26"/>
        <v>3500</v>
      </c>
      <c r="T245" s="13">
        <f t="shared" si="27"/>
        <v>0.5</v>
      </c>
    </row>
    <row r="246" spans="1:20" ht="24.95" customHeight="1">
      <c r="A246" s="10">
        <v>4</v>
      </c>
      <c r="B246" s="66" t="s">
        <v>85</v>
      </c>
      <c r="C246" s="67" t="s">
        <v>85</v>
      </c>
      <c r="D246" s="68" t="s">
        <v>85</v>
      </c>
      <c r="E246" s="4" t="s">
        <v>34</v>
      </c>
      <c r="F246" s="69">
        <v>1</v>
      </c>
      <c r="G246" s="70"/>
      <c r="H246" s="69"/>
      <c r="I246" s="70"/>
      <c r="J246" s="71">
        <f t="shared" si="24"/>
        <v>1</v>
      </c>
      <c r="K246" s="71"/>
      <c r="L246" s="72"/>
      <c r="M246" s="72"/>
      <c r="O246" s="11">
        <v>74000</v>
      </c>
      <c r="P246" s="11">
        <f t="shared" si="25"/>
        <v>0</v>
      </c>
      <c r="Q246" s="12"/>
      <c r="S246" s="11">
        <f t="shared" si="26"/>
        <v>74000</v>
      </c>
      <c r="T246" s="13">
        <f t="shared" si="27"/>
        <v>0</v>
      </c>
    </row>
    <row r="247" spans="1:20" ht="24.95" customHeight="1">
      <c r="A247" s="10">
        <v>5</v>
      </c>
      <c r="B247" s="66" t="s">
        <v>86</v>
      </c>
      <c r="C247" s="67" t="s">
        <v>86</v>
      </c>
      <c r="D247" s="68" t="s">
        <v>86</v>
      </c>
      <c r="E247" s="4" t="s">
        <v>93</v>
      </c>
      <c r="F247" s="69">
        <v>396</v>
      </c>
      <c r="G247" s="70"/>
      <c r="H247" s="69"/>
      <c r="I247" s="70"/>
      <c r="J247" s="71">
        <f t="shared" si="24"/>
        <v>200</v>
      </c>
      <c r="K247" s="71"/>
      <c r="L247" s="72"/>
      <c r="M247" s="72"/>
      <c r="O247" s="11">
        <v>200</v>
      </c>
      <c r="P247" s="11">
        <f t="shared" si="25"/>
        <v>0</v>
      </c>
      <c r="Q247" s="12"/>
      <c r="S247" s="11">
        <f t="shared" si="26"/>
        <v>40000</v>
      </c>
      <c r="T247" s="13">
        <f t="shared" si="27"/>
        <v>196</v>
      </c>
    </row>
    <row r="248" spans="1:20" ht="24.95" customHeight="1">
      <c r="A248" s="10">
        <v>6</v>
      </c>
      <c r="B248" s="66" t="s">
        <v>97</v>
      </c>
      <c r="C248" s="67" t="s">
        <v>87</v>
      </c>
      <c r="D248" s="68" t="s">
        <v>87</v>
      </c>
      <c r="E248" s="4" t="s">
        <v>35</v>
      </c>
      <c r="F248" s="69">
        <v>80</v>
      </c>
      <c r="G248" s="70">
        <v>183.6</v>
      </c>
      <c r="H248" s="69">
        <v>5</v>
      </c>
      <c r="I248" s="70"/>
      <c r="J248" s="71">
        <f t="shared" si="24"/>
        <v>40</v>
      </c>
      <c r="K248" s="71"/>
      <c r="L248" s="54"/>
      <c r="M248" s="59"/>
      <c r="O248" s="11">
        <v>1463</v>
      </c>
      <c r="P248" s="11">
        <f t="shared" si="25"/>
        <v>7315</v>
      </c>
      <c r="S248" s="11">
        <f t="shared" si="26"/>
        <v>58520</v>
      </c>
      <c r="T248" s="13">
        <f t="shared" si="27"/>
        <v>40</v>
      </c>
    </row>
    <row r="249" spans="1:20" ht="24.95" customHeight="1">
      <c r="A249" s="10">
        <v>7</v>
      </c>
      <c r="B249" s="66" t="s">
        <v>88</v>
      </c>
      <c r="C249" s="67" t="s">
        <v>88</v>
      </c>
      <c r="D249" s="68" t="s">
        <v>88</v>
      </c>
      <c r="E249" s="4" t="s">
        <v>94</v>
      </c>
      <c r="F249" s="69">
        <v>126</v>
      </c>
      <c r="G249" s="70">
        <v>19</v>
      </c>
      <c r="H249" s="69"/>
      <c r="I249" s="70"/>
      <c r="J249" s="71">
        <f t="shared" si="24"/>
        <v>0</v>
      </c>
      <c r="K249" s="71"/>
      <c r="L249" s="54"/>
      <c r="M249" s="59"/>
      <c r="O249" s="11">
        <v>6350</v>
      </c>
      <c r="P249" s="11">
        <f t="shared" si="25"/>
        <v>0</v>
      </c>
      <c r="S249" s="11">
        <f t="shared" si="26"/>
        <v>0</v>
      </c>
      <c r="T249" s="13">
        <f t="shared" si="27"/>
        <v>126</v>
      </c>
    </row>
    <row r="250" spans="1:20" ht="24.95" customHeight="1">
      <c r="A250" s="10">
        <v>8</v>
      </c>
      <c r="B250" s="66" t="s">
        <v>89</v>
      </c>
      <c r="C250" s="67" t="s">
        <v>89</v>
      </c>
      <c r="D250" s="68" t="s">
        <v>89</v>
      </c>
      <c r="E250" s="4" t="s">
        <v>95</v>
      </c>
      <c r="F250" s="69">
        <v>1</v>
      </c>
      <c r="G250" s="70">
        <v>1192</v>
      </c>
      <c r="H250" s="69"/>
      <c r="I250" s="70"/>
      <c r="J250" s="71">
        <f t="shared" si="24"/>
        <v>0</v>
      </c>
      <c r="K250" s="71"/>
      <c r="L250" s="54"/>
      <c r="M250" s="59"/>
      <c r="O250" s="11">
        <v>47600</v>
      </c>
      <c r="P250" s="11">
        <f t="shared" si="25"/>
        <v>0</v>
      </c>
      <c r="S250" s="11">
        <f t="shared" si="26"/>
        <v>0</v>
      </c>
      <c r="T250" s="13">
        <f t="shared" si="27"/>
        <v>1</v>
      </c>
    </row>
    <row r="251" spans="1:20" ht="24.95" customHeight="1">
      <c r="A251" s="10">
        <v>9</v>
      </c>
      <c r="B251" s="66" t="s">
        <v>90</v>
      </c>
      <c r="C251" s="67" t="s">
        <v>90</v>
      </c>
      <c r="D251" s="68" t="s">
        <v>90</v>
      </c>
      <c r="E251" s="4" t="s">
        <v>96</v>
      </c>
      <c r="F251" s="69">
        <v>1</v>
      </c>
      <c r="G251" s="70">
        <v>1261</v>
      </c>
      <c r="H251" s="69"/>
      <c r="I251" s="70"/>
      <c r="J251" s="71">
        <f t="shared" si="24"/>
        <v>0</v>
      </c>
      <c r="K251" s="71"/>
      <c r="L251" s="54"/>
      <c r="M251" s="59"/>
      <c r="O251" s="11">
        <v>10000</v>
      </c>
      <c r="P251" s="11">
        <f t="shared" si="25"/>
        <v>0</v>
      </c>
      <c r="S251" s="11">
        <f t="shared" si="26"/>
        <v>0</v>
      </c>
      <c r="T251" s="13">
        <f t="shared" si="27"/>
        <v>1</v>
      </c>
    </row>
    <row r="252" spans="1:20" ht="24.95" customHeight="1">
      <c r="A252" s="14"/>
      <c r="B252" s="15"/>
      <c r="C252" s="16"/>
      <c r="D252" s="17"/>
      <c r="E252" s="4"/>
      <c r="F252" s="18"/>
      <c r="G252" s="19"/>
      <c r="H252" s="105"/>
      <c r="I252" s="106"/>
      <c r="J252" s="105"/>
      <c r="K252" s="106"/>
      <c r="L252" s="54"/>
      <c r="M252" s="59"/>
      <c r="N252" s="20"/>
      <c r="P252" s="21" t="s">
        <v>37</v>
      </c>
      <c r="Q252" s="22">
        <f>SUM(P243:P251)</f>
        <v>7315</v>
      </c>
      <c r="R252" s="23"/>
      <c r="S252" s="24">
        <f>SUM(S243:S251)</f>
        <v>194354</v>
      </c>
      <c r="T252" s="13"/>
    </row>
    <row r="253" spans="1:20" ht="24.95" customHeight="1">
      <c r="A253" s="107"/>
      <c r="B253" s="108"/>
      <c r="C253" s="108"/>
      <c r="D253" s="109"/>
      <c r="E253" s="4"/>
      <c r="F253" s="54"/>
      <c r="G253" s="59"/>
      <c r="H253" s="72"/>
      <c r="I253" s="72"/>
      <c r="J253" s="72"/>
      <c r="K253" s="72"/>
      <c r="L253" s="72"/>
      <c r="M253" s="72"/>
      <c r="O253" t="s">
        <v>38</v>
      </c>
      <c r="P253" s="24">
        <f>Q252</f>
        <v>7315</v>
      </c>
      <c r="T253" s="13"/>
    </row>
    <row r="254" spans="1:20" ht="24.95" customHeight="1">
      <c r="A254" s="97"/>
      <c r="B254" s="98"/>
      <c r="C254" s="98"/>
      <c r="D254" s="99"/>
      <c r="E254" s="4"/>
      <c r="F254" s="54"/>
      <c r="G254" s="59"/>
      <c r="H254" s="72"/>
      <c r="I254" s="72"/>
      <c r="J254" s="72"/>
      <c r="K254" s="72"/>
      <c r="L254" s="72"/>
      <c r="M254" s="72"/>
      <c r="O254" t="s">
        <v>39</v>
      </c>
      <c r="P254" s="23">
        <f>ROUND(P253/1153274,4)*100</f>
        <v>0.63</v>
      </c>
      <c r="T254" s="13"/>
    </row>
    <row r="255" spans="1:20" ht="24.95" customHeight="1">
      <c r="A255" s="25"/>
      <c r="B255" s="63" t="s">
        <v>40</v>
      </c>
      <c r="C255" s="63"/>
      <c r="D255" s="59"/>
      <c r="E255" s="26"/>
      <c r="F255" s="100"/>
      <c r="G255" s="101"/>
      <c r="H255" s="100"/>
      <c r="I255" s="101"/>
      <c r="J255" s="102"/>
      <c r="K255" s="102"/>
      <c r="L255" s="103">
        <f>P253</f>
        <v>7315</v>
      </c>
      <c r="M255" s="104"/>
      <c r="T255" s="13"/>
    </row>
    <row r="256" spans="1:20" ht="24.95" customHeight="1" thickBot="1">
      <c r="A256" s="27"/>
      <c r="B256" s="85" t="s">
        <v>41</v>
      </c>
      <c r="C256" s="85"/>
      <c r="D256" s="86"/>
      <c r="E256" s="28"/>
      <c r="F256" s="87"/>
      <c r="G256" s="88"/>
      <c r="H256" s="87"/>
      <c r="I256" s="88"/>
      <c r="J256" s="87"/>
      <c r="K256" s="88"/>
      <c r="L256" s="89">
        <f>L255+L198</f>
        <v>194354</v>
      </c>
      <c r="M256" s="90"/>
      <c r="T256" s="13"/>
    </row>
    <row r="257" spans="1:20" ht="24.95" customHeight="1">
      <c r="A257" s="29"/>
      <c r="B257" s="91" t="s">
        <v>42</v>
      </c>
      <c r="C257" s="91"/>
      <c r="D257" s="92"/>
      <c r="E257" s="30"/>
      <c r="F257" s="93"/>
      <c r="G257" s="94"/>
      <c r="H257" s="95"/>
      <c r="I257" s="95"/>
      <c r="J257" s="95"/>
      <c r="K257" s="95"/>
      <c r="L257" s="95"/>
      <c r="M257" s="96"/>
      <c r="T257" s="13"/>
    </row>
    <row r="258" spans="1:20" ht="24.95" customHeight="1">
      <c r="A258" s="31"/>
      <c r="B258" s="76" t="s">
        <v>43</v>
      </c>
      <c r="C258" s="76"/>
      <c r="D258" s="77"/>
      <c r="E258" s="4"/>
      <c r="F258" s="54"/>
      <c r="G258" s="59"/>
      <c r="H258" s="72"/>
      <c r="I258" s="72"/>
      <c r="J258" s="72"/>
      <c r="K258" s="72"/>
      <c r="L258" s="72"/>
      <c r="M258" s="78"/>
      <c r="T258" s="13"/>
    </row>
    <row r="259" spans="1:20" ht="24.95" customHeight="1" thickBot="1">
      <c r="A259" s="32"/>
      <c r="B259" s="79" t="s">
        <v>44</v>
      </c>
      <c r="C259" s="79"/>
      <c r="D259" s="80"/>
      <c r="E259" s="33"/>
      <c r="F259" s="81"/>
      <c r="G259" s="82"/>
      <c r="H259" s="83"/>
      <c r="I259" s="83"/>
      <c r="J259" s="83"/>
      <c r="K259" s="83"/>
      <c r="L259" s="83"/>
      <c r="M259" s="84"/>
      <c r="T259" s="13"/>
    </row>
    <row r="260" spans="1:20" ht="24.95" customHeight="1">
      <c r="A260" s="73" t="s">
        <v>45</v>
      </c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T260" s="13"/>
    </row>
    <row r="261" spans="1:20" ht="24.95" customHeight="1">
      <c r="A261" s="72" t="s">
        <v>46</v>
      </c>
      <c r="B261" s="75"/>
      <c r="C261" s="75"/>
      <c r="D261" s="75"/>
      <c r="E261" s="4" t="s">
        <v>22</v>
      </c>
      <c r="F261" s="72" t="s">
        <v>47</v>
      </c>
      <c r="G261" s="72"/>
      <c r="H261" s="72" t="s">
        <v>48</v>
      </c>
      <c r="I261" s="72"/>
      <c r="J261" s="72" t="s">
        <v>49</v>
      </c>
      <c r="K261" s="72"/>
      <c r="L261" s="72" t="s">
        <v>50</v>
      </c>
      <c r="M261" s="72"/>
      <c r="T261" s="13"/>
    </row>
    <row r="262" spans="1:20" ht="24.95" customHeight="1">
      <c r="A262" s="10">
        <v>6</v>
      </c>
      <c r="B262" s="66" t="s">
        <v>97</v>
      </c>
      <c r="C262" s="67" t="s">
        <v>51</v>
      </c>
      <c r="D262" s="68" t="s">
        <v>51</v>
      </c>
      <c r="E262" s="4" t="s">
        <v>35</v>
      </c>
      <c r="F262" s="69">
        <v>80</v>
      </c>
      <c r="G262" s="70">
        <v>1261</v>
      </c>
      <c r="H262" s="71">
        <f>H248</f>
        <v>5</v>
      </c>
      <c r="I262" s="71"/>
      <c r="J262" s="71">
        <f>H262+J204</f>
        <v>40</v>
      </c>
      <c r="K262" s="71"/>
      <c r="L262" s="72"/>
      <c r="M262" s="72"/>
      <c r="T262" s="13"/>
    </row>
    <row r="263" spans="1:20" ht="24.95" customHeight="1">
      <c r="A263" s="10">
        <v>7</v>
      </c>
      <c r="B263" s="66" t="s">
        <v>88</v>
      </c>
      <c r="C263" s="67" t="s">
        <v>88</v>
      </c>
      <c r="D263" s="68" t="s">
        <v>88</v>
      </c>
      <c r="E263" s="4" t="s">
        <v>98</v>
      </c>
      <c r="F263" s="69">
        <v>126</v>
      </c>
      <c r="G263" s="70"/>
      <c r="H263" s="71">
        <f>H249</f>
        <v>0</v>
      </c>
      <c r="I263" s="71"/>
      <c r="J263" s="71">
        <f t="shared" ref="J263:J264" si="28">H263+J205</f>
        <v>0</v>
      </c>
      <c r="K263" s="71"/>
      <c r="L263" s="72"/>
      <c r="M263" s="72"/>
      <c r="T263" s="13"/>
    </row>
    <row r="264" spans="1:20" ht="24.95" customHeight="1">
      <c r="A264" s="10">
        <v>8</v>
      </c>
      <c r="B264" s="66" t="s">
        <v>89</v>
      </c>
      <c r="C264" s="67" t="s">
        <v>89</v>
      </c>
      <c r="D264" s="68" t="s">
        <v>89</v>
      </c>
      <c r="E264" s="4" t="s">
        <v>36</v>
      </c>
      <c r="F264" s="69">
        <v>1</v>
      </c>
      <c r="G264" s="70"/>
      <c r="H264" s="71">
        <f>H250</f>
        <v>0</v>
      </c>
      <c r="I264" s="71"/>
      <c r="J264" s="71">
        <f t="shared" si="28"/>
        <v>0</v>
      </c>
      <c r="K264" s="71"/>
      <c r="L264" s="72"/>
      <c r="M264" s="72"/>
      <c r="T264" s="13"/>
    </row>
    <row r="265" spans="1:20" ht="24.95" customHeight="1">
      <c r="A265" s="51" t="s">
        <v>52</v>
      </c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3"/>
      <c r="T265" s="13"/>
    </row>
    <row r="266" spans="1:20" ht="24.95" customHeight="1">
      <c r="A266" s="54" t="s">
        <v>53</v>
      </c>
      <c r="B266" s="63"/>
      <c r="C266" s="63"/>
      <c r="D266" s="59"/>
      <c r="E266" s="4" t="s">
        <v>54</v>
      </c>
      <c r="F266" s="54" t="s">
        <v>55</v>
      </c>
      <c r="G266" s="59"/>
      <c r="H266" s="54" t="s">
        <v>56</v>
      </c>
      <c r="I266" s="59"/>
      <c r="J266" s="54" t="s">
        <v>48</v>
      </c>
      <c r="K266" s="59"/>
      <c r="L266" s="64" t="s">
        <v>49</v>
      </c>
      <c r="M266" s="65"/>
      <c r="T266" s="13"/>
    </row>
    <row r="267" spans="1:20" ht="24.95" customHeight="1">
      <c r="A267" s="54" t="s">
        <v>57</v>
      </c>
      <c r="B267" s="55"/>
      <c r="C267" s="55"/>
      <c r="D267" s="56"/>
      <c r="E267" s="4">
        <v>2</v>
      </c>
      <c r="F267" s="57">
        <f>E267+F209</f>
        <v>14</v>
      </c>
      <c r="G267" s="58"/>
      <c r="H267" s="54" t="s">
        <v>58</v>
      </c>
      <c r="I267" s="59"/>
      <c r="J267" s="54">
        <v>1</v>
      </c>
      <c r="K267" s="59"/>
      <c r="L267" s="57">
        <f>J267+L209</f>
        <v>7</v>
      </c>
      <c r="M267" s="58"/>
      <c r="T267" s="13"/>
    </row>
    <row r="268" spans="1:20" ht="24.95" customHeight="1">
      <c r="A268" s="54" t="s">
        <v>59</v>
      </c>
      <c r="B268" s="55"/>
      <c r="C268" s="55"/>
      <c r="D268" s="56"/>
      <c r="E268" s="4"/>
      <c r="F268" s="57">
        <f t="shared" ref="F268:F270" si="29">E268+F210</f>
        <v>0</v>
      </c>
      <c r="G268" s="58"/>
      <c r="H268" s="54" t="s">
        <v>60</v>
      </c>
      <c r="I268" s="59"/>
      <c r="J268" s="54"/>
      <c r="K268" s="59"/>
      <c r="L268" s="57">
        <f t="shared" ref="L268:L270" si="30">J268+L210</f>
        <v>0</v>
      </c>
      <c r="M268" s="58"/>
      <c r="T268" s="13"/>
    </row>
    <row r="269" spans="1:20" ht="24.95" customHeight="1">
      <c r="A269" s="54" t="s">
        <v>61</v>
      </c>
      <c r="B269" s="55"/>
      <c r="C269" s="55"/>
      <c r="D269" s="56"/>
      <c r="E269" s="4"/>
      <c r="F269" s="57">
        <f t="shared" si="29"/>
        <v>0</v>
      </c>
      <c r="G269" s="58"/>
      <c r="H269" s="54" t="s">
        <v>62</v>
      </c>
      <c r="I269" s="59"/>
      <c r="J269" s="54"/>
      <c r="K269" s="59"/>
      <c r="L269" s="57">
        <f t="shared" si="30"/>
        <v>2</v>
      </c>
      <c r="M269" s="58"/>
      <c r="T269" s="13"/>
    </row>
    <row r="270" spans="1:20" ht="24.95" customHeight="1">
      <c r="A270" s="54" t="s">
        <v>63</v>
      </c>
      <c r="B270" s="55"/>
      <c r="C270" s="55"/>
      <c r="D270" s="56"/>
      <c r="E270" s="4"/>
      <c r="F270" s="57">
        <f t="shared" si="29"/>
        <v>0</v>
      </c>
      <c r="G270" s="58"/>
      <c r="H270" s="54" t="s">
        <v>64</v>
      </c>
      <c r="I270" s="59"/>
      <c r="J270" s="54"/>
      <c r="K270" s="59"/>
      <c r="L270" s="57">
        <f t="shared" si="30"/>
        <v>0</v>
      </c>
      <c r="M270" s="58"/>
      <c r="T270" s="13"/>
    </row>
    <row r="271" spans="1:20" ht="64.5" customHeight="1">
      <c r="A271" s="60" t="s">
        <v>65</v>
      </c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2"/>
      <c r="T271" s="13"/>
    </row>
    <row r="272" spans="1:20" ht="24.95" customHeight="1">
      <c r="A272" s="46" t="s">
        <v>66</v>
      </c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8"/>
      <c r="T272" s="13"/>
    </row>
    <row r="273" spans="1:20" ht="24.95" customHeight="1">
      <c r="A273" s="27"/>
      <c r="B273" s="34" t="s">
        <v>67</v>
      </c>
      <c r="C273" s="34"/>
      <c r="D273" s="34"/>
      <c r="E273" s="34"/>
      <c r="F273" s="34"/>
      <c r="G273" s="35"/>
      <c r="H273" s="34"/>
      <c r="I273" s="34"/>
      <c r="J273" s="34"/>
      <c r="K273" s="34"/>
      <c r="L273" s="34"/>
      <c r="M273" s="36"/>
      <c r="T273" s="13"/>
    </row>
    <row r="274" spans="1:20" ht="24.95" customHeight="1">
      <c r="A274" s="27"/>
      <c r="B274" s="34" t="s">
        <v>133</v>
      </c>
      <c r="C274" s="34"/>
      <c r="D274" s="34"/>
      <c r="E274" s="34"/>
      <c r="F274" s="34"/>
      <c r="G274" s="35"/>
      <c r="H274" s="34"/>
      <c r="I274" s="34"/>
      <c r="J274" s="34"/>
      <c r="K274" s="34"/>
      <c r="L274" s="34"/>
      <c r="M274" s="36"/>
      <c r="T274" s="13"/>
    </row>
    <row r="275" spans="1:20" ht="24.95" customHeight="1">
      <c r="A275" s="27"/>
      <c r="B275" s="34" t="s">
        <v>68</v>
      </c>
      <c r="C275" s="34"/>
      <c r="D275" s="34"/>
      <c r="E275" s="34"/>
      <c r="F275" s="34"/>
      <c r="G275" s="35"/>
      <c r="H275" s="34"/>
      <c r="I275" s="34"/>
      <c r="J275" s="34"/>
      <c r="K275" s="34"/>
      <c r="L275" s="34"/>
      <c r="M275" s="36"/>
      <c r="T275" s="13"/>
    </row>
    <row r="276" spans="1:20" ht="24.95" customHeight="1">
      <c r="A276" s="27"/>
      <c r="B276" s="34" t="s">
        <v>134</v>
      </c>
      <c r="C276" s="34"/>
      <c r="D276" s="34"/>
      <c r="E276" s="34"/>
      <c r="F276" s="34"/>
      <c r="G276" s="35"/>
      <c r="H276" s="34"/>
      <c r="I276" s="34"/>
      <c r="J276" s="34"/>
      <c r="K276" s="34"/>
      <c r="L276" s="34"/>
      <c r="M276" s="36"/>
      <c r="T276" s="13"/>
    </row>
    <row r="277" spans="1:20" ht="24.95" customHeight="1">
      <c r="A277" s="27"/>
      <c r="B277" s="34" t="s">
        <v>135</v>
      </c>
      <c r="C277" s="34"/>
      <c r="D277" s="34"/>
      <c r="E277" s="34"/>
      <c r="F277" s="34"/>
      <c r="G277" s="35"/>
      <c r="H277" s="34"/>
      <c r="I277" s="34"/>
      <c r="J277" s="34"/>
      <c r="K277" s="34"/>
      <c r="L277" s="34"/>
      <c r="M277" s="36"/>
      <c r="T277" s="13"/>
    </row>
    <row r="278" spans="1:20" ht="24.95" customHeight="1">
      <c r="A278" s="37"/>
      <c r="B278" s="49" t="s">
        <v>69</v>
      </c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50"/>
      <c r="T278" s="13"/>
    </row>
    <row r="279" spans="1:20" ht="44.25" customHeight="1">
      <c r="A279" s="51" t="s">
        <v>70</v>
      </c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3"/>
      <c r="T279" s="13"/>
    </row>
    <row r="280" spans="1:20" ht="48" customHeight="1">
      <c r="A280" s="51" t="s">
        <v>71</v>
      </c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3"/>
      <c r="T280" s="13"/>
    </row>
    <row r="281" spans="1:20" ht="81" customHeight="1">
      <c r="A281" s="51" t="s">
        <v>125</v>
      </c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3"/>
      <c r="T281" s="13"/>
    </row>
    <row r="282" spans="1:20" ht="100.5" customHeight="1">
      <c r="A282" s="51" t="s">
        <v>72</v>
      </c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3"/>
      <c r="T282" s="13"/>
    </row>
    <row r="283" spans="1:20" ht="12" customHeight="1">
      <c r="A283" s="41" t="s">
        <v>73</v>
      </c>
      <c r="B283" s="41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38"/>
      <c r="T283" s="13"/>
    </row>
    <row r="284" spans="1:20" ht="12" customHeight="1">
      <c r="A284" s="43" t="s">
        <v>74</v>
      </c>
      <c r="B284" s="43"/>
      <c r="C284" s="40"/>
      <c r="D284" s="40"/>
      <c r="E284" s="40"/>
      <c r="F284" s="40"/>
      <c r="G284" s="40"/>
      <c r="H284" s="40"/>
      <c r="I284" s="40"/>
      <c r="J284" s="40"/>
      <c r="K284" s="40"/>
      <c r="L284" s="38"/>
      <c r="M284" s="38"/>
      <c r="T284" s="13"/>
    </row>
    <row r="285" spans="1:20" ht="12" customHeight="1">
      <c r="A285" s="44" t="s">
        <v>75</v>
      </c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T285" s="13"/>
    </row>
    <row r="286" spans="1:20" ht="12" customHeight="1">
      <c r="A286" s="39" t="s">
        <v>76</v>
      </c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T286" s="13"/>
    </row>
    <row r="287" spans="1:20" ht="12" customHeight="1">
      <c r="A287" s="39" t="s">
        <v>77</v>
      </c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T287" s="13"/>
    </row>
    <row r="288" spans="1:20" ht="12" customHeight="1">
      <c r="A288" s="45" t="s">
        <v>78</v>
      </c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T288" s="13"/>
    </row>
    <row r="289" spans="1:20" ht="12" customHeight="1">
      <c r="A289" s="39" t="s">
        <v>79</v>
      </c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T289" s="13"/>
    </row>
    <row r="290" spans="1:20" ht="409.5" customHeight="1"/>
    <row r="291" spans="1:20" s="2" customFormat="1" ht="35.1" customHeight="1">
      <c r="A291" s="126" t="s">
        <v>0</v>
      </c>
      <c r="B291" s="126"/>
      <c r="C291" s="1">
        <f>C233+1</f>
        <v>10</v>
      </c>
      <c r="G291" s="3"/>
    </row>
    <row r="292" spans="1:20" s="2" customFormat="1" ht="35.1" customHeight="1">
      <c r="A292" s="126" t="s">
        <v>1</v>
      </c>
      <c r="B292" s="126"/>
      <c r="C292" s="2" t="s">
        <v>2</v>
      </c>
      <c r="D292" s="2" t="s">
        <v>103</v>
      </c>
      <c r="E292" s="2" t="s">
        <v>3</v>
      </c>
      <c r="F292" s="2" t="s">
        <v>103</v>
      </c>
      <c r="G292" s="3"/>
      <c r="H292" s="127" t="s">
        <v>4</v>
      </c>
      <c r="I292" s="128"/>
      <c r="J292" s="129">
        <f>J234+1</f>
        <v>45997</v>
      </c>
      <c r="K292" s="130"/>
      <c r="L292" s="131">
        <f>J292</f>
        <v>45997</v>
      </c>
      <c r="M292" s="132"/>
    </row>
    <row r="293" spans="1:20" s="2" customFormat="1" ht="30" customHeight="1">
      <c r="A293" s="72" t="s">
        <v>5</v>
      </c>
      <c r="B293" s="114"/>
      <c r="C293" s="119" t="s">
        <v>83</v>
      </c>
      <c r="D293" s="119"/>
      <c r="E293" s="119"/>
      <c r="F293" s="119"/>
      <c r="G293" s="119"/>
      <c r="H293" s="54" t="s">
        <v>6</v>
      </c>
      <c r="I293" s="59"/>
      <c r="J293" s="120"/>
      <c r="K293" s="120"/>
      <c r="L293" s="120"/>
      <c r="M293" s="120"/>
    </row>
    <row r="294" spans="1:20" s="1" customFormat="1" ht="30" customHeight="1">
      <c r="A294" s="72" t="s">
        <v>7</v>
      </c>
      <c r="B294" s="114"/>
      <c r="C294" s="4">
        <v>50</v>
      </c>
      <c r="D294" s="4" t="s">
        <v>8</v>
      </c>
      <c r="E294" s="4" t="s">
        <v>9</v>
      </c>
      <c r="F294" s="4">
        <f>F236+1</f>
        <v>10</v>
      </c>
      <c r="G294" s="5" t="s">
        <v>8</v>
      </c>
      <c r="H294" s="4" t="s">
        <v>10</v>
      </c>
      <c r="I294" s="4">
        <f>C294-F294+L294</f>
        <v>40</v>
      </c>
      <c r="J294" s="4" t="s">
        <v>11</v>
      </c>
      <c r="K294" s="6" t="s">
        <v>12</v>
      </c>
      <c r="L294" s="7">
        <f>L236</f>
        <v>0</v>
      </c>
      <c r="M294" s="4" t="s">
        <v>8</v>
      </c>
    </row>
    <row r="295" spans="1:20" s="2" customFormat="1" ht="30" customHeight="1">
      <c r="A295" s="72" t="s">
        <v>13</v>
      </c>
      <c r="B295" s="75"/>
      <c r="C295" s="75"/>
      <c r="D295" s="121">
        <f>D237</f>
        <v>45988</v>
      </c>
      <c r="E295" s="122"/>
      <c r="F295" s="122"/>
      <c r="G295" s="123"/>
      <c r="H295" s="124" t="s">
        <v>14</v>
      </c>
      <c r="I295" s="125"/>
      <c r="J295" s="121">
        <f>J237</f>
        <v>46037</v>
      </c>
      <c r="K295" s="122"/>
      <c r="L295" s="122"/>
      <c r="M295" s="123"/>
    </row>
    <row r="296" spans="1:20" s="2" customFormat="1" ht="30" customHeight="1">
      <c r="A296" s="72" t="s">
        <v>15</v>
      </c>
      <c r="B296" s="114"/>
      <c r="C296" s="114"/>
      <c r="D296" s="72">
        <v>4.1000000000000002E-2</v>
      </c>
      <c r="E296" s="72"/>
      <c r="F296" s="72"/>
      <c r="G296" s="72"/>
      <c r="H296" s="64" t="s">
        <v>16</v>
      </c>
      <c r="I296" s="115"/>
      <c r="J296" s="116">
        <f>P312</f>
        <v>0.63</v>
      </c>
      <c r="K296" s="117"/>
      <c r="L296" s="117"/>
      <c r="M296" s="118"/>
    </row>
    <row r="297" spans="1:20" s="2" customFormat="1" ht="30" customHeight="1">
      <c r="A297" s="72" t="s">
        <v>17</v>
      </c>
      <c r="B297" s="114"/>
      <c r="C297" s="114"/>
      <c r="D297" s="72">
        <f>D296+D239</f>
        <v>1.9989999999999997</v>
      </c>
      <c r="E297" s="72"/>
      <c r="F297" s="72"/>
      <c r="G297" s="72"/>
      <c r="H297" s="64" t="s">
        <v>18</v>
      </c>
      <c r="I297" s="115"/>
      <c r="J297" s="116">
        <f>J296+J239</f>
        <v>17.469999999999995</v>
      </c>
      <c r="K297" s="117"/>
      <c r="L297" s="117"/>
      <c r="M297" s="118"/>
    </row>
    <row r="298" spans="1:20" s="2" customFormat="1" ht="30" customHeight="1">
      <c r="A298" s="111" t="s">
        <v>19</v>
      </c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12"/>
      <c r="M298" s="113"/>
    </row>
    <row r="299" spans="1:20" s="2" customFormat="1" ht="30" customHeight="1">
      <c r="A299" s="8" t="s">
        <v>20</v>
      </c>
      <c r="B299" s="72" t="s">
        <v>21</v>
      </c>
      <c r="C299" s="72"/>
      <c r="D299" s="72"/>
      <c r="E299" s="4" t="s">
        <v>22</v>
      </c>
      <c r="F299" s="54" t="s">
        <v>23</v>
      </c>
      <c r="G299" s="59"/>
      <c r="H299" s="72" t="s">
        <v>24</v>
      </c>
      <c r="I299" s="72"/>
      <c r="J299" s="72" t="s">
        <v>25</v>
      </c>
      <c r="K299" s="72"/>
      <c r="L299" s="72" t="s">
        <v>26</v>
      </c>
      <c r="M299" s="72"/>
      <c r="O299" s="1" t="s">
        <v>27</v>
      </c>
      <c r="P299" s="1" t="s">
        <v>28</v>
      </c>
      <c r="T299" s="2" t="s">
        <v>29</v>
      </c>
    </row>
    <row r="300" spans="1:20" s="2" customFormat="1" ht="24.95" customHeight="1">
      <c r="A300" s="9" t="s">
        <v>30</v>
      </c>
      <c r="B300" s="110" t="s">
        <v>31</v>
      </c>
      <c r="C300" s="110"/>
      <c r="D300" s="110"/>
      <c r="E300" s="4"/>
      <c r="F300" s="54"/>
      <c r="G300" s="59"/>
      <c r="H300" s="72"/>
      <c r="I300" s="72"/>
      <c r="J300" s="72"/>
      <c r="K300" s="72"/>
      <c r="L300" s="72"/>
      <c r="M300" s="72"/>
    </row>
    <row r="301" spans="1:20" ht="24.95" customHeight="1">
      <c r="A301" s="10">
        <v>1</v>
      </c>
      <c r="B301" s="66" t="s">
        <v>91</v>
      </c>
      <c r="C301" s="67" t="s">
        <v>91</v>
      </c>
      <c r="D301" s="68" t="s">
        <v>91</v>
      </c>
      <c r="E301" s="4" t="s">
        <v>32</v>
      </c>
      <c r="F301" s="69">
        <v>1</v>
      </c>
      <c r="G301" s="70"/>
      <c r="H301" s="69"/>
      <c r="I301" s="70"/>
      <c r="J301" s="71">
        <f>H301+J243</f>
        <v>1</v>
      </c>
      <c r="K301" s="71"/>
      <c r="L301" s="72"/>
      <c r="M301" s="72"/>
      <c r="O301" s="11">
        <v>4000</v>
      </c>
      <c r="P301" s="11">
        <f>ROUND(H301*O301,0)</f>
        <v>0</v>
      </c>
      <c r="Q301" s="12"/>
      <c r="S301" s="11">
        <f>ROUND(J301*O301,0)</f>
        <v>4000</v>
      </c>
      <c r="T301" s="13">
        <f>F301-J301</f>
        <v>0</v>
      </c>
    </row>
    <row r="302" spans="1:20" ht="24.95" customHeight="1">
      <c r="A302" s="10">
        <v>2</v>
      </c>
      <c r="B302" s="66" t="s">
        <v>92</v>
      </c>
      <c r="C302" s="67" t="s">
        <v>92</v>
      </c>
      <c r="D302" s="68" t="s">
        <v>92</v>
      </c>
      <c r="E302" s="4" t="s">
        <v>32</v>
      </c>
      <c r="F302" s="69">
        <v>1</v>
      </c>
      <c r="G302" s="70"/>
      <c r="H302" s="69"/>
      <c r="I302" s="70"/>
      <c r="J302" s="71">
        <f t="shared" ref="J302:J309" si="31">H302+J244</f>
        <v>1</v>
      </c>
      <c r="K302" s="71"/>
      <c r="L302" s="72"/>
      <c r="M302" s="72"/>
      <c r="O302" s="11">
        <v>14334</v>
      </c>
      <c r="P302" s="11">
        <f t="shared" ref="P302:P309" si="32">ROUND(H302*O302,0)</f>
        <v>0</v>
      </c>
      <c r="Q302" s="12"/>
      <c r="S302" s="11">
        <f t="shared" ref="S302:S309" si="33">ROUND(J302*O302,0)</f>
        <v>14334</v>
      </c>
      <c r="T302" s="13">
        <f t="shared" ref="T302:T309" si="34">F302-J302</f>
        <v>0</v>
      </c>
    </row>
    <row r="303" spans="1:20" ht="24.95" customHeight="1">
      <c r="A303" s="10">
        <v>3</v>
      </c>
      <c r="B303" s="66" t="s">
        <v>84</v>
      </c>
      <c r="C303" s="67" t="s">
        <v>84</v>
      </c>
      <c r="D303" s="68" t="s">
        <v>84</v>
      </c>
      <c r="E303" s="4" t="s">
        <v>33</v>
      </c>
      <c r="F303" s="69">
        <v>1</v>
      </c>
      <c r="G303" s="70"/>
      <c r="H303" s="69"/>
      <c r="I303" s="70"/>
      <c r="J303" s="71">
        <f t="shared" si="31"/>
        <v>0.5</v>
      </c>
      <c r="K303" s="71"/>
      <c r="L303" s="72"/>
      <c r="M303" s="72"/>
      <c r="O303" s="11">
        <v>7000</v>
      </c>
      <c r="P303" s="11">
        <f t="shared" si="32"/>
        <v>0</v>
      </c>
      <c r="Q303" s="12"/>
      <c r="S303" s="11">
        <f t="shared" si="33"/>
        <v>3500</v>
      </c>
      <c r="T303" s="13">
        <f t="shared" si="34"/>
        <v>0.5</v>
      </c>
    </row>
    <row r="304" spans="1:20" ht="24.95" customHeight="1">
      <c r="A304" s="10">
        <v>4</v>
      </c>
      <c r="B304" s="66" t="s">
        <v>85</v>
      </c>
      <c r="C304" s="67" t="s">
        <v>85</v>
      </c>
      <c r="D304" s="68" t="s">
        <v>85</v>
      </c>
      <c r="E304" s="4" t="s">
        <v>34</v>
      </c>
      <c r="F304" s="69">
        <v>1</v>
      </c>
      <c r="G304" s="70"/>
      <c r="H304" s="69"/>
      <c r="I304" s="70"/>
      <c r="J304" s="71">
        <f t="shared" si="31"/>
        <v>1</v>
      </c>
      <c r="K304" s="71"/>
      <c r="L304" s="72"/>
      <c r="M304" s="72"/>
      <c r="O304" s="11">
        <v>74000</v>
      </c>
      <c r="P304" s="11">
        <f t="shared" si="32"/>
        <v>0</v>
      </c>
      <c r="Q304" s="12"/>
      <c r="S304" s="11">
        <f t="shared" si="33"/>
        <v>74000</v>
      </c>
      <c r="T304" s="13">
        <f t="shared" si="34"/>
        <v>0</v>
      </c>
    </row>
    <row r="305" spans="1:20" ht="24.95" customHeight="1">
      <c r="A305" s="10">
        <v>5</v>
      </c>
      <c r="B305" s="66" t="s">
        <v>86</v>
      </c>
      <c r="C305" s="67" t="s">
        <v>86</v>
      </c>
      <c r="D305" s="68" t="s">
        <v>86</v>
      </c>
      <c r="E305" s="4" t="s">
        <v>93</v>
      </c>
      <c r="F305" s="69">
        <v>396</v>
      </c>
      <c r="G305" s="70"/>
      <c r="H305" s="69"/>
      <c r="I305" s="70"/>
      <c r="J305" s="71">
        <f t="shared" si="31"/>
        <v>200</v>
      </c>
      <c r="K305" s="71"/>
      <c r="L305" s="72"/>
      <c r="M305" s="72"/>
      <c r="O305" s="11">
        <v>200</v>
      </c>
      <c r="P305" s="11">
        <f t="shared" si="32"/>
        <v>0</v>
      </c>
      <c r="Q305" s="12"/>
      <c r="S305" s="11">
        <f t="shared" si="33"/>
        <v>40000</v>
      </c>
      <c r="T305" s="13">
        <f t="shared" si="34"/>
        <v>196</v>
      </c>
    </row>
    <row r="306" spans="1:20" ht="24.95" customHeight="1">
      <c r="A306" s="10">
        <v>6</v>
      </c>
      <c r="B306" s="66" t="s">
        <v>97</v>
      </c>
      <c r="C306" s="67" t="s">
        <v>87</v>
      </c>
      <c r="D306" s="68" t="s">
        <v>87</v>
      </c>
      <c r="E306" s="4" t="s">
        <v>35</v>
      </c>
      <c r="F306" s="69">
        <v>80</v>
      </c>
      <c r="G306" s="70">
        <v>183.6</v>
      </c>
      <c r="H306" s="69">
        <v>5</v>
      </c>
      <c r="I306" s="70"/>
      <c r="J306" s="71">
        <f t="shared" si="31"/>
        <v>45</v>
      </c>
      <c r="K306" s="71"/>
      <c r="L306" s="54"/>
      <c r="M306" s="59"/>
      <c r="O306" s="11">
        <v>1463</v>
      </c>
      <c r="P306" s="11">
        <f t="shared" si="32"/>
        <v>7315</v>
      </c>
      <c r="S306" s="11">
        <f t="shared" si="33"/>
        <v>65835</v>
      </c>
      <c r="T306" s="13">
        <f t="shared" si="34"/>
        <v>35</v>
      </c>
    </row>
    <row r="307" spans="1:20" ht="24.95" customHeight="1">
      <c r="A307" s="10">
        <v>7</v>
      </c>
      <c r="B307" s="66" t="s">
        <v>88</v>
      </c>
      <c r="C307" s="67" t="s">
        <v>88</v>
      </c>
      <c r="D307" s="68" t="s">
        <v>88</v>
      </c>
      <c r="E307" s="4" t="s">
        <v>94</v>
      </c>
      <c r="F307" s="69">
        <v>126</v>
      </c>
      <c r="G307" s="70">
        <v>19</v>
      </c>
      <c r="H307" s="69"/>
      <c r="I307" s="70"/>
      <c r="J307" s="71">
        <f t="shared" si="31"/>
        <v>0</v>
      </c>
      <c r="K307" s="71"/>
      <c r="L307" s="54"/>
      <c r="M307" s="59"/>
      <c r="O307" s="11">
        <v>6350</v>
      </c>
      <c r="P307" s="11">
        <f t="shared" si="32"/>
        <v>0</v>
      </c>
      <c r="S307" s="11">
        <f t="shared" si="33"/>
        <v>0</v>
      </c>
      <c r="T307" s="13">
        <f t="shared" si="34"/>
        <v>126</v>
      </c>
    </row>
    <row r="308" spans="1:20" ht="24.95" customHeight="1">
      <c r="A308" s="10">
        <v>8</v>
      </c>
      <c r="B308" s="66" t="s">
        <v>89</v>
      </c>
      <c r="C308" s="67" t="s">
        <v>89</v>
      </c>
      <c r="D308" s="68" t="s">
        <v>89</v>
      </c>
      <c r="E308" s="4" t="s">
        <v>95</v>
      </c>
      <c r="F308" s="69">
        <v>1</v>
      </c>
      <c r="G308" s="70">
        <v>1192</v>
      </c>
      <c r="H308" s="69"/>
      <c r="I308" s="70"/>
      <c r="J308" s="71">
        <f t="shared" si="31"/>
        <v>0</v>
      </c>
      <c r="K308" s="71"/>
      <c r="L308" s="54"/>
      <c r="M308" s="59"/>
      <c r="O308" s="11">
        <v>47600</v>
      </c>
      <c r="P308" s="11">
        <f t="shared" si="32"/>
        <v>0</v>
      </c>
      <c r="S308" s="11">
        <f t="shared" si="33"/>
        <v>0</v>
      </c>
      <c r="T308" s="13">
        <f t="shared" si="34"/>
        <v>1</v>
      </c>
    </row>
    <row r="309" spans="1:20" ht="24.95" customHeight="1">
      <c r="A309" s="10">
        <v>9</v>
      </c>
      <c r="B309" s="66" t="s">
        <v>90</v>
      </c>
      <c r="C309" s="67" t="s">
        <v>90</v>
      </c>
      <c r="D309" s="68" t="s">
        <v>90</v>
      </c>
      <c r="E309" s="4" t="s">
        <v>96</v>
      </c>
      <c r="F309" s="69">
        <v>1</v>
      </c>
      <c r="G309" s="70">
        <v>1261</v>
      </c>
      <c r="H309" s="69"/>
      <c r="I309" s="70"/>
      <c r="J309" s="71">
        <f t="shared" si="31"/>
        <v>0</v>
      </c>
      <c r="K309" s="71"/>
      <c r="L309" s="54"/>
      <c r="M309" s="59"/>
      <c r="O309" s="11">
        <v>10000</v>
      </c>
      <c r="P309" s="11">
        <f t="shared" si="32"/>
        <v>0</v>
      </c>
      <c r="S309" s="11">
        <f t="shared" si="33"/>
        <v>0</v>
      </c>
      <c r="T309" s="13">
        <f t="shared" si="34"/>
        <v>1</v>
      </c>
    </row>
    <row r="310" spans="1:20" ht="24.95" customHeight="1">
      <c r="A310" s="14"/>
      <c r="B310" s="15"/>
      <c r="C310" s="16"/>
      <c r="D310" s="17"/>
      <c r="E310" s="4"/>
      <c r="F310" s="18"/>
      <c r="G310" s="19"/>
      <c r="H310" s="105"/>
      <c r="I310" s="106"/>
      <c r="J310" s="105"/>
      <c r="K310" s="106"/>
      <c r="L310" s="54"/>
      <c r="M310" s="59"/>
      <c r="N310" s="20"/>
      <c r="P310" s="21" t="s">
        <v>37</v>
      </c>
      <c r="Q310" s="22">
        <f>SUM(P301:P309)</f>
        <v>7315</v>
      </c>
      <c r="R310" s="23"/>
      <c r="S310" s="24">
        <f>SUM(S301:S309)</f>
        <v>201669</v>
      </c>
      <c r="T310" s="13"/>
    </row>
    <row r="311" spans="1:20" ht="24.95" customHeight="1">
      <c r="A311" s="107"/>
      <c r="B311" s="108"/>
      <c r="C311" s="108"/>
      <c r="D311" s="109"/>
      <c r="E311" s="4"/>
      <c r="F311" s="54"/>
      <c r="G311" s="59"/>
      <c r="H311" s="72"/>
      <c r="I311" s="72"/>
      <c r="J311" s="72"/>
      <c r="K311" s="72"/>
      <c r="L311" s="72"/>
      <c r="M311" s="72"/>
      <c r="O311" t="s">
        <v>38</v>
      </c>
      <c r="P311" s="24">
        <f>Q310</f>
        <v>7315</v>
      </c>
      <c r="T311" s="13"/>
    </row>
    <row r="312" spans="1:20" ht="24.95" customHeight="1">
      <c r="A312" s="97"/>
      <c r="B312" s="98"/>
      <c r="C312" s="98"/>
      <c r="D312" s="99"/>
      <c r="E312" s="4"/>
      <c r="F312" s="54"/>
      <c r="G312" s="59"/>
      <c r="H312" s="72"/>
      <c r="I312" s="72"/>
      <c r="J312" s="72"/>
      <c r="K312" s="72"/>
      <c r="L312" s="72"/>
      <c r="M312" s="72"/>
      <c r="O312" t="s">
        <v>39</v>
      </c>
      <c r="P312" s="23">
        <f>ROUND(P311/1153274,4)*100</f>
        <v>0.63</v>
      </c>
      <c r="T312" s="13"/>
    </row>
    <row r="313" spans="1:20" ht="24.95" customHeight="1">
      <c r="A313" s="25"/>
      <c r="B313" s="63" t="s">
        <v>40</v>
      </c>
      <c r="C313" s="63"/>
      <c r="D313" s="59"/>
      <c r="E313" s="26"/>
      <c r="F313" s="100"/>
      <c r="G313" s="101"/>
      <c r="H313" s="100"/>
      <c r="I313" s="101"/>
      <c r="J313" s="102"/>
      <c r="K313" s="102"/>
      <c r="L313" s="103">
        <f>P311</f>
        <v>7315</v>
      </c>
      <c r="M313" s="104"/>
      <c r="T313" s="13"/>
    </row>
    <row r="314" spans="1:20" ht="24.95" customHeight="1" thickBot="1">
      <c r="A314" s="27"/>
      <c r="B314" s="85" t="s">
        <v>41</v>
      </c>
      <c r="C314" s="85"/>
      <c r="D314" s="86"/>
      <c r="E314" s="28"/>
      <c r="F314" s="87"/>
      <c r="G314" s="88"/>
      <c r="H314" s="87"/>
      <c r="I314" s="88"/>
      <c r="J314" s="87"/>
      <c r="K314" s="88"/>
      <c r="L314" s="89">
        <f>L313+L256</f>
        <v>201669</v>
      </c>
      <c r="M314" s="90"/>
      <c r="T314" s="13"/>
    </row>
    <row r="315" spans="1:20" ht="24.95" customHeight="1">
      <c r="A315" s="29"/>
      <c r="B315" s="91" t="s">
        <v>42</v>
      </c>
      <c r="C315" s="91"/>
      <c r="D315" s="92"/>
      <c r="E315" s="30"/>
      <c r="F315" s="93"/>
      <c r="G315" s="94"/>
      <c r="H315" s="95"/>
      <c r="I315" s="95"/>
      <c r="J315" s="95"/>
      <c r="K315" s="95"/>
      <c r="L315" s="95"/>
      <c r="M315" s="96"/>
      <c r="T315" s="13"/>
    </row>
    <row r="316" spans="1:20" ht="24.95" customHeight="1">
      <c r="A316" s="31"/>
      <c r="B316" s="76" t="s">
        <v>43</v>
      </c>
      <c r="C316" s="76"/>
      <c r="D316" s="77"/>
      <c r="E316" s="4"/>
      <c r="F316" s="54"/>
      <c r="G316" s="59"/>
      <c r="H316" s="72"/>
      <c r="I316" s="72"/>
      <c r="J316" s="72"/>
      <c r="K316" s="72"/>
      <c r="L316" s="72"/>
      <c r="M316" s="78"/>
      <c r="T316" s="13"/>
    </row>
    <row r="317" spans="1:20" ht="24.95" customHeight="1" thickBot="1">
      <c r="A317" s="32"/>
      <c r="B317" s="79" t="s">
        <v>44</v>
      </c>
      <c r="C317" s="79"/>
      <c r="D317" s="80"/>
      <c r="E317" s="33"/>
      <c r="F317" s="81"/>
      <c r="G317" s="82"/>
      <c r="H317" s="83"/>
      <c r="I317" s="83"/>
      <c r="J317" s="83"/>
      <c r="K317" s="83"/>
      <c r="L317" s="83"/>
      <c r="M317" s="84"/>
      <c r="T317" s="13"/>
    </row>
    <row r="318" spans="1:20" ht="24.95" customHeight="1">
      <c r="A318" s="73" t="s">
        <v>45</v>
      </c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T318" s="13"/>
    </row>
    <row r="319" spans="1:20" ht="24.95" customHeight="1">
      <c r="A319" s="72" t="s">
        <v>46</v>
      </c>
      <c r="B319" s="75"/>
      <c r="C319" s="75"/>
      <c r="D319" s="75"/>
      <c r="E319" s="4" t="s">
        <v>22</v>
      </c>
      <c r="F319" s="72" t="s">
        <v>47</v>
      </c>
      <c r="G319" s="72"/>
      <c r="H319" s="72" t="s">
        <v>48</v>
      </c>
      <c r="I319" s="72"/>
      <c r="J319" s="72" t="s">
        <v>49</v>
      </c>
      <c r="K319" s="72"/>
      <c r="L319" s="72" t="s">
        <v>50</v>
      </c>
      <c r="M319" s="72"/>
      <c r="T319" s="13"/>
    </row>
    <row r="320" spans="1:20" ht="24.95" customHeight="1">
      <c r="A320" s="10">
        <v>6</v>
      </c>
      <c r="B320" s="66" t="s">
        <v>97</v>
      </c>
      <c r="C320" s="67" t="s">
        <v>51</v>
      </c>
      <c r="D320" s="68" t="s">
        <v>51</v>
      </c>
      <c r="E320" s="4" t="s">
        <v>35</v>
      </c>
      <c r="F320" s="69">
        <v>80</v>
      </c>
      <c r="G320" s="70">
        <v>1261</v>
      </c>
      <c r="H320" s="71">
        <f>H306</f>
        <v>5</v>
      </c>
      <c r="I320" s="71"/>
      <c r="J320" s="71">
        <f>H320+J262</f>
        <v>45</v>
      </c>
      <c r="K320" s="71"/>
      <c r="L320" s="72"/>
      <c r="M320" s="72"/>
      <c r="T320" s="13"/>
    </row>
    <row r="321" spans="1:20" ht="24.95" customHeight="1">
      <c r="A321" s="10">
        <v>7</v>
      </c>
      <c r="B321" s="66" t="s">
        <v>88</v>
      </c>
      <c r="C321" s="67" t="s">
        <v>88</v>
      </c>
      <c r="D321" s="68" t="s">
        <v>88</v>
      </c>
      <c r="E321" s="4" t="s">
        <v>98</v>
      </c>
      <c r="F321" s="69">
        <v>126</v>
      </c>
      <c r="G321" s="70"/>
      <c r="H321" s="71">
        <f>H307</f>
        <v>0</v>
      </c>
      <c r="I321" s="71"/>
      <c r="J321" s="71">
        <f t="shared" ref="J321:J322" si="35">H321+J263</f>
        <v>0</v>
      </c>
      <c r="K321" s="71"/>
      <c r="L321" s="72"/>
      <c r="M321" s="72"/>
      <c r="T321" s="13"/>
    </row>
    <row r="322" spans="1:20" ht="24.95" customHeight="1">
      <c r="A322" s="10">
        <v>8</v>
      </c>
      <c r="B322" s="66" t="s">
        <v>89</v>
      </c>
      <c r="C322" s="67" t="s">
        <v>89</v>
      </c>
      <c r="D322" s="68" t="s">
        <v>89</v>
      </c>
      <c r="E322" s="4" t="s">
        <v>36</v>
      </c>
      <c r="F322" s="69">
        <v>1</v>
      </c>
      <c r="G322" s="70"/>
      <c r="H322" s="71">
        <f>H308</f>
        <v>0</v>
      </c>
      <c r="I322" s="71"/>
      <c r="J322" s="71">
        <f t="shared" si="35"/>
        <v>0</v>
      </c>
      <c r="K322" s="71"/>
      <c r="L322" s="72"/>
      <c r="M322" s="72"/>
      <c r="T322" s="13"/>
    </row>
    <row r="323" spans="1:20" ht="24.95" customHeight="1">
      <c r="A323" s="51" t="s">
        <v>52</v>
      </c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3"/>
      <c r="T323" s="13"/>
    </row>
    <row r="324" spans="1:20" ht="24.95" customHeight="1">
      <c r="A324" s="54" t="s">
        <v>53</v>
      </c>
      <c r="B324" s="63"/>
      <c r="C324" s="63"/>
      <c r="D324" s="59"/>
      <c r="E324" s="4" t="s">
        <v>54</v>
      </c>
      <c r="F324" s="54" t="s">
        <v>55</v>
      </c>
      <c r="G324" s="59"/>
      <c r="H324" s="54" t="s">
        <v>56</v>
      </c>
      <c r="I324" s="59"/>
      <c r="J324" s="54" t="s">
        <v>48</v>
      </c>
      <c r="K324" s="59"/>
      <c r="L324" s="64" t="s">
        <v>49</v>
      </c>
      <c r="M324" s="65"/>
      <c r="T324" s="13"/>
    </row>
    <row r="325" spans="1:20" ht="24.95" customHeight="1">
      <c r="A325" s="54" t="s">
        <v>57</v>
      </c>
      <c r="B325" s="55"/>
      <c r="C325" s="55"/>
      <c r="D325" s="56"/>
      <c r="E325" s="4">
        <v>2</v>
      </c>
      <c r="F325" s="57">
        <f>E325+F267</f>
        <v>16</v>
      </c>
      <c r="G325" s="58"/>
      <c r="H325" s="54" t="s">
        <v>58</v>
      </c>
      <c r="I325" s="59"/>
      <c r="J325" s="54">
        <v>1</v>
      </c>
      <c r="K325" s="59"/>
      <c r="L325" s="57">
        <f>J325+L267</f>
        <v>8</v>
      </c>
      <c r="M325" s="58"/>
      <c r="T325" s="13"/>
    </row>
    <row r="326" spans="1:20" ht="24.95" customHeight="1">
      <c r="A326" s="54" t="s">
        <v>59</v>
      </c>
      <c r="B326" s="55"/>
      <c r="C326" s="55"/>
      <c r="D326" s="56"/>
      <c r="E326" s="4"/>
      <c r="F326" s="57">
        <f t="shared" ref="F326:F328" si="36">E326+F268</f>
        <v>0</v>
      </c>
      <c r="G326" s="58"/>
      <c r="H326" s="54" t="s">
        <v>60</v>
      </c>
      <c r="I326" s="59"/>
      <c r="J326" s="54"/>
      <c r="K326" s="59"/>
      <c r="L326" s="57">
        <f t="shared" ref="L326:L328" si="37">J326+L268</f>
        <v>0</v>
      </c>
      <c r="M326" s="58"/>
      <c r="T326" s="13"/>
    </row>
    <row r="327" spans="1:20" ht="24.95" customHeight="1">
      <c r="A327" s="54" t="s">
        <v>61</v>
      </c>
      <c r="B327" s="55"/>
      <c r="C327" s="55"/>
      <c r="D327" s="56"/>
      <c r="E327" s="4"/>
      <c r="F327" s="57">
        <f t="shared" si="36"/>
        <v>0</v>
      </c>
      <c r="G327" s="58"/>
      <c r="H327" s="54" t="s">
        <v>62</v>
      </c>
      <c r="I327" s="59"/>
      <c r="J327" s="54"/>
      <c r="K327" s="59"/>
      <c r="L327" s="57">
        <f t="shared" si="37"/>
        <v>2</v>
      </c>
      <c r="M327" s="58"/>
      <c r="T327" s="13"/>
    </row>
    <row r="328" spans="1:20" ht="24.95" customHeight="1">
      <c r="A328" s="54" t="s">
        <v>63</v>
      </c>
      <c r="B328" s="55"/>
      <c r="C328" s="55"/>
      <c r="D328" s="56"/>
      <c r="E328" s="4"/>
      <c r="F328" s="57">
        <f t="shared" si="36"/>
        <v>0</v>
      </c>
      <c r="G328" s="58"/>
      <c r="H328" s="54" t="s">
        <v>64</v>
      </c>
      <c r="I328" s="59"/>
      <c r="J328" s="54"/>
      <c r="K328" s="59"/>
      <c r="L328" s="57">
        <f t="shared" si="37"/>
        <v>0</v>
      </c>
      <c r="M328" s="58"/>
      <c r="T328" s="13"/>
    </row>
    <row r="329" spans="1:20" ht="64.5" customHeight="1">
      <c r="A329" s="60" t="s">
        <v>65</v>
      </c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2"/>
      <c r="T329" s="13"/>
    </row>
    <row r="330" spans="1:20" ht="24.95" customHeight="1">
      <c r="A330" s="46" t="s">
        <v>66</v>
      </c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8"/>
      <c r="T330" s="13"/>
    </row>
    <row r="331" spans="1:20" ht="24.95" customHeight="1">
      <c r="A331" s="27"/>
      <c r="B331" s="34" t="s">
        <v>67</v>
      </c>
      <c r="C331" s="34"/>
      <c r="D331" s="34"/>
      <c r="E331" s="34"/>
      <c r="F331" s="34"/>
      <c r="G331" s="35"/>
      <c r="H331" s="34"/>
      <c r="I331" s="34"/>
      <c r="J331" s="34"/>
      <c r="K331" s="34"/>
      <c r="L331" s="34"/>
      <c r="M331" s="36"/>
      <c r="T331" s="13"/>
    </row>
    <row r="332" spans="1:20" ht="24.95" customHeight="1">
      <c r="A332" s="27"/>
      <c r="B332" s="34" t="s">
        <v>133</v>
      </c>
      <c r="C332" s="34"/>
      <c r="D332" s="34"/>
      <c r="E332" s="34"/>
      <c r="F332" s="34"/>
      <c r="G332" s="35"/>
      <c r="H332" s="34"/>
      <c r="I332" s="34"/>
      <c r="J332" s="34"/>
      <c r="K332" s="34"/>
      <c r="L332" s="34"/>
      <c r="M332" s="36"/>
      <c r="T332" s="13"/>
    </row>
    <row r="333" spans="1:20" ht="24.95" customHeight="1">
      <c r="A333" s="27"/>
      <c r="B333" s="34" t="s">
        <v>68</v>
      </c>
      <c r="C333" s="34"/>
      <c r="D333" s="34"/>
      <c r="E333" s="34"/>
      <c r="F333" s="34"/>
      <c r="G333" s="35"/>
      <c r="H333" s="34"/>
      <c r="I333" s="34"/>
      <c r="J333" s="34"/>
      <c r="K333" s="34"/>
      <c r="L333" s="34"/>
      <c r="M333" s="36"/>
      <c r="T333" s="13"/>
    </row>
    <row r="334" spans="1:20" ht="24.95" customHeight="1">
      <c r="A334" s="27"/>
      <c r="B334" s="34" t="s">
        <v>134</v>
      </c>
      <c r="C334" s="34"/>
      <c r="D334" s="34"/>
      <c r="E334" s="34"/>
      <c r="F334" s="34"/>
      <c r="G334" s="35"/>
      <c r="H334" s="34"/>
      <c r="I334" s="34"/>
      <c r="J334" s="34"/>
      <c r="K334" s="34"/>
      <c r="L334" s="34"/>
      <c r="M334" s="36"/>
      <c r="T334" s="13"/>
    </row>
    <row r="335" spans="1:20" ht="24.95" customHeight="1">
      <c r="A335" s="27"/>
      <c r="B335" s="34" t="s">
        <v>135</v>
      </c>
      <c r="C335" s="34"/>
      <c r="D335" s="34"/>
      <c r="E335" s="34"/>
      <c r="F335" s="34"/>
      <c r="G335" s="35"/>
      <c r="H335" s="34"/>
      <c r="I335" s="34"/>
      <c r="J335" s="34"/>
      <c r="K335" s="34"/>
      <c r="L335" s="34"/>
      <c r="M335" s="36"/>
      <c r="T335" s="13"/>
    </row>
    <row r="336" spans="1:20" ht="24.95" customHeight="1">
      <c r="A336" s="37"/>
      <c r="B336" s="49" t="s">
        <v>69</v>
      </c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50"/>
      <c r="T336" s="13"/>
    </row>
    <row r="337" spans="1:20" ht="44.25" customHeight="1">
      <c r="A337" s="51" t="s">
        <v>70</v>
      </c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3"/>
      <c r="T337" s="13"/>
    </row>
    <row r="338" spans="1:20" ht="48" customHeight="1">
      <c r="A338" s="51" t="s">
        <v>71</v>
      </c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3"/>
      <c r="T338" s="13"/>
    </row>
    <row r="339" spans="1:20" ht="81" customHeight="1">
      <c r="A339" s="51" t="s">
        <v>124</v>
      </c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3"/>
      <c r="T339" s="13"/>
    </row>
    <row r="340" spans="1:20" ht="100.5" customHeight="1">
      <c r="A340" s="51" t="s">
        <v>72</v>
      </c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3"/>
      <c r="T340" s="13"/>
    </row>
    <row r="341" spans="1:20" ht="12" customHeight="1">
      <c r="A341" s="41" t="s">
        <v>73</v>
      </c>
      <c r="B341" s="41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38"/>
      <c r="T341" s="13"/>
    </row>
    <row r="342" spans="1:20" ht="12" customHeight="1">
      <c r="A342" s="43" t="s">
        <v>74</v>
      </c>
      <c r="B342" s="43"/>
      <c r="C342" s="40"/>
      <c r="D342" s="40"/>
      <c r="E342" s="40"/>
      <c r="F342" s="40"/>
      <c r="G342" s="40"/>
      <c r="H342" s="40"/>
      <c r="I342" s="40"/>
      <c r="J342" s="40"/>
      <c r="K342" s="40"/>
      <c r="L342" s="38"/>
      <c r="M342" s="38"/>
      <c r="T342" s="13"/>
    </row>
    <row r="343" spans="1:20" ht="12" customHeight="1">
      <c r="A343" s="44" t="s">
        <v>75</v>
      </c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T343" s="13"/>
    </row>
    <row r="344" spans="1:20" ht="12" customHeight="1">
      <c r="A344" s="39" t="s">
        <v>76</v>
      </c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T344" s="13"/>
    </row>
    <row r="345" spans="1:20" ht="12" customHeight="1">
      <c r="A345" s="39" t="s">
        <v>77</v>
      </c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T345" s="13"/>
    </row>
    <row r="346" spans="1:20" ht="12" customHeight="1">
      <c r="A346" s="45" t="s">
        <v>78</v>
      </c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T346" s="13"/>
    </row>
    <row r="347" spans="1:20" ht="12" customHeight="1">
      <c r="A347" s="39" t="s">
        <v>79</v>
      </c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T347" s="13"/>
    </row>
    <row r="348" spans="1:20" ht="409.5" customHeight="1"/>
    <row r="349" spans="1:20" s="2" customFormat="1" ht="35.1" customHeight="1">
      <c r="A349" s="126" t="s">
        <v>0</v>
      </c>
      <c r="B349" s="126"/>
      <c r="C349" s="1">
        <f>C291+1</f>
        <v>11</v>
      </c>
      <c r="G349" s="3"/>
    </row>
    <row r="350" spans="1:20" s="2" customFormat="1" ht="35.1" customHeight="1">
      <c r="A350" s="126" t="s">
        <v>1</v>
      </c>
      <c r="B350" s="126"/>
      <c r="C350" s="2" t="s">
        <v>2</v>
      </c>
      <c r="D350" s="2" t="s">
        <v>126</v>
      </c>
      <c r="E350" s="2" t="s">
        <v>3</v>
      </c>
      <c r="F350" s="2" t="s">
        <v>127</v>
      </c>
      <c r="G350" s="3"/>
      <c r="H350" s="127" t="s">
        <v>4</v>
      </c>
      <c r="I350" s="128"/>
      <c r="J350" s="129">
        <f>J292+1</f>
        <v>45998</v>
      </c>
      <c r="K350" s="130"/>
      <c r="L350" s="131">
        <f>J350</f>
        <v>45998</v>
      </c>
      <c r="M350" s="132"/>
    </row>
    <row r="351" spans="1:20" s="2" customFormat="1" ht="30" customHeight="1">
      <c r="A351" s="72" t="s">
        <v>5</v>
      </c>
      <c r="B351" s="114"/>
      <c r="C351" s="119" t="s">
        <v>83</v>
      </c>
      <c r="D351" s="119"/>
      <c r="E351" s="119"/>
      <c r="F351" s="119"/>
      <c r="G351" s="119"/>
      <c r="H351" s="54" t="s">
        <v>6</v>
      </c>
      <c r="I351" s="59"/>
      <c r="J351" s="120"/>
      <c r="K351" s="120"/>
      <c r="L351" s="120"/>
      <c r="M351" s="120"/>
    </row>
    <row r="352" spans="1:20" s="1" customFormat="1" ht="30" customHeight="1">
      <c r="A352" s="72" t="s">
        <v>7</v>
      </c>
      <c r="B352" s="114"/>
      <c r="C352" s="4">
        <v>50</v>
      </c>
      <c r="D352" s="4" t="s">
        <v>8</v>
      </c>
      <c r="E352" s="4" t="s">
        <v>9</v>
      </c>
      <c r="F352" s="4">
        <f>F294+1</f>
        <v>11</v>
      </c>
      <c r="G352" s="5" t="s">
        <v>8</v>
      </c>
      <c r="H352" s="4" t="s">
        <v>10</v>
      </c>
      <c r="I352" s="4">
        <f>C352-F352+L352</f>
        <v>39</v>
      </c>
      <c r="J352" s="4" t="s">
        <v>11</v>
      </c>
      <c r="K352" s="6" t="s">
        <v>12</v>
      </c>
      <c r="L352" s="7">
        <f>L294</f>
        <v>0</v>
      </c>
      <c r="M352" s="4" t="s">
        <v>8</v>
      </c>
    </row>
    <row r="353" spans="1:20" s="2" customFormat="1" ht="30" customHeight="1">
      <c r="A353" s="72" t="s">
        <v>13</v>
      </c>
      <c r="B353" s="75"/>
      <c r="C353" s="75"/>
      <c r="D353" s="121">
        <f>D295</f>
        <v>45988</v>
      </c>
      <c r="E353" s="122"/>
      <c r="F353" s="122"/>
      <c r="G353" s="123"/>
      <c r="H353" s="124" t="s">
        <v>14</v>
      </c>
      <c r="I353" s="125"/>
      <c r="J353" s="121">
        <f>J295</f>
        <v>46037</v>
      </c>
      <c r="K353" s="122"/>
      <c r="L353" s="122"/>
      <c r="M353" s="123"/>
    </row>
    <row r="354" spans="1:20" s="2" customFormat="1" ht="30" customHeight="1">
      <c r="A354" s="72" t="s">
        <v>15</v>
      </c>
      <c r="B354" s="114"/>
      <c r="C354" s="114"/>
      <c r="D354" s="72">
        <v>0.64200000000000002</v>
      </c>
      <c r="E354" s="72"/>
      <c r="F354" s="72"/>
      <c r="G354" s="72"/>
      <c r="H354" s="64" t="s">
        <v>16</v>
      </c>
      <c r="I354" s="115"/>
      <c r="J354" s="116">
        <f>P370</f>
        <v>0</v>
      </c>
      <c r="K354" s="117"/>
      <c r="L354" s="117"/>
      <c r="M354" s="118"/>
    </row>
    <row r="355" spans="1:20" s="2" customFormat="1" ht="30" customHeight="1">
      <c r="A355" s="72" t="s">
        <v>17</v>
      </c>
      <c r="B355" s="114"/>
      <c r="C355" s="114"/>
      <c r="D355" s="72">
        <f>D354+D297</f>
        <v>2.6409999999999996</v>
      </c>
      <c r="E355" s="72"/>
      <c r="F355" s="72"/>
      <c r="G355" s="72"/>
      <c r="H355" s="64" t="s">
        <v>18</v>
      </c>
      <c r="I355" s="115"/>
      <c r="J355" s="116">
        <f>J354+J297</f>
        <v>17.469999999999995</v>
      </c>
      <c r="K355" s="117"/>
      <c r="L355" s="117"/>
      <c r="M355" s="118"/>
    </row>
    <row r="356" spans="1:20" s="2" customFormat="1" ht="30" customHeight="1">
      <c r="A356" s="111" t="s">
        <v>19</v>
      </c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3"/>
    </row>
    <row r="357" spans="1:20" s="2" customFormat="1" ht="30" customHeight="1">
      <c r="A357" s="8" t="s">
        <v>20</v>
      </c>
      <c r="B357" s="72" t="s">
        <v>21</v>
      </c>
      <c r="C357" s="72"/>
      <c r="D357" s="72"/>
      <c r="E357" s="4" t="s">
        <v>22</v>
      </c>
      <c r="F357" s="54" t="s">
        <v>23</v>
      </c>
      <c r="G357" s="59"/>
      <c r="H357" s="72" t="s">
        <v>24</v>
      </c>
      <c r="I357" s="72"/>
      <c r="J357" s="72" t="s">
        <v>25</v>
      </c>
      <c r="K357" s="72"/>
      <c r="L357" s="72" t="s">
        <v>26</v>
      </c>
      <c r="M357" s="72"/>
      <c r="O357" s="1" t="s">
        <v>27</v>
      </c>
      <c r="P357" s="1" t="s">
        <v>28</v>
      </c>
      <c r="T357" s="2" t="s">
        <v>29</v>
      </c>
    </row>
    <row r="358" spans="1:20" s="2" customFormat="1" ht="24.95" customHeight="1">
      <c r="A358" s="9" t="s">
        <v>30</v>
      </c>
      <c r="B358" s="110" t="s">
        <v>31</v>
      </c>
      <c r="C358" s="110"/>
      <c r="D358" s="110"/>
      <c r="E358" s="4"/>
      <c r="F358" s="54"/>
      <c r="G358" s="59"/>
      <c r="H358" s="72"/>
      <c r="I358" s="72"/>
      <c r="J358" s="72"/>
      <c r="K358" s="72"/>
      <c r="L358" s="72"/>
      <c r="M358" s="72"/>
    </row>
    <row r="359" spans="1:20" ht="24.95" customHeight="1">
      <c r="A359" s="10">
        <v>1</v>
      </c>
      <c r="B359" s="66" t="s">
        <v>91</v>
      </c>
      <c r="C359" s="67" t="s">
        <v>91</v>
      </c>
      <c r="D359" s="68" t="s">
        <v>91</v>
      </c>
      <c r="E359" s="4" t="s">
        <v>32</v>
      </c>
      <c r="F359" s="69">
        <v>1</v>
      </c>
      <c r="G359" s="70"/>
      <c r="H359" s="69"/>
      <c r="I359" s="70"/>
      <c r="J359" s="71">
        <f>H359+J301</f>
        <v>1</v>
      </c>
      <c r="K359" s="71"/>
      <c r="L359" s="72"/>
      <c r="M359" s="72"/>
      <c r="O359" s="11">
        <v>4000</v>
      </c>
      <c r="P359" s="11">
        <f>ROUND(H359*O359,0)</f>
        <v>0</v>
      </c>
      <c r="Q359" s="12"/>
      <c r="S359" s="11">
        <f>ROUND(J359*O359,0)</f>
        <v>4000</v>
      </c>
      <c r="T359" s="13">
        <f>F359-J359</f>
        <v>0</v>
      </c>
    </row>
    <row r="360" spans="1:20" ht="24.95" customHeight="1">
      <c r="A360" s="10">
        <v>2</v>
      </c>
      <c r="B360" s="66" t="s">
        <v>92</v>
      </c>
      <c r="C360" s="67" t="s">
        <v>92</v>
      </c>
      <c r="D360" s="68" t="s">
        <v>92</v>
      </c>
      <c r="E360" s="4" t="s">
        <v>32</v>
      </c>
      <c r="F360" s="69">
        <v>1</v>
      </c>
      <c r="G360" s="70"/>
      <c r="H360" s="69"/>
      <c r="I360" s="70"/>
      <c r="J360" s="71">
        <f t="shared" ref="J360:J367" si="38">H360+J302</f>
        <v>1</v>
      </c>
      <c r="K360" s="71"/>
      <c r="L360" s="72"/>
      <c r="M360" s="72"/>
      <c r="O360" s="11">
        <v>14334</v>
      </c>
      <c r="P360" s="11">
        <f t="shared" ref="P360:P367" si="39">ROUND(H360*O360,0)</f>
        <v>0</v>
      </c>
      <c r="Q360" s="12"/>
      <c r="S360" s="11">
        <f t="shared" ref="S360:S367" si="40">ROUND(J360*O360,0)</f>
        <v>14334</v>
      </c>
      <c r="T360" s="13">
        <f t="shared" ref="T360:T367" si="41">F360-J360</f>
        <v>0</v>
      </c>
    </row>
    <row r="361" spans="1:20" ht="24.95" customHeight="1">
      <c r="A361" s="10">
        <v>3</v>
      </c>
      <c r="B361" s="66" t="s">
        <v>84</v>
      </c>
      <c r="C361" s="67" t="s">
        <v>84</v>
      </c>
      <c r="D361" s="68" t="s">
        <v>84</v>
      </c>
      <c r="E361" s="4" t="s">
        <v>33</v>
      </c>
      <c r="F361" s="69">
        <v>1</v>
      </c>
      <c r="G361" s="70"/>
      <c r="H361" s="69"/>
      <c r="I361" s="70"/>
      <c r="J361" s="71">
        <f t="shared" si="38"/>
        <v>0.5</v>
      </c>
      <c r="K361" s="71"/>
      <c r="L361" s="72"/>
      <c r="M361" s="72"/>
      <c r="O361" s="11">
        <v>7000</v>
      </c>
      <c r="P361" s="11">
        <f t="shared" si="39"/>
        <v>0</v>
      </c>
      <c r="Q361" s="12"/>
      <c r="S361" s="11">
        <f t="shared" si="40"/>
        <v>3500</v>
      </c>
      <c r="T361" s="13">
        <f t="shared" si="41"/>
        <v>0.5</v>
      </c>
    </row>
    <row r="362" spans="1:20" ht="24.95" customHeight="1">
      <c r="A362" s="10">
        <v>4</v>
      </c>
      <c r="B362" s="66" t="s">
        <v>85</v>
      </c>
      <c r="C362" s="67" t="s">
        <v>85</v>
      </c>
      <c r="D362" s="68" t="s">
        <v>85</v>
      </c>
      <c r="E362" s="4" t="s">
        <v>34</v>
      </c>
      <c r="F362" s="69">
        <v>1</v>
      </c>
      <c r="G362" s="70"/>
      <c r="H362" s="69"/>
      <c r="I362" s="70"/>
      <c r="J362" s="71">
        <f t="shared" si="38"/>
        <v>1</v>
      </c>
      <c r="K362" s="71"/>
      <c r="L362" s="72"/>
      <c r="M362" s="72"/>
      <c r="O362" s="11">
        <v>74000</v>
      </c>
      <c r="P362" s="11">
        <f t="shared" si="39"/>
        <v>0</v>
      </c>
      <c r="Q362" s="12"/>
      <c r="S362" s="11">
        <f t="shared" si="40"/>
        <v>74000</v>
      </c>
      <c r="T362" s="13">
        <f t="shared" si="41"/>
        <v>0</v>
      </c>
    </row>
    <row r="363" spans="1:20" ht="24.95" customHeight="1">
      <c r="A363" s="10">
        <v>5</v>
      </c>
      <c r="B363" s="66" t="s">
        <v>86</v>
      </c>
      <c r="C363" s="67" t="s">
        <v>86</v>
      </c>
      <c r="D363" s="68" t="s">
        <v>86</v>
      </c>
      <c r="E363" s="4" t="s">
        <v>93</v>
      </c>
      <c r="F363" s="69">
        <v>396</v>
      </c>
      <c r="G363" s="70"/>
      <c r="H363" s="69"/>
      <c r="I363" s="70"/>
      <c r="J363" s="71">
        <f t="shared" si="38"/>
        <v>200</v>
      </c>
      <c r="K363" s="71"/>
      <c r="L363" s="72"/>
      <c r="M363" s="72"/>
      <c r="O363" s="11">
        <v>200</v>
      </c>
      <c r="P363" s="11">
        <f t="shared" si="39"/>
        <v>0</v>
      </c>
      <c r="Q363" s="12"/>
      <c r="S363" s="11">
        <f t="shared" si="40"/>
        <v>40000</v>
      </c>
      <c r="T363" s="13">
        <f t="shared" si="41"/>
        <v>196</v>
      </c>
    </row>
    <row r="364" spans="1:20" ht="24.95" customHeight="1">
      <c r="A364" s="10">
        <v>6</v>
      </c>
      <c r="B364" s="66" t="s">
        <v>97</v>
      </c>
      <c r="C364" s="67" t="s">
        <v>87</v>
      </c>
      <c r="D364" s="68" t="s">
        <v>87</v>
      </c>
      <c r="E364" s="4" t="s">
        <v>35</v>
      </c>
      <c r="F364" s="69">
        <v>80</v>
      </c>
      <c r="G364" s="70">
        <v>183.6</v>
      </c>
      <c r="H364" s="69"/>
      <c r="I364" s="70"/>
      <c r="J364" s="71">
        <f t="shared" si="38"/>
        <v>45</v>
      </c>
      <c r="K364" s="71"/>
      <c r="L364" s="54"/>
      <c r="M364" s="59"/>
      <c r="O364" s="11">
        <v>1463</v>
      </c>
      <c r="P364" s="11">
        <f t="shared" si="39"/>
        <v>0</v>
      </c>
      <c r="S364" s="11">
        <f t="shared" si="40"/>
        <v>65835</v>
      </c>
      <c r="T364" s="13">
        <f t="shared" si="41"/>
        <v>35</v>
      </c>
    </row>
    <row r="365" spans="1:20" ht="24.95" customHeight="1">
      <c r="A365" s="10">
        <v>7</v>
      </c>
      <c r="B365" s="66" t="s">
        <v>88</v>
      </c>
      <c r="C365" s="67" t="s">
        <v>88</v>
      </c>
      <c r="D365" s="68" t="s">
        <v>88</v>
      </c>
      <c r="E365" s="4" t="s">
        <v>94</v>
      </c>
      <c r="F365" s="69">
        <v>126</v>
      </c>
      <c r="G365" s="70">
        <v>19</v>
      </c>
      <c r="H365" s="69"/>
      <c r="I365" s="70"/>
      <c r="J365" s="71">
        <f t="shared" si="38"/>
        <v>0</v>
      </c>
      <c r="K365" s="71"/>
      <c r="L365" s="54"/>
      <c r="M365" s="59"/>
      <c r="O365" s="11">
        <v>6350</v>
      </c>
      <c r="P365" s="11">
        <f t="shared" si="39"/>
        <v>0</v>
      </c>
      <c r="S365" s="11">
        <f t="shared" si="40"/>
        <v>0</v>
      </c>
      <c r="T365" s="13">
        <f t="shared" si="41"/>
        <v>126</v>
      </c>
    </row>
    <row r="366" spans="1:20" ht="24.95" customHeight="1">
      <c r="A366" s="10">
        <v>8</v>
      </c>
      <c r="B366" s="66" t="s">
        <v>89</v>
      </c>
      <c r="C366" s="67" t="s">
        <v>89</v>
      </c>
      <c r="D366" s="68" t="s">
        <v>89</v>
      </c>
      <c r="E366" s="4" t="s">
        <v>95</v>
      </c>
      <c r="F366" s="69">
        <v>1</v>
      </c>
      <c r="G366" s="70">
        <v>1192</v>
      </c>
      <c r="H366" s="69"/>
      <c r="I366" s="70"/>
      <c r="J366" s="71">
        <f t="shared" si="38"/>
        <v>0</v>
      </c>
      <c r="K366" s="71"/>
      <c r="L366" s="54"/>
      <c r="M366" s="59"/>
      <c r="O366" s="11">
        <v>47600</v>
      </c>
      <c r="P366" s="11">
        <f t="shared" si="39"/>
        <v>0</v>
      </c>
      <c r="S366" s="11">
        <f t="shared" si="40"/>
        <v>0</v>
      </c>
      <c r="T366" s="13">
        <f t="shared" si="41"/>
        <v>1</v>
      </c>
    </row>
    <row r="367" spans="1:20" ht="24.95" customHeight="1">
      <c r="A367" s="10">
        <v>9</v>
      </c>
      <c r="B367" s="66" t="s">
        <v>90</v>
      </c>
      <c r="C367" s="67" t="s">
        <v>90</v>
      </c>
      <c r="D367" s="68" t="s">
        <v>90</v>
      </c>
      <c r="E367" s="4" t="s">
        <v>96</v>
      </c>
      <c r="F367" s="69">
        <v>1</v>
      </c>
      <c r="G367" s="70">
        <v>1261</v>
      </c>
      <c r="H367" s="69"/>
      <c r="I367" s="70"/>
      <c r="J367" s="71">
        <f t="shared" si="38"/>
        <v>0</v>
      </c>
      <c r="K367" s="71"/>
      <c r="L367" s="54"/>
      <c r="M367" s="59"/>
      <c r="O367" s="11">
        <v>10000</v>
      </c>
      <c r="P367" s="11">
        <f t="shared" si="39"/>
        <v>0</v>
      </c>
      <c r="S367" s="11">
        <f t="shared" si="40"/>
        <v>0</v>
      </c>
      <c r="T367" s="13">
        <f t="shared" si="41"/>
        <v>1</v>
      </c>
    </row>
    <row r="368" spans="1:20" ht="24.95" customHeight="1">
      <c r="A368" s="14"/>
      <c r="B368" s="15"/>
      <c r="C368" s="16"/>
      <c r="D368" s="17"/>
      <c r="E368" s="4"/>
      <c r="F368" s="18"/>
      <c r="G368" s="19"/>
      <c r="H368" s="105"/>
      <c r="I368" s="106"/>
      <c r="J368" s="105"/>
      <c r="K368" s="106"/>
      <c r="L368" s="54"/>
      <c r="M368" s="59"/>
      <c r="N368" s="20"/>
      <c r="P368" s="21" t="s">
        <v>37</v>
      </c>
      <c r="Q368" s="22">
        <f>SUM(P359:P367)</f>
        <v>0</v>
      </c>
      <c r="R368" s="23"/>
      <c r="S368" s="24">
        <f>SUM(S359:S367)</f>
        <v>201669</v>
      </c>
      <c r="T368" s="13"/>
    </row>
    <row r="369" spans="1:20" ht="24.95" customHeight="1">
      <c r="A369" s="107"/>
      <c r="B369" s="108"/>
      <c r="C369" s="108"/>
      <c r="D369" s="109"/>
      <c r="E369" s="4"/>
      <c r="F369" s="54"/>
      <c r="G369" s="59"/>
      <c r="H369" s="72"/>
      <c r="I369" s="72"/>
      <c r="J369" s="72"/>
      <c r="K369" s="72"/>
      <c r="L369" s="72"/>
      <c r="M369" s="72"/>
      <c r="O369" t="s">
        <v>38</v>
      </c>
      <c r="P369" s="24">
        <f>Q368</f>
        <v>0</v>
      </c>
      <c r="T369" s="13"/>
    </row>
    <row r="370" spans="1:20" ht="24.95" customHeight="1">
      <c r="A370" s="97"/>
      <c r="B370" s="98"/>
      <c r="C370" s="98"/>
      <c r="D370" s="99"/>
      <c r="E370" s="4"/>
      <c r="F370" s="54"/>
      <c r="G370" s="59"/>
      <c r="H370" s="72"/>
      <c r="I370" s="72"/>
      <c r="J370" s="72"/>
      <c r="K370" s="72"/>
      <c r="L370" s="72"/>
      <c r="M370" s="72"/>
      <c r="O370" t="s">
        <v>39</v>
      </c>
      <c r="P370" s="23">
        <f>ROUND(P369/1153274,4)*100</f>
        <v>0</v>
      </c>
      <c r="T370" s="13"/>
    </row>
    <row r="371" spans="1:20" ht="24.95" customHeight="1">
      <c r="A371" s="25"/>
      <c r="B371" s="63" t="s">
        <v>40</v>
      </c>
      <c r="C371" s="63"/>
      <c r="D371" s="59"/>
      <c r="E371" s="26"/>
      <c r="F371" s="100"/>
      <c r="G371" s="101"/>
      <c r="H371" s="100"/>
      <c r="I371" s="101"/>
      <c r="J371" s="102"/>
      <c r="K371" s="102"/>
      <c r="L371" s="103">
        <f>P369</f>
        <v>0</v>
      </c>
      <c r="M371" s="104"/>
      <c r="T371" s="13"/>
    </row>
    <row r="372" spans="1:20" ht="24.95" customHeight="1" thickBot="1">
      <c r="A372" s="27"/>
      <c r="B372" s="85" t="s">
        <v>41</v>
      </c>
      <c r="C372" s="85"/>
      <c r="D372" s="86"/>
      <c r="E372" s="28"/>
      <c r="F372" s="87"/>
      <c r="G372" s="88"/>
      <c r="H372" s="87"/>
      <c r="I372" s="88"/>
      <c r="J372" s="87"/>
      <c r="K372" s="88"/>
      <c r="L372" s="89">
        <f>L371+L314</f>
        <v>201669</v>
      </c>
      <c r="M372" s="90"/>
      <c r="T372" s="13"/>
    </row>
    <row r="373" spans="1:20" ht="24.95" customHeight="1">
      <c r="A373" s="29"/>
      <c r="B373" s="91" t="s">
        <v>42</v>
      </c>
      <c r="C373" s="91"/>
      <c r="D373" s="92"/>
      <c r="E373" s="30"/>
      <c r="F373" s="93"/>
      <c r="G373" s="94"/>
      <c r="H373" s="95"/>
      <c r="I373" s="95"/>
      <c r="J373" s="95"/>
      <c r="K373" s="95"/>
      <c r="L373" s="95"/>
      <c r="M373" s="96"/>
      <c r="T373" s="13"/>
    </row>
    <row r="374" spans="1:20" ht="24.95" customHeight="1">
      <c r="A374" s="31"/>
      <c r="B374" s="76" t="s">
        <v>43</v>
      </c>
      <c r="C374" s="76"/>
      <c r="D374" s="77"/>
      <c r="E374" s="4"/>
      <c r="F374" s="54"/>
      <c r="G374" s="59"/>
      <c r="H374" s="72"/>
      <c r="I374" s="72"/>
      <c r="J374" s="72"/>
      <c r="K374" s="72"/>
      <c r="L374" s="72"/>
      <c r="M374" s="78"/>
      <c r="T374" s="13"/>
    </row>
    <row r="375" spans="1:20" ht="24.95" customHeight="1" thickBot="1">
      <c r="A375" s="32"/>
      <c r="B375" s="79" t="s">
        <v>44</v>
      </c>
      <c r="C375" s="79"/>
      <c r="D375" s="80"/>
      <c r="E375" s="33"/>
      <c r="F375" s="81"/>
      <c r="G375" s="82"/>
      <c r="H375" s="83"/>
      <c r="I375" s="83"/>
      <c r="J375" s="83"/>
      <c r="K375" s="83"/>
      <c r="L375" s="83"/>
      <c r="M375" s="84"/>
      <c r="T375" s="13"/>
    </row>
    <row r="376" spans="1:20" ht="24.95" customHeight="1">
      <c r="A376" s="73" t="s">
        <v>45</v>
      </c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T376" s="13"/>
    </row>
    <row r="377" spans="1:20" ht="24.95" customHeight="1">
      <c r="A377" s="72" t="s">
        <v>46</v>
      </c>
      <c r="B377" s="75"/>
      <c r="C377" s="75"/>
      <c r="D377" s="75"/>
      <c r="E377" s="4" t="s">
        <v>22</v>
      </c>
      <c r="F377" s="72" t="s">
        <v>47</v>
      </c>
      <c r="G377" s="72"/>
      <c r="H377" s="72" t="s">
        <v>48</v>
      </c>
      <c r="I377" s="72"/>
      <c r="J377" s="72" t="s">
        <v>49</v>
      </c>
      <c r="K377" s="72"/>
      <c r="L377" s="72" t="s">
        <v>50</v>
      </c>
      <c r="M377" s="72"/>
      <c r="T377" s="13"/>
    </row>
    <row r="378" spans="1:20" ht="24.95" customHeight="1">
      <c r="A378" s="10">
        <v>6</v>
      </c>
      <c r="B378" s="66" t="s">
        <v>97</v>
      </c>
      <c r="C378" s="67" t="s">
        <v>51</v>
      </c>
      <c r="D378" s="68" t="s">
        <v>51</v>
      </c>
      <c r="E378" s="4" t="s">
        <v>35</v>
      </c>
      <c r="F378" s="69">
        <v>80</v>
      </c>
      <c r="G378" s="70">
        <v>1261</v>
      </c>
      <c r="H378" s="71">
        <f>H364</f>
        <v>0</v>
      </c>
      <c r="I378" s="71"/>
      <c r="J378" s="71">
        <f>H378+J320</f>
        <v>45</v>
      </c>
      <c r="K378" s="71"/>
      <c r="L378" s="72"/>
      <c r="M378" s="72"/>
      <c r="T378" s="13"/>
    </row>
    <row r="379" spans="1:20" ht="24.95" customHeight="1">
      <c r="A379" s="10">
        <v>7</v>
      </c>
      <c r="B379" s="66" t="s">
        <v>88</v>
      </c>
      <c r="C379" s="67" t="s">
        <v>88</v>
      </c>
      <c r="D379" s="68" t="s">
        <v>88</v>
      </c>
      <c r="E379" s="4" t="s">
        <v>98</v>
      </c>
      <c r="F379" s="69">
        <v>126</v>
      </c>
      <c r="G379" s="70"/>
      <c r="H379" s="71">
        <f>H365</f>
        <v>0</v>
      </c>
      <c r="I379" s="71"/>
      <c r="J379" s="71">
        <f t="shared" ref="J379:J380" si="42">H379+J321</f>
        <v>0</v>
      </c>
      <c r="K379" s="71"/>
      <c r="L379" s="72"/>
      <c r="M379" s="72"/>
      <c r="T379" s="13"/>
    </row>
    <row r="380" spans="1:20" ht="24.95" customHeight="1">
      <c r="A380" s="10">
        <v>8</v>
      </c>
      <c r="B380" s="66" t="s">
        <v>89</v>
      </c>
      <c r="C380" s="67" t="s">
        <v>89</v>
      </c>
      <c r="D380" s="68" t="s">
        <v>89</v>
      </c>
      <c r="E380" s="4" t="s">
        <v>36</v>
      </c>
      <c r="F380" s="69">
        <v>1</v>
      </c>
      <c r="G380" s="70"/>
      <c r="H380" s="71">
        <f>H366</f>
        <v>0</v>
      </c>
      <c r="I380" s="71"/>
      <c r="J380" s="71">
        <f t="shared" si="42"/>
        <v>0</v>
      </c>
      <c r="K380" s="71"/>
      <c r="L380" s="72"/>
      <c r="M380" s="72"/>
      <c r="T380" s="13"/>
    </row>
    <row r="381" spans="1:20" ht="24.95" customHeight="1">
      <c r="A381" s="51" t="s">
        <v>52</v>
      </c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3"/>
      <c r="T381" s="13"/>
    </row>
    <row r="382" spans="1:20" ht="24.95" customHeight="1">
      <c r="A382" s="54" t="s">
        <v>53</v>
      </c>
      <c r="B382" s="63"/>
      <c r="C382" s="63"/>
      <c r="D382" s="59"/>
      <c r="E382" s="4" t="s">
        <v>54</v>
      </c>
      <c r="F382" s="54" t="s">
        <v>55</v>
      </c>
      <c r="G382" s="59"/>
      <c r="H382" s="54" t="s">
        <v>56</v>
      </c>
      <c r="I382" s="59"/>
      <c r="J382" s="54" t="s">
        <v>48</v>
      </c>
      <c r="K382" s="59"/>
      <c r="L382" s="64" t="s">
        <v>49</v>
      </c>
      <c r="M382" s="65"/>
      <c r="T382" s="13"/>
    </row>
    <row r="383" spans="1:20" ht="24.95" customHeight="1">
      <c r="A383" s="54" t="s">
        <v>57</v>
      </c>
      <c r="B383" s="55"/>
      <c r="C383" s="55"/>
      <c r="D383" s="56"/>
      <c r="E383" s="4"/>
      <c r="F383" s="57">
        <f>E383+F325</f>
        <v>16</v>
      </c>
      <c r="G383" s="58"/>
      <c r="H383" s="54" t="s">
        <v>58</v>
      </c>
      <c r="I383" s="59"/>
      <c r="J383" s="54"/>
      <c r="K383" s="59"/>
      <c r="L383" s="57">
        <f>J383+L325</f>
        <v>8</v>
      </c>
      <c r="M383" s="58"/>
      <c r="T383" s="13"/>
    </row>
    <row r="384" spans="1:20" ht="24.95" customHeight="1">
      <c r="A384" s="54" t="s">
        <v>59</v>
      </c>
      <c r="B384" s="55"/>
      <c r="C384" s="55"/>
      <c r="D384" s="56"/>
      <c r="E384" s="4"/>
      <c r="F384" s="57">
        <f t="shared" ref="F384:F386" si="43">E384+F326</f>
        <v>0</v>
      </c>
      <c r="G384" s="58"/>
      <c r="H384" s="54" t="s">
        <v>60</v>
      </c>
      <c r="I384" s="59"/>
      <c r="J384" s="54"/>
      <c r="K384" s="59"/>
      <c r="L384" s="57">
        <f t="shared" ref="L384:L386" si="44">J384+L326</f>
        <v>0</v>
      </c>
      <c r="M384" s="58"/>
      <c r="T384" s="13"/>
    </row>
    <row r="385" spans="1:20" ht="24.95" customHeight="1">
      <c r="A385" s="54" t="s">
        <v>61</v>
      </c>
      <c r="B385" s="55"/>
      <c r="C385" s="55"/>
      <c r="D385" s="56"/>
      <c r="E385" s="4"/>
      <c r="F385" s="57">
        <f t="shared" si="43"/>
        <v>0</v>
      </c>
      <c r="G385" s="58"/>
      <c r="H385" s="54" t="s">
        <v>62</v>
      </c>
      <c r="I385" s="59"/>
      <c r="J385" s="54"/>
      <c r="K385" s="59"/>
      <c r="L385" s="57">
        <f t="shared" si="44"/>
        <v>2</v>
      </c>
      <c r="M385" s="58"/>
      <c r="T385" s="13"/>
    </row>
    <row r="386" spans="1:20" ht="24.95" customHeight="1">
      <c r="A386" s="54" t="s">
        <v>63</v>
      </c>
      <c r="B386" s="55"/>
      <c r="C386" s="55"/>
      <c r="D386" s="56"/>
      <c r="E386" s="4"/>
      <c r="F386" s="57">
        <f t="shared" si="43"/>
        <v>0</v>
      </c>
      <c r="G386" s="58"/>
      <c r="H386" s="54" t="s">
        <v>64</v>
      </c>
      <c r="I386" s="59"/>
      <c r="J386" s="54"/>
      <c r="K386" s="59"/>
      <c r="L386" s="57">
        <f t="shared" si="44"/>
        <v>0</v>
      </c>
      <c r="M386" s="58"/>
      <c r="T386" s="13"/>
    </row>
    <row r="387" spans="1:20" ht="64.5" customHeight="1">
      <c r="A387" s="60" t="s">
        <v>65</v>
      </c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2"/>
      <c r="T387" s="13"/>
    </row>
    <row r="388" spans="1:20" ht="24.95" customHeight="1">
      <c r="A388" s="46" t="s">
        <v>66</v>
      </c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8"/>
      <c r="T388" s="13"/>
    </row>
    <row r="389" spans="1:20" ht="24.95" customHeight="1">
      <c r="A389" s="27"/>
      <c r="B389" s="34" t="s">
        <v>67</v>
      </c>
      <c r="C389" s="34"/>
      <c r="D389" s="34"/>
      <c r="E389" s="34"/>
      <c r="F389" s="34"/>
      <c r="G389" s="35"/>
      <c r="H389" s="34"/>
      <c r="I389" s="34"/>
      <c r="J389" s="34"/>
      <c r="K389" s="34"/>
      <c r="L389" s="34"/>
      <c r="M389" s="36"/>
      <c r="T389" s="13"/>
    </row>
    <row r="390" spans="1:20" ht="24.95" customHeight="1">
      <c r="A390" s="27"/>
      <c r="B390" s="34" t="s">
        <v>81</v>
      </c>
      <c r="C390" s="34"/>
      <c r="D390" s="34"/>
      <c r="E390" s="34"/>
      <c r="F390" s="34"/>
      <c r="G390" s="35"/>
      <c r="H390" s="34"/>
      <c r="I390" s="34"/>
      <c r="J390" s="34"/>
      <c r="K390" s="34"/>
      <c r="L390" s="34"/>
      <c r="M390" s="36"/>
      <c r="T390" s="13"/>
    </row>
    <row r="391" spans="1:20" ht="24.95" customHeight="1">
      <c r="A391" s="27"/>
      <c r="B391" s="34" t="s">
        <v>68</v>
      </c>
      <c r="C391" s="34"/>
      <c r="D391" s="34"/>
      <c r="E391" s="34"/>
      <c r="F391" s="34"/>
      <c r="G391" s="35"/>
      <c r="H391" s="34"/>
      <c r="I391" s="34"/>
      <c r="J391" s="34"/>
      <c r="K391" s="34"/>
      <c r="L391" s="34"/>
      <c r="M391" s="36"/>
      <c r="T391" s="13"/>
    </row>
    <row r="392" spans="1:20" ht="24.95" customHeight="1">
      <c r="A392" s="27"/>
      <c r="B392" s="34" t="s">
        <v>82</v>
      </c>
      <c r="C392" s="34"/>
      <c r="D392" s="34"/>
      <c r="E392" s="34"/>
      <c r="F392" s="34"/>
      <c r="G392" s="35"/>
      <c r="H392" s="34"/>
      <c r="I392" s="34"/>
      <c r="J392" s="34"/>
      <c r="K392" s="34"/>
      <c r="L392" s="34"/>
      <c r="M392" s="36"/>
      <c r="T392" s="13"/>
    </row>
    <row r="393" spans="1:20" ht="24.95" customHeight="1">
      <c r="A393" s="27"/>
      <c r="B393" s="34" t="s">
        <v>99</v>
      </c>
      <c r="C393" s="34"/>
      <c r="D393" s="34"/>
      <c r="E393" s="34"/>
      <c r="F393" s="34"/>
      <c r="G393" s="35"/>
      <c r="H393" s="34"/>
      <c r="I393" s="34"/>
      <c r="J393" s="34"/>
      <c r="K393" s="34"/>
      <c r="L393" s="34"/>
      <c r="M393" s="36"/>
      <c r="T393" s="13"/>
    </row>
    <row r="394" spans="1:20" ht="24.95" customHeight="1">
      <c r="A394" s="37"/>
      <c r="B394" s="49" t="s">
        <v>69</v>
      </c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50"/>
      <c r="T394" s="13"/>
    </row>
    <row r="395" spans="1:20" ht="44.25" customHeight="1">
      <c r="A395" s="51" t="s">
        <v>70</v>
      </c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3"/>
      <c r="T395" s="13"/>
    </row>
    <row r="396" spans="1:20" ht="48" customHeight="1">
      <c r="A396" s="51" t="s">
        <v>71</v>
      </c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3"/>
      <c r="T396" s="13"/>
    </row>
    <row r="397" spans="1:20" ht="81" customHeight="1">
      <c r="A397" s="51" t="s">
        <v>118</v>
      </c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3"/>
      <c r="T397" s="13"/>
    </row>
    <row r="398" spans="1:20" ht="100.5" customHeight="1">
      <c r="A398" s="51" t="s">
        <v>72</v>
      </c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3"/>
      <c r="T398" s="13"/>
    </row>
    <row r="399" spans="1:20" ht="12" customHeight="1">
      <c r="A399" s="41" t="s">
        <v>73</v>
      </c>
      <c r="B399" s="41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38"/>
      <c r="T399" s="13"/>
    </row>
    <row r="400" spans="1:20" ht="12" customHeight="1">
      <c r="A400" s="43" t="s">
        <v>74</v>
      </c>
      <c r="B400" s="43"/>
      <c r="C400" s="40"/>
      <c r="D400" s="40"/>
      <c r="E400" s="40"/>
      <c r="F400" s="40"/>
      <c r="G400" s="40"/>
      <c r="H400" s="40"/>
      <c r="I400" s="40"/>
      <c r="J400" s="40"/>
      <c r="K400" s="40"/>
      <c r="L400" s="38"/>
      <c r="M400" s="38"/>
      <c r="T400" s="13"/>
    </row>
    <row r="401" spans="1:20" ht="12" customHeight="1">
      <c r="A401" s="44" t="s">
        <v>75</v>
      </c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T401" s="13"/>
    </row>
    <row r="402" spans="1:20" ht="12" customHeight="1">
      <c r="A402" s="39" t="s">
        <v>76</v>
      </c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T402" s="13"/>
    </row>
    <row r="403" spans="1:20" ht="12" customHeight="1">
      <c r="A403" s="39" t="s">
        <v>77</v>
      </c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T403" s="13"/>
    </row>
    <row r="404" spans="1:20" ht="12" customHeight="1">
      <c r="A404" s="45" t="s">
        <v>78</v>
      </c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T404" s="13"/>
    </row>
    <row r="405" spans="1:20" ht="12" customHeight="1">
      <c r="A405" s="39" t="s">
        <v>79</v>
      </c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T405" s="13"/>
    </row>
    <row r="406" spans="1:20" ht="409.5" customHeight="1"/>
    <row r="407" spans="1:20" s="2" customFormat="1" ht="35.1" customHeight="1">
      <c r="A407" s="126" t="s">
        <v>0</v>
      </c>
      <c r="B407" s="126"/>
      <c r="C407" s="1">
        <f>C349+1</f>
        <v>12</v>
      </c>
      <c r="G407" s="3"/>
    </row>
    <row r="408" spans="1:20" s="2" customFormat="1" ht="35.1" customHeight="1">
      <c r="A408" s="126" t="s">
        <v>1</v>
      </c>
      <c r="B408" s="126"/>
      <c r="C408" s="2" t="s">
        <v>2</v>
      </c>
      <c r="D408" s="2" t="s">
        <v>103</v>
      </c>
      <c r="E408" s="2" t="s">
        <v>3</v>
      </c>
      <c r="F408" s="2" t="s">
        <v>103</v>
      </c>
      <c r="G408" s="3"/>
      <c r="H408" s="127" t="s">
        <v>4</v>
      </c>
      <c r="I408" s="128"/>
      <c r="J408" s="129">
        <f>J350+1</f>
        <v>45999</v>
      </c>
      <c r="K408" s="130"/>
      <c r="L408" s="131">
        <f>J408</f>
        <v>45999</v>
      </c>
      <c r="M408" s="132"/>
    </row>
    <row r="409" spans="1:20" s="2" customFormat="1" ht="30" customHeight="1">
      <c r="A409" s="72" t="s">
        <v>5</v>
      </c>
      <c r="B409" s="114"/>
      <c r="C409" s="119" t="s">
        <v>83</v>
      </c>
      <c r="D409" s="119"/>
      <c r="E409" s="119"/>
      <c r="F409" s="119"/>
      <c r="G409" s="119"/>
      <c r="H409" s="54" t="s">
        <v>6</v>
      </c>
      <c r="I409" s="59"/>
      <c r="J409" s="120"/>
      <c r="K409" s="120"/>
      <c r="L409" s="120"/>
      <c r="M409" s="120"/>
    </row>
    <row r="410" spans="1:20" s="1" customFormat="1" ht="30" customHeight="1">
      <c r="A410" s="72" t="s">
        <v>7</v>
      </c>
      <c r="B410" s="114"/>
      <c r="C410" s="4">
        <v>50</v>
      </c>
      <c r="D410" s="4" t="s">
        <v>8</v>
      </c>
      <c r="E410" s="4" t="s">
        <v>9</v>
      </c>
      <c r="F410" s="4">
        <f>F352+1</f>
        <v>12</v>
      </c>
      <c r="G410" s="5" t="s">
        <v>8</v>
      </c>
      <c r="H410" s="4" t="s">
        <v>10</v>
      </c>
      <c r="I410" s="4">
        <f>C410-F410+L410</f>
        <v>38</v>
      </c>
      <c r="J410" s="4" t="s">
        <v>11</v>
      </c>
      <c r="K410" s="6" t="s">
        <v>12</v>
      </c>
      <c r="L410" s="7">
        <f>L352</f>
        <v>0</v>
      </c>
      <c r="M410" s="4" t="s">
        <v>8</v>
      </c>
    </row>
    <row r="411" spans="1:20" s="2" customFormat="1" ht="30" customHeight="1">
      <c r="A411" s="72" t="s">
        <v>13</v>
      </c>
      <c r="B411" s="75"/>
      <c r="C411" s="75"/>
      <c r="D411" s="121">
        <f>D353</f>
        <v>45988</v>
      </c>
      <c r="E411" s="122"/>
      <c r="F411" s="122"/>
      <c r="G411" s="123"/>
      <c r="H411" s="124" t="s">
        <v>14</v>
      </c>
      <c r="I411" s="125"/>
      <c r="J411" s="121">
        <f>J353</f>
        <v>46037</v>
      </c>
      <c r="K411" s="122"/>
      <c r="L411" s="122"/>
      <c r="M411" s="123"/>
    </row>
    <row r="412" spans="1:20" s="2" customFormat="1" ht="30" customHeight="1">
      <c r="A412" s="72" t="s">
        <v>15</v>
      </c>
      <c r="B412" s="114"/>
      <c r="C412" s="114"/>
      <c r="D412" s="72">
        <v>0.64200000000000002</v>
      </c>
      <c r="E412" s="72"/>
      <c r="F412" s="72"/>
      <c r="G412" s="72"/>
      <c r="H412" s="64" t="s">
        <v>16</v>
      </c>
      <c r="I412" s="115"/>
      <c r="J412" s="116">
        <f>P428</f>
        <v>0.63</v>
      </c>
      <c r="K412" s="117"/>
      <c r="L412" s="117"/>
      <c r="M412" s="118"/>
    </row>
    <row r="413" spans="1:20" s="2" customFormat="1" ht="30" customHeight="1">
      <c r="A413" s="72" t="s">
        <v>17</v>
      </c>
      <c r="B413" s="114"/>
      <c r="C413" s="114"/>
      <c r="D413" s="72">
        <f>D412+D355</f>
        <v>3.2829999999999995</v>
      </c>
      <c r="E413" s="72"/>
      <c r="F413" s="72"/>
      <c r="G413" s="72"/>
      <c r="H413" s="64" t="s">
        <v>18</v>
      </c>
      <c r="I413" s="115"/>
      <c r="J413" s="116">
        <f>J412+J355</f>
        <v>18.099999999999994</v>
      </c>
      <c r="K413" s="117"/>
      <c r="L413" s="117"/>
      <c r="M413" s="118"/>
    </row>
    <row r="414" spans="1:20" s="2" customFormat="1" ht="30" customHeight="1">
      <c r="A414" s="111" t="s">
        <v>19</v>
      </c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3"/>
    </row>
    <row r="415" spans="1:20" s="2" customFormat="1" ht="30" customHeight="1">
      <c r="A415" s="8" t="s">
        <v>20</v>
      </c>
      <c r="B415" s="72" t="s">
        <v>21</v>
      </c>
      <c r="C415" s="72"/>
      <c r="D415" s="72"/>
      <c r="E415" s="4" t="s">
        <v>22</v>
      </c>
      <c r="F415" s="54" t="s">
        <v>23</v>
      </c>
      <c r="G415" s="59"/>
      <c r="H415" s="72" t="s">
        <v>24</v>
      </c>
      <c r="I415" s="72"/>
      <c r="J415" s="72" t="s">
        <v>25</v>
      </c>
      <c r="K415" s="72"/>
      <c r="L415" s="72" t="s">
        <v>26</v>
      </c>
      <c r="M415" s="72"/>
      <c r="O415" s="1" t="s">
        <v>27</v>
      </c>
      <c r="P415" s="1" t="s">
        <v>28</v>
      </c>
      <c r="T415" s="2" t="s">
        <v>29</v>
      </c>
    </row>
    <row r="416" spans="1:20" s="2" customFormat="1" ht="24.95" customHeight="1">
      <c r="A416" s="9" t="s">
        <v>30</v>
      </c>
      <c r="B416" s="110" t="s">
        <v>31</v>
      </c>
      <c r="C416" s="110"/>
      <c r="D416" s="110"/>
      <c r="E416" s="4"/>
      <c r="F416" s="54"/>
      <c r="G416" s="59"/>
      <c r="H416" s="72"/>
      <c r="I416" s="72"/>
      <c r="J416" s="72"/>
      <c r="K416" s="72"/>
      <c r="L416" s="72"/>
      <c r="M416" s="72"/>
    </row>
    <row r="417" spans="1:20" ht="24.95" customHeight="1">
      <c r="A417" s="10">
        <v>1</v>
      </c>
      <c r="B417" s="66" t="s">
        <v>91</v>
      </c>
      <c r="C417" s="67" t="s">
        <v>91</v>
      </c>
      <c r="D417" s="68" t="s">
        <v>91</v>
      </c>
      <c r="E417" s="4" t="s">
        <v>32</v>
      </c>
      <c r="F417" s="69">
        <v>1</v>
      </c>
      <c r="G417" s="70"/>
      <c r="H417" s="69"/>
      <c r="I417" s="70"/>
      <c r="J417" s="71">
        <f>H417+J359</f>
        <v>1</v>
      </c>
      <c r="K417" s="71"/>
      <c r="L417" s="72"/>
      <c r="M417" s="72"/>
      <c r="O417" s="11">
        <v>4000</v>
      </c>
      <c r="P417" s="11">
        <f>ROUND(H417*O417,0)</f>
        <v>0</v>
      </c>
      <c r="Q417" s="12"/>
      <c r="S417" s="11">
        <f>ROUND(J417*O417,0)</f>
        <v>4000</v>
      </c>
      <c r="T417" s="13">
        <f>F417-J417</f>
        <v>0</v>
      </c>
    </row>
    <row r="418" spans="1:20" ht="24.95" customHeight="1">
      <c r="A418" s="10">
        <v>2</v>
      </c>
      <c r="B418" s="66" t="s">
        <v>92</v>
      </c>
      <c r="C418" s="67" t="s">
        <v>92</v>
      </c>
      <c r="D418" s="68" t="s">
        <v>92</v>
      </c>
      <c r="E418" s="4" t="s">
        <v>32</v>
      </c>
      <c r="F418" s="69">
        <v>1</v>
      </c>
      <c r="G418" s="70"/>
      <c r="H418" s="69"/>
      <c r="I418" s="70"/>
      <c r="J418" s="71">
        <f t="shared" ref="J418:J425" si="45">H418+J360</f>
        <v>1</v>
      </c>
      <c r="K418" s="71"/>
      <c r="L418" s="72"/>
      <c r="M418" s="72"/>
      <c r="O418" s="11">
        <v>14334</v>
      </c>
      <c r="P418" s="11">
        <f t="shared" ref="P418:P425" si="46">ROUND(H418*O418,0)</f>
        <v>0</v>
      </c>
      <c r="Q418" s="12"/>
      <c r="S418" s="11">
        <f t="shared" ref="S418:S425" si="47">ROUND(J418*O418,0)</f>
        <v>14334</v>
      </c>
      <c r="T418" s="13">
        <f t="shared" ref="T418:T425" si="48">F418-J418</f>
        <v>0</v>
      </c>
    </row>
    <row r="419" spans="1:20" ht="24.95" customHeight="1">
      <c r="A419" s="10">
        <v>3</v>
      </c>
      <c r="B419" s="66" t="s">
        <v>84</v>
      </c>
      <c r="C419" s="67" t="s">
        <v>84</v>
      </c>
      <c r="D419" s="68" t="s">
        <v>84</v>
      </c>
      <c r="E419" s="4" t="s">
        <v>33</v>
      </c>
      <c r="F419" s="69">
        <v>1</v>
      </c>
      <c r="G419" s="70"/>
      <c r="H419" s="69"/>
      <c r="I419" s="70"/>
      <c r="J419" s="71">
        <f t="shared" si="45"/>
        <v>0.5</v>
      </c>
      <c r="K419" s="71"/>
      <c r="L419" s="72"/>
      <c r="M419" s="72"/>
      <c r="O419" s="11">
        <v>7000</v>
      </c>
      <c r="P419" s="11">
        <f t="shared" si="46"/>
        <v>0</v>
      </c>
      <c r="Q419" s="12"/>
      <c r="S419" s="11">
        <f t="shared" si="47"/>
        <v>3500</v>
      </c>
      <c r="T419" s="13">
        <f t="shared" si="48"/>
        <v>0.5</v>
      </c>
    </row>
    <row r="420" spans="1:20" ht="24.95" customHeight="1">
      <c r="A420" s="10">
        <v>4</v>
      </c>
      <c r="B420" s="66" t="s">
        <v>85</v>
      </c>
      <c r="C420" s="67" t="s">
        <v>85</v>
      </c>
      <c r="D420" s="68" t="s">
        <v>85</v>
      </c>
      <c r="E420" s="4" t="s">
        <v>34</v>
      </c>
      <c r="F420" s="69">
        <v>1</v>
      </c>
      <c r="G420" s="70"/>
      <c r="H420" s="69"/>
      <c r="I420" s="70"/>
      <c r="J420" s="71">
        <f t="shared" si="45"/>
        <v>1</v>
      </c>
      <c r="K420" s="71"/>
      <c r="L420" s="72"/>
      <c r="M420" s="72"/>
      <c r="O420" s="11">
        <v>74000</v>
      </c>
      <c r="P420" s="11">
        <f t="shared" si="46"/>
        <v>0</v>
      </c>
      <c r="Q420" s="12"/>
      <c r="S420" s="11">
        <f t="shared" si="47"/>
        <v>74000</v>
      </c>
      <c r="T420" s="13">
        <f t="shared" si="48"/>
        <v>0</v>
      </c>
    </row>
    <row r="421" spans="1:20" ht="24.95" customHeight="1">
      <c r="A421" s="10">
        <v>5</v>
      </c>
      <c r="B421" s="66" t="s">
        <v>86</v>
      </c>
      <c r="C421" s="67" t="s">
        <v>86</v>
      </c>
      <c r="D421" s="68" t="s">
        <v>86</v>
      </c>
      <c r="E421" s="4" t="s">
        <v>93</v>
      </c>
      <c r="F421" s="69">
        <v>396</v>
      </c>
      <c r="G421" s="70"/>
      <c r="H421" s="69"/>
      <c r="I421" s="70"/>
      <c r="J421" s="71">
        <f t="shared" si="45"/>
        <v>200</v>
      </c>
      <c r="K421" s="71"/>
      <c r="L421" s="72"/>
      <c r="M421" s="72"/>
      <c r="O421" s="11">
        <v>200</v>
      </c>
      <c r="P421" s="11">
        <f t="shared" si="46"/>
        <v>0</v>
      </c>
      <c r="Q421" s="12"/>
      <c r="S421" s="11">
        <f t="shared" si="47"/>
        <v>40000</v>
      </c>
      <c r="T421" s="13">
        <f t="shared" si="48"/>
        <v>196</v>
      </c>
    </row>
    <row r="422" spans="1:20" ht="24.95" customHeight="1">
      <c r="A422" s="10">
        <v>6</v>
      </c>
      <c r="B422" s="66" t="s">
        <v>119</v>
      </c>
      <c r="C422" s="67" t="s">
        <v>87</v>
      </c>
      <c r="D422" s="68" t="s">
        <v>87</v>
      </c>
      <c r="E422" s="4" t="s">
        <v>35</v>
      </c>
      <c r="F422" s="69">
        <v>80</v>
      </c>
      <c r="G422" s="70">
        <v>183.6</v>
      </c>
      <c r="H422" s="69">
        <v>5</v>
      </c>
      <c r="I422" s="70"/>
      <c r="J422" s="71">
        <f t="shared" si="45"/>
        <v>50</v>
      </c>
      <c r="K422" s="71"/>
      <c r="L422" s="54"/>
      <c r="M422" s="59"/>
      <c r="O422" s="11">
        <v>1463</v>
      </c>
      <c r="P422" s="11">
        <f t="shared" si="46"/>
        <v>7315</v>
      </c>
      <c r="S422" s="11">
        <f t="shared" si="47"/>
        <v>73150</v>
      </c>
      <c r="T422" s="13">
        <f t="shared" si="48"/>
        <v>30</v>
      </c>
    </row>
    <row r="423" spans="1:20" ht="24.95" customHeight="1">
      <c r="A423" s="10">
        <v>7</v>
      </c>
      <c r="B423" s="66" t="s">
        <v>88</v>
      </c>
      <c r="C423" s="67" t="s">
        <v>88</v>
      </c>
      <c r="D423" s="68" t="s">
        <v>88</v>
      </c>
      <c r="E423" s="4" t="s">
        <v>94</v>
      </c>
      <c r="F423" s="69">
        <v>126</v>
      </c>
      <c r="G423" s="70">
        <v>19</v>
      </c>
      <c r="H423" s="69"/>
      <c r="I423" s="70"/>
      <c r="J423" s="71">
        <f t="shared" si="45"/>
        <v>0</v>
      </c>
      <c r="K423" s="71"/>
      <c r="L423" s="54"/>
      <c r="M423" s="59"/>
      <c r="O423" s="11">
        <v>6350</v>
      </c>
      <c r="P423" s="11">
        <f t="shared" si="46"/>
        <v>0</v>
      </c>
      <c r="S423" s="11">
        <f t="shared" si="47"/>
        <v>0</v>
      </c>
      <c r="T423" s="13">
        <f t="shared" si="48"/>
        <v>126</v>
      </c>
    </row>
    <row r="424" spans="1:20" ht="24.95" customHeight="1">
      <c r="A424" s="10">
        <v>8</v>
      </c>
      <c r="B424" s="66" t="s">
        <v>89</v>
      </c>
      <c r="C424" s="67" t="s">
        <v>89</v>
      </c>
      <c r="D424" s="68" t="s">
        <v>89</v>
      </c>
      <c r="E424" s="4" t="s">
        <v>95</v>
      </c>
      <c r="F424" s="69">
        <v>1</v>
      </c>
      <c r="G424" s="70">
        <v>1192</v>
      </c>
      <c r="H424" s="69"/>
      <c r="I424" s="70"/>
      <c r="J424" s="71">
        <f t="shared" si="45"/>
        <v>0</v>
      </c>
      <c r="K424" s="71"/>
      <c r="L424" s="54"/>
      <c r="M424" s="59"/>
      <c r="O424" s="11">
        <v>47600</v>
      </c>
      <c r="P424" s="11">
        <f t="shared" si="46"/>
        <v>0</v>
      </c>
      <c r="S424" s="11">
        <f t="shared" si="47"/>
        <v>0</v>
      </c>
      <c r="T424" s="13">
        <f t="shared" si="48"/>
        <v>1</v>
      </c>
    </row>
    <row r="425" spans="1:20" ht="24.95" customHeight="1">
      <c r="A425" s="10">
        <v>9</v>
      </c>
      <c r="B425" s="66" t="s">
        <v>90</v>
      </c>
      <c r="C425" s="67" t="s">
        <v>90</v>
      </c>
      <c r="D425" s="68" t="s">
        <v>90</v>
      </c>
      <c r="E425" s="4" t="s">
        <v>96</v>
      </c>
      <c r="F425" s="69">
        <v>1</v>
      </c>
      <c r="G425" s="70">
        <v>1261</v>
      </c>
      <c r="H425" s="69"/>
      <c r="I425" s="70"/>
      <c r="J425" s="71">
        <f t="shared" si="45"/>
        <v>0</v>
      </c>
      <c r="K425" s="71"/>
      <c r="L425" s="54"/>
      <c r="M425" s="59"/>
      <c r="O425" s="11">
        <v>10000</v>
      </c>
      <c r="P425" s="11">
        <f t="shared" si="46"/>
        <v>0</v>
      </c>
      <c r="S425" s="11">
        <f t="shared" si="47"/>
        <v>0</v>
      </c>
      <c r="T425" s="13">
        <f t="shared" si="48"/>
        <v>1</v>
      </c>
    </row>
    <row r="426" spans="1:20" ht="24.95" customHeight="1">
      <c r="A426" s="14"/>
      <c r="B426" s="15"/>
      <c r="C426" s="16"/>
      <c r="D426" s="17"/>
      <c r="E426" s="4"/>
      <c r="F426" s="18"/>
      <c r="G426" s="19"/>
      <c r="H426" s="105"/>
      <c r="I426" s="106"/>
      <c r="J426" s="105"/>
      <c r="K426" s="106"/>
      <c r="L426" s="54"/>
      <c r="M426" s="59"/>
      <c r="N426" s="20"/>
      <c r="P426" s="21" t="s">
        <v>37</v>
      </c>
      <c r="Q426" s="22">
        <f>SUM(P417:P425)</f>
        <v>7315</v>
      </c>
      <c r="R426" s="23"/>
      <c r="S426" s="24">
        <f>SUM(S417:S425)</f>
        <v>208984</v>
      </c>
      <c r="T426" s="13"/>
    </row>
    <row r="427" spans="1:20" ht="24.95" customHeight="1">
      <c r="A427" s="107"/>
      <c r="B427" s="108"/>
      <c r="C427" s="108"/>
      <c r="D427" s="109"/>
      <c r="E427" s="4"/>
      <c r="F427" s="54"/>
      <c r="G427" s="59"/>
      <c r="H427" s="72"/>
      <c r="I427" s="72"/>
      <c r="J427" s="72"/>
      <c r="K427" s="72"/>
      <c r="L427" s="72"/>
      <c r="M427" s="72"/>
      <c r="O427" t="s">
        <v>38</v>
      </c>
      <c r="P427" s="24">
        <f>Q426</f>
        <v>7315</v>
      </c>
      <c r="T427" s="13"/>
    </row>
    <row r="428" spans="1:20" ht="24.95" customHeight="1">
      <c r="A428" s="97"/>
      <c r="B428" s="98"/>
      <c r="C428" s="98"/>
      <c r="D428" s="99"/>
      <c r="E428" s="4"/>
      <c r="F428" s="54"/>
      <c r="G428" s="59"/>
      <c r="H428" s="72"/>
      <c r="I428" s="72"/>
      <c r="J428" s="72"/>
      <c r="K428" s="72"/>
      <c r="L428" s="72"/>
      <c r="M428" s="72"/>
      <c r="O428" t="s">
        <v>39</v>
      </c>
      <c r="P428" s="23">
        <f>ROUND(P427/1153274,4)*100</f>
        <v>0.63</v>
      </c>
      <c r="T428" s="13"/>
    </row>
    <row r="429" spans="1:20" ht="24.95" customHeight="1">
      <c r="A429" s="25"/>
      <c r="B429" s="63" t="s">
        <v>40</v>
      </c>
      <c r="C429" s="63"/>
      <c r="D429" s="59"/>
      <c r="E429" s="26"/>
      <c r="F429" s="100"/>
      <c r="G429" s="101"/>
      <c r="H429" s="100"/>
      <c r="I429" s="101"/>
      <c r="J429" s="102"/>
      <c r="K429" s="102"/>
      <c r="L429" s="103">
        <f>P427</f>
        <v>7315</v>
      </c>
      <c r="M429" s="104"/>
      <c r="T429" s="13"/>
    </row>
    <row r="430" spans="1:20" ht="24.95" customHeight="1" thickBot="1">
      <c r="A430" s="27"/>
      <c r="B430" s="85" t="s">
        <v>41</v>
      </c>
      <c r="C430" s="85"/>
      <c r="D430" s="86"/>
      <c r="E430" s="28"/>
      <c r="F430" s="87"/>
      <c r="G430" s="88"/>
      <c r="H430" s="87"/>
      <c r="I430" s="88"/>
      <c r="J430" s="87"/>
      <c r="K430" s="88"/>
      <c r="L430" s="89">
        <f>L429+L372</f>
        <v>208984</v>
      </c>
      <c r="M430" s="90"/>
      <c r="T430" s="13"/>
    </row>
    <row r="431" spans="1:20" ht="24.95" customHeight="1">
      <c r="A431" s="29"/>
      <c r="B431" s="91" t="s">
        <v>42</v>
      </c>
      <c r="C431" s="91"/>
      <c r="D431" s="92"/>
      <c r="E431" s="30"/>
      <c r="F431" s="93"/>
      <c r="G431" s="94"/>
      <c r="H431" s="95"/>
      <c r="I431" s="95"/>
      <c r="J431" s="95"/>
      <c r="K431" s="95"/>
      <c r="L431" s="95"/>
      <c r="M431" s="96"/>
      <c r="T431" s="13"/>
    </row>
    <row r="432" spans="1:20" ht="24.95" customHeight="1">
      <c r="A432" s="31"/>
      <c r="B432" s="76" t="s">
        <v>43</v>
      </c>
      <c r="C432" s="76"/>
      <c r="D432" s="77"/>
      <c r="E432" s="4"/>
      <c r="F432" s="54"/>
      <c r="G432" s="59"/>
      <c r="H432" s="72"/>
      <c r="I432" s="72"/>
      <c r="J432" s="72"/>
      <c r="K432" s="72"/>
      <c r="L432" s="72"/>
      <c r="M432" s="78"/>
      <c r="T432" s="13"/>
    </row>
    <row r="433" spans="1:20" ht="24.95" customHeight="1" thickBot="1">
      <c r="A433" s="32"/>
      <c r="B433" s="79" t="s">
        <v>44</v>
      </c>
      <c r="C433" s="79"/>
      <c r="D433" s="80"/>
      <c r="E433" s="33"/>
      <c r="F433" s="81"/>
      <c r="G433" s="82"/>
      <c r="H433" s="83"/>
      <c r="I433" s="83"/>
      <c r="J433" s="83"/>
      <c r="K433" s="83"/>
      <c r="L433" s="83"/>
      <c r="M433" s="84"/>
      <c r="T433" s="13"/>
    </row>
    <row r="434" spans="1:20" ht="24.95" customHeight="1">
      <c r="A434" s="73" t="s">
        <v>45</v>
      </c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T434" s="13"/>
    </row>
    <row r="435" spans="1:20" ht="24.95" customHeight="1">
      <c r="A435" s="72" t="s">
        <v>46</v>
      </c>
      <c r="B435" s="75"/>
      <c r="C435" s="75"/>
      <c r="D435" s="75"/>
      <c r="E435" s="4" t="s">
        <v>22</v>
      </c>
      <c r="F435" s="72" t="s">
        <v>47</v>
      </c>
      <c r="G435" s="72"/>
      <c r="H435" s="72" t="s">
        <v>48</v>
      </c>
      <c r="I435" s="72"/>
      <c r="J435" s="72" t="s">
        <v>49</v>
      </c>
      <c r="K435" s="72"/>
      <c r="L435" s="72" t="s">
        <v>50</v>
      </c>
      <c r="M435" s="72"/>
      <c r="T435" s="13"/>
    </row>
    <row r="436" spans="1:20" ht="24.95" customHeight="1">
      <c r="A436" s="10">
        <v>6</v>
      </c>
      <c r="B436" s="66" t="s">
        <v>97</v>
      </c>
      <c r="C436" s="67" t="s">
        <v>51</v>
      </c>
      <c r="D436" s="68" t="s">
        <v>51</v>
      </c>
      <c r="E436" s="4" t="s">
        <v>35</v>
      </c>
      <c r="F436" s="69">
        <v>80</v>
      </c>
      <c r="G436" s="70">
        <v>1261</v>
      </c>
      <c r="H436" s="71">
        <f>H422</f>
        <v>5</v>
      </c>
      <c r="I436" s="71"/>
      <c r="J436" s="71">
        <f>H436+J378</f>
        <v>50</v>
      </c>
      <c r="K436" s="71"/>
      <c r="L436" s="72"/>
      <c r="M436" s="72"/>
      <c r="T436" s="13"/>
    </row>
    <row r="437" spans="1:20" ht="24.95" customHeight="1">
      <c r="A437" s="10">
        <v>7</v>
      </c>
      <c r="B437" s="66" t="s">
        <v>88</v>
      </c>
      <c r="C437" s="67" t="s">
        <v>88</v>
      </c>
      <c r="D437" s="68" t="s">
        <v>88</v>
      </c>
      <c r="E437" s="4" t="s">
        <v>98</v>
      </c>
      <c r="F437" s="69">
        <v>126</v>
      </c>
      <c r="G437" s="70"/>
      <c r="H437" s="71">
        <f>H423</f>
        <v>0</v>
      </c>
      <c r="I437" s="71"/>
      <c r="J437" s="71">
        <f t="shared" ref="J437:J438" si="49">H437+J379</f>
        <v>0</v>
      </c>
      <c r="K437" s="71"/>
      <c r="L437" s="72"/>
      <c r="M437" s="72"/>
      <c r="T437" s="13"/>
    </row>
    <row r="438" spans="1:20" ht="24.95" customHeight="1">
      <c r="A438" s="10">
        <v>8</v>
      </c>
      <c r="B438" s="66" t="s">
        <v>89</v>
      </c>
      <c r="C438" s="67" t="s">
        <v>89</v>
      </c>
      <c r="D438" s="68" t="s">
        <v>89</v>
      </c>
      <c r="E438" s="4" t="s">
        <v>36</v>
      </c>
      <c r="F438" s="69">
        <v>1</v>
      </c>
      <c r="G438" s="70"/>
      <c r="H438" s="71">
        <f>H424</f>
        <v>0</v>
      </c>
      <c r="I438" s="71"/>
      <c r="J438" s="71">
        <f t="shared" si="49"/>
        <v>0</v>
      </c>
      <c r="K438" s="71"/>
      <c r="L438" s="72"/>
      <c r="M438" s="72"/>
      <c r="T438" s="13"/>
    </row>
    <row r="439" spans="1:20" ht="24.95" customHeight="1">
      <c r="A439" s="51" t="s">
        <v>52</v>
      </c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3"/>
      <c r="T439" s="13"/>
    </row>
    <row r="440" spans="1:20" ht="24.95" customHeight="1">
      <c r="A440" s="54" t="s">
        <v>53</v>
      </c>
      <c r="B440" s="63"/>
      <c r="C440" s="63"/>
      <c r="D440" s="59"/>
      <c r="E440" s="4" t="s">
        <v>54</v>
      </c>
      <c r="F440" s="54" t="s">
        <v>55</v>
      </c>
      <c r="G440" s="59"/>
      <c r="H440" s="54" t="s">
        <v>56</v>
      </c>
      <c r="I440" s="59"/>
      <c r="J440" s="54" t="s">
        <v>48</v>
      </c>
      <c r="K440" s="59"/>
      <c r="L440" s="64" t="s">
        <v>49</v>
      </c>
      <c r="M440" s="65"/>
      <c r="T440" s="13"/>
    </row>
    <row r="441" spans="1:20" ht="24.95" customHeight="1">
      <c r="A441" s="54" t="s">
        <v>57</v>
      </c>
      <c r="B441" s="55"/>
      <c r="C441" s="55"/>
      <c r="D441" s="56"/>
      <c r="E441" s="4">
        <v>2</v>
      </c>
      <c r="F441" s="57">
        <f>E441+F383</f>
        <v>18</v>
      </c>
      <c r="G441" s="58"/>
      <c r="H441" s="54" t="s">
        <v>58</v>
      </c>
      <c r="I441" s="59"/>
      <c r="J441" s="54">
        <v>1</v>
      </c>
      <c r="K441" s="59"/>
      <c r="L441" s="57">
        <f>J441+L383</f>
        <v>9</v>
      </c>
      <c r="M441" s="58"/>
      <c r="T441" s="13"/>
    </row>
    <row r="442" spans="1:20" ht="24.95" customHeight="1">
      <c r="A442" s="54" t="s">
        <v>59</v>
      </c>
      <c r="B442" s="55"/>
      <c r="C442" s="55"/>
      <c r="D442" s="56"/>
      <c r="E442" s="4"/>
      <c r="F442" s="57">
        <f t="shared" ref="F442:F444" si="50">E442+F384</f>
        <v>0</v>
      </c>
      <c r="G442" s="58"/>
      <c r="H442" s="54" t="s">
        <v>60</v>
      </c>
      <c r="I442" s="59"/>
      <c r="J442" s="54"/>
      <c r="K442" s="59"/>
      <c r="L442" s="57">
        <f t="shared" ref="L442:L444" si="51">J442+L384</f>
        <v>0</v>
      </c>
      <c r="M442" s="58"/>
      <c r="T442" s="13"/>
    </row>
    <row r="443" spans="1:20" ht="24.95" customHeight="1">
      <c r="A443" s="54" t="s">
        <v>61</v>
      </c>
      <c r="B443" s="55"/>
      <c r="C443" s="55"/>
      <c r="D443" s="56"/>
      <c r="E443" s="4"/>
      <c r="F443" s="57">
        <f t="shared" si="50"/>
        <v>0</v>
      </c>
      <c r="G443" s="58"/>
      <c r="H443" s="54" t="s">
        <v>62</v>
      </c>
      <c r="I443" s="59"/>
      <c r="J443" s="54"/>
      <c r="K443" s="59"/>
      <c r="L443" s="57">
        <f t="shared" si="51"/>
        <v>2</v>
      </c>
      <c r="M443" s="58"/>
      <c r="T443" s="13"/>
    </row>
    <row r="444" spans="1:20" ht="24.95" customHeight="1">
      <c r="A444" s="54" t="s">
        <v>63</v>
      </c>
      <c r="B444" s="55"/>
      <c r="C444" s="55"/>
      <c r="D444" s="56"/>
      <c r="E444" s="4"/>
      <c r="F444" s="57">
        <f t="shared" si="50"/>
        <v>0</v>
      </c>
      <c r="G444" s="58"/>
      <c r="H444" s="54" t="s">
        <v>64</v>
      </c>
      <c r="I444" s="59"/>
      <c r="J444" s="54"/>
      <c r="K444" s="59"/>
      <c r="L444" s="57">
        <f t="shared" si="51"/>
        <v>0</v>
      </c>
      <c r="M444" s="58"/>
      <c r="T444" s="13"/>
    </row>
    <row r="445" spans="1:20" ht="64.5" customHeight="1">
      <c r="A445" s="60" t="s">
        <v>65</v>
      </c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2"/>
      <c r="T445" s="13"/>
    </row>
    <row r="446" spans="1:20" ht="24.95" customHeight="1">
      <c r="A446" s="46" t="s">
        <v>66</v>
      </c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8"/>
      <c r="T446" s="13"/>
    </row>
    <row r="447" spans="1:20" ht="24.95" customHeight="1">
      <c r="A447" s="27"/>
      <c r="B447" s="34" t="s">
        <v>67</v>
      </c>
      <c r="C447" s="34"/>
      <c r="D447" s="34"/>
      <c r="E447" s="34"/>
      <c r="F447" s="34"/>
      <c r="G447" s="35"/>
      <c r="H447" s="34"/>
      <c r="I447" s="34"/>
      <c r="J447" s="34"/>
      <c r="K447" s="34"/>
      <c r="L447" s="34"/>
      <c r="M447" s="36"/>
      <c r="T447" s="13"/>
    </row>
    <row r="448" spans="1:20" ht="24.95" customHeight="1">
      <c r="A448" s="27"/>
      <c r="B448" s="34" t="s">
        <v>133</v>
      </c>
      <c r="C448" s="34"/>
      <c r="D448" s="34"/>
      <c r="E448" s="34"/>
      <c r="F448" s="34"/>
      <c r="G448" s="35"/>
      <c r="H448" s="34"/>
      <c r="I448" s="34"/>
      <c r="J448" s="34"/>
      <c r="K448" s="34"/>
      <c r="L448" s="34"/>
      <c r="M448" s="36"/>
      <c r="T448" s="13"/>
    </row>
    <row r="449" spans="1:20" ht="24.95" customHeight="1">
      <c r="A449" s="27"/>
      <c r="B449" s="34" t="s">
        <v>68</v>
      </c>
      <c r="C449" s="34"/>
      <c r="D449" s="34"/>
      <c r="E449" s="34"/>
      <c r="F449" s="34"/>
      <c r="G449" s="35"/>
      <c r="H449" s="34"/>
      <c r="I449" s="34"/>
      <c r="J449" s="34"/>
      <c r="K449" s="34"/>
      <c r="L449" s="34"/>
      <c r="M449" s="36"/>
      <c r="T449" s="13"/>
    </row>
    <row r="450" spans="1:20" ht="24.95" customHeight="1">
      <c r="A450" s="27"/>
      <c r="B450" s="34" t="s">
        <v>134</v>
      </c>
      <c r="C450" s="34"/>
      <c r="D450" s="34"/>
      <c r="E450" s="34"/>
      <c r="F450" s="34"/>
      <c r="G450" s="35"/>
      <c r="H450" s="34"/>
      <c r="I450" s="34"/>
      <c r="J450" s="34"/>
      <c r="K450" s="34"/>
      <c r="L450" s="34"/>
      <c r="M450" s="36"/>
      <c r="T450" s="13"/>
    </row>
    <row r="451" spans="1:20" ht="24.95" customHeight="1">
      <c r="A451" s="27"/>
      <c r="B451" s="34" t="s">
        <v>135</v>
      </c>
      <c r="C451" s="34"/>
      <c r="D451" s="34"/>
      <c r="E451" s="34"/>
      <c r="F451" s="34"/>
      <c r="G451" s="35"/>
      <c r="H451" s="34"/>
      <c r="I451" s="34"/>
      <c r="J451" s="34"/>
      <c r="K451" s="34"/>
      <c r="L451" s="34"/>
      <c r="M451" s="36"/>
      <c r="T451" s="13"/>
    </row>
    <row r="452" spans="1:20" ht="24.95" customHeight="1">
      <c r="A452" s="37"/>
      <c r="B452" s="49" t="s">
        <v>69</v>
      </c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50"/>
      <c r="T452" s="13"/>
    </row>
    <row r="453" spans="1:20" ht="44.25" customHeight="1">
      <c r="A453" s="51" t="s">
        <v>70</v>
      </c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3"/>
      <c r="T453" s="13"/>
    </row>
    <row r="454" spans="1:20" ht="48" customHeight="1">
      <c r="A454" s="51" t="s">
        <v>71</v>
      </c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3"/>
      <c r="T454" s="13"/>
    </row>
    <row r="455" spans="1:20" ht="81" customHeight="1">
      <c r="A455" s="51" t="s">
        <v>128</v>
      </c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3"/>
      <c r="T455" s="13"/>
    </row>
    <row r="456" spans="1:20" ht="100.5" customHeight="1">
      <c r="A456" s="51" t="s">
        <v>72</v>
      </c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3"/>
      <c r="T456" s="13"/>
    </row>
    <row r="457" spans="1:20" ht="12" customHeight="1">
      <c r="A457" s="41" t="s">
        <v>73</v>
      </c>
      <c r="B457" s="41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38"/>
      <c r="T457" s="13"/>
    </row>
    <row r="458" spans="1:20" ht="12" customHeight="1">
      <c r="A458" s="43" t="s">
        <v>74</v>
      </c>
      <c r="B458" s="43"/>
      <c r="C458" s="40"/>
      <c r="D458" s="40"/>
      <c r="E458" s="40"/>
      <c r="F458" s="40"/>
      <c r="G458" s="40"/>
      <c r="H458" s="40"/>
      <c r="I458" s="40"/>
      <c r="J458" s="40"/>
      <c r="K458" s="40"/>
      <c r="L458" s="38"/>
      <c r="M458" s="38"/>
      <c r="T458" s="13"/>
    </row>
    <row r="459" spans="1:20" ht="12" customHeight="1">
      <c r="A459" s="44" t="s">
        <v>75</v>
      </c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T459" s="13"/>
    </row>
    <row r="460" spans="1:20" ht="12" customHeight="1">
      <c r="A460" s="39" t="s">
        <v>76</v>
      </c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T460" s="13"/>
    </row>
    <row r="461" spans="1:20" ht="12" customHeight="1">
      <c r="A461" s="39" t="s">
        <v>77</v>
      </c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T461" s="13"/>
    </row>
    <row r="462" spans="1:20" ht="12" customHeight="1">
      <c r="A462" s="45" t="s">
        <v>78</v>
      </c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T462" s="13"/>
    </row>
    <row r="463" spans="1:20" ht="12" customHeight="1">
      <c r="A463" s="39" t="s">
        <v>79</v>
      </c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T463" s="13"/>
    </row>
    <row r="464" spans="1:20" ht="409.5" customHeight="1"/>
    <row r="465" spans="1:20" s="2" customFormat="1" ht="35.1" customHeight="1">
      <c r="A465" s="126" t="s">
        <v>0</v>
      </c>
      <c r="B465" s="126"/>
      <c r="C465" s="1">
        <f>C407+1</f>
        <v>13</v>
      </c>
      <c r="G465" s="3"/>
    </row>
    <row r="466" spans="1:20" s="2" customFormat="1" ht="35.1" customHeight="1">
      <c r="A466" s="126" t="s">
        <v>1</v>
      </c>
      <c r="B466" s="126"/>
      <c r="C466" s="2" t="s">
        <v>2</v>
      </c>
      <c r="D466" s="2" t="s">
        <v>104</v>
      </c>
      <c r="E466" s="2" t="s">
        <v>3</v>
      </c>
      <c r="F466" s="2" t="s">
        <v>105</v>
      </c>
      <c r="G466" s="3"/>
      <c r="H466" s="127" t="s">
        <v>4</v>
      </c>
      <c r="I466" s="128"/>
      <c r="J466" s="129">
        <f>J408+1</f>
        <v>46000</v>
      </c>
      <c r="K466" s="130"/>
      <c r="L466" s="131">
        <f>J466</f>
        <v>46000</v>
      </c>
      <c r="M466" s="132"/>
    </row>
    <row r="467" spans="1:20" s="2" customFormat="1" ht="30" customHeight="1">
      <c r="A467" s="72" t="s">
        <v>5</v>
      </c>
      <c r="B467" s="114"/>
      <c r="C467" s="119" t="s">
        <v>83</v>
      </c>
      <c r="D467" s="119"/>
      <c r="E467" s="119"/>
      <c r="F467" s="119"/>
      <c r="G467" s="119"/>
      <c r="H467" s="54" t="s">
        <v>6</v>
      </c>
      <c r="I467" s="59"/>
      <c r="J467" s="120"/>
      <c r="K467" s="120"/>
      <c r="L467" s="120"/>
      <c r="M467" s="120"/>
    </row>
    <row r="468" spans="1:20" s="1" customFormat="1" ht="30" customHeight="1">
      <c r="A468" s="72" t="s">
        <v>7</v>
      </c>
      <c r="B468" s="114"/>
      <c r="C468" s="4">
        <v>50</v>
      </c>
      <c r="D468" s="4" t="s">
        <v>8</v>
      </c>
      <c r="E468" s="4" t="s">
        <v>9</v>
      </c>
      <c r="F468" s="4">
        <f>F410+1</f>
        <v>13</v>
      </c>
      <c r="G468" s="5" t="s">
        <v>8</v>
      </c>
      <c r="H468" s="4" t="s">
        <v>10</v>
      </c>
      <c r="I468" s="4">
        <f>C468-F468+L468</f>
        <v>37</v>
      </c>
      <c r="J468" s="4" t="s">
        <v>11</v>
      </c>
      <c r="K468" s="6" t="s">
        <v>12</v>
      </c>
      <c r="L468" s="7">
        <f>L410</f>
        <v>0</v>
      </c>
      <c r="M468" s="4" t="s">
        <v>8</v>
      </c>
    </row>
    <row r="469" spans="1:20" s="2" customFormat="1" ht="30" customHeight="1">
      <c r="A469" s="72" t="s">
        <v>13</v>
      </c>
      <c r="B469" s="75"/>
      <c r="C469" s="75"/>
      <c r="D469" s="121">
        <f>D411</f>
        <v>45988</v>
      </c>
      <c r="E469" s="122"/>
      <c r="F469" s="122"/>
      <c r="G469" s="123"/>
      <c r="H469" s="124" t="s">
        <v>14</v>
      </c>
      <c r="I469" s="125"/>
      <c r="J469" s="121">
        <f>J411</f>
        <v>46037</v>
      </c>
      <c r="K469" s="122"/>
      <c r="L469" s="122"/>
      <c r="M469" s="123"/>
    </row>
    <row r="470" spans="1:20" s="2" customFormat="1" ht="30" customHeight="1">
      <c r="A470" s="72" t="s">
        <v>15</v>
      </c>
      <c r="B470" s="114"/>
      <c r="C470" s="114"/>
      <c r="D470" s="72">
        <v>0.64200000000000002</v>
      </c>
      <c r="E470" s="72"/>
      <c r="F470" s="72"/>
      <c r="G470" s="72"/>
      <c r="H470" s="64" t="s">
        <v>16</v>
      </c>
      <c r="I470" s="115"/>
      <c r="J470" s="116">
        <f>P486</f>
        <v>0.63</v>
      </c>
      <c r="K470" s="117"/>
      <c r="L470" s="117"/>
      <c r="M470" s="118"/>
    </row>
    <row r="471" spans="1:20" s="2" customFormat="1" ht="30" customHeight="1">
      <c r="A471" s="72" t="s">
        <v>17</v>
      </c>
      <c r="B471" s="114"/>
      <c r="C471" s="114"/>
      <c r="D471" s="72">
        <f>D470+D413</f>
        <v>3.9249999999999994</v>
      </c>
      <c r="E471" s="72"/>
      <c r="F471" s="72"/>
      <c r="G471" s="72"/>
      <c r="H471" s="64" t="s">
        <v>18</v>
      </c>
      <c r="I471" s="115"/>
      <c r="J471" s="116">
        <f>J470+J413</f>
        <v>18.729999999999993</v>
      </c>
      <c r="K471" s="117"/>
      <c r="L471" s="117"/>
      <c r="M471" s="118"/>
    </row>
    <row r="472" spans="1:20" s="2" customFormat="1" ht="30" customHeight="1">
      <c r="A472" s="111" t="s">
        <v>19</v>
      </c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12"/>
      <c r="M472" s="113"/>
    </row>
    <row r="473" spans="1:20" s="2" customFormat="1" ht="30" customHeight="1">
      <c r="A473" s="8" t="s">
        <v>20</v>
      </c>
      <c r="B473" s="72" t="s">
        <v>21</v>
      </c>
      <c r="C473" s="72"/>
      <c r="D473" s="72"/>
      <c r="E473" s="4" t="s">
        <v>22</v>
      </c>
      <c r="F473" s="54" t="s">
        <v>23</v>
      </c>
      <c r="G473" s="59"/>
      <c r="H473" s="72" t="s">
        <v>24</v>
      </c>
      <c r="I473" s="72"/>
      <c r="J473" s="72" t="s">
        <v>25</v>
      </c>
      <c r="K473" s="72"/>
      <c r="L473" s="72" t="s">
        <v>26</v>
      </c>
      <c r="M473" s="72"/>
      <c r="O473" s="1" t="s">
        <v>27</v>
      </c>
      <c r="P473" s="1" t="s">
        <v>28</v>
      </c>
      <c r="T473" s="2" t="s">
        <v>29</v>
      </c>
    </row>
    <row r="474" spans="1:20" s="2" customFormat="1" ht="24.95" customHeight="1">
      <c r="A474" s="9" t="s">
        <v>30</v>
      </c>
      <c r="B474" s="110" t="s">
        <v>31</v>
      </c>
      <c r="C474" s="110"/>
      <c r="D474" s="110"/>
      <c r="E474" s="4"/>
      <c r="F474" s="54"/>
      <c r="G474" s="59"/>
      <c r="H474" s="72"/>
      <c r="I474" s="72"/>
      <c r="J474" s="72"/>
      <c r="K474" s="72"/>
      <c r="L474" s="72"/>
      <c r="M474" s="72"/>
    </row>
    <row r="475" spans="1:20" ht="24.95" customHeight="1">
      <c r="A475" s="10">
        <v>1</v>
      </c>
      <c r="B475" s="66" t="s">
        <v>91</v>
      </c>
      <c r="C475" s="67" t="s">
        <v>91</v>
      </c>
      <c r="D475" s="68" t="s">
        <v>91</v>
      </c>
      <c r="E475" s="4" t="s">
        <v>32</v>
      </c>
      <c r="F475" s="69">
        <v>1</v>
      </c>
      <c r="G475" s="70"/>
      <c r="H475" s="69"/>
      <c r="I475" s="70"/>
      <c r="J475" s="71">
        <f>H475+J417</f>
        <v>1</v>
      </c>
      <c r="K475" s="71"/>
      <c r="L475" s="72"/>
      <c r="M475" s="72"/>
      <c r="O475" s="11">
        <v>4000</v>
      </c>
      <c r="P475" s="11">
        <f>ROUND(H475*O475,0)</f>
        <v>0</v>
      </c>
      <c r="Q475" s="12"/>
      <c r="S475" s="11">
        <f>ROUND(J475*O475,0)</f>
        <v>4000</v>
      </c>
      <c r="T475" s="13">
        <f>F475-J475</f>
        <v>0</v>
      </c>
    </row>
    <row r="476" spans="1:20" ht="24.95" customHeight="1">
      <c r="A476" s="10">
        <v>2</v>
      </c>
      <c r="B476" s="66" t="s">
        <v>92</v>
      </c>
      <c r="C476" s="67" t="s">
        <v>92</v>
      </c>
      <c r="D476" s="68" t="s">
        <v>92</v>
      </c>
      <c r="E476" s="4" t="s">
        <v>32</v>
      </c>
      <c r="F476" s="69">
        <v>1</v>
      </c>
      <c r="G476" s="70"/>
      <c r="H476" s="69"/>
      <c r="I476" s="70"/>
      <c r="J476" s="71">
        <f t="shared" ref="J476:J483" si="52">H476+J418</f>
        <v>1</v>
      </c>
      <c r="K476" s="71"/>
      <c r="L476" s="72"/>
      <c r="M476" s="72"/>
      <c r="O476" s="11">
        <v>14334</v>
      </c>
      <c r="P476" s="11">
        <f t="shared" ref="P476:P483" si="53">ROUND(H476*O476,0)</f>
        <v>0</v>
      </c>
      <c r="Q476" s="12"/>
      <c r="S476" s="11">
        <f t="shared" ref="S476:S483" si="54">ROUND(J476*O476,0)</f>
        <v>14334</v>
      </c>
      <c r="T476" s="13">
        <f t="shared" ref="T476:T483" si="55">F476-J476</f>
        <v>0</v>
      </c>
    </row>
    <row r="477" spans="1:20" ht="24.95" customHeight="1">
      <c r="A477" s="10">
        <v>3</v>
      </c>
      <c r="B477" s="66" t="s">
        <v>84</v>
      </c>
      <c r="C477" s="67" t="s">
        <v>84</v>
      </c>
      <c r="D477" s="68" t="s">
        <v>84</v>
      </c>
      <c r="E477" s="4" t="s">
        <v>33</v>
      </c>
      <c r="F477" s="69">
        <v>1</v>
      </c>
      <c r="G477" s="70"/>
      <c r="H477" s="69"/>
      <c r="I477" s="70"/>
      <c r="J477" s="71">
        <f t="shared" si="52"/>
        <v>0.5</v>
      </c>
      <c r="K477" s="71"/>
      <c r="L477" s="72"/>
      <c r="M477" s="72"/>
      <c r="O477" s="11">
        <v>7000</v>
      </c>
      <c r="P477" s="11">
        <f t="shared" si="53"/>
        <v>0</v>
      </c>
      <c r="Q477" s="12"/>
      <c r="S477" s="11">
        <f t="shared" si="54"/>
        <v>3500</v>
      </c>
      <c r="T477" s="13">
        <f t="shared" si="55"/>
        <v>0.5</v>
      </c>
    </row>
    <row r="478" spans="1:20" ht="24.95" customHeight="1">
      <c r="A478" s="10">
        <v>4</v>
      </c>
      <c r="B478" s="66" t="s">
        <v>107</v>
      </c>
      <c r="C478" s="67" t="s">
        <v>85</v>
      </c>
      <c r="D478" s="68" t="s">
        <v>85</v>
      </c>
      <c r="E478" s="4" t="s">
        <v>34</v>
      </c>
      <c r="F478" s="69">
        <v>1</v>
      </c>
      <c r="G478" s="70"/>
      <c r="H478" s="69"/>
      <c r="I478" s="70"/>
      <c r="J478" s="71">
        <f t="shared" si="52"/>
        <v>1</v>
      </c>
      <c r="K478" s="71"/>
      <c r="L478" s="72"/>
      <c r="M478" s="72"/>
      <c r="O478" s="11">
        <v>74000</v>
      </c>
      <c r="P478" s="11">
        <f t="shared" si="53"/>
        <v>0</v>
      </c>
      <c r="Q478" s="12"/>
      <c r="S478" s="11">
        <f t="shared" si="54"/>
        <v>74000</v>
      </c>
      <c r="T478" s="13">
        <f t="shared" si="55"/>
        <v>0</v>
      </c>
    </row>
    <row r="479" spans="1:20" ht="24.95" customHeight="1">
      <c r="A479" s="10">
        <v>5</v>
      </c>
      <c r="B479" s="66" t="s">
        <v>106</v>
      </c>
      <c r="C479" s="67" t="s">
        <v>86</v>
      </c>
      <c r="D479" s="68" t="s">
        <v>86</v>
      </c>
      <c r="E479" s="4" t="s">
        <v>93</v>
      </c>
      <c r="F479" s="69">
        <v>396</v>
      </c>
      <c r="G479" s="70"/>
      <c r="H479" s="69"/>
      <c r="I479" s="70"/>
      <c r="J479" s="71">
        <f t="shared" si="52"/>
        <v>200</v>
      </c>
      <c r="K479" s="71"/>
      <c r="L479" s="72"/>
      <c r="M479" s="72"/>
      <c r="O479" s="11">
        <v>200</v>
      </c>
      <c r="P479" s="11">
        <f t="shared" si="53"/>
        <v>0</v>
      </c>
      <c r="Q479" s="12"/>
      <c r="S479" s="11">
        <f t="shared" si="54"/>
        <v>40000</v>
      </c>
      <c r="T479" s="13">
        <f t="shared" si="55"/>
        <v>196</v>
      </c>
    </row>
    <row r="480" spans="1:20" ht="24.95" customHeight="1">
      <c r="A480" s="10">
        <v>6</v>
      </c>
      <c r="B480" s="66" t="s">
        <v>97</v>
      </c>
      <c r="C480" s="67" t="s">
        <v>87</v>
      </c>
      <c r="D480" s="68" t="s">
        <v>87</v>
      </c>
      <c r="E480" s="4" t="s">
        <v>35</v>
      </c>
      <c r="F480" s="69">
        <v>80</v>
      </c>
      <c r="G480" s="70">
        <v>183.6</v>
      </c>
      <c r="H480" s="69">
        <v>5</v>
      </c>
      <c r="I480" s="70"/>
      <c r="J480" s="71">
        <f t="shared" si="52"/>
        <v>55</v>
      </c>
      <c r="K480" s="71"/>
      <c r="L480" s="54"/>
      <c r="M480" s="59"/>
      <c r="O480" s="11">
        <v>1463</v>
      </c>
      <c r="P480" s="11">
        <f t="shared" si="53"/>
        <v>7315</v>
      </c>
      <c r="S480" s="11">
        <f t="shared" si="54"/>
        <v>80465</v>
      </c>
      <c r="T480" s="13">
        <f t="shared" si="55"/>
        <v>25</v>
      </c>
    </row>
    <row r="481" spans="1:20" ht="24.95" customHeight="1">
      <c r="A481" s="10">
        <v>7</v>
      </c>
      <c r="B481" s="66" t="s">
        <v>88</v>
      </c>
      <c r="C481" s="67" t="s">
        <v>88</v>
      </c>
      <c r="D481" s="68" t="s">
        <v>88</v>
      </c>
      <c r="E481" s="4" t="s">
        <v>94</v>
      </c>
      <c r="F481" s="69">
        <v>126</v>
      </c>
      <c r="G481" s="70">
        <v>19</v>
      </c>
      <c r="H481" s="69"/>
      <c r="I481" s="70"/>
      <c r="J481" s="71">
        <f t="shared" si="52"/>
        <v>0</v>
      </c>
      <c r="K481" s="71"/>
      <c r="L481" s="54"/>
      <c r="M481" s="59"/>
      <c r="O481" s="11">
        <v>6350</v>
      </c>
      <c r="P481" s="11">
        <f t="shared" si="53"/>
        <v>0</v>
      </c>
      <c r="S481" s="11">
        <f t="shared" si="54"/>
        <v>0</v>
      </c>
      <c r="T481" s="13">
        <f t="shared" si="55"/>
        <v>126</v>
      </c>
    </row>
    <row r="482" spans="1:20" ht="24.95" customHeight="1">
      <c r="A482" s="10">
        <v>8</v>
      </c>
      <c r="B482" s="66" t="s">
        <v>89</v>
      </c>
      <c r="C482" s="67" t="s">
        <v>89</v>
      </c>
      <c r="D482" s="68" t="s">
        <v>89</v>
      </c>
      <c r="E482" s="4" t="s">
        <v>95</v>
      </c>
      <c r="F482" s="69">
        <v>1</v>
      </c>
      <c r="G482" s="70">
        <v>1192</v>
      </c>
      <c r="H482" s="69"/>
      <c r="I482" s="70"/>
      <c r="J482" s="71">
        <f t="shared" si="52"/>
        <v>0</v>
      </c>
      <c r="K482" s="71"/>
      <c r="L482" s="54"/>
      <c r="M482" s="59"/>
      <c r="O482" s="11">
        <v>47600</v>
      </c>
      <c r="P482" s="11">
        <f t="shared" si="53"/>
        <v>0</v>
      </c>
      <c r="S482" s="11">
        <f t="shared" si="54"/>
        <v>0</v>
      </c>
      <c r="T482" s="13">
        <f t="shared" si="55"/>
        <v>1</v>
      </c>
    </row>
    <row r="483" spans="1:20" ht="24.95" customHeight="1">
      <c r="A483" s="10">
        <v>9</v>
      </c>
      <c r="B483" s="66" t="s">
        <v>90</v>
      </c>
      <c r="C483" s="67" t="s">
        <v>90</v>
      </c>
      <c r="D483" s="68" t="s">
        <v>90</v>
      </c>
      <c r="E483" s="4" t="s">
        <v>96</v>
      </c>
      <c r="F483" s="69">
        <v>1</v>
      </c>
      <c r="G483" s="70">
        <v>1261</v>
      </c>
      <c r="H483" s="69"/>
      <c r="I483" s="70"/>
      <c r="J483" s="71">
        <f t="shared" si="52"/>
        <v>0</v>
      </c>
      <c r="K483" s="71"/>
      <c r="L483" s="54"/>
      <c r="M483" s="59"/>
      <c r="O483" s="11">
        <v>10000</v>
      </c>
      <c r="P483" s="11">
        <f t="shared" si="53"/>
        <v>0</v>
      </c>
      <c r="S483" s="11">
        <f t="shared" si="54"/>
        <v>0</v>
      </c>
      <c r="T483" s="13">
        <f t="shared" si="55"/>
        <v>1</v>
      </c>
    </row>
    <row r="484" spans="1:20" ht="24.95" customHeight="1">
      <c r="A484" s="14"/>
      <c r="B484" s="15"/>
      <c r="C484" s="16"/>
      <c r="D484" s="17"/>
      <c r="E484" s="4"/>
      <c r="F484" s="18"/>
      <c r="G484" s="19"/>
      <c r="H484" s="105"/>
      <c r="I484" s="106"/>
      <c r="J484" s="105"/>
      <c r="K484" s="106"/>
      <c r="L484" s="54"/>
      <c r="M484" s="59"/>
      <c r="N484" s="20"/>
      <c r="P484" s="21" t="s">
        <v>37</v>
      </c>
      <c r="Q484" s="22">
        <f>SUM(P475:P483)</f>
        <v>7315</v>
      </c>
      <c r="R484" s="23"/>
      <c r="S484" s="24">
        <f>SUM(S475:S483)</f>
        <v>216299</v>
      </c>
      <c r="T484" s="13"/>
    </row>
    <row r="485" spans="1:20" ht="24.95" customHeight="1">
      <c r="A485" s="107"/>
      <c r="B485" s="108"/>
      <c r="C485" s="108"/>
      <c r="D485" s="109"/>
      <c r="E485" s="4"/>
      <c r="F485" s="54"/>
      <c r="G485" s="59"/>
      <c r="H485" s="72"/>
      <c r="I485" s="72"/>
      <c r="J485" s="72"/>
      <c r="K485" s="72"/>
      <c r="L485" s="72"/>
      <c r="M485" s="72"/>
      <c r="O485" t="s">
        <v>38</v>
      </c>
      <c r="P485" s="24">
        <f>Q484</f>
        <v>7315</v>
      </c>
      <c r="T485" s="13"/>
    </row>
    <row r="486" spans="1:20" ht="24.95" customHeight="1">
      <c r="A486" s="97"/>
      <c r="B486" s="98"/>
      <c r="C486" s="98"/>
      <c r="D486" s="99"/>
      <c r="E486" s="4"/>
      <c r="F486" s="54"/>
      <c r="G486" s="59"/>
      <c r="H486" s="72"/>
      <c r="I486" s="72"/>
      <c r="J486" s="72"/>
      <c r="K486" s="72"/>
      <c r="L486" s="72"/>
      <c r="M486" s="72"/>
      <c r="O486" t="s">
        <v>39</v>
      </c>
      <c r="P486" s="23">
        <f>ROUND(P485/1153274,4)*100</f>
        <v>0.63</v>
      </c>
      <c r="T486" s="13"/>
    </row>
    <row r="487" spans="1:20" ht="24.95" customHeight="1">
      <c r="A487" s="25"/>
      <c r="B487" s="63" t="s">
        <v>40</v>
      </c>
      <c r="C487" s="63"/>
      <c r="D487" s="59"/>
      <c r="E487" s="26"/>
      <c r="F487" s="100"/>
      <c r="G487" s="101"/>
      <c r="H487" s="100"/>
      <c r="I487" s="101"/>
      <c r="J487" s="102"/>
      <c r="K487" s="102"/>
      <c r="L487" s="103">
        <f>P485</f>
        <v>7315</v>
      </c>
      <c r="M487" s="104"/>
      <c r="T487" s="13"/>
    </row>
    <row r="488" spans="1:20" ht="24.95" customHeight="1" thickBot="1">
      <c r="A488" s="27"/>
      <c r="B488" s="85" t="s">
        <v>41</v>
      </c>
      <c r="C488" s="85"/>
      <c r="D488" s="86"/>
      <c r="E488" s="28"/>
      <c r="F488" s="87"/>
      <c r="G488" s="88"/>
      <c r="H488" s="87"/>
      <c r="I488" s="88"/>
      <c r="J488" s="87"/>
      <c r="K488" s="88"/>
      <c r="L488" s="89">
        <f>L487+L430</f>
        <v>216299</v>
      </c>
      <c r="M488" s="90"/>
      <c r="T488" s="13"/>
    </row>
    <row r="489" spans="1:20" ht="24.95" customHeight="1">
      <c r="A489" s="29"/>
      <c r="B489" s="91" t="s">
        <v>42</v>
      </c>
      <c r="C489" s="91"/>
      <c r="D489" s="92"/>
      <c r="E489" s="30"/>
      <c r="F489" s="93"/>
      <c r="G489" s="94"/>
      <c r="H489" s="95"/>
      <c r="I489" s="95"/>
      <c r="J489" s="95"/>
      <c r="K489" s="95"/>
      <c r="L489" s="95"/>
      <c r="M489" s="96"/>
      <c r="T489" s="13"/>
    </row>
    <row r="490" spans="1:20" ht="24.95" customHeight="1">
      <c r="A490" s="31"/>
      <c r="B490" s="76" t="s">
        <v>43</v>
      </c>
      <c r="C490" s="76"/>
      <c r="D490" s="77"/>
      <c r="E490" s="4"/>
      <c r="F490" s="54"/>
      <c r="G490" s="59"/>
      <c r="H490" s="72"/>
      <c r="I490" s="72"/>
      <c r="J490" s="72"/>
      <c r="K490" s="72"/>
      <c r="L490" s="72"/>
      <c r="M490" s="78"/>
      <c r="T490" s="13"/>
    </row>
    <row r="491" spans="1:20" ht="24.95" customHeight="1" thickBot="1">
      <c r="A491" s="32"/>
      <c r="B491" s="79" t="s">
        <v>44</v>
      </c>
      <c r="C491" s="79"/>
      <c r="D491" s="80"/>
      <c r="E491" s="33"/>
      <c r="F491" s="81"/>
      <c r="G491" s="82"/>
      <c r="H491" s="83"/>
      <c r="I491" s="83"/>
      <c r="J491" s="83"/>
      <c r="K491" s="83"/>
      <c r="L491" s="83"/>
      <c r="M491" s="84"/>
      <c r="T491" s="13"/>
    </row>
    <row r="492" spans="1:20" ht="24.95" customHeight="1">
      <c r="A492" s="73" t="s">
        <v>45</v>
      </c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T492" s="13"/>
    </row>
    <row r="493" spans="1:20" ht="24.95" customHeight="1">
      <c r="A493" s="72" t="s">
        <v>46</v>
      </c>
      <c r="B493" s="75"/>
      <c r="C493" s="75"/>
      <c r="D493" s="75"/>
      <c r="E493" s="4" t="s">
        <v>22</v>
      </c>
      <c r="F493" s="72" t="s">
        <v>47</v>
      </c>
      <c r="G493" s="72"/>
      <c r="H493" s="72" t="s">
        <v>48</v>
      </c>
      <c r="I493" s="72"/>
      <c r="J493" s="72" t="s">
        <v>49</v>
      </c>
      <c r="K493" s="72"/>
      <c r="L493" s="72" t="s">
        <v>50</v>
      </c>
      <c r="M493" s="72"/>
      <c r="T493" s="13"/>
    </row>
    <row r="494" spans="1:20" ht="24.95" customHeight="1">
      <c r="A494" s="10">
        <v>6</v>
      </c>
      <c r="B494" s="66" t="s">
        <v>97</v>
      </c>
      <c r="C494" s="67" t="s">
        <v>51</v>
      </c>
      <c r="D494" s="68" t="s">
        <v>51</v>
      </c>
      <c r="E494" s="4" t="s">
        <v>35</v>
      </c>
      <c r="F494" s="69">
        <v>80</v>
      </c>
      <c r="G494" s="70">
        <v>1261</v>
      </c>
      <c r="H494" s="71">
        <f>H480</f>
        <v>5</v>
      </c>
      <c r="I494" s="71"/>
      <c r="J494" s="71">
        <f>H494+J436</f>
        <v>55</v>
      </c>
      <c r="K494" s="71"/>
      <c r="L494" s="72"/>
      <c r="M494" s="72"/>
      <c r="T494" s="13"/>
    </row>
    <row r="495" spans="1:20" ht="24.95" customHeight="1">
      <c r="A495" s="10">
        <v>7</v>
      </c>
      <c r="B495" s="66" t="s">
        <v>88</v>
      </c>
      <c r="C495" s="67" t="s">
        <v>88</v>
      </c>
      <c r="D495" s="68" t="s">
        <v>88</v>
      </c>
      <c r="E495" s="4" t="s">
        <v>98</v>
      </c>
      <c r="F495" s="69">
        <v>126</v>
      </c>
      <c r="G495" s="70"/>
      <c r="H495" s="71">
        <f>H481</f>
        <v>0</v>
      </c>
      <c r="I495" s="71"/>
      <c r="J495" s="71">
        <f t="shared" ref="J495:J496" si="56">H495+J437</f>
        <v>0</v>
      </c>
      <c r="K495" s="71"/>
      <c r="L495" s="72"/>
      <c r="M495" s="72"/>
      <c r="T495" s="13"/>
    </row>
    <row r="496" spans="1:20" ht="24.95" customHeight="1">
      <c r="A496" s="10">
        <v>8</v>
      </c>
      <c r="B496" s="66" t="s">
        <v>89</v>
      </c>
      <c r="C496" s="67" t="s">
        <v>89</v>
      </c>
      <c r="D496" s="68" t="s">
        <v>89</v>
      </c>
      <c r="E496" s="4" t="s">
        <v>36</v>
      </c>
      <c r="F496" s="69">
        <v>1</v>
      </c>
      <c r="G496" s="70"/>
      <c r="H496" s="71">
        <f>H482</f>
        <v>0</v>
      </c>
      <c r="I496" s="71"/>
      <c r="J496" s="71">
        <f t="shared" si="56"/>
        <v>0</v>
      </c>
      <c r="K496" s="71"/>
      <c r="L496" s="72"/>
      <c r="M496" s="72"/>
      <c r="T496" s="13"/>
    </row>
    <row r="497" spans="1:20" ht="24.95" customHeight="1">
      <c r="A497" s="51" t="s">
        <v>52</v>
      </c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3"/>
      <c r="T497" s="13"/>
    </row>
    <row r="498" spans="1:20" ht="24.95" customHeight="1">
      <c r="A498" s="54" t="s">
        <v>53</v>
      </c>
      <c r="B498" s="63"/>
      <c r="C498" s="63"/>
      <c r="D498" s="59"/>
      <c r="E498" s="4" t="s">
        <v>54</v>
      </c>
      <c r="F498" s="54" t="s">
        <v>55</v>
      </c>
      <c r="G498" s="59"/>
      <c r="H498" s="54" t="s">
        <v>56</v>
      </c>
      <c r="I498" s="59"/>
      <c r="J498" s="54" t="s">
        <v>48</v>
      </c>
      <c r="K498" s="59"/>
      <c r="L498" s="64" t="s">
        <v>49</v>
      </c>
      <c r="M498" s="65"/>
      <c r="T498" s="13"/>
    </row>
    <row r="499" spans="1:20" ht="24.95" customHeight="1">
      <c r="A499" s="54" t="s">
        <v>57</v>
      </c>
      <c r="B499" s="55"/>
      <c r="C499" s="55"/>
      <c r="D499" s="56"/>
      <c r="E499" s="4">
        <v>2</v>
      </c>
      <c r="F499" s="57">
        <f>E499+F441</f>
        <v>20</v>
      </c>
      <c r="G499" s="58"/>
      <c r="H499" s="54" t="s">
        <v>58</v>
      </c>
      <c r="I499" s="59"/>
      <c r="J499" s="54">
        <v>1</v>
      </c>
      <c r="K499" s="59"/>
      <c r="L499" s="57">
        <f>J499+L441</f>
        <v>10</v>
      </c>
      <c r="M499" s="58"/>
      <c r="T499" s="13"/>
    </row>
    <row r="500" spans="1:20" ht="24.95" customHeight="1">
      <c r="A500" s="54" t="s">
        <v>59</v>
      </c>
      <c r="B500" s="55"/>
      <c r="C500" s="55"/>
      <c r="D500" s="56"/>
      <c r="E500" s="4"/>
      <c r="F500" s="57">
        <f t="shared" ref="F500:F502" si="57">E500+F442</f>
        <v>0</v>
      </c>
      <c r="G500" s="58"/>
      <c r="H500" s="54" t="s">
        <v>60</v>
      </c>
      <c r="I500" s="59"/>
      <c r="J500" s="54"/>
      <c r="K500" s="59"/>
      <c r="L500" s="57">
        <f t="shared" ref="L500:L502" si="58">J500+L442</f>
        <v>0</v>
      </c>
      <c r="M500" s="58"/>
      <c r="T500" s="13"/>
    </row>
    <row r="501" spans="1:20" ht="24.95" customHeight="1">
      <c r="A501" s="54" t="s">
        <v>61</v>
      </c>
      <c r="B501" s="55"/>
      <c r="C501" s="55"/>
      <c r="D501" s="56"/>
      <c r="E501" s="4"/>
      <c r="F501" s="57">
        <f t="shared" si="57"/>
        <v>0</v>
      </c>
      <c r="G501" s="58"/>
      <c r="H501" s="54" t="s">
        <v>62</v>
      </c>
      <c r="I501" s="59"/>
      <c r="J501" s="54"/>
      <c r="K501" s="59"/>
      <c r="L501" s="57">
        <f t="shared" si="58"/>
        <v>2</v>
      </c>
      <c r="M501" s="58"/>
      <c r="T501" s="13"/>
    </row>
    <row r="502" spans="1:20" ht="24.95" customHeight="1">
      <c r="A502" s="54" t="s">
        <v>63</v>
      </c>
      <c r="B502" s="55"/>
      <c r="C502" s="55"/>
      <c r="D502" s="56"/>
      <c r="E502" s="4"/>
      <c r="F502" s="57">
        <f t="shared" si="57"/>
        <v>0</v>
      </c>
      <c r="G502" s="58"/>
      <c r="H502" s="54" t="s">
        <v>64</v>
      </c>
      <c r="I502" s="59"/>
      <c r="J502" s="54"/>
      <c r="K502" s="59"/>
      <c r="L502" s="57">
        <f t="shared" si="58"/>
        <v>0</v>
      </c>
      <c r="M502" s="58"/>
      <c r="T502" s="13"/>
    </row>
    <row r="503" spans="1:20" ht="64.5" customHeight="1">
      <c r="A503" s="60" t="s">
        <v>65</v>
      </c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2"/>
      <c r="T503" s="13"/>
    </row>
    <row r="504" spans="1:20" ht="24.95" customHeight="1">
      <c r="A504" s="46" t="s">
        <v>66</v>
      </c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8"/>
      <c r="T504" s="13"/>
    </row>
    <row r="505" spans="1:20" ht="24.95" customHeight="1">
      <c r="A505" s="27"/>
      <c r="B505" s="34" t="s">
        <v>67</v>
      </c>
      <c r="C505" s="34"/>
      <c r="D505" s="34"/>
      <c r="E505" s="34"/>
      <c r="F505" s="34"/>
      <c r="G505" s="35"/>
      <c r="H505" s="34"/>
      <c r="I505" s="34"/>
      <c r="J505" s="34"/>
      <c r="K505" s="34"/>
      <c r="L505" s="34"/>
      <c r="M505" s="36"/>
      <c r="T505" s="13"/>
    </row>
    <row r="506" spans="1:20" ht="24.95" customHeight="1">
      <c r="A506" s="27"/>
      <c r="B506" s="34" t="s">
        <v>133</v>
      </c>
      <c r="C506" s="34"/>
      <c r="D506" s="34"/>
      <c r="E506" s="34"/>
      <c r="F506" s="34"/>
      <c r="G506" s="35"/>
      <c r="H506" s="34"/>
      <c r="I506" s="34"/>
      <c r="J506" s="34"/>
      <c r="K506" s="34"/>
      <c r="L506" s="34"/>
      <c r="M506" s="36"/>
      <c r="T506" s="13"/>
    </row>
    <row r="507" spans="1:20" ht="24.95" customHeight="1">
      <c r="A507" s="27"/>
      <c r="B507" s="34" t="s">
        <v>68</v>
      </c>
      <c r="C507" s="34"/>
      <c r="D507" s="34"/>
      <c r="E507" s="34"/>
      <c r="F507" s="34"/>
      <c r="G507" s="35"/>
      <c r="H507" s="34"/>
      <c r="I507" s="34"/>
      <c r="J507" s="34"/>
      <c r="K507" s="34"/>
      <c r="L507" s="34"/>
      <c r="M507" s="36"/>
      <c r="T507" s="13"/>
    </row>
    <row r="508" spans="1:20" ht="24.95" customHeight="1">
      <c r="A508" s="27"/>
      <c r="B508" s="34" t="s">
        <v>134</v>
      </c>
      <c r="C508" s="34"/>
      <c r="D508" s="34"/>
      <c r="E508" s="34"/>
      <c r="F508" s="34"/>
      <c r="G508" s="35"/>
      <c r="H508" s="34"/>
      <c r="I508" s="34"/>
      <c r="J508" s="34"/>
      <c r="K508" s="34"/>
      <c r="L508" s="34"/>
      <c r="M508" s="36"/>
      <c r="T508" s="13"/>
    </row>
    <row r="509" spans="1:20" ht="24.95" customHeight="1">
      <c r="A509" s="27"/>
      <c r="B509" s="34" t="s">
        <v>135</v>
      </c>
      <c r="C509" s="34"/>
      <c r="D509" s="34"/>
      <c r="E509" s="34"/>
      <c r="F509" s="34"/>
      <c r="G509" s="35"/>
      <c r="H509" s="34"/>
      <c r="I509" s="34"/>
      <c r="J509" s="34"/>
      <c r="K509" s="34"/>
      <c r="L509" s="34"/>
      <c r="M509" s="36"/>
      <c r="T509" s="13"/>
    </row>
    <row r="510" spans="1:20" ht="24.95" customHeight="1">
      <c r="A510" s="37"/>
      <c r="B510" s="49" t="s">
        <v>69</v>
      </c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50"/>
      <c r="T510" s="13"/>
    </row>
    <row r="511" spans="1:20" ht="44.25" customHeight="1">
      <c r="A511" s="51" t="s">
        <v>70</v>
      </c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3"/>
      <c r="T511" s="13"/>
    </row>
    <row r="512" spans="1:20" ht="48" customHeight="1">
      <c r="A512" s="51" t="s">
        <v>71</v>
      </c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3"/>
      <c r="T512" s="13"/>
    </row>
    <row r="513" spans="1:20" ht="81" customHeight="1">
      <c r="A513" s="51" t="s">
        <v>129</v>
      </c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3"/>
      <c r="T513" s="13"/>
    </row>
    <row r="514" spans="1:20" ht="100.5" customHeight="1">
      <c r="A514" s="51" t="s">
        <v>72</v>
      </c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3"/>
      <c r="T514" s="13"/>
    </row>
    <row r="515" spans="1:20" ht="12" customHeight="1">
      <c r="A515" s="41" t="s">
        <v>73</v>
      </c>
      <c r="B515" s="41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38"/>
      <c r="T515" s="13"/>
    </row>
    <row r="516" spans="1:20" ht="12" customHeight="1">
      <c r="A516" s="43" t="s">
        <v>74</v>
      </c>
      <c r="B516" s="43"/>
      <c r="C516" s="40"/>
      <c r="D516" s="40"/>
      <c r="E516" s="40"/>
      <c r="F516" s="40"/>
      <c r="G516" s="40"/>
      <c r="H516" s="40"/>
      <c r="I516" s="40"/>
      <c r="J516" s="40"/>
      <c r="K516" s="40"/>
      <c r="L516" s="38"/>
      <c r="M516" s="38"/>
      <c r="T516" s="13"/>
    </row>
    <row r="517" spans="1:20" ht="12" customHeight="1">
      <c r="A517" s="44" t="s">
        <v>75</v>
      </c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T517" s="13"/>
    </row>
    <row r="518" spans="1:20" ht="12" customHeight="1">
      <c r="A518" s="39" t="s">
        <v>76</v>
      </c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T518" s="13"/>
    </row>
    <row r="519" spans="1:20" ht="12" customHeight="1">
      <c r="A519" s="39" t="s">
        <v>77</v>
      </c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T519" s="13"/>
    </row>
    <row r="520" spans="1:20" ht="12" customHeight="1">
      <c r="A520" s="45" t="s">
        <v>78</v>
      </c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T520" s="13"/>
    </row>
    <row r="521" spans="1:20" ht="12" customHeight="1">
      <c r="A521" s="39" t="s">
        <v>79</v>
      </c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T521" s="13"/>
    </row>
    <row r="522" spans="1:20" ht="409.5" customHeight="1"/>
    <row r="523" spans="1:20" s="2" customFormat="1" ht="35.1" customHeight="1">
      <c r="A523" s="126" t="s">
        <v>0</v>
      </c>
      <c r="B523" s="126"/>
      <c r="C523" s="1">
        <f>C465+1</f>
        <v>14</v>
      </c>
      <c r="G523" s="3"/>
    </row>
    <row r="524" spans="1:20" s="2" customFormat="1" ht="35.1" customHeight="1">
      <c r="A524" s="126" t="s">
        <v>1</v>
      </c>
      <c r="B524" s="126"/>
      <c r="C524" s="2" t="s">
        <v>2</v>
      </c>
      <c r="D524" s="2" t="s">
        <v>105</v>
      </c>
      <c r="E524" s="2" t="s">
        <v>3</v>
      </c>
      <c r="F524" s="2" t="s">
        <v>105</v>
      </c>
      <c r="G524" s="3"/>
      <c r="H524" s="127" t="s">
        <v>4</v>
      </c>
      <c r="I524" s="128"/>
      <c r="J524" s="129">
        <f>J466+1</f>
        <v>46001</v>
      </c>
      <c r="K524" s="130"/>
      <c r="L524" s="131">
        <f>J524</f>
        <v>46001</v>
      </c>
      <c r="M524" s="132"/>
    </row>
    <row r="525" spans="1:20" s="2" customFormat="1" ht="30" customHeight="1">
      <c r="A525" s="72" t="s">
        <v>5</v>
      </c>
      <c r="B525" s="114"/>
      <c r="C525" s="119" t="s">
        <v>83</v>
      </c>
      <c r="D525" s="119"/>
      <c r="E525" s="119"/>
      <c r="F525" s="119"/>
      <c r="G525" s="119"/>
      <c r="H525" s="54" t="s">
        <v>6</v>
      </c>
      <c r="I525" s="59"/>
      <c r="J525" s="120"/>
      <c r="K525" s="120"/>
      <c r="L525" s="120"/>
      <c r="M525" s="120"/>
    </row>
    <row r="526" spans="1:20" s="1" customFormat="1" ht="30" customHeight="1">
      <c r="A526" s="72" t="s">
        <v>7</v>
      </c>
      <c r="B526" s="114"/>
      <c r="C526" s="4">
        <v>50</v>
      </c>
      <c r="D526" s="4" t="s">
        <v>8</v>
      </c>
      <c r="E526" s="4" t="s">
        <v>9</v>
      </c>
      <c r="F526" s="4">
        <f>F468+1</f>
        <v>14</v>
      </c>
      <c r="G526" s="5" t="s">
        <v>8</v>
      </c>
      <c r="H526" s="4" t="s">
        <v>10</v>
      </c>
      <c r="I526" s="4">
        <f>C526-F526+L526</f>
        <v>36</v>
      </c>
      <c r="J526" s="4" t="s">
        <v>11</v>
      </c>
      <c r="K526" s="6" t="s">
        <v>12</v>
      </c>
      <c r="L526" s="7">
        <f>L468</f>
        <v>0</v>
      </c>
      <c r="M526" s="4" t="s">
        <v>8</v>
      </c>
    </row>
    <row r="527" spans="1:20" s="2" customFormat="1" ht="30" customHeight="1">
      <c r="A527" s="72" t="s">
        <v>13</v>
      </c>
      <c r="B527" s="75"/>
      <c r="C527" s="75"/>
      <c r="D527" s="121">
        <f>D469</f>
        <v>45988</v>
      </c>
      <c r="E527" s="122"/>
      <c r="F527" s="122"/>
      <c r="G527" s="123"/>
      <c r="H527" s="124" t="s">
        <v>14</v>
      </c>
      <c r="I527" s="125"/>
      <c r="J527" s="121">
        <f>J469</f>
        <v>46037</v>
      </c>
      <c r="K527" s="122"/>
      <c r="L527" s="122"/>
      <c r="M527" s="123"/>
    </row>
    <row r="528" spans="1:20" s="2" customFormat="1" ht="30" customHeight="1">
      <c r="A528" s="72" t="s">
        <v>15</v>
      </c>
      <c r="B528" s="114"/>
      <c r="C528" s="114"/>
      <c r="D528" s="72">
        <v>0.64200000000000002</v>
      </c>
      <c r="E528" s="72"/>
      <c r="F528" s="72"/>
      <c r="G528" s="72"/>
      <c r="H528" s="64" t="s">
        <v>16</v>
      </c>
      <c r="I528" s="115"/>
      <c r="J528" s="116">
        <f>P544</f>
        <v>0.63</v>
      </c>
      <c r="K528" s="117"/>
      <c r="L528" s="117"/>
      <c r="M528" s="118"/>
    </row>
    <row r="529" spans="1:20" s="2" customFormat="1" ht="30" customHeight="1">
      <c r="A529" s="72" t="s">
        <v>17</v>
      </c>
      <c r="B529" s="114"/>
      <c r="C529" s="114"/>
      <c r="D529" s="72">
        <f>D528+D471</f>
        <v>4.5669999999999993</v>
      </c>
      <c r="E529" s="72"/>
      <c r="F529" s="72"/>
      <c r="G529" s="72"/>
      <c r="H529" s="64" t="s">
        <v>18</v>
      </c>
      <c r="I529" s="115"/>
      <c r="J529" s="116">
        <f>J528+J471</f>
        <v>19.359999999999992</v>
      </c>
      <c r="K529" s="117"/>
      <c r="L529" s="117"/>
      <c r="M529" s="118"/>
    </row>
    <row r="530" spans="1:20" s="2" customFormat="1" ht="30" customHeight="1">
      <c r="A530" s="111" t="s">
        <v>19</v>
      </c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12"/>
      <c r="M530" s="113"/>
    </row>
    <row r="531" spans="1:20" s="2" customFormat="1" ht="30" customHeight="1">
      <c r="A531" s="8" t="s">
        <v>20</v>
      </c>
      <c r="B531" s="72" t="s">
        <v>21</v>
      </c>
      <c r="C531" s="72"/>
      <c r="D531" s="72"/>
      <c r="E531" s="4" t="s">
        <v>22</v>
      </c>
      <c r="F531" s="54" t="s">
        <v>23</v>
      </c>
      <c r="G531" s="59"/>
      <c r="H531" s="72" t="s">
        <v>24</v>
      </c>
      <c r="I531" s="72"/>
      <c r="J531" s="72" t="s">
        <v>25</v>
      </c>
      <c r="K531" s="72"/>
      <c r="L531" s="72" t="s">
        <v>26</v>
      </c>
      <c r="M531" s="72"/>
      <c r="O531" s="1" t="s">
        <v>27</v>
      </c>
      <c r="P531" s="1" t="s">
        <v>28</v>
      </c>
      <c r="T531" s="2" t="s">
        <v>29</v>
      </c>
    </row>
    <row r="532" spans="1:20" s="2" customFormat="1" ht="24.95" customHeight="1">
      <c r="A532" s="9" t="s">
        <v>30</v>
      </c>
      <c r="B532" s="110" t="s">
        <v>31</v>
      </c>
      <c r="C532" s="110"/>
      <c r="D532" s="110"/>
      <c r="E532" s="4"/>
      <c r="F532" s="54"/>
      <c r="G532" s="59"/>
      <c r="H532" s="72"/>
      <c r="I532" s="72"/>
      <c r="J532" s="72"/>
      <c r="K532" s="72"/>
      <c r="L532" s="72"/>
      <c r="M532" s="72"/>
    </row>
    <row r="533" spans="1:20" ht="24.95" customHeight="1">
      <c r="A533" s="10">
        <v>1</v>
      </c>
      <c r="B533" s="66" t="s">
        <v>91</v>
      </c>
      <c r="C533" s="67" t="s">
        <v>91</v>
      </c>
      <c r="D533" s="68" t="s">
        <v>91</v>
      </c>
      <c r="E533" s="4" t="s">
        <v>32</v>
      </c>
      <c r="F533" s="69">
        <v>1</v>
      </c>
      <c r="G533" s="70"/>
      <c r="H533" s="69"/>
      <c r="I533" s="70"/>
      <c r="J533" s="71">
        <f>H533+J475</f>
        <v>1</v>
      </c>
      <c r="K533" s="71"/>
      <c r="L533" s="72"/>
      <c r="M533" s="72"/>
      <c r="O533" s="11">
        <v>4000</v>
      </c>
      <c r="P533" s="11">
        <f>ROUND(H533*O533,0)</f>
        <v>0</v>
      </c>
      <c r="Q533" s="12"/>
      <c r="S533" s="11">
        <f>ROUND(J533*O533,0)</f>
        <v>4000</v>
      </c>
      <c r="T533" s="13">
        <f>F533-J533</f>
        <v>0</v>
      </c>
    </row>
    <row r="534" spans="1:20" ht="24.95" customHeight="1">
      <c r="A534" s="10">
        <v>2</v>
      </c>
      <c r="B534" s="66" t="s">
        <v>92</v>
      </c>
      <c r="C534" s="67" t="s">
        <v>92</v>
      </c>
      <c r="D534" s="68" t="s">
        <v>92</v>
      </c>
      <c r="E534" s="4" t="s">
        <v>32</v>
      </c>
      <c r="F534" s="69">
        <v>1</v>
      </c>
      <c r="G534" s="70"/>
      <c r="H534" s="69"/>
      <c r="I534" s="70"/>
      <c r="J534" s="71">
        <f t="shared" ref="J534:J541" si="59">H534+J476</f>
        <v>1</v>
      </c>
      <c r="K534" s="71"/>
      <c r="L534" s="72"/>
      <c r="M534" s="72"/>
      <c r="O534" s="11">
        <v>14334</v>
      </c>
      <c r="P534" s="11">
        <f t="shared" ref="P534:P541" si="60">ROUND(H534*O534,0)</f>
        <v>0</v>
      </c>
      <c r="Q534" s="12"/>
      <c r="S534" s="11">
        <f t="shared" ref="S534:S541" si="61">ROUND(J534*O534,0)</f>
        <v>14334</v>
      </c>
      <c r="T534" s="13">
        <f t="shared" ref="T534:T541" si="62">F534-J534</f>
        <v>0</v>
      </c>
    </row>
    <row r="535" spans="1:20" ht="24.95" customHeight="1">
      <c r="A535" s="10">
        <v>3</v>
      </c>
      <c r="B535" s="66" t="s">
        <v>84</v>
      </c>
      <c r="C535" s="67" t="s">
        <v>84</v>
      </c>
      <c r="D535" s="68" t="s">
        <v>84</v>
      </c>
      <c r="E535" s="4" t="s">
        <v>33</v>
      </c>
      <c r="F535" s="69">
        <v>1</v>
      </c>
      <c r="G535" s="70"/>
      <c r="H535" s="69"/>
      <c r="I535" s="70"/>
      <c r="J535" s="71">
        <f t="shared" si="59"/>
        <v>0.5</v>
      </c>
      <c r="K535" s="71"/>
      <c r="L535" s="72"/>
      <c r="M535" s="72"/>
      <c r="O535" s="11">
        <v>7000</v>
      </c>
      <c r="P535" s="11">
        <f t="shared" si="60"/>
        <v>0</v>
      </c>
      <c r="Q535" s="12"/>
      <c r="S535" s="11">
        <f t="shared" si="61"/>
        <v>3500</v>
      </c>
      <c r="T535" s="13">
        <f t="shared" si="62"/>
        <v>0.5</v>
      </c>
    </row>
    <row r="536" spans="1:20" ht="24.95" customHeight="1">
      <c r="A536" s="10">
        <v>4</v>
      </c>
      <c r="B536" s="66" t="s">
        <v>85</v>
      </c>
      <c r="C536" s="67" t="s">
        <v>85</v>
      </c>
      <c r="D536" s="68" t="s">
        <v>85</v>
      </c>
      <c r="E536" s="4" t="s">
        <v>34</v>
      </c>
      <c r="F536" s="69">
        <v>1</v>
      </c>
      <c r="G536" s="70"/>
      <c r="H536" s="69"/>
      <c r="I536" s="70"/>
      <c r="J536" s="71">
        <f t="shared" si="59"/>
        <v>1</v>
      </c>
      <c r="K536" s="71"/>
      <c r="L536" s="72"/>
      <c r="M536" s="72"/>
      <c r="O536" s="11">
        <v>74000</v>
      </c>
      <c r="P536" s="11">
        <f t="shared" si="60"/>
        <v>0</v>
      </c>
      <c r="Q536" s="12"/>
      <c r="S536" s="11">
        <f t="shared" si="61"/>
        <v>74000</v>
      </c>
      <c r="T536" s="13">
        <f t="shared" si="62"/>
        <v>0</v>
      </c>
    </row>
    <row r="537" spans="1:20" ht="24.95" customHeight="1">
      <c r="A537" s="10">
        <v>5</v>
      </c>
      <c r="B537" s="66" t="s">
        <v>86</v>
      </c>
      <c r="C537" s="67" t="s">
        <v>86</v>
      </c>
      <c r="D537" s="68" t="s">
        <v>86</v>
      </c>
      <c r="E537" s="4" t="s">
        <v>93</v>
      </c>
      <c r="F537" s="69">
        <v>396</v>
      </c>
      <c r="G537" s="70"/>
      <c r="H537" s="69"/>
      <c r="I537" s="70"/>
      <c r="J537" s="71">
        <f t="shared" si="59"/>
        <v>200</v>
      </c>
      <c r="K537" s="71"/>
      <c r="L537" s="72"/>
      <c r="M537" s="72"/>
      <c r="O537" s="11">
        <v>200</v>
      </c>
      <c r="P537" s="11">
        <f t="shared" si="60"/>
        <v>0</v>
      </c>
      <c r="Q537" s="12"/>
      <c r="S537" s="11">
        <f t="shared" si="61"/>
        <v>40000</v>
      </c>
      <c r="T537" s="13">
        <f t="shared" si="62"/>
        <v>196</v>
      </c>
    </row>
    <row r="538" spans="1:20" ht="24.95" customHeight="1">
      <c r="A538" s="10">
        <v>6</v>
      </c>
      <c r="B538" s="66" t="s">
        <v>97</v>
      </c>
      <c r="C538" s="67" t="s">
        <v>87</v>
      </c>
      <c r="D538" s="68" t="s">
        <v>87</v>
      </c>
      <c r="E538" s="4" t="s">
        <v>35</v>
      </c>
      <c r="F538" s="69">
        <v>80</v>
      </c>
      <c r="G538" s="70">
        <v>183.6</v>
      </c>
      <c r="H538" s="69">
        <v>5</v>
      </c>
      <c r="I538" s="70"/>
      <c r="J538" s="71">
        <f t="shared" si="59"/>
        <v>60</v>
      </c>
      <c r="K538" s="71"/>
      <c r="L538" s="54"/>
      <c r="M538" s="59"/>
      <c r="O538" s="11">
        <v>1463</v>
      </c>
      <c r="P538" s="11">
        <f t="shared" si="60"/>
        <v>7315</v>
      </c>
      <c r="S538" s="11">
        <f t="shared" si="61"/>
        <v>87780</v>
      </c>
      <c r="T538" s="13">
        <f t="shared" si="62"/>
        <v>20</v>
      </c>
    </row>
    <row r="539" spans="1:20" ht="24.95" customHeight="1">
      <c r="A539" s="10">
        <v>7</v>
      </c>
      <c r="B539" s="66" t="s">
        <v>88</v>
      </c>
      <c r="C539" s="67" t="s">
        <v>88</v>
      </c>
      <c r="D539" s="68" t="s">
        <v>88</v>
      </c>
      <c r="E539" s="4" t="s">
        <v>94</v>
      </c>
      <c r="F539" s="69">
        <v>126</v>
      </c>
      <c r="G539" s="70">
        <v>19</v>
      </c>
      <c r="H539" s="69"/>
      <c r="I539" s="70"/>
      <c r="J539" s="71">
        <f t="shared" si="59"/>
        <v>0</v>
      </c>
      <c r="K539" s="71"/>
      <c r="L539" s="54"/>
      <c r="M539" s="59"/>
      <c r="O539" s="11">
        <v>6350</v>
      </c>
      <c r="P539" s="11">
        <f t="shared" si="60"/>
        <v>0</v>
      </c>
      <c r="S539" s="11">
        <f t="shared" si="61"/>
        <v>0</v>
      </c>
      <c r="T539" s="13">
        <f t="shared" si="62"/>
        <v>126</v>
      </c>
    </row>
    <row r="540" spans="1:20" ht="24.95" customHeight="1">
      <c r="A540" s="10">
        <v>8</v>
      </c>
      <c r="B540" s="66" t="s">
        <v>89</v>
      </c>
      <c r="C540" s="67" t="s">
        <v>89</v>
      </c>
      <c r="D540" s="68" t="s">
        <v>89</v>
      </c>
      <c r="E540" s="4" t="s">
        <v>95</v>
      </c>
      <c r="F540" s="69">
        <v>1</v>
      </c>
      <c r="G540" s="70">
        <v>1192</v>
      </c>
      <c r="H540" s="69"/>
      <c r="I540" s="70"/>
      <c r="J540" s="71">
        <f t="shared" si="59"/>
        <v>0</v>
      </c>
      <c r="K540" s="71"/>
      <c r="L540" s="54"/>
      <c r="M540" s="59"/>
      <c r="O540" s="11">
        <v>47600</v>
      </c>
      <c r="P540" s="11">
        <f t="shared" si="60"/>
        <v>0</v>
      </c>
      <c r="S540" s="11">
        <f t="shared" si="61"/>
        <v>0</v>
      </c>
      <c r="T540" s="13">
        <f t="shared" si="62"/>
        <v>1</v>
      </c>
    </row>
    <row r="541" spans="1:20" ht="24.95" customHeight="1">
      <c r="A541" s="10">
        <v>9</v>
      </c>
      <c r="B541" s="66" t="s">
        <v>90</v>
      </c>
      <c r="C541" s="67" t="s">
        <v>90</v>
      </c>
      <c r="D541" s="68" t="s">
        <v>90</v>
      </c>
      <c r="E541" s="4" t="s">
        <v>96</v>
      </c>
      <c r="F541" s="69">
        <v>1</v>
      </c>
      <c r="G541" s="70">
        <v>1261</v>
      </c>
      <c r="H541" s="69"/>
      <c r="I541" s="70"/>
      <c r="J541" s="71">
        <f t="shared" si="59"/>
        <v>0</v>
      </c>
      <c r="K541" s="71"/>
      <c r="L541" s="54"/>
      <c r="M541" s="59"/>
      <c r="O541" s="11">
        <v>10000</v>
      </c>
      <c r="P541" s="11">
        <f t="shared" si="60"/>
        <v>0</v>
      </c>
      <c r="S541" s="11">
        <f t="shared" si="61"/>
        <v>0</v>
      </c>
      <c r="T541" s="13">
        <f t="shared" si="62"/>
        <v>1</v>
      </c>
    </row>
    <row r="542" spans="1:20" ht="24.95" customHeight="1">
      <c r="A542" s="14"/>
      <c r="B542" s="15"/>
      <c r="C542" s="16"/>
      <c r="D542" s="17"/>
      <c r="E542" s="4"/>
      <c r="F542" s="18"/>
      <c r="G542" s="19"/>
      <c r="H542" s="105"/>
      <c r="I542" s="106"/>
      <c r="J542" s="105"/>
      <c r="K542" s="106"/>
      <c r="L542" s="54"/>
      <c r="M542" s="59"/>
      <c r="N542" s="20"/>
      <c r="P542" s="21" t="s">
        <v>37</v>
      </c>
      <c r="Q542" s="22">
        <f>SUM(P533:P541)</f>
        <v>7315</v>
      </c>
      <c r="R542" s="23"/>
      <c r="S542" s="24">
        <f>SUM(S533:S541)</f>
        <v>223614</v>
      </c>
      <c r="T542" s="13"/>
    </row>
    <row r="543" spans="1:20" ht="24.95" customHeight="1">
      <c r="A543" s="107"/>
      <c r="B543" s="108"/>
      <c r="C543" s="108"/>
      <c r="D543" s="109"/>
      <c r="E543" s="4"/>
      <c r="F543" s="54"/>
      <c r="G543" s="59"/>
      <c r="H543" s="72"/>
      <c r="I543" s="72"/>
      <c r="J543" s="72"/>
      <c r="K543" s="72"/>
      <c r="L543" s="72"/>
      <c r="M543" s="72"/>
      <c r="O543" t="s">
        <v>38</v>
      </c>
      <c r="P543" s="24">
        <f>Q542</f>
        <v>7315</v>
      </c>
      <c r="T543" s="13"/>
    </row>
    <row r="544" spans="1:20" ht="24.95" customHeight="1">
      <c r="A544" s="97"/>
      <c r="B544" s="98"/>
      <c r="C544" s="98"/>
      <c r="D544" s="99"/>
      <c r="E544" s="4"/>
      <c r="F544" s="54"/>
      <c r="G544" s="59"/>
      <c r="H544" s="72"/>
      <c r="I544" s="72"/>
      <c r="J544" s="72"/>
      <c r="K544" s="72"/>
      <c r="L544" s="72"/>
      <c r="M544" s="72"/>
      <c r="O544" t="s">
        <v>39</v>
      </c>
      <c r="P544" s="23">
        <f>ROUND(P543/1153274,4)*100</f>
        <v>0.63</v>
      </c>
      <c r="T544" s="13"/>
    </row>
    <row r="545" spans="1:20" ht="24.95" customHeight="1">
      <c r="A545" s="25"/>
      <c r="B545" s="63" t="s">
        <v>40</v>
      </c>
      <c r="C545" s="63"/>
      <c r="D545" s="59"/>
      <c r="E545" s="26"/>
      <c r="F545" s="100"/>
      <c r="G545" s="101"/>
      <c r="H545" s="100"/>
      <c r="I545" s="101"/>
      <c r="J545" s="102"/>
      <c r="K545" s="102"/>
      <c r="L545" s="103">
        <f>P543</f>
        <v>7315</v>
      </c>
      <c r="M545" s="104"/>
      <c r="T545" s="13"/>
    </row>
    <row r="546" spans="1:20" ht="24.95" customHeight="1" thickBot="1">
      <c r="A546" s="27"/>
      <c r="B546" s="85" t="s">
        <v>41</v>
      </c>
      <c r="C546" s="85"/>
      <c r="D546" s="86"/>
      <c r="E546" s="28"/>
      <c r="F546" s="87"/>
      <c r="G546" s="88"/>
      <c r="H546" s="87"/>
      <c r="I546" s="88"/>
      <c r="J546" s="87"/>
      <c r="K546" s="88"/>
      <c r="L546" s="89">
        <f>L545+L488</f>
        <v>223614</v>
      </c>
      <c r="M546" s="90"/>
      <c r="T546" s="13"/>
    </row>
    <row r="547" spans="1:20" ht="24.95" customHeight="1">
      <c r="A547" s="29"/>
      <c r="B547" s="91" t="s">
        <v>42</v>
      </c>
      <c r="C547" s="91"/>
      <c r="D547" s="92"/>
      <c r="E547" s="30"/>
      <c r="F547" s="93"/>
      <c r="G547" s="94"/>
      <c r="H547" s="95"/>
      <c r="I547" s="95"/>
      <c r="J547" s="95"/>
      <c r="K547" s="95"/>
      <c r="L547" s="95"/>
      <c r="M547" s="96"/>
      <c r="T547" s="13"/>
    </row>
    <row r="548" spans="1:20" ht="24.95" customHeight="1">
      <c r="A548" s="31"/>
      <c r="B548" s="76" t="s">
        <v>43</v>
      </c>
      <c r="C548" s="76"/>
      <c r="D548" s="77"/>
      <c r="E548" s="4"/>
      <c r="F548" s="54"/>
      <c r="G548" s="59"/>
      <c r="H548" s="72"/>
      <c r="I548" s="72"/>
      <c r="J548" s="72"/>
      <c r="K548" s="72"/>
      <c r="L548" s="72"/>
      <c r="M548" s="78"/>
      <c r="T548" s="13"/>
    </row>
    <row r="549" spans="1:20" ht="24.95" customHeight="1" thickBot="1">
      <c r="A549" s="32"/>
      <c r="B549" s="79" t="s">
        <v>44</v>
      </c>
      <c r="C549" s="79"/>
      <c r="D549" s="80"/>
      <c r="E549" s="33"/>
      <c r="F549" s="81"/>
      <c r="G549" s="82"/>
      <c r="H549" s="83"/>
      <c r="I549" s="83"/>
      <c r="J549" s="83"/>
      <c r="K549" s="83"/>
      <c r="L549" s="83"/>
      <c r="M549" s="84"/>
      <c r="T549" s="13"/>
    </row>
    <row r="550" spans="1:20" ht="24.95" customHeight="1">
      <c r="A550" s="73" t="s">
        <v>45</v>
      </c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T550" s="13"/>
    </row>
    <row r="551" spans="1:20" ht="24.95" customHeight="1">
      <c r="A551" s="72" t="s">
        <v>46</v>
      </c>
      <c r="B551" s="75"/>
      <c r="C551" s="75"/>
      <c r="D551" s="75"/>
      <c r="E551" s="4" t="s">
        <v>22</v>
      </c>
      <c r="F551" s="72" t="s">
        <v>47</v>
      </c>
      <c r="G551" s="72"/>
      <c r="H551" s="72" t="s">
        <v>48</v>
      </c>
      <c r="I551" s="72"/>
      <c r="J551" s="72" t="s">
        <v>49</v>
      </c>
      <c r="K551" s="72"/>
      <c r="L551" s="72" t="s">
        <v>50</v>
      </c>
      <c r="M551" s="72"/>
      <c r="T551" s="13"/>
    </row>
    <row r="552" spans="1:20" ht="24.95" customHeight="1">
      <c r="A552" s="10">
        <v>6</v>
      </c>
      <c r="B552" s="66" t="s">
        <v>97</v>
      </c>
      <c r="C552" s="67" t="s">
        <v>51</v>
      </c>
      <c r="D552" s="68" t="s">
        <v>51</v>
      </c>
      <c r="E552" s="4" t="s">
        <v>35</v>
      </c>
      <c r="F552" s="69">
        <v>80</v>
      </c>
      <c r="G552" s="70">
        <v>1261</v>
      </c>
      <c r="H552" s="71">
        <f>H538</f>
        <v>5</v>
      </c>
      <c r="I552" s="71"/>
      <c r="J552" s="71">
        <f>H552+J494</f>
        <v>60</v>
      </c>
      <c r="K552" s="71"/>
      <c r="L552" s="72"/>
      <c r="M552" s="72"/>
      <c r="T552" s="13"/>
    </row>
    <row r="553" spans="1:20" ht="24.95" customHeight="1">
      <c r="A553" s="10">
        <v>7</v>
      </c>
      <c r="B553" s="66" t="s">
        <v>88</v>
      </c>
      <c r="C553" s="67" t="s">
        <v>88</v>
      </c>
      <c r="D553" s="68" t="s">
        <v>88</v>
      </c>
      <c r="E553" s="4" t="s">
        <v>98</v>
      </c>
      <c r="F553" s="69">
        <v>126</v>
      </c>
      <c r="G553" s="70"/>
      <c r="H553" s="71">
        <f>H539</f>
        <v>0</v>
      </c>
      <c r="I553" s="71"/>
      <c r="J553" s="71">
        <f t="shared" ref="J553:J554" si="63">H553+J495</f>
        <v>0</v>
      </c>
      <c r="K553" s="71"/>
      <c r="L553" s="72"/>
      <c r="M553" s="72"/>
      <c r="T553" s="13"/>
    </row>
    <row r="554" spans="1:20" ht="24.95" customHeight="1">
      <c r="A554" s="10">
        <v>8</v>
      </c>
      <c r="B554" s="66" t="s">
        <v>89</v>
      </c>
      <c r="C554" s="67" t="s">
        <v>89</v>
      </c>
      <c r="D554" s="68" t="s">
        <v>89</v>
      </c>
      <c r="E554" s="4" t="s">
        <v>36</v>
      </c>
      <c r="F554" s="69">
        <v>1</v>
      </c>
      <c r="G554" s="70"/>
      <c r="H554" s="71">
        <f>H540</f>
        <v>0</v>
      </c>
      <c r="I554" s="71"/>
      <c r="J554" s="71">
        <f t="shared" si="63"/>
        <v>0</v>
      </c>
      <c r="K554" s="71"/>
      <c r="L554" s="72"/>
      <c r="M554" s="72"/>
      <c r="T554" s="13"/>
    </row>
    <row r="555" spans="1:20" ht="24.95" customHeight="1">
      <c r="A555" s="51" t="s">
        <v>52</v>
      </c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3"/>
      <c r="T555" s="13"/>
    </row>
    <row r="556" spans="1:20" ht="24.95" customHeight="1">
      <c r="A556" s="54" t="s">
        <v>53</v>
      </c>
      <c r="B556" s="63"/>
      <c r="C556" s="63"/>
      <c r="D556" s="59"/>
      <c r="E556" s="4" t="s">
        <v>54</v>
      </c>
      <c r="F556" s="54" t="s">
        <v>55</v>
      </c>
      <c r="G556" s="59"/>
      <c r="H556" s="54" t="s">
        <v>56</v>
      </c>
      <c r="I556" s="59"/>
      <c r="J556" s="54" t="s">
        <v>48</v>
      </c>
      <c r="K556" s="59"/>
      <c r="L556" s="64" t="s">
        <v>49</v>
      </c>
      <c r="M556" s="65"/>
      <c r="T556" s="13"/>
    </row>
    <row r="557" spans="1:20" ht="24.95" customHeight="1">
      <c r="A557" s="54" t="s">
        <v>57</v>
      </c>
      <c r="B557" s="55"/>
      <c r="C557" s="55"/>
      <c r="D557" s="56"/>
      <c r="E557" s="4">
        <v>2</v>
      </c>
      <c r="F557" s="57">
        <f>E557+F499</f>
        <v>22</v>
      </c>
      <c r="G557" s="58"/>
      <c r="H557" s="54" t="s">
        <v>58</v>
      </c>
      <c r="I557" s="59"/>
      <c r="J557" s="54">
        <v>1</v>
      </c>
      <c r="K557" s="59"/>
      <c r="L557" s="57">
        <f>J557+L499</f>
        <v>11</v>
      </c>
      <c r="M557" s="58"/>
      <c r="T557" s="13"/>
    </row>
    <row r="558" spans="1:20" ht="24.95" customHeight="1">
      <c r="A558" s="54" t="s">
        <v>59</v>
      </c>
      <c r="B558" s="55"/>
      <c r="C558" s="55"/>
      <c r="D558" s="56"/>
      <c r="E558" s="4"/>
      <c r="F558" s="57">
        <f t="shared" ref="F558:F560" si="64">E558+F500</f>
        <v>0</v>
      </c>
      <c r="G558" s="58"/>
      <c r="H558" s="54" t="s">
        <v>60</v>
      </c>
      <c r="I558" s="59"/>
      <c r="J558" s="54"/>
      <c r="K558" s="59"/>
      <c r="L558" s="57">
        <f t="shared" ref="L558:L560" si="65">J558+L500</f>
        <v>0</v>
      </c>
      <c r="M558" s="58"/>
      <c r="T558" s="13"/>
    </row>
    <row r="559" spans="1:20" ht="24.95" customHeight="1">
      <c r="A559" s="54" t="s">
        <v>61</v>
      </c>
      <c r="B559" s="55"/>
      <c r="C559" s="55"/>
      <c r="D559" s="56"/>
      <c r="E559" s="4"/>
      <c r="F559" s="57">
        <f t="shared" si="64"/>
        <v>0</v>
      </c>
      <c r="G559" s="58"/>
      <c r="H559" s="54" t="s">
        <v>62</v>
      </c>
      <c r="I559" s="59"/>
      <c r="J559" s="54"/>
      <c r="K559" s="59"/>
      <c r="L559" s="57">
        <f t="shared" si="65"/>
        <v>2</v>
      </c>
      <c r="M559" s="58"/>
      <c r="T559" s="13"/>
    </row>
    <row r="560" spans="1:20" ht="24.95" customHeight="1">
      <c r="A560" s="54" t="s">
        <v>63</v>
      </c>
      <c r="B560" s="55"/>
      <c r="C560" s="55"/>
      <c r="D560" s="56"/>
      <c r="E560" s="4"/>
      <c r="F560" s="57">
        <f t="shared" si="64"/>
        <v>0</v>
      </c>
      <c r="G560" s="58"/>
      <c r="H560" s="54" t="s">
        <v>64</v>
      </c>
      <c r="I560" s="59"/>
      <c r="J560" s="54"/>
      <c r="K560" s="59"/>
      <c r="L560" s="57">
        <f t="shared" si="65"/>
        <v>0</v>
      </c>
      <c r="M560" s="58"/>
      <c r="T560" s="13"/>
    </row>
    <row r="561" spans="1:20" ht="64.5" customHeight="1">
      <c r="A561" s="60" t="s">
        <v>65</v>
      </c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2"/>
      <c r="T561" s="13"/>
    </row>
    <row r="562" spans="1:20" ht="24.95" customHeight="1">
      <c r="A562" s="46" t="s">
        <v>66</v>
      </c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8"/>
      <c r="T562" s="13"/>
    </row>
    <row r="563" spans="1:20" ht="24.95" customHeight="1">
      <c r="A563" s="27"/>
      <c r="B563" s="34" t="s">
        <v>67</v>
      </c>
      <c r="C563" s="34"/>
      <c r="D563" s="34"/>
      <c r="E563" s="34"/>
      <c r="F563" s="34"/>
      <c r="G563" s="35"/>
      <c r="H563" s="34"/>
      <c r="I563" s="34"/>
      <c r="J563" s="34"/>
      <c r="K563" s="34"/>
      <c r="L563" s="34"/>
      <c r="M563" s="36"/>
      <c r="T563" s="13"/>
    </row>
    <row r="564" spans="1:20" ht="24.95" customHeight="1">
      <c r="A564" s="27"/>
      <c r="B564" s="34" t="s">
        <v>133</v>
      </c>
      <c r="C564" s="34"/>
      <c r="D564" s="34"/>
      <c r="E564" s="34"/>
      <c r="F564" s="34"/>
      <c r="G564" s="35"/>
      <c r="H564" s="34"/>
      <c r="I564" s="34"/>
      <c r="J564" s="34"/>
      <c r="K564" s="34"/>
      <c r="L564" s="34"/>
      <c r="M564" s="36"/>
      <c r="T564" s="13"/>
    </row>
    <row r="565" spans="1:20" ht="24.95" customHeight="1">
      <c r="A565" s="27"/>
      <c r="B565" s="34" t="s">
        <v>68</v>
      </c>
      <c r="C565" s="34"/>
      <c r="D565" s="34"/>
      <c r="E565" s="34"/>
      <c r="F565" s="34"/>
      <c r="G565" s="35"/>
      <c r="H565" s="34"/>
      <c r="I565" s="34"/>
      <c r="J565" s="34"/>
      <c r="K565" s="34"/>
      <c r="L565" s="34"/>
      <c r="M565" s="36"/>
      <c r="T565" s="13"/>
    </row>
    <row r="566" spans="1:20" ht="24.95" customHeight="1">
      <c r="A566" s="27"/>
      <c r="B566" s="34" t="s">
        <v>134</v>
      </c>
      <c r="C566" s="34"/>
      <c r="D566" s="34"/>
      <c r="E566" s="34"/>
      <c r="F566" s="34"/>
      <c r="G566" s="35"/>
      <c r="H566" s="34"/>
      <c r="I566" s="34"/>
      <c r="J566" s="34"/>
      <c r="K566" s="34"/>
      <c r="L566" s="34"/>
      <c r="M566" s="36"/>
      <c r="T566" s="13"/>
    </row>
    <row r="567" spans="1:20" ht="24.95" customHeight="1">
      <c r="A567" s="27"/>
      <c r="B567" s="34" t="s">
        <v>135</v>
      </c>
      <c r="C567" s="34"/>
      <c r="D567" s="34"/>
      <c r="E567" s="34"/>
      <c r="F567" s="34"/>
      <c r="G567" s="35"/>
      <c r="H567" s="34"/>
      <c r="I567" s="34"/>
      <c r="J567" s="34"/>
      <c r="K567" s="34"/>
      <c r="L567" s="34"/>
      <c r="M567" s="36"/>
      <c r="T567" s="13"/>
    </row>
    <row r="568" spans="1:20" ht="24.95" customHeight="1">
      <c r="A568" s="37"/>
      <c r="B568" s="49" t="s">
        <v>69</v>
      </c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50"/>
      <c r="T568" s="13"/>
    </row>
    <row r="569" spans="1:20" ht="44.25" customHeight="1">
      <c r="A569" s="51" t="s">
        <v>70</v>
      </c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3"/>
      <c r="T569" s="13"/>
    </row>
    <row r="570" spans="1:20" ht="48" customHeight="1">
      <c r="A570" s="51" t="s">
        <v>71</v>
      </c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3"/>
      <c r="T570" s="13"/>
    </row>
    <row r="571" spans="1:20" ht="81" customHeight="1">
      <c r="A571" s="51" t="s">
        <v>130</v>
      </c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3"/>
      <c r="T571" s="13"/>
    </row>
    <row r="572" spans="1:20" ht="100.5" customHeight="1">
      <c r="A572" s="51" t="s">
        <v>72</v>
      </c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3"/>
      <c r="T572" s="13"/>
    </row>
    <row r="573" spans="1:20" ht="12" customHeight="1">
      <c r="A573" s="41" t="s">
        <v>73</v>
      </c>
      <c r="B573" s="41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38"/>
      <c r="T573" s="13"/>
    </row>
    <row r="574" spans="1:20" ht="12" customHeight="1">
      <c r="A574" s="43" t="s">
        <v>74</v>
      </c>
      <c r="B574" s="43"/>
      <c r="C574" s="40"/>
      <c r="D574" s="40"/>
      <c r="E574" s="40"/>
      <c r="F574" s="40"/>
      <c r="G574" s="40"/>
      <c r="H574" s="40"/>
      <c r="I574" s="40"/>
      <c r="J574" s="40"/>
      <c r="K574" s="40"/>
      <c r="L574" s="38"/>
      <c r="M574" s="38"/>
      <c r="T574" s="13"/>
    </row>
    <row r="575" spans="1:20" ht="12" customHeight="1">
      <c r="A575" s="44" t="s">
        <v>75</v>
      </c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T575" s="13"/>
    </row>
    <row r="576" spans="1:20" ht="12" customHeight="1">
      <c r="A576" s="39" t="s">
        <v>76</v>
      </c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T576" s="13"/>
    </row>
    <row r="577" spans="1:20" ht="12" customHeight="1">
      <c r="A577" s="39" t="s">
        <v>77</v>
      </c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T577" s="13"/>
    </row>
    <row r="578" spans="1:20" ht="12" customHeight="1">
      <c r="A578" s="45" t="s">
        <v>78</v>
      </c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T578" s="13"/>
    </row>
    <row r="579" spans="1:20" ht="12" customHeight="1">
      <c r="A579" s="39" t="s">
        <v>79</v>
      </c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T579" s="13"/>
    </row>
    <row r="580" spans="1:20" ht="409.5" customHeight="1"/>
    <row r="581" spans="1:20" s="2" customFormat="1" ht="35.1" customHeight="1">
      <c r="A581" s="126" t="s">
        <v>0</v>
      </c>
      <c r="B581" s="126"/>
      <c r="C581" s="1">
        <f>C523+1</f>
        <v>15</v>
      </c>
      <c r="G581" s="3"/>
    </row>
    <row r="582" spans="1:20" s="2" customFormat="1" ht="35.1" customHeight="1">
      <c r="A582" s="126" t="s">
        <v>1</v>
      </c>
      <c r="B582" s="126"/>
      <c r="C582" s="2" t="s">
        <v>2</v>
      </c>
      <c r="D582" s="2" t="s">
        <v>105</v>
      </c>
      <c r="E582" s="2" t="s">
        <v>3</v>
      </c>
      <c r="F582" s="2" t="s">
        <v>105</v>
      </c>
      <c r="G582" s="3"/>
      <c r="H582" s="127" t="s">
        <v>4</v>
      </c>
      <c r="I582" s="128"/>
      <c r="J582" s="129">
        <f>J524+1</f>
        <v>46002</v>
      </c>
      <c r="K582" s="130"/>
      <c r="L582" s="131">
        <f>J582</f>
        <v>46002</v>
      </c>
      <c r="M582" s="132"/>
    </row>
    <row r="583" spans="1:20" s="2" customFormat="1" ht="30" customHeight="1">
      <c r="A583" s="72" t="s">
        <v>5</v>
      </c>
      <c r="B583" s="114"/>
      <c r="C583" s="119" t="s">
        <v>83</v>
      </c>
      <c r="D583" s="119"/>
      <c r="E583" s="119"/>
      <c r="F583" s="119"/>
      <c r="G583" s="119"/>
      <c r="H583" s="54" t="s">
        <v>6</v>
      </c>
      <c r="I583" s="59"/>
      <c r="J583" s="120"/>
      <c r="K583" s="120"/>
      <c r="L583" s="120"/>
      <c r="M583" s="120"/>
    </row>
    <row r="584" spans="1:20" s="1" customFormat="1" ht="30" customHeight="1">
      <c r="A584" s="72" t="s">
        <v>7</v>
      </c>
      <c r="B584" s="114"/>
      <c r="C584" s="4">
        <v>50</v>
      </c>
      <c r="D584" s="4" t="s">
        <v>8</v>
      </c>
      <c r="E584" s="4" t="s">
        <v>9</v>
      </c>
      <c r="F584" s="4">
        <f>F526+1</f>
        <v>15</v>
      </c>
      <c r="G584" s="5" t="s">
        <v>8</v>
      </c>
      <c r="H584" s="4" t="s">
        <v>10</v>
      </c>
      <c r="I584" s="4">
        <f>C584-F584+L584</f>
        <v>35</v>
      </c>
      <c r="J584" s="4" t="s">
        <v>11</v>
      </c>
      <c r="K584" s="6" t="s">
        <v>12</v>
      </c>
      <c r="L584" s="7">
        <f>L526</f>
        <v>0</v>
      </c>
      <c r="M584" s="4" t="s">
        <v>8</v>
      </c>
    </row>
    <row r="585" spans="1:20" s="2" customFormat="1" ht="30" customHeight="1">
      <c r="A585" s="72" t="s">
        <v>13</v>
      </c>
      <c r="B585" s="75"/>
      <c r="C585" s="75"/>
      <c r="D585" s="121">
        <f>D527</f>
        <v>45988</v>
      </c>
      <c r="E585" s="122"/>
      <c r="F585" s="122"/>
      <c r="G585" s="123"/>
      <c r="H585" s="124" t="s">
        <v>14</v>
      </c>
      <c r="I585" s="125"/>
      <c r="J585" s="121">
        <f>J527</f>
        <v>46037</v>
      </c>
      <c r="K585" s="122"/>
      <c r="L585" s="122"/>
      <c r="M585" s="123"/>
    </row>
    <row r="586" spans="1:20" s="2" customFormat="1" ht="30" customHeight="1">
      <c r="A586" s="72" t="s">
        <v>15</v>
      </c>
      <c r="B586" s="114"/>
      <c r="C586" s="114"/>
      <c r="D586" s="72">
        <v>0.64200000000000002</v>
      </c>
      <c r="E586" s="72"/>
      <c r="F586" s="72"/>
      <c r="G586" s="72"/>
      <c r="H586" s="64" t="s">
        <v>16</v>
      </c>
      <c r="I586" s="115"/>
      <c r="J586" s="116">
        <f>P602</f>
        <v>0.63</v>
      </c>
      <c r="K586" s="117"/>
      <c r="L586" s="117"/>
      <c r="M586" s="118"/>
    </row>
    <row r="587" spans="1:20" s="2" customFormat="1" ht="30" customHeight="1">
      <c r="A587" s="72" t="s">
        <v>17</v>
      </c>
      <c r="B587" s="114"/>
      <c r="C587" s="114"/>
      <c r="D587" s="72">
        <f>D586+D529</f>
        <v>5.2089999999999996</v>
      </c>
      <c r="E587" s="72"/>
      <c r="F587" s="72"/>
      <c r="G587" s="72"/>
      <c r="H587" s="64" t="s">
        <v>18</v>
      </c>
      <c r="I587" s="115"/>
      <c r="J587" s="116">
        <f>J586+J529</f>
        <v>19.989999999999991</v>
      </c>
      <c r="K587" s="117"/>
      <c r="L587" s="117"/>
      <c r="M587" s="118"/>
    </row>
    <row r="588" spans="1:20" s="2" customFormat="1" ht="30" customHeight="1">
      <c r="A588" s="111" t="s">
        <v>19</v>
      </c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12"/>
      <c r="M588" s="113"/>
    </row>
    <row r="589" spans="1:20" s="2" customFormat="1" ht="30" customHeight="1">
      <c r="A589" s="8" t="s">
        <v>20</v>
      </c>
      <c r="B589" s="72" t="s">
        <v>21</v>
      </c>
      <c r="C589" s="72"/>
      <c r="D589" s="72"/>
      <c r="E589" s="4" t="s">
        <v>22</v>
      </c>
      <c r="F589" s="54" t="s">
        <v>23</v>
      </c>
      <c r="G589" s="59"/>
      <c r="H589" s="72" t="s">
        <v>24</v>
      </c>
      <c r="I589" s="72"/>
      <c r="J589" s="72" t="s">
        <v>25</v>
      </c>
      <c r="K589" s="72"/>
      <c r="L589" s="72" t="s">
        <v>26</v>
      </c>
      <c r="M589" s="72"/>
      <c r="O589" s="1" t="s">
        <v>27</v>
      </c>
      <c r="P589" s="1" t="s">
        <v>28</v>
      </c>
      <c r="T589" s="2" t="s">
        <v>29</v>
      </c>
    </row>
    <row r="590" spans="1:20" s="2" customFormat="1" ht="24.95" customHeight="1">
      <c r="A590" s="9" t="s">
        <v>30</v>
      </c>
      <c r="B590" s="110" t="s">
        <v>31</v>
      </c>
      <c r="C590" s="110"/>
      <c r="D590" s="110"/>
      <c r="E590" s="4"/>
      <c r="F590" s="54"/>
      <c r="G590" s="59"/>
      <c r="H590" s="72"/>
      <c r="I590" s="72"/>
      <c r="J590" s="72"/>
      <c r="K590" s="72"/>
      <c r="L590" s="72"/>
      <c r="M590" s="72"/>
    </row>
    <row r="591" spans="1:20" ht="24.95" customHeight="1">
      <c r="A591" s="10">
        <v>1</v>
      </c>
      <c r="B591" s="66" t="s">
        <v>91</v>
      </c>
      <c r="C591" s="67" t="s">
        <v>91</v>
      </c>
      <c r="D591" s="68" t="s">
        <v>91</v>
      </c>
      <c r="E591" s="4" t="s">
        <v>32</v>
      </c>
      <c r="F591" s="69">
        <v>1</v>
      </c>
      <c r="G591" s="70"/>
      <c r="H591" s="69"/>
      <c r="I591" s="70"/>
      <c r="J591" s="71">
        <f>H591+J533</f>
        <v>1</v>
      </c>
      <c r="K591" s="71"/>
      <c r="L591" s="72"/>
      <c r="M591" s="72"/>
      <c r="O591" s="11">
        <v>4000</v>
      </c>
      <c r="P591" s="11">
        <f>ROUND(H591*O591,0)</f>
        <v>0</v>
      </c>
      <c r="Q591" s="12"/>
      <c r="S591" s="11">
        <f>ROUND(J591*O591,0)</f>
        <v>4000</v>
      </c>
      <c r="T591" s="13">
        <f>F591-J591</f>
        <v>0</v>
      </c>
    </row>
    <row r="592" spans="1:20" ht="24.95" customHeight="1">
      <c r="A592" s="10">
        <v>2</v>
      </c>
      <c r="B592" s="66" t="s">
        <v>92</v>
      </c>
      <c r="C592" s="67" t="s">
        <v>92</v>
      </c>
      <c r="D592" s="68" t="s">
        <v>92</v>
      </c>
      <c r="E592" s="4" t="s">
        <v>32</v>
      </c>
      <c r="F592" s="69">
        <v>1</v>
      </c>
      <c r="G592" s="70"/>
      <c r="H592" s="69"/>
      <c r="I592" s="70"/>
      <c r="J592" s="71">
        <f t="shared" ref="J592:J599" si="66">H592+J534</f>
        <v>1</v>
      </c>
      <c r="K592" s="71"/>
      <c r="L592" s="72"/>
      <c r="M592" s="72"/>
      <c r="O592" s="11">
        <v>14334</v>
      </c>
      <c r="P592" s="11">
        <f t="shared" ref="P592:P599" si="67">ROUND(H592*O592,0)</f>
        <v>0</v>
      </c>
      <c r="Q592" s="12"/>
      <c r="S592" s="11">
        <f t="shared" ref="S592:S599" si="68">ROUND(J592*O592,0)</f>
        <v>14334</v>
      </c>
      <c r="T592" s="13">
        <f t="shared" ref="T592:T599" si="69">F592-J592</f>
        <v>0</v>
      </c>
    </row>
    <row r="593" spans="1:20" ht="24.95" customHeight="1">
      <c r="A593" s="10">
        <v>3</v>
      </c>
      <c r="B593" s="66" t="s">
        <v>84</v>
      </c>
      <c r="C593" s="67" t="s">
        <v>84</v>
      </c>
      <c r="D593" s="68" t="s">
        <v>84</v>
      </c>
      <c r="E593" s="4" t="s">
        <v>33</v>
      </c>
      <c r="F593" s="69">
        <v>1</v>
      </c>
      <c r="G593" s="70"/>
      <c r="H593" s="69"/>
      <c r="I593" s="70"/>
      <c r="J593" s="71">
        <f t="shared" si="66"/>
        <v>0.5</v>
      </c>
      <c r="K593" s="71"/>
      <c r="L593" s="72"/>
      <c r="M593" s="72"/>
      <c r="O593" s="11">
        <v>7000</v>
      </c>
      <c r="P593" s="11">
        <f t="shared" si="67"/>
        <v>0</v>
      </c>
      <c r="Q593" s="12"/>
      <c r="S593" s="11">
        <f t="shared" si="68"/>
        <v>3500</v>
      </c>
      <c r="T593" s="13">
        <f t="shared" si="69"/>
        <v>0.5</v>
      </c>
    </row>
    <row r="594" spans="1:20" ht="24.95" customHeight="1">
      <c r="A594" s="10">
        <v>4</v>
      </c>
      <c r="B594" s="66" t="s">
        <v>85</v>
      </c>
      <c r="C594" s="67" t="s">
        <v>85</v>
      </c>
      <c r="D594" s="68" t="s">
        <v>85</v>
      </c>
      <c r="E594" s="4" t="s">
        <v>34</v>
      </c>
      <c r="F594" s="69">
        <v>1</v>
      </c>
      <c r="G594" s="70"/>
      <c r="H594" s="69"/>
      <c r="I594" s="70"/>
      <c r="J594" s="71">
        <f t="shared" si="66"/>
        <v>1</v>
      </c>
      <c r="K594" s="71"/>
      <c r="L594" s="72"/>
      <c r="M594" s="72"/>
      <c r="O594" s="11">
        <v>74000</v>
      </c>
      <c r="P594" s="11">
        <f t="shared" si="67"/>
        <v>0</v>
      </c>
      <c r="Q594" s="12"/>
      <c r="S594" s="11">
        <f t="shared" si="68"/>
        <v>74000</v>
      </c>
      <c r="T594" s="13">
        <f t="shared" si="69"/>
        <v>0</v>
      </c>
    </row>
    <row r="595" spans="1:20" ht="24.95" customHeight="1">
      <c r="A595" s="10">
        <v>5</v>
      </c>
      <c r="B595" s="66" t="s">
        <v>86</v>
      </c>
      <c r="C595" s="67" t="s">
        <v>86</v>
      </c>
      <c r="D595" s="68" t="s">
        <v>86</v>
      </c>
      <c r="E595" s="4" t="s">
        <v>93</v>
      </c>
      <c r="F595" s="69">
        <v>396</v>
      </c>
      <c r="G595" s="70"/>
      <c r="H595" s="69"/>
      <c r="I595" s="70"/>
      <c r="J595" s="71">
        <f t="shared" si="66"/>
        <v>200</v>
      </c>
      <c r="K595" s="71"/>
      <c r="L595" s="72"/>
      <c r="M595" s="72"/>
      <c r="O595" s="11">
        <v>200</v>
      </c>
      <c r="P595" s="11">
        <f t="shared" si="67"/>
        <v>0</v>
      </c>
      <c r="Q595" s="12"/>
      <c r="S595" s="11">
        <f t="shared" si="68"/>
        <v>40000</v>
      </c>
      <c r="T595" s="13">
        <f t="shared" si="69"/>
        <v>196</v>
      </c>
    </row>
    <row r="596" spans="1:20" ht="24.95" customHeight="1">
      <c r="A596" s="10">
        <v>6</v>
      </c>
      <c r="B596" s="66" t="s">
        <v>97</v>
      </c>
      <c r="C596" s="67" t="s">
        <v>87</v>
      </c>
      <c r="D596" s="68" t="s">
        <v>87</v>
      </c>
      <c r="E596" s="4" t="s">
        <v>35</v>
      </c>
      <c r="F596" s="69">
        <v>80</v>
      </c>
      <c r="G596" s="70">
        <v>183.6</v>
      </c>
      <c r="H596" s="69">
        <v>5</v>
      </c>
      <c r="I596" s="70"/>
      <c r="J596" s="71">
        <f t="shared" si="66"/>
        <v>65</v>
      </c>
      <c r="K596" s="71"/>
      <c r="L596" s="54"/>
      <c r="M596" s="59"/>
      <c r="O596" s="11">
        <v>1463</v>
      </c>
      <c r="P596" s="11">
        <f t="shared" si="67"/>
        <v>7315</v>
      </c>
      <c r="S596" s="11">
        <f t="shared" si="68"/>
        <v>95095</v>
      </c>
      <c r="T596" s="13">
        <f t="shared" si="69"/>
        <v>15</v>
      </c>
    </row>
    <row r="597" spans="1:20" ht="24.95" customHeight="1">
      <c r="A597" s="10">
        <v>7</v>
      </c>
      <c r="B597" s="66" t="s">
        <v>88</v>
      </c>
      <c r="C597" s="67" t="s">
        <v>88</v>
      </c>
      <c r="D597" s="68" t="s">
        <v>88</v>
      </c>
      <c r="E597" s="4" t="s">
        <v>94</v>
      </c>
      <c r="F597" s="69">
        <v>126</v>
      </c>
      <c r="G597" s="70">
        <v>19</v>
      </c>
      <c r="H597" s="69"/>
      <c r="I597" s="70"/>
      <c r="J597" s="71">
        <f t="shared" si="66"/>
        <v>0</v>
      </c>
      <c r="K597" s="71"/>
      <c r="L597" s="54"/>
      <c r="M597" s="59"/>
      <c r="O597" s="11">
        <v>6350</v>
      </c>
      <c r="P597" s="11">
        <f t="shared" si="67"/>
        <v>0</v>
      </c>
      <c r="S597" s="11">
        <f t="shared" si="68"/>
        <v>0</v>
      </c>
      <c r="T597" s="13">
        <f t="shared" si="69"/>
        <v>126</v>
      </c>
    </row>
    <row r="598" spans="1:20" ht="24.95" customHeight="1">
      <c r="A598" s="10">
        <v>8</v>
      </c>
      <c r="B598" s="66" t="s">
        <v>89</v>
      </c>
      <c r="C598" s="67" t="s">
        <v>89</v>
      </c>
      <c r="D598" s="68" t="s">
        <v>89</v>
      </c>
      <c r="E598" s="4" t="s">
        <v>95</v>
      </c>
      <c r="F598" s="69">
        <v>1</v>
      </c>
      <c r="G598" s="70">
        <v>1192</v>
      </c>
      <c r="H598" s="69"/>
      <c r="I598" s="70"/>
      <c r="J598" s="71">
        <f t="shared" si="66"/>
        <v>0</v>
      </c>
      <c r="K598" s="71"/>
      <c r="L598" s="54"/>
      <c r="M598" s="59"/>
      <c r="O598" s="11">
        <v>47600</v>
      </c>
      <c r="P598" s="11">
        <f t="shared" si="67"/>
        <v>0</v>
      </c>
      <c r="S598" s="11">
        <f t="shared" si="68"/>
        <v>0</v>
      </c>
      <c r="T598" s="13">
        <f t="shared" si="69"/>
        <v>1</v>
      </c>
    </row>
    <row r="599" spans="1:20" ht="24.95" customHeight="1">
      <c r="A599" s="10">
        <v>9</v>
      </c>
      <c r="B599" s="66" t="s">
        <v>90</v>
      </c>
      <c r="C599" s="67" t="s">
        <v>90</v>
      </c>
      <c r="D599" s="68" t="s">
        <v>90</v>
      </c>
      <c r="E599" s="4" t="s">
        <v>96</v>
      </c>
      <c r="F599" s="69">
        <v>1</v>
      </c>
      <c r="G599" s="70">
        <v>1261</v>
      </c>
      <c r="H599" s="69"/>
      <c r="I599" s="70"/>
      <c r="J599" s="71">
        <f t="shared" si="66"/>
        <v>0</v>
      </c>
      <c r="K599" s="71"/>
      <c r="L599" s="54"/>
      <c r="M599" s="59"/>
      <c r="O599" s="11">
        <v>10000</v>
      </c>
      <c r="P599" s="11">
        <f t="shared" si="67"/>
        <v>0</v>
      </c>
      <c r="S599" s="11">
        <f t="shared" si="68"/>
        <v>0</v>
      </c>
      <c r="T599" s="13">
        <f t="shared" si="69"/>
        <v>1</v>
      </c>
    </row>
    <row r="600" spans="1:20" ht="24.95" customHeight="1">
      <c r="A600" s="14"/>
      <c r="B600" s="15"/>
      <c r="C600" s="16"/>
      <c r="D600" s="17"/>
      <c r="E600" s="4"/>
      <c r="F600" s="18"/>
      <c r="G600" s="19"/>
      <c r="H600" s="105"/>
      <c r="I600" s="106"/>
      <c r="J600" s="105"/>
      <c r="K600" s="106"/>
      <c r="L600" s="54"/>
      <c r="M600" s="59"/>
      <c r="N600" s="20"/>
      <c r="P600" s="21" t="s">
        <v>37</v>
      </c>
      <c r="Q600" s="22">
        <f>SUM(P591:P599)</f>
        <v>7315</v>
      </c>
      <c r="R600" s="23"/>
      <c r="S600" s="24">
        <f>SUM(S591:S599)</f>
        <v>230929</v>
      </c>
      <c r="T600" s="13"/>
    </row>
    <row r="601" spans="1:20" ht="24.95" customHeight="1">
      <c r="A601" s="107"/>
      <c r="B601" s="108"/>
      <c r="C601" s="108"/>
      <c r="D601" s="109"/>
      <c r="E601" s="4"/>
      <c r="F601" s="54"/>
      <c r="G601" s="59"/>
      <c r="H601" s="72"/>
      <c r="I601" s="72"/>
      <c r="J601" s="72"/>
      <c r="K601" s="72"/>
      <c r="L601" s="72"/>
      <c r="M601" s="72"/>
      <c r="O601" t="s">
        <v>38</v>
      </c>
      <c r="P601" s="24">
        <f>Q600</f>
        <v>7315</v>
      </c>
      <c r="T601" s="13"/>
    </row>
    <row r="602" spans="1:20" ht="24.95" customHeight="1">
      <c r="A602" s="97"/>
      <c r="B602" s="98"/>
      <c r="C602" s="98"/>
      <c r="D602" s="99"/>
      <c r="E602" s="4"/>
      <c r="F602" s="54"/>
      <c r="G602" s="59"/>
      <c r="H602" s="72"/>
      <c r="I602" s="72"/>
      <c r="J602" s="72"/>
      <c r="K602" s="72"/>
      <c r="L602" s="72"/>
      <c r="M602" s="72"/>
      <c r="O602" t="s">
        <v>39</v>
      </c>
      <c r="P602" s="23">
        <f>ROUND(P601/1153274,4)*100</f>
        <v>0.63</v>
      </c>
      <c r="T602" s="13"/>
    </row>
    <row r="603" spans="1:20" ht="24.95" customHeight="1">
      <c r="A603" s="25"/>
      <c r="B603" s="63" t="s">
        <v>40</v>
      </c>
      <c r="C603" s="63"/>
      <c r="D603" s="59"/>
      <c r="E603" s="26"/>
      <c r="F603" s="100"/>
      <c r="G603" s="101"/>
      <c r="H603" s="100"/>
      <c r="I603" s="101"/>
      <c r="J603" s="102"/>
      <c r="K603" s="102"/>
      <c r="L603" s="103">
        <f>P601</f>
        <v>7315</v>
      </c>
      <c r="M603" s="104"/>
      <c r="T603" s="13"/>
    </row>
    <row r="604" spans="1:20" ht="24.95" customHeight="1" thickBot="1">
      <c r="A604" s="27"/>
      <c r="B604" s="85" t="s">
        <v>41</v>
      </c>
      <c r="C604" s="85"/>
      <c r="D604" s="86"/>
      <c r="E604" s="28"/>
      <c r="F604" s="87"/>
      <c r="G604" s="88"/>
      <c r="H604" s="87"/>
      <c r="I604" s="88"/>
      <c r="J604" s="87"/>
      <c r="K604" s="88"/>
      <c r="L604" s="89">
        <f>L603+L546</f>
        <v>230929</v>
      </c>
      <c r="M604" s="90"/>
      <c r="T604" s="13"/>
    </row>
    <row r="605" spans="1:20" ht="24.95" customHeight="1">
      <c r="A605" s="29"/>
      <c r="B605" s="91" t="s">
        <v>42</v>
      </c>
      <c r="C605" s="91"/>
      <c r="D605" s="92"/>
      <c r="E605" s="30"/>
      <c r="F605" s="93"/>
      <c r="G605" s="94"/>
      <c r="H605" s="95"/>
      <c r="I605" s="95"/>
      <c r="J605" s="95"/>
      <c r="K605" s="95"/>
      <c r="L605" s="95"/>
      <c r="M605" s="96"/>
      <c r="T605" s="13"/>
    </row>
    <row r="606" spans="1:20" ht="24.95" customHeight="1">
      <c r="A606" s="31"/>
      <c r="B606" s="76" t="s">
        <v>43</v>
      </c>
      <c r="C606" s="76"/>
      <c r="D606" s="77"/>
      <c r="E606" s="4"/>
      <c r="F606" s="54"/>
      <c r="G606" s="59"/>
      <c r="H606" s="72"/>
      <c r="I606" s="72"/>
      <c r="J606" s="72"/>
      <c r="K606" s="72"/>
      <c r="L606" s="72"/>
      <c r="M606" s="78"/>
      <c r="T606" s="13"/>
    </row>
    <row r="607" spans="1:20" ht="24.95" customHeight="1" thickBot="1">
      <c r="A607" s="32"/>
      <c r="B607" s="79" t="s">
        <v>44</v>
      </c>
      <c r="C607" s="79"/>
      <c r="D607" s="80"/>
      <c r="E607" s="33"/>
      <c r="F607" s="81"/>
      <c r="G607" s="82"/>
      <c r="H607" s="83"/>
      <c r="I607" s="83"/>
      <c r="J607" s="83"/>
      <c r="K607" s="83"/>
      <c r="L607" s="83"/>
      <c r="M607" s="84"/>
      <c r="T607" s="13"/>
    </row>
    <row r="608" spans="1:20" ht="24.95" customHeight="1">
      <c r="A608" s="73" t="s">
        <v>45</v>
      </c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T608" s="13"/>
    </row>
    <row r="609" spans="1:20" ht="24.95" customHeight="1">
      <c r="A609" s="72" t="s">
        <v>46</v>
      </c>
      <c r="B609" s="75"/>
      <c r="C609" s="75"/>
      <c r="D609" s="75"/>
      <c r="E609" s="4" t="s">
        <v>22</v>
      </c>
      <c r="F609" s="72" t="s">
        <v>47</v>
      </c>
      <c r="G609" s="72"/>
      <c r="H609" s="72" t="s">
        <v>48</v>
      </c>
      <c r="I609" s="72"/>
      <c r="J609" s="72" t="s">
        <v>49</v>
      </c>
      <c r="K609" s="72"/>
      <c r="L609" s="72" t="s">
        <v>50</v>
      </c>
      <c r="M609" s="72"/>
      <c r="T609" s="13"/>
    </row>
    <row r="610" spans="1:20" ht="24.95" customHeight="1">
      <c r="A610" s="10">
        <v>6</v>
      </c>
      <c r="B610" s="66" t="s">
        <v>97</v>
      </c>
      <c r="C610" s="67" t="s">
        <v>51</v>
      </c>
      <c r="D610" s="68" t="s">
        <v>51</v>
      </c>
      <c r="E610" s="4" t="s">
        <v>35</v>
      </c>
      <c r="F610" s="69">
        <v>80</v>
      </c>
      <c r="G610" s="70">
        <v>1261</v>
      </c>
      <c r="H610" s="71">
        <f>H596</f>
        <v>5</v>
      </c>
      <c r="I610" s="71"/>
      <c r="J610" s="71">
        <f>H610+J552</f>
        <v>65</v>
      </c>
      <c r="K610" s="71"/>
      <c r="L610" s="72"/>
      <c r="M610" s="72"/>
      <c r="T610" s="13"/>
    </row>
    <row r="611" spans="1:20" ht="24.95" customHeight="1">
      <c r="A611" s="10">
        <v>7</v>
      </c>
      <c r="B611" s="66" t="s">
        <v>88</v>
      </c>
      <c r="C611" s="67" t="s">
        <v>88</v>
      </c>
      <c r="D611" s="68" t="s">
        <v>88</v>
      </c>
      <c r="E611" s="4" t="s">
        <v>98</v>
      </c>
      <c r="F611" s="69">
        <v>126</v>
      </c>
      <c r="G611" s="70"/>
      <c r="H611" s="71">
        <f>H597</f>
        <v>0</v>
      </c>
      <c r="I611" s="71"/>
      <c r="J611" s="71">
        <f t="shared" ref="J611:J612" si="70">H611+J553</f>
        <v>0</v>
      </c>
      <c r="K611" s="71"/>
      <c r="L611" s="72"/>
      <c r="M611" s="72"/>
      <c r="T611" s="13"/>
    </row>
    <row r="612" spans="1:20" ht="24.95" customHeight="1">
      <c r="A612" s="10">
        <v>8</v>
      </c>
      <c r="B612" s="66" t="s">
        <v>89</v>
      </c>
      <c r="C612" s="67" t="s">
        <v>89</v>
      </c>
      <c r="D612" s="68" t="s">
        <v>89</v>
      </c>
      <c r="E612" s="4" t="s">
        <v>36</v>
      </c>
      <c r="F612" s="69">
        <v>1</v>
      </c>
      <c r="G612" s="70"/>
      <c r="H612" s="71">
        <f>H598</f>
        <v>0</v>
      </c>
      <c r="I612" s="71"/>
      <c r="J612" s="71">
        <f t="shared" si="70"/>
        <v>0</v>
      </c>
      <c r="K612" s="71"/>
      <c r="L612" s="72"/>
      <c r="M612" s="72"/>
      <c r="T612" s="13"/>
    </row>
    <row r="613" spans="1:20" ht="24.95" customHeight="1">
      <c r="A613" s="51" t="s">
        <v>52</v>
      </c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3"/>
      <c r="T613" s="13"/>
    </row>
    <row r="614" spans="1:20" ht="24.95" customHeight="1">
      <c r="A614" s="54" t="s">
        <v>53</v>
      </c>
      <c r="B614" s="63"/>
      <c r="C614" s="63"/>
      <c r="D614" s="59"/>
      <c r="E614" s="4" t="s">
        <v>54</v>
      </c>
      <c r="F614" s="54" t="s">
        <v>55</v>
      </c>
      <c r="G614" s="59"/>
      <c r="H614" s="54" t="s">
        <v>56</v>
      </c>
      <c r="I614" s="59"/>
      <c r="J614" s="54" t="s">
        <v>48</v>
      </c>
      <c r="K614" s="59"/>
      <c r="L614" s="64" t="s">
        <v>49</v>
      </c>
      <c r="M614" s="65"/>
      <c r="T614" s="13"/>
    </row>
    <row r="615" spans="1:20" ht="24.95" customHeight="1">
      <c r="A615" s="54" t="s">
        <v>57</v>
      </c>
      <c r="B615" s="55"/>
      <c r="C615" s="55"/>
      <c r="D615" s="56"/>
      <c r="E615" s="4"/>
      <c r="F615" s="57">
        <f>E615+F557</f>
        <v>22</v>
      </c>
      <c r="G615" s="58"/>
      <c r="H615" s="54" t="s">
        <v>58</v>
      </c>
      <c r="I615" s="59"/>
      <c r="J615" s="54"/>
      <c r="K615" s="59"/>
      <c r="L615" s="57">
        <f>J615+L557</f>
        <v>11</v>
      </c>
      <c r="M615" s="58"/>
      <c r="T615" s="13"/>
    </row>
    <row r="616" spans="1:20" ht="24.95" customHeight="1">
      <c r="A616" s="54" t="s">
        <v>59</v>
      </c>
      <c r="B616" s="55"/>
      <c r="C616" s="55"/>
      <c r="D616" s="56"/>
      <c r="E616" s="4"/>
      <c r="F616" s="57">
        <f t="shared" ref="F616:F618" si="71">E616+F558</f>
        <v>0</v>
      </c>
      <c r="G616" s="58"/>
      <c r="H616" s="54" t="s">
        <v>60</v>
      </c>
      <c r="I616" s="59"/>
      <c r="J616" s="54"/>
      <c r="K616" s="59"/>
      <c r="L616" s="57">
        <f t="shared" ref="L616:L618" si="72">J616+L558</f>
        <v>0</v>
      </c>
      <c r="M616" s="58"/>
      <c r="T616" s="13"/>
    </row>
    <row r="617" spans="1:20" ht="24.95" customHeight="1">
      <c r="A617" s="54" t="s">
        <v>61</v>
      </c>
      <c r="B617" s="55"/>
      <c r="C617" s="55"/>
      <c r="D617" s="56"/>
      <c r="E617" s="4"/>
      <c r="F617" s="57">
        <f t="shared" si="71"/>
        <v>0</v>
      </c>
      <c r="G617" s="58"/>
      <c r="H617" s="54" t="s">
        <v>62</v>
      </c>
      <c r="I617" s="59"/>
      <c r="J617" s="54"/>
      <c r="K617" s="59"/>
      <c r="L617" s="57">
        <f t="shared" si="72"/>
        <v>2</v>
      </c>
      <c r="M617" s="58"/>
      <c r="T617" s="13"/>
    </row>
    <row r="618" spans="1:20" ht="24.95" customHeight="1">
      <c r="A618" s="54" t="s">
        <v>63</v>
      </c>
      <c r="B618" s="55"/>
      <c r="C618" s="55"/>
      <c r="D618" s="56"/>
      <c r="E618" s="4">
        <v>2</v>
      </c>
      <c r="F618" s="57">
        <f t="shared" si="71"/>
        <v>2</v>
      </c>
      <c r="G618" s="58"/>
      <c r="H618" s="54" t="s">
        <v>64</v>
      </c>
      <c r="I618" s="59"/>
      <c r="J618" s="54"/>
      <c r="K618" s="59"/>
      <c r="L618" s="57">
        <f t="shared" si="72"/>
        <v>0</v>
      </c>
      <c r="M618" s="58"/>
      <c r="T618" s="13"/>
    </row>
    <row r="619" spans="1:20" ht="64.5" customHeight="1">
      <c r="A619" s="60" t="s">
        <v>65</v>
      </c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2"/>
      <c r="T619" s="13"/>
    </row>
    <row r="620" spans="1:20" ht="24.95" customHeight="1">
      <c r="A620" s="46" t="s">
        <v>66</v>
      </c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8"/>
      <c r="T620" s="13"/>
    </row>
    <row r="621" spans="1:20" ht="24.95" customHeight="1">
      <c r="A621" s="27"/>
      <c r="B621" s="34" t="s">
        <v>67</v>
      </c>
      <c r="C621" s="34"/>
      <c r="D621" s="34"/>
      <c r="E621" s="34"/>
      <c r="F621" s="34"/>
      <c r="G621" s="35"/>
      <c r="H621" s="34"/>
      <c r="I621" s="34"/>
      <c r="J621" s="34"/>
      <c r="K621" s="34"/>
      <c r="L621" s="34"/>
      <c r="M621" s="36"/>
      <c r="T621" s="13"/>
    </row>
    <row r="622" spans="1:20" ht="24.95" customHeight="1">
      <c r="A622" s="27"/>
      <c r="B622" s="34" t="s">
        <v>133</v>
      </c>
      <c r="C622" s="34"/>
      <c r="D622" s="34"/>
      <c r="E622" s="34"/>
      <c r="F622" s="34"/>
      <c r="G622" s="35"/>
      <c r="H622" s="34"/>
      <c r="I622" s="34"/>
      <c r="J622" s="34"/>
      <c r="K622" s="34"/>
      <c r="L622" s="34"/>
      <c r="M622" s="36"/>
      <c r="T622" s="13"/>
    </row>
    <row r="623" spans="1:20" ht="24.95" customHeight="1">
      <c r="A623" s="27"/>
      <c r="B623" s="34" t="s">
        <v>68</v>
      </c>
      <c r="C623" s="34"/>
      <c r="D623" s="34"/>
      <c r="E623" s="34"/>
      <c r="F623" s="34"/>
      <c r="G623" s="35"/>
      <c r="H623" s="34"/>
      <c r="I623" s="34"/>
      <c r="J623" s="34"/>
      <c r="K623" s="34"/>
      <c r="L623" s="34"/>
      <c r="M623" s="36"/>
      <c r="T623" s="13"/>
    </row>
    <row r="624" spans="1:20" ht="24.95" customHeight="1">
      <c r="A624" s="27"/>
      <c r="B624" s="34" t="s">
        <v>134</v>
      </c>
      <c r="C624" s="34"/>
      <c r="D624" s="34"/>
      <c r="E624" s="34"/>
      <c r="F624" s="34"/>
      <c r="G624" s="35"/>
      <c r="H624" s="34"/>
      <c r="I624" s="34"/>
      <c r="J624" s="34"/>
      <c r="K624" s="34"/>
      <c r="L624" s="34"/>
      <c r="M624" s="36"/>
      <c r="T624" s="13"/>
    </row>
    <row r="625" spans="1:20" ht="24.95" customHeight="1">
      <c r="A625" s="27"/>
      <c r="B625" s="34" t="s">
        <v>135</v>
      </c>
      <c r="C625" s="34"/>
      <c r="D625" s="34"/>
      <c r="E625" s="34"/>
      <c r="F625" s="34"/>
      <c r="G625" s="35"/>
      <c r="H625" s="34"/>
      <c r="I625" s="34"/>
      <c r="J625" s="34"/>
      <c r="K625" s="34"/>
      <c r="L625" s="34"/>
      <c r="M625" s="36"/>
      <c r="T625" s="13"/>
    </row>
    <row r="626" spans="1:20" ht="24.95" customHeight="1">
      <c r="A626" s="37"/>
      <c r="B626" s="49" t="s">
        <v>69</v>
      </c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50"/>
      <c r="T626" s="13"/>
    </row>
    <row r="627" spans="1:20" ht="44.25" customHeight="1">
      <c r="A627" s="51" t="s">
        <v>70</v>
      </c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3"/>
      <c r="T627" s="13"/>
    </row>
    <row r="628" spans="1:20" ht="48" customHeight="1">
      <c r="A628" s="51" t="s">
        <v>71</v>
      </c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3"/>
      <c r="T628" s="13"/>
    </row>
    <row r="629" spans="1:20" ht="81" customHeight="1">
      <c r="A629" s="51" t="s">
        <v>125</v>
      </c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3"/>
      <c r="T629" s="13"/>
    </row>
    <row r="630" spans="1:20" ht="100.5" customHeight="1">
      <c r="A630" s="51" t="s">
        <v>72</v>
      </c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3"/>
      <c r="T630" s="13"/>
    </row>
    <row r="631" spans="1:20" ht="12" customHeight="1">
      <c r="A631" s="41" t="s">
        <v>73</v>
      </c>
      <c r="B631" s="41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38"/>
      <c r="T631" s="13"/>
    </row>
    <row r="632" spans="1:20" ht="12" customHeight="1">
      <c r="A632" s="43" t="s">
        <v>74</v>
      </c>
      <c r="B632" s="43"/>
      <c r="C632" s="40"/>
      <c r="D632" s="40"/>
      <c r="E632" s="40"/>
      <c r="F632" s="40"/>
      <c r="G632" s="40"/>
      <c r="H632" s="40"/>
      <c r="I632" s="40"/>
      <c r="J632" s="40"/>
      <c r="K632" s="40"/>
      <c r="L632" s="38"/>
      <c r="M632" s="38"/>
      <c r="T632" s="13"/>
    </row>
    <row r="633" spans="1:20" ht="12" customHeight="1">
      <c r="A633" s="44" t="s">
        <v>75</v>
      </c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T633" s="13"/>
    </row>
    <row r="634" spans="1:20" ht="12" customHeight="1">
      <c r="A634" s="39" t="s">
        <v>76</v>
      </c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T634" s="13"/>
    </row>
    <row r="635" spans="1:20" ht="12" customHeight="1">
      <c r="A635" s="39" t="s">
        <v>77</v>
      </c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T635" s="13"/>
    </row>
    <row r="636" spans="1:20" ht="12" customHeight="1">
      <c r="A636" s="45" t="s">
        <v>78</v>
      </c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T636" s="13"/>
    </row>
    <row r="637" spans="1:20" ht="12" customHeight="1">
      <c r="A637" s="39" t="s">
        <v>79</v>
      </c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T637" s="13"/>
    </row>
    <row r="638" spans="1:20" ht="409.5" customHeight="1"/>
    <row r="639" spans="1:20" s="2" customFormat="1" ht="35.1" customHeight="1">
      <c r="A639" s="126" t="s">
        <v>0</v>
      </c>
      <c r="B639" s="126"/>
      <c r="C639" s="1">
        <f>C581+1</f>
        <v>16</v>
      </c>
      <c r="G639" s="3"/>
    </row>
    <row r="640" spans="1:20" s="2" customFormat="1" ht="35.1" customHeight="1">
      <c r="A640" s="126" t="s">
        <v>1</v>
      </c>
      <c r="B640" s="126"/>
      <c r="C640" s="2" t="s">
        <v>2</v>
      </c>
      <c r="D640" s="2" t="s">
        <v>105</v>
      </c>
      <c r="E640" s="2" t="s">
        <v>3</v>
      </c>
      <c r="F640" s="2" t="s">
        <v>105</v>
      </c>
      <c r="G640" s="3"/>
      <c r="H640" s="127" t="s">
        <v>4</v>
      </c>
      <c r="I640" s="128"/>
      <c r="J640" s="129">
        <f>J582+1</f>
        <v>46003</v>
      </c>
      <c r="K640" s="130"/>
      <c r="L640" s="131">
        <f>J640</f>
        <v>46003</v>
      </c>
      <c r="M640" s="132"/>
    </row>
    <row r="641" spans="1:20" s="2" customFormat="1" ht="30" customHeight="1">
      <c r="A641" s="72" t="s">
        <v>5</v>
      </c>
      <c r="B641" s="114"/>
      <c r="C641" s="119" t="s">
        <v>83</v>
      </c>
      <c r="D641" s="119"/>
      <c r="E641" s="119"/>
      <c r="F641" s="119"/>
      <c r="G641" s="119"/>
      <c r="H641" s="54" t="s">
        <v>6</v>
      </c>
      <c r="I641" s="59"/>
      <c r="J641" s="120"/>
      <c r="K641" s="120"/>
      <c r="L641" s="120"/>
      <c r="M641" s="120"/>
    </row>
    <row r="642" spans="1:20" s="1" customFormat="1" ht="30" customHeight="1">
      <c r="A642" s="72" t="s">
        <v>7</v>
      </c>
      <c r="B642" s="114"/>
      <c r="C642" s="4">
        <v>50</v>
      </c>
      <c r="D642" s="4" t="s">
        <v>8</v>
      </c>
      <c r="E642" s="4" t="s">
        <v>9</v>
      </c>
      <c r="F642" s="4">
        <f>F584+1</f>
        <v>16</v>
      </c>
      <c r="G642" s="5" t="s">
        <v>8</v>
      </c>
      <c r="H642" s="4" t="s">
        <v>10</v>
      </c>
      <c r="I642" s="4">
        <f>C642-F642+L642</f>
        <v>34</v>
      </c>
      <c r="J642" s="4" t="s">
        <v>11</v>
      </c>
      <c r="K642" s="6" t="s">
        <v>12</v>
      </c>
      <c r="L642" s="7">
        <f>L584</f>
        <v>0</v>
      </c>
      <c r="M642" s="4" t="s">
        <v>8</v>
      </c>
    </row>
    <row r="643" spans="1:20" s="2" customFormat="1" ht="30" customHeight="1">
      <c r="A643" s="72" t="s">
        <v>13</v>
      </c>
      <c r="B643" s="75"/>
      <c r="C643" s="75"/>
      <c r="D643" s="121">
        <f>D585</f>
        <v>45988</v>
      </c>
      <c r="E643" s="122"/>
      <c r="F643" s="122"/>
      <c r="G643" s="123"/>
      <c r="H643" s="124" t="s">
        <v>14</v>
      </c>
      <c r="I643" s="125"/>
      <c r="J643" s="121">
        <f>J585</f>
        <v>46037</v>
      </c>
      <c r="K643" s="122"/>
      <c r="L643" s="122"/>
      <c r="M643" s="123"/>
    </row>
    <row r="644" spans="1:20" s="2" customFormat="1" ht="30" customHeight="1">
      <c r="A644" s="72" t="s">
        <v>15</v>
      </c>
      <c r="B644" s="114"/>
      <c r="C644" s="114"/>
      <c r="D644" s="72">
        <v>0.64200000000000002</v>
      </c>
      <c r="E644" s="72"/>
      <c r="F644" s="72"/>
      <c r="G644" s="72"/>
      <c r="H644" s="64" t="s">
        <v>16</v>
      </c>
      <c r="I644" s="115"/>
      <c r="J644" s="116">
        <f>P660</f>
        <v>0.63</v>
      </c>
      <c r="K644" s="117"/>
      <c r="L644" s="117"/>
      <c r="M644" s="118"/>
    </row>
    <row r="645" spans="1:20" s="2" customFormat="1" ht="30" customHeight="1">
      <c r="A645" s="72" t="s">
        <v>17</v>
      </c>
      <c r="B645" s="114"/>
      <c r="C645" s="114"/>
      <c r="D645" s="72">
        <f>D644+D587</f>
        <v>5.851</v>
      </c>
      <c r="E645" s="72"/>
      <c r="F645" s="72"/>
      <c r="G645" s="72"/>
      <c r="H645" s="64" t="s">
        <v>18</v>
      </c>
      <c r="I645" s="115"/>
      <c r="J645" s="116">
        <f>J644+J587</f>
        <v>20.61999999999999</v>
      </c>
      <c r="K645" s="117"/>
      <c r="L645" s="117"/>
      <c r="M645" s="118"/>
    </row>
    <row r="646" spans="1:20" s="2" customFormat="1" ht="30" customHeight="1">
      <c r="A646" s="111" t="s">
        <v>19</v>
      </c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12"/>
      <c r="M646" s="113"/>
    </row>
    <row r="647" spans="1:20" s="2" customFormat="1" ht="30" customHeight="1">
      <c r="A647" s="8" t="s">
        <v>20</v>
      </c>
      <c r="B647" s="72" t="s">
        <v>21</v>
      </c>
      <c r="C647" s="72"/>
      <c r="D647" s="72"/>
      <c r="E647" s="4" t="s">
        <v>22</v>
      </c>
      <c r="F647" s="54" t="s">
        <v>23</v>
      </c>
      <c r="G647" s="59"/>
      <c r="H647" s="72" t="s">
        <v>24</v>
      </c>
      <c r="I647" s="72"/>
      <c r="J647" s="72" t="s">
        <v>25</v>
      </c>
      <c r="K647" s="72"/>
      <c r="L647" s="72" t="s">
        <v>26</v>
      </c>
      <c r="M647" s="72"/>
      <c r="O647" s="1" t="s">
        <v>27</v>
      </c>
      <c r="P647" s="1" t="s">
        <v>28</v>
      </c>
      <c r="T647" s="2" t="s">
        <v>29</v>
      </c>
    </row>
    <row r="648" spans="1:20" s="2" customFormat="1" ht="24.95" customHeight="1">
      <c r="A648" s="9" t="s">
        <v>30</v>
      </c>
      <c r="B648" s="110" t="s">
        <v>31</v>
      </c>
      <c r="C648" s="110"/>
      <c r="D648" s="110"/>
      <c r="E648" s="4"/>
      <c r="F648" s="54"/>
      <c r="G648" s="59"/>
      <c r="H648" s="72"/>
      <c r="I648" s="72"/>
      <c r="J648" s="72"/>
      <c r="K648" s="72"/>
      <c r="L648" s="72"/>
      <c r="M648" s="72"/>
    </row>
    <row r="649" spans="1:20" ht="24.95" customHeight="1">
      <c r="A649" s="10">
        <v>1</v>
      </c>
      <c r="B649" s="66" t="s">
        <v>91</v>
      </c>
      <c r="C649" s="67" t="s">
        <v>91</v>
      </c>
      <c r="D649" s="68" t="s">
        <v>91</v>
      </c>
      <c r="E649" s="4" t="s">
        <v>32</v>
      </c>
      <c r="F649" s="69">
        <v>1</v>
      </c>
      <c r="G649" s="70"/>
      <c r="H649" s="69"/>
      <c r="I649" s="70"/>
      <c r="J649" s="71">
        <f>H649+J591</f>
        <v>1</v>
      </c>
      <c r="K649" s="71"/>
      <c r="L649" s="72"/>
      <c r="M649" s="72"/>
      <c r="O649" s="11">
        <v>4000</v>
      </c>
      <c r="P649" s="11">
        <f>ROUND(H649*O649,0)</f>
        <v>0</v>
      </c>
      <c r="Q649" s="12"/>
      <c r="S649" s="11">
        <f>ROUND(J649*O649,0)</f>
        <v>4000</v>
      </c>
      <c r="T649" s="13">
        <f>F649-J649</f>
        <v>0</v>
      </c>
    </row>
    <row r="650" spans="1:20" ht="24.95" customHeight="1">
      <c r="A650" s="10">
        <v>2</v>
      </c>
      <c r="B650" s="66" t="s">
        <v>92</v>
      </c>
      <c r="C650" s="67" t="s">
        <v>92</v>
      </c>
      <c r="D650" s="68" t="s">
        <v>92</v>
      </c>
      <c r="E650" s="4" t="s">
        <v>32</v>
      </c>
      <c r="F650" s="69">
        <v>1</v>
      </c>
      <c r="G650" s="70"/>
      <c r="H650" s="69"/>
      <c r="I650" s="70"/>
      <c r="J650" s="71">
        <f t="shared" ref="J650:J657" si="73">H650+J592</f>
        <v>1</v>
      </c>
      <c r="K650" s="71"/>
      <c r="L650" s="72"/>
      <c r="M650" s="72"/>
      <c r="O650" s="11">
        <v>14334</v>
      </c>
      <c r="P650" s="11">
        <f t="shared" ref="P650:P657" si="74">ROUND(H650*O650,0)</f>
        <v>0</v>
      </c>
      <c r="Q650" s="12"/>
      <c r="S650" s="11">
        <f t="shared" ref="S650:S657" si="75">ROUND(J650*O650,0)</f>
        <v>14334</v>
      </c>
      <c r="T650" s="13">
        <f t="shared" ref="T650:T657" si="76">F650-J650</f>
        <v>0</v>
      </c>
    </row>
    <row r="651" spans="1:20" ht="24.95" customHeight="1">
      <c r="A651" s="10">
        <v>3</v>
      </c>
      <c r="B651" s="66" t="s">
        <v>84</v>
      </c>
      <c r="C651" s="67" t="s">
        <v>84</v>
      </c>
      <c r="D651" s="68" t="s">
        <v>84</v>
      </c>
      <c r="E651" s="4" t="s">
        <v>33</v>
      </c>
      <c r="F651" s="69">
        <v>1</v>
      </c>
      <c r="G651" s="70"/>
      <c r="H651" s="69"/>
      <c r="I651" s="70"/>
      <c r="J651" s="71">
        <f t="shared" si="73"/>
        <v>0.5</v>
      </c>
      <c r="K651" s="71"/>
      <c r="L651" s="72"/>
      <c r="M651" s="72"/>
      <c r="O651" s="11">
        <v>7000</v>
      </c>
      <c r="P651" s="11">
        <f t="shared" si="74"/>
        <v>0</v>
      </c>
      <c r="Q651" s="12"/>
      <c r="S651" s="11">
        <f t="shared" si="75"/>
        <v>3500</v>
      </c>
      <c r="T651" s="13">
        <f t="shared" si="76"/>
        <v>0.5</v>
      </c>
    </row>
    <row r="652" spans="1:20" ht="24.95" customHeight="1">
      <c r="A652" s="10">
        <v>4</v>
      </c>
      <c r="B652" s="66" t="s">
        <v>85</v>
      </c>
      <c r="C652" s="67" t="s">
        <v>85</v>
      </c>
      <c r="D652" s="68" t="s">
        <v>85</v>
      </c>
      <c r="E652" s="4" t="s">
        <v>34</v>
      </c>
      <c r="F652" s="69">
        <v>1</v>
      </c>
      <c r="G652" s="70"/>
      <c r="H652" s="69"/>
      <c r="I652" s="70"/>
      <c r="J652" s="71">
        <f t="shared" si="73"/>
        <v>1</v>
      </c>
      <c r="K652" s="71"/>
      <c r="L652" s="72"/>
      <c r="M652" s="72"/>
      <c r="O652" s="11">
        <v>74000</v>
      </c>
      <c r="P652" s="11">
        <f t="shared" si="74"/>
        <v>0</v>
      </c>
      <c r="Q652" s="12"/>
      <c r="S652" s="11">
        <f t="shared" si="75"/>
        <v>74000</v>
      </c>
      <c r="T652" s="13">
        <f t="shared" si="76"/>
        <v>0</v>
      </c>
    </row>
    <row r="653" spans="1:20" ht="24.95" customHeight="1">
      <c r="A653" s="10">
        <v>5</v>
      </c>
      <c r="B653" s="66" t="s">
        <v>86</v>
      </c>
      <c r="C653" s="67" t="s">
        <v>86</v>
      </c>
      <c r="D653" s="68" t="s">
        <v>86</v>
      </c>
      <c r="E653" s="4" t="s">
        <v>93</v>
      </c>
      <c r="F653" s="69">
        <v>396</v>
      </c>
      <c r="G653" s="70"/>
      <c r="H653" s="69"/>
      <c r="I653" s="70"/>
      <c r="J653" s="71">
        <f t="shared" si="73"/>
        <v>200</v>
      </c>
      <c r="K653" s="71"/>
      <c r="L653" s="72"/>
      <c r="M653" s="72"/>
      <c r="O653" s="11">
        <v>200</v>
      </c>
      <c r="P653" s="11">
        <f t="shared" si="74"/>
        <v>0</v>
      </c>
      <c r="Q653" s="12"/>
      <c r="S653" s="11">
        <f t="shared" si="75"/>
        <v>40000</v>
      </c>
      <c r="T653" s="13">
        <f t="shared" si="76"/>
        <v>196</v>
      </c>
    </row>
    <row r="654" spans="1:20" ht="24.95" customHeight="1">
      <c r="A654" s="10">
        <v>6</v>
      </c>
      <c r="B654" s="66" t="s">
        <v>97</v>
      </c>
      <c r="C654" s="67" t="s">
        <v>87</v>
      </c>
      <c r="D654" s="68" t="s">
        <v>87</v>
      </c>
      <c r="E654" s="4" t="s">
        <v>35</v>
      </c>
      <c r="F654" s="69">
        <v>80</v>
      </c>
      <c r="G654" s="70">
        <v>183.6</v>
      </c>
      <c r="H654" s="69">
        <v>5</v>
      </c>
      <c r="I654" s="70"/>
      <c r="J654" s="71">
        <f t="shared" si="73"/>
        <v>70</v>
      </c>
      <c r="K654" s="71"/>
      <c r="L654" s="54"/>
      <c r="M654" s="59"/>
      <c r="O654" s="11">
        <v>1463</v>
      </c>
      <c r="P654" s="11">
        <f t="shared" si="74"/>
        <v>7315</v>
      </c>
      <c r="S654" s="11">
        <f t="shared" si="75"/>
        <v>102410</v>
      </c>
      <c r="T654" s="13">
        <f t="shared" si="76"/>
        <v>10</v>
      </c>
    </row>
    <row r="655" spans="1:20" ht="24.95" customHeight="1">
      <c r="A655" s="10">
        <v>7</v>
      </c>
      <c r="B655" s="66" t="s">
        <v>88</v>
      </c>
      <c r="C655" s="67" t="s">
        <v>88</v>
      </c>
      <c r="D655" s="68" t="s">
        <v>88</v>
      </c>
      <c r="E655" s="4" t="s">
        <v>94</v>
      </c>
      <c r="F655" s="69">
        <v>126</v>
      </c>
      <c r="G655" s="70">
        <v>19</v>
      </c>
      <c r="H655" s="69"/>
      <c r="I655" s="70"/>
      <c r="J655" s="71">
        <f t="shared" si="73"/>
        <v>0</v>
      </c>
      <c r="K655" s="71"/>
      <c r="L655" s="54"/>
      <c r="M655" s="59"/>
      <c r="O655" s="11">
        <v>6350</v>
      </c>
      <c r="P655" s="11">
        <f t="shared" si="74"/>
        <v>0</v>
      </c>
      <c r="S655" s="11">
        <f t="shared" si="75"/>
        <v>0</v>
      </c>
      <c r="T655" s="13">
        <f t="shared" si="76"/>
        <v>126</v>
      </c>
    </row>
    <row r="656" spans="1:20" ht="24.95" customHeight="1">
      <c r="A656" s="10">
        <v>8</v>
      </c>
      <c r="B656" s="66" t="s">
        <v>89</v>
      </c>
      <c r="C656" s="67" t="s">
        <v>89</v>
      </c>
      <c r="D656" s="68" t="s">
        <v>89</v>
      </c>
      <c r="E656" s="4" t="s">
        <v>95</v>
      </c>
      <c r="F656" s="69">
        <v>1</v>
      </c>
      <c r="G656" s="70">
        <v>1192</v>
      </c>
      <c r="H656" s="69"/>
      <c r="I656" s="70"/>
      <c r="J656" s="71">
        <f t="shared" si="73"/>
        <v>0</v>
      </c>
      <c r="K656" s="71"/>
      <c r="L656" s="54"/>
      <c r="M656" s="59"/>
      <c r="O656" s="11">
        <v>47600</v>
      </c>
      <c r="P656" s="11">
        <f t="shared" si="74"/>
        <v>0</v>
      </c>
      <c r="S656" s="11">
        <f t="shared" si="75"/>
        <v>0</v>
      </c>
      <c r="T656" s="13">
        <f t="shared" si="76"/>
        <v>1</v>
      </c>
    </row>
    <row r="657" spans="1:20" ht="24.95" customHeight="1">
      <c r="A657" s="10">
        <v>9</v>
      </c>
      <c r="B657" s="66" t="s">
        <v>90</v>
      </c>
      <c r="C657" s="67" t="s">
        <v>90</v>
      </c>
      <c r="D657" s="68" t="s">
        <v>90</v>
      </c>
      <c r="E657" s="4" t="s">
        <v>96</v>
      </c>
      <c r="F657" s="69">
        <v>1</v>
      </c>
      <c r="G657" s="70">
        <v>1261</v>
      </c>
      <c r="H657" s="69"/>
      <c r="I657" s="70"/>
      <c r="J657" s="71">
        <f t="shared" si="73"/>
        <v>0</v>
      </c>
      <c r="K657" s="71"/>
      <c r="L657" s="54"/>
      <c r="M657" s="59"/>
      <c r="O657" s="11">
        <v>10000</v>
      </c>
      <c r="P657" s="11">
        <f t="shared" si="74"/>
        <v>0</v>
      </c>
      <c r="S657" s="11">
        <f t="shared" si="75"/>
        <v>0</v>
      </c>
      <c r="T657" s="13">
        <f t="shared" si="76"/>
        <v>1</v>
      </c>
    </row>
    <row r="658" spans="1:20" ht="24.95" customHeight="1">
      <c r="A658" s="14"/>
      <c r="B658" s="15"/>
      <c r="C658" s="16"/>
      <c r="D658" s="17"/>
      <c r="E658" s="4"/>
      <c r="F658" s="18"/>
      <c r="G658" s="19"/>
      <c r="H658" s="105"/>
      <c r="I658" s="106"/>
      <c r="J658" s="105"/>
      <c r="K658" s="106"/>
      <c r="L658" s="54"/>
      <c r="M658" s="59"/>
      <c r="N658" s="20"/>
      <c r="P658" s="21" t="s">
        <v>37</v>
      </c>
      <c r="Q658" s="22">
        <f>SUM(P649:P657)</f>
        <v>7315</v>
      </c>
      <c r="R658" s="23"/>
      <c r="S658" s="24">
        <f>SUM(S649:S657)</f>
        <v>238244</v>
      </c>
      <c r="T658" s="13"/>
    </row>
    <row r="659" spans="1:20" ht="24.95" customHeight="1">
      <c r="A659" s="107"/>
      <c r="B659" s="108"/>
      <c r="C659" s="108"/>
      <c r="D659" s="109"/>
      <c r="E659" s="4"/>
      <c r="F659" s="54"/>
      <c r="G659" s="59"/>
      <c r="H659" s="72"/>
      <c r="I659" s="72"/>
      <c r="J659" s="72"/>
      <c r="K659" s="72"/>
      <c r="L659" s="72"/>
      <c r="M659" s="72"/>
      <c r="O659" t="s">
        <v>38</v>
      </c>
      <c r="P659" s="24">
        <f>Q658</f>
        <v>7315</v>
      </c>
      <c r="T659" s="13"/>
    </row>
    <row r="660" spans="1:20" ht="24.95" customHeight="1">
      <c r="A660" s="97"/>
      <c r="B660" s="98"/>
      <c r="C660" s="98"/>
      <c r="D660" s="99"/>
      <c r="E660" s="4"/>
      <c r="F660" s="54"/>
      <c r="G660" s="59"/>
      <c r="H660" s="72"/>
      <c r="I660" s="72"/>
      <c r="J660" s="72"/>
      <c r="K660" s="72"/>
      <c r="L660" s="72"/>
      <c r="M660" s="72"/>
      <c r="O660" t="s">
        <v>39</v>
      </c>
      <c r="P660" s="23">
        <f>ROUND(P659/1153274,4)*100</f>
        <v>0.63</v>
      </c>
      <c r="T660" s="13"/>
    </row>
    <row r="661" spans="1:20" ht="24.95" customHeight="1">
      <c r="A661" s="25"/>
      <c r="B661" s="63" t="s">
        <v>40</v>
      </c>
      <c r="C661" s="63"/>
      <c r="D661" s="59"/>
      <c r="E661" s="26"/>
      <c r="F661" s="100"/>
      <c r="G661" s="101"/>
      <c r="H661" s="100"/>
      <c r="I661" s="101"/>
      <c r="J661" s="102"/>
      <c r="K661" s="102"/>
      <c r="L661" s="103">
        <f>P659</f>
        <v>7315</v>
      </c>
      <c r="M661" s="104"/>
      <c r="T661" s="13"/>
    </row>
    <row r="662" spans="1:20" ht="24.95" customHeight="1" thickBot="1">
      <c r="A662" s="27"/>
      <c r="B662" s="85" t="s">
        <v>41</v>
      </c>
      <c r="C662" s="85"/>
      <c r="D662" s="86"/>
      <c r="E662" s="28"/>
      <c r="F662" s="87"/>
      <c r="G662" s="88"/>
      <c r="H662" s="87"/>
      <c r="I662" s="88"/>
      <c r="J662" s="87"/>
      <c r="K662" s="88"/>
      <c r="L662" s="89">
        <f>L661+L604</f>
        <v>238244</v>
      </c>
      <c r="M662" s="90"/>
      <c r="T662" s="13"/>
    </row>
    <row r="663" spans="1:20" ht="24.95" customHeight="1">
      <c r="A663" s="29"/>
      <c r="B663" s="91" t="s">
        <v>42</v>
      </c>
      <c r="C663" s="91"/>
      <c r="D663" s="92"/>
      <c r="E663" s="30"/>
      <c r="F663" s="93"/>
      <c r="G663" s="94"/>
      <c r="H663" s="95"/>
      <c r="I663" s="95"/>
      <c r="J663" s="95"/>
      <c r="K663" s="95"/>
      <c r="L663" s="95"/>
      <c r="M663" s="96"/>
      <c r="T663" s="13"/>
    </row>
    <row r="664" spans="1:20" ht="24.95" customHeight="1">
      <c r="A664" s="31"/>
      <c r="B664" s="76" t="s">
        <v>43</v>
      </c>
      <c r="C664" s="76"/>
      <c r="D664" s="77"/>
      <c r="E664" s="4"/>
      <c r="F664" s="54"/>
      <c r="G664" s="59"/>
      <c r="H664" s="72"/>
      <c r="I664" s="72"/>
      <c r="J664" s="72"/>
      <c r="K664" s="72"/>
      <c r="L664" s="72"/>
      <c r="M664" s="78"/>
      <c r="T664" s="13"/>
    </row>
    <row r="665" spans="1:20" ht="24.95" customHeight="1" thickBot="1">
      <c r="A665" s="32"/>
      <c r="B665" s="79" t="s">
        <v>44</v>
      </c>
      <c r="C665" s="79"/>
      <c r="D665" s="80"/>
      <c r="E665" s="33"/>
      <c r="F665" s="81"/>
      <c r="G665" s="82"/>
      <c r="H665" s="83"/>
      <c r="I665" s="83"/>
      <c r="J665" s="83"/>
      <c r="K665" s="83"/>
      <c r="L665" s="83"/>
      <c r="M665" s="84"/>
      <c r="T665" s="13"/>
    </row>
    <row r="666" spans="1:20" ht="24.95" customHeight="1">
      <c r="A666" s="73" t="s">
        <v>45</v>
      </c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T666" s="13"/>
    </row>
    <row r="667" spans="1:20" ht="24.95" customHeight="1">
      <c r="A667" s="72" t="s">
        <v>46</v>
      </c>
      <c r="B667" s="75"/>
      <c r="C667" s="75"/>
      <c r="D667" s="75"/>
      <c r="E667" s="4" t="s">
        <v>22</v>
      </c>
      <c r="F667" s="72" t="s">
        <v>47</v>
      </c>
      <c r="G667" s="72"/>
      <c r="H667" s="72" t="s">
        <v>48</v>
      </c>
      <c r="I667" s="72"/>
      <c r="J667" s="72" t="s">
        <v>49</v>
      </c>
      <c r="K667" s="72"/>
      <c r="L667" s="72" t="s">
        <v>50</v>
      </c>
      <c r="M667" s="72"/>
      <c r="T667" s="13"/>
    </row>
    <row r="668" spans="1:20" ht="24.95" customHeight="1">
      <c r="A668" s="10">
        <v>6</v>
      </c>
      <c r="B668" s="66" t="s">
        <v>97</v>
      </c>
      <c r="C668" s="67" t="s">
        <v>51</v>
      </c>
      <c r="D668" s="68" t="s">
        <v>51</v>
      </c>
      <c r="E668" s="4" t="s">
        <v>35</v>
      </c>
      <c r="F668" s="69">
        <v>80</v>
      </c>
      <c r="G668" s="70">
        <v>1261</v>
      </c>
      <c r="H668" s="71">
        <f>H654</f>
        <v>5</v>
      </c>
      <c r="I668" s="71"/>
      <c r="J668" s="71">
        <f>H668+J610</f>
        <v>70</v>
      </c>
      <c r="K668" s="71"/>
      <c r="L668" s="72"/>
      <c r="M668" s="72"/>
      <c r="T668" s="13"/>
    </row>
    <row r="669" spans="1:20" ht="24.95" customHeight="1">
      <c r="A669" s="10">
        <v>7</v>
      </c>
      <c r="B669" s="66" t="s">
        <v>88</v>
      </c>
      <c r="C669" s="67" t="s">
        <v>88</v>
      </c>
      <c r="D669" s="68" t="s">
        <v>88</v>
      </c>
      <c r="E669" s="4" t="s">
        <v>98</v>
      </c>
      <c r="F669" s="69">
        <v>126</v>
      </c>
      <c r="G669" s="70"/>
      <c r="H669" s="71">
        <f>H655</f>
        <v>0</v>
      </c>
      <c r="I669" s="71"/>
      <c r="J669" s="71">
        <f t="shared" ref="J669:J670" si="77">H669+J611</f>
        <v>0</v>
      </c>
      <c r="K669" s="71"/>
      <c r="L669" s="72"/>
      <c r="M669" s="72"/>
      <c r="T669" s="13"/>
    </row>
    <row r="670" spans="1:20" ht="24.95" customHeight="1">
      <c r="A670" s="10">
        <v>8</v>
      </c>
      <c r="B670" s="66" t="s">
        <v>89</v>
      </c>
      <c r="C670" s="67" t="s">
        <v>89</v>
      </c>
      <c r="D670" s="68" t="s">
        <v>89</v>
      </c>
      <c r="E670" s="4" t="s">
        <v>36</v>
      </c>
      <c r="F670" s="69">
        <v>1</v>
      </c>
      <c r="G670" s="70"/>
      <c r="H670" s="71">
        <f>H656</f>
        <v>0</v>
      </c>
      <c r="I670" s="71"/>
      <c r="J670" s="71">
        <f t="shared" si="77"/>
        <v>0</v>
      </c>
      <c r="K670" s="71"/>
      <c r="L670" s="72"/>
      <c r="M670" s="72"/>
      <c r="T670" s="13"/>
    </row>
    <row r="671" spans="1:20" ht="24.95" customHeight="1">
      <c r="A671" s="51" t="s">
        <v>52</v>
      </c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3"/>
      <c r="T671" s="13"/>
    </row>
    <row r="672" spans="1:20" ht="24.95" customHeight="1">
      <c r="A672" s="54" t="s">
        <v>53</v>
      </c>
      <c r="B672" s="63"/>
      <c r="C672" s="63"/>
      <c r="D672" s="59"/>
      <c r="E672" s="4" t="s">
        <v>54</v>
      </c>
      <c r="F672" s="54" t="s">
        <v>55</v>
      </c>
      <c r="G672" s="59"/>
      <c r="H672" s="54" t="s">
        <v>56</v>
      </c>
      <c r="I672" s="59"/>
      <c r="J672" s="54" t="s">
        <v>48</v>
      </c>
      <c r="K672" s="59"/>
      <c r="L672" s="64" t="s">
        <v>49</v>
      </c>
      <c r="M672" s="65"/>
      <c r="T672" s="13"/>
    </row>
    <row r="673" spans="1:20" ht="24.95" customHeight="1">
      <c r="A673" s="54" t="s">
        <v>57</v>
      </c>
      <c r="B673" s="55"/>
      <c r="C673" s="55"/>
      <c r="D673" s="56"/>
      <c r="E673" s="4">
        <v>2</v>
      </c>
      <c r="F673" s="57">
        <f>E673+F615</f>
        <v>24</v>
      </c>
      <c r="G673" s="58"/>
      <c r="H673" s="54" t="s">
        <v>58</v>
      </c>
      <c r="I673" s="59"/>
      <c r="J673" s="54">
        <v>1</v>
      </c>
      <c r="K673" s="59"/>
      <c r="L673" s="57">
        <f>J673+L615</f>
        <v>12</v>
      </c>
      <c r="M673" s="58"/>
      <c r="T673" s="13"/>
    </row>
    <row r="674" spans="1:20" ht="24.95" customHeight="1">
      <c r="A674" s="54" t="s">
        <v>59</v>
      </c>
      <c r="B674" s="55"/>
      <c r="C674" s="55"/>
      <c r="D674" s="56"/>
      <c r="E674" s="4"/>
      <c r="F674" s="57">
        <f t="shared" ref="F674:F676" si="78">E674+F616</f>
        <v>0</v>
      </c>
      <c r="G674" s="58"/>
      <c r="H674" s="54" t="s">
        <v>60</v>
      </c>
      <c r="I674" s="59"/>
      <c r="J674" s="54"/>
      <c r="K674" s="59"/>
      <c r="L674" s="57">
        <f t="shared" ref="L674:L676" si="79">J674+L616</f>
        <v>0</v>
      </c>
      <c r="M674" s="58"/>
      <c r="T674" s="13"/>
    </row>
    <row r="675" spans="1:20" ht="24.95" customHeight="1">
      <c r="A675" s="54" t="s">
        <v>61</v>
      </c>
      <c r="B675" s="55"/>
      <c r="C675" s="55"/>
      <c r="D675" s="56"/>
      <c r="E675" s="4"/>
      <c r="F675" s="57">
        <f t="shared" si="78"/>
        <v>0</v>
      </c>
      <c r="G675" s="58"/>
      <c r="H675" s="54" t="s">
        <v>62</v>
      </c>
      <c r="I675" s="59"/>
      <c r="J675" s="54"/>
      <c r="K675" s="59"/>
      <c r="L675" s="57">
        <f t="shared" si="79"/>
        <v>2</v>
      </c>
      <c r="M675" s="58"/>
      <c r="T675" s="13"/>
    </row>
    <row r="676" spans="1:20" ht="24.95" customHeight="1">
      <c r="A676" s="54" t="s">
        <v>63</v>
      </c>
      <c r="B676" s="55"/>
      <c r="C676" s="55"/>
      <c r="D676" s="56"/>
      <c r="E676" s="4"/>
      <c r="F676" s="57">
        <f t="shared" si="78"/>
        <v>2</v>
      </c>
      <c r="G676" s="58"/>
      <c r="H676" s="54" t="s">
        <v>64</v>
      </c>
      <c r="I676" s="59"/>
      <c r="J676" s="54"/>
      <c r="K676" s="59"/>
      <c r="L676" s="57">
        <f t="shared" si="79"/>
        <v>0</v>
      </c>
      <c r="M676" s="58"/>
      <c r="T676" s="13"/>
    </row>
    <row r="677" spans="1:20" ht="64.5" customHeight="1">
      <c r="A677" s="60" t="s">
        <v>65</v>
      </c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2"/>
      <c r="T677" s="13"/>
    </row>
    <row r="678" spans="1:20" ht="24.95" customHeight="1">
      <c r="A678" s="46" t="s">
        <v>66</v>
      </c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8"/>
      <c r="T678" s="13"/>
    </row>
    <row r="679" spans="1:20" ht="24.95" customHeight="1">
      <c r="A679" s="27"/>
      <c r="B679" s="34" t="s">
        <v>67</v>
      </c>
      <c r="C679" s="34"/>
      <c r="D679" s="34"/>
      <c r="E679" s="34"/>
      <c r="F679" s="34"/>
      <c r="G679" s="35"/>
      <c r="H679" s="34"/>
      <c r="I679" s="34"/>
      <c r="J679" s="34"/>
      <c r="K679" s="34"/>
      <c r="L679" s="34"/>
      <c r="M679" s="36"/>
      <c r="T679" s="13"/>
    </row>
    <row r="680" spans="1:20" ht="24.95" customHeight="1">
      <c r="A680" s="27"/>
      <c r="B680" s="34" t="s">
        <v>133</v>
      </c>
      <c r="C680" s="34"/>
      <c r="D680" s="34"/>
      <c r="E680" s="34"/>
      <c r="F680" s="34"/>
      <c r="G680" s="35"/>
      <c r="H680" s="34"/>
      <c r="I680" s="34"/>
      <c r="J680" s="34"/>
      <c r="K680" s="34"/>
      <c r="L680" s="34"/>
      <c r="M680" s="36"/>
      <c r="T680" s="13"/>
    </row>
    <row r="681" spans="1:20" ht="24.95" customHeight="1">
      <c r="A681" s="27"/>
      <c r="B681" s="34" t="s">
        <v>68</v>
      </c>
      <c r="C681" s="34"/>
      <c r="D681" s="34"/>
      <c r="E681" s="34"/>
      <c r="F681" s="34"/>
      <c r="G681" s="35"/>
      <c r="H681" s="34"/>
      <c r="I681" s="34"/>
      <c r="J681" s="34"/>
      <c r="K681" s="34"/>
      <c r="L681" s="34"/>
      <c r="M681" s="36"/>
      <c r="T681" s="13"/>
    </row>
    <row r="682" spans="1:20" ht="24.95" customHeight="1">
      <c r="A682" s="27"/>
      <c r="B682" s="34" t="s">
        <v>134</v>
      </c>
      <c r="C682" s="34"/>
      <c r="D682" s="34"/>
      <c r="E682" s="34"/>
      <c r="F682" s="34"/>
      <c r="G682" s="35"/>
      <c r="H682" s="34"/>
      <c r="I682" s="34"/>
      <c r="J682" s="34"/>
      <c r="K682" s="34"/>
      <c r="L682" s="34"/>
      <c r="M682" s="36"/>
      <c r="T682" s="13"/>
    </row>
    <row r="683" spans="1:20" ht="24.95" customHeight="1">
      <c r="A683" s="27"/>
      <c r="B683" s="34" t="s">
        <v>135</v>
      </c>
      <c r="C683" s="34"/>
      <c r="D683" s="34"/>
      <c r="E683" s="34"/>
      <c r="F683" s="34"/>
      <c r="G683" s="35"/>
      <c r="H683" s="34"/>
      <c r="I683" s="34"/>
      <c r="J683" s="34"/>
      <c r="K683" s="34"/>
      <c r="L683" s="34"/>
      <c r="M683" s="36"/>
      <c r="T683" s="13"/>
    </row>
    <row r="684" spans="1:20" ht="24.95" customHeight="1">
      <c r="A684" s="37"/>
      <c r="B684" s="49" t="s">
        <v>69</v>
      </c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50"/>
      <c r="T684" s="13"/>
    </row>
    <row r="685" spans="1:20" ht="44.25" customHeight="1">
      <c r="A685" s="51" t="s">
        <v>70</v>
      </c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3"/>
      <c r="T685" s="13"/>
    </row>
    <row r="686" spans="1:20" ht="48" customHeight="1">
      <c r="A686" s="51" t="s">
        <v>71</v>
      </c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3"/>
      <c r="T686" s="13"/>
    </row>
    <row r="687" spans="1:20" ht="81" customHeight="1">
      <c r="A687" s="51" t="s">
        <v>123</v>
      </c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3"/>
      <c r="T687" s="13"/>
    </row>
    <row r="688" spans="1:20" ht="100.5" customHeight="1">
      <c r="A688" s="51" t="s">
        <v>72</v>
      </c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3"/>
      <c r="T688" s="13"/>
    </row>
    <row r="689" spans="1:20" ht="12" customHeight="1">
      <c r="A689" s="41" t="s">
        <v>73</v>
      </c>
      <c r="B689" s="41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38"/>
      <c r="T689" s="13"/>
    </row>
    <row r="690" spans="1:20" ht="12" customHeight="1">
      <c r="A690" s="43" t="s">
        <v>74</v>
      </c>
      <c r="B690" s="43"/>
      <c r="C690" s="40"/>
      <c r="D690" s="40"/>
      <c r="E690" s="40"/>
      <c r="F690" s="40"/>
      <c r="G690" s="40"/>
      <c r="H690" s="40"/>
      <c r="I690" s="40"/>
      <c r="J690" s="40"/>
      <c r="K690" s="40"/>
      <c r="L690" s="38"/>
      <c r="M690" s="38"/>
      <c r="T690" s="13"/>
    </row>
    <row r="691" spans="1:20" ht="12" customHeight="1">
      <c r="A691" s="44" t="s">
        <v>75</v>
      </c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T691" s="13"/>
    </row>
    <row r="692" spans="1:20" ht="12" customHeight="1">
      <c r="A692" s="39" t="s">
        <v>76</v>
      </c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T692" s="13"/>
    </row>
    <row r="693" spans="1:20" ht="12" customHeight="1">
      <c r="A693" s="39" t="s">
        <v>77</v>
      </c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T693" s="13"/>
    </row>
    <row r="694" spans="1:20" ht="12" customHeight="1">
      <c r="A694" s="45" t="s">
        <v>78</v>
      </c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T694" s="13"/>
    </row>
    <row r="695" spans="1:20" ht="12" customHeight="1">
      <c r="A695" s="39" t="s">
        <v>79</v>
      </c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T695" s="13"/>
    </row>
    <row r="696" spans="1:20" ht="409.5" customHeight="1"/>
    <row r="697" spans="1:20" s="2" customFormat="1" ht="35.1" customHeight="1">
      <c r="A697" s="126" t="s">
        <v>0</v>
      </c>
      <c r="B697" s="126"/>
      <c r="C697" s="1">
        <f>C639+1</f>
        <v>17</v>
      </c>
      <c r="G697" s="3"/>
    </row>
    <row r="698" spans="1:20" s="2" customFormat="1" ht="35.1" customHeight="1">
      <c r="A698" s="126" t="s">
        <v>1</v>
      </c>
      <c r="B698" s="126"/>
      <c r="C698" s="2" t="s">
        <v>2</v>
      </c>
      <c r="D698" s="2" t="s">
        <v>105</v>
      </c>
      <c r="E698" s="2" t="s">
        <v>3</v>
      </c>
      <c r="F698" s="2" t="s">
        <v>105</v>
      </c>
      <c r="G698" s="3"/>
      <c r="H698" s="127" t="s">
        <v>4</v>
      </c>
      <c r="I698" s="128"/>
      <c r="J698" s="129">
        <f>J640+1</f>
        <v>46004</v>
      </c>
      <c r="K698" s="130"/>
      <c r="L698" s="131">
        <f>J698</f>
        <v>46004</v>
      </c>
      <c r="M698" s="132"/>
    </row>
    <row r="699" spans="1:20" s="2" customFormat="1" ht="30" customHeight="1">
      <c r="A699" s="72" t="s">
        <v>5</v>
      </c>
      <c r="B699" s="114"/>
      <c r="C699" s="119" t="s">
        <v>83</v>
      </c>
      <c r="D699" s="119"/>
      <c r="E699" s="119"/>
      <c r="F699" s="119"/>
      <c r="G699" s="119"/>
      <c r="H699" s="54" t="s">
        <v>6</v>
      </c>
      <c r="I699" s="59"/>
      <c r="J699" s="120"/>
      <c r="K699" s="120"/>
      <c r="L699" s="120"/>
      <c r="M699" s="120"/>
    </row>
    <row r="700" spans="1:20" s="1" customFormat="1" ht="30" customHeight="1">
      <c r="A700" s="72" t="s">
        <v>7</v>
      </c>
      <c r="B700" s="114"/>
      <c r="C700" s="4">
        <v>50</v>
      </c>
      <c r="D700" s="4" t="s">
        <v>8</v>
      </c>
      <c r="E700" s="4" t="s">
        <v>9</v>
      </c>
      <c r="F700" s="4">
        <f>F642+1</f>
        <v>17</v>
      </c>
      <c r="G700" s="5" t="s">
        <v>8</v>
      </c>
      <c r="H700" s="4" t="s">
        <v>10</v>
      </c>
      <c r="I700" s="4">
        <f>C700-F700+L700</f>
        <v>33</v>
      </c>
      <c r="J700" s="4" t="s">
        <v>11</v>
      </c>
      <c r="K700" s="6" t="s">
        <v>12</v>
      </c>
      <c r="L700" s="7">
        <f>L642</f>
        <v>0</v>
      </c>
      <c r="M700" s="4" t="s">
        <v>8</v>
      </c>
    </row>
    <row r="701" spans="1:20" s="2" customFormat="1" ht="30" customHeight="1">
      <c r="A701" s="72" t="s">
        <v>13</v>
      </c>
      <c r="B701" s="75"/>
      <c r="C701" s="75"/>
      <c r="D701" s="121">
        <f>D643</f>
        <v>45988</v>
      </c>
      <c r="E701" s="122"/>
      <c r="F701" s="122"/>
      <c r="G701" s="123"/>
      <c r="H701" s="124" t="s">
        <v>14</v>
      </c>
      <c r="I701" s="125"/>
      <c r="J701" s="121">
        <f>J643</f>
        <v>46037</v>
      </c>
      <c r="K701" s="122"/>
      <c r="L701" s="122"/>
      <c r="M701" s="123"/>
    </row>
    <row r="702" spans="1:20" s="2" customFormat="1" ht="30" customHeight="1">
      <c r="A702" s="72" t="s">
        <v>15</v>
      </c>
      <c r="B702" s="114"/>
      <c r="C702" s="114"/>
      <c r="D702" s="72">
        <v>0.64200000000000002</v>
      </c>
      <c r="E702" s="72"/>
      <c r="F702" s="72"/>
      <c r="G702" s="72"/>
      <c r="H702" s="64" t="s">
        <v>16</v>
      </c>
      <c r="I702" s="115"/>
      <c r="J702" s="116">
        <f>P718</f>
        <v>0.86999999999999988</v>
      </c>
      <c r="K702" s="117"/>
      <c r="L702" s="117"/>
      <c r="M702" s="118"/>
    </row>
    <row r="703" spans="1:20" s="2" customFormat="1" ht="30" customHeight="1">
      <c r="A703" s="72" t="s">
        <v>17</v>
      </c>
      <c r="B703" s="114"/>
      <c r="C703" s="114"/>
      <c r="D703" s="72">
        <f>D702+D645</f>
        <v>6.4930000000000003</v>
      </c>
      <c r="E703" s="72"/>
      <c r="F703" s="72"/>
      <c r="G703" s="72"/>
      <c r="H703" s="64" t="s">
        <v>18</v>
      </c>
      <c r="I703" s="115"/>
      <c r="J703" s="116">
        <f>J702+J645</f>
        <v>21.489999999999991</v>
      </c>
      <c r="K703" s="117"/>
      <c r="L703" s="117"/>
      <c r="M703" s="118"/>
    </row>
    <row r="704" spans="1:20" s="2" customFormat="1" ht="30" customHeight="1">
      <c r="A704" s="111" t="s">
        <v>19</v>
      </c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12"/>
      <c r="M704" s="113"/>
    </row>
    <row r="705" spans="1:20" s="2" customFormat="1" ht="30" customHeight="1">
      <c r="A705" s="8" t="s">
        <v>20</v>
      </c>
      <c r="B705" s="72" t="s">
        <v>21</v>
      </c>
      <c r="C705" s="72"/>
      <c r="D705" s="72"/>
      <c r="E705" s="4" t="s">
        <v>22</v>
      </c>
      <c r="F705" s="54" t="s">
        <v>23</v>
      </c>
      <c r="G705" s="59"/>
      <c r="H705" s="72" t="s">
        <v>24</v>
      </c>
      <c r="I705" s="72"/>
      <c r="J705" s="72" t="s">
        <v>25</v>
      </c>
      <c r="K705" s="72"/>
      <c r="L705" s="72" t="s">
        <v>26</v>
      </c>
      <c r="M705" s="72"/>
      <c r="O705" s="1" t="s">
        <v>27</v>
      </c>
      <c r="P705" s="1" t="s">
        <v>28</v>
      </c>
      <c r="T705" s="2" t="s">
        <v>29</v>
      </c>
    </row>
    <row r="706" spans="1:20" s="2" customFormat="1" ht="24.95" customHeight="1">
      <c r="A706" s="9" t="s">
        <v>30</v>
      </c>
      <c r="B706" s="110" t="s">
        <v>31</v>
      </c>
      <c r="C706" s="110"/>
      <c r="D706" s="110"/>
      <c r="E706" s="4"/>
      <c r="F706" s="54"/>
      <c r="G706" s="59"/>
      <c r="H706" s="72"/>
      <c r="I706" s="72"/>
      <c r="J706" s="72"/>
      <c r="K706" s="72"/>
      <c r="L706" s="72"/>
      <c r="M706" s="72"/>
    </row>
    <row r="707" spans="1:20" ht="24.95" customHeight="1">
      <c r="A707" s="10">
        <v>1</v>
      </c>
      <c r="B707" s="66" t="s">
        <v>91</v>
      </c>
      <c r="C707" s="67" t="s">
        <v>91</v>
      </c>
      <c r="D707" s="68" t="s">
        <v>91</v>
      </c>
      <c r="E707" s="4" t="s">
        <v>32</v>
      </c>
      <c r="F707" s="69">
        <v>1</v>
      </c>
      <c r="G707" s="70"/>
      <c r="H707" s="69"/>
      <c r="I707" s="70"/>
      <c r="J707" s="71">
        <f>H707+J649</f>
        <v>1</v>
      </c>
      <c r="K707" s="71"/>
      <c r="L707" s="72"/>
      <c r="M707" s="72"/>
      <c r="O707" s="11">
        <v>4000</v>
      </c>
      <c r="P707" s="11">
        <f>ROUND(H707*O707,0)</f>
        <v>0</v>
      </c>
      <c r="Q707" s="12"/>
      <c r="S707" s="11">
        <f>ROUND(J707*O707,0)</f>
        <v>4000</v>
      </c>
      <c r="T707" s="13">
        <f>F707-J707</f>
        <v>0</v>
      </c>
    </row>
    <row r="708" spans="1:20" ht="24.95" customHeight="1">
      <c r="A708" s="10">
        <v>2</v>
      </c>
      <c r="B708" s="66" t="s">
        <v>92</v>
      </c>
      <c r="C708" s="67" t="s">
        <v>92</v>
      </c>
      <c r="D708" s="68" t="s">
        <v>92</v>
      </c>
      <c r="E708" s="4" t="s">
        <v>32</v>
      </c>
      <c r="F708" s="69">
        <v>1</v>
      </c>
      <c r="G708" s="70"/>
      <c r="H708" s="69"/>
      <c r="I708" s="70"/>
      <c r="J708" s="71">
        <f t="shared" ref="J708:J715" si="80">H708+J650</f>
        <v>1</v>
      </c>
      <c r="K708" s="71"/>
      <c r="L708" s="72"/>
      <c r="M708" s="72"/>
      <c r="O708" s="11">
        <v>14334</v>
      </c>
      <c r="P708" s="11">
        <f t="shared" ref="P708:P715" si="81">ROUND(H708*O708,0)</f>
        <v>0</v>
      </c>
      <c r="Q708" s="12"/>
      <c r="S708" s="11">
        <f t="shared" ref="S708:S715" si="82">ROUND(J708*O708,0)</f>
        <v>14334</v>
      </c>
      <c r="T708" s="13">
        <f t="shared" ref="T708:T715" si="83">F708-J708</f>
        <v>0</v>
      </c>
    </row>
    <row r="709" spans="1:20" ht="24.95" customHeight="1">
      <c r="A709" s="10">
        <v>3</v>
      </c>
      <c r="B709" s="66" t="s">
        <v>84</v>
      </c>
      <c r="C709" s="67" t="s">
        <v>84</v>
      </c>
      <c r="D709" s="68" t="s">
        <v>84</v>
      </c>
      <c r="E709" s="4" t="s">
        <v>33</v>
      </c>
      <c r="F709" s="69">
        <v>1</v>
      </c>
      <c r="G709" s="70"/>
      <c r="H709" s="69"/>
      <c r="I709" s="70"/>
      <c r="J709" s="71">
        <f t="shared" si="80"/>
        <v>0.5</v>
      </c>
      <c r="K709" s="71"/>
      <c r="L709" s="72"/>
      <c r="M709" s="72"/>
      <c r="O709" s="11">
        <v>7000</v>
      </c>
      <c r="P709" s="11">
        <f t="shared" si="81"/>
        <v>0</v>
      </c>
      <c r="Q709" s="12"/>
      <c r="S709" s="11">
        <f t="shared" si="82"/>
        <v>3500</v>
      </c>
      <c r="T709" s="13">
        <f t="shared" si="83"/>
        <v>0.5</v>
      </c>
    </row>
    <row r="710" spans="1:20" ht="24.95" customHeight="1">
      <c r="A710" s="10">
        <v>4</v>
      </c>
      <c r="B710" s="66" t="s">
        <v>85</v>
      </c>
      <c r="C710" s="67" t="s">
        <v>85</v>
      </c>
      <c r="D710" s="68" t="s">
        <v>85</v>
      </c>
      <c r="E710" s="4" t="s">
        <v>34</v>
      </c>
      <c r="F710" s="69">
        <v>1</v>
      </c>
      <c r="G710" s="70"/>
      <c r="H710" s="69"/>
      <c r="I710" s="70"/>
      <c r="J710" s="71">
        <f t="shared" si="80"/>
        <v>1</v>
      </c>
      <c r="K710" s="71"/>
      <c r="L710" s="72"/>
      <c r="M710" s="72"/>
      <c r="O710" s="11">
        <v>74000</v>
      </c>
      <c r="P710" s="11">
        <f t="shared" si="81"/>
        <v>0</v>
      </c>
      <c r="Q710" s="12"/>
      <c r="S710" s="11">
        <f t="shared" si="82"/>
        <v>74000</v>
      </c>
      <c r="T710" s="13">
        <f t="shared" si="83"/>
        <v>0</v>
      </c>
    </row>
    <row r="711" spans="1:20" ht="24.95" customHeight="1">
      <c r="A711" s="10">
        <v>5</v>
      </c>
      <c r="B711" s="66" t="s">
        <v>131</v>
      </c>
      <c r="C711" s="67" t="s">
        <v>86</v>
      </c>
      <c r="D711" s="68" t="s">
        <v>86</v>
      </c>
      <c r="E711" s="4" t="s">
        <v>93</v>
      </c>
      <c r="F711" s="69">
        <v>396</v>
      </c>
      <c r="G711" s="70"/>
      <c r="H711" s="69">
        <v>50</v>
      </c>
      <c r="I711" s="70"/>
      <c r="J711" s="71">
        <f t="shared" si="80"/>
        <v>250</v>
      </c>
      <c r="K711" s="71"/>
      <c r="L711" s="72"/>
      <c r="M711" s="72"/>
      <c r="O711" s="11">
        <v>200</v>
      </c>
      <c r="P711" s="11">
        <f t="shared" si="81"/>
        <v>10000</v>
      </c>
      <c r="Q711" s="12"/>
      <c r="S711" s="11">
        <f t="shared" si="82"/>
        <v>50000</v>
      </c>
      <c r="T711" s="13">
        <f t="shared" si="83"/>
        <v>146</v>
      </c>
    </row>
    <row r="712" spans="1:20" ht="24.95" customHeight="1">
      <c r="A712" s="10">
        <v>6</v>
      </c>
      <c r="B712" s="66" t="s">
        <v>97</v>
      </c>
      <c r="C712" s="67" t="s">
        <v>87</v>
      </c>
      <c r="D712" s="68" t="s">
        <v>87</v>
      </c>
      <c r="E712" s="4" t="s">
        <v>35</v>
      </c>
      <c r="F712" s="69">
        <v>80</v>
      </c>
      <c r="G712" s="70">
        <v>183.6</v>
      </c>
      <c r="H712" s="69"/>
      <c r="I712" s="70"/>
      <c r="J712" s="71">
        <f t="shared" si="80"/>
        <v>70</v>
      </c>
      <c r="K712" s="71"/>
      <c r="L712" s="54"/>
      <c r="M712" s="59"/>
      <c r="O712" s="11">
        <v>1463</v>
      </c>
      <c r="P712" s="11">
        <f t="shared" si="81"/>
        <v>0</v>
      </c>
      <c r="S712" s="11">
        <f t="shared" si="82"/>
        <v>102410</v>
      </c>
      <c r="T712" s="13">
        <f t="shared" si="83"/>
        <v>10</v>
      </c>
    </row>
    <row r="713" spans="1:20" ht="24.95" customHeight="1">
      <c r="A713" s="10">
        <v>7</v>
      </c>
      <c r="B713" s="66" t="s">
        <v>88</v>
      </c>
      <c r="C713" s="67" t="s">
        <v>88</v>
      </c>
      <c r="D713" s="68" t="s">
        <v>88</v>
      </c>
      <c r="E713" s="4" t="s">
        <v>94</v>
      </c>
      <c r="F713" s="69">
        <v>126</v>
      </c>
      <c r="G713" s="70">
        <v>19</v>
      </c>
      <c r="H713" s="69"/>
      <c r="I713" s="70"/>
      <c r="J713" s="71">
        <f t="shared" si="80"/>
        <v>0</v>
      </c>
      <c r="K713" s="71"/>
      <c r="L713" s="54"/>
      <c r="M713" s="59"/>
      <c r="O713" s="11">
        <v>6350</v>
      </c>
      <c r="P713" s="11">
        <f t="shared" si="81"/>
        <v>0</v>
      </c>
      <c r="S713" s="11">
        <f t="shared" si="82"/>
        <v>0</v>
      </c>
      <c r="T713" s="13">
        <f t="shared" si="83"/>
        <v>126</v>
      </c>
    </row>
    <row r="714" spans="1:20" ht="24.95" customHeight="1">
      <c r="A714" s="10">
        <v>8</v>
      </c>
      <c r="B714" s="66" t="s">
        <v>89</v>
      </c>
      <c r="C714" s="67" t="s">
        <v>89</v>
      </c>
      <c r="D714" s="68" t="s">
        <v>89</v>
      </c>
      <c r="E714" s="4" t="s">
        <v>95</v>
      </c>
      <c r="F714" s="69">
        <v>1</v>
      </c>
      <c r="G714" s="70">
        <v>1192</v>
      </c>
      <c r="H714" s="69"/>
      <c r="I714" s="70"/>
      <c r="J714" s="71">
        <f t="shared" si="80"/>
        <v>0</v>
      </c>
      <c r="K714" s="71"/>
      <c r="L714" s="54"/>
      <c r="M714" s="59"/>
      <c r="O714" s="11">
        <v>47600</v>
      </c>
      <c r="P714" s="11">
        <f t="shared" si="81"/>
        <v>0</v>
      </c>
      <c r="S714" s="11">
        <f t="shared" si="82"/>
        <v>0</v>
      </c>
      <c r="T714" s="13">
        <f t="shared" si="83"/>
        <v>1</v>
      </c>
    </row>
    <row r="715" spans="1:20" ht="24.95" customHeight="1">
      <c r="A715" s="10">
        <v>9</v>
      </c>
      <c r="B715" s="66" t="s">
        <v>90</v>
      </c>
      <c r="C715" s="67" t="s">
        <v>90</v>
      </c>
      <c r="D715" s="68" t="s">
        <v>90</v>
      </c>
      <c r="E715" s="4" t="s">
        <v>96</v>
      </c>
      <c r="F715" s="69">
        <v>1</v>
      </c>
      <c r="G715" s="70">
        <v>1261</v>
      </c>
      <c r="H715" s="69"/>
      <c r="I715" s="70"/>
      <c r="J715" s="71">
        <f t="shared" si="80"/>
        <v>0</v>
      </c>
      <c r="K715" s="71"/>
      <c r="L715" s="54"/>
      <c r="M715" s="59"/>
      <c r="O715" s="11">
        <v>10000</v>
      </c>
      <c r="P715" s="11">
        <f t="shared" si="81"/>
        <v>0</v>
      </c>
      <c r="S715" s="11">
        <f t="shared" si="82"/>
        <v>0</v>
      </c>
      <c r="T715" s="13">
        <f t="shared" si="83"/>
        <v>1</v>
      </c>
    </row>
    <row r="716" spans="1:20" ht="24.95" customHeight="1">
      <c r="A716" s="14"/>
      <c r="B716" s="15"/>
      <c r="C716" s="16"/>
      <c r="D716" s="17"/>
      <c r="E716" s="4"/>
      <c r="F716" s="18"/>
      <c r="G716" s="19"/>
      <c r="H716" s="105"/>
      <c r="I716" s="106"/>
      <c r="J716" s="105"/>
      <c r="K716" s="106"/>
      <c r="L716" s="54"/>
      <c r="M716" s="59"/>
      <c r="N716" s="20"/>
      <c r="P716" s="21" t="s">
        <v>37</v>
      </c>
      <c r="Q716" s="22">
        <f>SUM(P707:P715)</f>
        <v>10000</v>
      </c>
      <c r="R716" s="23"/>
      <c r="S716" s="24">
        <f>SUM(S707:S715)</f>
        <v>248244</v>
      </c>
      <c r="T716" s="13"/>
    </row>
    <row r="717" spans="1:20" ht="24.95" customHeight="1">
      <c r="A717" s="107"/>
      <c r="B717" s="108"/>
      <c r="C717" s="108"/>
      <c r="D717" s="109"/>
      <c r="E717" s="4"/>
      <c r="F717" s="54"/>
      <c r="G717" s="59"/>
      <c r="H717" s="72"/>
      <c r="I717" s="72"/>
      <c r="J717" s="72"/>
      <c r="K717" s="72"/>
      <c r="L717" s="72"/>
      <c r="M717" s="72"/>
      <c r="O717" t="s">
        <v>38</v>
      </c>
      <c r="P717" s="24">
        <f>Q716</f>
        <v>10000</v>
      </c>
      <c r="T717" s="13"/>
    </row>
    <row r="718" spans="1:20" ht="24.95" customHeight="1">
      <c r="A718" s="97"/>
      <c r="B718" s="98"/>
      <c r="C718" s="98"/>
      <c r="D718" s="99"/>
      <c r="E718" s="4"/>
      <c r="F718" s="54"/>
      <c r="G718" s="59"/>
      <c r="H718" s="72"/>
      <c r="I718" s="72"/>
      <c r="J718" s="72"/>
      <c r="K718" s="72"/>
      <c r="L718" s="72"/>
      <c r="M718" s="72"/>
      <c r="O718" t="s">
        <v>39</v>
      </c>
      <c r="P718" s="23">
        <f>ROUND(P717/1153274,4)*100</f>
        <v>0.86999999999999988</v>
      </c>
      <c r="T718" s="13"/>
    </row>
    <row r="719" spans="1:20" ht="24.95" customHeight="1">
      <c r="A719" s="25"/>
      <c r="B719" s="63" t="s">
        <v>40</v>
      </c>
      <c r="C719" s="63"/>
      <c r="D719" s="59"/>
      <c r="E719" s="26"/>
      <c r="F719" s="100"/>
      <c r="G719" s="101"/>
      <c r="H719" s="100"/>
      <c r="I719" s="101"/>
      <c r="J719" s="102"/>
      <c r="K719" s="102"/>
      <c r="L719" s="103">
        <f>P717</f>
        <v>10000</v>
      </c>
      <c r="M719" s="104"/>
      <c r="T719" s="13"/>
    </row>
    <row r="720" spans="1:20" ht="24.95" customHeight="1" thickBot="1">
      <c r="A720" s="27"/>
      <c r="B720" s="85" t="s">
        <v>41</v>
      </c>
      <c r="C720" s="85"/>
      <c r="D720" s="86"/>
      <c r="E720" s="28"/>
      <c r="F720" s="87"/>
      <c r="G720" s="88"/>
      <c r="H720" s="87"/>
      <c r="I720" s="88"/>
      <c r="J720" s="87"/>
      <c r="K720" s="88"/>
      <c r="L720" s="89">
        <f>L719+L662</f>
        <v>248244</v>
      </c>
      <c r="M720" s="90"/>
      <c r="T720" s="13"/>
    </row>
    <row r="721" spans="1:20" ht="24.95" customHeight="1">
      <c r="A721" s="29"/>
      <c r="B721" s="91" t="s">
        <v>42</v>
      </c>
      <c r="C721" s="91"/>
      <c r="D721" s="92"/>
      <c r="E721" s="30"/>
      <c r="F721" s="93"/>
      <c r="G721" s="94"/>
      <c r="H721" s="95"/>
      <c r="I721" s="95"/>
      <c r="J721" s="95"/>
      <c r="K721" s="95"/>
      <c r="L721" s="95"/>
      <c r="M721" s="96"/>
      <c r="T721" s="13"/>
    </row>
    <row r="722" spans="1:20" ht="24.95" customHeight="1">
      <c r="A722" s="31"/>
      <c r="B722" s="76" t="s">
        <v>43</v>
      </c>
      <c r="C722" s="76"/>
      <c r="D722" s="77"/>
      <c r="E722" s="4"/>
      <c r="F722" s="54"/>
      <c r="G722" s="59"/>
      <c r="H722" s="72"/>
      <c r="I722" s="72"/>
      <c r="J722" s="72"/>
      <c r="K722" s="72"/>
      <c r="L722" s="72"/>
      <c r="M722" s="78"/>
      <c r="T722" s="13"/>
    </row>
    <row r="723" spans="1:20" ht="24.95" customHeight="1" thickBot="1">
      <c r="A723" s="32"/>
      <c r="B723" s="79" t="s">
        <v>44</v>
      </c>
      <c r="C723" s="79"/>
      <c r="D723" s="80"/>
      <c r="E723" s="33"/>
      <c r="F723" s="81"/>
      <c r="G723" s="82"/>
      <c r="H723" s="83"/>
      <c r="I723" s="83"/>
      <c r="J723" s="83"/>
      <c r="K723" s="83"/>
      <c r="L723" s="83"/>
      <c r="M723" s="84"/>
      <c r="T723" s="13"/>
    </row>
    <row r="724" spans="1:20" ht="24.95" customHeight="1">
      <c r="A724" s="73" t="s">
        <v>45</v>
      </c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T724" s="13"/>
    </row>
    <row r="725" spans="1:20" ht="24.95" customHeight="1">
      <c r="A725" s="72" t="s">
        <v>46</v>
      </c>
      <c r="B725" s="75"/>
      <c r="C725" s="75"/>
      <c r="D725" s="75"/>
      <c r="E725" s="4" t="s">
        <v>22</v>
      </c>
      <c r="F725" s="72" t="s">
        <v>47</v>
      </c>
      <c r="G725" s="72"/>
      <c r="H725" s="72" t="s">
        <v>48</v>
      </c>
      <c r="I725" s="72"/>
      <c r="J725" s="72" t="s">
        <v>49</v>
      </c>
      <c r="K725" s="72"/>
      <c r="L725" s="72" t="s">
        <v>50</v>
      </c>
      <c r="M725" s="72"/>
      <c r="T725" s="13"/>
    </row>
    <row r="726" spans="1:20" ht="24.95" customHeight="1">
      <c r="A726" s="10">
        <v>6</v>
      </c>
      <c r="B726" s="66" t="s">
        <v>97</v>
      </c>
      <c r="C726" s="67" t="s">
        <v>51</v>
      </c>
      <c r="D726" s="68" t="s">
        <v>51</v>
      </c>
      <c r="E726" s="4" t="s">
        <v>35</v>
      </c>
      <c r="F726" s="69">
        <v>80</v>
      </c>
      <c r="G726" s="70">
        <v>1261</v>
      </c>
      <c r="H726" s="71">
        <f>H712</f>
        <v>0</v>
      </c>
      <c r="I726" s="71"/>
      <c r="J726" s="71">
        <f>H726+J668</f>
        <v>70</v>
      </c>
      <c r="K726" s="71"/>
      <c r="L726" s="72"/>
      <c r="M726" s="72"/>
      <c r="T726" s="13"/>
    </row>
    <row r="727" spans="1:20" ht="24.95" customHeight="1">
      <c r="A727" s="10">
        <v>7</v>
      </c>
      <c r="B727" s="66" t="s">
        <v>88</v>
      </c>
      <c r="C727" s="67" t="s">
        <v>88</v>
      </c>
      <c r="D727" s="68" t="s">
        <v>88</v>
      </c>
      <c r="E727" s="4" t="s">
        <v>98</v>
      </c>
      <c r="F727" s="69">
        <v>126</v>
      </c>
      <c r="G727" s="70"/>
      <c r="H727" s="71">
        <f>H713</f>
        <v>0</v>
      </c>
      <c r="I727" s="71"/>
      <c r="J727" s="71">
        <f t="shared" ref="J727:J728" si="84">H727+J669</f>
        <v>0</v>
      </c>
      <c r="K727" s="71"/>
      <c r="L727" s="72"/>
      <c r="M727" s="72"/>
      <c r="T727" s="13"/>
    </row>
    <row r="728" spans="1:20" ht="24.95" customHeight="1">
      <c r="A728" s="10">
        <v>8</v>
      </c>
      <c r="B728" s="66" t="s">
        <v>89</v>
      </c>
      <c r="C728" s="67" t="s">
        <v>89</v>
      </c>
      <c r="D728" s="68" t="s">
        <v>89</v>
      </c>
      <c r="E728" s="4" t="s">
        <v>36</v>
      </c>
      <c r="F728" s="69">
        <v>1</v>
      </c>
      <c r="G728" s="70"/>
      <c r="H728" s="71">
        <f>H714</f>
        <v>0</v>
      </c>
      <c r="I728" s="71"/>
      <c r="J728" s="71">
        <f t="shared" si="84"/>
        <v>0</v>
      </c>
      <c r="K728" s="71"/>
      <c r="L728" s="72"/>
      <c r="M728" s="72"/>
      <c r="T728" s="13"/>
    </row>
    <row r="729" spans="1:20" ht="24.95" customHeight="1">
      <c r="A729" s="51" t="s">
        <v>52</v>
      </c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3"/>
      <c r="T729" s="13"/>
    </row>
    <row r="730" spans="1:20" ht="24.95" customHeight="1">
      <c r="A730" s="54" t="s">
        <v>53</v>
      </c>
      <c r="B730" s="63"/>
      <c r="C730" s="63"/>
      <c r="D730" s="59"/>
      <c r="E730" s="4" t="s">
        <v>54</v>
      </c>
      <c r="F730" s="54" t="s">
        <v>55</v>
      </c>
      <c r="G730" s="59"/>
      <c r="H730" s="54" t="s">
        <v>56</v>
      </c>
      <c r="I730" s="59"/>
      <c r="J730" s="54" t="s">
        <v>48</v>
      </c>
      <c r="K730" s="59"/>
      <c r="L730" s="64" t="s">
        <v>49</v>
      </c>
      <c r="M730" s="65"/>
      <c r="T730" s="13"/>
    </row>
    <row r="731" spans="1:20" ht="24.95" customHeight="1">
      <c r="A731" s="54" t="s">
        <v>57</v>
      </c>
      <c r="B731" s="55"/>
      <c r="C731" s="55"/>
      <c r="D731" s="56"/>
      <c r="E731" s="4">
        <v>1</v>
      </c>
      <c r="F731" s="57">
        <f>E731+F673</f>
        <v>25</v>
      </c>
      <c r="G731" s="58"/>
      <c r="H731" s="54" t="s">
        <v>58</v>
      </c>
      <c r="I731" s="59"/>
      <c r="J731" s="54"/>
      <c r="K731" s="59"/>
      <c r="L731" s="57">
        <f>J731+L673</f>
        <v>12</v>
      </c>
      <c r="M731" s="58"/>
      <c r="T731" s="13"/>
    </row>
    <row r="732" spans="1:20" ht="24.95" customHeight="1">
      <c r="A732" s="54" t="s">
        <v>59</v>
      </c>
      <c r="B732" s="55"/>
      <c r="C732" s="55"/>
      <c r="D732" s="56"/>
      <c r="E732" s="4"/>
      <c r="F732" s="57">
        <f t="shared" ref="F732:F734" si="85">E732+F674</f>
        <v>0</v>
      </c>
      <c r="G732" s="58"/>
      <c r="H732" s="54" t="s">
        <v>60</v>
      </c>
      <c r="I732" s="59"/>
      <c r="J732" s="54"/>
      <c r="K732" s="59"/>
      <c r="L732" s="57">
        <f t="shared" ref="L732:L734" si="86">J732+L674</f>
        <v>0</v>
      </c>
      <c r="M732" s="58"/>
      <c r="T732" s="13"/>
    </row>
    <row r="733" spans="1:20" ht="24.95" customHeight="1">
      <c r="A733" s="54" t="s">
        <v>61</v>
      </c>
      <c r="B733" s="55"/>
      <c r="C733" s="55"/>
      <c r="D733" s="56"/>
      <c r="E733" s="4"/>
      <c r="F733" s="57">
        <f t="shared" si="85"/>
        <v>0</v>
      </c>
      <c r="G733" s="58"/>
      <c r="H733" s="54" t="s">
        <v>62</v>
      </c>
      <c r="I733" s="59"/>
      <c r="J733" s="54">
        <v>1</v>
      </c>
      <c r="K733" s="59"/>
      <c r="L733" s="57">
        <f t="shared" si="86"/>
        <v>3</v>
      </c>
      <c r="M733" s="58"/>
      <c r="T733" s="13"/>
    </row>
    <row r="734" spans="1:20" ht="24.95" customHeight="1">
      <c r="A734" s="54" t="s">
        <v>63</v>
      </c>
      <c r="B734" s="55"/>
      <c r="C734" s="55"/>
      <c r="D734" s="56"/>
      <c r="E734" s="4"/>
      <c r="F734" s="57">
        <f t="shared" si="85"/>
        <v>2</v>
      </c>
      <c r="G734" s="58"/>
      <c r="H734" s="54" t="s">
        <v>64</v>
      </c>
      <c r="I734" s="59"/>
      <c r="J734" s="54"/>
      <c r="K734" s="59"/>
      <c r="L734" s="57">
        <f t="shared" si="86"/>
        <v>0</v>
      </c>
      <c r="M734" s="58"/>
      <c r="T734" s="13"/>
    </row>
    <row r="735" spans="1:20" ht="64.5" customHeight="1">
      <c r="A735" s="60" t="s">
        <v>65</v>
      </c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2"/>
      <c r="T735" s="13"/>
    </row>
    <row r="736" spans="1:20" ht="24.95" customHeight="1">
      <c r="A736" s="46" t="s">
        <v>66</v>
      </c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8"/>
      <c r="T736" s="13"/>
    </row>
    <row r="737" spans="1:20" ht="24.95" customHeight="1">
      <c r="A737" s="27"/>
      <c r="B737" s="34" t="s">
        <v>67</v>
      </c>
      <c r="C737" s="34"/>
      <c r="D737" s="34"/>
      <c r="E737" s="34"/>
      <c r="F737" s="34"/>
      <c r="G737" s="35"/>
      <c r="H737" s="34"/>
      <c r="I737" s="34"/>
      <c r="J737" s="34"/>
      <c r="K737" s="34"/>
      <c r="L737" s="34"/>
      <c r="M737" s="36"/>
      <c r="T737" s="13"/>
    </row>
    <row r="738" spans="1:20" ht="24.95" customHeight="1">
      <c r="A738" s="27"/>
      <c r="B738" s="34" t="s">
        <v>133</v>
      </c>
      <c r="C738" s="34"/>
      <c r="D738" s="34"/>
      <c r="E738" s="34"/>
      <c r="F738" s="34"/>
      <c r="G738" s="35"/>
      <c r="H738" s="34"/>
      <c r="I738" s="34"/>
      <c r="J738" s="34"/>
      <c r="K738" s="34"/>
      <c r="L738" s="34"/>
      <c r="M738" s="36"/>
      <c r="T738" s="13"/>
    </row>
    <row r="739" spans="1:20" ht="24.95" customHeight="1">
      <c r="A739" s="27"/>
      <c r="B739" s="34" t="s">
        <v>68</v>
      </c>
      <c r="C739" s="34"/>
      <c r="D739" s="34"/>
      <c r="E739" s="34"/>
      <c r="F739" s="34"/>
      <c r="G739" s="35"/>
      <c r="H739" s="34"/>
      <c r="I739" s="34"/>
      <c r="J739" s="34"/>
      <c r="K739" s="34"/>
      <c r="L739" s="34"/>
      <c r="M739" s="36"/>
      <c r="T739" s="13"/>
    </row>
    <row r="740" spans="1:20" ht="24.95" customHeight="1">
      <c r="A740" s="27"/>
      <c r="B740" s="34" t="s">
        <v>134</v>
      </c>
      <c r="C740" s="34"/>
      <c r="D740" s="34"/>
      <c r="E740" s="34"/>
      <c r="F740" s="34"/>
      <c r="G740" s="35"/>
      <c r="H740" s="34"/>
      <c r="I740" s="34"/>
      <c r="J740" s="34"/>
      <c r="K740" s="34"/>
      <c r="L740" s="34"/>
      <c r="M740" s="36"/>
      <c r="T740" s="13"/>
    </row>
    <row r="741" spans="1:20" ht="24.95" customHeight="1">
      <c r="A741" s="27"/>
      <c r="B741" s="34" t="s">
        <v>135</v>
      </c>
      <c r="C741" s="34"/>
      <c r="D741" s="34"/>
      <c r="E741" s="34"/>
      <c r="F741" s="34"/>
      <c r="G741" s="35"/>
      <c r="H741" s="34"/>
      <c r="I741" s="34"/>
      <c r="J741" s="34"/>
      <c r="K741" s="34"/>
      <c r="L741" s="34"/>
      <c r="M741" s="36"/>
      <c r="T741" s="13"/>
    </row>
    <row r="742" spans="1:20" ht="24.95" customHeight="1">
      <c r="A742" s="37"/>
      <c r="B742" s="49" t="s">
        <v>69</v>
      </c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50"/>
      <c r="T742" s="13"/>
    </row>
    <row r="743" spans="1:20" ht="44.25" customHeight="1">
      <c r="A743" s="51" t="s">
        <v>70</v>
      </c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3"/>
      <c r="T743" s="13"/>
    </row>
    <row r="744" spans="1:20" ht="48" customHeight="1">
      <c r="A744" s="51" t="s">
        <v>71</v>
      </c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3"/>
      <c r="T744" s="13"/>
    </row>
    <row r="745" spans="1:20" ht="81" customHeight="1">
      <c r="A745" s="51" t="s">
        <v>116</v>
      </c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3"/>
      <c r="T745" s="13"/>
    </row>
    <row r="746" spans="1:20" ht="100.5" customHeight="1">
      <c r="A746" s="51" t="s">
        <v>72</v>
      </c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3"/>
      <c r="T746" s="13"/>
    </row>
    <row r="747" spans="1:20" ht="12" customHeight="1">
      <c r="A747" s="41" t="s">
        <v>73</v>
      </c>
      <c r="B747" s="41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38"/>
      <c r="T747" s="13"/>
    </row>
    <row r="748" spans="1:20" ht="12" customHeight="1">
      <c r="A748" s="43" t="s">
        <v>74</v>
      </c>
      <c r="B748" s="43"/>
      <c r="C748" s="40"/>
      <c r="D748" s="40"/>
      <c r="E748" s="40"/>
      <c r="F748" s="40"/>
      <c r="G748" s="40"/>
      <c r="H748" s="40"/>
      <c r="I748" s="40"/>
      <c r="J748" s="40"/>
      <c r="K748" s="40"/>
      <c r="L748" s="38"/>
      <c r="M748" s="38"/>
      <c r="T748" s="13"/>
    </row>
    <row r="749" spans="1:20" ht="12" customHeight="1">
      <c r="A749" s="44" t="s">
        <v>75</v>
      </c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T749" s="13"/>
    </row>
    <row r="750" spans="1:20" ht="12" customHeight="1">
      <c r="A750" s="39" t="s">
        <v>76</v>
      </c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T750" s="13"/>
    </row>
    <row r="751" spans="1:20" ht="12" customHeight="1">
      <c r="A751" s="39" t="s">
        <v>77</v>
      </c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T751" s="13"/>
    </row>
    <row r="752" spans="1:20" ht="12" customHeight="1">
      <c r="A752" s="45" t="s">
        <v>78</v>
      </c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T752" s="13"/>
    </row>
    <row r="753" spans="1:20" ht="12" customHeight="1">
      <c r="A753" s="39" t="s">
        <v>79</v>
      </c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T753" s="13"/>
    </row>
    <row r="754" spans="1:20" ht="409.5" customHeight="1"/>
    <row r="755" spans="1:20" s="2" customFormat="1" ht="35.1" customHeight="1">
      <c r="A755" s="126" t="s">
        <v>0</v>
      </c>
      <c r="B755" s="126"/>
      <c r="C755" s="1">
        <f>C697+1</f>
        <v>18</v>
      </c>
      <c r="G755" s="3"/>
    </row>
    <row r="756" spans="1:20" s="2" customFormat="1" ht="35.1" customHeight="1">
      <c r="A756" s="126" t="s">
        <v>1</v>
      </c>
      <c r="B756" s="126"/>
      <c r="C756" s="2" t="s">
        <v>2</v>
      </c>
      <c r="D756" s="2" t="s">
        <v>114</v>
      </c>
      <c r="E756" s="2" t="s">
        <v>3</v>
      </c>
      <c r="F756" s="2" t="s">
        <v>126</v>
      </c>
      <c r="G756" s="3"/>
      <c r="H756" s="127" t="s">
        <v>4</v>
      </c>
      <c r="I756" s="128"/>
      <c r="J756" s="129">
        <f>J698+1</f>
        <v>46005</v>
      </c>
      <c r="K756" s="130"/>
      <c r="L756" s="131">
        <f>J756</f>
        <v>46005</v>
      </c>
      <c r="M756" s="132"/>
    </row>
    <row r="757" spans="1:20" s="2" customFormat="1" ht="30" customHeight="1">
      <c r="A757" s="72" t="s">
        <v>5</v>
      </c>
      <c r="B757" s="114"/>
      <c r="C757" s="119" t="s">
        <v>83</v>
      </c>
      <c r="D757" s="119"/>
      <c r="E757" s="119"/>
      <c r="F757" s="119"/>
      <c r="G757" s="119"/>
      <c r="H757" s="54" t="s">
        <v>6</v>
      </c>
      <c r="I757" s="59"/>
      <c r="J757" s="120"/>
      <c r="K757" s="120"/>
      <c r="L757" s="120"/>
      <c r="M757" s="120"/>
    </row>
    <row r="758" spans="1:20" s="1" customFormat="1" ht="30" customHeight="1">
      <c r="A758" s="72" t="s">
        <v>7</v>
      </c>
      <c r="B758" s="114"/>
      <c r="C758" s="4">
        <v>50</v>
      </c>
      <c r="D758" s="4" t="s">
        <v>8</v>
      </c>
      <c r="E758" s="4" t="s">
        <v>9</v>
      </c>
      <c r="F758" s="4">
        <f>F700+1</f>
        <v>18</v>
      </c>
      <c r="G758" s="5" t="s">
        <v>8</v>
      </c>
      <c r="H758" s="4" t="s">
        <v>10</v>
      </c>
      <c r="I758" s="4">
        <f>C758-F758+L758</f>
        <v>32</v>
      </c>
      <c r="J758" s="4" t="s">
        <v>11</v>
      </c>
      <c r="K758" s="6" t="s">
        <v>12</v>
      </c>
      <c r="L758" s="7">
        <f>L700</f>
        <v>0</v>
      </c>
      <c r="M758" s="4" t="s">
        <v>8</v>
      </c>
    </row>
    <row r="759" spans="1:20" s="2" customFormat="1" ht="30" customHeight="1">
      <c r="A759" s="72" t="s">
        <v>13</v>
      </c>
      <c r="B759" s="75"/>
      <c r="C759" s="75"/>
      <c r="D759" s="121">
        <f>D701</f>
        <v>45988</v>
      </c>
      <c r="E759" s="122"/>
      <c r="F759" s="122"/>
      <c r="G759" s="123"/>
      <c r="H759" s="124" t="s">
        <v>14</v>
      </c>
      <c r="I759" s="125"/>
      <c r="J759" s="121">
        <f>J701</f>
        <v>46037</v>
      </c>
      <c r="K759" s="122"/>
      <c r="L759" s="122"/>
      <c r="M759" s="123"/>
    </row>
    <row r="760" spans="1:20" s="2" customFormat="1" ht="30" customHeight="1">
      <c r="A760" s="72" t="s">
        <v>15</v>
      </c>
      <c r="B760" s="114"/>
      <c r="C760" s="114"/>
      <c r="D760" s="72">
        <v>0.64200000000000002</v>
      </c>
      <c r="E760" s="72"/>
      <c r="F760" s="72"/>
      <c r="G760" s="72"/>
      <c r="H760" s="64" t="s">
        <v>16</v>
      </c>
      <c r="I760" s="115"/>
      <c r="J760" s="116">
        <f>P776</f>
        <v>0</v>
      </c>
      <c r="K760" s="117"/>
      <c r="L760" s="117"/>
      <c r="M760" s="118"/>
    </row>
    <row r="761" spans="1:20" s="2" customFormat="1" ht="30" customHeight="1">
      <c r="A761" s="72" t="s">
        <v>17</v>
      </c>
      <c r="B761" s="114"/>
      <c r="C761" s="114"/>
      <c r="D761" s="72">
        <f>D760+D703</f>
        <v>7.1350000000000007</v>
      </c>
      <c r="E761" s="72"/>
      <c r="F761" s="72"/>
      <c r="G761" s="72"/>
      <c r="H761" s="64" t="s">
        <v>18</v>
      </c>
      <c r="I761" s="115"/>
      <c r="J761" s="116">
        <f>J760+J703</f>
        <v>21.489999999999991</v>
      </c>
      <c r="K761" s="117"/>
      <c r="L761" s="117"/>
      <c r="M761" s="118"/>
    </row>
    <row r="762" spans="1:20" s="2" customFormat="1" ht="30" customHeight="1">
      <c r="A762" s="111" t="s">
        <v>19</v>
      </c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12"/>
      <c r="M762" s="113"/>
    </row>
    <row r="763" spans="1:20" s="2" customFormat="1" ht="30" customHeight="1">
      <c r="A763" s="8" t="s">
        <v>20</v>
      </c>
      <c r="B763" s="72" t="s">
        <v>21</v>
      </c>
      <c r="C763" s="72"/>
      <c r="D763" s="72"/>
      <c r="E763" s="4" t="s">
        <v>22</v>
      </c>
      <c r="F763" s="54" t="s">
        <v>23</v>
      </c>
      <c r="G763" s="59"/>
      <c r="H763" s="72" t="s">
        <v>24</v>
      </c>
      <c r="I763" s="72"/>
      <c r="J763" s="72" t="s">
        <v>25</v>
      </c>
      <c r="K763" s="72"/>
      <c r="L763" s="72" t="s">
        <v>26</v>
      </c>
      <c r="M763" s="72"/>
      <c r="O763" s="1" t="s">
        <v>27</v>
      </c>
      <c r="P763" s="1" t="s">
        <v>28</v>
      </c>
      <c r="T763" s="2" t="s">
        <v>29</v>
      </c>
    </row>
    <row r="764" spans="1:20" s="2" customFormat="1" ht="24.95" customHeight="1">
      <c r="A764" s="9" t="s">
        <v>30</v>
      </c>
      <c r="B764" s="110" t="s">
        <v>31</v>
      </c>
      <c r="C764" s="110"/>
      <c r="D764" s="110"/>
      <c r="E764" s="4"/>
      <c r="F764" s="54"/>
      <c r="G764" s="59"/>
      <c r="H764" s="72"/>
      <c r="I764" s="72"/>
      <c r="J764" s="72"/>
      <c r="K764" s="72"/>
      <c r="L764" s="72"/>
      <c r="M764" s="72"/>
    </row>
    <row r="765" spans="1:20" ht="24.95" customHeight="1">
      <c r="A765" s="10">
        <v>1</v>
      </c>
      <c r="B765" s="66" t="s">
        <v>91</v>
      </c>
      <c r="C765" s="67" t="s">
        <v>91</v>
      </c>
      <c r="D765" s="68" t="s">
        <v>91</v>
      </c>
      <c r="E765" s="4" t="s">
        <v>32</v>
      </c>
      <c r="F765" s="69">
        <v>1</v>
      </c>
      <c r="G765" s="70"/>
      <c r="H765" s="69"/>
      <c r="I765" s="70"/>
      <c r="J765" s="71">
        <f>H765+J707</f>
        <v>1</v>
      </c>
      <c r="K765" s="71"/>
      <c r="L765" s="72"/>
      <c r="M765" s="72"/>
      <c r="O765" s="11">
        <v>4000</v>
      </c>
      <c r="P765" s="11">
        <f>ROUND(H765*O765,0)</f>
        <v>0</v>
      </c>
      <c r="Q765" s="12"/>
      <c r="S765" s="11">
        <f>ROUND(J765*O765,0)</f>
        <v>4000</v>
      </c>
      <c r="T765" s="13">
        <f>F765-J765</f>
        <v>0</v>
      </c>
    </row>
    <row r="766" spans="1:20" ht="24.95" customHeight="1">
      <c r="A766" s="10">
        <v>2</v>
      </c>
      <c r="B766" s="66" t="s">
        <v>92</v>
      </c>
      <c r="C766" s="67" t="s">
        <v>92</v>
      </c>
      <c r="D766" s="68" t="s">
        <v>92</v>
      </c>
      <c r="E766" s="4" t="s">
        <v>32</v>
      </c>
      <c r="F766" s="69">
        <v>1</v>
      </c>
      <c r="G766" s="70"/>
      <c r="H766" s="69"/>
      <c r="I766" s="70"/>
      <c r="J766" s="71">
        <f t="shared" ref="J766:J773" si="87">H766+J708</f>
        <v>1</v>
      </c>
      <c r="K766" s="71"/>
      <c r="L766" s="72"/>
      <c r="M766" s="72"/>
      <c r="O766" s="11">
        <v>14334</v>
      </c>
      <c r="P766" s="11">
        <f t="shared" ref="P766:P773" si="88">ROUND(H766*O766,0)</f>
        <v>0</v>
      </c>
      <c r="Q766" s="12"/>
      <c r="S766" s="11">
        <f t="shared" ref="S766:S773" si="89">ROUND(J766*O766,0)</f>
        <v>14334</v>
      </c>
      <c r="T766" s="13">
        <f t="shared" ref="T766:T773" si="90">F766-J766</f>
        <v>0</v>
      </c>
    </row>
    <row r="767" spans="1:20" ht="24.95" customHeight="1">
      <c r="A767" s="10">
        <v>3</v>
      </c>
      <c r="B767" s="66" t="s">
        <v>84</v>
      </c>
      <c r="C767" s="67" t="s">
        <v>84</v>
      </c>
      <c r="D767" s="68" t="s">
        <v>84</v>
      </c>
      <c r="E767" s="4" t="s">
        <v>33</v>
      </c>
      <c r="F767" s="69">
        <v>1</v>
      </c>
      <c r="G767" s="70"/>
      <c r="H767" s="69"/>
      <c r="I767" s="70"/>
      <c r="J767" s="71">
        <f t="shared" si="87"/>
        <v>0.5</v>
      </c>
      <c r="K767" s="71"/>
      <c r="L767" s="72"/>
      <c r="M767" s="72"/>
      <c r="O767" s="11">
        <v>7000</v>
      </c>
      <c r="P767" s="11">
        <f t="shared" si="88"/>
        <v>0</v>
      </c>
      <c r="Q767" s="12"/>
      <c r="S767" s="11">
        <f t="shared" si="89"/>
        <v>3500</v>
      </c>
      <c r="T767" s="13">
        <f t="shared" si="90"/>
        <v>0.5</v>
      </c>
    </row>
    <row r="768" spans="1:20" ht="24.95" customHeight="1">
      <c r="A768" s="10">
        <v>4</v>
      </c>
      <c r="B768" s="66" t="s">
        <v>85</v>
      </c>
      <c r="C768" s="67" t="s">
        <v>85</v>
      </c>
      <c r="D768" s="68" t="s">
        <v>85</v>
      </c>
      <c r="E768" s="4" t="s">
        <v>34</v>
      </c>
      <c r="F768" s="69">
        <v>1</v>
      </c>
      <c r="G768" s="70"/>
      <c r="H768" s="69"/>
      <c r="I768" s="70"/>
      <c r="J768" s="71">
        <f t="shared" si="87"/>
        <v>1</v>
      </c>
      <c r="K768" s="71"/>
      <c r="L768" s="72"/>
      <c r="M768" s="72"/>
      <c r="O768" s="11">
        <v>74000</v>
      </c>
      <c r="P768" s="11">
        <f t="shared" si="88"/>
        <v>0</v>
      </c>
      <c r="Q768" s="12"/>
      <c r="S768" s="11">
        <f t="shared" si="89"/>
        <v>74000</v>
      </c>
      <c r="T768" s="13">
        <f t="shared" si="90"/>
        <v>0</v>
      </c>
    </row>
    <row r="769" spans="1:20" ht="24.95" customHeight="1">
      <c r="A769" s="10">
        <v>5</v>
      </c>
      <c r="B769" s="66" t="s">
        <v>86</v>
      </c>
      <c r="C769" s="67" t="s">
        <v>86</v>
      </c>
      <c r="D769" s="68" t="s">
        <v>86</v>
      </c>
      <c r="E769" s="4" t="s">
        <v>93</v>
      </c>
      <c r="F769" s="69">
        <v>396</v>
      </c>
      <c r="G769" s="70"/>
      <c r="H769" s="69"/>
      <c r="I769" s="70"/>
      <c r="J769" s="71">
        <f t="shared" si="87"/>
        <v>250</v>
      </c>
      <c r="K769" s="71"/>
      <c r="L769" s="72"/>
      <c r="M769" s="72"/>
      <c r="O769" s="11">
        <v>200</v>
      </c>
      <c r="P769" s="11">
        <f t="shared" si="88"/>
        <v>0</v>
      </c>
      <c r="Q769" s="12"/>
      <c r="S769" s="11">
        <f t="shared" si="89"/>
        <v>50000</v>
      </c>
      <c r="T769" s="13">
        <f t="shared" si="90"/>
        <v>146</v>
      </c>
    </row>
    <row r="770" spans="1:20" ht="24.95" customHeight="1">
      <c r="A770" s="10">
        <v>6</v>
      </c>
      <c r="B770" s="66" t="s">
        <v>97</v>
      </c>
      <c r="C770" s="67" t="s">
        <v>87</v>
      </c>
      <c r="D770" s="68" t="s">
        <v>87</v>
      </c>
      <c r="E770" s="4" t="s">
        <v>35</v>
      </c>
      <c r="F770" s="69">
        <v>80</v>
      </c>
      <c r="G770" s="70">
        <v>183.6</v>
      </c>
      <c r="H770" s="69"/>
      <c r="I770" s="70"/>
      <c r="J770" s="71">
        <f t="shared" si="87"/>
        <v>70</v>
      </c>
      <c r="K770" s="71"/>
      <c r="L770" s="54"/>
      <c r="M770" s="59"/>
      <c r="O770" s="11">
        <v>1463</v>
      </c>
      <c r="P770" s="11">
        <f t="shared" si="88"/>
        <v>0</v>
      </c>
      <c r="S770" s="11">
        <f t="shared" si="89"/>
        <v>102410</v>
      </c>
      <c r="T770" s="13">
        <f t="shared" si="90"/>
        <v>10</v>
      </c>
    </row>
    <row r="771" spans="1:20" ht="24.95" customHeight="1">
      <c r="A771" s="10">
        <v>7</v>
      </c>
      <c r="B771" s="66" t="s">
        <v>88</v>
      </c>
      <c r="C771" s="67" t="s">
        <v>88</v>
      </c>
      <c r="D771" s="68" t="s">
        <v>88</v>
      </c>
      <c r="E771" s="4" t="s">
        <v>94</v>
      </c>
      <c r="F771" s="69">
        <v>126</v>
      </c>
      <c r="G771" s="70">
        <v>19</v>
      </c>
      <c r="H771" s="69"/>
      <c r="I771" s="70"/>
      <c r="J771" s="71">
        <f t="shared" si="87"/>
        <v>0</v>
      </c>
      <c r="K771" s="71"/>
      <c r="L771" s="54"/>
      <c r="M771" s="59"/>
      <c r="O771" s="11">
        <v>6350</v>
      </c>
      <c r="P771" s="11">
        <f t="shared" si="88"/>
        <v>0</v>
      </c>
      <c r="S771" s="11">
        <f t="shared" si="89"/>
        <v>0</v>
      </c>
      <c r="T771" s="13">
        <f t="shared" si="90"/>
        <v>126</v>
      </c>
    </row>
    <row r="772" spans="1:20" ht="24.95" customHeight="1">
      <c r="A772" s="10">
        <v>8</v>
      </c>
      <c r="B772" s="66" t="s">
        <v>89</v>
      </c>
      <c r="C772" s="67" t="s">
        <v>89</v>
      </c>
      <c r="D772" s="68" t="s">
        <v>89</v>
      </c>
      <c r="E772" s="4" t="s">
        <v>95</v>
      </c>
      <c r="F772" s="69">
        <v>1</v>
      </c>
      <c r="G772" s="70">
        <v>1192</v>
      </c>
      <c r="H772" s="69"/>
      <c r="I772" s="70"/>
      <c r="J772" s="71">
        <f t="shared" si="87"/>
        <v>0</v>
      </c>
      <c r="K772" s="71"/>
      <c r="L772" s="54"/>
      <c r="M772" s="59"/>
      <c r="O772" s="11">
        <v>47600</v>
      </c>
      <c r="P772" s="11">
        <f t="shared" si="88"/>
        <v>0</v>
      </c>
      <c r="S772" s="11">
        <f t="shared" si="89"/>
        <v>0</v>
      </c>
      <c r="T772" s="13">
        <f t="shared" si="90"/>
        <v>1</v>
      </c>
    </row>
    <row r="773" spans="1:20" ht="24.95" customHeight="1">
      <c r="A773" s="10">
        <v>9</v>
      </c>
      <c r="B773" s="66" t="s">
        <v>90</v>
      </c>
      <c r="C773" s="67" t="s">
        <v>90</v>
      </c>
      <c r="D773" s="68" t="s">
        <v>90</v>
      </c>
      <c r="E773" s="4" t="s">
        <v>96</v>
      </c>
      <c r="F773" s="69">
        <v>1</v>
      </c>
      <c r="G773" s="70">
        <v>1261</v>
      </c>
      <c r="H773" s="69"/>
      <c r="I773" s="70"/>
      <c r="J773" s="71">
        <f t="shared" si="87"/>
        <v>0</v>
      </c>
      <c r="K773" s="71"/>
      <c r="L773" s="54"/>
      <c r="M773" s="59"/>
      <c r="O773" s="11">
        <v>10000</v>
      </c>
      <c r="P773" s="11">
        <f t="shared" si="88"/>
        <v>0</v>
      </c>
      <c r="S773" s="11">
        <f t="shared" si="89"/>
        <v>0</v>
      </c>
      <c r="T773" s="13">
        <f t="shared" si="90"/>
        <v>1</v>
      </c>
    </row>
    <row r="774" spans="1:20" ht="24.95" customHeight="1">
      <c r="A774" s="14"/>
      <c r="B774" s="15"/>
      <c r="C774" s="16"/>
      <c r="D774" s="17"/>
      <c r="E774" s="4"/>
      <c r="F774" s="18"/>
      <c r="G774" s="19"/>
      <c r="H774" s="105"/>
      <c r="I774" s="106"/>
      <c r="J774" s="105"/>
      <c r="K774" s="106"/>
      <c r="L774" s="54"/>
      <c r="M774" s="59"/>
      <c r="N774" s="20"/>
      <c r="P774" s="21" t="s">
        <v>37</v>
      </c>
      <c r="Q774" s="22">
        <f>SUM(P765:P773)</f>
        <v>0</v>
      </c>
      <c r="R774" s="23"/>
      <c r="S774" s="24">
        <f>SUM(S765:S773)</f>
        <v>248244</v>
      </c>
      <c r="T774" s="13"/>
    </row>
    <row r="775" spans="1:20" ht="24.95" customHeight="1">
      <c r="A775" s="107"/>
      <c r="B775" s="108"/>
      <c r="C775" s="108"/>
      <c r="D775" s="109"/>
      <c r="E775" s="4"/>
      <c r="F775" s="54"/>
      <c r="G775" s="59"/>
      <c r="H775" s="72"/>
      <c r="I775" s="72"/>
      <c r="J775" s="72"/>
      <c r="K775" s="72"/>
      <c r="L775" s="72"/>
      <c r="M775" s="72"/>
      <c r="O775" t="s">
        <v>38</v>
      </c>
      <c r="P775" s="24">
        <f>Q774</f>
        <v>0</v>
      </c>
      <c r="T775" s="13"/>
    </row>
    <row r="776" spans="1:20" ht="24.95" customHeight="1">
      <c r="A776" s="97"/>
      <c r="B776" s="98"/>
      <c r="C776" s="98"/>
      <c r="D776" s="99"/>
      <c r="E776" s="4"/>
      <c r="F776" s="54"/>
      <c r="G776" s="59"/>
      <c r="H776" s="72"/>
      <c r="I776" s="72"/>
      <c r="J776" s="72"/>
      <c r="K776" s="72"/>
      <c r="L776" s="72"/>
      <c r="M776" s="72"/>
      <c r="O776" t="s">
        <v>39</v>
      </c>
      <c r="P776" s="23">
        <f>ROUND(P775/1153274,4)*100</f>
        <v>0</v>
      </c>
      <c r="T776" s="13"/>
    </row>
    <row r="777" spans="1:20" ht="24.95" customHeight="1">
      <c r="A777" s="25"/>
      <c r="B777" s="63" t="s">
        <v>40</v>
      </c>
      <c r="C777" s="63"/>
      <c r="D777" s="59"/>
      <c r="E777" s="26"/>
      <c r="F777" s="100"/>
      <c r="G777" s="101"/>
      <c r="H777" s="100"/>
      <c r="I777" s="101"/>
      <c r="J777" s="102"/>
      <c r="K777" s="102"/>
      <c r="L777" s="103">
        <f>P775</f>
        <v>0</v>
      </c>
      <c r="M777" s="104"/>
      <c r="T777" s="13"/>
    </row>
    <row r="778" spans="1:20" ht="24.95" customHeight="1" thickBot="1">
      <c r="A778" s="27"/>
      <c r="B778" s="85" t="s">
        <v>41</v>
      </c>
      <c r="C778" s="85"/>
      <c r="D778" s="86"/>
      <c r="E778" s="28"/>
      <c r="F778" s="87"/>
      <c r="G778" s="88"/>
      <c r="H778" s="87"/>
      <c r="I778" s="88"/>
      <c r="J778" s="87"/>
      <c r="K778" s="88"/>
      <c r="L778" s="89">
        <f>L777+L720</f>
        <v>248244</v>
      </c>
      <c r="M778" s="90"/>
      <c r="T778" s="13"/>
    </row>
    <row r="779" spans="1:20" ht="24.95" customHeight="1">
      <c r="A779" s="29"/>
      <c r="B779" s="91" t="s">
        <v>42</v>
      </c>
      <c r="C779" s="91"/>
      <c r="D779" s="92"/>
      <c r="E779" s="30"/>
      <c r="F779" s="93"/>
      <c r="G779" s="94"/>
      <c r="H779" s="95"/>
      <c r="I779" s="95"/>
      <c r="J779" s="95"/>
      <c r="K779" s="95"/>
      <c r="L779" s="95"/>
      <c r="M779" s="96"/>
      <c r="T779" s="13"/>
    </row>
    <row r="780" spans="1:20" ht="24.95" customHeight="1">
      <c r="A780" s="31"/>
      <c r="B780" s="76" t="s">
        <v>43</v>
      </c>
      <c r="C780" s="76"/>
      <c r="D780" s="77"/>
      <c r="E780" s="4"/>
      <c r="F780" s="54"/>
      <c r="G780" s="59"/>
      <c r="H780" s="72"/>
      <c r="I780" s="72"/>
      <c r="J780" s="72"/>
      <c r="K780" s="72"/>
      <c r="L780" s="72"/>
      <c r="M780" s="78"/>
      <c r="T780" s="13"/>
    </row>
    <row r="781" spans="1:20" ht="24.95" customHeight="1" thickBot="1">
      <c r="A781" s="32"/>
      <c r="B781" s="79" t="s">
        <v>44</v>
      </c>
      <c r="C781" s="79"/>
      <c r="D781" s="80"/>
      <c r="E781" s="33"/>
      <c r="F781" s="81"/>
      <c r="G781" s="82"/>
      <c r="H781" s="83"/>
      <c r="I781" s="83"/>
      <c r="J781" s="83"/>
      <c r="K781" s="83"/>
      <c r="L781" s="83"/>
      <c r="M781" s="84"/>
      <c r="T781" s="13"/>
    </row>
    <row r="782" spans="1:20" ht="24.95" customHeight="1">
      <c r="A782" s="73" t="s">
        <v>45</v>
      </c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T782" s="13"/>
    </row>
    <row r="783" spans="1:20" ht="24.95" customHeight="1">
      <c r="A783" s="72" t="s">
        <v>46</v>
      </c>
      <c r="B783" s="75"/>
      <c r="C783" s="75"/>
      <c r="D783" s="75"/>
      <c r="E783" s="4" t="s">
        <v>22</v>
      </c>
      <c r="F783" s="72" t="s">
        <v>47</v>
      </c>
      <c r="G783" s="72"/>
      <c r="H783" s="72" t="s">
        <v>48</v>
      </c>
      <c r="I783" s="72"/>
      <c r="J783" s="72" t="s">
        <v>49</v>
      </c>
      <c r="K783" s="72"/>
      <c r="L783" s="72" t="s">
        <v>50</v>
      </c>
      <c r="M783" s="72"/>
      <c r="T783" s="13"/>
    </row>
    <row r="784" spans="1:20" ht="24.95" customHeight="1">
      <c r="A784" s="10">
        <v>6</v>
      </c>
      <c r="B784" s="66" t="s">
        <v>97</v>
      </c>
      <c r="C784" s="67" t="s">
        <v>51</v>
      </c>
      <c r="D784" s="68" t="s">
        <v>51</v>
      </c>
      <c r="E784" s="4" t="s">
        <v>35</v>
      </c>
      <c r="F784" s="69">
        <v>80</v>
      </c>
      <c r="G784" s="70">
        <v>1261</v>
      </c>
      <c r="H784" s="71">
        <f>H770</f>
        <v>0</v>
      </c>
      <c r="I784" s="71"/>
      <c r="J784" s="71">
        <f>H784+J726</f>
        <v>70</v>
      </c>
      <c r="K784" s="71"/>
      <c r="L784" s="72"/>
      <c r="M784" s="72"/>
      <c r="T784" s="13"/>
    </row>
    <row r="785" spans="1:20" ht="24.95" customHeight="1">
      <c r="A785" s="10">
        <v>7</v>
      </c>
      <c r="B785" s="66" t="s">
        <v>88</v>
      </c>
      <c r="C785" s="67" t="s">
        <v>88</v>
      </c>
      <c r="D785" s="68" t="s">
        <v>88</v>
      </c>
      <c r="E785" s="4" t="s">
        <v>98</v>
      </c>
      <c r="F785" s="69">
        <v>126</v>
      </c>
      <c r="G785" s="70"/>
      <c r="H785" s="71">
        <f>H771</f>
        <v>0</v>
      </c>
      <c r="I785" s="71"/>
      <c r="J785" s="71">
        <f t="shared" ref="J785:J786" si="91">H785+J727</f>
        <v>0</v>
      </c>
      <c r="K785" s="71"/>
      <c r="L785" s="72"/>
      <c r="M785" s="72"/>
      <c r="T785" s="13"/>
    </row>
    <row r="786" spans="1:20" ht="24.95" customHeight="1">
      <c r="A786" s="10">
        <v>8</v>
      </c>
      <c r="B786" s="66" t="s">
        <v>89</v>
      </c>
      <c r="C786" s="67" t="s">
        <v>89</v>
      </c>
      <c r="D786" s="68" t="s">
        <v>89</v>
      </c>
      <c r="E786" s="4" t="s">
        <v>36</v>
      </c>
      <c r="F786" s="69">
        <v>1</v>
      </c>
      <c r="G786" s="70"/>
      <c r="H786" s="71">
        <f>H772</f>
        <v>0</v>
      </c>
      <c r="I786" s="71"/>
      <c r="J786" s="71">
        <f t="shared" si="91"/>
        <v>0</v>
      </c>
      <c r="K786" s="71"/>
      <c r="L786" s="72"/>
      <c r="M786" s="72"/>
      <c r="T786" s="13"/>
    </row>
    <row r="787" spans="1:20" ht="24.95" customHeight="1">
      <c r="A787" s="51" t="s">
        <v>52</v>
      </c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3"/>
      <c r="T787" s="13"/>
    </row>
    <row r="788" spans="1:20" ht="24.95" customHeight="1">
      <c r="A788" s="54" t="s">
        <v>53</v>
      </c>
      <c r="B788" s="63"/>
      <c r="C788" s="63"/>
      <c r="D788" s="59"/>
      <c r="E788" s="4" t="s">
        <v>54</v>
      </c>
      <c r="F788" s="54" t="s">
        <v>55</v>
      </c>
      <c r="G788" s="59"/>
      <c r="H788" s="54" t="s">
        <v>56</v>
      </c>
      <c r="I788" s="59"/>
      <c r="J788" s="54" t="s">
        <v>48</v>
      </c>
      <c r="K788" s="59"/>
      <c r="L788" s="64" t="s">
        <v>49</v>
      </c>
      <c r="M788" s="65"/>
      <c r="T788" s="13"/>
    </row>
    <row r="789" spans="1:20" ht="24.95" customHeight="1">
      <c r="A789" s="54" t="s">
        <v>57</v>
      </c>
      <c r="B789" s="55"/>
      <c r="C789" s="55"/>
      <c r="D789" s="56"/>
      <c r="E789" s="4"/>
      <c r="F789" s="57">
        <f>E789+F731</f>
        <v>25</v>
      </c>
      <c r="G789" s="58"/>
      <c r="H789" s="54" t="s">
        <v>58</v>
      </c>
      <c r="I789" s="59"/>
      <c r="J789" s="54"/>
      <c r="K789" s="59"/>
      <c r="L789" s="57">
        <f>J789+L731</f>
        <v>12</v>
      </c>
      <c r="M789" s="58"/>
      <c r="T789" s="13"/>
    </row>
    <row r="790" spans="1:20" ht="24.95" customHeight="1">
      <c r="A790" s="54" t="s">
        <v>59</v>
      </c>
      <c r="B790" s="55"/>
      <c r="C790" s="55"/>
      <c r="D790" s="56"/>
      <c r="E790" s="4"/>
      <c r="F790" s="57">
        <f t="shared" ref="F790:F792" si="92">E790+F732</f>
        <v>0</v>
      </c>
      <c r="G790" s="58"/>
      <c r="H790" s="54" t="s">
        <v>60</v>
      </c>
      <c r="I790" s="59"/>
      <c r="J790" s="54"/>
      <c r="K790" s="59"/>
      <c r="L790" s="57">
        <f t="shared" ref="L790:L792" si="93">J790+L732</f>
        <v>0</v>
      </c>
      <c r="M790" s="58"/>
      <c r="T790" s="13"/>
    </row>
    <row r="791" spans="1:20" ht="24.95" customHeight="1">
      <c r="A791" s="54" t="s">
        <v>61</v>
      </c>
      <c r="B791" s="55"/>
      <c r="C791" s="55"/>
      <c r="D791" s="56"/>
      <c r="E791" s="4"/>
      <c r="F791" s="57">
        <f t="shared" si="92"/>
        <v>0</v>
      </c>
      <c r="G791" s="58"/>
      <c r="H791" s="54" t="s">
        <v>62</v>
      </c>
      <c r="I791" s="59"/>
      <c r="J791" s="54"/>
      <c r="K791" s="59"/>
      <c r="L791" s="57">
        <f t="shared" si="93"/>
        <v>3</v>
      </c>
      <c r="M791" s="58"/>
      <c r="T791" s="13"/>
    </row>
    <row r="792" spans="1:20" ht="24.95" customHeight="1">
      <c r="A792" s="54" t="s">
        <v>63</v>
      </c>
      <c r="B792" s="55"/>
      <c r="C792" s="55"/>
      <c r="D792" s="56"/>
      <c r="E792" s="4"/>
      <c r="F792" s="57">
        <f t="shared" si="92"/>
        <v>2</v>
      </c>
      <c r="G792" s="58"/>
      <c r="H792" s="54" t="s">
        <v>64</v>
      </c>
      <c r="I792" s="59"/>
      <c r="J792" s="54"/>
      <c r="K792" s="59"/>
      <c r="L792" s="57">
        <f t="shared" si="93"/>
        <v>0</v>
      </c>
      <c r="M792" s="58"/>
      <c r="T792" s="13"/>
    </row>
    <row r="793" spans="1:20" ht="64.5" customHeight="1">
      <c r="A793" s="60" t="s">
        <v>65</v>
      </c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2"/>
      <c r="T793" s="13"/>
    </row>
    <row r="794" spans="1:20" ht="24.95" customHeight="1">
      <c r="A794" s="46" t="s">
        <v>66</v>
      </c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8"/>
      <c r="T794" s="13"/>
    </row>
    <row r="795" spans="1:20" ht="24.95" customHeight="1">
      <c r="A795" s="27"/>
      <c r="B795" s="34" t="s">
        <v>67</v>
      </c>
      <c r="C795" s="34"/>
      <c r="D795" s="34"/>
      <c r="E795" s="34"/>
      <c r="F795" s="34"/>
      <c r="G795" s="35"/>
      <c r="H795" s="34"/>
      <c r="I795" s="34"/>
      <c r="J795" s="34"/>
      <c r="K795" s="34"/>
      <c r="L795" s="34"/>
      <c r="M795" s="36"/>
      <c r="T795" s="13"/>
    </row>
    <row r="796" spans="1:20" ht="24.95" customHeight="1">
      <c r="A796" s="27"/>
      <c r="B796" s="34" t="s">
        <v>81</v>
      </c>
      <c r="C796" s="34"/>
      <c r="D796" s="34"/>
      <c r="E796" s="34"/>
      <c r="F796" s="34"/>
      <c r="G796" s="35"/>
      <c r="H796" s="34"/>
      <c r="I796" s="34"/>
      <c r="J796" s="34"/>
      <c r="K796" s="34"/>
      <c r="L796" s="34"/>
      <c r="M796" s="36"/>
      <c r="T796" s="13"/>
    </row>
    <row r="797" spans="1:20" ht="24.95" customHeight="1">
      <c r="A797" s="27"/>
      <c r="B797" s="34" t="s">
        <v>68</v>
      </c>
      <c r="C797" s="34"/>
      <c r="D797" s="34"/>
      <c r="E797" s="34"/>
      <c r="F797" s="34"/>
      <c r="G797" s="35"/>
      <c r="H797" s="34"/>
      <c r="I797" s="34"/>
      <c r="J797" s="34"/>
      <c r="K797" s="34"/>
      <c r="L797" s="34"/>
      <c r="M797" s="36"/>
      <c r="T797" s="13"/>
    </row>
    <row r="798" spans="1:20" ht="24.95" customHeight="1">
      <c r="A798" s="27"/>
      <c r="B798" s="34" t="s">
        <v>82</v>
      </c>
      <c r="C798" s="34"/>
      <c r="D798" s="34"/>
      <c r="E798" s="34"/>
      <c r="F798" s="34"/>
      <c r="G798" s="35"/>
      <c r="H798" s="34"/>
      <c r="I798" s="34"/>
      <c r="J798" s="34"/>
      <c r="K798" s="34"/>
      <c r="L798" s="34"/>
      <c r="M798" s="36"/>
      <c r="T798" s="13"/>
    </row>
    <row r="799" spans="1:20" ht="24.95" customHeight="1">
      <c r="A799" s="27"/>
      <c r="B799" s="34" t="s">
        <v>99</v>
      </c>
      <c r="C799" s="34"/>
      <c r="D799" s="34"/>
      <c r="E799" s="34"/>
      <c r="F799" s="34"/>
      <c r="G799" s="35"/>
      <c r="H799" s="34"/>
      <c r="I799" s="34"/>
      <c r="J799" s="34"/>
      <c r="K799" s="34"/>
      <c r="L799" s="34"/>
      <c r="M799" s="36"/>
      <c r="T799" s="13"/>
    </row>
    <row r="800" spans="1:20" ht="24.95" customHeight="1">
      <c r="A800" s="37"/>
      <c r="B800" s="49" t="s">
        <v>69</v>
      </c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50"/>
      <c r="T800" s="13"/>
    </row>
    <row r="801" spans="1:20" ht="44.25" customHeight="1">
      <c r="A801" s="51" t="s">
        <v>70</v>
      </c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3"/>
      <c r="T801" s="13"/>
    </row>
    <row r="802" spans="1:20" ht="48" customHeight="1">
      <c r="A802" s="51" t="s">
        <v>71</v>
      </c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3"/>
      <c r="T802" s="13"/>
    </row>
    <row r="803" spans="1:20" ht="81" customHeight="1">
      <c r="A803" s="51" t="s">
        <v>109</v>
      </c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3"/>
      <c r="T803" s="13"/>
    </row>
    <row r="804" spans="1:20" ht="100.5" customHeight="1">
      <c r="A804" s="51" t="s">
        <v>72</v>
      </c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3"/>
      <c r="T804" s="13"/>
    </row>
    <row r="805" spans="1:20" ht="12" customHeight="1">
      <c r="A805" s="41" t="s">
        <v>73</v>
      </c>
      <c r="B805" s="41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38"/>
      <c r="T805" s="13"/>
    </row>
    <row r="806" spans="1:20" ht="12" customHeight="1">
      <c r="A806" s="43" t="s">
        <v>74</v>
      </c>
      <c r="B806" s="43"/>
      <c r="C806" s="40"/>
      <c r="D806" s="40"/>
      <c r="E806" s="40"/>
      <c r="F806" s="40"/>
      <c r="G806" s="40"/>
      <c r="H806" s="40"/>
      <c r="I806" s="40"/>
      <c r="J806" s="40"/>
      <c r="K806" s="40"/>
      <c r="L806" s="38"/>
      <c r="M806" s="38"/>
      <c r="T806" s="13"/>
    </row>
    <row r="807" spans="1:20" ht="12" customHeight="1">
      <c r="A807" s="44" t="s">
        <v>75</v>
      </c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T807" s="13"/>
    </row>
    <row r="808" spans="1:20" ht="12" customHeight="1">
      <c r="A808" s="39" t="s">
        <v>76</v>
      </c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T808" s="13"/>
    </row>
    <row r="809" spans="1:20" ht="12" customHeight="1">
      <c r="A809" s="39" t="s">
        <v>77</v>
      </c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T809" s="13"/>
    </row>
    <row r="810" spans="1:20" ht="12" customHeight="1">
      <c r="A810" s="45" t="s">
        <v>78</v>
      </c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T810" s="13"/>
    </row>
    <row r="811" spans="1:20" ht="12" customHeight="1">
      <c r="A811" s="39" t="s">
        <v>79</v>
      </c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T811" s="13"/>
    </row>
    <row r="812" spans="1:20" ht="409.5" customHeight="1"/>
    <row r="813" spans="1:20" s="2" customFormat="1" ht="35.1" customHeight="1">
      <c r="A813" s="126" t="s">
        <v>0</v>
      </c>
      <c r="B813" s="126"/>
      <c r="C813" s="1">
        <f>C755+1</f>
        <v>19</v>
      </c>
      <c r="G813" s="3"/>
    </row>
    <row r="814" spans="1:20" s="2" customFormat="1" ht="35.1" customHeight="1">
      <c r="A814" s="126" t="s">
        <v>1</v>
      </c>
      <c r="B814" s="126"/>
      <c r="C814" s="2" t="s">
        <v>2</v>
      </c>
      <c r="D814" s="2" t="s">
        <v>108</v>
      </c>
      <c r="E814" s="2" t="s">
        <v>3</v>
      </c>
      <c r="G814" s="3" t="s">
        <v>105</v>
      </c>
      <c r="H814" s="127" t="s">
        <v>4</v>
      </c>
      <c r="I814" s="128"/>
      <c r="J814" s="129">
        <f>J756+1</f>
        <v>46006</v>
      </c>
      <c r="K814" s="130"/>
      <c r="L814" s="131">
        <f>J814</f>
        <v>46006</v>
      </c>
      <c r="M814" s="132"/>
    </row>
    <row r="815" spans="1:20" s="2" customFormat="1" ht="30" customHeight="1">
      <c r="A815" s="72" t="s">
        <v>5</v>
      </c>
      <c r="B815" s="114"/>
      <c r="C815" s="119" t="s">
        <v>83</v>
      </c>
      <c r="D815" s="119"/>
      <c r="E815" s="119"/>
      <c r="F815" s="119"/>
      <c r="G815" s="119"/>
      <c r="H815" s="54" t="s">
        <v>6</v>
      </c>
      <c r="I815" s="59"/>
      <c r="J815" s="120"/>
      <c r="K815" s="120"/>
      <c r="L815" s="120"/>
      <c r="M815" s="120"/>
    </row>
    <row r="816" spans="1:20" s="1" customFormat="1" ht="30" customHeight="1">
      <c r="A816" s="72" t="s">
        <v>7</v>
      </c>
      <c r="B816" s="114"/>
      <c r="C816" s="4">
        <v>50</v>
      </c>
      <c r="D816" s="4" t="s">
        <v>8</v>
      </c>
      <c r="E816" s="4" t="s">
        <v>9</v>
      </c>
      <c r="F816" s="4">
        <f>F758+1</f>
        <v>19</v>
      </c>
      <c r="G816" s="5" t="s">
        <v>8</v>
      </c>
      <c r="H816" s="4" t="s">
        <v>10</v>
      </c>
      <c r="I816" s="4">
        <f>C816-F816+L816</f>
        <v>31</v>
      </c>
      <c r="J816" s="4" t="s">
        <v>11</v>
      </c>
      <c r="K816" s="6" t="s">
        <v>12</v>
      </c>
      <c r="L816" s="7">
        <f>L758</f>
        <v>0</v>
      </c>
      <c r="M816" s="4" t="s">
        <v>8</v>
      </c>
    </row>
    <row r="817" spans="1:20" s="2" customFormat="1" ht="30" customHeight="1">
      <c r="A817" s="72" t="s">
        <v>13</v>
      </c>
      <c r="B817" s="75"/>
      <c r="C817" s="75"/>
      <c r="D817" s="121">
        <f>D759</f>
        <v>45988</v>
      </c>
      <c r="E817" s="122"/>
      <c r="F817" s="122"/>
      <c r="G817" s="123"/>
      <c r="H817" s="124" t="s">
        <v>14</v>
      </c>
      <c r="I817" s="125"/>
      <c r="J817" s="121">
        <f>J759</f>
        <v>46037</v>
      </c>
      <c r="K817" s="122"/>
      <c r="L817" s="122"/>
      <c r="M817" s="123"/>
    </row>
    <row r="818" spans="1:20" s="2" customFormat="1" ht="30" customHeight="1">
      <c r="A818" s="72" t="s">
        <v>15</v>
      </c>
      <c r="B818" s="114"/>
      <c r="C818" s="114"/>
      <c r="D818" s="72">
        <v>0.64200000000000002</v>
      </c>
      <c r="E818" s="72"/>
      <c r="F818" s="72"/>
      <c r="G818" s="72"/>
      <c r="H818" s="64" t="s">
        <v>16</v>
      </c>
      <c r="I818" s="115"/>
      <c r="J818" s="116">
        <f>P834</f>
        <v>1.73</v>
      </c>
      <c r="K818" s="117"/>
      <c r="L818" s="117"/>
      <c r="M818" s="118"/>
    </row>
    <row r="819" spans="1:20" s="2" customFormat="1" ht="30" customHeight="1">
      <c r="A819" s="72" t="s">
        <v>17</v>
      </c>
      <c r="B819" s="114"/>
      <c r="C819" s="114"/>
      <c r="D819" s="72">
        <f>D818+D761</f>
        <v>7.777000000000001</v>
      </c>
      <c r="E819" s="72"/>
      <c r="F819" s="72"/>
      <c r="G819" s="72"/>
      <c r="H819" s="64" t="s">
        <v>18</v>
      </c>
      <c r="I819" s="115"/>
      <c r="J819" s="116">
        <f>J818+J761</f>
        <v>23.219999999999992</v>
      </c>
      <c r="K819" s="117"/>
      <c r="L819" s="117"/>
      <c r="M819" s="118"/>
    </row>
    <row r="820" spans="1:20" s="2" customFormat="1" ht="30" customHeight="1">
      <c r="A820" s="111" t="s">
        <v>19</v>
      </c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12"/>
      <c r="M820" s="113"/>
    </row>
    <row r="821" spans="1:20" s="2" customFormat="1" ht="30" customHeight="1">
      <c r="A821" s="8" t="s">
        <v>20</v>
      </c>
      <c r="B821" s="72" t="s">
        <v>21</v>
      </c>
      <c r="C821" s="72"/>
      <c r="D821" s="72"/>
      <c r="E821" s="4" t="s">
        <v>22</v>
      </c>
      <c r="F821" s="54" t="s">
        <v>23</v>
      </c>
      <c r="G821" s="59"/>
      <c r="H821" s="72" t="s">
        <v>24</v>
      </c>
      <c r="I821" s="72"/>
      <c r="J821" s="72" t="s">
        <v>25</v>
      </c>
      <c r="K821" s="72"/>
      <c r="L821" s="72" t="s">
        <v>26</v>
      </c>
      <c r="M821" s="72"/>
      <c r="O821" s="1" t="s">
        <v>27</v>
      </c>
      <c r="P821" s="1" t="s">
        <v>28</v>
      </c>
      <c r="T821" s="2" t="s">
        <v>29</v>
      </c>
    </row>
    <row r="822" spans="1:20" s="2" customFormat="1" ht="24.95" customHeight="1">
      <c r="A822" s="9" t="s">
        <v>30</v>
      </c>
      <c r="B822" s="110" t="s">
        <v>31</v>
      </c>
      <c r="C822" s="110"/>
      <c r="D822" s="110"/>
      <c r="E822" s="4"/>
      <c r="F822" s="54"/>
      <c r="G822" s="59"/>
      <c r="H822" s="72"/>
      <c r="I822" s="72"/>
      <c r="J822" s="72"/>
      <c r="K822" s="72"/>
      <c r="L822" s="72"/>
      <c r="M822" s="72"/>
    </row>
    <row r="823" spans="1:20" ht="24.95" customHeight="1">
      <c r="A823" s="10">
        <v>1</v>
      </c>
      <c r="B823" s="66" t="s">
        <v>91</v>
      </c>
      <c r="C823" s="67" t="s">
        <v>91</v>
      </c>
      <c r="D823" s="68" t="s">
        <v>91</v>
      </c>
      <c r="E823" s="4" t="s">
        <v>32</v>
      </c>
      <c r="F823" s="69">
        <v>1</v>
      </c>
      <c r="G823" s="70"/>
      <c r="H823" s="69"/>
      <c r="I823" s="70"/>
      <c r="J823" s="71">
        <f>H823+J765</f>
        <v>1</v>
      </c>
      <c r="K823" s="71"/>
      <c r="L823" s="72"/>
      <c r="M823" s="72"/>
      <c r="O823" s="11">
        <v>4000</v>
      </c>
      <c r="P823" s="11">
        <f>ROUND(H823*O823,0)</f>
        <v>0</v>
      </c>
      <c r="Q823" s="12"/>
      <c r="S823" s="11">
        <f>ROUND(J823*O823,0)</f>
        <v>4000</v>
      </c>
      <c r="T823" s="13">
        <f>F823-J823</f>
        <v>0</v>
      </c>
    </row>
    <row r="824" spans="1:20" ht="24.95" customHeight="1">
      <c r="A824" s="10">
        <v>2</v>
      </c>
      <c r="B824" s="66" t="s">
        <v>92</v>
      </c>
      <c r="C824" s="67" t="s">
        <v>92</v>
      </c>
      <c r="D824" s="68" t="s">
        <v>92</v>
      </c>
      <c r="E824" s="4" t="s">
        <v>32</v>
      </c>
      <c r="F824" s="69">
        <v>1</v>
      </c>
      <c r="G824" s="70"/>
      <c r="H824" s="69"/>
      <c r="I824" s="70"/>
      <c r="J824" s="71">
        <f t="shared" ref="J824:J831" si="94">H824+J766</f>
        <v>1</v>
      </c>
      <c r="K824" s="71"/>
      <c r="L824" s="72"/>
      <c r="M824" s="72"/>
      <c r="O824" s="11">
        <v>14334</v>
      </c>
      <c r="P824" s="11">
        <f t="shared" ref="P824:P831" si="95">ROUND(H824*O824,0)</f>
        <v>0</v>
      </c>
      <c r="Q824" s="12"/>
      <c r="S824" s="11">
        <f t="shared" ref="S824:S831" si="96">ROUND(J824*O824,0)</f>
        <v>14334</v>
      </c>
      <c r="T824" s="13">
        <f t="shared" ref="T824:T831" si="97">F824-J824</f>
        <v>0</v>
      </c>
    </row>
    <row r="825" spans="1:20" ht="24.95" customHeight="1">
      <c r="A825" s="10">
        <v>3</v>
      </c>
      <c r="B825" s="66" t="s">
        <v>84</v>
      </c>
      <c r="C825" s="67" t="s">
        <v>84</v>
      </c>
      <c r="D825" s="68" t="s">
        <v>84</v>
      </c>
      <c r="E825" s="4" t="s">
        <v>33</v>
      </c>
      <c r="F825" s="69">
        <v>1</v>
      </c>
      <c r="G825" s="70"/>
      <c r="H825" s="69"/>
      <c r="I825" s="70"/>
      <c r="J825" s="71">
        <f t="shared" si="94"/>
        <v>0.5</v>
      </c>
      <c r="K825" s="71"/>
      <c r="L825" s="72"/>
      <c r="M825" s="72"/>
      <c r="O825" s="11">
        <v>7000</v>
      </c>
      <c r="P825" s="11">
        <f t="shared" si="95"/>
        <v>0</v>
      </c>
      <c r="Q825" s="12"/>
      <c r="S825" s="11">
        <f t="shared" si="96"/>
        <v>3500</v>
      </c>
      <c r="T825" s="13">
        <f t="shared" si="97"/>
        <v>0.5</v>
      </c>
    </row>
    <row r="826" spans="1:20" ht="24.95" customHeight="1">
      <c r="A826" s="10">
        <v>4</v>
      </c>
      <c r="B826" s="66" t="s">
        <v>85</v>
      </c>
      <c r="C826" s="67" t="s">
        <v>85</v>
      </c>
      <c r="D826" s="68" t="s">
        <v>85</v>
      </c>
      <c r="E826" s="4" t="s">
        <v>34</v>
      </c>
      <c r="F826" s="69">
        <v>1</v>
      </c>
      <c r="G826" s="70"/>
      <c r="H826" s="69"/>
      <c r="I826" s="70"/>
      <c r="J826" s="71">
        <f t="shared" si="94"/>
        <v>1</v>
      </c>
      <c r="K826" s="71"/>
      <c r="L826" s="72"/>
      <c r="M826" s="72"/>
      <c r="O826" s="11">
        <v>74000</v>
      </c>
      <c r="P826" s="11">
        <f t="shared" si="95"/>
        <v>0</v>
      </c>
      <c r="Q826" s="12"/>
      <c r="S826" s="11">
        <f t="shared" si="96"/>
        <v>74000</v>
      </c>
      <c r="T826" s="13">
        <f t="shared" si="97"/>
        <v>0</v>
      </c>
    </row>
    <row r="827" spans="1:20" ht="24.95" customHeight="1">
      <c r="A827" s="10">
        <v>5</v>
      </c>
      <c r="B827" s="66" t="s">
        <v>106</v>
      </c>
      <c r="C827" s="67" t="s">
        <v>86</v>
      </c>
      <c r="D827" s="68" t="s">
        <v>86</v>
      </c>
      <c r="E827" s="4" t="s">
        <v>93</v>
      </c>
      <c r="F827" s="69">
        <v>396</v>
      </c>
      <c r="G827" s="70"/>
      <c r="H827" s="69">
        <v>100</v>
      </c>
      <c r="I827" s="70"/>
      <c r="J827" s="71">
        <f t="shared" si="94"/>
        <v>350</v>
      </c>
      <c r="K827" s="71"/>
      <c r="L827" s="72"/>
      <c r="M827" s="72"/>
      <c r="O827" s="11">
        <v>200</v>
      </c>
      <c r="P827" s="11">
        <f t="shared" si="95"/>
        <v>20000</v>
      </c>
      <c r="Q827" s="12"/>
      <c r="S827" s="11">
        <f t="shared" si="96"/>
        <v>70000</v>
      </c>
      <c r="T827" s="13">
        <f t="shared" si="97"/>
        <v>46</v>
      </c>
    </row>
    <row r="828" spans="1:20" ht="24.95" customHeight="1">
      <c r="A828" s="10">
        <v>6</v>
      </c>
      <c r="B828" s="66" t="s">
        <v>87</v>
      </c>
      <c r="C828" s="67" t="s">
        <v>87</v>
      </c>
      <c r="D828" s="68" t="s">
        <v>87</v>
      </c>
      <c r="E828" s="4" t="s">
        <v>35</v>
      </c>
      <c r="F828" s="69">
        <v>80</v>
      </c>
      <c r="G828" s="70">
        <v>183.6</v>
      </c>
      <c r="H828" s="69"/>
      <c r="I828" s="70"/>
      <c r="J828" s="71">
        <f t="shared" si="94"/>
        <v>70</v>
      </c>
      <c r="K828" s="71"/>
      <c r="L828" s="54"/>
      <c r="M828" s="59"/>
      <c r="O828" s="11">
        <v>1463</v>
      </c>
      <c r="P828" s="11">
        <f t="shared" si="95"/>
        <v>0</v>
      </c>
      <c r="S828" s="11">
        <f t="shared" si="96"/>
        <v>102410</v>
      </c>
      <c r="T828" s="13">
        <f t="shared" si="97"/>
        <v>10</v>
      </c>
    </row>
    <row r="829" spans="1:20" ht="24.95" customHeight="1">
      <c r="A829" s="10">
        <v>7</v>
      </c>
      <c r="B829" s="66" t="s">
        <v>88</v>
      </c>
      <c r="C829" s="67" t="s">
        <v>88</v>
      </c>
      <c r="D829" s="68" t="s">
        <v>88</v>
      </c>
      <c r="E829" s="4" t="s">
        <v>94</v>
      </c>
      <c r="F829" s="69">
        <v>126</v>
      </c>
      <c r="G829" s="70">
        <v>19</v>
      </c>
      <c r="H829" s="69"/>
      <c r="I829" s="70"/>
      <c r="J829" s="71">
        <f t="shared" si="94"/>
        <v>0</v>
      </c>
      <c r="K829" s="71"/>
      <c r="L829" s="54"/>
      <c r="M829" s="59"/>
      <c r="O829" s="11">
        <v>6350</v>
      </c>
      <c r="P829" s="11">
        <f t="shared" si="95"/>
        <v>0</v>
      </c>
      <c r="S829" s="11">
        <f t="shared" si="96"/>
        <v>0</v>
      </c>
      <c r="T829" s="13">
        <f t="shared" si="97"/>
        <v>126</v>
      </c>
    </row>
    <row r="830" spans="1:20" ht="24.95" customHeight="1">
      <c r="A830" s="10">
        <v>8</v>
      </c>
      <c r="B830" s="66" t="s">
        <v>89</v>
      </c>
      <c r="C830" s="67" t="s">
        <v>89</v>
      </c>
      <c r="D830" s="68" t="s">
        <v>89</v>
      </c>
      <c r="E830" s="4" t="s">
        <v>95</v>
      </c>
      <c r="F830" s="69">
        <v>1</v>
      </c>
      <c r="G830" s="70">
        <v>1192</v>
      </c>
      <c r="H830" s="69"/>
      <c r="I830" s="70"/>
      <c r="J830" s="71">
        <f t="shared" si="94"/>
        <v>0</v>
      </c>
      <c r="K830" s="71"/>
      <c r="L830" s="54"/>
      <c r="M830" s="59"/>
      <c r="O830" s="11">
        <v>47600</v>
      </c>
      <c r="P830" s="11">
        <f t="shared" si="95"/>
        <v>0</v>
      </c>
      <c r="S830" s="11">
        <f t="shared" si="96"/>
        <v>0</v>
      </c>
      <c r="T830" s="13">
        <f t="shared" si="97"/>
        <v>1</v>
      </c>
    </row>
    <row r="831" spans="1:20" ht="24.95" customHeight="1">
      <c r="A831" s="10">
        <v>9</v>
      </c>
      <c r="B831" s="66" t="s">
        <v>90</v>
      </c>
      <c r="C831" s="67" t="s">
        <v>90</v>
      </c>
      <c r="D831" s="68" t="s">
        <v>90</v>
      </c>
      <c r="E831" s="4" t="s">
        <v>96</v>
      </c>
      <c r="F831" s="69">
        <v>1</v>
      </c>
      <c r="G831" s="70">
        <v>1261</v>
      </c>
      <c r="H831" s="69"/>
      <c r="I831" s="70"/>
      <c r="J831" s="71">
        <f t="shared" si="94"/>
        <v>0</v>
      </c>
      <c r="K831" s="71"/>
      <c r="L831" s="54"/>
      <c r="M831" s="59"/>
      <c r="O831" s="11">
        <v>10000</v>
      </c>
      <c r="P831" s="11">
        <f t="shared" si="95"/>
        <v>0</v>
      </c>
      <c r="S831" s="11">
        <f t="shared" si="96"/>
        <v>0</v>
      </c>
      <c r="T831" s="13">
        <f t="shared" si="97"/>
        <v>1</v>
      </c>
    </row>
    <row r="832" spans="1:20" ht="24.95" customHeight="1">
      <c r="A832" s="14"/>
      <c r="B832" s="15"/>
      <c r="C832" s="16"/>
      <c r="D832" s="17"/>
      <c r="E832" s="4"/>
      <c r="F832" s="18"/>
      <c r="G832" s="19"/>
      <c r="H832" s="105"/>
      <c r="I832" s="106"/>
      <c r="J832" s="105"/>
      <c r="K832" s="106"/>
      <c r="L832" s="54"/>
      <c r="M832" s="59"/>
      <c r="N832" s="20"/>
      <c r="P832" s="21" t="s">
        <v>37</v>
      </c>
      <c r="Q832" s="22">
        <f>SUM(P823:P831)</f>
        <v>20000</v>
      </c>
      <c r="R832" s="23"/>
      <c r="S832" s="24">
        <f>SUM(S823:S831)</f>
        <v>268244</v>
      </c>
      <c r="T832" s="13"/>
    </row>
    <row r="833" spans="1:20" ht="24.95" customHeight="1">
      <c r="A833" s="107"/>
      <c r="B833" s="108"/>
      <c r="C833" s="108"/>
      <c r="D833" s="109"/>
      <c r="E833" s="4"/>
      <c r="F833" s="54"/>
      <c r="G833" s="59"/>
      <c r="H833" s="72"/>
      <c r="I833" s="72"/>
      <c r="J833" s="72"/>
      <c r="K833" s="72"/>
      <c r="L833" s="72"/>
      <c r="M833" s="72"/>
      <c r="O833" t="s">
        <v>38</v>
      </c>
      <c r="P833" s="24">
        <f>Q832</f>
        <v>20000</v>
      </c>
      <c r="T833" s="13"/>
    </row>
    <row r="834" spans="1:20" ht="24.95" customHeight="1">
      <c r="A834" s="97"/>
      <c r="B834" s="98"/>
      <c r="C834" s="98"/>
      <c r="D834" s="99"/>
      <c r="E834" s="4"/>
      <c r="F834" s="54"/>
      <c r="G834" s="59"/>
      <c r="H834" s="72"/>
      <c r="I834" s="72"/>
      <c r="J834" s="72"/>
      <c r="K834" s="72"/>
      <c r="L834" s="72"/>
      <c r="M834" s="72"/>
      <c r="O834" t="s">
        <v>39</v>
      </c>
      <c r="P834" s="23">
        <f>ROUND(P833/1153274,4)*100</f>
        <v>1.73</v>
      </c>
      <c r="T834" s="13"/>
    </row>
    <row r="835" spans="1:20" ht="24.95" customHeight="1">
      <c r="A835" s="25"/>
      <c r="B835" s="63" t="s">
        <v>40</v>
      </c>
      <c r="C835" s="63"/>
      <c r="D835" s="59"/>
      <c r="E835" s="26"/>
      <c r="F835" s="100"/>
      <c r="G835" s="101"/>
      <c r="H835" s="100"/>
      <c r="I835" s="101"/>
      <c r="J835" s="102"/>
      <c r="K835" s="102"/>
      <c r="L835" s="103">
        <f>P833</f>
        <v>20000</v>
      </c>
      <c r="M835" s="104"/>
      <c r="T835" s="13"/>
    </row>
    <row r="836" spans="1:20" ht="24.95" customHeight="1" thickBot="1">
      <c r="A836" s="27"/>
      <c r="B836" s="85" t="s">
        <v>41</v>
      </c>
      <c r="C836" s="85"/>
      <c r="D836" s="86"/>
      <c r="E836" s="28"/>
      <c r="F836" s="87"/>
      <c r="G836" s="88"/>
      <c r="H836" s="87"/>
      <c r="I836" s="88"/>
      <c r="J836" s="87"/>
      <c r="K836" s="88"/>
      <c r="L836" s="89">
        <f>L835+L778</f>
        <v>268244</v>
      </c>
      <c r="M836" s="90"/>
      <c r="T836" s="13"/>
    </row>
    <row r="837" spans="1:20" ht="24.95" customHeight="1">
      <c r="A837" s="29"/>
      <c r="B837" s="91" t="s">
        <v>42</v>
      </c>
      <c r="C837" s="91"/>
      <c r="D837" s="92"/>
      <c r="E837" s="30"/>
      <c r="F837" s="93"/>
      <c r="G837" s="94"/>
      <c r="H837" s="95"/>
      <c r="I837" s="95"/>
      <c r="J837" s="95"/>
      <c r="K837" s="95"/>
      <c r="L837" s="95"/>
      <c r="M837" s="96"/>
      <c r="T837" s="13"/>
    </row>
    <row r="838" spans="1:20" ht="24.95" customHeight="1">
      <c r="A838" s="31"/>
      <c r="B838" s="76" t="s">
        <v>43</v>
      </c>
      <c r="C838" s="76"/>
      <c r="D838" s="77"/>
      <c r="E838" s="4"/>
      <c r="F838" s="54"/>
      <c r="G838" s="59"/>
      <c r="H838" s="72"/>
      <c r="I838" s="72"/>
      <c r="J838" s="72"/>
      <c r="K838" s="72"/>
      <c r="L838" s="72"/>
      <c r="M838" s="78"/>
      <c r="T838" s="13"/>
    </row>
    <row r="839" spans="1:20" ht="24.95" customHeight="1" thickBot="1">
      <c r="A839" s="32"/>
      <c r="B839" s="79" t="s">
        <v>44</v>
      </c>
      <c r="C839" s="79"/>
      <c r="D839" s="80"/>
      <c r="E839" s="33"/>
      <c r="F839" s="81"/>
      <c r="G839" s="82"/>
      <c r="H839" s="83"/>
      <c r="I839" s="83"/>
      <c r="J839" s="83"/>
      <c r="K839" s="83"/>
      <c r="L839" s="83"/>
      <c r="M839" s="84"/>
      <c r="T839" s="13"/>
    </row>
    <row r="840" spans="1:20" ht="24.95" customHeight="1">
      <c r="A840" s="73" t="s">
        <v>45</v>
      </c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T840" s="13"/>
    </row>
    <row r="841" spans="1:20" ht="24.95" customHeight="1">
      <c r="A841" s="72" t="s">
        <v>46</v>
      </c>
      <c r="B841" s="75"/>
      <c r="C841" s="75"/>
      <c r="D841" s="75"/>
      <c r="E841" s="4" t="s">
        <v>22</v>
      </c>
      <c r="F841" s="72" t="s">
        <v>47</v>
      </c>
      <c r="G841" s="72"/>
      <c r="H841" s="72" t="s">
        <v>48</v>
      </c>
      <c r="I841" s="72"/>
      <c r="J841" s="72" t="s">
        <v>49</v>
      </c>
      <c r="K841" s="72"/>
      <c r="L841" s="72" t="s">
        <v>50</v>
      </c>
      <c r="M841" s="72"/>
      <c r="T841" s="13"/>
    </row>
    <row r="842" spans="1:20" ht="24.95" customHeight="1">
      <c r="A842" s="10">
        <v>6</v>
      </c>
      <c r="B842" s="66" t="s">
        <v>97</v>
      </c>
      <c r="C842" s="67" t="s">
        <v>51</v>
      </c>
      <c r="D842" s="68" t="s">
        <v>51</v>
      </c>
      <c r="E842" s="4" t="s">
        <v>35</v>
      </c>
      <c r="F842" s="69">
        <v>80</v>
      </c>
      <c r="G842" s="70">
        <v>1261</v>
      </c>
      <c r="H842" s="71">
        <f>H828</f>
        <v>0</v>
      </c>
      <c r="I842" s="71"/>
      <c r="J842" s="71">
        <f>H842+J784</f>
        <v>70</v>
      </c>
      <c r="K842" s="71"/>
      <c r="L842" s="72"/>
      <c r="M842" s="72"/>
      <c r="T842" s="13"/>
    </row>
    <row r="843" spans="1:20" ht="24.95" customHeight="1">
      <c r="A843" s="10">
        <v>7</v>
      </c>
      <c r="B843" s="66" t="s">
        <v>88</v>
      </c>
      <c r="C843" s="67" t="s">
        <v>88</v>
      </c>
      <c r="D843" s="68" t="s">
        <v>88</v>
      </c>
      <c r="E843" s="4" t="s">
        <v>98</v>
      </c>
      <c r="F843" s="69">
        <v>126</v>
      </c>
      <c r="G843" s="70"/>
      <c r="H843" s="71">
        <f>H829</f>
        <v>0</v>
      </c>
      <c r="I843" s="71"/>
      <c r="J843" s="71">
        <f t="shared" ref="J843:J844" si="98">H843+J785</f>
        <v>0</v>
      </c>
      <c r="K843" s="71"/>
      <c r="L843" s="72"/>
      <c r="M843" s="72"/>
      <c r="T843" s="13"/>
    </row>
    <row r="844" spans="1:20" ht="24.95" customHeight="1">
      <c r="A844" s="10">
        <v>8</v>
      </c>
      <c r="B844" s="66" t="s">
        <v>89</v>
      </c>
      <c r="C844" s="67" t="s">
        <v>89</v>
      </c>
      <c r="D844" s="68" t="s">
        <v>89</v>
      </c>
      <c r="E844" s="4" t="s">
        <v>36</v>
      </c>
      <c r="F844" s="69">
        <v>1</v>
      </c>
      <c r="G844" s="70"/>
      <c r="H844" s="71">
        <f>H830</f>
        <v>0</v>
      </c>
      <c r="I844" s="71"/>
      <c r="J844" s="71">
        <f t="shared" si="98"/>
        <v>0</v>
      </c>
      <c r="K844" s="71"/>
      <c r="L844" s="72"/>
      <c r="M844" s="72"/>
      <c r="T844" s="13"/>
    </row>
    <row r="845" spans="1:20" ht="24.95" customHeight="1">
      <c r="A845" s="51" t="s">
        <v>52</v>
      </c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3"/>
      <c r="T845" s="13"/>
    </row>
    <row r="846" spans="1:20" ht="24.95" customHeight="1">
      <c r="A846" s="54" t="s">
        <v>53</v>
      </c>
      <c r="B846" s="63"/>
      <c r="C846" s="63"/>
      <c r="D846" s="59"/>
      <c r="E846" s="4" t="s">
        <v>54</v>
      </c>
      <c r="F846" s="54" t="s">
        <v>55</v>
      </c>
      <c r="G846" s="59"/>
      <c r="H846" s="54" t="s">
        <v>56</v>
      </c>
      <c r="I846" s="59"/>
      <c r="J846" s="54" t="s">
        <v>48</v>
      </c>
      <c r="K846" s="59"/>
      <c r="L846" s="64" t="s">
        <v>49</v>
      </c>
      <c r="M846" s="65"/>
      <c r="T846" s="13"/>
    </row>
    <row r="847" spans="1:20" ht="24.95" customHeight="1">
      <c r="A847" s="54" t="s">
        <v>57</v>
      </c>
      <c r="B847" s="55"/>
      <c r="C847" s="55"/>
      <c r="D847" s="56"/>
      <c r="E847" s="4">
        <v>1</v>
      </c>
      <c r="F847" s="57">
        <f>E847+F789</f>
        <v>26</v>
      </c>
      <c r="G847" s="58"/>
      <c r="H847" s="54" t="s">
        <v>58</v>
      </c>
      <c r="I847" s="59"/>
      <c r="J847" s="54"/>
      <c r="K847" s="59"/>
      <c r="L847" s="57">
        <f>J847+L789</f>
        <v>12</v>
      </c>
      <c r="M847" s="58"/>
      <c r="T847" s="13"/>
    </row>
    <row r="848" spans="1:20" ht="24.95" customHeight="1">
      <c r="A848" s="54" t="s">
        <v>59</v>
      </c>
      <c r="B848" s="55"/>
      <c r="C848" s="55"/>
      <c r="D848" s="56"/>
      <c r="E848" s="4"/>
      <c r="F848" s="57">
        <f t="shared" ref="F848:F850" si="99">E848+F790</f>
        <v>0</v>
      </c>
      <c r="G848" s="58"/>
      <c r="H848" s="54" t="s">
        <v>60</v>
      </c>
      <c r="I848" s="59"/>
      <c r="J848" s="54"/>
      <c r="K848" s="59"/>
      <c r="L848" s="57">
        <f t="shared" ref="L848:L850" si="100">J848+L790</f>
        <v>0</v>
      </c>
      <c r="M848" s="58"/>
      <c r="T848" s="13"/>
    </row>
    <row r="849" spans="1:20" ht="24.95" customHeight="1">
      <c r="A849" s="54" t="s">
        <v>61</v>
      </c>
      <c r="B849" s="55"/>
      <c r="C849" s="55"/>
      <c r="D849" s="56"/>
      <c r="E849" s="4"/>
      <c r="F849" s="57">
        <f t="shared" si="99"/>
        <v>0</v>
      </c>
      <c r="G849" s="58"/>
      <c r="H849" s="54" t="s">
        <v>62</v>
      </c>
      <c r="I849" s="59"/>
      <c r="J849" s="54">
        <v>1</v>
      </c>
      <c r="K849" s="59"/>
      <c r="L849" s="57">
        <f t="shared" si="100"/>
        <v>4</v>
      </c>
      <c r="M849" s="58"/>
      <c r="T849" s="13"/>
    </row>
    <row r="850" spans="1:20" ht="24.95" customHeight="1">
      <c r="A850" s="54" t="s">
        <v>63</v>
      </c>
      <c r="B850" s="55"/>
      <c r="C850" s="55"/>
      <c r="D850" s="56"/>
      <c r="E850" s="4"/>
      <c r="F850" s="57">
        <f t="shared" si="99"/>
        <v>2</v>
      </c>
      <c r="G850" s="58"/>
      <c r="H850" s="54" t="s">
        <v>64</v>
      </c>
      <c r="I850" s="59"/>
      <c r="J850" s="54">
        <v>1</v>
      </c>
      <c r="K850" s="59"/>
      <c r="L850" s="57">
        <f t="shared" si="100"/>
        <v>1</v>
      </c>
      <c r="M850" s="58"/>
      <c r="T850" s="13"/>
    </row>
    <row r="851" spans="1:20" ht="64.5" customHeight="1">
      <c r="A851" s="60" t="s">
        <v>65</v>
      </c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2"/>
      <c r="T851" s="13"/>
    </row>
    <row r="852" spans="1:20" ht="24.95" customHeight="1">
      <c r="A852" s="46" t="s">
        <v>66</v>
      </c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8"/>
      <c r="T852" s="13"/>
    </row>
    <row r="853" spans="1:20" ht="24.95" customHeight="1">
      <c r="A853" s="27"/>
      <c r="B853" s="34" t="s">
        <v>67</v>
      </c>
      <c r="C853" s="34"/>
      <c r="D853" s="34"/>
      <c r="E853" s="34"/>
      <c r="F853" s="34"/>
      <c r="G853" s="35"/>
      <c r="H853" s="34"/>
      <c r="I853" s="34"/>
      <c r="J853" s="34"/>
      <c r="K853" s="34"/>
      <c r="L853" s="34"/>
      <c r="M853" s="36"/>
      <c r="T853" s="13"/>
    </row>
    <row r="854" spans="1:20" ht="24.95" customHeight="1">
      <c r="A854" s="27"/>
      <c r="B854" s="34" t="s">
        <v>133</v>
      </c>
      <c r="C854" s="34"/>
      <c r="D854" s="34"/>
      <c r="E854" s="34"/>
      <c r="F854" s="34"/>
      <c r="G854" s="35"/>
      <c r="H854" s="34"/>
      <c r="I854" s="34"/>
      <c r="J854" s="34"/>
      <c r="K854" s="34"/>
      <c r="L854" s="34"/>
      <c r="M854" s="36"/>
      <c r="T854" s="13"/>
    </row>
    <row r="855" spans="1:20" ht="24.95" customHeight="1">
      <c r="A855" s="27"/>
      <c r="B855" s="34" t="s">
        <v>68</v>
      </c>
      <c r="C855" s="34"/>
      <c r="D855" s="34"/>
      <c r="E855" s="34"/>
      <c r="F855" s="34"/>
      <c r="G855" s="35"/>
      <c r="H855" s="34"/>
      <c r="I855" s="34"/>
      <c r="J855" s="34"/>
      <c r="K855" s="34"/>
      <c r="L855" s="34"/>
      <c r="M855" s="36"/>
      <c r="T855" s="13"/>
    </row>
    <row r="856" spans="1:20" ht="24.95" customHeight="1">
      <c r="A856" s="27"/>
      <c r="B856" s="34" t="s">
        <v>134</v>
      </c>
      <c r="C856" s="34"/>
      <c r="D856" s="34"/>
      <c r="E856" s="34"/>
      <c r="F856" s="34"/>
      <c r="G856" s="35"/>
      <c r="H856" s="34"/>
      <c r="I856" s="34"/>
      <c r="J856" s="34"/>
      <c r="K856" s="34"/>
      <c r="L856" s="34"/>
      <c r="M856" s="36"/>
      <c r="T856" s="13"/>
    </row>
    <row r="857" spans="1:20" ht="24.95" customHeight="1">
      <c r="A857" s="27"/>
      <c r="B857" s="34" t="s">
        <v>135</v>
      </c>
      <c r="C857" s="34"/>
      <c r="D857" s="34"/>
      <c r="E857" s="34"/>
      <c r="F857" s="34"/>
      <c r="G857" s="35"/>
      <c r="H857" s="34"/>
      <c r="I857" s="34"/>
      <c r="J857" s="34"/>
      <c r="K857" s="34"/>
      <c r="L857" s="34"/>
      <c r="M857" s="36"/>
      <c r="T857" s="13"/>
    </row>
    <row r="858" spans="1:20" ht="24.95" customHeight="1">
      <c r="A858" s="37"/>
      <c r="B858" s="49" t="s">
        <v>69</v>
      </c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50"/>
      <c r="T858" s="13"/>
    </row>
    <row r="859" spans="1:20" ht="44.25" customHeight="1">
      <c r="A859" s="51" t="s">
        <v>70</v>
      </c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3"/>
      <c r="T859" s="13"/>
    </row>
    <row r="860" spans="1:20" ht="48" customHeight="1">
      <c r="A860" s="51" t="s">
        <v>71</v>
      </c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3"/>
      <c r="T860" s="13"/>
    </row>
    <row r="861" spans="1:20" ht="81" customHeight="1">
      <c r="A861" s="51" t="s">
        <v>132</v>
      </c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3"/>
      <c r="T861" s="13"/>
    </row>
    <row r="862" spans="1:20" ht="100.5" customHeight="1">
      <c r="A862" s="51" t="s">
        <v>72</v>
      </c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3"/>
      <c r="T862" s="13"/>
    </row>
    <row r="863" spans="1:20" ht="12" customHeight="1">
      <c r="A863" s="41" t="s">
        <v>73</v>
      </c>
      <c r="B863" s="41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38"/>
      <c r="T863" s="13"/>
    </row>
    <row r="864" spans="1:20" ht="12" customHeight="1">
      <c r="A864" s="43" t="s">
        <v>74</v>
      </c>
      <c r="B864" s="43"/>
      <c r="C864" s="40"/>
      <c r="D864" s="40"/>
      <c r="E864" s="40"/>
      <c r="F864" s="40"/>
      <c r="G864" s="40"/>
      <c r="H864" s="40"/>
      <c r="I864" s="40"/>
      <c r="J864" s="40"/>
      <c r="K864" s="40"/>
      <c r="L864" s="38"/>
      <c r="M864" s="38"/>
      <c r="T864" s="13"/>
    </row>
    <row r="865" spans="1:20" ht="12" customHeight="1">
      <c r="A865" s="44" t="s">
        <v>75</v>
      </c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T865" s="13"/>
    </row>
    <row r="866" spans="1:20" ht="12" customHeight="1">
      <c r="A866" s="39" t="s">
        <v>76</v>
      </c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T866" s="13"/>
    </row>
    <row r="867" spans="1:20" ht="12" customHeight="1">
      <c r="A867" s="39" t="s">
        <v>77</v>
      </c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T867" s="13"/>
    </row>
    <row r="868" spans="1:20" ht="12" customHeight="1">
      <c r="A868" s="45" t="s">
        <v>78</v>
      </c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T868" s="13"/>
    </row>
    <row r="869" spans="1:20" ht="12" customHeight="1">
      <c r="A869" s="39" t="s">
        <v>79</v>
      </c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T869" s="13"/>
    </row>
    <row r="870" spans="1:20" ht="409.5" customHeight="1"/>
    <row r="871" spans="1:20" s="2" customFormat="1" ht="35.1" customHeight="1">
      <c r="A871" s="126" t="s">
        <v>0</v>
      </c>
      <c r="B871" s="126"/>
      <c r="C871" s="1">
        <f>C813+1</f>
        <v>20</v>
      </c>
      <c r="G871" s="3"/>
    </row>
    <row r="872" spans="1:20" s="2" customFormat="1" ht="35.1" customHeight="1">
      <c r="A872" s="126" t="s">
        <v>1</v>
      </c>
      <c r="B872" s="126"/>
      <c r="C872" s="2" t="s">
        <v>2</v>
      </c>
      <c r="D872" s="2" t="s">
        <v>105</v>
      </c>
      <c r="E872" s="2" t="s">
        <v>3</v>
      </c>
      <c r="F872" s="2" t="s">
        <v>105</v>
      </c>
      <c r="G872" s="3"/>
      <c r="H872" s="127" t="s">
        <v>4</v>
      </c>
      <c r="I872" s="128"/>
      <c r="J872" s="129">
        <f>J814+1</f>
        <v>46007</v>
      </c>
      <c r="K872" s="130"/>
      <c r="L872" s="131">
        <f>J872</f>
        <v>46007</v>
      </c>
      <c r="M872" s="132"/>
    </row>
    <row r="873" spans="1:20" s="2" customFormat="1" ht="30" customHeight="1">
      <c r="A873" s="72" t="s">
        <v>5</v>
      </c>
      <c r="B873" s="114"/>
      <c r="C873" s="119" t="s">
        <v>83</v>
      </c>
      <c r="D873" s="119"/>
      <c r="E873" s="119"/>
      <c r="F873" s="119"/>
      <c r="G873" s="119"/>
      <c r="H873" s="54" t="s">
        <v>6</v>
      </c>
      <c r="I873" s="59"/>
      <c r="J873" s="120"/>
      <c r="K873" s="120"/>
      <c r="L873" s="120"/>
      <c r="M873" s="120"/>
    </row>
    <row r="874" spans="1:20" s="1" customFormat="1" ht="30" customHeight="1">
      <c r="A874" s="72" t="s">
        <v>7</v>
      </c>
      <c r="B874" s="114"/>
      <c r="C874" s="4">
        <v>50</v>
      </c>
      <c r="D874" s="4" t="s">
        <v>8</v>
      </c>
      <c r="E874" s="4" t="s">
        <v>9</v>
      </c>
      <c r="F874" s="4">
        <f>F816+1</f>
        <v>20</v>
      </c>
      <c r="G874" s="5" t="s">
        <v>8</v>
      </c>
      <c r="H874" s="4" t="s">
        <v>10</v>
      </c>
      <c r="I874" s="4">
        <f>C874-F874+L874</f>
        <v>30</v>
      </c>
      <c r="J874" s="4" t="s">
        <v>11</v>
      </c>
      <c r="K874" s="6" t="s">
        <v>12</v>
      </c>
      <c r="L874" s="7">
        <f>L816</f>
        <v>0</v>
      </c>
      <c r="M874" s="4" t="s">
        <v>8</v>
      </c>
    </row>
    <row r="875" spans="1:20" s="2" customFormat="1" ht="30" customHeight="1">
      <c r="A875" s="72" t="s">
        <v>13</v>
      </c>
      <c r="B875" s="75"/>
      <c r="C875" s="75"/>
      <c r="D875" s="121">
        <f>D817</f>
        <v>45988</v>
      </c>
      <c r="E875" s="122"/>
      <c r="F875" s="122"/>
      <c r="G875" s="123"/>
      <c r="H875" s="124" t="s">
        <v>14</v>
      </c>
      <c r="I875" s="125"/>
      <c r="J875" s="121">
        <f>J817</f>
        <v>46037</v>
      </c>
      <c r="K875" s="122"/>
      <c r="L875" s="122"/>
      <c r="M875" s="123"/>
    </row>
    <row r="876" spans="1:20" s="2" customFormat="1" ht="30" customHeight="1">
      <c r="A876" s="72" t="s">
        <v>15</v>
      </c>
      <c r="B876" s="114"/>
      <c r="C876" s="114"/>
      <c r="D876" s="72">
        <v>0.64200000000000002</v>
      </c>
      <c r="E876" s="72"/>
      <c r="F876" s="72"/>
      <c r="G876" s="72"/>
      <c r="H876" s="64" t="s">
        <v>16</v>
      </c>
      <c r="I876" s="115"/>
      <c r="J876" s="116">
        <f>P892</f>
        <v>0</v>
      </c>
      <c r="K876" s="117"/>
      <c r="L876" s="117"/>
      <c r="M876" s="118"/>
    </row>
    <row r="877" spans="1:20" s="2" customFormat="1" ht="30" customHeight="1">
      <c r="A877" s="72" t="s">
        <v>17</v>
      </c>
      <c r="B877" s="114"/>
      <c r="C877" s="114"/>
      <c r="D877" s="72">
        <f>D876+D819</f>
        <v>8.4190000000000005</v>
      </c>
      <c r="E877" s="72"/>
      <c r="F877" s="72"/>
      <c r="G877" s="72"/>
      <c r="H877" s="64" t="s">
        <v>18</v>
      </c>
      <c r="I877" s="115"/>
      <c r="J877" s="116">
        <f>J876+J819</f>
        <v>23.219999999999992</v>
      </c>
      <c r="K877" s="117"/>
      <c r="L877" s="117"/>
      <c r="M877" s="118"/>
    </row>
    <row r="878" spans="1:20" s="2" customFormat="1" ht="30" customHeight="1">
      <c r="A878" s="111" t="s">
        <v>19</v>
      </c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12"/>
      <c r="M878" s="113"/>
    </row>
    <row r="879" spans="1:20" s="2" customFormat="1" ht="30" customHeight="1">
      <c r="A879" s="8" t="s">
        <v>20</v>
      </c>
      <c r="B879" s="72" t="s">
        <v>21</v>
      </c>
      <c r="C879" s="72"/>
      <c r="D879" s="72"/>
      <c r="E879" s="4" t="s">
        <v>22</v>
      </c>
      <c r="F879" s="54" t="s">
        <v>23</v>
      </c>
      <c r="G879" s="59"/>
      <c r="H879" s="72" t="s">
        <v>24</v>
      </c>
      <c r="I879" s="72"/>
      <c r="J879" s="72" t="s">
        <v>25</v>
      </c>
      <c r="K879" s="72"/>
      <c r="L879" s="72" t="s">
        <v>26</v>
      </c>
      <c r="M879" s="72"/>
      <c r="O879" s="1" t="s">
        <v>27</v>
      </c>
      <c r="P879" s="1" t="s">
        <v>28</v>
      </c>
      <c r="T879" s="2" t="s">
        <v>29</v>
      </c>
    </row>
    <row r="880" spans="1:20" s="2" customFormat="1" ht="24.95" customHeight="1">
      <c r="A880" s="9" t="s">
        <v>30</v>
      </c>
      <c r="B880" s="110" t="s">
        <v>31</v>
      </c>
      <c r="C880" s="110"/>
      <c r="D880" s="110"/>
      <c r="E880" s="4"/>
      <c r="F880" s="54"/>
      <c r="G880" s="59"/>
      <c r="H880" s="72"/>
      <c r="I880" s="72"/>
      <c r="J880" s="72"/>
      <c r="K880" s="72"/>
      <c r="L880" s="72"/>
      <c r="M880" s="72"/>
    </row>
    <row r="881" spans="1:20" ht="24.95" customHeight="1">
      <c r="A881" s="10">
        <v>1</v>
      </c>
      <c r="B881" s="66" t="s">
        <v>91</v>
      </c>
      <c r="C881" s="67" t="s">
        <v>91</v>
      </c>
      <c r="D881" s="68" t="s">
        <v>91</v>
      </c>
      <c r="E881" s="4" t="s">
        <v>32</v>
      </c>
      <c r="F881" s="69">
        <v>1</v>
      </c>
      <c r="G881" s="70"/>
      <c r="H881" s="69"/>
      <c r="I881" s="70"/>
      <c r="J881" s="71">
        <f>H881+J823</f>
        <v>1</v>
      </c>
      <c r="K881" s="71"/>
      <c r="L881" s="72"/>
      <c r="M881" s="72"/>
      <c r="O881" s="11">
        <v>4000</v>
      </c>
      <c r="P881" s="11">
        <f>ROUND(H881*O881,0)</f>
        <v>0</v>
      </c>
      <c r="Q881" s="12"/>
      <c r="S881" s="11">
        <f>ROUND(J881*O881,0)</f>
        <v>4000</v>
      </c>
      <c r="T881" s="13">
        <f>F881-J881</f>
        <v>0</v>
      </c>
    </row>
    <row r="882" spans="1:20" ht="24.95" customHeight="1">
      <c r="A882" s="10">
        <v>2</v>
      </c>
      <c r="B882" s="66" t="s">
        <v>92</v>
      </c>
      <c r="C882" s="67" t="s">
        <v>92</v>
      </c>
      <c r="D882" s="68" t="s">
        <v>92</v>
      </c>
      <c r="E882" s="4" t="s">
        <v>32</v>
      </c>
      <c r="F882" s="69">
        <v>1</v>
      </c>
      <c r="G882" s="70"/>
      <c r="H882" s="69"/>
      <c r="I882" s="70"/>
      <c r="J882" s="71">
        <f t="shared" ref="J882:J889" si="101">H882+J824</f>
        <v>1</v>
      </c>
      <c r="K882" s="71"/>
      <c r="L882" s="72"/>
      <c r="M882" s="72"/>
      <c r="O882" s="11">
        <v>14334</v>
      </c>
      <c r="P882" s="11">
        <f t="shared" ref="P882:P889" si="102">ROUND(H882*O882,0)</f>
        <v>0</v>
      </c>
      <c r="Q882" s="12"/>
      <c r="S882" s="11">
        <f t="shared" ref="S882:S889" si="103">ROUND(J882*O882,0)</f>
        <v>14334</v>
      </c>
      <c r="T882" s="13">
        <f t="shared" ref="T882:T889" si="104">F882-J882</f>
        <v>0</v>
      </c>
    </row>
    <row r="883" spans="1:20" ht="24.95" customHeight="1">
      <c r="A883" s="10">
        <v>3</v>
      </c>
      <c r="B883" s="66" t="s">
        <v>84</v>
      </c>
      <c r="C883" s="67" t="s">
        <v>84</v>
      </c>
      <c r="D883" s="68" t="s">
        <v>84</v>
      </c>
      <c r="E883" s="4" t="s">
        <v>33</v>
      </c>
      <c r="F883" s="69">
        <v>1</v>
      </c>
      <c r="G883" s="70"/>
      <c r="H883" s="69"/>
      <c r="I883" s="70"/>
      <c r="J883" s="71">
        <f t="shared" si="101"/>
        <v>0.5</v>
      </c>
      <c r="K883" s="71"/>
      <c r="L883" s="72"/>
      <c r="M883" s="72"/>
      <c r="O883" s="11">
        <v>7000</v>
      </c>
      <c r="P883" s="11">
        <f t="shared" si="102"/>
        <v>0</v>
      </c>
      <c r="Q883" s="12"/>
      <c r="S883" s="11">
        <f t="shared" si="103"/>
        <v>3500</v>
      </c>
      <c r="T883" s="13">
        <f t="shared" si="104"/>
        <v>0.5</v>
      </c>
    </row>
    <row r="884" spans="1:20" ht="24.95" customHeight="1">
      <c r="A884" s="10">
        <v>4</v>
      </c>
      <c r="B884" s="66" t="s">
        <v>85</v>
      </c>
      <c r="C884" s="67" t="s">
        <v>85</v>
      </c>
      <c r="D884" s="68" t="s">
        <v>85</v>
      </c>
      <c r="E884" s="4" t="s">
        <v>34</v>
      </c>
      <c r="F884" s="69">
        <v>1</v>
      </c>
      <c r="G884" s="70"/>
      <c r="H884" s="69"/>
      <c r="I884" s="70"/>
      <c r="J884" s="71">
        <f t="shared" si="101"/>
        <v>1</v>
      </c>
      <c r="K884" s="71"/>
      <c r="L884" s="72"/>
      <c r="M884" s="72"/>
      <c r="O884" s="11">
        <v>74000</v>
      </c>
      <c r="P884" s="11">
        <f t="shared" si="102"/>
        <v>0</v>
      </c>
      <c r="Q884" s="12"/>
      <c r="S884" s="11">
        <f t="shared" si="103"/>
        <v>74000</v>
      </c>
      <c r="T884" s="13">
        <f t="shared" si="104"/>
        <v>0</v>
      </c>
    </row>
    <row r="885" spans="1:20" ht="24.95" customHeight="1">
      <c r="A885" s="10">
        <v>5</v>
      </c>
      <c r="B885" s="66" t="s">
        <v>86</v>
      </c>
      <c r="C885" s="67" t="s">
        <v>86</v>
      </c>
      <c r="D885" s="68" t="s">
        <v>86</v>
      </c>
      <c r="E885" s="4" t="s">
        <v>93</v>
      </c>
      <c r="F885" s="69">
        <v>396</v>
      </c>
      <c r="G885" s="70"/>
      <c r="H885" s="69"/>
      <c r="I885" s="70"/>
      <c r="J885" s="71">
        <f t="shared" si="101"/>
        <v>350</v>
      </c>
      <c r="K885" s="71"/>
      <c r="L885" s="72"/>
      <c r="M885" s="72"/>
      <c r="O885" s="11">
        <v>200</v>
      </c>
      <c r="P885" s="11">
        <f t="shared" si="102"/>
        <v>0</v>
      </c>
      <c r="Q885" s="12"/>
      <c r="S885" s="11">
        <f t="shared" si="103"/>
        <v>70000</v>
      </c>
      <c r="T885" s="13">
        <f t="shared" si="104"/>
        <v>46</v>
      </c>
    </row>
    <row r="886" spans="1:20" ht="24.95" customHeight="1">
      <c r="A886" s="10">
        <v>6</v>
      </c>
      <c r="B886" s="66" t="s">
        <v>97</v>
      </c>
      <c r="C886" s="67" t="s">
        <v>87</v>
      </c>
      <c r="D886" s="68" t="s">
        <v>87</v>
      </c>
      <c r="E886" s="4" t="s">
        <v>35</v>
      </c>
      <c r="F886" s="69">
        <v>80</v>
      </c>
      <c r="G886" s="70">
        <v>183.6</v>
      </c>
      <c r="H886" s="69"/>
      <c r="I886" s="70"/>
      <c r="J886" s="71">
        <f t="shared" si="101"/>
        <v>70</v>
      </c>
      <c r="K886" s="71"/>
      <c r="L886" s="54"/>
      <c r="M886" s="59"/>
      <c r="O886" s="11">
        <v>1463</v>
      </c>
      <c r="P886" s="11">
        <f t="shared" si="102"/>
        <v>0</v>
      </c>
      <c r="S886" s="11">
        <f t="shared" si="103"/>
        <v>102410</v>
      </c>
      <c r="T886" s="13">
        <f t="shared" si="104"/>
        <v>10</v>
      </c>
    </row>
    <row r="887" spans="1:20" ht="24.95" customHeight="1">
      <c r="A887" s="10">
        <v>7</v>
      </c>
      <c r="B887" s="66" t="s">
        <v>88</v>
      </c>
      <c r="C887" s="67" t="s">
        <v>88</v>
      </c>
      <c r="D887" s="68" t="s">
        <v>88</v>
      </c>
      <c r="E887" s="4" t="s">
        <v>94</v>
      </c>
      <c r="F887" s="69">
        <v>126</v>
      </c>
      <c r="G887" s="70">
        <v>19</v>
      </c>
      <c r="H887" s="69"/>
      <c r="I887" s="70"/>
      <c r="J887" s="71">
        <f t="shared" si="101"/>
        <v>0</v>
      </c>
      <c r="K887" s="71"/>
      <c r="L887" s="54"/>
      <c r="M887" s="59"/>
      <c r="O887" s="11">
        <v>6350</v>
      </c>
      <c r="P887" s="11">
        <f t="shared" si="102"/>
        <v>0</v>
      </c>
      <c r="S887" s="11">
        <f t="shared" si="103"/>
        <v>0</v>
      </c>
      <c r="T887" s="13">
        <f t="shared" si="104"/>
        <v>126</v>
      </c>
    </row>
    <row r="888" spans="1:20" ht="24.95" customHeight="1">
      <c r="A888" s="10">
        <v>8</v>
      </c>
      <c r="B888" s="66" t="s">
        <v>89</v>
      </c>
      <c r="C888" s="67" t="s">
        <v>89</v>
      </c>
      <c r="D888" s="68" t="s">
        <v>89</v>
      </c>
      <c r="E888" s="4" t="s">
        <v>95</v>
      </c>
      <c r="F888" s="69">
        <v>1</v>
      </c>
      <c r="G888" s="70">
        <v>1192</v>
      </c>
      <c r="H888" s="69"/>
      <c r="I888" s="70"/>
      <c r="J888" s="71">
        <f t="shared" si="101"/>
        <v>0</v>
      </c>
      <c r="K888" s="71"/>
      <c r="L888" s="54"/>
      <c r="M888" s="59"/>
      <c r="O888" s="11">
        <v>47600</v>
      </c>
      <c r="P888" s="11">
        <f t="shared" si="102"/>
        <v>0</v>
      </c>
      <c r="S888" s="11">
        <f t="shared" si="103"/>
        <v>0</v>
      </c>
      <c r="T888" s="13">
        <f t="shared" si="104"/>
        <v>1</v>
      </c>
    </row>
    <row r="889" spans="1:20" ht="24.95" customHeight="1">
      <c r="A889" s="10">
        <v>9</v>
      </c>
      <c r="B889" s="66" t="s">
        <v>90</v>
      </c>
      <c r="C889" s="67" t="s">
        <v>90</v>
      </c>
      <c r="D889" s="68" t="s">
        <v>90</v>
      </c>
      <c r="E889" s="4" t="s">
        <v>96</v>
      </c>
      <c r="F889" s="69">
        <v>1</v>
      </c>
      <c r="G889" s="70">
        <v>1261</v>
      </c>
      <c r="H889" s="69"/>
      <c r="I889" s="70"/>
      <c r="J889" s="71">
        <f t="shared" si="101"/>
        <v>0</v>
      </c>
      <c r="K889" s="71"/>
      <c r="L889" s="54"/>
      <c r="M889" s="59"/>
      <c r="O889" s="11">
        <v>10000</v>
      </c>
      <c r="P889" s="11">
        <f t="shared" si="102"/>
        <v>0</v>
      </c>
      <c r="S889" s="11">
        <f t="shared" si="103"/>
        <v>0</v>
      </c>
      <c r="T889" s="13">
        <f t="shared" si="104"/>
        <v>1</v>
      </c>
    </row>
    <row r="890" spans="1:20" ht="24.95" customHeight="1">
      <c r="A890" s="14"/>
      <c r="B890" s="15"/>
      <c r="C890" s="16"/>
      <c r="D890" s="17"/>
      <c r="E890" s="4"/>
      <c r="F890" s="18"/>
      <c r="G890" s="19"/>
      <c r="H890" s="105"/>
      <c r="I890" s="106"/>
      <c r="J890" s="105"/>
      <c r="K890" s="106"/>
      <c r="L890" s="54"/>
      <c r="M890" s="59"/>
      <c r="N890" s="20"/>
      <c r="P890" s="21" t="s">
        <v>37</v>
      </c>
      <c r="Q890" s="22">
        <f>SUM(P881:P889)</f>
        <v>0</v>
      </c>
      <c r="R890" s="23"/>
      <c r="S890" s="24">
        <f>SUM(S881:S889)</f>
        <v>268244</v>
      </c>
      <c r="T890" s="13"/>
    </row>
    <row r="891" spans="1:20" ht="24.95" customHeight="1">
      <c r="A891" s="107"/>
      <c r="B891" s="108"/>
      <c r="C891" s="108"/>
      <c r="D891" s="109"/>
      <c r="E891" s="4"/>
      <c r="F891" s="54"/>
      <c r="G891" s="59"/>
      <c r="H891" s="72"/>
      <c r="I891" s="72"/>
      <c r="J891" s="72"/>
      <c r="K891" s="72"/>
      <c r="L891" s="72"/>
      <c r="M891" s="72"/>
      <c r="O891" t="s">
        <v>38</v>
      </c>
      <c r="P891" s="24">
        <f>Q890</f>
        <v>0</v>
      </c>
      <c r="T891" s="13"/>
    </row>
    <row r="892" spans="1:20" ht="24.95" customHeight="1">
      <c r="A892" s="97"/>
      <c r="B892" s="98"/>
      <c r="C892" s="98"/>
      <c r="D892" s="99"/>
      <c r="E892" s="4"/>
      <c r="F892" s="54"/>
      <c r="G892" s="59"/>
      <c r="H892" s="72"/>
      <c r="I892" s="72"/>
      <c r="J892" s="72"/>
      <c r="K892" s="72"/>
      <c r="L892" s="72"/>
      <c r="M892" s="72"/>
      <c r="O892" t="s">
        <v>39</v>
      </c>
      <c r="P892" s="23">
        <f>ROUND(P891/1153274,4)*100</f>
        <v>0</v>
      </c>
      <c r="T892" s="13"/>
    </row>
    <row r="893" spans="1:20" ht="24.95" customHeight="1">
      <c r="A893" s="25"/>
      <c r="B893" s="63" t="s">
        <v>40</v>
      </c>
      <c r="C893" s="63"/>
      <c r="D893" s="59"/>
      <c r="E893" s="26"/>
      <c r="F893" s="100"/>
      <c r="G893" s="101"/>
      <c r="H893" s="100"/>
      <c r="I893" s="101"/>
      <c r="J893" s="102"/>
      <c r="K893" s="102"/>
      <c r="L893" s="103">
        <f>P891</f>
        <v>0</v>
      </c>
      <c r="M893" s="104"/>
      <c r="T893" s="13"/>
    </row>
    <row r="894" spans="1:20" ht="24.95" customHeight="1" thickBot="1">
      <c r="A894" s="27"/>
      <c r="B894" s="85" t="s">
        <v>41</v>
      </c>
      <c r="C894" s="85"/>
      <c r="D894" s="86"/>
      <c r="E894" s="28"/>
      <c r="F894" s="87"/>
      <c r="G894" s="88"/>
      <c r="H894" s="87"/>
      <c r="I894" s="88"/>
      <c r="J894" s="87"/>
      <c r="K894" s="88"/>
      <c r="L894" s="89">
        <f>L893+L836</f>
        <v>268244</v>
      </c>
      <c r="M894" s="90"/>
      <c r="T894" s="13"/>
    </row>
    <row r="895" spans="1:20" ht="24.95" customHeight="1">
      <c r="A895" s="29"/>
      <c r="B895" s="91" t="s">
        <v>42</v>
      </c>
      <c r="C895" s="91"/>
      <c r="D895" s="92"/>
      <c r="E895" s="30"/>
      <c r="F895" s="93"/>
      <c r="G895" s="94"/>
      <c r="H895" s="95"/>
      <c r="I895" s="95"/>
      <c r="J895" s="95"/>
      <c r="K895" s="95"/>
      <c r="L895" s="95"/>
      <c r="M895" s="96"/>
      <c r="T895" s="13"/>
    </row>
    <row r="896" spans="1:20" ht="24.95" customHeight="1">
      <c r="A896" s="31"/>
      <c r="B896" s="76" t="s">
        <v>43</v>
      </c>
      <c r="C896" s="76"/>
      <c r="D896" s="77"/>
      <c r="E896" s="4"/>
      <c r="F896" s="54"/>
      <c r="G896" s="59"/>
      <c r="H896" s="72"/>
      <c r="I896" s="72"/>
      <c r="J896" s="72"/>
      <c r="K896" s="72"/>
      <c r="L896" s="72"/>
      <c r="M896" s="78"/>
      <c r="T896" s="13"/>
    </row>
    <row r="897" spans="1:20" ht="24.95" customHeight="1" thickBot="1">
      <c r="A897" s="32"/>
      <c r="B897" s="79" t="s">
        <v>44</v>
      </c>
      <c r="C897" s="79"/>
      <c r="D897" s="80"/>
      <c r="E897" s="33"/>
      <c r="F897" s="81"/>
      <c r="G897" s="82"/>
      <c r="H897" s="83"/>
      <c r="I897" s="83"/>
      <c r="J897" s="83"/>
      <c r="K897" s="83"/>
      <c r="L897" s="83"/>
      <c r="M897" s="84"/>
      <c r="T897" s="13"/>
    </row>
    <row r="898" spans="1:20" ht="24.95" customHeight="1">
      <c r="A898" s="73" t="s">
        <v>45</v>
      </c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T898" s="13"/>
    </row>
    <row r="899" spans="1:20" ht="24.95" customHeight="1">
      <c r="A899" s="72" t="s">
        <v>46</v>
      </c>
      <c r="B899" s="75"/>
      <c r="C899" s="75"/>
      <c r="D899" s="75"/>
      <c r="E899" s="4" t="s">
        <v>22</v>
      </c>
      <c r="F899" s="72" t="s">
        <v>47</v>
      </c>
      <c r="G899" s="72"/>
      <c r="H899" s="72" t="s">
        <v>48</v>
      </c>
      <c r="I899" s="72"/>
      <c r="J899" s="72" t="s">
        <v>49</v>
      </c>
      <c r="K899" s="72"/>
      <c r="L899" s="72" t="s">
        <v>50</v>
      </c>
      <c r="M899" s="72"/>
      <c r="T899" s="13"/>
    </row>
    <row r="900" spans="1:20" ht="24.95" customHeight="1">
      <c r="A900" s="10">
        <v>6</v>
      </c>
      <c r="B900" s="66" t="s">
        <v>97</v>
      </c>
      <c r="C900" s="67" t="s">
        <v>51</v>
      </c>
      <c r="D900" s="68" t="s">
        <v>51</v>
      </c>
      <c r="E900" s="4" t="s">
        <v>35</v>
      </c>
      <c r="F900" s="69">
        <v>80</v>
      </c>
      <c r="G900" s="70">
        <v>1261</v>
      </c>
      <c r="H900" s="71">
        <f>H886</f>
        <v>0</v>
      </c>
      <c r="I900" s="71"/>
      <c r="J900" s="71">
        <f>H900+J842</f>
        <v>70</v>
      </c>
      <c r="K900" s="71"/>
      <c r="L900" s="72"/>
      <c r="M900" s="72"/>
      <c r="T900" s="13"/>
    </row>
    <row r="901" spans="1:20" ht="24.95" customHeight="1">
      <c r="A901" s="10">
        <v>7</v>
      </c>
      <c r="B901" s="66" t="s">
        <v>88</v>
      </c>
      <c r="C901" s="67" t="s">
        <v>88</v>
      </c>
      <c r="D901" s="68" t="s">
        <v>88</v>
      </c>
      <c r="E901" s="4" t="s">
        <v>98</v>
      </c>
      <c r="F901" s="69">
        <v>126</v>
      </c>
      <c r="G901" s="70"/>
      <c r="H901" s="71">
        <f>H887</f>
        <v>0</v>
      </c>
      <c r="I901" s="71"/>
      <c r="J901" s="71">
        <f t="shared" ref="J901:J902" si="105">H901+J843</f>
        <v>0</v>
      </c>
      <c r="K901" s="71"/>
      <c r="L901" s="72"/>
      <c r="M901" s="72"/>
      <c r="T901" s="13"/>
    </row>
    <row r="902" spans="1:20" ht="24.95" customHeight="1">
      <c r="A902" s="10">
        <v>8</v>
      </c>
      <c r="B902" s="66" t="s">
        <v>89</v>
      </c>
      <c r="C902" s="67" t="s">
        <v>89</v>
      </c>
      <c r="D902" s="68" t="s">
        <v>89</v>
      </c>
      <c r="E902" s="4" t="s">
        <v>36</v>
      </c>
      <c r="F902" s="69">
        <v>1</v>
      </c>
      <c r="G902" s="70"/>
      <c r="H902" s="71">
        <f>H888</f>
        <v>0</v>
      </c>
      <c r="I902" s="71"/>
      <c r="J902" s="71">
        <f t="shared" si="105"/>
        <v>0</v>
      </c>
      <c r="K902" s="71"/>
      <c r="L902" s="72"/>
      <c r="M902" s="72"/>
      <c r="T902" s="13"/>
    </row>
    <row r="903" spans="1:20" ht="24.95" customHeight="1">
      <c r="A903" s="51" t="s">
        <v>52</v>
      </c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3"/>
      <c r="T903" s="13"/>
    </row>
    <row r="904" spans="1:20" ht="24.95" customHeight="1">
      <c r="A904" s="54" t="s">
        <v>53</v>
      </c>
      <c r="B904" s="63"/>
      <c r="C904" s="63"/>
      <c r="D904" s="59"/>
      <c r="E904" s="4" t="s">
        <v>54</v>
      </c>
      <c r="F904" s="54" t="s">
        <v>55</v>
      </c>
      <c r="G904" s="59"/>
      <c r="H904" s="54" t="s">
        <v>56</v>
      </c>
      <c r="I904" s="59"/>
      <c r="J904" s="54" t="s">
        <v>48</v>
      </c>
      <c r="K904" s="59"/>
      <c r="L904" s="64" t="s">
        <v>49</v>
      </c>
      <c r="M904" s="65"/>
      <c r="T904" s="13"/>
    </row>
    <row r="905" spans="1:20" ht="24.95" customHeight="1">
      <c r="A905" s="54" t="s">
        <v>57</v>
      </c>
      <c r="B905" s="55"/>
      <c r="C905" s="55"/>
      <c r="D905" s="56"/>
      <c r="E905" s="4"/>
      <c r="F905" s="57">
        <f>E905+F847</f>
        <v>26</v>
      </c>
      <c r="G905" s="58"/>
      <c r="H905" s="54" t="s">
        <v>58</v>
      </c>
      <c r="I905" s="59"/>
      <c r="J905" s="54"/>
      <c r="K905" s="59"/>
      <c r="L905" s="57">
        <f>J905+L847</f>
        <v>12</v>
      </c>
      <c r="M905" s="58"/>
      <c r="T905" s="13"/>
    </row>
    <row r="906" spans="1:20" ht="24.95" customHeight="1">
      <c r="A906" s="54" t="s">
        <v>59</v>
      </c>
      <c r="B906" s="55"/>
      <c r="C906" s="55"/>
      <c r="D906" s="56"/>
      <c r="E906" s="4"/>
      <c r="F906" s="57">
        <f t="shared" ref="F906:F908" si="106">E906+F848</f>
        <v>0</v>
      </c>
      <c r="G906" s="58"/>
      <c r="H906" s="54" t="s">
        <v>60</v>
      </c>
      <c r="I906" s="59"/>
      <c r="J906" s="54"/>
      <c r="K906" s="59"/>
      <c r="L906" s="57">
        <f t="shared" ref="L906:L908" si="107">J906+L848</f>
        <v>0</v>
      </c>
      <c r="M906" s="58"/>
      <c r="T906" s="13"/>
    </row>
    <row r="907" spans="1:20" ht="24.95" customHeight="1">
      <c r="A907" s="54" t="s">
        <v>61</v>
      </c>
      <c r="B907" s="55"/>
      <c r="C907" s="55"/>
      <c r="D907" s="56"/>
      <c r="E907" s="4"/>
      <c r="F907" s="57">
        <f t="shared" si="106"/>
        <v>0</v>
      </c>
      <c r="G907" s="58"/>
      <c r="H907" s="54" t="s">
        <v>62</v>
      </c>
      <c r="I907" s="59"/>
      <c r="J907" s="54"/>
      <c r="K907" s="59"/>
      <c r="L907" s="57">
        <f t="shared" si="107"/>
        <v>4</v>
      </c>
      <c r="M907" s="58"/>
      <c r="T907" s="13"/>
    </row>
    <row r="908" spans="1:20" ht="24.95" customHeight="1">
      <c r="A908" s="54" t="s">
        <v>63</v>
      </c>
      <c r="B908" s="55"/>
      <c r="C908" s="55"/>
      <c r="D908" s="56"/>
      <c r="E908" s="4"/>
      <c r="F908" s="57">
        <f t="shared" si="106"/>
        <v>2</v>
      </c>
      <c r="G908" s="58"/>
      <c r="H908" s="54" t="s">
        <v>64</v>
      </c>
      <c r="I908" s="59"/>
      <c r="J908" s="54"/>
      <c r="K908" s="59"/>
      <c r="L908" s="57">
        <f t="shared" si="107"/>
        <v>1</v>
      </c>
      <c r="M908" s="58"/>
      <c r="T908" s="13"/>
    </row>
    <row r="909" spans="1:20" ht="64.5" customHeight="1">
      <c r="A909" s="60" t="s">
        <v>65</v>
      </c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2"/>
      <c r="T909" s="13"/>
    </row>
    <row r="910" spans="1:20" ht="24.95" customHeight="1">
      <c r="A910" s="46" t="s">
        <v>66</v>
      </c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8"/>
      <c r="T910" s="13"/>
    </row>
    <row r="911" spans="1:20" ht="24.95" customHeight="1">
      <c r="A911" s="27"/>
      <c r="B911" s="34" t="s">
        <v>67</v>
      </c>
      <c r="C911" s="34"/>
      <c r="D911" s="34"/>
      <c r="E911" s="34"/>
      <c r="F911" s="34"/>
      <c r="G911" s="35"/>
      <c r="H911" s="34"/>
      <c r="I911" s="34"/>
      <c r="J911" s="34"/>
      <c r="K911" s="34"/>
      <c r="L911" s="34"/>
      <c r="M911" s="36"/>
      <c r="T911" s="13"/>
    </row>
    <row r="912" spans="1:20" ht="24.95" customHeight="1">
      <c r="A912" s="27"/>
      <c r="B912" s="34" t="s">
        <v>81</v>
      </c>
      <c r="C912" s="34"/>
      <c r="D912" s="34"/>
      <c r="E912" s="34"/>
      <c r="F912" s="34"/>
      <c r="G912" s="35"/>
      <c r="H912" s="34"/>
      <c r="I912" s="34"/>
      <c r="J912" s="34"/>
      <c r="K912" s="34"/>
      <c r="L912" s="34"/>
      <c r="M912" s="36"/>
      <c r="T912" s="13"/>
    </row>
    <row r="913" spans="1:20" ht="24.95" customHeight="1">
      <c r="A913" s="27"/>
      <c r="B913" s="34" t="s">
        <v>68</v>
      </c>
      <c r="C913" s="34"/>
      <c r="D913" s="34"/>
      <c r="E913" s="34"/>
      <c r="F913" s="34"/>
      <c r="G913" s="35"/>
      <c r="H913" s="34"/>
      <c r="I913" s="34"/>
      <c r="J913" s="34"/>
      <c r="K913" s="34"/>
      <c r="L913" s="34"/>
      <c r="M913" s="36"/>
      <c r="T913" s="13"/>
    </row>
    <row r="914" spans="1:20" ht="24.95" customHeight="1">
      <c r="A914" s="27"/>
      <c r="B914" s="34" t="s">
        <v>82</v>
      </c>
      <c r="C914" s="34"/>
      <c r="D914" s="34"/>
      <c r="E914" s="34"/>
      <c r="F914" s="34"/>
      <c r="G914" s="35"/>
      <c r="H914" s="34"/>
      <c r="I914" s="34"/>
      <c r="J914" s="34"/>
      <c r="K914" s="34"/>
      <c r="L914" s="34"/>
      <c r="M914" s="36"/>
      <c r="T914" s="13"/>
    </row>
    <row r="915" spans="1:20" ht="24.95" customHeight="1">
      <c r="A915" s="27"/>
      <c r="B915" s="34" t="s">
        <v>99</v>
      </c>
      <c r="C915" s="34"/>
      <c r="D915" s="34"/>
      <c r="E915" s="34"/>
      <c r="F915" s="34"/>
      <c r="G915" s="35"/>
      <c r="H915" s="34"/>
      <c r="I915" s="34"/>
      <c r="J915" s="34"/>
      <c r="K915" s="34"/>
      <c r="L915" s="34"/>
      <c r="M915" s="36"/>
      <c r="T915" s="13"/>
    </row>
    <row r="916" spans="1:20" ht="24.95" customHeight="1">
      <c r="A916" s="37"/>
      <c r="B916" s="49" t="s">
        <v>69</v>
      </c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50"/>
      <c r="T916" s="13"/>
    </row>
    <row r="917" spans="1:20" ht="44.25" customHeight="1">
      <c r="A917" s="51" t="s">
        <v>70</v>
      </c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3"/>
      <c r="T917" s="13"/>
    </row>
    <row r="918" spans="1:20" ht="48" customHeight="1">
      <c r="A918" s="51" t="s">
        <v>71</v>
      </c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3"/>
      <c r="T918" s="13"/>
    </row>
    <row r="919" spans="1:20" ht="81" customHeight="1">
      <c r="A919" s="51" t="s">
        <v>109</v>
      </c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3"/>
      <c r="T919" s="13"/>
    </row>
    <row r="920" spans="1:20" ht="100.5" customHeight="1">
      <c r="A920" s="51" t="s">
        <v>72</v>
      </c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3"/>
      <c r="T920" s="13"/>
    </row>
    <row r="921" spans="1:20" ht="12" customHeight="1">
      <c r="A921" s="41" t="s">
        <v>73</v>
      </c>
      <c r="B921" s="41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38"/>
      <c r="T921" s="13"/>
    </row>
    <row r="922" spans="1:20" ht="12" customHeight="1">
      <c r="A922" s="43" t="s">
        <v>74</v>
      </c>
      <c r="B922" s="43"/>
      <c r="C922" s="40"/>
      <c r="D922" s="40"/>
      <c r="E922" s="40"/>
      <c r="F922" s="40"/>
      <c r="G922" s="40"/>
      <c r="H922" s="40"/>
      <c r="I922" s="40"/>
      <c r="J922" s="40"/>
      <c r="K922" s="40"/>
      <c r="L922" s="38"/>
      <c r="M922" s="38"/>
      <c r="T922" s="13"/>
    </row>
    <row r="923" spans="1:20" ht="12" customHeight="1">
      <c r="A923" s="44" t="s">
        <v>75</v>
      </c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T923" s="13"/>
    </row>
    <row r="924" spans="1:20" ht="12" customHeight="1">
      <c r="A924" s="39" t="s">
        <v>76</v>
      </c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T924" s="13"/>
    </row>
    <row r="925" spans="1:20" ht="12" customHeight="1">
      <c r="A925" s="39" t="s">
        <v>77</v>
      </c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T925" s="13"/>
    </row>
    <row r="926" spans="1:20" ht="12" customHeight="1">
      <c r="A926" s="45" t="s">
        <v>78</v>
      </c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T926" s="13"/>
    </row>
    <row r="927" spans="1:20" ht="12" customHeight="1">
      <c r="A927" s="39" t="s">
        <v>79</v>
      </c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T927" s="13"/>
    </row>
    <row r="928" spans="1:20" ht="409.5" customHeight="1"/>
    <row r="929" spans="1:20" s="2" customFormat="1" ht="35.1" customHeight="1">
      <c r="A929" s="126" t="s">
        <v>0</v>
      </c>
      <c r="B929" s="126"/>
      <c r="C929" s="1">
        <f>C871+1</f>
        <v>21</v>
      </c>
      <c r="G929" s="3"/>
    </row>
    <row r="930" spans="1:20" s="2" customFormat="1" ht="35.1" customHeight="1">
      <c r="A930" s="126" t="s">
        <v>1</v>
      </c>
      <c r="B930" s="126"/>
      <c r="C930" s="2" t="s">
        <v>2</v>
      </c>
      <c r="D930" s="2" t="s">
        <v>105</v>
      </c>
      <c r="E930" s="2" t="s">
        <v>3</v>
      </c>
      <c r="F930" s="2" t="s">
        <v>105</v>
      </c>
      <c r="G930" s="3"/>
      <c r="H930" s="127" t="s">
        <v>4</v>
      </c>
      <c r="I930" s="128"/>
      <c r="J930" s="129">
        <f>J872+1</f>
        <v>46008</v>
      </c>
      <c r="K930" s="130"/>
      <c r="L930" s="131">
        <f>J930</f>
        <v>46008</v>
      </c>
      <c r="M930" s="132"/>
    </row>
    <row r="931" spans="1:20" s="2" customFormat="1" ht="30" customHeight="1">
      <c r="A931" s="72" t="s">
        <v>5</v>
      </c>
      <c r="B931" s="114"/>
      <c r="C931" s="119" t="s">
        <v>83</v>
      </c>
      <c r="D931" s="119"/>
      <c r="E931" s="119"/>
      <c r="F931" s="119"/>
      <c r="G931" s="119"/>
      <c r="H931" s="54" t="s">
        <v>6</v>
      </c>
      <c r="I931" s="59"/>
      <c r="J931" s="120"/>
      <c r="K931" s="120"/>
      <c r="L931" s="120"/>
      <c r="M931" s="120"/>
    </row>
    <row r="932" spans="1:20" s="1" customFormat="1" ht="30" customHeight="1">
      <c r="A932" s="72" t="s">
        <v>7</v>
      </c>
      <c r="B932" s="114"/>
      <c r="C932" s="4">
        <v>50</v>
      </c>
      <c r="D932" s="4" t="s">
        <v>8</v>
      </c>
      <c r="E932" s="4" t="s">
        <v>9</v>
      </c>
      <c r="F932" s="4">
        <f>F874+1</f>
        <v>21</v>
      </c>
      <c r="G932" s="5" t="s">
        <v>8</v>
      </c>
      <c r="H932" s="4" t="s">
        <v>10</v>
      </c>
      <c r="I932" s="4">
        <f>C932-F932+L932</f>
        <v>29</v>
      </c>
      <c r="J932" s="4" t="s">
        <v>11</v>
      </c>
      <c r="K932" s="6" t="s">
        <v>12</v>
      </c>
      <c r="L932" s="7">
        <f>L874</f>
        <v>0</v>
      </c>
      <c r="M932" s="4" t="s">
        <v>8</v>
      </c>
    </row>
    <row r="933" spans="1:20" s="2" customFormat="1" ht="30" customHeight="1">
      <c r="A933" s="72" t="s">
        <v>13</v>
      </c>
      <c r="B933" s="75"/>
      <c r="C933" s="75"/>
      <c r="D933" s="121">
        <f>D875</f>
        <v>45988</v>
      </c>
      <c r="E933" s="122"/>
      <c r="F933" s="122"/>
      <c r="G933" s="123"/>
      <c r="H933" s="124" t="s">
        <v>14</v>
      </c>
      <c r="I933" s="125"/>
      <c r="J933" s="121">
        <f>J875</f>
        <v>46037</v>
      </c>
      <c r="K933" s="122"/>
      <c r="L933" s="122"/>
      <c r="M933" s="123"/>
    </row>
    <row r="934" spans="1:20" s="2" customFormat="1" ht="30" customHeight="1">
      <c r="A934" s="72" t="s">
        <v>15</v>
      </c>
      <c r="B934" s="114"/>
      <c r="C934" s="114"/>
      <c r="D934" s="72">
        <v>0.68700000000000006</v>
      </c>
      <c r="E934" s="72"/>
      <c r="F934" s="72"/>
      <c r="G934" s="72"/>
      <c r="H934" s="64" t="s">
        <v>16</v>
      </c>
      <c r="I934" s="115"/>
      <c r="J934" s="116">
        <f>P950</f>
        <v>0</v>
      </c>
      <c r="K934" s="117"/>
      <c r="L934" s="117"/>
      <c r="M934" s="118"/>
    </row>
    <row r="935" spans="1:20" s="2" customFormat="1" ht="30" customHeight="1">
      <c r="A935" s="72" t="s">
        <v>17</v>
      </c>
      <c r="B935" s="114"/>
      <c r="C935" s="114"/>
      <c r="D935" s="72">
        <f>D934+D877</f>
        <v>9.1059999999999999</v>
      </c>
      <c r="E935" s="72"/>
      <c r="F935" s="72"/>
      <c r="G935" s="72"/>
      <c r="H935" s="64" t="s">
        <v>18</v>
      </c>
      <c r="I935" s="115"/>
      <c r="J935" s="116">
        <f>J934+J877</f>
        <v>23.219999999999992</v>
      </c>
      <c r="K935" s="117"/>
      <c r="L935" s="117"/>
      <c r="M935" s="118"/>
    </row>
    <row r="936" spans="1:20" s="2" customFormat="1" ht="30" customHeight="1">
      <c r="A936" s="111" t="s">
        <v>19</v>
      </c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12"/>
      <c r="M936" s="113"/>
    </row>
    <row r="937" spans="1:20" s="2" customFormat="1" ht="30" customHeight="1">
      <c r="A937" s="8" t="s">
        <v>20</v>
      </c>
      <c r="B937" s="72" t="s">
        <v>21</v>
      </c>
      <c r="C937" s="72"/>
      <c r="D937" s="72"/>
      <c r="E937" s="4" t="s">
        <v>22</v>
      </c>
      <c r="F937" s="54" t="s">
        <v>23</v>
      </c>
      <c r="G937" s="59"/>
      <c r="H937" s="72" t="s">
        <v>24</v>
      </c>
      <c r="I937" s="72"/>
      <c r="J937" s="72" t="s">
        <v>25</v>
      </c>
      <c r="K937" s="72"/>
      <c r="L937" s="72" t="s">
        <v>26</v>
      </c>
      <c r="M937" s="72"/>
      <c r="O937" s="1" t="s">
        <v>27</v>
      </c>
      <c r="P937" s="1" t="s">
        <v>28</v>
      </c>
      <c r="T937" s="2" t="s">
        <v>29</v>
      </c>
    </row>
    <row r="938" spans="1:20" s="2" customFormat="1" ht="24.95" customHeight="1">
      <c r="A938" s="9" t="s">
        <v>30</v>
      </c>
      <c r="B938" s="110" t="s">
        <v>31</v>
      </c>
      <c r="C938" s="110"/>
      <c r="D938" s="110"/>
      <c r="E938" s="4"/>
      <c r="F938" s="54"/>
      <c r="G938" s="59"/>
      <c r="H938" s="72"/>
      <c r="I938" s="72"/>
      <c r="J938" s="72"/>
      <c r="K938" s="72"/>
      <c r="L938" s="72"/>
      <c r="M938" s="72"/>
    </row>
    <row r="939" spans="1:20" ht="24.95" customHeight="1">
      <c r="A939" s="10">
        <v>1</v>
      </c>
      <c r="B939" s="66" t="s">
        <v>91</v>
      </c>
      <c r="C939" s="67" t="s">
        <v>91</v>
      </c>
      <c r="D939" s="68" t="s">
        <v>91</v>
      </c>
      <c r="E939" s="4" t="s">
        <v>32</v>
      </c>
      <c r="F939" s="69">
        <v>1</v>
      </c>
      <c r="G939" s="70"/>
      <c r="H939" s="69"/>
      <c r="I939" s="70"/>
      <c r="J939" s="71">
        <f>H939+J881</f>
        <v>1</v>
      </c>
      <c r="K939" s="71"/>
      <c r="L939" s="72"/>
      <c r="M939" s="72"/>
      <c r="O939" s="11">
        <v>4000</v>
      </c>
      <c r="P939" s="11">
        <f>ROUND(H939*O939,0)</f>
        <v>0</v>
      </c>
      <c r="Q939" s="12"/>
      <c r="S939" s="11">
        <f>ROUND(J939*O939,0)</f>
        <v>4000</v>
      </c>
      <c r="T939" s="13">
        <f>F939-J939</f>
        <v>0</v>
      </c>
    </row>
    <row r="940" spans="1:20" ht="24.95" customHeight="1">
      <c r="A940" s="10">
        <v>2</v>
      </c>
      <c r="B940" s="66" t="s">
        <v>92</v>
      </c>
      <c r="C940" s="67" t="s">
        <v>92</v>
      </c>
      <c r="D940" s="68" t="s">
        <v>92</v>
      </c>
      <c r="E940" s="4" t="s">
        <v>32</v>
      </c>
      <c r="F940" s="69">
        <v>1</v>
      </c>
      <c r="G940" s="70"/>
      <c r="H940" s="69"/>
      <c r="I940" s="70"/>
      <c r="J940" s="71">
        <f t="shared" ref="J940:J947" si="108">H940+J882</f>
        <v>1</v>
      </c>
      <c r="K940" s="71"/>
      <c r="L940" s="72"/>
      <c r="M940" s="72"/>
      <c r="O940" s="11">
        <v>14334</v>
      </c>
      <c r="P940" s="11">
        <f t="shared" ref="P940:P947" si="109">ROUND(H940*O940,0)</f>
        <v>0</v>
      </c>
      <c r="Q940" s="12"/>
      <c r="S940" s="11">
        <f t="shared" ref="S940:S947" si="110">ROUND(J940*O940,0)</f>
        <v>14334</v>
      </c>
      <c r="T940" s="13">
        <f t="shared" ref="T940:T947" si="111">F940-J940</f>
        <v>0</v>
      </c>
    </row>
    <row r="941" spans="1:20" ht="24.95" customHeight="1">
      <c r="A941" s="10">
        <v>3</v>
      </c>
      <c r="B941" s="66" t="s">
        <v>84</v>
      </c>
      <c r="C941" s="67" t="s">
        <v>84</v>
      </c>
      <c r="D941" s="68" t="s">
        <v>84</v>
      </c>
      <c r="E941" s="4" t="s">
        <v>33</v>
      </c>
      <c r="F941" s="69">
        <v>1</v>
      </c>
      <c r="G941" s="70"/>
      <c r="H941" s="69"/>
      <c r="I941" s="70"/>
      <c r="J941" s="71">
        <f t="shared" si="108"/>
        <v>0.5</v>
      </c>
      <c r="K941" s="71"/>
      <c r="L941" s="72"/>
      <c r="M941" s="72"/>
      <c r="O941" s="11">
        <v>7000</v>
      </c>
      <c r="P941" s="11">
        <f t="shared" si="109"/>
        <v>0</v>
      </c>
      <c r="Q941" s="12"/>
      <c r="S941" s="11">
        <f t="shared" si="110"/>
        <v>3500</v>
      </c>
      <c r="T941" s="13">
        <f t="shared" si="111"/>
        <v>0.5</v>
      </c>
    </row>
    <row r="942" spans="1:20" ht="24.95" customHeight="1">
      <c r="A942" s="10">
        <v>4</v>
      </c>
      <c r="B942" s="66" t="s">
        <v>85</v>
      </c>
      <c r="C942" s="67" t="s">
        <v>85</v>
      </c>
      <c r="D942" s="68" t="s">
        <v>85</v>
      </c>
      <c r="E942" s="4" t="s">
        <v>34</v>
      </c>
      <c r="F942" s="69">
        <v>1</v>
      </c>
      <c r="G942" s="70"/>
      <c r="H942" s="69"/>
      <c r="I942" s="70"/>
      <c r="J942" s="71">
        <f t="shared" si="108"/>
        <v>1</v>
      </c>
      <c r="K942" s="71"/>
      <c r="L942" s="72"/>
      <c r="M942" s="72"/>
      <c r="O942" s="11">
        <v>74000</v>
      </c>
      <c r="P942" s="11">
        <f t="shared" si="109"/>
        <v>0</v>
      </c>
      <c r="Q942" s="12"/>
      <c r="S942" s="11">
        <f t="shared" si="110"/>
        <v>74000</v>
      </c>
      <c r="T942" s="13">
        <f t="shared" si="111"/>
        <v>0</v>
      </c>
    </row>
    <row r="943" spans="1:20" ht="24.95" customHeight="1">
      <c r="A943" s="10">
        <v>5</v>
      </c>
      <c r="B943" s="66" t="s">
        <v>86</v>
      </c>
      <c r="C943" s="67" t="s">
        <v>86</v>
      </c>
      <c r="D943" s="68" t="s">
        <v>86</v>
      </c>
      <c r="E943" s="4" t="s">
        <v>93</v>
      </c>
      <c r="F943" s="69">
        <v>396</v>
      </c>
      <c r="G943" s="70"/>
      <c r="H943" s="69"/>
      <c r="I943" s="70"/>
      <c r="J943" s="71">
        <f t="shared" si="108"/>
        <v>350</v>
      </c>
      <c r="K943" s="71"/>
      <c r="L943" s="72"/>
      <c r="M943" s="72"/>
      <c r="O943" s="11">
        <v>200</v>
      </c>
      <c r="P943" s="11">
        <f t="shared" si="109"/>
        <v>0</v>
      </c>
      <c r="Q943" s="12"/>
      <c r="S943" s="11">
        <f t="shared" si="110"/>
        <v>70000</v>
      </c>
      <c r="T943" s="13">
        <f t="shared" si="111"/>
        <v>46</v>
      </c>
    </row>
    <row r="944" spans="1:20" ht="24.95" customHeight="1">
      <c r="A944" s="10">
        <v>6</v>
      </c>
      <c r="B944" s="66" t="s">
        <v>97</v>
      </c>
      <c r="C944" s="67" t="s">
        <v>87</v>
      </c>
      <c r="D944" s="68" t="s">
        <v>87</v>
      </c>
      <c r="E944" s="4" t="s">
        <v>35</v>
      </c>
      <c r="F944" s="69">
        <v>80</v>
      </c>
      <c r="G944" s="70">
        <v>183.6</v>
      </c>
      <c r="H944" s="69"/>
      <c r="I944" s="70"/>
      <c r="J944" s="71">
        <f t="shared" si="108"/>
        <v>70</v>
      </c>
      <c r="K944" s="71"/>
      <c r="L944" s="54"/>
      <c r="M944" s="59"/>
      <c r="O944" s="11">
        <v>1463</v>
      </c>
      <c r="P944" s="11">
        <f t="shared" si="109"/>
        <v>0</v>
      </c>
      <c r="S944" s="11">
        <f t="shared" si="110"/>
        <v>102410</v>
      </c>
      <c r="T944" s="13">
        <f t="shared" si="111"/>
        <v>10</v>
      </c>
    </row>
    <row r="945" spans="1:20" ht="24.95" customHeight="1">
      <c r="A945" s="10">
        <v>7</v>
      </c>
      <c r="B945" s="66" t="s">
        <v>88</v>
      </c>
      <c r="C945" s="67" t="s">
        <v>88</v>
      </c>
      <c r="D945" s="68" t="s">
        <v>88</v>
      </c>
      <c r="E945" s="4" t="s">
        <v>94</v>
      </c>
      <c r="F945" s="69">
        <v>126</v>
      </c>
      <c r="G945" s="70">
        <v>19</v>
      </c>
      <c r="H945" s="69"/>
      <c r="I945" s="70"/>
      <c r="J945" s="71">
        <f t="shared" si="108"/>
        <v>0</v>
      </c>
      <c r="K945" s="71"/>
      <c r="L945" s="54"/>
      <c r="M945" s="59"/>
      <c r="O945" s="11">
        <v>6350</v>
      </c>
      <c r="P945" s="11">
        <f t="shared" si="109"/>
        <v>0</v>
      </c>
      <c r="S945" s="11">
        <f t="shared" si="110"/>
        <v>0</v>
      </c>
      <c r="T945" s="13">
        <f t="shared" si="111"/>
        <v>126</v>
      </c>
    </row>
    <row r="946" spans="1:20" ht="24.95" customHeight="1">
      <c r="A946" s="10">
        <v>8</v>
      </c>
      <c r="B946" s="66" t="s">
        <v>89</v>
      </c>
      <c r="C946" s="67" t="s">
        <v>89</v>
      </c>
      <c r="D946" s="68" t="s">
        <v>89</v>
      </c>
      <c r="E946" s="4" t="s">
        <v>95</v>
      </c>
      <c r="F946" s="69">
        <v>1</v>
      </c>
      <c r="G946" s="70">
        <v>1192</v>
      </c>
      <c r="H946" s="69"/>
      <c r="I946" s="70"/>
      <c r="J946" s="71">
        <f t="shared" si="108"/>
        <v>0</v>
      </c>
      <c r="K946" s="71"/>
      <c r="L946" s="54"/>
      <c r="M946" s="59"/>
      <c r="O946" s="11">
        <v>47600</v>
      </c>
      <c r="P946" s="11">
        <f t="shared" si="109"/>
        <v>0</v>
      </c>
      <c r="S946" s="11">
        <f t="shared" si="110"/>
        <v>0</v>
      </c>
      <c r="T946" s="13">
        <f t="shared" si="111"/>
        <v>1</v>
      </c>
    </row>
    <row r="947" spans="1:20" ht="24.95" customHeight="1">
      <c r="A947" s="10">
        <v>9</v>
      </c>
      <c r="B947" s="66" t="s">
        <v>90</v>
      </c>
      <c r="C947" s="67" t="s">
        <v>90</v>
      </c>
      <c r="D947" s="68" t="s">
        <v>90</v>
      </c>
      <c r="E947" s="4" t="s">
        <v>96</v>
      </c>
      <c r="F947" s="69">
        <v>1</v>
      </c>
      <c r="G947" s="70">
        <v>1261</v>
      </c>
      <c r="H947" s="69"/>
      <c r="I947" s="70"/>
      <c r="J947" s="71">
        <f t="shared" si="108"/>
        <v>0</v>
      </c>
      <c r="K947" s="71"/>
      <c r="L947" s="54"/>
      <c r="M947" s="59"/>
      <c r="O947" s="11">
        <v>10000</v>
      </c>
      <c r="P947" s="11">
        <f t="shared" si="109"/>
        <v>0</v>
      </c>
      <c r="S947" s="11">
        <f t="shared" si="110"/>
        <v>0</v>
      </c>
      <c r="T947" s="13">
        <f t="shared" si="111"/>
        <v>1</v>
      </c>
    </row>
    <row r="948" spans="1:20" ht="24.95" customHeight="1">
      <c r="A948" s="14"/>
      <c r="B948" s="15"/>
      <c r="C948" s="16"/>
      <c r="D948" s="17"/>
      <c r="E948" s="4"/>
      <c r="F948" s="18"/>
      <c r="G948" s="19"/>
      <c r="H948" s="105"/>
      <c r="I948" s="106"/>
      <c r="J948" s="105"/>
      <c r="K948" s="106"/>
      <c r="L948" s="54"/>
      <c r="M948" s="59"/>
      <c r="N948" s="20"/>
      <c r="P948" s="21" t="s">
        <v>37</v>
      </c>
      <c r="Q948" s="22">
        <f>SUM(P939:P947)</f>
        <v>0</v>
      </c>
      <c r="R948" s="23"/>
      <c r="S948" s="24">
        <f>SUM(S939:S947)</f>
        <v>268244</v>
      </c>
      <c r="T948" s="13"/>
    </row>
    <row r="949" spans="1:20" ht="24.95" customHeight="1">
      <c r="A949" s="107"/>
      <c r="B949" s="108"/>
      <c r="C949" s="108"/>
      <c r="D949" s="109"/>
      <c r="E949" s="4"/>
      <c r="F949" s="54"/>
      <c r="G949" s="59"/>
      <c r="H949" s="72"/>
      <c r="I949" s="72"/>
      <c r="J949" s="72"/>
      <c r="K949" s="72"/>
      <c r="L949" s="72"/>
      <c r="M949" s="72"/>
      <c r="O949" t="s">
        <v>38</v>
      </c>
      <c r="P949" s="24">
        <f>Q948</f>
        <v>0</v>
      </c>
      <c r="T949" s="13"/>
    </row>
    <row r="950" spans="1:20" ht="24.95" customHeight="1">
      <c r="A950" s="97"/>
      <c r="B950" s="98"/>
      <c r="C950" s="98"/>
      <c r="D950" s="99"/>
      <c r="E950" s="4"/>
      <c r="F950" s="54"/>
      <c r="G950" s="59"/>
      <c r="H950" s="72"/>
      <c r="I950" s="72"/>
      <c r="J950" s="72"/>
      <c r="K950" s="72"/>
      <c r="L950" s="72"/>
      <c r="M950" s="72"/>
      <c r="O950" t="s">
        <v>39</v>
      </c>
      <c r="P950" s="23">
        <f>ROUND(P949/1153274,4)*100</f>
        <v>0</v>
      </c>
      <c r="T950" s="13"/>
    </row>
    <row r="951" spans="1:20" ht="24.95" customHeight="1">
      <c r="A951" s="25"/>
      <c r="B951" s="63" t="s">
        <v>40</v>
      </c>
      <c r="C951" s="63"/>
      <c r="D951" s="59"/>
      <c r="E951" s="26"/>
      <c r="F951" s="100"/>
      <c r="G951" s="101"/>
      <c r="H951" s="100"/>
      <c r="I951" s="101"/>
      <c r="J951" s="102"/>
      <c r="K951" s="102"/>
      <c r="L951" s="103">
        <f>P949</f>
        <v>0</v>
      </c>
      <c r="M951" s="104"/>
      <c r="T951" s="13"/>
    </row>
    <row r="952" spans="1:20" ht="24.95" customHeight="1" thickBot="1">
      <c r="A952" s="27"/>
      <c r="B952" s="85" t="s">
        <v>41</v>
      </c>
      <c r="C952" s="85"/>
      <c r="D952" s="86"/>
      <c r="E952" s="28"/>
      <c r="F952" s="87"/>
      <c r="G952" s="88"/>
      <c r="H952" s="87"/>
      <c r="I952" s="88"/>
      <c r="J952" s="87"/>
      <c r="K952" s="88"/>
      <c r="L952" s="89">
        <f>L951+L894</f>
        <v>268244</v>
      </c>
      <c r="M952" s="90"/>
      <c r="T952" s="13"/>
    </row>
    <row r="953" spans="1:20" ht="24.95" customHeight="1">
      <c r="A953" s="29"/>
      <c r="B953" s="91" t="s">
        <v>42</v>
      </c>
      <c r="C953" s="91"/>
      <c r="D953" s="92"/>
      <c r="E953" s="30"/>
      <c r="F953" s="93"/>
      <c r="G953" s="94"/>
      <c r="H953" s="95"/>
      <c r="I953" s="95"/>
      <c r="J953" s="95"/>
      <c r="K953" s="95"/>
      <c r="L953" s="95"/>
      <c r="M953" s="96"/>
      <c r="T953" s="13"/>
    </row>
    <row r="954" spans="1:20" ht="24.95" customHeight="1">
      <c r="A954" s="31"/>
      <c r="B954" s="76" t="s">
        <v>43</v>
      </c>
      <c r="C954" s="76"/>
      <c r="D954" s="77"/>
      <c r="E954" s="4"/>
      <c r="F954" s="54"/>
      <c r="G954" s="59"/>
      <c r="H954" s="72"/>
      <c r="I954" s="72"/>
      <c r="J954" s="72"/>
      <c r="K954" s="72"/>
      <c r="L954" s="72"/>
      <c r="M954" s="78"/>
      <c r="T954" s="13"/>
    </row>
    <row r="955" spans="1:20" ht="24.95" customHeight="1" thickBot="1">
      <c r="A955" s="32"/>
      <c r="B955" s="79" t="s">
        <v>44</v>
      </c>
      <c r="C955" s="79"/>
      <c r="D955" s="80"/>
      <c r="E955" s="33"/>
      <c r="F955" s="81"/>
      <c r="G955" s="82"/>
      <c r="H955" s="83"/>
      <c r="I955" s="83"/>
      <c r="J955" s="83"/>
      <c r="K955" s="83"/>
      <c r="L955" s="83"/>
      <c r="M955" s="84"/>
      <c r="T955" s="13"/>
    </row>
    <row r="956" spans="1:20" ht="24.95" customHeight="1">
      <c r="A956" s="73" t="s">
        <v>45</v>
      </c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T956" s="13"/>
    </row>
    <row r="957" spans="1:20" ht="24.95" customHeight="1">
      <c r="A957" s="72" t="s">
        <v>46</v>
      </c>
      <c r="B957" s="75"/>
      <c r="C957" s="75"/>
      <c r="D957" s="75"/>
      <c r="E957" s="4" t="s">
        <v>22</v>
      </c>
      <c r="F957" s="72" t="s">
        <v>47</v>
      </c>
      <c r="G957" s="72"/>
      <c r="H957" s="72" t="s">
        <v>48</v>
      </c>
      <c r="I957" s="72"/>
      <c r="J957" s="72" t="s">
        <v>49</v>
      </c>
      <c r="K957" s="72"/>
      <c r="L957" s="72" t="s">
        <v>50</v>
      </c>
      <c r="M957" s="72"/>
      <c r="T957" s="13"/>
    </row>
    <row r="958" spans="1:20" ht="24.95" customHeight="1">
      <c r="A958" s="10">
        <v>6</v>
      </c>
      <c r="B958" s="66" t="s">
        <v>97</v>
      </c>
      <c r="C958" s="67" t="s">
        <v>51</v>
      </c>
      <c r="D958" s="68" t="s">
        <v>51</v>
      </c>
      <c r="E958" s="4" t="s">
        <v>35</v>
      </c>
      <c r="F958" s="69">
        <v>80</v>
      </c>
      <c r="G958" s="70">
        <v>1261</v>
      </c>
      <c r="H958" s="71">
        <f>H944</f>
        <v>0</v>
      </c>
      <c r="I958" s="71"/>
      <c r="J958" s="71">
        <f>H958+J900</f>
        <v>70</v>
      </c>
      <c r="K958" s="71"/>
      <c r="L958" s="72"/>
      <c r="M958" s="72"/>
      <c r="T958" s="13"/>
    </row>
    <row r="959" spans="1:20" ht="24.95" customHeight="1">
      <c r="A959" s="10">
        <v>7</v>
      </c>
      <c r="B959" s="66" t="s">
        <v>88</v>
      </c>
      <c r="C959" s="67" t="s">
        <v>88</v>
      </c>
      <c r="D959" s="68" t="s">
        <v>88</v>
      </c>
      <c r="E959" s="4" t="s">
        <v>98</v>
      </c>
      <c r="F959" s="69">
        <v>126</v>
      </c>
      <c r="G959" s="70"/>
      <c r="H959" s="71">
        <f>H945</f>
        <v>0</v>
      </c>
      <c r="I959" s="71"/>
      <c r="J959" s="71">
        <f t="shared" ref="J959:J960" si="112">H959+J901</f>
        <v>0</v>
      </c>
      <c r="K959" s="71"/>
      <c r="L959" s="72"/>
      <c r="M959" s="72"/>
      <c r="T959" s="13"/>
    </row>
    <row r="960" spans="1:20" ht="24.95" customHeight="1">
      <c r="A960" s="10">
        <v>8</v>
      </c>
      <c r="B960" s="66" t="s">
        <v>89</v>
      </c>
      <c r="C960" s="67" t="s">
        <v>89</v>
      </c>
      <c r="D960" s="68" t="s">
        <v>89</v>
      </c>
      <c r="E960" s="4" t="s">
        <v>36</v>
      </c>
      <c r="F960" s="69">
        <v>1</v>
      </c>
      <c r="G960" s="70"/>
      <c r="H960" s="71">
        <f>H946</f>
        <v>0</v>
      </c>
      <c r="I960" s="71"/>
      <c r="J960" s="71">
        <f t="shared" si="112"/>
        <v>0</v>
      </c>
      <c r="K960" s="71"/>
      <c r="L960" s="72"/>
      <c r="M960" s="72"/>
      <c r="T960" s="13"/>
    </row>
    <row r="961" spans="1:20" ht="24.95" customHeight="1">
      <c r="A961" s="51" t="s">
        <v>52</v>
      </c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3"/>
      <c r="T961" s="13"/>
    </row>
    <row r="962" spans="1:20" ht="24.95" customHeight="1">
      <c r="A962" s="54" t="s">
        <v>53</v>
      </c>
      <c r="B962" s="63"/>
      <c r="C962" s="63"/>
      <c r="D962" s="59"/>
      <c r="E962" s="4" t="s">
        <v>54</v>
      </c>
      <c r="F962" s="54" t="s">
        <v>55</v>
      </c>
      <c r="G962" s="59"/>
      <c r="H962" s="54" t="s">
        <v>56</v>
      </c>
      <c r="I962" s="59"/>
      <c r="J962" s="54" t="s">
        <v>48</v>
      </c>
      <c r="K962" s="59"/>
      <c r="L962" s="64" t="s">
        <v>49</v>
      </c>
      <c r="M962" s="65"/>
      <c r="T962" s="13"/>
    </row>
    <row r="963" spans="1:20" ht="24.95" customHeight="1">
      <c r="A963" s="54" t="s">
        <v>57</v>
      </c>
      <c r="B963" s="55"/>
      <c r="C963" s="55"/>
      <c r="D963" s="56"/>
      <c r="E963" s="4"/>
      <c r="F963" s="57">
        <f>E963+F905</f>
        <v>26</v>
      </c>
      <c r="G963" s="58"/>
      <c r="H963" s="54" t="s">
        <v>58</v>
      </c>
      <c r="I963" s="59"/>
      <c r="J963" s="54"/>
      <c r="K963" s="59"/>
      <c r="L963" s="57">
        <f>J963+L905</f>
        <v>12</v>
      </c>
      <c r="M963" s="58"/>
      <c r="T963" s="13"/>
    </row>
    <row r="964" spans="1:20" ht="24.95" customHeight="1">
      <c r="A964" s="54" t="s">
        <v>59</v>
      </c>
      <c r="B964" s="55"/>
      <c r="C964" s="55"/>
      <c r="D964" s="56"/>
      <c r="E964" s="4"/>
      <c r="F964" s="57">
        <f t="shared" ref="F964:F966" si="113">E964+F906</f>
        <v>0</v>
      </c>
      <c r="G964" s="58"/>
      <c r="H964" s="54" t="s">
        <v>60</v>
      </c>
      <c r="I964" s="59"/>
      <c r="J964" s="54"/>
      <c r="K964" s="59"/>
      <c r="L964" s="57">
        <f t="shared" ref="L964:L966" si="114">J964+L906</f>
        <v>0</v>
      </c>
      <c r="M964" s="58"/>
      <c r="T964" s="13"/>
    </row>
    <row r="965" spans="1:20" ht="24.95" customHeight="1">
      <c r="A965" s="54" t="s">
        <v>61</v>
      </c>
      <c r="B965" s="55"/>
      <c r="C965" s="55"/>
      <c r="D965" s="56"/>
      <c r="E965" s="4"/>
      <c r="F965" s="57">
        <f t="shared" si="113"/>
        <v>0</v>
      </c>
      <c r="G965" s="58"/>
      <c r="H965" s="54" t="s">
        <v>62</v>
      </c>
      <c r="I965" s="59"/>
      <c r="J965" s="54"/>
      <c r="K965" s="59"/>
      <c r="L965" s="57">
        <f t="shared" si="114"/>
        <v>4</v>
      </c>
      <c r="M965" s="58"/>
      <c r="T965" s="13"/>
    </row>
    <row r="966" spans="1:20" ht="24.95" customHeight="1">
      <c r="A966" s="54" t="s">
        <v>63</v>
      </c>
      <c r="B966" s="55"/>
      <c r="C966" s="55"/>
      <c r="D966" s="56"/>
      <c r="E966" s="4"/>
      <c r="F966" s="57">
        <f t="shared" si="113"/>
        <v>2</v>
      </c>
      <c r="G966" s="58"/>
      <c r="H966" s="54" t="s">
        <v>64</v>
      </c>
      <c r="I966" s="59"/>
      <c r="J966" s="54"/>
      <c r="K966" s="59"/>
      <c r="L966" s="57">
        <f t="shared" si="114"/>
        <v>1</v>
      </c>
      <c r="M966" s="58"/>
      <c r="T966" s="13"/>
    </row>
    <row r="967" spans="1:20" ht="64.5" customHeight="1">
      <c r="A967" s="60" t="s">
        <v>65</v>
      </c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2"/>
      <c r="T967" s="13"/>
    </row>
    <row r="968" spans="1:20" ht="24.95" customHeight="1">
      <c r="A968" s="46" t="s">
        <v>66</v>
      </c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8"/>
      <c r="T968" s="13"/>
    </row>
    <row r="969" spans="1:20" ht="24.95" customHeight="1">
      <c r="A969" s="27"/>
      <c r="B969" s="34" t="s">
        <v>67</v>
      </c>
      <c r="C969" s="34"/>
      <c r="D969" s="34"/>
      <c r="E969" s="34"/>
      <c r="F969" s="34"/>
      <c r="G969" s="35"/>
      <c r="H969" s="34"/>
      <c r="I969" s="34"/>
      <c r="J969" s="34"/>
      <c r="K969" s="34"/>
      <c r="L969" s="34"/>
      <c r="M969" s="36"/>
      <c r="T969" s="13"/>
    </row>
    <row r="970" spans="1:20" ht="24.95" customHeight="1">
      <c r="A970" s="27"/>
      <c r="B970" s="34" t="s">
        <v>81</v>
      </c>
      <c r="C970" s="34"/>
      <c r="D970" s="34"/>
      <c r="E970" s="34"/>
      <c r="F970" s="34"/>
      <c r="G970" s="35"/>
      <c r="H970" s="34"/>
      <c r="I970" s="34"/>
      <c r="J970" s="34"/>
      <c r="K970" s="34"/>
      <c r="L970" s="34"/>
      <c r="M970" s="36"/>
      <c r="T970" s="13"/>
    </row>
    <row r="971" spans="1:20" ht="24.95" customHeight="1">
      <c r="A971" s="27"/>
      <c r="B971" s="34" t="s">
        <v>68</v>
      </c>
      <c r="C971" s="34"/>
      <c r="D971" s="34"/>
      <c r="E971" s="34"/>
      <c r="F971" s="34"/>
      <c r="G971" s="35"/>
      <c r="H971" s="34"/>
      <c r="I971" s="34"/>
      <c r="J971" s="34"/>
      <c r="K971" s="34"/>
      <c r="L971" s="34"/>
      <c r="M971" s="36"/>
      <c r="T971" s="13"/>
    </row>
    <row r="972" spans="1:20" ht="24.95" customHeight="1">
      <c r="A972" s="27"/>
      <c r="B972" s="34" t="s">
        <v>82</v>
      </c>
      <c r="C972" s="34"/>
      <c r="D972" s="34"/>
      <c r="E972" s="34"/>
      <c r="F972" s="34"/>
      <c r="G972" s="35"/>
      <c r="H972" s="34"/>
      <c r="I972" s="34"/>
      <c r="J972" s="34"/>
      <c r="K972" s="34"/>
      <c r="L972" s="34"/>
      <c r="M972" s="36"/>
      <c r="T972" s="13"/>
    </row>
    <row r="973" spans="1:20" ht="24.95" customHeight="1">
      <c r="A973" s="27"/>
      <c r="B973" s="34" t="s">
        <v>99</v>
      </c>
      <c r="C973" s="34"/>
      <c r="D973" s="34"/>
      <c r="E973" s="34"/>
      <c r="F973" s="34"/>
      <c r="G973" s="35"/>
      <c r="H973" s="34"/>
      <c r="I973" s="34"/>
      <c r="J973" s="34"/>
      <c r="K973" s="34"/>
      <c r="L973" s="34"/>
      <c r="M973" s="36"/>
      <c r="T973" s="13"/>
    </row>
    <row r="974" spans="1:20" ht="24.95" customHeight="1">
      <c r="A974" s="37"/>
      <c r="B974" s="49" t="s">
        <v>69</v>
      </c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50"/>
      <c r="T974" s="13"/>
    </row>
    <row r="975" spans="1:20" ht="44.25" customHeight="1">
      <c r="A975" s="51" t="s">
        <v>70</v>
      </c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3"/>
      <c r="T975" s="13"/>
    </row>
    <row r="976" spans="1:20" ht="48" customHeight="1">
      <c r="A976" s="51" t="s">
        <v>71</v>
      </c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3"/>
      <c r="T976" s="13"/>
    </row>
    <row r="977" spans="1:20" ht="81" customHeight="1">
      <c r="A977" s="51" t="s">
        <v>109</v>
      </c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3"/>
      <c r="T977" s="13"/>
    </row>
    <row r="978" spans="1:20" ht="100.5" customHeight="1">
      <c r="A978" s="51" t="s">
        <v>72</v>
      </c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3"/>
      <c r="T978" s="13"/>
    </row>
    <row r="979" spans="1:20" ht="12" customHeight="1">
      <c r="A979" s="41" t="s">
        <v>73</v>
      </c>
      <c r="B979" s="41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38"/>
      <c r="T979" s="13"/>
    </row>
    <row r="980" spans="1:20" ht="12" customHeight="1">
      <c r="A980" s="43" t="s">
        <v>74</v>
      </c>
      <c r="B980" s="43"/>
      <c r="C980" s="40"/>
      <c r="D980" s="40"/>
      <c r="E980" s="40"/>
      <c r="F980" s="40"/>
      <c r="G980" s="40"/>
      <c r="H980" s="40"/>
      <c r="I980" s="40"/>
      <c r="J980" s="40"/>
      <c r="K980" s="40"/>
      <c r="L980" s="38"/>
      <c r="M980" s="38"/>
      <c r="T980" s="13"/>
    </row>
    <row r="981" spans="1:20" ht="12" customHeight="1">
      <c r="A981" s="44" t="s">
        <v>75</v>
      </c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T981" s="13"/>
    </row>
    <row r="982" spans="1:20" ht="12" customHeight="1">
      <c r="A982" s="39" t="s">
        <v>76</v>
      </c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T982" s="13"/>
    </row>
    <row r="983" spans="1:20" ht="12" customHeight="1">
      <c r="A983" s="39" t="s">
        <v>77</v>
      </c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T983" s="13"/>
    </row>
    <row r="984" spans="1:20" ht="12" customHeight="1">
      <c r="A984" s="45" t="s">
        <v>78</v>
      </c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T984" s="13"/>
    </row>
    <row r="985" spans="1:20" ht="12" customHeight="1">
      <c r="A985" s="39" t="s">
        <v>79</v>
      </c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T985" s="13"/>
    </row>
    <row r="986" spans="1:20" ht="409.5" customHeight="1"/>
    <row r="987" spans="1:20" s="2" customFormat="1" ht="35.1" customHeight="1">
      <c r="A987" s="126" t="s">
        <v>0</v>
      </c>
      <c r="B987" s="126"/>
      <c r="C987" s="1">
        <f>C929+1</f>
        <v>22</v>
      </c>
      <c r="G987" s="3"/>
    </row>
    <row r="988" spans="1:20" s="2" customFormat="1" ht="35.1" customHeight="1">
      <c r="A988" s="126" t="s">
        <v>1</v>
      </c>
      <c r="B988" s="126"/>
      <c r="C988" s="2" t="s">
        <v>2</v>
      </c>
      <c r="D988" s="2" t="s">
        <v>105</v>
      </c>
      <c r="E988" s="2" t="s">
        <v>3</v>
      </c>
      <c r="F988" s="2" t="s">
        <v>105</v>
      </c>
      <c r="G988" s="3"/>
      <c r="H988" s="127" t="s">
        <v>4</v>
      </c>
      <c r="I988" s="128"/>
      <c r="J988" s="129">
        <f>J930+1</f>
        <v>46009</v>
      </c>
      <c r="K988" s="130"/>
      <c r="L988" s="131">
        <f>J988</f>
        <v>46009</v>
      </c>
      <c r="M988" s="132"/>
    </row>
    <row r="989" spans="1:20" s="2" customFormat="1" ht="30" customHeight="1">
      <c r="A989" s="72" t="s">
        <v>5</v>
      </c>
      <c r="B989" s="114"/>
      <c r="C989" s="119" t="s">
        <v>83</v>
      </c>
      <c r="D989" s="119"/>
      <c r="E989" s="119"/>
      <c r="F989" s="119"/>
      <c r="G989" s="119"/>
      <c r="H989" s="54" t="s">
        <v>6</v>
      </c>
      <c r="I989" s="59"/>
      <c r="J989" s="120"/>
      <c r="K989" s="120"/>
      <c r="L989" s="120"/>
      <c r="M989" s="120"/>
    </row>
    <row r="990" spans="1:20" s="1" customFormat="1" ht="30" customHeight="1">
      <c r="A990" s="72" t="s">
        <v>7</v>
      </c>
      <c r="B990" s="114"/>
      <c r="C990" s="4">
        <v>50</v>
      </c>
      <c r="D990" s="4" t="s">
        <v>8</v>
      </c>
      <c r="E990" s="4" t="s">
        <v>9</v>
      </c>
      <c r="F990" s="4">
        <f>F932+1</f>
        <v>22</v>
      </c>
      <c r="G990" s="5" t="s">
        <v>8</v>
      </c>
      <c r="H990" s="4" t="s">
        <v>10</v>
      </c>
      <c r="I990" s="4">
        <f>C990-F990+L990</f>
        <v>28</v>
      </c>
      <c r="J990" s="4" t="s">
        <v>11</v>
      </c>
      <c r="K990" s="6" t="s">
        <v>12</v>
      </c>
      <c r="L990" s="7">
        <f>L932</f>
        <v>0</v>
      </c>
      <c r="M990" s="4" t="s">
        <v>8</v>
      </c>
    </row>
    <row r="991" spans="1:20" s="2" customFormat="1" ht="30" customHeight="1">
      <c r="A991" s="72" t="s">
        <v>13</v>
      </c>
      <c r="B991" s="75"/>
      <c r="C991" s="75"/>
      <c r="D991" s="121">
        <f>D933</f>
        <v>45988</v>
      </c>
      <c r="E991" s="122"/>
      <c r="F991" s="122"/>
      <c r="G991" s="123"/>
      <c r="H991" s="124" t="s">
        <v>14</v>
      </c>
      <c r="I991" s="125"/>
      <c r="J991" s="121">
        <f>J933</f>
        <v>46037</v>
      </c>
      <c r="K991" s="122"/>
      <c r="L991" s="122"/>
      <c r="M991" s="123"/>
    </row>
    <row r="992" spans="1:20" s="2" customFormat="1" ht="30" customHeight="1">
      <c r="A992" s="72" t="s">
        <v>15</v>
      </c>
      <c r="B992" s="114"/>
      <c r="C992" s="114"/>
      <c r="D992" s="72">
        <v>0.68700000000000006</v>
      </c>
      <c r="E992" s="72"/>
      <c r="F992" s="72"/>
      <c r="G992" s="72"/>
      <c r="H992" s="64" t="s">
        <v>16</v>
      </c>
      <c r="I992" s="115"/>
      <c r="J992" s="116">
        <f>P1008</f>
        <v>0</v>
      </c>
      <c r="K992" s="117"/>
      <c r="L992" s="117"/>
      <c r="M992" s="118"/>
    </row>
    <row r="993" spans="1:20" s="2" customFormat="1" ht="30" customHeight="1">
      <c r="A993" s="72" t="s">
        <v>17</v>
      </c>
      <c r="B993" s="114"/>
      <c r="C993" s="114"/>
      <c r="D993" s="72">
        <f>D992+D935</f>
        <v>9.7929999999999993</v>
      </c>
      <c r="E993" s="72"/>
      <c r="F993" s="72"/>
      <c r="G993" s="72"/>
      <c r="H993" s="64" t="s">
        <v>18</v>
      </c>
      <c r="I993" s="115"/>
      <c r="J993" s="116">
        <f>J992+J935</f>
        <v>23.219999999999992</v>
      </c>
      <c r="K993" s="117"/>
      <c r="L993" s="117"/>
      <c r="M993" s="118"/>
    </row>
    <row r="994" spans="1:20" s="2" customFormat="1" ht="30" customHeight="1">
      <c r="A994" s="111" t="s">
        <v>19</v>
      </c>
      <c r="B994" s="112"/>
      <c r="C994" s="112"/>
      <c r="D994" s="112"/>
      <c r="E994" s="112"/>
      <c r="F994" s="112"/>
      <c r="G994" s="112"/>
      <c r="H994" s="112"/>
      <c r="I994" s="112"/>
      <c r="J994" s="112"/>
      <c r="K994" s="112"/>
      <c r="L994" s="112"/>
      <c r="M994" s="113"/>
    </row>
    <row r="995" spans="1:20" s="2" customFormat="1" ht="30" customHeight="1">
      <c r="A995" s="8" t="s">
        <v>20</v>
      </c>
      <c r="B995" s="72" t="s">
        <v>21</v>
      </c>
      <c r="C995" s="72"/>
      <c r="D995" s="72"/>
      <c r="E995" s="4" t="s">
        <v>22</v>
      </c>
      <c r="F995" s="54" t="s">
        <v>23</v>
      </c>
      <c r="G995" s="59"/>
      <c r="H995" s="72" t="s">
        <v>24</v>
      </c>
      <c r="I995" s="72"/>
      <c r="J995" s="72" t="s">
        <v>25</v>
      </c>
      <c r="K995" s="72"/>
      <c r="L995" s="72" t="s">
        <v>26</v>
      </c>
      <c r="M995" s="72"/>
      <c r="O995" s="1" t="s">
        <v>27</v>
      </c>
      <c r="P995" s="1" t="s">
        <v>28</v>
      </c>
      <c r="T995" s="2" t="s">
        <v>29</v>
      </c>
    </row>
    <row r="996" spans="1:20" s="2" customFormat="1" ht="24.95" customHeight="1">
      <c r="A996" s="9" t="s">
        <v>30</v>
      </c>
      <c r="B996" s="110" t="s">
        <v>31</v>
      </c>
      <c r="C996" s="110"/>
      <c r="D996" s="110"/>
      <c r="E996" s="4"/>
      <c r="F996" s="54"/>
      <c r="G996" s="59"/>
      <c r="H996" s="72"/>
      <c r="I996" s="72"/>
      <c r="J996" s="72"/>
      <c r="K996" s="72"/>
      <c r="L996" s="72"/>
      <c r="M996" s="72"/>
    </row>
    <row r="997" spans="1:20" ht="24.95" customHeight="1">
      <c r="A997" s="10">
        <v>1</v>
      </c>
      <c r="B997" s="66" t="s">
        <v>91</v>
      </c>
      <c r="C997" s="67" t="s">
        <v>91</v>
      </c>
      <c r="D997" s="68" t="s">
        <v>91</v>
      </c>
      <c r="E997" s="4" t="s">
        <v>32</v>
      </c>
      <c r="F997" s="69">
        <v>1</v>
      </c>
      <c r="G997" s="70"/>
      <c r="H997" s="69"/>
      <c r="I997" s="70"/>
      <c r="J997" s="71">
        <f>H997+J939</f>
        <v>1</v>
      </c>
      <c r="K997" s="71"/>
      <c r="L997" s="72"/>
      <c r="M997" s="72"/>
      <c r="O997" s="11">
        <v>4000</v>
      </c>
      <c r="P997" s="11">
        <f>ROUND(H997*O997,0)</f>
        <v>0</v>
      </c>
      <c r="Q997" s="12"/>
      <c r="S997" s="11">
        <f>ROUND(J997*O997,0)</f>
        <v>4000</v>
      </c>
      <c r="T997" s="13">
        <f>F997-J997</f>
        <v>0</v>
      </c>
    </row>
    <row r="998" spans="1:20" ht="24.95" customHeight="1">
      <c r="A998" s="10">
        <v>2</v>
      </c>
      <c r="B998" s="66" t="s">
        <v>92</v>
      </c>
      <c r="C998" s="67" t="s">
        <v>92</v>
      </c>
      <c r="D998" s="68" t="s">
        <v>92</v>
      </c>
      <c r="E998" s="4" t="s">
        <v>32</v>
      </c>
      <c r="F998" s="69">
        <v>1</v>
      </c>
      <c r="G998" s="70"/>
      <c r="H998" s="69"/>
      <c r="I998" s="70"/>
      <c r="J998" s="71">
        <f t="shared" ref="J998:J1005" si="115">H998+J940</f>
        <v>1</v>
      </c>
      <c r="K998" s="71"/>
      <c r="L998" s="72"/>
      <c r="M998" s="72"/>
      <c r="O998" s="11">
        <v>14334</v>
      </c>
      <c r="P998" s="11">
        <f t="shared" ref="P998:P1005" si="116">ROUND(H998*O998,0)</f>
        <v>0</v>
      </c>
      <c r="Q998" s="12"/>
      <c r="S998" s="11">
        <f t="shared" ref="S998:S1005" si="117">ROUND(J998*O998,0)</f>
        <v>14334</v>
      </c>
      <c r="T998" s="13">
        <f t="shared" ref="T998:T1005" si="118">F998-J998</f>
        <v>0</v>
      </c>
    </row>
    <row r="999" spans="1:20" ht="24.95" customHeight="1">
      <c r="A999" s="10">
        <v>3</v>
      </c>
      <c r="B999" s="66" t="s">
        <v>84</v>
      </c>
      <c r="C999" s="67" t="s">
        <v>84</v>
      </c>
      <c r="D999" s="68" t="s">
        <v>84</v>
      </c>
      <c r="E999" s="4" t="s">
        <v>33</v>
      </c>
      <c r="F999" s="69">
        <v>1</v>
      </c>
      <c r="G999" s="70"/>
      <c r="H999" s="69"/>
      <c r="I999" s="70"/>
      <c r="J999" s="71">
        <f t="shared" si="115"/>
        <v>0.5</v>
      </c>
      <c r="K999" s="71"/>
      <c r="L999" s="72"/>
      <c r="M999" s="72"/>
      <c r="O999" s="11">
        <v>7000</v>
      </c>
      <c r="P999" s="11">
        <f t="shared" si="116"/>
        <v>0</v>
      </c>
      <c r="Q999" s="12"/>
      <c r="S999" s="11">
        <f t="shared" si="117"/>
        <v>3500</v>
      </c>
      <c r="T999" s="13">
        <f t="shared" si="118"/>
        <v>0.5</v>
      </c>
    </row>
    <row r="1000" spans="1:20" ht="24.95" customHeight="1">
      <c r="A1000" s="10">
        <v>4</v>
      </c>
      <c r="B1000" s="66" t="s">
        <v>85</v>
      </c>
      <c r="C1000" s="67" t="s">
        <v>85</v>
      </c>
      <c r="D1000" s="68" t="s">
        <v>85</v>
      </c>
      <c r="E1000" s="4" t="s">
        <v>34</v>
      </c>
      <c r="F1000" s="69">
        <v>1</v>
      </c>
      <c r="G1000" s="70"/>
      <c r="H1000" s="69"/>
      <c r="I1000" s="70"/>
      <c r="J1000" s="71">
        <f t="shared" si="115"/>
        <v>1</v>
      </c>
      <c r="K1000" s="71"/>
      <c r="L1000" s="72"/>
      <c r="M1000" s="72"/>
      <c r="O1000" s="11">
        <v>74000</v>
      </c>
      <c r="P1000" s="11">
        <f t="shared" si="116"/>
        <v>0</v>
      </c>
      <c r="Q1000" s="12"/>
      <c r="S1000" s="11">
        <f t="shared" si="117"/>
        <v>74000</v>
      </c>
      <c r="T1000" s="13">
        <f t="shared" si="118"/>
        <v>0</v>
      </c>
    </row>
    <row r="1001" spans="1:20" ht="24.95" customHeight="1">
      <c r="A1001" s="10">
        <v>5</v>
      </c>
      <c r="B1001" s="66" t="s">
        <v>86</v>
      </c>
      <c r="C1001" s="67" t="s">
        <v>86</v>
      </c>
      <c r="D1001" s="68" t="s">
        <v>86</v>
      </c>
      <c r="E1001" s="4" t="s">
        <v>93</v>
      </c>
      <c r="F1001" s="69">
        <v>396</v>
      </c>
      <c r="G1001" s="70"/>
      <c r="H1001" s="69"/>
      <c r="I1001" s="70"/>
      <c r="J1001" s="71">
        <f t="shared" si="115"/>
        <v>350</v>
      </c>
      <c r="K1001" s="71"/>
      <c r="L1001" s="72"/>
      <c r="M1001" s="72"/>
      <c r="O1001" s="11">
        <v>200</v>
      </c>
      <c r="P1001" s="11">
        <f t="shared" si="116"/>
        <v>0</v>
      </c>
      <c r="Q1001" s="12"/>
      <c r="S1001" s="11">
        <f t="shared" si="117"/>
        <v>70000</v>
      </c>
      <c r="T1001" s="13">
        <f t="shared" si="118"/>
        <v>46</v>
      </c>
    </row>
    <row r="1002" spans="1:20" ht="24.95" customHeight="1">
      <c r="A1002" s="10">
        <v>6</v>
      </c>
      <c r="B1002" s="66" t="s">
        <v>97</v>
      </c>
      <c r="C1002" s="67" t="s">
        <v>87</v>
      </c>
      <c r="D1002" s="68" t="s">
        <v>87</v>
      </c>
      <c r="E1002" s="4" t="s">
        <v>35</v>
      </c>
      <c r="F1002" s="69">
        <v>80</v>
      </c>
      <c r="G1002" s="70">
        <v>183.6</v>
      </c>
      <c r="H1002" s="69"/>
      <c r="I1002" s="70"/>
      <c r="J1002" s="71">
        <f t="shared" si="115"/>
        <v>70</v>
      </c>
      <c r="K1002" s="71"/>
      <c r="L1002" s="54"/>
      <c r="M1002" s="59"/>
      <c r="O1002" s="11">
        <v>1463</v>
      </c>
      <c r="P1002" s="11">
        <f t="shared" si="116"/>
        <v>0</v>
      </c>
      <c r="S1002" s="11">
        <f t="shared" si="117"/>
        <v>102410</v>
      </c>
      <c r="T1002" s="13">
        <f t="shared" si="118"/>
        <v>10</v>
      </c>
    </row>
    <row r="1003" spans="1:20" ht="24.95" customHeight="1">
      <c r="A1003" s="10">
        <v>7</v>
      </c>
      <c r="B1003" s="66" t="s">
        <v>88</v>
      </c>
      <c r="C1003" s="67" t="s">
        <v>88</v>
      </c>
      <c r="D1003" s="68" t="s">
        <v>88</v>
      </c>
      <c r="E1003" s="4" t="s">
        <v>94</v>
      </c>
      <c r="F1003" s="69">
        <v>126</v>
      </c>
      <c r="G1003" s="70">
        <v>19</v>
      </c>
      <c r="H1003" s="69"/>
      <c r="I1003" s="70"/>
      <c r="J1003" s="71">
        <f t="shared" si="115"/>
        <v>0</v>
      </c>
      <c r="K1003" s="71"/>
      <c r="L1003" s="54"/>
      <c r="M1003" s="59"/>
      <c r="O1003" s="11">
        <v>6350</v>
      </c>
      <c r="P1003" s="11">
        <f t="shared" si="116"/>
        <v>0</v>
      </c>
      <c r="S1003" s="11">
        <f t="shared" si="117"/>
        <v>0</v>
      </c>
      <c r="T1003" s="13">
        <f t="shared" si="118"/>
        <v>126</v>
      </c>
    </row>
    <row r="1004" spans="1:20" ht="24.95" customHeight="1">
      <c r="A1004" s="10">
        <v>8</v>
      </c>
      <c r="B1004" s="66" t="s">
        <v>89</v>
      </c>
      <c r="C1004" s="67" t="s">
        <v>89</v>
      </c>
      <c r="D1004" s="68" t="s">
        <v>89</v>
      </c>
      <c r="E1004" s="4" t="s">
        <v>95</v>
      </c>
      <c r="F1004" s="69">
        <v>1</v>
      </c>
      <c r="G1004" s="70">
        <v>1192</v>
      </c>
      <c r="H1004" s="69"/>
      <c r="I1004" s="70"/>
      <c r="J1004" s="71">
        <f t="shared" si="115"/>
        <v>0</v>
      </c>
      <c r="K1004" s="71"/>
      <c r="L1004" s="54"/>
      <c r="M1004" s="59"/>
      <c r="O1004" s="11">
        <v>47600</v>
      </c>
      <c r="P1004" s="11">
        <f t="shared" si="116"/>
        <v>0</v>
      </c>
      <c r="S1004" s="11">
        <f t="shared" si="117"/>
        <v>0</v>
      </c>
      <c r="T1004" s="13">
        <f t="shared" si="118"/>
        <v>1</v>
      </c>
    </row>
    <row r="1005" spans="1:20" ht="24.95" customHeight="1">
      <c r="A1005" s="10">
        <v>9</v>
      </c>
      <c r="B1005" s="66" t="s">
        <v>90</v>
      </c>
      <c r="C1005" s="67" t="s">
        <v>90</v>
      </c>
      <c r="D1005" s="68" t="s">
        <v>90</v>
      </c>
      <c r="E1005" s="4" t="s">
        <v>96</v>
      </c>
      <c r="F1005" s="69">
        <v>1</v>
      </c>
      <c r="G1005" s="70">
        <v>1261</v>
      </c>
      <c r="H1005" s="69"/>
      <c r="I1005" s="70"/>
      <c r="J1005" s="71">
        <f t="shared" si="115"/>
        <v>0</v>
      </c>
      <c r="K1005" s="71"/>
      <c r="L1005" s="54"/>
      <c r="M1005" s="59"/>
      <c r="O1005" s="11">
        <v>10000</v>
      </c>
      <c r="P1005" s="11">
        <f t="shared" si="116"/>
        <v>0</v>
      </c>
      <c r="S1005" s="11">
        <f t="shared" si="117"/>
        <v>0</v>
      </c>
      <c r="T1005" s="13">
        <f t="shared" si="118"/>
        <v>1</v>
      </c>
    </row>
    <row r="1006" spans="1:20" ht="24.95" customHeight="1">
      <c r="A1006" s="14"/>
      <c r="B1006" s="15"/>
      <c r="C1006" s="16"/>
      <c r="D1006" s="17"/>
      <c r="E1006" s="4"/>
      <c r="F1006" s="18"/>
      <c r="G1006" s="19"/>
      <c r="H1006" s="105"/>
      <c r="I1006" s="106"/>
      <c r="J1006" s="105"/>
      <c r="K1006" s="106"/>
      <c r="L1006" s="54"/>
      <c r="M1006" s="59"/>
      <c r="N1006" s="20"/>
      <c r="P1006" s="21" t="s">
        <v>37</v>
      </c>
      <c r="Q1006" s="22">
        <f>SUM(P997:P1005)</f>
        <v>0</v>
      </c>
      <c r="R1006" s="23"/>
      <c r="S1006" s="24">
        <f>SUM(S997:S1005)</f>
        <v>268244</v>
      </c>
      <c r="T1006" s="13"/>
    </row>
    <row r="1007" spans="1:20" ht="24.95" customHeight="1">
      <c r="A1007" s="107"/>
      <c r="B1007" s="108"/>
      <c r="C1007" s="108"/>
      <c r="D1007" s="109"/>
      <c r="E1007" s="4"/>
      <c r="F1007" s="54"/>
      <c r="G1007" s="59"/>
      <c r="H1007" s="72"/>
      <c r="I1007" s="72"/>
      <c r="J1007" s="72"/>
      <c r="K1007" s="72"/>
      <c r="L1007" s="72"/>
      <c r="M1007" s="72"/>
      <c r="O1007" t="s">
        <v>38</v>
      </c>
      <c r="P1007" s="24">
        <f>Q1006</f>
        <v>0</v>
      </c>
      <c r="T1007" s="13"/>
    </row>
    <row r="1008" spans="1:20" ht="24.95" customHeight="1">
      <c r="A1008" s="97"/>
      <c r="B1008" s="98"/>
      <c r="C1008" s="98"/>
      <c r="D1008" s="99"/>
      <c r="E1008" s="4"/>
      <c r="F1008" s="54"/>
      <c r="G1008" s="59"/>
      <c r="H1008" s="72"/>
      <c r="I1008" s="72"/>
      <c r="J1008" s="72"/>
      <c r="K1008" s="72"/>
      <c r="L1008" s="72"/>
      <c r="M1008" s="72"/>
      <c r="O1008" t="s">
        <v>39</v>
      </c>
      <c r="P1008" s="23">
        <f>ROUND(P1007/1153274,4)*100</f>
        <v>0</v>
      </c>
      <c r="T1008" s="13"/>
    </row>
    <row r="1009" spans="1:20" ht="24.95" customHeight="1">
      <c r="A1009" s="25"/>
      <c r="B1009" s="63" t="s">
        <v>40</v>
      </c>
      <c r="C1009" s="63"/>
      <c r="D1009" s="59"/>
      <c r="E1009" s="26"/>
      <c r="F1009" s="100"/>
      <c r="G1009" s="101"/>
      <c r="H1009" s="100"/>
      <c r="I1009" s="101"/>
      <c r="J1009" s="102"/>
      <c r="K1009" s="102"/>
      <c r="L1009" s="103">
        <f>P1007</f>
        <v>0</v>
      </c>
      <c r="M1009" s="104"/>
      <c r="T1009" s="13"/>
    </row>
    <row r="1010" spans="1:20" ht="24.95" customHeight="1" thickBot="1">
      <c r="A1010" s="27"/>
      <c r="B1010" s="85" t="s">
        <v>41</v>
      </c>
      <c r="C1010" s="85"/>
      <c r="D1010" s="86"/>
      <c r="E1010" s="28"/>
      <c r="F1010" s="87"/>
      <c r="G1010" s="88"/>
      <c r="H1010" s="87"/>
      <c r="I1010" s="88"/>
      <c r="J1010" s="87"/>
      <c r="K1010" s="88"/>
      <c r="L1010" s="89">
        <f>L1009+L952</f>
        <v>268244</v>
      </c>
      <c r="M1010" s="90"/>
      <c r="T1010" s="13"/>
    </row>
    <row r="1011" spans="1:20" ht="24.95" customHeight="1">
      <c r="A1011" s="29"/>
      <c r="B1011" s="91" t="s">
        <v>42</v>
      </c>
      <c r="C1011" s="91"/>
      <c r="D1011" s="92"/>
      <c r="E1011" s="30"/>
      <c r="F1011" s="93"/>
      <c r="G1011" s="94"/>
      <c r="H1011" s="95"/>
      <c r="I1011" s="95"/>
      <c r="J1011" s="95"/>
      <c r="K1011" s="95"/>
      <c r="L1011" s="95"/>
      <c r="M1011" s="96"/>
      <c r="T1011" s="13"/>
    </row>
    <row r="1012" spans="1:20" ht="24.95" customHeight="1">
      <c r="A1012" s="31"/>
      <c r="B1012" s="76" t="s">
        <v>43</v>
      </c>
      <c r="C1012" s="76"/>
      <c r="D1012" s="77"/>
      <c r="E1012" s="4"/>
      <c r="F1012" s="54"/>
      <c r="G1012" s="59"/>
      <c r="H1012" s="72"/>
      <c r="I1012" s="72"/>
      <c r="J1012" s="72"/>
      <c r="K1012" s="72"/>
      <c r="L1012" s="72"/>
      <c r="M1012" s="78"/>
      <c r="T1012" s="13"/>
    </row>
    <row r="1013" spans="1:20" ht="24.95" customHeight="1" thickBot="1">
      <c r="A1013" s="32"/>
      <c r="B1013" s="79" t="s">
        <v>44</v>
      </c>
      <c r="C1013" s="79"/>
      <c r="D1013" s="80"/>
      <c r="E1013" s="33"/>
      <c r="F1013" s="81"/>
      <c r="G1013" s="82"/>
      <c r="H1013" s="83"/>
      <c r="I1013" s="83"/>
      <c r="J1013" s="83"/>
      <c r="K1013" s="83"/>
      <c r="L1013" s="83"/>
      <c r="M1013" s="84"/>
      <c r="T1013" s="13"/>
    </row>
    <row r="1014" spans="1:20" ht="24.95" customHeight="1">
      <c r="A1014" s="73" t="s">
        <v>45</v>
      </c>
      <c r="B1014" s="74"/>
      <c r="C1014" s="74"/>
      <c r="D1014" s="74"/>
      <c r="E1014" s="74"/>
      <c r="F1014" s="74"/>
      <c r="G1014" s="74"/>
      <c r="H1014" s="74"/>
      <c r="I1014" s="74"/>
      <c r="J1014" s="74"/>
      <c r="K1014" s="74"/>
      <c r="L1014" s="74"/>
      <c r="M1014" s="74"/>
      <c r="T1014" s="13"/>
    </row>
    <row r="1015" spans="1:20" ht="24.95" customHeight="1">
      <c r="A1015" s="72" t="s">
        <v>46</v>
      </c>
      <c r="B1015" s="75"/>
      <c r="C1015" s="75"/>
      <c r="D1015" s="75"/>
      <c r="E1015" s="4" t="s">
        <v>22</v>
      </c>
      <c r="F1015" s="72" t="s">
        <v>47</v>
      </c>
      <c r="G1015" s="72"/>
      <c r="H1015" s="72" t="s">
        <v>48</v>
      </c>
      <c r="I1015" s="72"/>
      <c r="J1015" s="72" t="s">
        <v>49</v>
      </c>
      <c r="K1015" s="72"/>
      <c r="L1015" s="72" t="s">
        <v>50</v>
      </c>
      <c r="M1015" s="72"/>
      <c r="T1015" s="13"/>
    </row>
    <row r="1016" spans="1:20" ht="24.95" customHeight="1">
      <c r="A1016" s="10">
        <v>6</v>
      </c>
      <c r="B1016" s="66" t="s">
        <v>97</v>
      </c>
      <c r="C1016" s="67" t="s">
        <v>51</v>
      </c>
      <c r="D1016" s="68" t="s">
        <v>51</v>
      </c>
      <c r="E1016" s="4" t="s">
        <v>35</v>
      </c>
      <c r="F1016" s="69">
        <v>80</v>
      </c>
      <c r="G1016" s="70">
        <v>1261</v>
      </c>
      <c r="H1016" s="71">
        <f>H1002</f>
        <v>0</v>
      </c>
      <c r="I1016" s="71"/>
      <c r="J1016" s="71">
        <f>H1016+J958</f>
        <v>70</v>
      </c>
      <c r="K1016" s="71"/>
      <c r="L1016" s="72"/>
      <c r="M1016" s="72"/>
      <c r="T1016" s="13"/>
    </row>
    <row r="1017" spans="1:20" ht="24.95" customHeight="1">
      <c r="A1017" s="10">
        <v>7</v>
      </c>
      <c r="B1017" s="66" t="s">
        <v>88</v>
      </c>
      <c r="C1017" s="67" t="s">
        <v>88</v>
      </c>
      <c r="D1017" s="68" t="s">
        <v>88</v>
      </c>
      <c r="E1017" s="4" t="s">
        <v>98</v>
      </c>
      <c r="F1017" s="69">
        <v>126</v>
      </c>
      <c r="G1017" s="70"/>
      <c r="H1017" s="71">
        <f>H1003</f>
        <v>0</v>
      </c>
      <c r="I1017" s="71"/>
      <c r="J1017" s="71">
        <f t="shared" ref="J1017:J1018" si="119">H1017+J959</f>
        <v>0</v>
      </c>
      <c r="K1017" s="71"/>
      <c r="L1017" s="72"/>
      <c r="M1017" s="72"/>
      <c r="T1017" s="13"/>
    </row>
    <row r="1018" spans="1:20" ht="24.95" customHeight="1">
      <c r="A1018" s="10">
        <v>8</v>
      </c>
      <c r="B1018" s="66" t="s">
        <v>89</v>
      </c>
      <c r="C1018" s="67" t="s">
        <v>89</v>
      </c>
      <c r="D1018" s="68" t="s">
        <v>89</v>
      </c>
      <c r="E1018" s="4" t="s">
        <v>36</v>
      </c>
      <c r="F1018" s="69">
        <v>1</v>
      </c>
      <c r="G1018" s="70"/>
      <c r="H1018" s="71">
        <f>H1004</f>
        <v>0</v>
      </c>
      <c r="I1018" s="71"/>
      <c r="J1018" s="71">
        <f t="shared" si="119"/>
        <v>0</v>
      </c>
      <c r="K1018" s="71"/>
      <c r="L1018" s="72"/>
      <c r="M1018" s="72"/>
      <c r="T1018" s="13"/>
    </row>
    <row r="1019" spans="1:20" ht="24.95" customHeight="1">
      <c r="A1019" s="51" t="s">
        <v>52</v>
      </c>
      <c r="B1019" s="52"/>
      <c r="C1019" s="52"/>
      <c r="D1019" s="52"/>
      <c r="E1019" s="52"/>
      <c r="F1019" s="52"/>
      <c r="G1019" s="52"/>
      <c r="H1019" s="52"/>
      <c r="I1019" s="52"/>
      <c r="J1019" s="52"/>
      <c r="K1019" s="52"/>
      <c r="L1019" s="52"/>
      <c r="M1019" s="53"/>
      <c r="T1019" s="13"/>
    </row>
    <row r="1020" spans="1:20" ht="24.95" customHeight="1">
      <c r="A1020" s="54" t="s">
        <v>53</v>
      </c>
      <c r="B1020" s="63"/>
      <c r="C1020" s="63"/>
      <c r="D1020" s="59"/>
      <c r="E1020" s="4" t="s">
        <v>54</v>
      </c>
      <c r="F1020" s="54" t="s">
        <v>55</v>
      </c>
      <c r="G1020" s="59"/>
      <c r="H1020" s="54" t="s">
        <v>56</v>
      </c>
      <c r="I1020" s="59"/>
      <c r="J1020" s="54" t="s">
        <v>48</v>
      </c>
      <c r="K1020" s="59"/>
      <c r="L1020" s="64" t="s">
        <v>49</v>
      </c>
      <c r="M1020" s="65"/>
      <c r="T1020" s="13"/>
    </row>
    <row r="1021" spans="1:20" ht="24.95" customHeight="1">
      <c r="A1021" s="54" t="s">
        <v>57</v>
      </c>
      <c r="B1021" s="55"/>
      <c r="C1021" s="55"/>
      <c r="D1021" s="56"/>
      <c r="E1021" s="4"/>
      <c r="F1021" s="57">
        <f>E1021+F963</f>
        <v>26</v>
      </c>
      <c r="G1021" s="58"/>
      <c r="H1021" s="54" t="s">
        <v>58</v>
      </c>
      <c r="I1021" s="59"/>
      <c r="J1021" s="54"/>
      <c r="K1021" s="59"/>
      <c r="L1021" s="57">
        <f>J1021+L963</f>
        <v>12</v>
      </c>
      <c r="M1021" s="58"/>
      <c r="T1021" s="13"/>
    </row>
    <row r="1022" spans="1:20" ht="24.95" customHeight="1">
      <c r="A1022" s="54" t="s">
        <v>59</v>
      </c>
      <c r="B1022" s="55"/>
      <c r="C1022" s="55"/>
      <c r="D1022" s="56"/>
      <c r="E1022" s="4"/>
      <c r="F1022" s="57">
        <f t="shared" ref="F1022:F1024" si="120">E1022+F964</f>
        <v>0</v>
      </c>
      <c r="G1022" s="58"/>
      <c r="H1022" s="54" t="s">
        <v>60</v>
      </c>
      <c r="I1022" s="59"/>
      <c r="J1022" s="54"/>
      <c r="K1022" s="59"/>
      <c r="L1022" s="57">
        <f t="shared" ref="L1022:L1024" si="121">J1022+L964</f>
        <v>0</v>
      </c>
      <c r="M1022" s="58"/>
      <c r="T1022" s="13"/>
    </row>
    <row r="1023" spans="1:20" ht="24.95" customHeight="1">
      <c r="A1023" s="54" t="s">
        <v>61</v>
      </c>
      <c r="B1023" s="55"/>
      <c r="C1023" s="55"/>
      <c r="D1023" s="56"/>
      <c r="E1023" s="4"/>
      <c r="F1023" s="57">
        <f t="shared" si="120"/>
        <v>0</v>
      </c>
      <c r="G1023" s="58"/>
      <c r="H1023" s="54" t="s">
        <v>62</v>
      </c>
      <c r="I1023" s="59"/>
      <c r="J1023" s="54"/>
      <c r="K1023" s="59"/>
      <c r="L1023" s="57">
        <f t="shared" si="121"/>
        <v>4</v>
      </c>
      <c r="M1023" s="58"/>
      <c r="T1023" s="13"/>
    </row>
    <row r="1024" spans="1:20" ht="24.95" customHeight="1">
      <c r="A1024" s="54" t="s">
        <v>63</v>
      </c>
      <c r="B1024" s="55"/>
      <c r="C1024" s="55"/>
      <c r="D1024" s="56"/>
      <c r="E1024" s="4"/>
      <c r="F1024" s="57">
        <f t="shared" si="120"/>
        <v>2</v>
      </c>
      <c r="G1024" s="58"/>
      <c r="H1024" s="54" t="s">
        <v>64</v>
      </c>
      <c r="I1024" s="59"/>
      <c r="J1024" s="54"/>
      <c r="K1024" s="59"/>
      <c r="L1024" s="57">
        <f t="shared" si="121"/>
        <v>1</v>
      </c>
      <c r="M1024" s="58"/>
      <c r="T1024" s="13"/>
    </row>
    <row r="1025" spans="1:20" ht="64.5" customHeight="1">
      <c r="A1025" s="60" t="s">
        <v>65</v>
      </c>
      <c r="B1025" s="61"/>
      <c r="C1025" s="61"/>
      <c r="D1025" s="61"/>
      <c r="E1025" s="61"/>
      <c r="F1025" s="61"/>
      <c r="G1025" s="61"/>
      <c r="H1025" s="61"/>
      <c r="I1025" s="61"/>
      <c r="J1025" s="61"/>
      <c r="K1025" s="61"/>
      <c r="L1025" s="61"/>
      <c r="M1025" s="62"/>
      <c r="T1025" s="13"/>
    </row>
    <row r="1026" spans="1:20" ht="24.95" customHeight="1">
      <c r="A1026" s="46" t="s">
        <v>66</v>
      </c>
      <c r="B1026" s="47"/>
      <c r="C1026" s="47"/>
      <c r="D1026" s="47"/>
      <c r="E1026" s="47"/>
      <c r="F1026" s="47"/>
      <c r="G1026" s="47"/>
      <c r="H1026" s="47"/>
      <c r="I1026" s="47"/>
      <c r="J1026" s="47"/>
      <c r="K1026" s="47"/>
      <c r="L1026" s="47"/>
      <c r="M1026" s="48"/>
      <c r="T1026" s="13"/>
    </row>
    <row r="1027" spans="1:20" ht="24.95" customHeight="1">
      <c r="A1027" s="27"/>
      <c r="B1027" s="34" t="s">
        <v>67</v>
      </c>
      <c r="C1027" s="34"/>
      <c r="D1027" s="34"/>
      <c r="E1027" s="34"/>
      <c r="F1027" s="34"/>
      <c r="G1027" s="35"/>
      <c r="H1027" s="34"/>
      <c r="I1027" s="34"/>
      <c r="J1027" s="34"/>
      <c r="K1027" s="34"/>
      <c r="L1027" s="34"/>
      <c r="M1027" s="36"/>
      <c r="T1027" s="13"/>
    </row>
    <row r="1028" spans="1:20" ht="24.95" customHeight="1">
      <c r="A1028" s="27"/>
      <c r="B1028" s="34" t="s">
        <v>81</v>
      </c>
      <c r="C1028" s="34"/>
      <c r="D1028" s="34"/>
      <c r="E1028" s="34"/>
      <c r="F1028" s="34"/>
      <c r="G1028" s="35"/>
      <c r="H1028" s="34"/>
      <c r="I1028" s="34"/>
      <c r="J1028" s="34"/>
      <c r="K1028" s="34"/>
      <c r="L1028" s="34"/>
      <c r="M1028" s="36"/>
      <c r="T1028" s="13"/>
    </row>
    <row r="1029" spans="1:20" ht="24.95" customHeight="1">
      <c r="A1029" s="27"/>
      <c r="B1029" s="34" t="s">
        <v>68</v>
      </c>
      <c r="C1029" s="34"/>
      <c r="D1029" s="34"/>
      <c r="E1029" s="34"/>
      <c r="F1029" s="34"/>
      <c r="G1029" s="35"/>
      <c r="H1029" s="34"/>
      <c r="I1029" s="34"/>
      <c r="J1029" s="34"/>
      <c r="K1029" s="34"/>
      <c r="L1029" s="34"/>
      <c r="M1029" s="36"/>
      <c r="T1029" s="13"/>
    </row>
    <row r="1030" spans="1:20" ht="24.95" customHeight="1">
      <c r="A1030" s="27"/>
      <c r="B1030" s="34" t="s">
        <v>82</v>
      </c>
      <c r="C1030" s="34"/>
      <c r="D1030" s="34"/>
      <c r="E1030" s="34"/>
      <c r="F1030" s="34"/>
      <c r="G1030" s="35"/>
      <c r="H1030" s="34"/>
      <c r="I1030" s="34"/>
      <c r="J1030" s="34"/>
      <c r="K1030" s="34"/>
      <c r="L1030" s="34"/>
      <c r="M1030" s="36"/>
      <c r="T1030" s="13"/>
    </row>
    <row r="1031" spans="1:20" ht="24.95" customHeight="1">
      <c r="A1031" s="27"/>
      <c r="B1031" s="34" t="s">
        <v>99</v>
      </c>
      <c r="C1031" s="34"/>
      <c r="D1031" s="34"/>
      <c r="E1031" s="34"/>
      <c r="F1031" s="34"/>
      <c r="G1031" s="35"/>
      <c r="H1031" s="34"/>
      <c r="I1031" s="34"/>
      <c r="J1031" s="34"/>
      <c r="K1031" s="34"/>
      <c r="L1031" s="34"/>
      <c r="M1031" s="36"/>
      <c r="T1031" s="13"/>
    </row>
    <row r="1032" spans="1:20" ht="24.95" customHeight="1">
      <c r="A1032" s="37"/>
      <c r="B1032" s="49" t="s">
        <v>69</v>
      </c>
      <c r="C1032" s="49"/>
      <c r="D1032" s="49"/>
      <c r="E1032" s="49"/>
      <c r="F1032" s="49"/>
      <c r="G1032" s="49"/>
      <c r="H1032" s="49"/>
      <c r="I1032" s="49"/>
      <c r="J1032" s="49"/>
      <c r="K1032" s="49"/>
      <c r="L1032" s="49"/>
      <c r="M1032" s="50"/>
      <c r="T1032" s="13"/>
    </row>
    <row r="1033" spans="1:20" ht="44.25" customHeight="1">
      <c r="A1033" s="51" t="s">
        <v>70</v>
      </c>
      <c r="B1033" s="52"/>
      <c r="C1033" s="52"/>
      <c r="D1033" s="52"/>
      <c r="E1033" s="52"/>
      <c r="F1033" s="52"/>
      <c r="G1033" s="52"/>
      <c r="H1033" s="52"/>
      <c r="I1033" s="52"/>
      <c r="J1033" s="52"/>
      <c r="K1033" s="52"/>
      <c r="L1033" s="52"/>
      <c r="M1033" s="53"/>
      <c r="T1033" s="13"/>
    </row>
    <row r="1034" spans="1:20" ht="48" customHeight="1">
      <c r="A1034" s="51" t="s">
        <v>71</v>
      </c>
      <c r="B1034" s="52"/>
      <c r="C1034" s="52"/>
      <c r="D1034" s="52"/>
      <c r="E1034" s="52"/>
      <c r="F1034" s="52"/>
      <c r="G1034" s="52"/>
      <c r="H1034" s="52"/>
      <c r="I1034" s="52"/>
      <c r="J1034" s="52"/>
      <c r="K1034" s="52"/>
      <c r="L1034" s="52"/>
      <c r="M1034" s="53"/>
      <c r="T1034" s="13"/>
    </row>
    <row r="1035" spans="1:20" ht="81" customHeight="1">
      <c r="A1035" s="51" t="s">
        <v>109</v>
      </c>
      <c r="B1035" s="52"/>
      <c r="C1035" s="52"/>
      <c r="D1035" s="52"/>
      <c r="E1035" s="52"/>
      <c r="F1035" s="52"/>
      <c r="G1035" s="52"/>
      <c r="H1035" s="52"/>
      <c r="I1035" s="52"/>
      <c r="J1035" s="52"/>
      <c r="K1035" s="52"/>
      <c r="L1035" s="52"/>
      <c r="M1035" s="53"/>
      <c r="T1035" s="13"/>
    </row>
    <row r="1036" spans="1:20" ht="100.5" customHeight="1">
      <c r="A1036" s="51" t="s">
        <v>72</v>
      </c>
      <c r="B1036" s="52"/>
      <c r="C1036" s="52"/>
      <c r="D1036" s="52"/>
      <c r="E1036" s="52"/>
      <c r="F1036" s="52"/>
      <c r="G1036" s="52"/>
      <c r="H1036" s="52"/>
      <c r="I1036" s="52"/>
      <c r="J1036" s="52"/>
      <c r="K1036" s="52"/>
      <c r="L1036" s="52"/>
      <c r="M1036" s="53"/>
      <c r="T1036" s="13"/>
    </row>
    <row r="1037" spans="1:20" ht="12" customHeight="1">
      <c r="A1037" s="41" t="s">
        <v>73</v>
      </c>
      <c r="B1037" s="41"/>
      <c r="C1037" s="42"/>
      <c r="D1037" s="42"/>
      <c r="E1037" s="42"/>
      <c r="F1037" s="42"/>
      <c r="G1037" s="42"/>
      <c r="H1037" s="42"/>
      <c r="I1037" s="42"/>
      <c r="J1037" s="42"/>
      <c r="K1037" s="42"/>
      <c r="L1037" s="42"/>
      <c r="M1037" s="38"/>
      <c r="T1037" s="13"/>
    </row>
    <row r="1038" spans="1:20" ht="12" customHeight="1">
      <c r="A1038" s="43" t="s">
        <v>74</v>
      </c>
      <c r="B1038" s="43"/>
      <c r="C1038" s="40"/>
      <c r="D1038" s="40"/>
      <c r="E1038" s="40"/>
      <c r="F1038" s="40"/>
      <c r="G1038" s="40"/>
      <c r="H1038" s="40"/>
      <c r="I1038" s="40"/>
      <c r="J1038" s="40"/>
      <c r="K1038" s="40"/>
      <c r="L1038" s="38"/>
      <c r="M1038" s="38"/>
      <c r="T1038" s="13"/>
    </row>
    <row r="1039" spans="1:20" ht="12" customHeight="1">
      <c r="A1039" s="44" t="s">
        <v>75</v>
      </c>
      <c r="B1039" s="44"/>
      <c r="C1039" s="44"/>
      <c r="D1039" s="44"/>
      <c r="E1039" s="44"/>
      <c r="F1039" s="44"/>
      <c r="G1039" s="44"/>
      <c r="H1039" s="44"/>
      <c r="I1039" s="44"/>
      <c r="J1039" s="44"/>
      <c r="K1039" s="44"/>
      <c r="L1039" s="44"/>
      <c r="M1039" s="44"/>
      <c r="T1039" s="13"/>
    </row>
    <row r="1040" spans="1:20" ht="12" customHeight="1">
      <c r="A1040" s="39" t="s">
        <v>76</v>
      </c>
      <c r="B1040" s="39"/>
      <c r="C1040" s="39"/>
      <c r="D1040" s="39"/>
      <c r="E1040" s="39"/>
      <c r="F1040" s="39"/>
      <c r="G1040" s="39"/>
      <c r="H1040" s="39"/>
      <c r="I1040" s="39"/>
      <c r="J1040" s="39"/>
      <c r="K1040" s="39"/>
      <c r="L1040" s="39"/>
      <c r="M1040" s="39"/>
      <c r="T1040" s="13"/>
    </row>
    <row r="1041" spans="1:20" ht="12" customHeight="1">
      <c r="A1041" s="39" t="s">
        <v>77</v>
      </c>
      <c r="B1041" s="40"/>
      <c r="C1041" s="40"/>
      <c r="D1041" s="40"/>
      <c r="E1041" s="40"/>
      <c r="F1041" s="40"/>
      <c r="G1041" s="40"/>
      <c r="H1041" s="40"/>
      <c r="I1041" s="40"/>
      <c r="J1041" s="40"/>
      <c r="K1041" s="40"/>
      <c r="L1041" s="40"/>
      <c r="M1041" s="40"/>
      <c r="T1041" s="13"/>
    </row>
    <row r="1042" spans="1:20" ht="12" customHeight="1">
      <c r="A1042" s="45" t="s">
        <v>78</v>
      </c>
      <c r="B1042" s="40"/>
      <c r="C1042" s="40"/>
      <c r="D1042" s="40"/>
      <c r="E1042" s="40"/>
      <c r="F1042" s="40"/>
      <c r="G1042" s="40"/>
      <c r="H1042" s="40"/>
      <c r="I1042" s="40"/>
      <c r="J1042" s="40"/>
      <c r="K1042" s="40"/>
      <c r="L1042" s="40"/>
      <c r="M1042" s="40"/>
      <c r="T1042" s="13"/>
    </row>
    <row r="1043" spans="1:20" ht="12" customHeight="1">
      <c r="A1043" s="39" t="s">
        <v>79</v>
      </c>
      <c r="B1043" s="40"/>
      <c r="C1043" s="40"/>
      <c r="D1043" s="40"/>
      <c r="E1043" s="40"/>
      <c r="F1043" s="40"/>
      <c r="G1043" s="40"/>
      <c r="H1043" s="40"/>
      <c r="I1043" s="40"/>
      <c r="J1043" s="40"/>
      <c r="K1043" s="40"/>
      <c r="L1043" s="40"/>
      <c r="M1043" s="40"/>
      <c r="T1043" s="13"/>
    </row>
    <row r="1044" spans="1:20" ht="409.5" customHeight="1"/>
    <row r="1045" spans="1:20" s="2" customFormat="1" ht="35.1" customHeight="1">
      <c r="A1045" s="126" t="s">
        <v>0</v>
      </c>
      <c r="B1045" s="126"/>
      <c r="C1045" s="1">
        <f>C987+1</f>
        <v>23</v>
      </c>
      <c r="G1045" s="3"/>
    </row>
    <row r="1046" spans="1:20" s="2" customFormat="1" ht="35.1" customHeight="1">
      <c r="A1046" s="126" t="s">
        <v>1</v>
      </c>
      <c r="B1046" s="126"/>
      <c r="C1046" s="2" t="s">
        <v>2</v>
      </c>
      <c r="D1046" s="2" t="s">
        <v>136</v>
      </c>
      <c r="E1046" s="2" t="s">
        <v>3</v>
      </c>
      <c r="F1046" s="2" t="s">
        <v>137</v>
      </c>
      <c r="G1046" s="3"/>
      <c r="H1046" s="127" t="s">
        <v>4</v>
      </c>
      <c r="I1046" s="128"/>
      <c r="J1046" s="129">
        <f>J988+1</f>
        <v>46010</v>
      </c>
      <c r="K1046" s="130"/>
      <c r="L1046" s="131">
        <f>J1046</f>
        <v>46010</v>
      </c>
      <c r="M1046" s="132"/>
    </row>
    <row r="1047" spans="1:20" s="2" customFormat="1" ht="30" customHeight="1">
      <c r="A1047" s="72" t="s">
        <v>5</v>
      </c>
      <c r="B1047" s="114"/>
      <c r="C1047" s="119" t="s">
        <v>83</v>
      </c>
      <c r="D1047" s="119"/>
      <c r="E1047" s="119"/>
      <c r="F1047" s="119"/>
      <c r="G1047" s="119"/>
      <c r="H1047" s="54" t="s">
        <v>6</v>
      </c>
      <c r="I1047" s="59"/>
      <c r="J1047" s="120"/>
      <c r="K1047" s="120"/>
      <c r="L1047" s="120"/>
      <c r="M1047" s="120"/>
    </row>
    <row r="1048" spans="1:20" s="1" customFormat="1" ht="30" customHeight="1">
      <c r="A1048" s="72" t="s">
        <v>7</v>
      </c>
      <c r="B1048" s="114"/>
      <c r="C1048" s="4">
        <v>50</v>
      </c>
      <c r="D1048" s="4" t="s">
        <v>8</v>
      </c>
      <c r="E1048" s="4" t="s">
        <v>9</v>
      </c>
      <c r="F1048" s="4">
        <f>F990+1</f>
        <v>23</v>
      </c>
      <c r="G1048" s="5" t="s">
        <v>8</v>
      </c>
      <c r="H1048" s="4" t="s">
        <v>10</v>
      </c>
      <c r="I1048" s="4">
        <f>C1048-F1048+L1048</f>
        <v>27</v>
      </c>
      <c r="J1048" s="4" t="s">
        <v>11</v>
      </c>
      <c r="K1048" s="6" t="s">
        <v>12</v>
      </c>
      <c r="L1048" s="7">
        <f>L990</f>
        <v>0</v>
      </c>
      <c r="M1048" s="4" t="s">
        <v>8</v>
      </c>
    </row>
    <row r="1049" spans="1:20" s="2" customFormat="1" ht="30" customHeight="1">
      <c r="A1049" s="72" t="s">
        <v>13</v>
      </c>
      <c r="B1049" s="75"/>
      <c r="C1049" s="75"/>
      <c r="D1049" s="121">
        <f>D991</f>
        <v>45988</v>
      </c>
      <c r="E1049" s="122"/>
      <c r="F1049" s="122"/>
      <c r="G1049" s="123"/>
      <c r="H1049" s="124" t="s">
        <v>14</v>
      </c>
      <c r="I1049" s="125"/>
      <c r="J1049" s="121">
        <f>J991</f>
        <v>46037</v>
      </c>
      <c r="K1049" s="122"/>
      <c r="L1049" s="122"/>
      <c r="M1049" s="123"/>
    </row>
    <row r="1050" spans="1:20" s="2" customFormat="1" ht="30" customHeight="1">
      <c r="A1050" s="72" t="s">
        <v>15</v>
      </c>
      <c r="B1050" s="114"/>
      <c r="C1050" s="114"/>
      <c r="D1050" s="72">
        <v>0.68700000000000006</v>
      </c>
      <c r="E1050" s="72"/>
      <c r="F1050" s="72"/>
      <c r="G1050" s="72"/>
      <c r="H1050" s="64" t="s">
        <v>16</v>
      </c>
      <c r="I1050" s="115"/>
      <c r="J1050" s="116">
        <f>P1066</f>
        <v>0.25</v>
      </c>
      <c r="K1050" s="117"/>
      <c r="L1050" s="117"/>
      <c r="M1050" s="118"/>
    </row>
    <row r="1051" spans="1:20" s="2" customFormat="1" ht="30" customHeight="1">
      <c r="A1051" s="72" t="s">
        <v>17</v>
      </c>
      <c r="B1051" s="114"/>
      <c r="C1051" s="114"/>
      <c r="D1051" s="72">
        <f>D1050+D993</f>
        <v>10.479999999999999</v>
      </c>
      <c r="E1051" s="72"/>
      <c r="F1051" s="72"/>
      <c r="G1051" s="72"/>
      <c r="H1051" s="64" t="s">
        <v>18</v>
      </c>
      <c r="I1051" s="115"/>
      <c r="J1051" s="116">
        <f>J1050+J993</f>
        <v>23.469999999999992</v>
      </c>
      <c r="K1051" s="117"/>
      <c r="L1051" s="117"/>
      <c r="M1051" s="118"/>
    </row>
    <row r="1052" spans="1:20" s="2" customFormat="1" ht="30" customHeight="1">
      <c r="A1052" s="111" t="s">
        <v>19</v>
      </c>
      <c r="B1052" s="112"/>
      <c r="C1052" s="112"/>
      <c r="D1052" s="112"/>
      <c r="E1052" s="112"/>
      <c r="F1052" s="112"/>
      <c r="G1052" s="112"/>
      <c r="H1052" s="112"/>
      <c r="I1052" s="112"/>
      <c r="J1052" s="112"/>
      <c r="K1052" s="112"/>
      <c r="L1052" s="112"/>
      <c r="M1052" s="113"/>
    </row>
    <row r="1053" spans="1:20" s="2" customFormat="1" ht="30" customHeight="1">
      <c r="A1053" s="8" t="s">
        <v>20</v>
      </c>
      <c r="B1053" s="72" t="s">
        <v>21</v>
      </c>
      <c r="C1053" s="72"/>
      <c r="D1053" s="72"/>
      <c r="E1053" s="4" t="s">
        <v>22</v>
      </c>
      <c r="F1053" s="54" t="s">
        <v>23</v>
      </c>
      <c r="G1053" s="59"/>
      <c r="H1053" s="72" t="s">
        <v>24</v>
      </c>
      <c r="I1053" s="72"/>
      <c r="J1053" s="72" t="s">
        <v>25</v>
      </c>
      <c r="K1053" s="72"/>
      <c r="L1053" s="72" t="s">
        <v>26</v>
      </c>
      <c r="M1053" s="72"/>
      <c r="O1053" s="1" t="s">
        <v>27</v>
      </c>
      <c r="P1053" s="1" t="s">
        <v>28</v>
      </c>
      <c r="T1053" s="2" t="s">
        <v>29</v>
      </c>
    </row>
    <row r="1054" spans="1:20" s="2" customFormat="1" ht="24.95" customHeight="1">
      <c r="A1054" s="9" t="s">
        <v>30</v>
      </c>
      <c r="B1054" s="110" t="s">
        <v>31</v>
      </c>
      <c r="C1054" s="110"/>
      <c r="D1054" s="110"/>
      <c r="E1054" s="4"/>
      <c r="F1054" s="54"/>
      <c r="G1054" s="59"/>
      <c r="H1054" s="72"/>
      <c r="I1054" s="72"/>
      <c r="J1054" s="72"/>
      <c r="K1054" s="72"/>
      <c r="L1054" s="72"/>
      <c r="M1054" s="72"/>
    </row>
    <row r="1055" spans="1:20" ht="24.95" customHeight="1">
      <c r="A1055" s="10">
        <v>1</v>
      </c>
      <c r="B1055" s="66" t="s">
        <v>91</v>
      </c>
      <c r="C1055" s="67" t="s">
        <v>91</v>
      </c>
      <c r="D1055" s="68" t="s">
        <v>91</v>
      </c>
      <c r="E1055" s="4" t="s">
        <v>32</v>
      </c>
      <c r="F1055" s="69">
        <v>1</v>
      </c>
      <c r="G1055" s="70"/>
      <c r="H1055" s="69"/>
      <c r="I1055" s="70"/>
      <c r="J1055" s="71">
        <f>H1055+J997</f>
        <v>1</v>
      </c>
      <c r="K1055" s="71"/>
      <c r="L1055" s="72"/>
      <c r="M1055" s="72"/>
      <c r="O1055" s="11">
        <v>4000</v>
      </c>
      <c r="P1055" s="11">
        <f>ROUND(H1055*O1055,0)</f>
        <v>0</v>
      </c>
      <c r="Q1055" s="12"/>
      <c r="S1055" s="11">
        <f>ROUND(J1055*O1055,0)</f>
        <v>4000</v>
      </c>
      <c r="T1055" s="13">
        <f>F1055-J1055</f>
        <v>0</v>
      </c>
    </row>
    <row r="1056" spans="1:20" ht="24.95" customHeight="1">
      <c r="A1056" s="10">
        <v>2</v>
      </c>
      <c r="B1056" s="66" t="s">
        <v>92</v>
      </c>
      <c r="C1056" s="67" t="s">
        <v>92</v>
      </c>
      <c r="D1056" s="68" t="s">
        <v>92</v>
      </c>
      <c r="E1056" s="4" t="s">
        <v>32</v>
      </c>
      <c r="F1056" s="69">
        <v>1</v>
      </c>
      <c r="G1056" s="70"/>
      <c r="H1056" s="69"/>
      <c r="I1056" s="70"/>
      <c r="J1056" s="71">
        <f t="shared" ref="J1056:J1063" si="122">H1056+J998</f>
        <v>1</v>
      </c>
      <c r="K1056" s="71"/>
      <c r="L1056" s="72"/>
      <c r="M1056" s="72"/>
      <c r="O1056" s="11">
        <v>14334</v>
      </c>
      <c r="P1056" s="11">
        <f t="shared" ref="P1056:P1063" si="123">ROUND(H1056*O1056,0)</f>
        <v>0</v>
      </c>
      <c r="Q1056" s="12"/>
      <c r="S1056" s="11">
        <f t="shared" ref="S1056:S1063" si="124">ROUND(J1056*O1056,0)</f>
        <v>14334</v>
      </c>
      <c r="T1056" s="13">
        <f t="shared" ref="T1056:T1063" si="125">F1056-J1056</f>
        <v>0</v>
      </c>
    </row>
    <row r="1057" spans="1:20" ht="24.95" customHeight="1">
      <c r="A1057" s="10">
        <v>3</v>
      </c>
      <c r="B1057" s="66" t="s">
        <v>84</v>
      </c>
      <c r="C1057" s="67" t="s">
        <v>84</v>
      </c>
      <c r="D1057" s="68" t="s">
        <v>84</v>
      </c>
      <c r="E1057" s="4" t="s">
        <v>33</v>
      </c>
      <c r="F1057" s="69">
        <v>1</v>
      </c>
      <c r="G1057" s="70"/>
      <c r="H1057" s="69"/>
      <c r="I1057" s="70"/>
      <c r="J1057" s="71">
        <f t="shared" si="122"/>
        <v>0.5</v>
      </c>
      <c r="K1057" s="71"/>
      <c r="L1057" s="72"/>
      <c r="M1057" s="72"/>
      <c r="O1057" s="11">
        <v>7000</v>
      </c>
      <c r="P1057" s="11">
        <f t="shared" si="123"/>
        <v>0</v>
      </c>
      <c r="Q1057" s="12"/>
      <c r="S1057" s="11">
        <f t="shared" si="124"/>
        <v>3500</v>
      </c>
      <c r="T1057" s="13">
        <f t="shared" si="125"/>
        <v>0.5</v>
      </c>
    </row>
    <row r="1058" spans="1:20" ht="24.95" customHeight="1">
      <c r="A1058" s="10">
        <v>4</v>
      </c>
      <c r="B1058" s="66" t="s">
        <v>85</v>
      </c>
      <c r="C1058" s="67" t="s">
        <v>85</v>
      </c>
      <c r="D1058" s="68" t="s">
        <v>85</v>
      </c>
      <c r="E1058" s="4" t="s">
        <v>34</v>
      </c>
      <c r="F1058" s="69">
        <v>1</v>
      </c>
      <c r="G1058" s="70"/>
      <c r="H1058" s="69"/>
      <c r="I1058" s="70"/>
      <c r="J1058" s="71">
        <f t="shared" si="122"/>
        <v>1</v>
      </c>
      <c r="K1058" s="71"/>
      <c r="L1058" s="72"/>
      <c r="M1058" s="72"/>
      <c r="O1058" s="11">
        <v>74000</v>
      </c>
      <c r="P1058" s="11">
        <f t="shared" si="123"/>
        <v>0</v>
      </c>
      <c r="Q1058" s="12"/>
      <c r="S1058" s="11">
        <f t="shared" si="124"/>
        <v>74000</v>
      </c>
      <c r="T1058" s="13">
        <f t="shared" si="125"/>
        <v>0</v>
      </c>
    </row>
    <row r="1059" spans="1:20" ht="24.95" customHeight="1">
      <c r="A1059" s="10">
        <v>5</v>
      </c>
      <c r="B1059" s="66" t="s">
        <v>86</v>
      </c>
      <c r="C1059" s="67" t="s">
        <v>86</v>
      </c>
      <c r="D1059" s="68" t="s">
        <v>86</v>
      </c>
      <c r="E1059" s="4" t="s">
        <v>93</v>
      </c>
      <c r="F1059" s="69">
        <v>396</v>
      </c>
      <c r="G1059" s="70"/>
      <c r="H1059" s="69"/>
      <c r="I1059" s="70"/>
      <c r="J1059" s="71">
        <f t="shared" si="122"/>
        <v>350</v>
      </c>
      <c r="K1059" s="71"/>
      <c r="L1059" s="72"/>
      <c r="M1059" s="72"/>
      <c r="O1059" s="11">
        <v>200</v>
      </c>
      <c r="P1059" s="11">
        <f t="shared" si="123"/>
        <v>0</v>
      </c>
      <c r="Q1059" s="12"/>
      <c r="S1059" s="11">
        <f t="shared" si="124"/>
        <v>70000</v>
      </c>
      <c r="T1059" s="13">
        <f t="shared" si="125"/>
        <v>46</v>
      </c>
    </row>
    <row r="1060" spans="1:20" ht="24.95" customHeight="1">
      <c r="A1060" s="10">
        <v>6</v>
      </c>
      <c r="B1060" s="66" t="s">
        <v>140</v>
      </c>
      <c r="C1060" s="67" t="s">
        <v>87</v>
      </c>
      <c r="D1060" s="68" t="s">
        <v>87</v>
      </c>
      <c r="E1060" s="4" t="s">
        <v>35</v>
      </c>
      <c r="F1060" s="69">
        <v>80</v>
      </c>
      <c r="G1060" s="70">
        <v>183.6</v>
      </c>
      <c r="H1060" s="69">
        <v>2</v>
      </c>
      <c r="I1060" s="70"/>
      <c r="J1060" s="71">
        <f t="shared" si="122"/>
        <v>72</v>
      </c>
      <c r="K1060" s="71"/>
      <c r="L1060" s="54"/>
      <c r="M1060" s="59"/>
      <c r="O1060" s="11">
        <v>1463</v>
      </c>
      <c r="P1060" s="11">
        <f t="shared" si="123"/>
        <v>2926</v>
      </c>
      <c r="S1060" s="11">
        <f t="shared" si="124"/>
        <v>105336</v>
      </c>
      <c r="T1060" s="13">
        <f t="shared" si="125"/>
        <v>8</v>
      </c>
    </row>
    <row r="1061" spans="1:20" ht="24.95" customHeight="1">
      <c r="A1061" s="10">
        <v>7</v>
      </c>
      <c r="B1061" s="66" t="s">
        <v>88</v>
      </c>
      <c r="C1061" s="67" t="s">
        <v>88</v>
      </c>
      <c r="D1061" s="68" t="s">
        <v>88</v>
      </c>
      <c r="E1061" s="4" t="s">
        <v>94</v>
      </c>
      <c r="F1061" s="69">
        <v>126</v>
      </c>
      <c r="G1061" s="70">
        <v>19</v>
      </c>
      <c r="H1061" s="69"/>
      <c r="I1061" s="70"/>
      <c r="J1061" s="71">
        <f t="shared" si="122"/>
        <v>0</v>
      </c>
      <c r="K1061" s="71"/>
      <c r="L1061" s="54"/>
      <c r="M1061" s="59"/>
      <c r="O1061" s="11">
        <v>6350</v>
      </c>
      <c r="P1061" s="11">
        <f t="shared" si="123"/>
        <v>0</v>
      </c>
      <c r="S1061" s="11">
        <f t="shared" si="124"/>
        <v>0</v>
      </c>
      <c r="T1061" s="13">
        <f t="shared" si="125"/>
        <v>126</v>
      </c>
    </row>
    <row r="1062" spans="1:20" ht="24.95" customHeight="1">
      <c r="A1062" s="10">
        <v>8</v>
      </c>
      <c r="B1062" s="66" t="s">
        <v>89</v>
      </c>
      <c r="C1062" s="67" t="s">
        <v>89</v>
      </c>
      <c r="D1062" s="68" t="s">
        <v>89</v>
      </c>
      <c r="E1062" s="4" t="s">
        <v>95</v>
      </c>
      <c r="F1062" s="69">
        <v>1</v>
      </c>
      <c r="G1062" s="70">
        <v>1192</v>
      </c>
      <c r="H1062" s="69"/>
      <c r="I1062" s="70"/>
      <c r="J1062" s="71">
        <f t="shared" si="122"/>
        <v>0</v>
      </c>
      <c r="K1062" s="71"/>
      <c r="L1062" s="54"/>
      <c r="M1062" s="59"/>
      <c r="O1062" s="11">
        <v>47600</v>
      </c>
      <c r="P1062" s="11">
        <f t="shared" si="123"/>
        <v>0</v>
      </c>
      <c r="S1062" s="11">
        <f t="shared" si="124"/>
        <v>0</v>
      </c>
      <c r="T1062" s="13">
        <f t="shared" si="125"/>
        <v>1</v>
      </c>
    </row>
    <row r="1063" spans="1:20" ht="24.95" customHeight="1">
      <c r="A1063" s="10">
        <v>9</v>
      </c>
      <c r="B1063" s="66" t="s">
        <v>90</v>
      </c>
      <c r="C1063" s="67" t="s">
        <v>90</v>
      </c>
      <c r="D1063" s="68" t="s">
        <v>90</v>
      </c>
      <c r="E1063" s="4" t="s">
        <v>96</v>
      </c>
      <c r="F1063" s="69">
        <v>1</v>
      </c>
      <c r="G1063" s="70">
        <v>1261</v>
      </c>
      <c r="H1063" s="69"/>
      <c r="I1063" s="70"/>
      <c r="J1063" s="71">
        <f t="shared" si="122"/>
        <v>0</v>
      </c>
      <c r="K1063" s="71"/>
      <c r="L1063" s="54"/>
      <c r="M1063" s="59"/>
      <c r="O1063" s="11">
        <v>10000</v>
      </c>
      <c r="P1063" s="11">
        <f t="shared" si="123"/>
        <v>0</v>
      </c>
      <c r="S1063" s="11">
        <f t="shared" si="124"/>
        <v>0</v>
      </c>
      <c r="T1063" s="13">
        <f t="shared" si="125"/>
        <v>1</v>
      </c>
    </row>
    <row r="1064" spans="1:20" ht="24.95" customHeight="1">
      <c r="A1064" s="14"/>
      <c r="B1064" s="15"/>
      <c r="C1064" s="16"/>
      <c r="D1064" s="17"/>
      <c r="E1064" s="4"/>
      <c r="F1064" s="18"/>
      <c r="G1064" s="19"/>
      <c r="H1064" s="105"/>
      <c r="I1064" s="106"/>
      <c r="J1064" s="105"/>
      <c r="K1064" s="106"/>
      <c r="L1064" s="54"/>
      <c r="M1064" s="59"/>
      <c r="N1064" s="20"/>
      <c r="P1064" s="21" t="s">
        <v>37</v>
      </c>
      <c r="Q1064" s="22">
        <f>SUM(P1055:P1063)</f>
        <v>2926</v>
      </c>
      <c r="R1064" s="23"/>
      <c r="S1064" s="24">
        <f>SUM(S1055:S1063)</f>
        <v>271170</v>
      </c>
      <c r="T1064" s="13"/>
    </row>
    <row r="1065" spans="1:20" ht="24.95" customHeight="1">
      <c r="A1065" s="107"/>
      <c r="B1065" s="108"/>
      <c r="C1065" s="108"/>
      <c r="D1065" s="109"/>
      <c r="E1065" s="4"/>
      <c r="F1065" s="54"/>
      <c r="G1065" s="59"/>
      <c r="H1065" s="72"/>
      <c r="I1065" s="72"/>
      <c r="J1065" s="72"/>
      <c r="K1065" s="72"/>
      <c r="L1065" s="72"/>
      <c r="M1065" s="72"/>
      <c r="O1065" t="s">
        <v>38</v>
      </c>
      <c r="P1065" s="24">
        <f>Q1064</f>
        <v>2926</v>
      </c>
      <c r="T1065" s="13"/>
    </row>
    <row r="1066" spans="1:20" ht="24.95" customHeight="1">
      <c r="A1066" s="97"/>
      <c r="B1066" s="98"/>
      <c r="C1066" s="98"/>
      <c r="D1066" s="99"/>
      <c r="E1066" s="4"/>
      <c r="F1066" s="54"/>
      <c r="G1066" s="59"/>
      <c r="H1066" s="72"/>
      <c r="I1066" s="72"/>
      <c r="J1066" s="72"/>
      <c r="K1066" s="72"/>
      <c r="L1066" s="72"/>
      <c r="M1066" s="72"/>
      <c r="O1066" t="s">
        <v>39</v>
      </c>
      <c r="P1066" s="23">
        <f>ROUND(P1065/1153274,4)*100</f>
        <v>0.25</v>
      </c>
      <c r="T1066" s="13"/>
    </row>
    <row r="1067" spans="1:20" ht="24.95" customHeight="1">
      <c r="A1067" s="25"/>
      <c r="B1067" s="63" t="s">
        <v>40</v>
      </c>
      <c r="C1067" s="63"/>
      <c r="D1067" s="59"/>
      <c r="E1067" s="26"/>
      <c r="F1067" s="100"/>
      <c r="G1067" s="101"/>
      <c r="H1067" s="100"/>
      <c r="I1067" s="101"/>
      <c r="J1067" s="102"/>
      <c r="K1067" s="102"/>
      <c r="L1067" s="103">
        <f>P1065</f>
        <v>2926</v>
      </c>
      <c r="M1067" s="104"/>
      <c r="T1067" s="13"/>
    </row>
    <row r="1068" spans="1:20" ht="24.95" customHeight="1" thickBot="1">
      <c r="A1068" s="27"/>
      <c r="B1068" s="85" t="s">
        <v>41</v>
      </c>
      <c r="C1068" s="85"/>
      <c r="D1068" s="86"/>
      <c r="E1068" s="28"/>
      <c r="F1068" s="87"/>
      <c r="G1068" s="88"/>
      <c r="H1068" s="87"/>
      <c r="I1068" s="88"/>
      <c r="J1068" s="87"/>
      <c r="K1068" s="88"/>
      <c r="L1068" s="89">
        <f>L1067+L1010</f>
        <v>271170</v>
      </c>
      <c r="M1068" s="90"/>
      <c r="T1068" s="13"/>
    </row>
    <row r="1069" spans="1:20" ht="24.95" customHeight="1">
      <c r="A1069" s="29"/>
      <c r="B1069" s="91" t="s">
        <v>42</v>
      </c>
      <c r="C1069" s="91"/>
      <c r="D1069" s="92"/>
      <c r="E1069" s="30"/>
      <c r="F1069" s="93"/>
      <c r="G1069" s="94"/>
      <c r="H1069" s="95"/>
      <c r="I1069" s="95"/>
      <c r="J1069" s="95"/>
      <c r="K1069" s="95"/>
      <c r="L1069" s="95"/>
      <c r="M1069" s="96"/>
      <c r="T1069" s="13"/>
    </row>
    <row r="1070" spans="1:20" ht="24.95" customHeight="1">
      <c r="A1070" s="31"/>
      <c r="B1070" s="76" t="s">
        <v>43</v>
      </c>
      <c r="C1070" s="76"/>
      <c r="D1070" s="77"/>
      <c r="E1070" s="4"/>
      <c r="F1070" s="54"/>
      <c r="G1070" s="59"/>
      <c r="H1070" s="72"/>
      <c r="I1070" s="72"/>
      <c r="J1070" s="72"/>
      <c r="K1070" s="72"/>
      <c r="L1070" s="72"/>
      <c r="M1070" s="78"/>
      <c r="T1070" s="13"/>
    </row>
    <row r="1071" spans="1:20" ht="24.95" customHeight="1" thickBot="1">
      <c r="A1071" s="32"/>
      <c r="B1071" s="79" t="s">
        <v>44</v>
      </c>
      <c r="C1071" s="79"/>
      <c r="D1071" s="80"/>
      <c r="E1071" s="33"/>
      <c r="F1071" s="81"/>
      <c r="G1071" s="82"/>
      <c r="H1071" s="83"/>
      <c r="I1071" s="83"/>
      <c r="J1071" s="83"/>
      <c r="K1071" s="83"/>
      <c r="L1071" s="83"/>
      <c r="M1071" s="84"/>
      <c r="T1071" s="13"/>
    </row>
    <row r="1072" spans="1:20" ht="24.95" customHeight="1">
      <c r="A1072" s="73" t="s">
        <v>45</v>
      </c>
      <c r="B1072" s="74"/>
      <c r="C1072" s="74"/>
      <c r="D1072" s="74"/>
      <c r="E1072" s="74"/>
      <c r="F1072" s="74"/>
      <c r="G1072" s="74"/>
      <c r="H1072" s="74"/>
      <c r="I1072" s="74"/>
      <c r="J1072" s="74"/>
      <c r="K1072" s="74"/>
      <c r="L1072" s="74"/>
      <c r="M1072" s="74"/>
      <c r="T1072" s="13"/>
    </row>
    <row r="1073" spans="1:20" ht="24.95" customHeight="1">
      <c r="A1073" s="72" t="s">
        <v>46</v>
      </c>
      <c r="B1073" s="75"/>
      <c r="C1073" s="75"/>
      <c r="D1073" s="75"/>
      <c r="E1073" s="4" t="s">
        <v>22</v>
      </c>
      <c r="F1073" s="72" t="s">
        <v>47</v>
      </c>
      <c r="G1073" s="72"/>
      <c r="H1073" s="72" t="s">
        <v>48</v>
      </c>
      <c r="I1073" s="72"/>
      <c r="J1073" s="72" t="s">
        <v>49</v>
      </c>
      <c r="K1073" s="72"/>
      <c r="L1073" s="72" t="s">
        <v>50</v>
      </c>
      <c r="M1073" s="72"/>
      <c r="T1073" s="13"/>
    </row>
    <row r="1074" spans="1:20" ht="24.95" customHeight="1">
      <c r="A1074" s="10">
        <v>6</v>
      </c>
      <c r="B1074" s="66" t="s">
        <v>97</v>
      </c>
      <c r="C1074" s="67" t="s">
        <v>51</v>
      </c>
      <c r="D1074" s="68" t="s">
        <v>51</v>
      </c>
      <c r="E1074" s="4" t="s">
        <v>35</v>
      </c>
      <c r="F1074" s="69">
        <v>80</v>
      </c>
      <c r="G1074" s="70">
        <v>1261</v>
      </c>
      <c r="H1074" s="71">
        <f>H1060</f>
        <v>2</v>
      </c>
      <c r="I1074" s="71"/>
      <c r="J1074" s="71">
        <f>H1074+J1016</f>
        <v>72</v>
      </c>
      <c r="K1074" s="71"/>
      <c r="L1074" s="72"/>
      <c r="M1074" s="72"/>
      <c r="T1074" s="13"/>
    </row>
    <row r="1075" spans="1:20" ht="24.95" customHeight="1">
      <c r="A1075" s="10">
        <v>7</v>
      </c>
      <c r="B1075" s="66" t="s">
        <v>88</v>
      </c>
      <c r="C1075" s="67" t="s">
        <v>88</v>
      </c>
      <c r="D1075" s="68" t="s">
        <v>88</v>
      </c>
      <c r="E1075" s="4" t="s">
        <v>98</v>
      </c>
      <c r="F1075" s="69">
        <v>126</v>
      </c>
      <c r="G1075" s="70"/>
      <c r="H1075" s="71">
        <f>H1061</f>
        <v>0</v>
      </c>
      <c r="I1075" s="71"/>
      <c r="J1075" s="71">
        <f t="shared" ref="J1075:J1076" si="126">H1075+J1017</f>
        <v>0</v>
      </c>
      <c r="K1075" s="71"/>
      <c r="L1075" s="72"/>
      <c r="M1075" s="72"/>
      <c r="T1075" s="13"/>
    </row>
    <row r="1076" spans="1:20" ht="24.95" customHeight="1">
      <c r="A1076" s="10">
        <v>8</v>
      </c>
      <c r="B1076" s="66" t="s">
        <v>89</v>
      </c>
      <c r="C1076" s="67" t="s">
        <v>89</v>
      </c>
      <c r="D1076" s="68" t="s">
        <v>89</v>
      </c>
      <c r="E1076" s="4" t="s">
        <v>36</v>
      </c>
      <c r="F1076" s="69">
        <v>1</v>
      </c>
      <c r="G1076" s="70"/>
      <c r="H1076" s="71">
        <f>H1062</f>
        <v>0</v>
      </c>
      <c r="I1076" s="71"/>
      <c r="J1076" s="71">
        <f t="shared" si="126"/>
        <v>0</v>
      </c>
      <c r="K1076" s="71"/>
      <c r="L1076" s="72"/>
      <c r="M1076" s="72"/>
      <c r="T1076" s="13"/>
    </row>
    <row r="1077" spans="1:20" ht="24.95" customHeight="1">
      <c r="A1077" s="51" t="s">
        <v>52</v>
      </c>
      <c r="B1077" s="52"/>
      <c r="C1077" s="52"/>
      <c r="D1077" s="52"/>
      <c r="E1077" s="52"/>
      <c r="F1077" s="52"/>
      <c r="G1077" s="52"/>
      <c r="H1077" s="52"/>
      <c r="I1077" s="52"/>
      <c r="J1077" s="52"/>
      <c r="K1077" s="52"/>
      <c r="L1077" s="52"/>
      <c r="M1077" s="53"/>
      <c r="T1077" s="13"/>
    </row>
    <row r="1078" spans="1:20" ht="24.95" customHeight="1">
      <c r="A1078" s="54" t="s">
        <v>53</v>
      </c>
      <c r="B1078" s="63"/>
      <c r="C1078" s="63"/>
      <c r="D1078" s="59"/>
      <c r="E1078" s="4" t="s">
        <v>54</v>
      </c>
      <c r="F1078" s="54" t="s">
        <v>55</v>
      </c>
      <c r="G1078" s="59"/>
      <c r="H1078" s="54" t="s">
        <v>56</v>
      </c>
      <c r="I1078" s="59"/>
      <c r="J1078" s="54" t="s">
        <v>48</v>
      </c>
      <c r="K1078" s="59"/>
      <c r="L1078" s="64" t="s">
        <v>49</v>
      </c>
      <c r="M1078" s="65"/>
      <c r="T1078" s="13"/>
    </row>
    <row r="1079" spans="1:20" ht="24.95" customHeight="1">
      <c r="A1079" s="54" t="s">
        <v>57</v>
      </c>
      <c r="B1079" s="55"/>
      <c r="C1079" s="55"/>
      <c r="D1079" s="56"/>
      <c r="E1079" s="4">
        <v>2</v>
      </c>
      <c r="F1079" s="57">
        <f>E1079+F1021</f>
        <v>28</v>
      </c>
      <c r="G1079" s="58"/>
      <c r="H1079" s="54" t="s">
        <v>58</v>
      </c>
      <c r="I1079" s="59"/>
      <c r="J1079" s="54">
        <v>1</v>
      </c>
      <c r="K1079" s="59"/>
      <c r="L1079" s="57">
        <f>J1079+L1021</f>
        <v>13</v>
      </c>
      <c r="M1079" s="58"/>
      <c r="T1079" s="13"/>
    </row>
    <row r="1080" spans="1:20" ht="24.95" customHeight="1">
      <c r="A1080" s="54" t="s">
        <v>59</v>
      </c>
      <c r="B1080" s="55"/>
      <c r="C1080" s="55"/>
      <c r="D1080" s="56"/>
      <c r="E1080" s="4"/>
      <c r="F1080" s="57">
        <f t="shared" ref="F1080:F1082" si="127">E1080+F1022</f>
        <v>0</v>
      </c>
      <c r="G1080" s="58"/>
      <c r="H1080" s="54" t="s">
        <v>60</v>
      </c>
      <c r="I1080" s="59"/>
      <c r="J1080" s="54"/>
      <c r="K1080" s="59"/>
      <c r="L1080" s="57">
        <f t="shared" ref="L1080:L1082" si="128">J1080+L1022</f>
        <v>0</v>
      </c>
      <c r="M1080" s="58"/>
      <c r="T1080" s="13"/>
    </row>
    <row r="1081" spans="1:20" ht="24.95" customHeight="1">
      <c r="A1081" s="54" t="s">
        <v>61</v>
      </c>
      <c r="B1081" s="55"/>
      <c r="C1081" s="55"/>
      <c r="D1081" s="56"/>
      <c r="E1081" s="4"/>
      <c r="F1081" s="57">
        <f t="shared" si="127"/>
        <v>0</v>
      </c>
      <c r="G1081" s="58"/>
      <c r="H1081" s="54" t="s">
        <v>62</v>
      </c>
      <c r="I1081" s="59"/>
      <c r="J1081" s="54"/>
      <c r="K1081" s="59"/>
      <c r="L1081" s="57">
        <f t="shared" si="128"/>
        <v>4</v>
      </c>
      <c r="M1081" s="58"/>
      <c r="T1081" s="13"/>
    </row>
    <row r="1082" spans="1:20" ht="24.95" customHeight="1">
      <c r="A1082" s="54" t="s">
        <v>63</v>
      </c>
      <c r="B1082" s="55"/>
      <c r="C1082" s="55"/>
      <c r="D1082" s="56"/>
      <c r="E1082" s="4"/>
      <c r="F1082" s="57">
        <f t="shared" si="127"/>
        <v>2</v>
      </c>
      <c r="G1082" s="58"/>
      <c r="H1082" s="54" t="s">
        <v>64</v>
      </c>
      <c r="I1082" s="59"/>
      <c r="J1082" s="54"/>
      <c r="K1082" s="59"/>
      <c r="L1082" s="57">
        <f t="shared" si="128"/>
        <v>1</v>
      </c>
      <c r="M1082" s="58"/>
      <c r="T1082" s="13"/>
    </row>
    <row r="1083" spans="1:20" ht="64.5" customHeight="1">
      <c r="A1083" s="60" t="s">
        <v>65</v>
      </c>
      <c r="B1083" s="61"/>
      <c r="C1083" s="61"/>
      <c r="D1083" s="61"/>
      <c r="E1083" s="61"/>
      <c r="F1083" s="61"/>
      <c r="G1083" s="61"/>
      <c r="H1083" s="61"/>
      <c r="I1083" s="61"/>
      <c r="J1083" s="61"/>
      <c r="K1083" s="61"/>
      <c r="L1083" s="61"/>
      <c r="M1083" s="62"/>
      <c r="T1083" s="13"/>
    </row>
    <row r="1084" spans="1:20" ht="24.95" customHeight="1">
      <c r="A1084" s="46" t="s">
        <v>66</v>
      </c>
      <c r="B1084" s="47"/>
      <c r="C1084" s="47"/>
      <c r="D1084" s="47"/>
      <c r="E1084" s="47"/>
      <c r="F1084" s="47"/>
      <c r="G1084" s="47"/>
      <c r="H1084" s="47"/>
      <c r="I1084" s="47"/>
      <c r="J1084" s="47"/>
      <c r="K1084" s="47"/>
      <c r="L1084" s="47"/>
      <c r="M1084" s="48"/>
      <c r="T1084" s="13"/>
    </row>
    <row r="1085" spans="1:20" ht="24.95" customHeight="1">
      <c r="A1085" s="27"/>
      <c r="B1085" s="34" t="s">
        <v>67</v>
      </c>
      <c r="C1085" s="34"/>
      <c r="D1085" s="34"/>
      <c r="E1085" s="34"/>
      <c r="F1085" s="34"/>
      <c r="G1085" s="35"/>
      <c r="H1085" s="34"/>
      <c r="I1085" s="34"/>
      <c r="J1085" s="34"/>
      <c r="K1085" s="34"/>
      <c r="L1085" s="34"/>
      <c r="M1085" s="36"/>
      <c r="T1085" s="13"/>
    </row>
    <row r="1086" spans="1:20" ht="24.95" customHeight="1">
      <c r="A1086" s="27"/>
      <c r="B1086" s="34" t="s">
        <v>81</v>
      </c>
      <c r="C1086" s="34"/>
      <c r="D1086" s="34"/>
      <c r="E1086" s="34"/>
      <c r="F1086" s="34"/>
      <c r="G1086" s="35"/>
      <c r="H1086" s="34"/>
      <c r="I1086" s="34"/>
      <c r="J1086" s="34"/>
      <c r="K1086" s="34"/>
      <c r="L1086" s="34"/>
      <c r="M1086" s="36"/>
      <c r="T1086" s="13"/>
    </row>
    <row r="1087" spans="1:20" ht="24.95" customHeight="1">
      <c r="A1087" s="27"/>
      <c r="B1087" s="34" t="s">
        <v>68</v>
      </c>
      <c r="C1087" s="34"/>
      <c r="D1087" s="34"/>
      <c r="E1087" s="34"/>
      <c r="F1087" s="34"/>
      <c r="G1087" s="35"/>
      <c r="H1087" s="34"/>
      <c r="I1087" s="34"/>
      <c r="J1087" s="34"/>
      <c r="K1087" s="34"/>
      <c r="L1087" s="34"/>
      <c r="M1087" s="36"/>
      <c r="T1087" s="13"/>
    </row>
    <row r="1088" spans="1:20" ht="24.95" customHeight="1">
      <c r="A1088" s="27"/>
      <c r="B1088" s="34" t="s">
        <v>82</v>
      </c>
      <c r="C1088" s="34"/>
      <c r="D1088" s="34"/>
      <c r="E1088" s="34"/>
      <c r="F1088" s="34"/>
      <c r="G1088" s="35"/>
      <c r="H1088" s="34"/>
      <c r="I1088" s="34"/>
      <c r="J1088" s="34"/>
      <c r="K1088" s="34"/>
      <c r="L1088" s="34"/>
      <c r="M1088" s="36"/>
      <c r="T1088" s="13"/>
    </row>
    <row r="1089" spans="1:20" ht="24.95" customHeight="1">
      <c r="A1089" s="27"/>
      <c r="B1089" s="34" t="s">
        <v>99</v>
      </c>
      <c r="C1089" s="34"/>
      <c r="D1089" s="34"/>
      <c r="E1089" s="34"/>
      <c r="F1089" s="34"/>
      <c r="G1089" s="35"/>
      <c r="H1089" s="34"/>
      <c r="I1089" s="34"/>
      <c r="J1089" s="34"/>
      <c r="K1089" s="34"/>
      <c r="L1089" s="34"/>
      <c r="M1089" s="36"/>
      <c r="T1089" s="13"/>
    </row>
    <row r="1090" spans="1:20" ht="24.95" customHeight="1">
      <c r="A1090" s="37"/>
      <c r="B1090" s="49" t="s">
        <v>69</v>
      </c>
      <c r="C1090" s="49"/>
      <c r="D1090" s="49"/>
      <c r="E1090" s="49"/>
      <c r="F1090" s="49"/>
      <c r="G1090" s="49"/>
      <c r="H1090" s="49"/>
      <c r="I1090" s="49"/>
      <c r="J1090" s="49"/>
      <c r="K1090" s="49"/>
      <c r="L1090" s="49"/>
      <c r="M1090" s="50"/>
      <c r="T1090" s="13"/>
    </row>
    <row r="1091" spans="1:20" ht="44.25" customHeight="1">
      <c r="A1091" s="51" t="s">
        <v>70</v>
      </c>
      <c r="B1091" s="52"/>
      <c r="C1091" s="52"/>
      <c r="D1091" s="52"/>
      <c r="E1091" s="52"/>
      <c r="F1091" s="52"/>
      <c r="G1091" s="52"/>
      <c r="H1091" s="52"/>
      <c r="I1091" s="52"/>
      <c r="J1091" s="52"/>
      <c r="K1091" s="52"/>
      <c r="L1091" s="52"/>
      <c r="M1091" s="53"/>
      <c r="T1091" s="13"/>
    </row>
    <row r="1092" spans="1:20" ht="48" customHeight="1">
      <c r="A1092" s="51" t="s">
        <v>71</v>
      </c>
      <c r="B1092" s="52"/>
      <c r="C1092" s="52"/>
      <c r="D1092" s="52"/>
      <c r="E1092" s="52"/>
      <c r="F1092" s="52"/>
      <c r="G1092" s="52"/>
      <c r="H1092" s="52"/>
      <c r="I1092" s="52"/>
      <c r="J1092" s="52"/>
      <c r="K1092" s="52"/>
      <c r="L1092" s="52"/>
      <c r="M1092" s="53"/>
      <c r="T1092" s="13"/>
    </row>
    <row r="1093" spans="1:20" ht="81" customHeight="1">
      <c r="A1093" s="51" t="s">
        <v>122</v>
      </c>
      <c r="B1093" s="52"/>
      <c r="C1093" s="52"/>
      <c r="D1093" s="52"/>
      <c r="E1093" s="52"/>
      <c r="F1093" s="52"/>
      <c r="G1093" s="52"/>
      <c r="H1093" s="52"/>
      <c r="I1093" s="52"/>
      <c r="J1093" s="52"/>
      <c r="K1093" s="52"/>
      <c r="L1093" s="52"/>
      <c r="M1093" s="53"/>
      <c r="T1093" s="13"/>
    </row>
    <row r="1094" spans="1:20" ht="100.5" customHeight="1">
      <c r="A1094" s="51" t="s">
        <v>72</v>
      </c>
      <c r="B1094" s="52"/>
      <c r="C1094" s="52"/>
      <c r="D1094" s="52"/>
      <c r="E1094" s="52"/>
      <c r="F1094" s="52"/>
      <c r="G1094" s="52"/>
      <c r="H1094" s="52"/>
      <c r="I1094" s="52"/>
      <c r="J1094" s="52"/>
      <c r="K1094" s="52"/>
      <c r="L1094" s="52"/>
      <c r="M1094" s="53"/>
      <c r="T1094" s="13"/>
    </row>
    <row r="1095" spans="1:20" ht="12" customHeight="1">
      <c r="A1095" s="41" t="s">
        <v>73</v>
      </c>
      <c r="B1095" s="41"/>
      <c r="C1095" s="42"/>
      <c r="D1095" s="42"/>
      <c r="E1095" s="42"/>
      <c r="F1095" s="42"/>
      <c r="G1095" s="42"/>
      <c r="H1095" s="42"/>
      <c r="I1095" s="42"/>
      <c r="J1095" s="42"/>
      <c r="K1095" s="42"/>
      <c r="L1095" s="42"/>
      <c r="M1095" s="38"/>
      <c r="T1095" s="13"/>
    </row>
    <row r="1096" spans="1:20" ht="12" customHeight="1">
      <c r="A1096" s="43" t="s">
        <v>74</v>
      </c>
      <c r="B1096" s="43"/>
      <c r="C1096" s="40"/>
      <c r="D1096" s="40"/>
      <c r="E1096" s="40"/>
      <c r="F1096" s="40"/>
      <c r="G1096" s="40"/>
      <c r="H1096" s="40"/>
      <c r="I1096" s="40"/>
      <c r="J1096" s="40"/>
      <c r="K1096" s="40"/>
      <c r="L1096" s="38"/>
      <c r="M1096" s="38"/>
      <c r="T1096" s="13"/>
    </row>
    <row r="1097" spans="1:20" ht="12" customHeight="1">
      <c r="A1097" s="44" t="s">
        <v>75</v>
      </c>
      <c r="B1097" s="44"/>
      <c r="C1097" s="44"/>
      <c r="D1097" s="44"/>
      <c r="E1097" s="44"/>
      <c r="F1097" s="44"/>
      <c r="G1097" s="44"/>
      <c r="H1097" s="44"/>
      <c r="I1097" s="44"/>
      <c r="J1097" s="44"/>
      <c r="K1097" s="44"/>
      <c r="L1097" s="44"/>
      <c r="M1097" s="44"/>
      <c r="T1097" s="13"/>
    </row>
    <row r="1098" spans="1:20" ht="12" customHeight="1">
      <c r="A1098" s="39" t="s">
        <v>76</v>
      </c>
      <c r="B1098" s="39"/>
      <c r="C1098" s="39"/>
      <c r="D1098" s="39"/>
      <c r="E1098" s="39"/>
      <c r="F1098" s="39"/>
      <c r="G1098" s="39"/>
      <c r="H1098" s="39"/>
      <c r="I1098" s="39"/>
      <c r="J1098" s="39"/>
      <c r="K1098" s="39"/>
      <c r="L1098" s="39"/>
      <c r="M1098" s="39"/>
      <c r="T1098" s="13"/>
    </row>
    <row r="1099" spans="1:20" ht="12" customHeight="1">
      <c r="A1099" s="39" t="s">
        <v>77</v>
      </c>
      <c r="B1099" s="40"/>
      <c r="C1099" s="40"/>
      <c r="D1099" s="40"/>
      <c r="E1099" s="40"/>
      <c r="F1099" s="40"/>
      <c r="G1099" s="40"/>
      <c r="H1099" s="40"/>
      <c r="I1099" s="40"/>
      <c r="J1099" s="40"/>
      <c r="K1099" s="40"/>
      <c r="L1099" s="40"/>
      <c r="M1099" s="40"/>
      <c r="T1099" s="13"/>
    </row>
    <row r="1100" spans="1:20" ht="12" customHeight="1">
      <c r="A1100" s="45" t="s">
        <v>78</v>
      </c>
      <c r="B1100" s="40"/>
      <c r="C1100" s="40"/>
      <c r="D1100" s="40"/>
      <c r="E1100" s="40"/>
      <c r="F1100" s="40"/>
      <c r="G1100" s="40"/>
      <c r="H1100" s="40"/>
      <c r="I1100" s="40"/>
      <c r="J1100" s="40"/>
      <c r="K1100" s="40"/>
      <c r="L1100" s="40"/>
      <c r="M1100" s="40"/>
      <c r="T1100" s="13"/>
    </row>
    <row r="1101" spans="1:20" ht="12" customHeight="1">
      <c r="A1101" s="39" t="s">
        <v>79</v>
      </c>
      <c r="B1101" s="40"/>
      <c r="C1101" s="40"/>
      <c r="D1101" s="40"/>
      <c r="E1101" s="40"/>
      <c r="F1101" s="40"/>
      <c r="G1101" s="40"/>
      <c r="H1101" s="40"/>
      <c r="I1101" s="40"/>
      <c r="J1101" s="40"/>
      <c r="K1101" s="40"/>
      <c r="L1101" s="40"/>
      <c r="M1101" s="40"/>
      <c r="T1101" s="13"/>
    </row>
    <row r="1102" spans="1:20" ht="409.5" customHeight="1"/>
    <row r="1103" spans="1:20" s="2" customFormat="1" ht="35.1" customHeight="1">
      <c r="A1103" s="126" t="s">
        <v>0</v>
      </c>
      <c r="B1103" s="126"/>
      <c r="C1103" s="1">
        <f>C1045+1</f>
        <v>24</v>
      </c>
      <c r="G1103" s="3"/>
    </row>
    <row r="1104" spans="1:20" s="2" customFormat="1" ht="35.1" customHeight="1">
      <c r="A1104" s="126" t="s">
        <v>1</v>
      </c>
      <c r="B1104" s="126"/>
      <c r="C1104" s="2" t="s">
        <v>2</v>
      </c>
      <c r="D1104" s="2" t="s">
        <v>137</v>
      </c>
      <c r="E1104" s="2" t="s">
        <v>3</v>
      </c>
      <c r="F1104" s="2" t="s">
        <v>137</v>
      </c>
      <c r="G1104" s="3"/>
      <c r="H1104" s="127" t="s">
        <v>4</v>
      </c>
      <c r="I1104" s="128"/>
      <c r="J1104" s="129">
        <f>J1046+1</f>
        <v>46011</v>
      </c>
      <c r="K1104" s="130"/>
      <c r="L1104" s="131">
        <f>J1104</f>
        <v>46011</v>
      </c>
      <c r="M1104" s="132"/>
    </row>
    <row r="1105" spans="1:20" s="2" customFormat="1" ht="30" customHeight="1">
      <c r="A1105" s="72" t="s">
        <v>5</v>
      </c>
      <c r="B1105" s="114"/>
      <c r="C1105" s="119" t="s">
        <v>83</v>
      </c>
      <c r="D1105" s="119"/>
      <c r="E1105" s="119"/>
      <c r="F1105" s="119"/>
      <c r="G1105" s="119"/>
      <c r="H1105" s="54" t="s">
        <v>6</v>
      </c>
      <c r="I1105" s="59"/>
      <c r="J1105" s="120"/>
      <c r="K1105" s="120"/>
      <c r="L1105" s="120"/>
      <c r="M1105" s="120"/>
    </row>
    <row r="1106" spans="1:20" s="1" customFormat="1" ht="30" customHeight="1">
      <c r="A1106" s="72" t="s">
        <v>7</v>
      </c>
      <c r="B1106" s="114"/>
      <c r="C1106" s="4">
        <v>50</v>
      </c>
      <c r="D1106" s="4" t="s">
        <v>8</v>
      </c>
      <c r="E1106" s="4" t="s">
        <v>9</v>
      </c>
      <c r="F1106" s="4">
        <f>F1048+1</f>
        <v>24</v>
      </c>
      <c r="G1106" s="5" t="s">
        <v>8</v>
      </c>
      <c r="H1106" s="4" t="s">
        <v>10</v>
      </c>
      <c r="I1106" s="4">
        <f>C1106-F1106+L1106</f>
        <v>26</v>
      </c>
      <c r="J1106" s="4" t="s">
        <v>11</v>
      </c>
      <c r="K1106" s="6" t="s">
        <v>12</v>
      </c>
      <c r="L1106" s="7">
        <f>L1048</f>
        <v>0</v>
      </c>
      <c r="M1106" s="4" t="s">
        <v>8</v>
      </c>
    </row>
    <row r="1107" spans="1:20" s="2" customFormat="1" ht="30" customHeight="1">
      <c r="A1107" s="72" t="s">
        <v>13</v>
      </c>
      <c r="B1107" s="75"/>
      <c r="C1107" s="75"/>
      <c r="D1107" s="121">
        <f>D1049</f>
        <v>45988</v>
      </c>
      <c r="E1107" s="122"/>
      <c r="F1107" s="122"/>
      <c r="G1107" s="123"/>
      <c r="H1107" s="124" t="s">
        <v>14</v>
      </c>
      <c r="I1107" s="125"/>
      <c r="J1107" s="121">
        <f>J1049</f>
        <v>46037</v>
      </c>
      <c r="K1107" s="122"/>
      <c r="L1107" s="122"/>
      <c r="M1107" s="123"/>
    </row>
    <row r="1108" spans="1:20" s="2" customFormat="1" ht="30" customHeight="1">
      <c r="A1108" s="72" t="s">
        <v>15</v>
      </c>
      <c r="B1108" s="114"/>
      <c r="C1108" s="114"/>
      <c r="D1108" s="72">
        <v>0.68700000000000006</v>
      </c>
      <c r="E1108" s="72"/>
      <c r="F1108" s="72"/>
      <c r="G1108" s="72"/>
      <c r="H1108" s="64" t="s">
        <v>16</v>
      </c>
      <c r="I1108" s="115"/>
      <c r="J1108" s="116">
        <f>P1124</f>
        <v>1.24</v>
      </c>
      <c r="K1108" s="117"/>
      <c r="L1108" s="117"/>
      <c r="M1108" s="118"/>
    </row>
    <row r="1109" spans="1:20" s="2" customFormat="1" ht="30" customHeight="1">
      <c r="A1109" s="72" t="s">
        <v>17</v>
      </c>
      <c r="B1109" s="114"/>
      <c r="C1109" s="114"/>
      <c r="D1109" s="72">
        <f>D1108+D1051</f>
        <v>11.166999999999998</v>
      </c>
      <c r="E1109" s="72"/>
      <c r="F1109" s="72"/>
      <c r="G1109" s="72"/>
      <c r="H1109" s="64" t="s">
        <v>18</v>
      </c>
      <c r="I1109" s="115"/>
      <c r="J1109" s="116">
        <f>J1108+J1051</f>
        <v>24.70999999999999</v>
      </c>
      <c r="K1109" s="117"/>
      <c r="L1109" s="117"/>
      <c r="M1109" s="118"/>
    </row>
    <row r="1110" spans="1:20" s="2" customFormat="1" ht="30" customHeight="1">
      <c r="A1110" s="111" t="s">
        <v>19</v>
      </c>
      <c r="B1110" s="112"/>
      <c r="C1110" s="112"/>
      <c r="D1110" s="112"/>
      <c r="E1110" s="112"/>
      <c r="F1110" s="112"/>
      <c r="G1110" s="112"/>
      <c r="H1110" s="112"/>
      <c r="I1110" s="112"/>
      <c r="J1110" s="112"/>
      <c r="K1110" s="112"/>
      <c r="L1110" s="112"/>
      <c r="M1110" s="113"/>
    </row>
    <row r="1111" spans="1:20" s="2" customFormat="1" ht="30" customHeight="1">
      <c r="A1111" s="8" t="s">
        <v>20</v>
      </c>
      <c r="B1111" s="72" t="s">
        <v>21</v>
      </c>
      <c r="C1111" s="72"/>
      <c r="D1111" s="72"/>
      <c r="E1111" s="4" t="s">
        <v>22</v>
      </c>
      <c r="F1111" s="54" t="s">
        <v>23</v>
      </c>
      <c r="G1111" s="59"/>
      <c r="H1111" s="72" t="s">
        <v>24</v>
      </c>
      <c r="I1111" s="72"/>
      <c r="J1111" s="72" t="s">
        <v>25</v>
      </c>
      <c r="K1111" s="72"/>
      <c r="L1111" s="72" t="s">
        <v>26</v>
      </c>
      <c r="M1111" s="72"/>
      <c r="O1111" s="1" t="s">
        <v>27</v>
      </c>
      <c r="P1111" s="1" t="s">
        <v>28</v>
      </c>
      <c r="T1111" s="2" t="s">
        <v>29</v>
      </c>
    </row>
    <row r="1112" spans="1:20" s="2" customFormat="1" ht="24.95" customHeight="1">
      <c r="A1112" s="9" t="s">
        <v>30</v>
      </c>
      <c r="B1112" s="110" t="s">
        <v>31</v>
      </c>
      <c r="C1112" s="110"/>
      <c r="D1112" s="110"/>
      <c r="E1112" s="4"/>
      <c r="F1112" s="54"/>
      <c r="G1112" s="59"/>
      <c r="H1112" s="72"/>
      <c r="I1112" s="72"/>
      <c r="J1112" s="72"/>
      <c r="K1112" s="72"/>
      <c r="L1112" s="72"/>
      <c r="M1112" s="72"/>
    </row>
    <row r="1113" spans="1:20" ht="24.95" customHeight="1">
      <c r="A1113" s="10">
        <v>1</v>
      </c>
      <c r="B1113" s="66" t="s">
        <v>91</v>
      </c>
      <c r="C1113" s="67" t="s">
        <v>91</v>
      </c>
      <c r="D1113" s="68" t="s">
        <v>91</v>
      </c>
      <c r="E1113" s="4" t="s">
        <v>32</v>
      </c>
      <c r="F1113" s="69">
        <v>1</v>
      </c>
      <c r="G1113" s="70"/>
      <c r="H1113" s="69"/>
      <c r="I1113" s="70"/>
      <c r="J1113" s="71">
        <f>H1113+J1055</f>
        <v>1</v>
      </c>
      <c r="K1113" s="71"/>
      <c r="L1113" s="72"/>
      <c r="M1113" s="72"/>
      <c r="O1113" s="11">
        <v>4000</v>
      </c>
      <c r="P1113" s="11">
        <f>ROUND(H1113*O1113,0)</f>
        <v>0</v>
      </c>
      <c r="Q1113" s="12"/>
      <c r="S1113" s="11">
        <f>ROUND(J1113*O1113,0)</f>
        <v>4000</v>
      </c>
      <c r="T1113" s="13">
        <f>F1113-J1113</f>
        <v>0</v>
      </c>
    </row>
    <row r="1114" spans="1:20" ht="24.95" customHeight="1">
      <c r="A1114" s="10">
        <v>2</v>
      </c>
      <c r="B1114" s="66" t="s">
        <v>92</v>
      </c>
      <c r="C1114" s="67" t="s">
        <v>92</v>
      </c>
      <c r="D1114" s="68" t="s">
        <v>92</v>
      </c>
      <c r="E1114" s="4" t="s">
        <v>32</v>
      </c>
      <c r="F1114" s="69">
        <v>1</v>
      </c>
      <c r="G1114" s="70"/>
      <c r="H1114" s="69"/>
      <c r="I1114" s="70"/>
      <c r="J1114" s="71">
        <f t="shared" ref="J1114:J1121" si="129">H1114+J1056</f>
        <v>1</v>
      </c>
      <c r="K1114" s="71"/>
      <c r="L1114" s="72"/>
      <c r="M1114" s="72"/>
      <c r="O1114" s="11">
        <v>14334</v>
      </c>
      <c r="P1114" s="11">
        <f t="shared" ref="P1114:P1121" si="130">ROUND(H1114*O1114,0)</f>
        <v>0</v>
      </c>
      <c r="Q1114" s="12"/>
      <c r="S1114" s="11">
        <f t="shared" ref="S1114:S1121" si="131">ROUND(J1114*O1114,0)</f>
        <v>14334</v>
      </c>
      <c r="T1114" s="13">
        <f t="shared" ref="T1114:T1121" si="132">F1114-J1114</f>
        <v>0</v>
      </c>
    </row>
    <row r="1115" spans="1:20" ht="24.95" customHeight="1">
      <c r="A1115" s="10">
        <v>3</v>
      </c>
      <c r="B1115" s="66" t="s">
        <v>84</v>
      </c>
      <c r="C1115" s="67" t="s">
        <v>84</v>
      </c>
      <c r="D1115" s="68" t="s">
        <v>84</v>
      </c>
      <c r="E1115" s="4" t="s">
        <v>33</v>
      </c>
      <c r="F1115" s="69">
        <v>1</v>
      </c>
      <c r="G1115" s="70"/>
      <c r="H1115" s="69"/>
      <c r="I1115" s="70"/>
      <c r="J1115" s="71">
        <f t="shared" si="129"/>
        <v>0.5</v>
      </c>
      <c r="K1115" s="71"/>
      <c r="L1115" s="72"/>
      <c r="M1115" s="72"/>
      <c r="O1115" s="11">
        <v>7000</v>
      </c>
      <c r="P1115" s="11">
        <f t="shared" si="130"/>
        <v>0</v>
      </c>
      <c r="Q1115" s="12"/>
      <c r="S1115" s="11">
        <f t="shared" si="131"/>
        <v>3500</v>
      </c>
      <c r="T1115" s="13">
        <f t="shared" si="132"/>
        <v>0.5</v>
      </c>
    </row>
    <row r="1116" spans="1:20" ht="24.95" customHeight="1">
      <c r="A1116" s="10">
        <v>4</v>
      </c>
      <c r="B1116" s="66" t="s">
        <v>85</v>
      </c>
      <c r="C1116" s="67" t="s">
        <v>85</v>
      </c>
      <c r="D1116" s="68" t="s">
        <v>85</v>
      </c>
      <c r="E1116" s="4" t="s">
        <v>34</v>
      </c>
      <c r="F1116" s="69">
        <v>1</v>
      </c>
      <c r="G1116" s="70"/>
      <c r="H1116" s="69"/>
      <c r="I1116" s="70"/>
      <c r="J1116" s="71">
        <f t="shared" si="129"/>
        <v>1</v>
      </c>
      <c r="K1116" s="71"/>
      <c r="L1116" s="72"/>
      <c r="M1116" s="72"/>
      <c r="O1116" s="11">
        <v>74000</v>
      </c>
      <c r="P1116" s="11">
        <f t="shared" si="130"/>
        <v>0</v>
      </c>
      <c r="Q1116" s="12"/>
      <c r="S1116" s="11">
        <f t="shared" si="131"/>
        <v>74000</v>
      </c>
      <c r="T1116" s="13">
        <f t="shared" si="132"/>
        <v>0</v>
      </c>
    </row>
    <row r="1117" spans="1:20" ht="24.95" customHeight="1">
      <c r="A1117" s="10">
        <v>5</v>
      </c>
      <c r="B1117" s="66" t="s">
        <v>86</v>
      </c>
      <c r="C1117" s="67" t="s">
        <v>86</v>
      </c>
      <c r="D1117" s="68" t="s">
        <v>86</v>
      </c>
      <c r="E1117" s="4" t="s">
        <v>93</v>
      </c>
      <c r="F1117" s="69">
        <v>396</v>
      </c>
      <c r="G1117" s="70"/>
      <c r="H1117" s="69"/>
      <c r="I1117" s="70"/>
      <c r="J1117" s="71">
        <f t="shared" si="129"/>
        <v>350</v>
      </c>
      <c r="K1117" s="71"/>
      <c r="L1117" s="72"/>
      <c r="M1117" s="72"/>
      <c r="O1117" s="11">
        <v>200</v>
      </c>
      <c r="P1117" s="11">
        <f t="shared" si="130"/>
        <v>0</v>
      </c>
      <c r="Q1117" s="12"/>
      <c r="S1117" s="11">
        <f t="shared" si="131"/>
        <v>70000</v>
      </c>
      <c r="T1117" s="13">
        <f t="shared" si="132"/>
        <v>46</v>
      </c>
    </row>
    <row r="1118" spans="1:20" ht="24.95" customHeight="1">
      <c r="A1118" s="10">
        <v>6</v>
      </c>
      <c r="B1118" s="66" t="s">
        <v>97</v>
      </c>
      <c r="C1118" s="67" t="s">
        <v>87</v>
      </c>
      <c r="D1118" s="68" t="s">
        <v>87</v>
      </c>
      <c r="E1118" s="4" t="s">
        <v>35</v>
      </c>
      <c r="F1118" s="69">
        <v>80</v>
      </c>
      <c r="G1118" s="70">
        <v>183.6</v>
      </c>
      <c r="H1118" s="69"/>
      <c r="I1118" s="70"/>
      <c r="J1118" s="71">
        <f t="shared" si="129"/>
        <v>72</v>
      </c>
      <c r="K1118" s="71"/>
      <c r="L1118" s="54"/>
      <c r="M1118" s="59"/>
      <c r="O1118" s="11">
        <v>1463</v>
      </c>
      <c r="P1118" s="11">
        <f t="shared" si="130"/>
        <v>0</v>
      </c>
      <c r="S1118" s="11">
        <f t="shared" si="131"/>
        <v>105336</v>
      </c>
      <c r="T1118" s="13">
        <f t="shared" si="132"/>
        <v>8</v>
      </c>
    </row>
    <row r="1119" spans="1:20" ht="24.95" customHeight="1">
      <c r="A1119" s="10">
        <v>7</v>
      </c>
      <c r="B1119" s="66" t="s">
        <v>88</v>
      </c>
      <c r="C1119" s="67" t="s">
        <v>88</v>
      </c>
      <c r="D1119" s="68" t="s">
        <v>88</v>
      </c>
      <c r="E1119" s="4" t="s">
        <v>94</v>
      </c>
      <c r="F1119" s="69">
        <v>126</v>
      </c>
      <c r="G1119" s="70">
        <v>19</v>
      </c>
      <c r="H1119" s="69"/>
      <c r="I1119" s="70"/>
      <c r="J1119" s="71">
        <f t="shared" si="129"/>
        <v>0</v>
      </c>
      <c r="K1119" s="71"/>
      <c r="L1119" s="54"/>
      <c r="M1119" s="59"/>
      <c r="O1119" s="11">
        <v>6350</v>
      </c>
      <c r="P1119" s="11">
        <f t="shared" si="130"/>
        <v>0</v>
      </c>
      <c r="S1119" s="11">
        <f t="shared" si="131"/>
        <v>0</v>
      </c>
      <c r="T1119" s="13">
        <f t="shared" si="132"/>
        <v>126</v>
      </c>
    </row>
    <row r="1120" spans="1:20" ht="24.95" customHeight="1">
      <c r="A1120" s="10">
        <v>8</v>
      </c>
      <c r="B1120" s="66" t="s">
        <v>89</v>
      </c>
      <c r="C1120" s="67" t="s">
        <v>89</v>
      </c>
      <c r="D1120" s="68" t="s">
        <v>89</v>
      </c>
      <c r="E1120" s="4" t="s">
        <v>95</v>
      </c>
      <c r="F1120" s="69">
        <v>1</v>
      </c>
      <c r="G1120" s="70">
        <v>1192</v>
      </c>
      <c r="H1120" s="69">
        <v>0.3</v>
      </c>
      <c r="I1120" s="70"/>
      <c r="J1120" s="71">
        <f t="shared" si="129"/>
        <v>0.3</v>
      </c>
      <c r="K1120" s="71"/>
      <c r="L1120" s="54"/>
      <c r="M1120" s="59"/>
      <c r="O1120" s="11">
        <v>47600</v>
      </c>
      <c r="P1120" s="11">
        <f t="shared" si="130"/>
        <v>14280</v>
      </c>
      <c r="S1120" s="11">
        <f t="shared" si="131"/>
        <v>14280</v>
      </c>
      <c r="T1120" s="13">
        <f t="shared" si="132"/>
        <v>0.7</v>
      </c>
    </row>
    <row r="1121" spans="1:20" ht="24.95" customHeight="1">
      <c r="A1121" s="10">
        <v>9</v>
      </c>
      <c r="B1121" s="66" t="s">
        <v>90</v>
      </c>
      <c r="C1121" s="67" t="s">
        <v>90</v>
      </c>
      <c r="D1121" s="68" t="s">
        <v>90</v>
      </c>
      <c r="E1121" s="4" t="s">
        <v>96</v>
      </c>
      <c r="F1121" s="69">
        <v>1</v>
      </c>
      <c r="G1121" s="70">
        <v>1261</v>
      </c>
      <c r="H1121" s="69"/>
      <c r="I1121" s="70"/>
      <c r="J1121" s="71">
        <f t="shared" si="129"/>
        <v>0</v>
      </c>
      <c r="K1121" s="71"/>
      <c r="L1121" s="54"/>
      <c r="M1121" s="59"/>
      <c r="O1121" s="11">
        <v>10000</v>
      </c>
      <c r="P1121" s="11">
        <f t="shared" si="130"/>
        <v>0</v>
      </c>
      <c r="S1121" s="11">
        <f t="shared" si="131"/>
        <v>0</v>
      </c>
      <c r="T1121" s="13">
        <f t="shared" si="132"/>
        <v>1</v>
      </c>
    </row>
    <row r="1122" spans="1:20" ht="24.95" customHeight="1">
      <c r="A1122" s="14"/>
      <c r="B1122" s="15"/>
      <c r="C1122" s="16"/>
      <c r="D1122" s="17"/>
      <c r="E1122" s="4"/>
      <c r="F1122" s="18"/>
      <c r="G1122" s="19"/>
      <c r="H1122" s="105"/>
      <c r="I1122" s="106"/>
      <c r="J1122" s="105"/>
      <c r="K1122" s="106"/>
      <c r="L1122" s="54"/>
      <c r="M1122" s="59"/>
      <c r="N1122" s="20"/>
      <c r="P1122" s="21" t="s">
        <v>37</v>
      </c>
      <c r="Q1122" s="22">
        <f>SUM(P1113:P1121)</f>
        <v>14280</v>
      </c>
      <c r="R1122" s="23"/>
      <c r="S1122" s="24">
        <f>SUM(S1113:S1121)</f>
        <v>285450</v>
      </c>
      <c r="T1122" s="13"/>
    </row>
    <row r="1123" spans="1:20" ht="24.95" customHeight="1">
      <c r="A1123" s="107"/>
      <c r="B1123" s="108"/>
      <c r="C1123" s="108"/>
      <c r="D1123" s="109"/>
      <c r="E1123" s="4"/>
      <c r="F1123" s="54"/>
      <c r="G1123" s="59"/>
      <c r="H1123" s="72"/>
      <c r="I1123" s="72"/>
      <c r="J1123" s="72"/>
      <c r="K1123" s="72"/>
      <c r="L1123" s="72"/>
      <c r="M1123" s="72"/>
      <c r="O1123" t="s">
        <v>38</v>
      </c>
      <c r="P1123" s="24">
        <f>Q1122</f>
        <v>14280</v>
      </c>
      <c r="T1123" s="13"/>
    </row>
    <row r="1124" spans="1:20" ht="24.95" customHeight="1">
      <c r="A1124" s="97"/>
      <c r="B1124" s="98"/>
      <c r="C1124" s="98"/>
      <c r="D1124" s="99"/>
      <c r="E1124" s="4"/>
      <c r="F1124" s="54"/>
      <c r="G1124" s="59"/>
      <c r="H1124" s="72"/>
      <c r="I1124" s="72"/>
      <c r="J1124" s="72"/>
      <c r="K1124" s="72"/>
      <c r="L1124" s="72"/>
      <c r="M1124" s="72"/>
      <c r="O1124" t="s">
        <v>39</v>
      </c>
      <c r="P1124" s="23">
        <f>ROUND(P1123/1153274,4)*100</f>
        <v>1.24</v>
      </c>
      <c r="T1124" s="13"/>
    </row>
    <row r="1125" spans="1:20" ht="24.95" customHeight="1">
      <c r="A1125" s="25"/>
      <c r="B1125" s="63" t="s">
        <v>40</v>
      </c>
      <c r="C1125" s="63"/>
      <c r="D1125" s="59"/>
      <c r="E1125" s="26"/>
      <c r="F1125" s="100"/>
      <c r="G1125" s="101"/>
      <c r="H1125" s="100"/>
      <c r="I1125" s="101"/>
      <c r="J1125" s="102"/>
      <c r="K1125" s="102"/>
      <c r="L1125" s="103">
        <f>P1123</f>
        <v>14280</v>
      </c>
      <c r="M1125" s="104"/>
      <c r="T1125" s="13"/>
    </row>
    <row r="1126" spans="1:20" ht="24.95" customHeight="1" thickBot="1">
      <c r="A1126" s="27"/>
      <c r="B1126" s="85" t="s">
        <v>41</v>
      </c>
      <c r="C1126" s="85"/>
      <c r="D1126" s="86"/>
      <c r="E1126" s="28"/>
      <c r="F1126" s="87"/>
      <c r="G1126" s="88"/>
      <c r="H1126" s="87"/>
      <c r="I1126" s="88"/>
      <c r="J1126" s="87"/>
      <c r="K1126" s="88"/>
      <c r="L1126" s="89">
        <f>L1125+L1068</f>
        <v>285450</v>
      </c>
      <c r="M1126" s="90"/>
      <c r="T1126" s="13"/>
    </row>
    <row r="1127" spans="1:20" ht="24.95" customHeight="1">
      <c r="A1127" s="29"/>
      <c r="B1127" s="91" t="s">
        <v>42</v>
      </c>
      <c r="C1127" s="91"/>
      <c r="D1127" s="92"/>
      <c r="E1127" s="30"/>
      <c r="F1127" s="93"/>
      <c r="G1127" s="94"/>
      <c r="H1127" s="95"/>
      <c r="I1127" s="95"/>
      <c r="J1127" s="95"/>
      <c r="K1127" s="95"/>
      <c r="L1127" s="95"/>
      <c r="M1127" s="96"/>
      <c r="T1127" s="13"/>
    </row>
    <row r="1128" spans="1:20" ht="24.95" customHeight="1">
      <c r="A1128" s="31"/>
      <c r="B1128" s="76" t="s">
        <v>43</v>
      </c>
      <c r="C1128" s="76"/>
      <c r="D1128" s="77"/>
      <c r="E1128" s="4"/>
      <c r="F1128" s="54"/>
      <c r="G1128" s="59"/>
      <c r="H1128" s="72"/>
      <c r="I1128" s="72"/>
      <c r="J1128" s="72"/>
      <c r="K1128" s="72"/>
      <c r="L1128" s="72"/>
      <c r="M1128" s="78"/>
      <c r="T1128" s="13"/>
    </row>
    <row r="1129" spans="1:20" ht="24.95" customHeight="1" thickBot="1">
      <c r="A1129" s="32"/>
      <c r="B1129" s="79" t="s">
        <v>44</v>
      </c>
      <c r="C1129" s="79"/>
      <c r="D1129" s="80"/>
      <c r="E1129" s="33"/>
      <c r="F1129" s="81"/>
      <c r="G1129" s="82"/>
      <c r="H1129" s="83"/>
      <c r="I1129" s="83"/>
      <c r="J1129" s="83"/>
      <c r="K1129" s="83"/>
      <c r="L1129" s="83"/>
      <c r="M1129" s="84"/>
      <c r="T1129" s="13"/>
    </row>
    <row r="1130" spans="1:20" ht="24.95" customHeight="1">
      <c r="A1130" s="73" t="s">
        <v>45</v>
      </c>
      <c r="B1130" s="74"/>
      <c r="C1130" s="74"/>
      <c r="D1130" s="74"/>
      <c r="E1130" s="74"/>
      <c r="F1130" s="74"/>
      <c r="G1130" s="74"/>
      <c r="H1130" s="74"/>
      <c r="I1130" s="74"/>
      <c r="J1130" s="74"/>
      <c r="K1130" s="74"/>
      <c r="L1130" s="74"/>
      <c r="M1130" s="74"/>
      <c r="T1130" s="13"/>
    </row>
    <row r="1131" spans="1:20" ht="24.95" customHeight="1">
      <c r="A1131" s="72" t="s">
        <v>46</v>
      </c>
      <c r="B1131" s="75"/>
      <c r="C1131" s="75"/>
      <c r="D1131" s="75"/>
      <c r="E1131" s="4" t="s">
        <v>22</v>
      </c>
      <c r="F1131" s="72" t="s">
        <v>47</v>
      </c>
      <c r="G1131" s="72"/>
      <c r="H1131" s="72" t="s">
        <v>48</v>
      </c>
      <c r="I1131" s="72"/>
      <c r="J1131" s="72" t="s">
        <v>49</v>
      </c>
      <c r="K1131" s="72"/>
      <c r="L1131" s="72" t="s">
        <v>50</v>
      </c>
      <c r="M1131" s="72"/>
      <c r="T1131" s="13"/>
    </row>
    <row r="1132" spans="1:20" ht="24.95" customHeight="1">
      <c r="A1132" s="10">
        <v>6</v>
      </c>
      <c r="B1132" s="66" t="s">
        <v>97</v>
      </c>
      <c r="C1132" s="67" t="s">
        <v>51</v>
      </c>
      <c r="D1132" s="68" t="s">
        <v>51</v>
      </c>
      <c r="E1132" s="4" t="s">
        <v>35</v>
      </c>
      <c r="F1132" s="69">
        <v>80</v>
      </c>
      <c r="G1132" s="70">
        <v>1261</v>
      </c>
      <c r="H1132" s="71">
        <f>H1118</f>
        <v>0</v>
      </c>
      <c r="I1132" s="71"/>
      <c r="J1132" s="71">
        <f>H1132+J1074</f>
        <v>72</v>
      </c>
      <c r="K1132" s="71"/>
      <c r="L1132" s="72"/>
      <c r="M1132" s="72"/>
      <c r="T1132" s="13"/>
    </row>
    <row r="1133" spans="1:20" ht="24.95" customHeight="1">
      <c r="A1133" s="10">
        <v>7</v>
      </c>
      <c r="B1133" s="66" t="s">
        <v>88</v>
      </c>
      <c r="C1133" s="67" t="s">
        <v>88</v>
      </c>
      <c r="D1133" s="68" t="s">
        <v>88</v>
      </c>
      <c r="E1133" s="4" t="s">
        <v>98</v>
      </c>
      <c r="F1133" s="69">
        <v>126</v>
      </c>
      <c r="G1133" s="70"/>
      <c r="H1133" s="71">
        <f>H1119</f>
        <v>0</v>
      </c>
      <c r="I1133" s="71"/>
      <c r="J1133" s="71">
        <f t="shared" ref="J1133:J1134" si="133">H1133+J1075</f>
        <v>0</v>
      </c>
      <c r="K1133" s="71"/>
      <c r="L1133" s="72"/>
      <c r="M1133" s="72"/>
      <c r="T1133" s="13"/>
    </row>
    <row r="1134" spans="1:20" ht="24.95" customHeight="1">
      <c r="A1134" s="10">
        <v>8</v>
      </c>
      <c r="B1134" s="66" t="s">
        <v>89</v>
      </c>
      <c r="C1134" s="67" t="s">
        <v>89</v>
      </c>
      <c r="D1134" s="68" t="s">
        <v>89</v>
      </c>
      <c r="E1134" s="4" t="s">
        <v>36</v>
      </c>
      <c r="F1134" s="69">
        <v>1</v>
      </c>
      <c r="G1134" s="70"/>
      <c r="H1134" s="71">
        <f>H1120</f>
        <v>0.3</v>
      </c>
      <c r="I1134" s="71"/>
      <c r="J1134" s="71">
        <f t="shared" si="133"/>
        <v>0.3</v>
      </c>
      <c r="K1134" s="71"/>
      <c r="L1134" s="72"/>
      <c r="M1134" s="72"/>
      <c r="T1134" s="13"/>
    </row>
    <row r="1135" spans="1:20" ht="24.95" customHeight="1">
      <c r="A1135" s="51" t="s">
        <v>52</v>
      </c>
      <c r="B1135" s="52"/>
      <c r="C1135" s="52"/>
      <c r="D1135" s="52"/>
      <c r="E1135" s="52"/>
      <c r="F1135" s="52"/>
      <c r="G1135" s="52"/>
      <c r="H1135" s="52"/>
      <c r="I1135" s="52"/>
      <c r="J1135" s="52"/>
      <c r="K1135" s="52"/>
      <c r="L1135" s="52"/>
      <c r="M1135" s="53"/>
      <c r="T1135" s="13"/>
    </row>
    <row r="1136" spans="1:20" ht="24.95" customHeight="1">
      <c r="A1136" s="54" t="s">
        <v>53</v>
      </c>
      <c r="B1136" s="63"/>
      <c r="C1136" s="63"/>
      <c r="D1136" s="59"/>
      <c r="E1136" s="4" t="s">
        <v>54</v>
      </c>
      <c r="F1136" s="54" t="s">
        <v>55</v>
      </c>
      <c r="G1136" s="59"/>
      <c r="H1136" s="54" t="s">
        <v>56</v>
      </c>
      <c r="I1136" s="59"/>
      <c r="J1136" s="54" t="s">
        <v>48</v>
      </c>
      <c r="K1136" s="59"/>
      <c r="L1136" s="64" t="s">
        <v>49</v>
      </c>
      <c r="M1136" s="65"/>
      <c r="T1136" s="13"/>
    </row>
    <row r="1137" spans="1:20" ht="24.95" customHeight="1">
      <c r="A1137" s="54" t="s">
        <v>57</v>
      </c>
      <c r="B1137" s="55"/>
      <c r="C1137" s="55"/>
      <c r="D1137" s="56"/>
      <c r="E1137" s="4"/>
      <c r="F1137" s="57">
        <f>E1137+F1079</f>
        <v>28</v>
      </c>
      <c r="G1137" s="58"/>
      <c r="H1137" s="54" t="s">
        <v>58</v>
      </c>
      <c r="I1137" s="59"/>
      <c r="J1137" s="54">
        <v>1</v>
      </c>
      <c r="K1137" s="59"/>
      <c r="L1137" s="57">
        <f>J1137+L1079</f>
        <v>14</v>
      </c>
      <c r="M1137" s="58"/>
      <c r="T1137" s="13"/>
    </row>
    <row r="1138" spans="1:20" ht="24.95" customHeight="1">
      <c r="A1138" s="54" t="s">
        <v>59</v>
      </c>
      <c r="B1138" s="55"/>
      <c r="C1138" s="55"/>
      <c r="D1138" s="56"/>
      <c r="E1138" s="4"/>
      <c r="F1138" s="57">
        <f t="shared" ref="F1138:F1140" si="134">E1138+F1080</f>
        <v>0</v>
      </c>
      <c r="G1138" s="58"/>
      <c r="H1138" s="54" t="s">
        <v>60</v>
      </c>
      <c r="I1138" s="59"/>
      <c r="J1138" s="54"/>
      <c r="K1138" s="59"/>
      <c r="L1138" s="57">
        <f t="shared" ref="L1138:L1140" si="135">J1138+L1080</f>
        <v>0</v>
      </c>
      <c r="M1138" s="58"/>
      <c r="T1138" s="13"/>
    </row>
    <row r="1139" spans="1:20" ht="24.95" customHeight="1">
      <c r="A1139" s="54" t="s">
        <v>61</v>
      </c>
      <c r="B1139" s="55"/>
      <c r="C1139" s="55"/>
      <c r="D1139" s="56"/>
      <c r="E1139" s="4">
        <v>2</v>
      </c>
      <c r="F1139" s="57">
        <f t="shared" si="134"/>
        <v>2</v>
      </c>
      <c r="G1139" s="58"/>
      <c r="H1139" s="54" t="s">
        <v>62</v>
      </c>
      <c r="I1139" s="59"/>
      <c r="J1139" s="54">
        <v>1</v>
      </c>
      <c r="K1139" s="59"/>
      <c r="L1139" s="57">
        <f t="shared" si="135"/>
        <v>5</v>
      </c>
      <c r="M1139" s="58"/>
      <c r="T1139" s="13"/>
    </row>
    <row r="1140" spans="1:20" ht="24.95" customHeight="1">
      <c r="A1140" s="54" t="s">
        <v>63</v>
      </c>
      <c r="B1140" s="55"/>
      <c r="C1140" s="55"/>
      <c r="D1140" s="56"/>
      <c r="E1140" s="4"/>
      <c r="F1140" s="57">
        <f t="shared" si="134"/>
        <v>2</v>
      </c>
      <c r="G1140" s="58"/>
      <c r="H1140" s="54" t="s">
        <v>64</v>
      </c>
      <c r="I1140" s="59"/>
      <c r="J1140" s="54"/>
      <c r="K1140" s="59"/>
      <c r="L1140" s="57">
        <f t="shared" si="135"/>
        <v>1</v>
      </c>
      <c r="M1140" s="58"/>
      <c r="T1140" s="13"/>
    </row>
    <row r="1141" spans="1:20" ht="64.5" customHeight="1">
      <c r="A1141" s="60" t="s">
        <v>65</v>
      </c>
      <c r="B1141" s="61"/>
      <c r="C1141" s="61"/>
      <c r="D1141" s="61"/>
      <c r="E1141" s="61"/>
      <c r="F1141" s="61"/>
      <c r="G1141" s="61"/>
      <c r="H1141" s="61"/>
      <c r="I1141" s="61"/>
      <c r="J1141" s="61"/>
      <c r="K1141" s="61"/>
      <c r="L1141" s="61"/>
      <c r="M1141" s="62"/>
      <c r="T1141" s="13"/>
    </row>
    <row r="1142" spans="1:20" ht="24.95" customHeight="1">
      <c r="A1142" s="46" t="s">
        <v>66</v>
      </c>
      <c r="B1142" s="47"/>
      <c r="C1142" s="47"/>
      <c r="D1142" s="47"/>
      <c r="E1142" s="47"/>
      <c r="F1142" s="47"/>
      <c r="G1142" s="47"/>
      <c r="H1142" s="47"/>
      <c r="I1142" s="47"/>
      <c r="J1142" s="47"/>
      <c r="K1142" s="47"/>
      <c r="L1142" s="47"/>
      <c r="M1142" s="48"/>
      <c r="T1142" s="13"/>
    </row>
    <row r="1143" spans="1:20" ht="24.95" customHeight="1">
      <c r="A1143" s="27"/>
      <c r="B1143" s="34" t="s">
        <v>67</v>
      </c>
      <c r="C1143" s="34"/>
      <c r="D1143" s="34"/>
      <c r="E1143" s="34"/>
      <c r="F1143" s="34"/>
      <c r="G1143" s="35"/>
      <c r="H1143" s="34"/>
      <c r="I1143" s="34"/>
      <c r="J1143" s="34"/>
      <c r="K1143" s="34"/>
      <c r="L1143" s="34"/>
      <c r="M1143" s="36"/>
      <c r="T1143" s="13"/>
    </row>
    <row r="1144" spans="1:20" ht="24.95" customHeight="1">
      <c r="A1144" s="27"/>
      <c r="B1144" s="34" t="s">
        <v>157</v>
      </c>
      <c r="C1144" s="34"/>
      <c r="D1144" s="34"/>
      <c r="E1144" s="34"/>
      <c r="F1144" s="34"/>
      <c r="G1144" s="35"/>
      <c r="H1144" s="34"/>
      <c r="I1144" s="34"/>
      <c r="J1144" s="34"/>
      <c r="K1144" s="34"/>
      <c r="L1144" s="34"/>
      <c r="M1144" s="36"/>
      <c r="T1144" s="13"/>
    </row>
    <row r="1145" spans="1:20" ht="24.95" customHeight="1">
      <c r="A1145" s="27"/>
      <c r="B1145" s="34" t="s">
        <v>68</v>
      </c>
      <c r="C1145" s="34"/>
      <c r="D1145" s="34"/>
      <c r="E1145" s="34"/>
      <c r="F1145" s="34"/>
      <c r="G1145" s="35"/>
      <c r="H1145" s="34"/>
      <c r="I1145" s="34"/>
      <c r="J1145" s="34"/>
      <c r="K1145" s="34"/>
      <c r="L1145" s="34"/>
      <c r="M1145" s="36"/>
      <c r="T1145" s="13"/>
    </row>
    <row r="1146" spans="1:20" ht="24.95" customHeight="1">
      <c r="A1146" s="27"/>
      <c r="B1146" s="34" t="s">
        <v>158</v>
      </c>
      <c r="C1146" s="34"/>
      <c r="D1146" s="34"/>
      <c r="E1146" s="34"/>
      <c r="F1146" s="34"/>
      <c r="G1146" s="35"/>
      <c r="H1146" s="34"/>
      <c r="I1146" s="34"/>
      <c r="J1146" s="34"/>
      <c r="K1146" s="34"/>
      <c r="L1146" s="34"/>
      <c r="M1146" s="36"/>
      <c r="T1146" s="13"/>
    </row>
    <row r="1147" spans="1:20" ht="24.95" customHeight="1">
      <c r="A1147" s="27"/>
      <c r="B1147" s="34" t="s">
        <v>135</v>
      </c>
      <c r="C1147" s="34"/>
      <c r="D1147" s="34"/>
      <c r="E1147" s="34"/>
      <c r="F1147" s="34"/>
      <c r="G1147" s="35"/>
      <c r="H1147" s="34"/>
      <c r="I1147" s="34"/>
      <c r="J1147" s="34"/>
      <c r="K1147" s="34"/>
      <c r="L1147" s="34"/>
      <c r="M1147" s="36"/>
      <c r="T1147" s="13"/>
    </row>
    <row r="1148" spans="1:20" ht="24.95" customHeight="1">
      <c r="A1148" s="37"/>
      <c r="B1148" s="49" t="s">
        <v>69</v>
      </c>
      <c r="C1148" s="49"/>
      <c r="D1148" s="49"/>
      <c r="E1148" s="49"/>
      <c r="F1148" s="49"/>
      <c r="G1148" s="49"/>
      <c r="H1148" s="49"/>
      <c r="I1148" s="49"/>
      <c r="J1148" s="49"/>
      <c r="K1148" s="49"/>
      <c r="L1148" s="49"/>
      <c r="M1148" s="50"/>
      <c r="T1148" s="13"/>
    </row>
    <row r="1149" spans="1:20" ht="44.25" customHeight="1">
      <c r="A1149" s="51" t="s">
        <v>70</v>
      </c>
      <c r="B1149" s="52"/>
      <c r="C1149" s="52"/>
      <c r="D1149" s="52"/>
      <c r="E1149" s="52"/>
      <c r="F1149" s="52"/>
      <c r="G1149" s="52"/>
      <c r="H1149" s="52"/>
      <c r="I1149" s="52"/>
      <c r="J1149" s="52"/>
      <c r="K1149" s="52"/>
      <c r="L1149" s="52"/>
      <c r="M1149" s="53"/>
      <c r="T1149" s="13"/>
    </row>
    <row r="1150" spans="1:20" ht="48" customHeight="1">
      <c r="A1150" s="51" t="s">
        <v>71</v>
      </c>
      <c r="B1150" s="52"/>
      <c r="C1150" s="52"/>
      <c r="D1150" s="52"/>
      <c r="E1150" s="52"/>
      <c r="F1150" s="52"/>
      <c r="G1150" s="52"/>
      <c r="H1150" s="52"/>
      <c r="I1150" s="52"/>
      <c r="J1150" s="52"/>
      <c r="K1150" s="52"/>
      <c r="L1150" s="52"/>
      <c r="M1150" s="53"/>
      <c r="T1150" s="13"/>
    </row>
    <row r="1151" spans="1:20" ht="81" customHeight="1">
      <c r="A1151" s="51" t="s">
        <v>156</v>
      </c>
      <c r="B1151" s="52"/>
      <c r="C1151" s="52"/>
      <c r="D1151" s="52"/>
      <c r="E1151" s="52"/>
      <c r="F1151" s="52"/>
      <c r="G1151" s="52"/>
      <c r="H1151" s="52"/>
      <c r="I1151" s="52"/>
      <c r="J1151" s="52"/>
      <c r="K1151" s="52"/>
      <c r="L1151" s="52"/>
      <c r="M1151" s="53"/>
      <c r="T1151" s="13"/>
    </row>
    <row r="1152" spans="1:20" ht="100.5" customHeight="1">
      <c r="A1152" s="51" t="s">
        <v>72</v>
      </c>
      <c r="B1152" s="52"/>
      <c r="C1152" s="52"/>
      <c r="D1152" s="52"/>
      <c r="E1152" s="52"/>
      <c r="F1152" s="52"/>
      <c r="G1152" s="52"/>
      <c r="H1152" s="52"/>
      <c r="I1152" s="52"/>
      <c r="J1152" s="52"/>
      <c r="K1152" s="52"/>
      <c r="L1152" s="52"/>
      <c r="M1152" s="53"/>
      <c r="T1152" s="13"/>
    </row>
    <row r="1153" spans="1:20" ht="12" customHeight="1">
      <c r="A1153" s="41" t="s">
        <v>73</v>
      </c>
      <c r="B1153" s="41"/>
      <c r="C1153" s="42"/>
      <c r="D1153" s="42"/>
      <c r="E1153" s="42"/>
      <c r="F1153" s="42"/>
      <c r="G1153" s="42"/>
      <c r="H1153" s="42"/>
      <c r="I1153" s="42"/>
      <c r="J1153" s="42"/>
      <c r="K1153" s="42"/>
      <c r="L1153" s="42"/>
      <c r="M1153" s="38"/>
      <c r="T1153" s="13"/>
    </row>
    <row r="1154" spans="1:20" ht="12" customHeight="1">
      <c r="A1154" s="43" t="s">
        <v>74</v>
      </c>
      <c r="B1154" s="43"/>
      <c r="C1154" s="40"/>
      <c r="D1154" s="40"/>
      <c r="E1154" s="40"/>
      <c r="F1154" s="40"/>
      <c r="G1154" s="40"/>
      <c r="H1154" s="40"/>
      <c r="I1154" s="40"/>
      <c r="J1154" s="40"/>
      <c r="K1154" s="40"/>
      <c r="L1154" s="38"/>
      <c r="M1154" s="38"/>
      <c r="T1154" s="13"/>
    </row>
    <row r="1155" spans="1:20" ht="12" customHeight="1">
      <c r="A1155" s="44" t="s">
        <v>75</v>
      </c>
      <c r="B1155" s="44"/>
      <c r="C1155" s="44"/>
      <c r="D1155" s="44"/>
      <c r="E1155" s="44"/>
      <c r="F1155" s="44"/>
      <c r="G1155" s="44"/>
      <c r="H1155" s="44"/>
      <c r="I1155" s="44"/>
      <c r="J1155" s="44"/>
      <c r="K1155" s="44"/>
      <c r="L1155" s="44"/>
      <c r="M1155" s="44"/>
      <c r="T1155" s="13"/>
    </row>
    <row r="1156" spans="1:20" ht="12" customHeight="1">
      <c r="A1156" s="39" t="s">
        <v>76</v>
      </c>
      <c r="B1156" s="39"/>
      <c r="C1156" s="39"/>
      <c r="D1156" s="39"/>
      <c r="E1156" s="39"/>
      <c r="F1156" s="39"/>
      <c r="G1156" s="39"/>
      <c r="H1156" s="39"/>
      <c r="I1156" s="39"/>
      <c r="J1156" s="39"/>
      <c r="K1156" s="39"/>
      <c r="L1156" s="39"/>
      <c r="M1156" s="39"/>
      <c r="T1156" s="13"/>
    </row>
    <row r="1157" spans="1:20" ht="12" customHeight="1">
      <c r="A1157" s="39" t="s">
        <v>77</v>
      </c>
      <c r="B1157" s="40"/>
      <c r="C1157" s="40"/>
      <c r="D1157" s="40"/>
      <c r="E1157" s="40"/>
      <c r="F1157" s="40"/>
      <c r="G1157" s="40"/>
      <c r="H1157" s="40"/>
      <c r="I1157" s="40"/>
      <c r="J1157" s="40"/>
      <c r="K1157" s="40"/>
      <c r="L1157" s="40"/>
      <c r="M1157" s="40"/>
      <c r="T1157" s="13"/>
    </row>
    <row r="1158" spans="1:20" ht="12" customHeight="1">
      <c r="A1158" s="45" t="s">
        <v>78</v>
      </c>
      <c r="B1158" s="40"/>
      <c r="C1158" s="40"/>
      <c r="D1158" s="40"/>
      <c r="E1158" s="40"/>
      <c r="F1158" s="40"/>
      <c r="G1158" s="40"/>
      <c r="H1158" s="40"/>
      <c r="I1158" s="40"/>
      <c r="J1158" s="40"/>
      <c r="K1158" s="40"/>
      <c r="L1158" s="40"/>
      <c r="M1158" s="40"/>
      <c r="T1158" s="13"/>
    </row>
    <row r="1159" spans="1:20" ht="12" customHeight="1">
      <c r="A1159" s="39" t="s">
        <v>79</v>
      </c>
      <c r="B1159" s="40"/>
      <c r="C1159" s="40"/>
      <c r="D1159" s="40"/>
      <c r="E1159" s="40"/>
      <c r="F1159" s="40"/>
      <c r="G1159" s="40"/>
      <c r="H1159" s="40"/>
      <c r="I1159" s="40"/>
      <c r="J1159" s="40"/>
      <c r="K1159" s="40"/>
      <c r="L1159" s="40"/>
      <c r="M1159" s="40"/>
      <c r="T1159" s="13"/>
    </row>
    <row r="1160" spans="1:20" ht="409.5" customHeight="1"/>
    <row r="1161" spans="1:20" s="2" customFormat="1" ht="35.1" customHeight="1">
      <c r="A1161" s="126" t="s">
        <v>0</v>
      </c>
      <c r="B1161" s="126"/>
      <c r="C1161" s="1">
        <f>C1103+1</f>
        <v>25</v>
      </c>
      <c r="G1161" s="3"/>
    </row>
    <row r="1162" spans="1:20" s="2" customFormat="1" ht="35.1" customHeight="1">
      <c r="A1162" s="126" t="s">
        <v>1</v>
      </c>
      <c r="B1162" s="126"/>
      <c r="C1162" s="2" t="s">
        <v>2</v>
      </c>
      <c r="D1162" s="2" t="s">
        <v>138</v>
      </c>
      <c r="E1162" s="2" t="s">
        <v>3</v>
      </c>
      <c r="F1162" s="2" t="s">
        <v>139</v>
      </c>
      <c r="G1162" s="3"/>
      <c r="H1162" s="127" t="s">
        <v>4</v>
      </c>
      <c r="I1162" s="128"/>
      <c r="J1162" s="129">
        <f>J1104+1</f>
        <v>46012</v>
      </c>
      <c r="K1162" s="130"/>
      <c r="L1162" s="131">
        <f>J1162</f>
        <v>46012</v>
      </c>
      <c r="M1162" s="132"/>
    </row>
    <row r="1163" spans="1:20" s="2" customFormat="1" ht="30" customHeight="1">
      <c r="A1163" s="72" t="s">
        <v>5</v>
      </c>
      <c r="B1163" s="114"/>
      <c r="C1163" s="119" t="s">
        <v>83</v>
      </c>
      <c r="D1163" s="119"/>
      <c r="E1163" s="119"/>
      <c r="F1163" s="119"/>
      <c r="G1163" s="119"/>
      <c r="H1163" s="54" t="s">
        <v>6</v>
      </c>
      <c r="I1163" s="59"/>
      <c r="J1163" s="120"/>
      <c r="K1163" s="120"/>
      <c r="L1163" s="120"/>
      <c r="M1163" s="120"/>
    </row>
    <row r="1164" spans="1:20" s="1" customFormat="1" ht="30" customHeight="1">
      <c r="A1164" s="72" t="s">
        <v>7</v>
      </c>
      <c r="B1164" s="114"/>
      <c r="C1164" s="4">
        <v>50</v>
      </c>
      <c r="D1164" s="4" t="s">
        <v>8</v>
      </c>
      <c r="E1164" s="4" t="s">
        <v>9</v>
      </c>
      <c r="F1164" s="4">
        <f>F1106+1</f>
        <v>25</v>
      </c>
      <c r="G1164" s="5" t="s">
        <v>8</v>
      </c>
      <c r="H1164" s="4" t="s">
        <v>10</v>
      </c>
      <c r="I1164" s="4">
        <f>C1164-F1164+L1164</f>
        <v>25</v>
      </c>
      <c r="J1164" s="4" t="s">
        <v>11</v>
      </c>
      <c r="K1164" s="6" t="s">
        <v>12</v>
      </c>
      <c r="L1164" s="7">
        <f>L1106</f>
        <v>0</v>
      </c>
      <c r="M1164" s="4" t="s">
        <v>8</v>
      </c>
    </row>
    <row r="1165" spans="1:20" s="2" customFormat="1" ht="30" customHeight="1">
      <c r="A1165" s="72" t="s">
        <v>13</v>
      </c>
      <c r="B1165" s="75"/>
      <c r="C1165" s="75"/>
      <c r="D1165" s="121">
        <f>D1107</f>
        <v>45988</v>
      </c>
      <c r="E1165" s="122"/>
      <c r="F1165" s="122"/>
      <c r="G1165" s="123"/>
      <c r="H1165" s="124" t="s">
        <v>14</v>
      </c>
      <c r="I1165" s="125"/>
      <c r="J1165" s="121">
        <f>J1107</f>
        <v>46037</v>
      </c>
      <c r="K1165" s="122"/>
      <c r="L1165" s="122"/>
      <c r="M1165" s="123"/>
    </row>
    <row r="1166" spans="1:20" s="2" customFormat="1" ht="30" customHeight="1">
      <c r="A1166" s="72" t="s">
        <v>15</v>
      </c>
      <c r="B1166" s="114"/>
      <c r="C1166" s="114"/>
      <c r="D1166" s="72">
        <v>0.68700000000000006</v>
      </c>
      <c r="E1166" s="72"/>
      <c r="F1166" s="72"/>
      <c r="G1166" s="72"/>
      <c r="H1166" s="64" t="s">
        <v>16</v>
      </c>
      <c r="I1166" s="115"/>
      <c r="J1166" s="116">
        <f>P1182</f>
        <v>0</v>
      </c>
      <c r="K1166" s="117"/>
      <c r="L1166" s="117"/>
      <c r="M1166" s="118"/>
    </row>
    <row r="1167" spans="1:20" s="2" customFormat="1" ht="30" customHeight="1">
      <c r="A1167" s="72" t="s">
        <v>17</v>
      </c>
      <c r="B1167" s="114"/>
      <c r="C1167" s="114"/>
      <c r="D1167" s="72">
        <f>D1166+D1109</f>
        <v>11.853999999999997</v>
      </c>
      <c r="E1167" s="72"/>
      <c r="F1167" s="72"/>
      <c r="G1167" s="72"/>
      <c r="H1167" s="64" t="s">
        <v>18</v>
      </c>
      <c r="I1167" s="115"/>
      <c r="J1167" s="116">
        <f>J1166+J1109</f>
        <v>24.70999999999999</v>
      </c>
      <c r="K1167" s="117"/>
      <c r="L1167" s="117"/>
      <c r="M1167" s="118"/>
    </row>
    <row r="1168" spans="1:20" s="2" customFormat="1" ht="30" customHeight="1">
      <c r="A1168" s="111" t="s">
        <v>19</v>
      </c>
      <c r="B1168" s="112"/>
      <c r="C1168" s="112"/>
      <c r="D1168" s="112"/>
      <c r="E1168" s="112"/>
      <c r="F1168" s="112"/>
      <c r="G1168" s="112"/>
      <c r="H1168" s="112"/>
      <c r="I1168" s="112"/>
      <c r="J1168" s="112"/>
      <c r="K1168" s="112"/>
      <c r="L1168" s="112"/>
      <c r="M1168" s="113"/>
    </row>
    <row r="1169" spans="1:20" s="2" customFormat="1" ht="30" customHeight="1">
      <c r="A1169" s="8" t="s">
        <v>20</v>
      </c>
      <c r="B1169" s="72" t="s">
        <v>21</v>
      </c>
      <c r="C1169" s="72"/>
      <c r="D1169" s="72"/>
      <c r="E1169" s="4" t="s">
        <v>22</v>
      </c>
      <c r="F1169" s="54" t="s">
        <v>23</v>
      </c>
      <c r="G1169" s="59"/>
      <c r="H1169" s="72" t="s">
        <v>24</v>
      </c>
      <c r="I1169" s="72"/>
      <c r="J1169" s="72" t="s">
        <v>25</v>
      </c>
      <c r="K1169" s="72"/>
      <c r="L1169" s="72" t="s">
        <v>26</v>
      </c>
      <c r="M1169" s="72"/>
      <c r="O1169" s="1" t="s">
        <v>27</v>
      </c>
      <c r="P1169" s="1" t="s">
        <v>28</v>
      </c>
      <c r="T1169" s="2" t="s">
        <v>29</v>
      </c>
    </row>
    <row r="1170" spans="1:20" s="2" customFormat="1" ht="24.95" customHeight="1">
      <c r="A1170" s="9" t="s">
        <v>30</v>
      </c>
      <c r="B1170" s="110" t="s">
        <v>31</v>
      </c>
      <c r="C1170" s="110"/>
      <c r="D1170" s="110"/>
      <c r="E1170" s="4"/>
      <c r="F1170" s="54"/>
      <c r="G1170" s="59"/>
      <c r="H1170" s="72"/>
      <c r="I1170" s="72"/>
      <c r="J1170" s="72"/>
      <c r="K1170" s="72"/>
      <c r="L1170" s="72"/>
      <c r="M1170" s="72"/>
    </row>
    <row r="1171" spans="1:20" ht="24.95" customHeight="1">
      <c r="A1171" s="10">
        <v>1</v>
      </c>
      <c r="B1171" s="66" t="s">
        <v>91</v>
      </c>
      <c r="C1171" s="67" t="s">
        <v>91</v>
      </c>
      <c r="D1171" s="68" t="s">
        <v>91</v>
      </c>
      <c r="E1171" s="4" t="s">
        <v>32</v>
      </c>
      <c r="F1171" s="69">
        <v>1</v>
      </c>
      <c r="G1171" s="70"/>
      <c r="H1171" s="69"/>
      <c r="I1171" s="70"/>
      <c r="J1171" s="71">
        <f>H1171+J1113</f>
        <v>1</v>
      </c>
      <c r="K1171" s="71"/>
      <c r="L1171" s="72"/>
      <c r="M1171" s="72"/>
      <c r="O1171" s="11">
        <v>4000</v>
      </c>
      <c r="P1171" s="11">
        <f>ROUND(H1171*O1171,0)</f>
        <v>0</v>
      </c>
      <c r="Q1171" s="12"/>
      <c r="S1171" s="11">
        <f>ROUND(J1171*O1171,0)</f>
        <v>4000</v>
      </c>
      <c r="T1171" s="13">
        <f>F1171-J1171</f>
        <v>0</v>
      </c>
    </row>
    <row r="1172" spans="1:20" ht="24.95" customHeight="1">
      <c r="A1172" s="10">
        <v>2</v>
      </c>
      <c r="B1172" s="66" t="s">
        <v>92</v>
      </c>
      <c r="C1172" s="67" t="s">
        <v>92</v>
      </c>
      <c r="D1172" s="68" t="s">
        <v>92</v>
      </c>
      <c r="E1172" s="4" t="s">
        <v>32</v>
      </c>
      <c r="F1172" s="69">
        <v>1</v>
      </c>
      <c r="G1172" s="70"/>
      <c r="H1172" s="69"/>
      <c r="I1172" s="70"/>
      <c r="J1172" s="71">
        <f t="shared" ref="J1172:J1179" si="136">H1172+J1114</f>
        <v>1</v>
      </c>
      <c r="K1172" s="71"/>
      <c r="L1172" s="72"/>
      <c r="M1172" s="72"/>
      <c r="O1172" s="11">
        <v>14334</v>
      </c>
      <c r="P1172" s="11">
        <f t="shared" ref="P1172:P1179" si="137">ROUND(H1172*O1172,0)</f>
        <v>0</v>
      </c>
      <c r="Q1172" s="12"/>
      <c r="S1172" s="11">
        <f t="shared" ref="S1172:S1179" si="138">ROUND(J1172*O1172,0)</f>
        <v>14334</v>
      </c>
      <c r="T1172" s="13">
        <f t="shared" ref="T1172:T1179" si="139">F1172-J1172</f>
        <v>0</v>
      </c>
    </row>
    <row r="1173" spans="1:20" ht="24.95" customHeight="1">
      <c r="A1173" s="10">
        <v>3</v>
      </c>
      <c r="B1173" s="66" t="s">
        <v>84</v>
      </c>
      <c r="C1173" s="67" t="s">
        <v>84</v>
      </c>
      <c r="D1173" s="68" t="s">
        <v>84</v>
      </c>
      <c r="E1173" s="4" t="s">
        <v>33</v>
      </c>
      <c r="F1173" s="69">
        <v>1</v>
      </c>
      <c r="G1173" s="70"/>
      <c r="H1173" s="69"/>
      <c r="I1173" s="70"/>
      <c r="J1173" s="71">
        <f t="shared" si="136"/>
        <v>0.5</v>
      </c>
      <c r="K1173" s="71"/>
      <c r="L1173" s="72"/>
      <c r="M1173" s="72"/>
      <c r="O1173" s="11">
        <v>7000</v>
      </c>
      <c r="P1173" s="11">
        <f t="shared" si="137"/>
        <v>0</v>
      </c>
      <c r="Q1173" s="12"/>
      <c r="S1173" s="11">
        <f t="shared" si="138"/>
        <v>3500</v>
      </c>
      <c r="T1173" s="13">
        <f t="shared" si="139"/>
        <v>0.5</v>
      </c>
    </row>
    <row r="1174" spans="1:20" ht="24.95" customHeight="1">
      <c r="A1174" s="10">
        <v>4</v>
      </c>
      <c r="B1174" s="66" t="s">
        <v>85</v>
      </c>
      <c r="C1174" s="67" t="s">
        <v>85</v>
      </c>
      <c r="D1174" s="68" t="s">
        <v>85</v>
      </c>
      <c r="E1174" s="4" t="s">
        <v>34</v>
      </c>
      <c r="F1174" s="69">
        <v>1</v>
      </c>
      <c r="G1174" s="70"/>
      <c r="H1174" s="69"/>
      <c r="I1174" s="70"/>
      <c r="J1174" s="71">
        <f t="shared" si="136"/>
        <v>1</v>
      </c>
      <c r="K1174" s="71"/>
      <c r="L1174" s="72"/>
      <c r="M1174" s="72"/>
      <c r="O1174" s="11">
        <v>74000</v>
      </c>
      <c r="P1174" s="11">
        <f t="shared" si="137"/>
        <v>0</v>
      </c>
      <c r="Q1174" s="12"/>
      <c r="S1174" s="11">
        <f t="shared" si="138"/>
        <v>74000</v>
      </c>
      <c r="T1174" s="13">
        <f t="shared" si="139"/>
        <v>0</v>
      </c>
    </row>
    <row r="1175" spans="1:20" ht="24.95" customHeight="1">
      <c r="A1175" s="10">
        <v>5</v>
      </c>
      <c r="B1175" s="66" t="s">
        <v>86</v>
      </c>
      <c r="C1175" s="67" t="s">
        <v>86</v>
      </c>
      <c r="D1175" s="68" t="s">
        <v>86</v>
      </c>
      <c r="E1175" s="4" t="s">
        <v>93</v>
      </c>
      <c r="F1175" s="69">
        <v>396</v>
      </c>
      <c r="G1175" s="70"/>
      <c r="H1175" s="69"/>
      <c r="I1175" s="70"/>
      <c r="J1175" s="71">
        <f t="shared" si="136"/>
        <v>350</v>
      </c>
      <c r="K1175" s="71"/>
      <c r="L1175" s="72"/>
      <c r="M1175" s="72"/>
      <c r="O1175" s="11">
        <v>200</v>
      </c>
      <c r="P1175" s="11">
        <f t="shared" si="137"/>
        <v>0</v>
      </c>
      <c r="Q1175" s="12"/>
      <c r="S1175" s="11">
        <f t="shared" si="138"/>
        <v>70000</v>
      </c>
      <c r="T1175" s="13">
        <f t="shared" si="139"/>
        <v>46</v>
      </c>
    </row>
    <row r="1176" spans="1:20" ht="24.95" customHeight="1">
      <c r="A1176" s="10">
        <v>6</v>
      </c>
      <c r="B1176" s="66" t="s">
        <v>97</v>
      </c>
      <c r="C1176" s="67" t="s">
        <v>87</v>
      </c>
      <c r="D1176" s="68" t="s">
        <v>87</v>
      </c>
      <c r="E1176" s="4" t="s">
        <v>35</v>
      </c>
      <c r="F1176" s="69">
        <v>80</v>
      </c>
      <c r="G1176" s="70">
        <v>183.6</v>
      </c>
      <c r="H1176" s="69"/>
      <c r="I1176" s="70"/>
      <c r="J1176" s="71">
        <f t="shared" si="136"/>
        <v>72</v>
      </c>
      <c r="K1176" s="71"/>
      <c r="L1176" s="54"/>
      <c r="M1176" s="59"/>
      <c r="O1176" s="11">
        <v>1463</v>
      </c>
      <c r="P1176" s="11">
        <f t="shared" si="137"/>
        <v>0</v>
      </c>
      <c r="S1176" s="11">
        <f t="shared" si="138"/>
        <v>105336</v>
      </c>
      <c r="T1176" s="13">
        <f t="shared" si="139"/>
        <v>8</v>
      </c>
    </row>
    <row r="1177" spans="1:20" ht="24.95" customHeight="1">
      <c r="A1177" s="10">
        <v>7</v>
      </c>
      <c r="B1177" s="66" t="s">
        <v>88</v>
      </c>
      <c r="C1177" s="67" t="s">
        <v>88</v>
      </c>
      <c r="D1177" s="68" t="s">
        <v>88</v>
      </c>
      <c r="E1177" s="4" t="s">
        <v>94</v>
      </c>
      <c r="F1177" s="69">
        <v>126</v>
      </c>
      <c r="G1177" s="70">
        <v>19</v>
      </c>
      <c r="H1177" s="69"/>
      <c r="I1177" s="70"/>
      <c r="J1177" s="71">
        <f t="shared" si="136"/>
        <v>0</v>
      </c>
      <c r="K1177" s="71"/>
      <c r="L1177" s="54"/>
      <c r="M1177" s="59"/>
      <c r="O1177" s="11">
        <v>6350</v>
      </c>
      <c r="P1177" s="11">
        <f t="shared" si="137"/>
        <v>0</v>
      </c>
      <c r="S1177" s="11">
        <f t="shared" si="138"/>
        <v>0</v>
      </c>
      <c r="T1177" s="13">
        <f t="shared" si="139"/>
        <v>126</v>
      </c>
    </row>
    <row r="1178" spans="1:20" ht="24.95" customHeight="1">
      <c r="A1178" s="10">
        <v>8</v>
      </c>
      <c r="B1178" s="66" t="s">
        <v>89</v>
      </c>
      <c r="C1178" s="67" t="s">
        <v>89</v>
      </c>
      <c r="D1178" s="68" t="s">
        <v>89</v>
      </c>
      <c r="E1178" s="4" t="s">
        <v>95</v>
      </c>
      <c r="F1178" s="69">
        <v>1</v>
      </c>
      <c r="G1178" s="70">
        <v>1192</v>
      </c>
      <c r="H1178" s="69"/>
      <c r="I1178" s="70"/>
      <c r="J1178" s="71">
        <f t="shared" si="136"/>
        <v>0.3</v>
      </c>
      <c r="K1178" s="71"/>
      <c r="L1178" s="54"/>
      <c r="M1178" s="59"/>
      <c r="O1178" s="11">
        <v>47600</v>
      </c>
      <c r="P1178" s="11">
        <f t="shared" si="137"/>
        <v>0</v>
      </c>
      <c r="S1178" s="11">
        <f t="shared" si="138"/>
        <v>14280</v>
      </c>
      <c r="T1178" s="13">
        <f t="shared" si="139"/>
        <v>0.7</v>
      </c>
    </row>
    <row r="1179" spans="1:20" ht="24.95" customHeight="1">
      <c r="A1179" s="10">
        <v>9</v>
      </c>
      <c r="B1179" s="66" t="s">
        <v>90</v>
      </c>
      <c r="C1179" s="67" t="s">
        <v>90</v>
      </c>
      <c r="D1179" s="68" t="s">
        <v>90</v>
      </c>
      <c r="E1179" s="4" t="s">
        <v>96</v>
      </c>
      <c r="F1179" s="69">
        <v>1</v>
      </c>
      <c r="G1179" s="70">
        <v>1261</v>
      </c>
      <c r="H1179" s="69"/>
      <c r="I1179" s="70"/>
      <c r="J1179" s="71">
        <f t="shared" si="136"/>
        <v>0</v>
      </c>
      <c r="K1179" s="71"/>
      <c r="L1179" s="54"/>
      <c r="M1179" s="59"/>
      <c r="O1179" s="11">
        <v>10000</v>
      </c>
      <c r="P1179" s="11">
        <f t="shared" si="137"/>
        <v>0</v>
      </c>
      <c r="S1179" s="11">
        <f t="shared" si="138"/>
        <v>0</v>
      </c>
      <c r="T1179" s="13">
        <f t="shared" si="139"/>
        <v>1</v>
      </c>
    </row>
    <row r="1180" spans="1:20" ht="24.95" customHeight="1">
      <c r="A1180" s="14"/>
      <c r="B1180" s="15"/>
      <c r="C1180" s="16"/>
      <c r="D1180" s="17"/>
      <c r="E1180" s="4"/>
      <c r="F1180" s="18"/>
      <c r="G1180" s="19"/>
      <c r="H1180" s="105"/>
      <c r="I1180" s="106"/>
      <c r="J1180" s="105"/>
      <c r="K1180" s="106"/>
      <c r="L1180" s="54"/>
      <c r="M1180" s="59"/>
      <c r="N1180" s="20"/>
      <c r="P1180" s="21" t="s">
        <v>37</v>
      </c>
      <c r="Q1180" s="22">
        <f>SUM(P1171:P1179)</f>
        <v>0</v>
      </c>
      <c r="R1180" s="23"/>
      <c r="S1180" s="24">
        <f>SUM(S1171:S1179)</f>
        <v>285450</v>
      </c>
      <c r="T1180" s="13"/>
    </row>
    <row r="1181" spans="1:20" ht="24.95" customHeight="1">
      <c r="A1181" s="107"/>
      <c r="B1181" s="108"/>
      <c r="C1181" s="108"/>
      <c r="D1181" s="109"/>
      <c r="E1181" s="4"/>
      <c r="F1181" s="54"/>
      <c r="G1181" s="59"/>
      <c r="H1181" s="72"/>
      <c r="I1181" s="72"/>
      <c r="J1181" s="72"/>
      <c r="K1181" s="72"/>
      <c r="L1181" s="72"/>
      <c r="M1181" s="72"/>
      <c r="O1181" t="s">
        <v>38</v>
      </c>
      <c r="P1181" s="24">
        <f>Q1180</f>
        <v>0</v>
      </c>
      <c r="T1181" s="13"/>
    </row>
    <row r="1182" spans="1:20" ht="24.95" customHeight="1">
      <c r="A1182" s="97"/>
      <c r="B1182" s="98"/>
      <c r="C1182" s="98"/>
      <c r="D1182" s="99"/>
      <c r="E1182" s="4"/>
      <c r="F1182" s="54"/>
      <c r="G1182" s="59"/>
      <c r="H1182" s="72"/>
      <c r="I1182" s="72"/>
      <c r="J1182" s="72"/>
      <c r="K1182" s="72"/>
      <c r="L1182" s="72"/>
      <c r="M1182" s="72"/>
      <c r="O1182" t="s">
        <v>39</v>
      </c>
      <c r="P1182" s="23">
        <f>ROUND(P1181/1153274,4)*100</f>
        <v>0</v>
      </c>
      <c r="T1182" s="13"/>
    </row>
    <row r="1183" spans="1:20" ht="24.95" customHeight="1">
      <c r="A1183" s="25"/>
      <c r="B1183" s="63" t="s">
        <v>40</v>
      </c>
      <c r="C1183" s="63"/>
      <c r="D1183" s="59"/>
      <c r="E1183" s="26"/>
      <c r="F1183" s="100"/>
      <c r="G1183" s="101"/>
      <c r="H1183" s="100"/>
      <c r="I1183" s="101"/>
      <c r="J1183" s="102"/>
      <c r="K1183" s="102"/>
      <c r="L1183" s="103">
        <f>P1181</f>
        <v>0</v>
      </c>
      <c r="M1183" s="104"/>
      <c r="T1183" s="13"/>
    </row>
    <row r="1184" spans="1:20" ht="24.95" customHeight="1" thickBot="1">
      <c r="A1184" s="27"/>
      <c r="B1184" s="85" t="s">
        <v>41</v>
      </c>
      <c r="C1184" s="85"/>
      <c r="D1184" s="86"/>
      <c r="E1184" s="28"/>
      <c r="F1184" s="87"/>
      <c r="G1184" s="88"/>
      <c r="H1184" s="87"/>
      <c r="I1184" s="88"/>
      <c r="J1184" s="87"/>
      <c r="K1184" s="88"/>
      <c r="L1184" s="89">
        <f>L1183+L1126</f>
        <v>285450</v>
      </c>
      <c r="M1184" s="90"/>
      <c r="T1184" s="13"/>
    </row>
    <row r="1185" spans="1:20" ht="24.95" customHeight="1">
      <c r="A1185" s="29"/>
      <c r="B1185" s="91" t="s">
        <v>42</v>
      </c>
      <c r="C1185" s="91"/>
      <c r="D1185" s="92"/>
      <c r="E1185" s="30"/>
      <c r="F1185" s="93"/>
      <c r="G1185" s="94"/>
      <c r="H1185" s="95"/>
      <c r="I1185" s="95"/>
      <c r="J1185" s="95"/>
      <c r="K1185" s="95"/>
      <c r="L1185" s="95"/>
      <c r="M1185" s="96"/>
      <c r="T1185" s="13"/>
    </row>
    <row r="1186" spans="1:20" ht="24.95" customHeight="1">
      <c r="A1186" s="31"/>
      <c r="B1186" s="76" t="s">
        <v>43</v>
      </c>
      <c r="C1186" s="76"/>
      <c r="D1186" s="77"/>
      <c r="E1186" s="4"/>
      <c r="F1186" s="54"/>
      <c r="G1186" s="59"/>
      <c r="H1186" s="72"/>
      <c r="I1186" s="72"/>
      <c r="J1186" s="72"/>
      <c r="K1186" s="72"/>
      <c r="L1186" s="72"/>
      <c r="M1186" s="78"/>
      <c r="T1186" s="13"/>
    </row>
    <row r="1187" spans="1:20" ht="24.95" customHeight="1" thickBot="1">
      <c r="A1187" s="32"/>
      <c r="B1187" s="79" t="s">
        <v>44</v>
      </c>
      <c r="C1187" s="79"/>
      <c r="D1187" s="80"/>
      <c r="E1187" s="33"/>
      <c r="F1187" s="81"/>
      <c r="G1187" s="82"/>
      <c r="H1187" s="83"/>
      <c r="I1187" s="83"/>
      <c r="J1187" s="83"/>
      <c r="K1187" s="83"/>
      <c r="L1187" s="83"/>
      <c r="M1187" s="84"/>
      <c r="T1187" s="13"/>
    </row>
    <row r="1188" spans="1:20" ht="24.95" customHeight="1">
      <c r="A1188" s="73" t="s">
        <v>45</v>
      </c>
      <c r="B1188" s="74"/>
      <c r="C1188" s="74"/>
      <c r="D1188" s="74"/>
      <c r="E1188" s="74"/>
      <c r="F1188" s="74"/>
      <c r="G1188" s="74"/>
      <c r="H1188" s="74"/>
      <c r="I1188" s="74"/>
      <c r="J1188" s="74"/>
      <c r="K1188" s="74"/>
      <c r="L1188" s="74"/>
      <c r="M1188" s="74"/>
      <c r="T1188" s="13"/>
    </row>
    <row r="1189" spans="1:20" ht="24.95" customHeight="1">
      <c r="A1189" s="72" t="s">
        <v>46</v>
      </c>
      <c r="B1189" s="75"/>
      <c r="C1189" s="75"/>
      <c r="D1189" s="75"/>
      <c r="E1189" s="4" t="s">
        <v>22</v>
      </c>
      <c r="F1189" s="72" t="s">
        <v>47</v>
      </c>
      <c r="G1189" s="72"/>
      <c r="H1189" s="72" t="s">
        <v>48</v>
      </c>
      <c r="I1189" s="72"/>
      <c r="J1189" s="72" t="s">
        <v>49</v>
      </c>
      <c r="K1189" s="72"/>
      <c r="L1189" s="72" t="s">
        <v>50</v>
      </c>
      <c r="M1189" s="72"/>
      <c r="T1189" s="13"/>
    </row>
    <row r="1190" spans="1:20" ht="24.95" customHeight="1">
      <c r="A1190" s="10">
        <v>6</v>
      </c>
      <c r="B1190" s="66" t="s">
        <v>97</v>
      </c>
      <c r="C1190" s="67" t="s">
        <v>51</v>
      </c>
      <c r="D1190" s="68" t="s">
        <v>51</v>
      </c>
      <c r="E1190" s="4" t="s">
        <v>35</v>
      </c>
      <c r="F1190" s="69">
        <v>80</v>
      </c>
      <c r="G1190" s="70">
        <v>1261</v>
      </c>
      <c r="H1190" s="71">
        <f>H1176</f>
        <v>0</v>
      </c>
      <c r="I1190" s="71"/>
      <c r="J1190" s="71">
        <f>H1190+J1132</f>
        <v>72</v>
      </c>
      <c r="K1190" s="71"/>
      <c r="L1190" s="72"/>
      <c r="M1190" s="72"/>
      <c r="T1190" s="13"/>
    </row>
    <row r="1191" spans="1:20" ht="24.95" customHeight="1">
      <c r="A1191" s="10">
        <v>7</v>
      </c>
      <c r="B1191" s="66" t="s">
        <v>88</v>
      </c>
      <c r="C1191" s="67" t="s">
        <v>88</v>
      </c>
      <c r="D1191" s="68" t="s">
        <v>88</v>
      </c>
      <c r="E1191" s="4" t="s">
        <v>98</v>
      </c>
      <c r="F1191" s="69">
        <v>126</v>
      </c>
      <c r="G1191" s="70"/>
      <c r="H1191" s="71">
        <f>H1177</f>
        <v>0</v>
      </c>
      <c r="I1191" s="71"/>
      <c r="J1191" s="71">
        <f t="shared" ref="J1191:J1192" si="140">H1191+J1133</f>
        <v>0</v>
      </c>
      <c r="K1191" s="71"/>
      <c r="L1191" s="72"/>
      <c r="M1191" s="72"/>
      <c r="T1191" s="13"/>
    </row>
    <row r="1192" spans="1:20" ht="24.95" customHeight="1">
      <c r="A1192" s="10">
        <v>8</v>
      </c>
      <c r="B1192" s="66" t="s">
        <v>89</v>
      </c>
      <c r="C1192" s="67" t="s">
        <v>89</v>
      </c>
      <c r="D1192" s="68" t="s">
        <v>89</v>
      </c>
      <c r="E1192" s="4" t="s">
        <v>36</v>
      </c>
      <c r="F1192" s="69">
        <v>1</v>
      </c>
      <c r="G1192" s="70"/>
      <c r="H1192" s="71">
        <f>H1178</f>
        <v>0</v>
      </c>
      <c r="I1192" s="71"/>
      <c r="J1192" s="71">
        <f t="shared" si="140"/>
        <v>0.3</v>
      </c>
      <c r="K1192" s="71"/>
      <c r="L1192" s="72"/>
      <c r="M1192" s="72"/>
      <c r="T1192" s="13"/>
    </row>
    <row r="1193" spans="1:20" ht="24.95" customHeight="1">
      <c r="A1193" s="51" t="s">
        <v>52</v>
      </c>
      <c r="B1193" s="52"/>
      <c r="C1193" s="52"/>
      <c r="D1193" s="52"/>
      <c r="E1193" s="52"/>
      <c r="F1193" s="52"/>
      <c r="G1193" s="52"/>
      <c r="H1193" s="52"/>
      <c r="I1193" s="52"/>
      <c r="J1193" s="52"/>
      <c r="K1193" s="52"/>
      <c r="L1193" s="52"/>
      <c r="M1193" s="53"/>
      <c r="T1193" s="13"/>
    </row>
    <row r="1194" spans="1:20" ht="24.95" customHeight="1">
      <c r="A1194" s="54" t="s">
        <v>53</v>
      </c>
      <c r="B1194" s="63"/>
      <c r="C1194" s="63"/>
      <c r="D1194" s="59"/>
      <c r="E1194" s="4" t="s">
        <v>54</v>
      </c>
      <c r="F1194" s="54" t="s">
        <v>55</v>
      </c>
      <c r="G1194" s="59"/>
      <c r="H1194" s="54" t="s">
        <v>56</v>
      </c>
      <c r="I1194" s="59"/>
      <c r="J1194" s="54" t="s">
        <v>48</v>
      </c>
      <c r="K1194" s="59"/>
      <c r="L1194" s="64" t="s">
        <v>49</v>
      </c>
      <c r="M1194" s="65"/>
      <c r="T1194" s="13"/>
    </row>
    <row r="1195" spans="1:20" ht="24.95" customHeight="1">
      <c r="A1195" s="54" t="s">
        <v>57</v>
      </c>
      <c r="B1195" s="55"/>
      <c r="C1195" s="55"/>
      <c r="D1195" s="56"/>
      <c r="E1195" s="4"/>
      <c r="F1195" s="57">
        <f>E1195+F1137</f>
        <v>28</v>
      </c>
      <c r="G1195" s="58"/>
      <c r="H1195" s="54" t="s">
        <v>58</v>
      </c>
      <c r="I1195" s="59"/>
      <c r="J1195" s="54"/>
      <c r="K1195" s="59"/>
      <c r="L1195" s="57">
        <f>J1195+L1137</f>
        <v>14</v>
      </c>
      <c r="M1195" s="58"/>
      <c r="T1195" s="13"/>
    </row>
    <row r="1196" spans="1:20" ht="24.95" customHeight="1">
      <c r="A1196" s="54" t="s">
        <v>59</v>
      </c>
      <c r="B1196" s="55"/>
      <c r="C1196" s="55"/>
      <c r="D1196" s="56"/>
      <c r="E1196" s="4"/>
      <c r="F1196" s="57">
        <f t="shared" ref="F1196:F1198" si="141">E1196+F1138</f>
        <v>0</v>
      </c>
      <c r="G1196" s="58"/>
      <c r="H1196" s="54" t="s">
        <v>60</v>
      </c>
      <c r="I1196" s="59"/>
      <c r="J1196" s="54"/>
      <c r="K1196" s="59"/>
      <c r="L1196" s="57">
        <f t="shared" ref="L1196:L1198" si="142">J1196+L1138</f>
        <v>0</v>
      </c>
      <c r="M1196" s="58"/>
      <c r="T1196" s="13"/>
    </row>
    <row r="1197" spans="1:20" ht="24.95" customHeight="1">
      <c r="A1197" s="54" t="s">
        <v>61</v>
      </c>
      <c r="B1197" s="55"/>
      <c r="C1197" s="55"/>
      <c r="D1197" s="56"/>
      <c r="E1197" s="4"/>
      <c r="F1197" s="57">
        <f t="shared" si="141"/>
        <v>2</v>
      </c>
      <c r="G1197" s="58"/>
      <c r="H1197" s="54" t="s">
        <v>62</v>
      </c>
      <c r="I1197" s="59"/>
      <c r="J1197" s="54"/>
      <c r="K1197" s="59"/>
      <c r="L1197" s="57">
        <f t="shared" si="142"/>
        <v>5</v>
      </c>
      <c r="M1197" s="58"/>
      <c r="T1197" s="13"/>
    </row>
    <row r="1198" spans="1:20" ht="24.95" customHeight="1">
      <c r="A1198" s="54" t="s">
        <v>63</v>
      </c>
      <c r="B1198" s="55"/>
      <c r="C1198" s="55"/>
      <c r="D1198" s="56"/>
      <c r="E1198" s="4"/>
      <c r="F1198" s="57">
        <f t="shared" si="141"/>
        <v>2</v>
      </c>
      <c r="G1198" s="58"/>
      <c r="H1198" s="54" t="s">
        <v>64</v>
      </c>
      <c r="I1198" s="59"/>
      <c r="J1198" s="54"/>
      <c r="K1198" s="59"/>
      <c r="L1198" s="57">
        <f t="shared" si="142"/>
        <v>1</v>
      </c>
      <c r="M1198" s="58"/>
      <c r="T1198" s="13"/>
    </row>
    <row r="1199" spans="1:20" ht="64.5" customHeight="1">
      <c r="A1199" s="60" t="s">
        <v>65</v>
      </c>
      <c r="B1199" s="61"/>
      <c r="C1199" s="61"/>
      <c r="D1199" s="61"/>
      <c r="E1199" s="61"/>
      <c r="F1199" s="61"/>
      <c r="G1199" s="61"/>
      <c r="H1199" s="61"/>
      <c r="I1199" s="61"/>
      <c r="J1199" s="61"/>
      <c r="K1199" s="61"/>
      <c r="L1199" s="61"/>
      <c r="M1199" s="62"/>
      <c r="T1199" s="13"/>
    </row>
    <row r="1200" spans="1:20" ht="24.95" customHeight="1">
      <c r="A1200" s="46" t="s">
        <v>66</v>
      </c>
      <c r="B1200" s="47"/>
      <c r="C1200" s="47"/>
      <c r="D1200" s="47"/>
      <c r="E1200" s="47"/>
      <c r="F1200" s="47"/>
      <c r="G1200" s="47"/>
      <c r="H1200" s="47"/>
      <c r="I1200" s="47"/>
      <c r="J1200" s="47"/>
      <c r="K1200" s="47"/>
      <c r="L1200" s="47"/>
      <c r="M1200" s="48"/>
      <c r="T1200" s="13"/>
    </row>
    <row r="1201" spans="1:20" ht="24.95" customHeight="1">
      <c r="A1201" s="27"/>
      <c r="B1201" s="34" t="s">
        <v>67</v>
      </c>
      <c r="C1201" s="34"/>
      <c r="D1201" s="34"/>
      <c r="E1201" s="34"/>
      <c r="F1201" s="34"/>
      <c r="G1201" s="35"/>
      <c r="H1201" s="34"/>
      <c r="I1201" s="34"/>
      <c r="J1201" s="34"/>
      <c r="K1201" s="34"/>
      <c r="L1201" s="34"/>
      <c r="M1201" s="36"/>
      <c r="T1201" s="13"/>
    </row>
    <row r="1202" spans="1:20" ht="24.95" customHeight="1">
      <c r="A1202" s="27"/>
      <c r="B1202" s="34" t="s">
        <v>81</v>
      </c>
      <c r="C1202" s="34"/>
      <c r="D1202" s="34"/>
      <c r="E1202" s="34"/>
      <c r="F1202" s="34"/>
      <c r="G1202" s="35"/>
      <c r="H1202" s="34"/>
      <c r="I1202" s="34"/>
      <c r="J1202" s="34"/>
      <c r="K1202" s="34"/>
      <c r="L1202" s="34"/>
      <c r="M1202" s="36"/>
      <c r="T1202" s="13"/>
    </row>
    <row r="1203" spans="1:20" ht="24.95" customHeight="1">
      <c r="A1203" s="27"/>
      <c r="B1203" s="34" t="s">
        <v>68</v>
      </c>
      <c r="C1203" s="34"/>
      <c r="D1203" s="34"/>
      <c r="E1203" s="34"/>
      <c r="F1203" s="34"/>
      <c r="G1203" s="35"/>
      <c r="H1203" s="34"/>
      <c r="I1203" s="34"/>
      <c r="J1203" s="34"/>
      <c r="K1203" s="34"/>
      <c r="L1203" s="34"/>
      <c r="M1203" s="36"/>
      <c r="T1203" s="13"/>
    </row>
    <row r="1204" spans="1:20" ht="24.95" customHeight="1">
      <c r="A1204" s="27"/>
      <c r="B1204" s="34" t="s">
        <v>82</v>
      </c>
      <c r="C1204" s="34"/>
      <c r="D1204" s="34"/>
      <c r="E1204" s="34"/>
      <c r="F1204" s="34"/>
      <c r="G1204" s="35"/>
      <c r="H1204" s="34"/>
      <c r="I1204" s="34"/>
      <c r="J1204" s="34"/>
      <c r="K1204" s="34"/>
      <c r="L1204" s="34"/>
      <c r="M1204" s="36"/>
      <c r="T1204" s="13"/>
    </row>
    <row r="1205" spans="1:20" ht="24.95" customHeight="1">
      <c r="A1205" s="27"/>
      <c r="B1205" s="34" t="s">
        <v>99</v>
      </c>
      <c r="C1205" s="34"/>
      <c r="D1205" s="34"/>
      <c r="E1205" s="34"/>
      <c r="F1205" s="34"/>
      <c r="G1205" s="35"/>
      <c r="H1205" s="34"/>
      <c r="I1205" s="34"/>
      <c r="J1205" s="34"/>
      <c r="K1205" s="34"/>
      <c r="L1205" s="34"/>
      <c r="M1205" s="36"/>
      <c r="T1205" s="13"/>
    </row>
    <row r="1206" spans="1:20" ht="24.95" customHeight="1">
      <c r="A1206" s="37"/>
      <c r="B1206" s="49" t="s">
        <v>69</v>
      </c>
      <c r="C1206" s="49"/>
      <c r="D1206" s="49"/>
      <c r="E1206" s="49"/>
      <c r="F1206" s="49"/>
      <c r="G1206" s="49"/>
      <c r="H1206" s="49"/>
      <c r="I1206" s="49"/>
      <c r="J1206" s="49"/>
      <c r="K1206" s="49"/>
      <c r="L1206" s="49"/>
      <c r="M1206" s="50"/>
      <c r="T1206" s="13"/>
    </row>
    <row r="1207" spans="1:20" ht="44.25" customHeight="1">
      <c r="A1207" s="51" t="s">
        <v>70</v>
      </c>
      <c r="B1207" s="52"/>
      <c r="C1207" s="52"/>
      <c r="D1207" s="52"/>
      <c r="E1207" s="52"/>
      <c r="F1207" s="52"/>
      <c r="G1207" s="52"/>
      <c r="H1207" s="52"/>
      <c r="I1207" s="52"/>
      <c r="J1207" s="52"/>
      <c r="K1207" s="52"/>
      <c r="L1207" s="52"/>
      <c r="M1207" s="53"/>
      <c r="T1207" s="13"/>
    </row>
    <row r="1208" spans="1:20" ht="48" customHeight="1">
      <c r="A1208" s="51" t="s">
        <v>71</v>
      </c>
      <c r="B1208" s="52"/>
      <c r="C1208" s="52"/>
      <c r="D1208" s="52"/>
      <c r="E1208" s="52"/>
      <c r="F1208" s="52"/>
      <c r="G1208" s="52"/>
      <c r="H1208" s="52"/>
      <c r="I1208" s="52"/>
      <c r="J1208" s="52"/>
      <c r="K1208" s="52"/>
      <c r="L1208" s="52"/>
      <c r="M1208" s="53"/>
      <c r="T1208" s="13"/>
    </row>
    <row r="1209" spans="1:20" ht="81" customHeight="1">
      <c r="A1209" s="51" t="s">
        <v>142</v>
      </c>
      <c r="B1209" s="52"/>
      <c r="C1209" s="52"/>
      <c r="D1209" s="52"/>
      <c r="E1209" s="52"/>
      <c r="F1209" s="52"/>
      <c r="G1209" s="52"/>
      <c r="H1209" s="52"/>
      <c r="I1209" s="52"/>
      <c r="J1209" s="52"/>
      <c r="K1209" s="52"/>
      <c r="L1209" s="52"/>
      <c r="M1209" s="53"/>
      <c r="T1209" s="13"/>
    </row>
    <row r="1210" spans="1:20" ht="100.5" customHeight="1">
      <c r="A1210" s="51" t="s">
        <v>72</v>
      </c>
      <c r="B1210" s="52"/>
      <c r="C1210" s="52"/>
      <c r="D1210" s="52"/>
      <c r="E1210" s="52"/>
      <c r="F1210" s="52"/>
      <c r="G1210" s="52"/>
      <c r="H1210" s="52"/>
      <c r="I1210" s="52"/>
      <c r="J1210" s="52"/>
      <c r="K1210" s="52"/>
      <c r="L1210" s="52"/>
      <c r="M1210" s="53"/>
      <c r="T1210" s="13"/>
    </row>
    <row r="1211" spans="1:20" ht="12" customHeight="1">
      <c r="A1211" s="41" t="s">
        <v>73</v>
      </c>
      <c r="B1211" s="41"/>
      <c r="C1211" s="42"/>
      <c r="D1211" s="42"/>
      <c r="E1211" s="42"/>
      <c r="F1211" s="42"/>
      <c r="G1211" s="42"/>
      <c r="H1211" s="42"/>
      <c r="I1211" s="42"/>
      <c r="J1211" s="42"/>
      <c r="K1211" s="42"/>
      <c r="L1211" s="42"/>
      <c r="M1211" s="38"/>
      <c r="T1211" s="13"/>
    </row>
    <row r="1212" spans="1:20" ht="12" customHeight="1">
      <c r="A1212" s="43" t="s">
        <v>74</v>
      </c>
      <c r="B1212" s="43"/>
      <c r="C1212" s="40"/>
      <c r="D1212" s="40"/>
      <c r="E1212" s="40"/>
      <c r="F1212" s="40"/>
      <c r="G1212" s="40"/>
      <c r="H1212" s="40"/>
      <c r="I1212" s="40"/>
      <c r="J1212" s="40"/>
      <c r="K1212" s="40"/>
      <c r="L1212" s="38"/>
      <c r="M1212" s="38"/>
      <c r="T1212" s="13"/>
    </row>
    <row r="1213" spans="1:20" ht="12" customHeight="1">
      <c r="A1213" s="44" t="s">
        <v>75</v>
      </c>
      <c r="B1213" s="44"/>
      <c r="C1213" s="44"/>
      <c r="D1213" s="44"/>
      <c r="E1213" s="44"/>
      <c r="F1213" s="44"/>
      <c r="G1213" s="44"/>
      <c r="H1213" s="44"/>
      <c r="I1213" s="44"/>
      <c r="J1213" s="44"/>
      <c r="K1213" s="44"/>
      <c r="L1213" s="44"/>
      <c r="M1213" s="44"/>
      <c r="T1213" s="13"/>
    </row>
    <row r="1214" spans="1:20" ht="12" customHeight="1">
      <c r="A1214" s="39" t="s">
        <v>76</v>
      </c>
      <c r="B1214" s="39"/>
      <c r="C1214" s="39"/>
      <c r="D1214" s="39"/>
      <c r="E1214" s="39"/>
      <c r="F1214" s="39"/>
      <c r="G1214" s="39"/>
      <c r="H1214" s="39"/>
      <c r="I1214" s="39"/>
      <c r="J1214" s="39"/>
      <c r="K1214" s="39"/>
      <c r="L1214" s="39"/>
      <c r="M1214" s="39"/>
      <c r="T1214" s="13"/>
    </row>
    <row r="1215" spans="1:20" ht="12" customHeight="1">
      <c r="A1215" s="39" t="s">
        <v>77</v>
      </c>
      <c r="B1215" s="40"/>
      <c r="C1215" s="40"/>
      <c r="D1215" s="40"/>
      <c r="E1215" s="40"/>
      <c r="F1215" s="40"/>
      <c r="G1215" s="40"/>
      <c r="H1215" s="40"/>
      <c r="I1215" s="40"/>
      <c r="J1215" s="40"/>
      <c r="K1215" s="40"/>
      <c r="L1215" s="40"/>
      <c r="M1215" s="40"/>
      <c r="T1215" s="13"/>
    </row>
    <row r="1216" spans="1:20" ht="12" customHeight="1">
      <c r="A1216" s="45" t="s">
        <v>78</v>
      </c>
      <c r="B1216" s="40"/>
      <c r="C1216" s="40"/>
      <c r="D1216" s="40"/>
      <c r="E1216" s="40"/>
      <c r="F1216" s="40"/>
      <c r="G1216" s="40"/>
      <c r="H1216" s="40"/>
      <c r="I1216" s="40"/>
      <c r="J1216" s="40"/>
      <c r="K1216" s="40"/>
      <c r="L1216" s="40"/>
      <c r="M1216" s="40"/>
      <c r="T1216" s="13"/>
    </row>
    <row r="1217" spans="1:20" ht="12" customHeight="1">
      <c r="A1217" s="39" t="s">
        <v>79</v>
      </c>
      <c r="B1217" s="40"/>
      <c r="C1217" s="40"/>
      <c r="D1217" s="40"/>
      <c r="E1217" s="40"/>
      <c r="F1217" s="40"/>
      <c r="G1217" s="40"/>
      <c r="H1217" s="40"/>
      <c r="I1217" s="40"/>
      <c r="J1217" s="40"/>
      <c r="K1217" s="40"/>
      <c r="L1217" s="40"/>
      <c r="M1217" s="40"/>
      <c r="T1217" s="13"/>
    </row>
    <row r="1218" spans="1:20" ht="409.5" customHeight="1"/>
    <row r="1219" spans="1:20" s="2" customFormat="1" ht="35.1" customHeight="1">
      <c r="A1219" s="126" t="s">
        <v>0</v>
      </c>
      <c r="B1219" s="126"/>
      <c r="C1219" s="1">
        <f>C1161+1</f>
        <v>26</v>
      </c>
      <c r="G1219" s="3"/>
    </row>
    <row r="1220" spans="1:20" s="2" customFormat="1" ht="35.1" customHeight="1">
      <c r="A1220" s="126" t="s">
        <v>1</v>
      </c>
      <c r="B1220" s="126"/>
      <c r="C1220" s="2" t="s">
        <v>2</v>
      </c>
      <c r="D1220" s="2" t="s">
        <v>143</v>
      </c>
      <c r="E1220" s="2" t="s">
        <v>3</v>
      </c>
      <c r="F1220" s="2" t="s">
        <v>162</v>
      </c>
      <c r="G1220" s="3"/>
      <c r="H1220" s="127" t="s">
        <v>4</v>
      </c>
      <c r="I1220" s="128"/>
      <c r="J1220" s="129">
        <f>J1162+1</f>
        <v>46013</v>
      </c>
      <c r="K1220" s="130"/>
      <c r="L1220" s="131">
        <f>J1220</f>
        <v>46013</v>
      </c>
      <c r="M1220" s="132"/>
    </row>
    <row r="1221" spans="1:20" s="2" customFormat="1" ht="30" customHeight="1">
      <c r="A1221" s="72" t="s">
        <v>5</v>
      </c>
      <c r="B1221" s="114"/>
      <c r="C1221" s="119" t="s">
        <v>83</v>
      </c>
      <c r="D1221" s="119"/>
      <c r="E1221" s="119"/>
      <c r="F1221" s="119"/>
      <c r="G1221" s="119"/>
      <c r="H1221" s="54" t="s">
        <v>6</v>
      </c>
      <c r="I1221" s="59"/>
      <c r="J1221" s="120"/>
      <c r="K1221" s="120"/>
      <c r="L1221" s="120"/>
      <c r="M1221" s="120"/>
    </row>
    <row r="1222" spans="1:20" s="1" customFormat="1" ht="30" customHeight="1">
      <c r="A1222" s="72" t="s">
        <v>7</v>
      </c>
      <c r="B1222" s="114"/>
      <c r="C1222" s="4">
        <v>50</v>
      </c>
      <c r="D1222" s="4" t="s">
        <v>8</v>
      </c>
      <c r="E1222" s="4" t="s">
        <v>9</v>
      </c>
      <c r="F1222" s="4">
        <f>F1164+1</f>
        <v>26</v>
      </c>
      <c r="G1222" s="5" t="s">
        <v>8</v>
      </c>
      <c r="H1222" s="4" t="s">
        <v>10</v>
      </c>
      <c r="I1222" s="4">
        <f>C1222-F1222+L1222</f>
        <v>24</v>
      </c>
      <c r="J1222" s="4" t="s">
        <v>11</v>
      </c>
      <c r="K1222" s="6" t="s">
        <v>12</v>
      </c>
      <c r="L1222" s="7">
        <f>L1164</f>
        <v>0</v>
      </c>
      <c r="M1222" s="4" t="s">
        <v>8</v>
      </c>
    </row>
    <row r="1223" spans="1:20" s="2" customFormat="1" ht="30" customHeight="1">
      <c r="A1223" s="72" t="s">
        <v>13</v>
      </c>
      <c r="B1223" s="75"/>
      <c r="C1223" s="75"/>
      <c r="D1223" s="121">
        <f>D1165</f>
        <v>45988</v>
      </c>
      <c r="E1223" s="122"/>
      <c r="F1223" s="122"/>
      <c r="G1223" s="123"/>
      <c r="H1223" s="124" t="s">
        <v>14</v>
      </c>
      <c r="I1223" s="125"/>
      <c r="J1223" s="121">
        <f>J1165</f>
        <v>46037</v>
      </c>
      <c r="K1223" s="122"/>
      <c r="L1223" s="122"/>
      <c r="M1223" s="123"/>
    </row>
    <row r="1224" spans="1:20" s="2" customFormat="1" ht="30" customHeight="1">
      <c r="A1224" s="72" t="s">
        <v>15</v>
      </c>
      <c r="B1224" s="114"/>
      <c r="C1224" s="114"/>
      <c r="D1224" s="72">
        <v>1.702</v>
      </c>
      <c r="E1224" s="72"/>
      <c r="F1224" s="72"/>
      <c r="G1224" s="72"/>
      <c r="H1224" s="64" t="s">
        <v>16</v>
      </c>
      <c r="I1224" s="115"/>
      <c r="J1224" s="116">
        <f>P1240</f>
        <v>0.76</v>
      </c>
      <c r="K1224" s="117"/>
      <c r="L1224" s="117"/>
      <c r="M1224" s="118"/>
    </row>
    <row r="1225" spans="1:20" s="2" customFormat="1" ht="30" customHeight="1">
      <c r="A1225" s="72" t="s">
        <v>17</v>
      </c>
      <c r="B1225" s="114"/>
      <c r="C1225" s="114"/>
      <c r="D1225" s="72">
        <f>D1224+D1167</f>
        <v>13.555999999999997</v>
      </c>
      <c r="E1225" s="72"/>
      <c r="F1225" s="72"/>
      <c r="G1225" s="72"/>
      <c r="H1225" s="64" t="s">
        <v>18</v>
      </c>
      <c r="I1225" s="115"/>
      <c r="J1225" s="116">
        <f>J1224+J1167</f>
        <v>25.469999999999992</v>
      </c>
      <c r="K1225" s="117"/>
      <c r="L1225" s="117"/>
      <c r="M1225" s="118"/>
    </row>
    <row r="1226" spans="1:20" s="2" customFormat="1" ht="30" customHeight="1">
      <c r="A1226" s="111" t="s">
        <v>19</v>
      </c>
      <c r="B1226" s="112"/>
      <c r="C1226" s="112"/>
      <c r="D1226" s="112"/>
      <c r="E1226" s="112"/>
      <c r="F1226" s="112"/>
      <c r="G1226" s="112"/>
      <c r="H1226" s="112"/>
      <c r="I1226" s="112"/>
      <c r="J1226" s="112"/>
      <c r="K1226" s="112"/>
      <c r="L1226" s="112"/>
      <c r="M1226" s="113"/>
    </row>
    <row r="1227" spans="1:20" s="2" customFormat="1" ht="30" customHeight="1">
      <c r="A1227" s="8" t="s">
        <v>20</v>
      </c>
      <c r="B1227" s="72" t="s">
        <v>21</v>
      </c>
      <c r="C1227" s="72"/>
      <c r="D1227" s="72"/>
      <c r="E1227" s="4" t="s">
        <v>22</v>
      </c>
      <c r="F1227" s="54" t="s">
        <v>23</v>
      </c>
      <c r="G1227" s="59"/>
      <c r="H1227" s="72" t="s">
        <v>24</v>
      </c>
      <c r="I1227" s="72"/>
      <c r="J1227" s="72" t="s">
        <v>25</v>
      </c>
      <c r="K1227" s="72"/>
      <c r="L1227" s="72" t="s">
        <v>26</v>
      </c>
      <c r="M1227" s="72"/>
      <c r="O1227" s="1" t="s">
        <v>27</v>
      </c>
      <c r="P1227" s="1" t="s">
        <v>28</v>
      </c>
      <c r="T1227" s="2" t="s">
        <v>29</v>
      </c>
    </row>
    <row r="1228" spans="1:20" s="2" customFormat="1" ht="24.95" customHeight="1">
      <c r="A1228" s="9" t="s">
        <v>30</v>
      </c>
      <c r="B1228" s="110" t="s">
        <v>31</v>
      </c>
      <c r="C1228" s="110"/>
      <c r="D1228" s="110"/>
      <c r="E1228" s="4"/>
      <c r="F1228" s="54"/>
      <c r="G1228" s="59"/>
      <c r="H1228" s="72"/>
      <c r="I1228" s="72"/>
      <c r="J1228" s="72"/>
      <c r="K1228" s="72"/>
      <c r="L1228" s="72"/>
      <c r="M1228" s="72"/>
    </row>
    <row r="1229" spans="1:20" ht="24.95" customHeight="1">
      <c r="A1229" s="10">
        <v>1</v>
      </c>
      <c r="B1229" s="66" t="s">
        <v>91</v>
      </c>
      <c r="C1229" s="67" t="s">
        <v>91</v>
      </c>
      <c r="D1229" s="68" t="s">
        <v>91</v>
      </c>
      <c r="E1229" s="4" t="s">
        <v>32</v>
      </c>
      <c r="F1229" s="69">
        <v>1</v>
      </c>
      <c r="G1229" s="70"/>
      <c r="H1229" s="69"/>
      <c r="I1229" s="70"/>
      <c r="J1229" s="71">
        <f>H1229+J1171</f>
        <v>1</v>
      </c>
      <c r="K1229" s="71"/>
      <c r="L1229" s="72"/>
      <c r="M1229" s="72"/>
      <c r="O1229" s="11">
        <v>4000</v>
      </c>
      <c r="P1229" s="11">
        <f>ROUND(H1229*O1229,0)</f>
        <v>0</v>
      </c>
      <c r="Q1229" s="12"/>
      <c r="S1229" s="11">
        <f>ROUND(J1229*O1229,0)</f>
        <v>4000</v>
      </c>
      <c r="T1229" s="13">
        <f>F1229-J1229</f>
        <v>0</v>
      </c>
    </row>
    <row r="1230" spans="1:20" ht="24.95" customHeight="1">
      <c r="A1230" s="10">
        <v>2</v>
      </c>
      <c r="B1230" s="66" t="s">
        <v>92</v>
      </c>
      <c r="C1230" s="67" t="s">
        <v>92</v>
      </c>
      <c r="D1230" s="68" t="s">
        <v>92</v>
      </c>
      <c r="E1230" s="4" t="s">
        <v>32</v>
      </c>
      <c r="F1230" s="69">
        <v>1</v>
      </c>
      <c r="G1230" s="70"/>
      <c r="H1230" s="69"/>
      <c r="I1230" s="70"/>
      <c r="J1230" s="71">
        <f t="shared" ref="J1230:J1237" si="143">H1230+J1172</f>
        <v>1</v>
      </c>
      <c r="K1230" s="71"/>
      <c r="L1230" s="72"/>
      <c r="M1230" s="72"/>
      <c r="O1230" s="11">
        <v>14334</v>
      </c>
      <c r="P1230" s="11">
        <f t="shared" ref="P1230:P1237" si="144">ROUND(H1230*O1230,0)</f>
        <v>0</v>
      </c>
      <c r="Q1230" s="12"/>
      <c r="S1230" s="11">
        <f t="shared" ref="S1230:S1237" si="145">ROUND(J1230*O1230,0)</f>
        <v>14334</v>
      </c>
      <c r="T1230" s="13">
        <f t="shared" ref="T1230:T1237" si="146">F1230-J1230</f>
        <v>0</v>
      </c>
    </row>
    <row r="1231" spans="1:20" ht="24.95" customHeight="1">
      <c r="A1231" s="10">
        <v>3</v>
      </c>
      <c r="B1231" s="66" t="s">
        <v>84</v>
      </c>
      <c r="C1231" s="67" t="s">
        <v>84</v>
      </c>
      <c r="D1231" s="68" t="s">
        <v>84</v>
      </c>
      <c r="E1231" s="4" t="s">
        <v>33</v>
      </c>
      <c r="F1231" s="69">
        <v>1</v>
      </c>
      <c r="G1231" s="70"/>
      <c r="H1231" s="69"/>
      <c r="I1231" s="70"/>
      <c r="J1231" s="71">
        <f t="shared" si="143"/>
        <v>0.5</v>
      </c>
      <c r="K1231" s="71"/>
      <c r="L1231" s="72"/>
      <c r="M1231" s="72"/>
      <c r="O1231" s="11">
        <v>7000</v>
      </c>
      <c r="P1231" s="11">
        <f t="shared" si="144"/>
        <v>0</v>
      </c>
      <c r="Q1231" s="12"/>
      <c r="S1231" s="11">
        <f t="shared" si="145"/>
        <v>3500</v>
      </c>
      <c r="T1231" s="13">
        <f t="shared" si="146"/>
        <v>0.5</v>
      </c>
    </row>
    <row r="1232" spans="1:20" ht="24.95" customHeight="1">
      <c r="A1232" s="10">
        <v>4</v>
      </c>
      <c r="B1232" s="66" t="s">
        <v>85</v>
      </c>
      <c r="C1232" s="67" t="s">
        <v>85</v>
      </c>
      <c r="D1232" s="68" t="s">
        <v>85</v>
      </c>
      <c r="E1232" s="4" t="s">
        <v>34</v>
      </c>
      <c r="F1232" s="69">
        <v>1</v>
      </c>
      <c r="G1232" s="70"/>
      <c r="H1232" s="69"/>
      <c r="I1232" s="70"/>
      <c r="J1232" s="71">
        <f t="shared" si="143"/>
        <v>1</v>
      </c>
      <c r="K1232" s="71"/>
      <c r="L1232" s="72"/>
      <c r="M1232" s="72"/>
      <c r="O1232" s="11">
        <v>74000</v>
      </c>
      <c r="P1232" s="11">
        <f t="shared" si="144"/>
        <v>0</v>
      </c>
      <c r="Q1232" s="12"/>
      <c r="S1232" s="11">
        <f t="shared" si="145"/>
        <v>74000</v>
      </c>
      <c r="T1232" s="13">
        <f t="shared" si="146"/>
        <v>0</v>
      </c>
    </row>
    <row r="1233" spans="1:20" ht="24.95" customHeight="1">
      <c r="A1233" s="10">
        <v>5</v>
      </c>
      <c r="B1233" s="66" t="s">
        <v>86</v>
      </c>
      <c r="C1233" s="67" t="s">
        <v>86</v>
      </c>
      <c r="D1233" s="68" t="s">
        <v>86</v>
      </c>
      <c r="E1233" s="4" t="s">
        <v>93</v>
      </c>
      <c r="F1233" s="69">
        <v>396</v>
      </c>
      <c r="G1233" s="70"/>
      <c r="H1233" s="69"/>
      <c r="I1233" s="70"/>
      <c r="J1233" s="71">
        <f t="shared" si="143"/>
        <v>350</v>
      </c>
      <c r="K1233" s="71"/>
      <c r="L1233" s="72"/>
      <c r="M1233" s="72"/>
      <c r="O1233" s="11">
        <v>200</v>
      </c>
      <c r="P1233" s="11">
        <f t="shared" si="144"/>
        <v>0</v>
      </c>
      <c r="Q1233" s="12"/>
      <c r="S1233" s="11">
        <f t="shared" si="145"/>
        <v>70000</v>
      </c>
      <c r="T1233" s="13">
        <f t="shared" si="146"/>
        <v>46</v>
      </c>
    </row>
    <row r="1234" spans="1:20" ht="24.95" customHeight="1">
      <c r="A1234" s="10">
        <v>6</v>
      </c>
      <c r="B1234" s="66" t="s">
        <v>144</v>
      </c>
      <c r="C1234" s="67" t="s">
        <v>87</v>
      </c>
      <c r="D1234" s="68" t="s">
        <v>87</v>
      </c>
      <c r="E1234" s="4" t="s">
        <v>35</v>
      </c>
      <c r="F1234" s="69">
        <v>80</v>
      </c>
      <c r="G1234" s="70">
        <v>183.6</v>
      </c>
      <c r="H1234" s="69">
        <v>6</v>
      </c>
      <c r="I1234" s="70"/>
      <c r="J1234" s="71">
        <f t="shared" si="143"/>
        <v>78</v>
      </c>
      <c r="K1234" s="71"/>
      <c r="L1234" s="54"/>
      <c r="M1234" s="59"/>
      <c r="O1234" s="11">
        <v>1463</v>
      </c>
      <c r="P1234" s="11">
        <f t="shared" si="144"/>
        <v>8778</v>
      </c>
      <c r="S1234" s="11">
        <f t="shared" si="145"/>
        <v>114114</v>
      </c>
      <c r="T1234" s="13">
        <f t="shared" si="146"/>
        <v>2</v>
      </c>
    </row>
    <row r="1235" spans="1:20" ht="24.95" customHeight="1">
      <c r="A1235" s="10">
        <v>7</v>
      </c>
      <c r="B1235" s="66" t="s">
        <v>88</v>
      </c>
      <c r="C1235" s="67" t="s">
        <v>88</v>
      </c>
      <c r="D1235" s="68" t="s">
        <v>88</v>
      </c>
      <c r="E1235" s="4" t="s">
        <v>94</v>
      </c>
      <c r="F1235" s="69">
        <v>126</v>
      </c>
      <c r="G1235" s="70">
        <v>19</v>
      </c>
      <c r="H1235" s="69"/>
      <c r="I1235" s="70"/>
      <c r="J1235" s="71">
        <f t="shared" si="143"/>
        <v>0</v>
      </c>
      <c r="K1235" s="71"/>
      <c r="L1235" s="54"/>
      <c r="M1235" s="59"/>
      <c r="O1235" s="11">
        <v>6350</v>
      </c>
      <c r="P1235" s="11">
        <f t="shared" si="144"/>
        <v>0</v>
      </c>
      <c r="S1235" s="11">
        <f t="shared" si="145"/>
        <v>0</v>
      </c>
      <c r="T1235" s="13">
        <f t="shared" si="146"/>
        <v>126</v>
      </c>
    </row>
    <row r="1236" spans="1:20" ht="24.95" customHeight="1">
      <c r="A1236" s="10">
        <v>8</v>
      </c>
      <c r="B1236" s="66" t="s">
        <v>89</v>
      </c>
      <c r="C1236" s="67" t="s">
        <v>89</v>
      </c>
      <c r="D1236" s="68" t="s">
        <v>89</v>
      </c>
      <c r="E1236" s="4" t="s">
        <v>95</v>
      </c>
      <c r="F1236" s="69">
        <v>1</v>
      </c>
      <c r="G1236" s="70">
        <v>1192</v>
      </c>
      <c r="H1236" s="69"/>
      <c r="I1236" s="70"/>
      <c r="J1236" s="71">
        <f t="shared" si="143"/>
        <v>0.3</v>
      </c>
      <c r="K1236" s="71"/>
      <c r="L1236" s="54"/>
      <c r="M1236" s="59"/>
      <c r="O1236" s="11">
        <v>47600</v>
      </c>
      <c r="P1236" s="11">
        <f t="shared" si="144"/>
        <v>0</v>
      </c>
      <c r="S1236" s="11">
        <f t="shared" si="145"/>
        <v>14280</v>
      </c>
      <c r="T1236" s="13">
        <f t="shared" si="146"/>
        <v>0.7</v>
      </c>
    </row>
    <row r="1237" spans="1:20" ht="24.95" customHeight="1">
      <c r="A1237" s="10">
        <v>9</v>
      </c>
      <c r="B1237" s="66" t="s">
        <v>90</v>
      </c>
      <c r="C1237" s="67" t="s">
        <v>90</v>
      </c>
      <c r="D1237" s="68" t="s">
        <v>90</v>
      </c>
      <c r="E1237" s="4" t="s">
        <v>96</v>
      </c>
      <c r="F1237" s="69">
        <v>1</v>
      </c>
      <c r="G1237" s="70">
        <v>1261</v>
      </c>
      <c r="H1237" s="69"/>
      <c r="I1237" s="70"/>
      <c r="J1237" s="71">
        <f t="shared" si="143"/>
        <v>0</v>
      </c>
      <c r="K1237" s="71"/>
      <c r="L1237" s="54"/>
      <c r="M1237" s="59"/>
      <c r="O1237" s="11">
        <v>10000</v>
      </c>
      <c r="P1237" s="11">
        <f t="shared" si="144"/>
        <v>0</v>
      </c>
      <c r="S1237" s="11">
        <f t="shared" si="145"/>
        <v>0</v>
      </c>
      <c r="T1237" s="13">
        <f t="shared" si="146"/>
        <v>1</v>
      </c>
    </row>
    <row r="1238" spans="1:20" ht="24.95" customHeight="1">
      <c r="A1238" s="14"/>
      <c r="B1238" s="15"/>
      <c r="C1238" s="16"/>
      <c r="D1238" s="17"/>
      <c r="E1238" s="4"/>
      <c r="F1238" s="18"/>
      <c r="G1238" s="19"/>
      <c r="H1238" s="105"/>
      <c r="I1238" s="106"/>
      <c r="J1238" s="105"/>
      <c r="K1238" s="106"/>
      <c r="L1238" s="54"/>
      <c r="M1238" s="59"/>
      <c r="N1238" s="20"/>
      <c r="P1238" s="21" t="s">
        <v>37</v>
      </c>
      <c r="Q1238" s="22">
        <f>SUM(P1229:P1237)</f>
        <v>8778</v>
      </c>
      <c r="R1238" s="23"/>
      <c r="S1238" s="24">
        <f>SUM(S1229:S1237)</f>
        <v>294228</v>
      </c>
      <c r="T1238" s="13"/>
    </row>
    <row r="1239" spans="1:20" ht="24.95" customHeight="1">
      <c r="A1239" s="107"/>
      <c r="B1239" s="108"/>
      <c r="C1239" s="108"/>
      <c r="D1239" s="109"/>
      <c r="E1239" s="4"/>
      <c r="F1239" s="54"/>
      <c r="G1239" s="59"/>
      <c r="H1239" s="72"/>
      <c r="I1239" s="72"/>
      <c r="J1239" s="72"/>
      <c r="K1239" s="72"/>
      <c r="L1239" s="72"/>
      <c r="M1239" s="72"/>
      <c r="O1239" t="s">
        <v>38</v>
      </c>
      <c r="P1239" s="24">
        <f>Q1238</f>
        <v>8778</v>
      </c>
      <c r="T1239" s="13"/>
    </row>
    <row r="1240" spans="1:20" ht="24.95" customHeight="1">
      <c r="A1240" s="97"/>
      <c r="B1240" s="98"/>
      <c r="C1240" s="98"/>
      <c r="D1240" s="99"/>
      <c r="E1240" s="4"/>
      <c r="F1240" s="54"/>
      <c r="G1240" s="59"/>
      <c r="H1240" s="72"/>
      <c r="I1240" s="72"/>
      <c r="J1240" s="72"/>
      <c r="K1240" s="72"/>
      <c r="L1240" s="72"/>
      <c r="M1240" s="72"/>
      <c r="O1240" t="s">
        <v>39</v>
      </c>
      <c r="P1240" s="23">
        <f>ROUND(P1239/1153274,4)*100</f>
        <v>0.76</v>
      </c>
      <c r="T1240" s="13"/>
    </row>
    <row r="1241" spans="1:20" ht="24.95" customHeight="1">
      <c r="A1241" s="25"/>
      <c r="B1241" s="63" t="s">
        <v>40</v>
      </c>
      <c r="C1241" s="63"/>
      <c r="D1241" s="59"/>
      <c r="E1241" s="26"/>
      <c r="F1241" s="100"/>
      <c r="G1241" s="101"/>
      <c r="H1241" s="100"/>
      <c r="I1241" s="101"/>
      <c r="J1241" s="102"/>
      <c r="K1241" s="102"/>
      <c r="L1241" s="103">
        <f>P1239</f>
        <v>8778</v>
      </c>
      <c r="M1241" s="104"/>
      <c r="T1241" s="13"/>
    </row>
    <row r="1242" spans="1:20" ht="24.95" customHeight="1" thickBot="1">
      <c r="A1242" s="27"/>
      <c r="B1242" s="85" t="s">
        <v>41</v>
      </c>
      <c r="C1242" s="85"/>
      <c r="D1242" s="86"/>
      <c r="E1242" s="28"/>
      <c r="F1242" s="87"/>
      <c r="G1242" s="88"/>
      <c r="H1242" s="87"/>
      <c r="I1242" s="88"/>
      <c r="J1242" s="87"/>
      <c r="K1242" s="88"/>
      <c r="L1242" s="89">
        <f>L1241+L1184</f>
        <v>294228</v>
      </c>
      <c r="M1242" s="90"/>
      <c r="T1242" s="13"/>
    </row>
    <row r="1243" spans="1:20" ht="24.95" customHeight="1">
      <c r="A1243" s="29"/>
      <c r="B1243" s="91" t="s">
        <v>42</v>
      </c>
      <c r="C1243" s="91"/>
      <c r="D1243" s="92"/>
      <c r="E1243" s="30"/>
      <c r="F1243" s="93"/>
      <c r="G1243" s="94"/>
      <c r="H1243" s="95"/>
      <c r="I1243" s="95"/>
      <c r="J1243" s="95"/>
      <c r="K1243" s="95"/>
      <c r="L1243" s="95"/>
      <c r="M1243" s="96"/>
      <c r="T1243" s="13"/>
    </row>
    <row r="1244" spans="1:20" ht="24.95" customHeight="1">
      <c r="A1244" s="31"/>
      <c r="B1244" s="76" t="s">
        <v>43</v>
      </c>
      <c r="C1244" s="76"/>
      <c r="D1244" s="77"/>
      <c r="E1244" s="4"/>
      <c r="F1244" s="54"/>
      <c r="G1244" s="59"/>
      <c r="H1244" s="72"/>
      <c r="I1244" s="72"/>
      <c r="J1244" s="72"/>
      <c r="K1244" s="72"/>
      <c r="L1244" s="72"/>
      <c r="M1244" s="78"/>
      <c r="T1244" s="13"/>
    </row>
    <row r="1245" spans="1:20" ht="24.95" customHeight="1" thickBot="1">
      <c r="A1245" s="32"/>
      <c r="B1245" s="79" t="s">
        <v>44</v>
      </c>
      <c r="C1245" s="79"/>
      <c r="D1245" s="80"/>
      <c r="E1245" s="33"/>
      <c r="F1245" s="81"/>
      <c r="G1245" s="82"/>
      <c r="H1245" s="83"/>
      <c r="I1245" s="83"/>
      <c r="J1245" s="83"/>
      <c r="K1245" s="83"/>
      <c r="L1245" s="83"/>
      <c r="M1245" s="84"/>
      <c r="T1245" s="13"/>
    </row>
    <row r="1246" spans="1:20" ht="24.95" customHeight="1">
      <c r="A1246" s="73" t="s">
        <v>45</v>
      </c>
      <c r="B1246" s="74"/>
      <c r="C1246" s="74"/>
      <c r="D1246" s="74"/>
      <c r="E1246" s="74"/>
      <c r="F1246" s="74"/>
      <c r="G1246" s="74"/>
      <c r="H1246" s="74"/>
      <c r="I1246" s="74"/>
      <c r="J1246" s="74"/>
      <c r="K1246" s="74"/>
      <c r="L1246" s="74"/>
      <c r="M1246" s="74"/>
      <c r="T1246" s="13"/>
    </row>
    <row r="1247" spans="1:20" ht="24.95" customHeight="1">
      <c r="A1247" s="72" t="s">
        <v>46</v>
      </c>
      <c r="B1247" s="75"/>
      <c r="C1247" s="75"/>
      <c r="D1247" s="75"/>
      <c r="E1247" s="4" t="s">
        <v>22</v>
      </c>
      <c r="F1247" s="72" t="s">
        <v>47</v>
      </c>
      <c r="G1247" s="72"/>
      <c r="H1247" s="72" t="s">
        <v>48</v>
      </c>
      <c r="I1247" s="72"/>
      <c r="J1247" s="72" t="s">
        <v>49</v>
      </c>
      <c r="K1247" s="72"/>
      <c r="L1247" s="72" t="s">
        <v>50</v>
      </c>
      <c r="M1247" s="72"/>
      <c r="T1247" s="13"/>
    </row>
    <row r="1248" spans="1:20" ht="24.95" customHeight="1">
      <c r="A1248" s="10">
        <v>6</v>
      </c>
      <c r="B1248" s="66" t="s">
        <v>97</v>
      </c>
      <c r="C1248" s="67" t="s">
        <v>51</v>
      </c>
      <c r="D1248" s="68" t="s">
        <v>51</v>
      </c>
      <c r="E1248" s="4" t="s">
        <v>35</v>
      </c>
      <c r="F1248" s="69">
        <v>80</v>
      </c>
      <c r="G1248" s="70">
        <v>1261</v>
      </c>
      <c r="H1248" s="71">
        <f>H1234</f>
        <v>6</v>
      </c>
      <c r="I1248" s="71"/>
      <c r="J1248" s="71">
        <f>H1248+J1190</f>
        <v>78</v>
      </c>
      <c r="K1248" s="71"/>
      <c r="L1248" s="72"/>
      <c r="M1248" s="72"/>
      <c r="T1248" s="13"/>
    </row>
    <row r="1249" spans="1:20" ht="24.95" customHeight="1">
      <c r="A1249" s="10">
        <v>7</v>
      </c>
      <c r="B1249" s="66" t="s">
        <v>88</v>
      </c>
      <c r="C1249" s="67" t="s">
        <v>88</v>
      </c>
      <c r="D1249" s="68" t="s">
        <v>88</v>
      </c>
      <c r="E1249" s="4" t="s">
        <v>98</v>
      </c>
      <c r="F1249" s="69">
        <v>126</v>
      </c>
      <c r="G1249" s="70"/>
      <c r="H1249" s="71">
        <f>H1235</f>
        <v>0</v>
      </c>
      <c r="I1249" s="71"/>
      <c r="J1249" s="71">
        <f t="shared" ref="J1249:J1250" si="147">H1249+J1191</f>
        <v>0</v>
      </c>
      <c r="K1249" s="71"/>
      <c r="L1249" s="72"/>
      <c r="M1249" s="72"/>
      <c r="T1249" s="13"/>
    </row>
    <row r="1250" spans="1:20" ht="24.95" customHeight="1">
      <c r="A1250" s="10">
        <v>8</v>
      </c>
      <c r="B1250" s="66" t="s">
        <v>89</v>
      </c>
      <c r="C1250" s="67" t="s">
        <v>89</v>
      </c>
      <c r="D1250" s="68" t="s">
        <v>89</v>
      </c>
      <c r="E1250" s="4" t="s">
        <v>36</v>
      </c>
      <c r="F1250" s="69">
        <v>1</v>
      </c>
      <c r="G1250" s="70"/>
      <c r="H1250" s="71">
        <f>H1236</f>
        <v>0</v>
      </c>
      <c r="I1250" s="71"/>
      <c r="J1250" s="71">
        <f t="shared" si="147"/>
        <v>0.3</v>
      </c>
      <c r="K1250" s="71"/>
      <c r="L1250" s="72"/>
      <c r="M1250" s="72"/>
      <c r="T1250" s="13"/>
    </row>
    <row r="1251" spans="1:20" ht="24.95" customHeight="1">
      <c r="A1251" s="51" t="s">
        <v>52</v>
      </c>
      <c r="B1251" s="52"/>
      <c r="C1251" s="52"/>
      <c r="D1251" s="52"/>
      <c r="E1251" s="52"/>
      <c r="F1251" s="52"/>
      <c r="G1251" s="52"/>
      <c r="H1251" s="52"/>
      <c r="I1251" s="52"/>
      <c r="J1251" s="52"/>
      <c r="K1251" s="52"/>
      <c r="L1251" s="52"/>
      <c r="M1251" s="53"/>
      <c r="T1251" s="13"/>
    </row>
    <row r="1252" spans="1:20" ht="24.95" customHeight="1">
      <c r="A1252" s="54" t="s">
        <v>53</v>
      </c>
      <c r="B1252" s="63"/>
      <c r="C1252" s="63"/>
      <c r="D1252" s="59"/>
      <c r="E1252" s="4" t="s">
        <v>54</v>
      </c>
      <c r="F1252" s="54" t="s">
        <v>55</v>
      </c>
      <c r="G1252" s="59"/>
      <c r="H1252" s="54" t="s">
        <v>56</v>
      </c>
      <c r="I1252" s="59"/>
      <c r="J1252" s="54" t="s">
        <v>48</v>
      </c>
      <c r="K1252" s="59"/>
      <c r="L1252" s="64" t="s">
        <v>49</v>
      </c>
      <c r="M1252" s="65"/>
      <c r="T1252" s="13"/>
    </row>
    <row r="1253" spans="1:20" ht="24.95" customHeight="1">
      <c r="A1253" s="54" t="s">
        <v>57</v>
      </c>
      <c r="B1253" s="55"/>
      <c r="C1253" s="55"/>
      <c r="D1253" s="56"/>
      <c r="E1253" s="4"/>
      <c r="F1253" s="57">
        <f>E1253+F1195</f>
        <v>28</v>
      </c>
      <c r="G1253" s="58"/>
      <c r="H1253" s="54" t="s">
        <v>58</v>
      </c>
      <c r="I1253" s="59"/>
      <c r="J1253" s="54">
        <v>1</v>
      </c>
      <c r="K1253" s="59"/>
      <c r="L1253" s="57">
        <f>J1253+L1195</f>
        <v>15</v>
      </c>
      <c r="M1253" s="58"/>
      <c r="T1253" s="13"/>
    </row>
    <row r="1254" spans="1:20" ht="24.95" customHeight="1">
      <c r="A1254" s="54" t="s">
        <v>59</v>
      </c>
      <c r="B1254" s="55"/>
      <c r="C1254" s="55"/>
      <c r="D1254" s="56"/>
      <c r="E1254" s="4"/>
      <c r="F1254" s="57">
        <f t="shared" ref="F1254:F1256" si="148">E1254+F1196</f>
        <v>0</v>
      </c>
      <c r="G1254" s="58"/>
      <c r="H1254" s="54" t="s">
        <v>60</v>
      </c>
      <c r="I1254" s="59"/>
      <c r="J1254" s="54"/>
      <c r="K1254" s="59"/>
      <c r="L1254" s="57">
        <f t="shared" ref="L1254:L1256" si="149">J1254+L1196</f>
        <v>0</v>
      </c>
      <c r="M1254" s="58"/>
      <c r="T1254" s="13"/>
    </row>
    <row r="1255" spans="1:20" ht="24.95" customHeight="1">
      <c r="A1255" s="54" t="s">
        <v>61</v>
      </c>
      <c r="B1255" s="55"/>
      <c r="C1255" s="55"/>
      <c r="D1255" s="56"/>
      <c r="E1255" s="4"/>
      <c r="F1255" s="57">
        <f t="shared" si="148"/>
        <v>2</v>
      </c>
      <c r="G1255" s="58"/>
      <c r="H1255" s="54" t="s">
        <v>62</v>
      </c>
      <c r="I1255" s="59"/>
      <c r="J1255" s="54"/>
      <c r="K1255" s="59"/>
      <c r="L1255" s="57">
        <f t="shared" si="149"/>
        <v>5</v>
      </c>
      <c r="M1255" s="58"/>
      <c r="T1255" s="13"/>
    </row>
    <row r="1256" spans="1:20" ht="24.95" customHeight="1">
      <c r="A1256" s="54" t="s">
        <v>63</v>
      </c>
      <c r="B1256" s="55"/>
      <c r="C1256" s="55"/>
      <c r="D1256" s="56"/>
      <c r="E1256" s="4">
        <v>2</v>
      </c>
      <c r="F1256" s="57">
        <f t="shared" si="148"/>
        <v>4</v>
      </c>
      <c r="G1256" s="58"/>
      <c r="H1256" s="54" t="s">
        <v>64</v>
      </c>
      <c r="I1256" s="59"/>
      <c r="J1256" s="54"/>
      <c r="K1256" s="59"/>
      <c r="L1256" s="57">
        <f t="shared" si="149"/>
        <v>1</v>
      </c>
      <c r="M1256" s="58"/>
      <c r="T1256" s="13"/>
    </row>
    <row r="1257" spans="1:20" ht="64.5" customHeight="1">
      <c r="A1257" s="60" t="s">
        <v>65</v>
      </c>
      <c r="B1257" s="61"/>
      <c r="C1257" s="61"/>
      <c r="D1257" s="61"/>
      <c r="E1257" s="61"/>
      <c r="F1257" s="61"/>
      <c r="G1257" s="61"/>
      <c r="H1257" s="61"/>
      <c r="I1257" s="61"/>
      <c r="J1257" s="61"/>
      <c r="K1257" s="61"/>
      <c r="L1257" s="61"/>
      <c r="M1257" s="62"/>
      <c r="T1257" s="13"/>
    </row>
    <row r="1258" spans="1:20" ht="24.95" customHeight="1">
      <c r="A1258" s="46" t="s">
        <v>66</v>
      </c>
      <c r="B1258" s="47"/>
      <c r="C1258" s="47"/>
      <c r="D1258" s="47"/>
      <c r="E1258" s="47"/>
      <c r="F1258" s="47"/>
      <c r="G1258" s="47"/>
      <c r="H1258" s="47"/>
      <c r="I1258" s="47"/>
      <c r="J1258" s="47"/>
      <c r="K1258" s="47"/>
      <c r="L1258" s="47"/>
      <c r="M1258" s="48"/>
      <c r="T1258" s="13"/>
    </row>
    <row r="1259" spans="1:20" ht="24.95" customHeight="1">
      <c r="A1259" s="27"/>
      <c r="B1259" s="34" t="s">
        <v>67</v>
      </c>
      <c r="C1259" s="34"/>
      <c r="D1259" s="34"/>
      <c r="E1259" s="34"/>
      <c r="F1259" s="34"/>
      <c r="G1259" s="35"/>
      <c r="H1259" s="34"/>
      <c r="I1259" s="34"/>
      <c r="J1259" s="34"/>
      <c r="K1259" s="34"/>
      <c r="L1259" s="34"/>
      <c r="M1259" s="36"/>
      <c r="T1259" s="13"/>
    </row>
    <row r="1260" spans="1:20" ht="24.95" customHeight="1">
      <c r="A1260" s="27"/>
      <c r="B1260" s="34" t="s">
        <v>146</v>
      </c>
      <c r="C1260" s="34"/>
      <c r="D1260" s="34"/>
      <c r="E1260" s="34"/>
      <c r="F1260" s="34"/>
      <c r="G1260" s="35"/>
      <c r="H1260" s="34"/>
      <c r="I1260" s="34"/>
      <c r="J1260" s="34"/>
      <c r="K1260" s="34"/>
      <c r="L1260" s="34"/>
      <c r="M1260" s="36"/>
      <c r="T1260" s="13"/>
    </row>
    <row r="1261" spans="1:20" ht="24.95" customHeight="1">
      <c r="A1261" s="27"/>
      <c r="B1261" s="34" t="s">
        <v>68</v>
      </c>
      <c r="C1261" s="34"/>
      <c r="D1261" s="34"/>
      <c r="E1261" s="34"/>
      <c r="F1261" s="34"/>
      <c r="G1261" s="35"/>
      <c r="H1261" s="34"/>
      <c r="I1261" s="34"/>
      <c r="J1261" s="34"/>
      <c r="K1261" s="34"/>
      <c r="L1261" s="34"/>
      <c r="M1261" s="36"/>
      <c r="T1261" s="13"/>
    </row>
    <row r="1262" spans="1:20" ht="24.95" customHeight="1">
      <c r="A1262" s="27"/>
      <c r="B1262" s="34" t="s">
        <v>147</v>
      </c>
      <c r="C1262" s="34"/>
      <c r="D1262" s="34"/>
      <c r="E1262" s="34"/>
      <c r="F1262" s="34"/>
      <c r="G1262" s="35"/>
      <c r="H1262" s="34"/>
      <c r="I1262" s="34"/>
      <c r="J1262" s="34"/>
      <c r="K1262" s="34"/>
      <c r="L1262" s="34"/>
      <c r="M1262" s="36"/>
      <c r="T1262" s="13"/>
    </row>
    <row r="1263" spans="1:20" ht="24.95" customHeight="1">
      <c r="A1263" s="27"/>
      <c r="B1263" s="34" t="s">
        <v>148</v>
      </c>
      <c r="C1263" s="34"/>
      <c r="D1263" s="34"/>
      <c r="E1263" s="34"/>
      <c r="F1263" s="34"/>
      <c r="G1263" s="35"/>
      <c r="H1263" s="34"/>
      <c r="I1263" s="34"/>
      <c r="J1263" s="34"/>
      <c r="K1263" s="34"/>
      <c r="L1263" s="34"/>
      <c r="M1263" s="36"/>
      <c r="T1263" s="13"/>
    </row>
    <row r="1264" spans="1:20" ht="24.95" customHeight="1">
      <c r="A1264" s="37"/>
      <c r="B1264" s="49" t="s">
        <v>69</v>
      </c>
      <c r="C1264" s="49"/>
      <c r="D1264" s="49"/>
      <c r="E1264" s="49"/>
      <c r="F1264" s="49"/>
      <c r="G1264" s="49"/>
      <c r="H1264" s="49"/>
      <c r="I1264" s="49"/>
      <c r="J1264" s="49"/>
      <c r="K1264" s="49"/>
      <c r="L1264" s="49"/>
      <c r="M1264" s="50"/>
      <c r="T1264" s="13"/>
    </row>
    <row r="1265" spans="1:20" ht="44.25" customHeight="1">
      <c r="A1265" s="51" t="s">
        <v>70</v>
      </c>
      <c r="B1265" s="52"/>
      <c r="C1265" s="52"/>
      <c r="D1265" s="52"/>
      <c r="E1265" s="52"/>
      <c r="F1265" s="52"/>
      <c r="G1265" s="52"/>
      <c r="H1265" s="52"/>
      <c r="I1265" s="52"/>
      <c r="J1265" s="52"/>
      <c r="K1265" s="52"/>
      <c r="L1265" s="52"/>
      <c r="M1265" s="53"/>
      <c r="T1265" s="13"/>
    </row>
    <row r="1266" spans="1:20" ht="48" customHeight="1">
      <c r="A1266" s="51" t="s">
        <v>71</v>
      </c>
      <c r="B1266" s="52"/>
      <c r="C1266" s="52"/>
      <c r="D1266" s="52"/>
      <c r="E1266" s="52"/>
      <c r="F1266" s="52"/>
      <c r="G1266" s="52"/>
      <c r="H1266" s="52"/>
      <c r="I1266" s="52"/>
      <c r="J1266" s="52"/>
      <c r="K1266" s="52"/>
      <c r="L1266" s="52"/>
      <c r="M1266" s="53"/>
      <c r="T1266" s="13"/>
    </row>
    <row r="1267" spans="1:20" ht="81" customHeight="1">
      <c r="A1267" s="51" t="s">
        <v>145</v>
      </c>
      <c r="B1267" s="52"/>
      <c r="C1267" s="52"/>
      <c r="D1267" s="52"/>
      <c r="E1267" s="52"/>
      <c r="F1267" s="52"/>
      <c r="G1267" s="52"/>
      <c r="H1267" s="52"/>
      <c r="I1267" s="52"/>
      <c r="J1267" s="52"/>
      <c r="K1267" s="52"/>
      <c r="L1267" s="52"/>
      <c r="M1267" s="53"/>
      <c r="T1267" s="13"/>
    </row>
    <row r="1268" spans="1:20" ht="100.5" customHeight="1">
      <c r="A1268" s="51" t="s">
        <v>72</v>
      </c>
      <c r="B1268" s="52"/>
      <c r="C1268" s="52"/>
      <c r="D1268" s="52"/>
      <c r="E1268" s="52"/>
      <c r="F1268" s="52"/>
      <c r="G1268" s="52"/>
      <c r="H1268" s="52"/>
      <c r="I1268" s="52"/>
      <c r="J1268" s="52"/>
      <c r="K1268" s="52"/>
      <c r="L1268" s="52"/>
      <c r="M1268" s="53"/>
      <c r="T1268" s="13"/>
    </row>
    <row r="1269" spans="1:20" ht="12" customHeight="1">
      <c r="A1269" s="41" t="s">
        <v>73</v>
      </c>
      <c r="B1269" s="41"/>
      <c r="C1269" s="42"/>
      <c r="D1269" s="42"/>
      <c r="E1269" s="42"/>
      <c r="F1269" s="42"/>
      <c r="G1269" s="42"/>
      <c r="H1269" s="42"/>
      <c r="I1269" s="42"/>
      <c r="J1269" s="42"/>
      <c r="K1269" s="42"/>
      <c r="L1269" s="42"/>
      <c r="M1269" s="38"/>
      <c r="T1269" s="13"/>
    </row>
    <row r="1270" spans="1:20" ht="12" customHeight="1">
      <c r="A1270" s="43" t="s">
        <v>74</v>
      </c>
      <c r="B1270" s="43"/>
      <c r="C1270" s="40"/>
      <c r="D1270" s="40"/>
      <c r="E1270" s="40"/>
      <c r="F1270" s="40"/>
      <c r="G1270" s="40"/>
      <c r="H1270" s="40"/>
      <c r="I1270" s="40"/>
      <c r="J1270" s="40"/>
      <c r="K1270" s="40"/>
      <c r="L1270" s="38"/>
      <c r="M1270" s="38"/>
      <c r="T1270" s="13"/>
    </row>
    <row r="1271" spans="1:20" ht="12" customHeight="1">
      <c r="A1271" s="44" t="s">
        <v>75</v>
      </c>
      <c r="B1271" s="44"/>
      <c r="C1271" s="44"/>
      <c r="D1271" s="44"/>
      <c r="E1271" s="44"/>
      <c r="F1271" s="44"/>
      <c r="G1271" s="44"/>
      <c r="H1271" s="44"/>
      <c r="I1271" s="44"/>
      <c r="J1271" s="44"/>
      <c r="K1271" s="44"/>
      <c r="L1271" s="44"/>
      <c r="M1271" s="44"/>
      <c r="T1271" s="13"/>
    </row>
    <row r="1272" spans="1:20" ht="12" customHeight="1">
      <c r="A1272" s="39" t="s">
        <v>76</v>
      </c>
      <c r="B1272" s="39"/>
      <c r="C1272" s="39"/>
      <c r="D1272" s="39"/>
      <c r="E1272" s="39"/>
      <c r="F1272" s="39"/>
      <c r="G1272" s="39"/>
      <c r="H1272" s="39"/>
      <c r="I1272" s="39"/>
      <c r="J1272" s="39"/>
      <c r="K1272" s="39"/>
      <c r="L1272" s="39"/>
      <c r="M1272" s="39"/>
      <c r="T1272" s="13"/>
    </row>
    <row r="1273" spans="1:20" ht="12" customHeight="1">
      <c r="A1273" s="39" t="s">
        <v>77</v>
      </c>
      <c r="B1273" s="40"/>
      <c r="C1273" s="40"/>
      <c r="D1273" s="40"/>
      <c r="E1273" s="40"/>
      <c r="F1273" s="40"/>
      <c r="G1273" s="40"/>
      <c r="H1273" s="40"/>
      <c r="I1273" s="40"/>
      <c r="J1273" s="40"/>
      <c r="K1273" s="40"/>
      <c r="L1273" s="40"/>
      <c r="M1273" s="40"/>
      <c r="T1273" s="13"/>
    </row>
    <row r="1274" spans="1:20" ht="12" customHeight="1">
      <c r="A1274" s="45" t="s">
        <v>78</v>
      </c>
      <c r="B1274" s="40"/>
      <c r="C1274" s="40"/>
      <c r="D1274" s="40"/>
      <c r="E1274" s="40"/>
      <c r="F1274" s="40"/>
      <c r="G1274" s="40"/>
      <c r="H1274" s="40"/>
      <c r="I1274" s="40"/>
      <c r="J1274" s="40"/>
      <c r="K1274" s="40"/>
      <c r="L1274" s="40"/>
      <c r="M1274" s="40"/>
      <c r="T1274" s="13"/>
    </row>
    <row r="1275" spans="1:20" ht="12" customHeight="1">
      <c r="A1275" s="39" t="s">
        <v>79</v>
      </c>
      <c r="B1275" s="40"/>
      <c r="C1275" s="40"/>
      <c r="D1275" s="40"/>
      <c r="E1275" s="40"/>
      <c r="F1275" s="40"/>
      <c r="G1275" s="40"/>
      <c r="H1275" s="40"/>
      <c r="I1275" s="40"/>
      <c r="J1275" s="40"/>
      <c r="K1275" s="40"/>
      <c r="L1275" s="40"/>
      <c r="M1275" s="40"/>
      <c r="T1275" s="13"/>
    </row>
    <row r="1276" spans="1:20" ht="409.5" customHeight="1"/>
    <row r="1277" spans="1:20" s="2" customFormat="1" ht="35.1" customHeight="1">
      <c r="A1277" s="126" t="s">
        <v>0</v>
      </c>
      <c r="B1277" s="126"/>
      <c r="C1277" s="1">
        <f>C1219+1</f>
        <v>27</v>
      </c>
      <c r="G1277" s="3"/>
    </row>
    <row r="1278" spans="1:20" s="2" customFormat="1" ht="35.1" customHeight="1">
      <c r="A1278" s="126" t="s">
        <v>1</v>
      </c>
      <c r="B1278" s="126"/>
      <c r="C1278" s="2" t="s">
        <v>2</v>
      </c>
      <c r="D1278" s="2" t="s">
        <v>149</v>
      </c>
      <c r="E1278" s="2" t="s">
        <v>3</v>
      </c>
      <c r="F1278" s="2" t="s">
        <v>137</v>
      </c>
      <c r="G1278" s="3"/>
      <c r="H1278" s="127" t="s">
        <v>4</v>
      </c>
      <c r="I1278" s="128"/>
      <c r="J1278" s="129">
        <f>J1220+1</f>
        <v>46014</v>
      </c>
      <c r="K1278" s="130"/>
      <c r="L1278" s="131">
        <f>J1278</f>
        <v>46014</v>
      </c>
      <c r="M1278" s="132"/>
    </row>
    <row r="1279" spans="1:20" s="2" customFormat="1" ht="30" customHeight="1">
      <c r="A1279" s="72" t="s">
        <v>5</v>
      </c>
      <c r="B1279" s="114"/>
      <c r="C1279" s="119" t="s">
        <v>83</v>
      </c>
      <c r="D1279" s="119"/>
      <c r="E1279" s="119"/>
      <c r="F1279" s="119"/>
      <c r="G1279" s="119"/>
      <c r="H1279" s="54" t="s">
        <v>6</v>
      </c>
      <c r="I1279" s="59"/>
      <c r="J1279" s="120"/>
      <c r="K1279" s="120"/>
      <c r="L1279" s="120"/>
      <c r="M1279" s="120"/>
    </row>
    <row r="1280" spans="1:20" s="1" customFormat="1" ht="30" customHeight="1">
      <c r="A1280" s="72" t="s">
        <v>7</v>
      </c>
      <c r="B1280" s="114"/>
      <c r="C1280" s="4">
        <v>50</v>
      </c>
      <c r="D1280" s="4" t="s">
        <v>8</v>
      </c>
      <c r="E1280" s="4" t="s">
        <v>9</v>
      </c>
      <c r="F1280" s="4">
        <f>F1222+1</f>
        <v>27</v>
      </c>
      <c r="G1280" s="5" t="s">
        <v>8</v>
      </c>
      <c r="H1280" s="4" t="s">
        <v>10</v>
      </c>
      <c r="I1280" s="4">
        <f>C1280-F1280+L1280</f>
        <v>23</v>
      </c>
      <c r="J1280" s="4" t="s">
        <v>11</v>
      </c>
      <c r="K1280" s="6" t="s">
        <v>12</v>
      </c>
      <c r="L1280" s="7">
        <f>L1222</f>
        <v>0</v>
      </c>
      <c r="M1280" s="4" t="s">
        <v>8</v>
      </c>
    </row>
    <row r="1281" spans="1:20" s="2" customFormat="1" ht="30" customHeight="1">
      <c r="A1281" s="72" t="s">
        <v>13</v>
      </c>
      <c r="B1281" s="75"/>
      <c r="C1281" s="75"/>
      <c r="D1281" s="121">
        <f>D1223</f>
        <v>45988</v>
      </c>
      <c r="E1281" s="122"/>
      <c r="F1281" s="122"/>
      <c r="G1281" s="123"/>
      <c r="H1281" s="124" t="s">
        <v>14</v>
      </c>
      <c r="I1281" s="125"/>
      <c r="J1281" s="121">
        <f>J1223</f>
        <v>46037</v>
      </c>
      <c r="K1281" s="122"/>
      <c r="L1281" s="122"/>
      <c r="M1281" s="123"/>
    </row>
    <row r="1282" spans="1:20" s="2" customFormat="1" ht="30" customHeight="1">
      <c r="A1282" s="72" t="s">
        <v>15</v>
      </c>
      <c r="B1282" s="114"/>
      <c r="C1282" s="114"/>
      <c r="D1282" s="72">
        <v>1.702</v>
      </c>
      <c r="E1282" s="72"/>
      <c r="F1282" s="72"/>
      <c r="G1282" s="72"/>
      <c r="H1282" s="64" t="s">
        <v>16</v>
      </c>
      <c r="I1282" s="115"/>
      <c r="J1282" s="116">
        <f>P1298</f>
        <v>0</v>
      </c>
      <c r="K1282" s="117"/>
      <c r="L1282" s="117"/>
      <c r="M1282" s="118"/>
    </row>
    <row r="1283" spans="1:20" s="2" customFormat="1" ht="30" customHeight="1">
      <c r="A1283" s="72" t="s">
        <v>17</v>
      </c>
      <c r="B1283" s="114"/>
      <c r="C1283" s="114"/>
      <c r="D1283" s="72">
        <f>D1282+D1225</f>
        <v>15.257999999999997</v>
      </c>
      <c r="E1283" s="72"/>
      <c r="F1283" s="72"/>
      <c r="G1283" s="72"/>
      <c r="H1283" s="64" t="s">
        <v>18</v>
      </c>
      <c r="I1283" s="115"/>
      <c r="J1283" s="116">
        <f>J1282+J1225</f>
        <v>25.469999999999992</v>
      </c>
      <c r="K1283" s="117"/>
      <c r="L1283" s="117"/>
      <c r="M1283" s="118"/>
    </row>
    <row r="1284" spans="1:20" s="2" customFormat="1" ht="30" customHeight="1">
      <c r="A1284" s="111" t="s">
        <v>19</v>
      </c>
      <c r="B1284" s="112"/>
      <c r="C1284" s="112"/>
      <c r="D1284" s="112"/>
      <c r="E1284" s="112"/>
      <c r="F1284" s="112"/>
      <c r="G1284" s="112"/>
      <c r="H1284" s="112"/>
      <c r="I1284" s="112"/>
      <c r="J1284" s="112"/>
      <c r="K1284" s="112"/>
      <c r="L1284" s="112"/>
      <c r="M1284" s="113"/>
    </row>
    <row r="1285" spans="1:20" s="2" customFormat="1" ht="30" customHeight="1">
      <c r="A1285" s="8" t="s">
        <v>20</v>
      </c>
      <c r="B1285" s="72" t="s">
        <v>21</v>
      </c>
      <c r="C1285" s="72"/>
      <c r="D1285" s="72"/>
      <c r="E1285" s="4" t="s">
        <v>22</v>
      </c>
      <c r="F1285" s="54" t="s">
        <v>23</v>
      </c>
      <c r="G1285" s="59"/>
      <c r="H1285" s="72" t="s">
        <v>24</v>
      </c>
      <c r="I1285" s="72"/>
      <c r="J1285" s="72" t="s">
        <v>25</v>
      </c>
      <c r="K1285" s="72"/>
      <c r="L1285" s="72" t="s">
        <v>26</v>
      </c>
      <c r="M1285" s="72"/>
      <c r="O1285" s="1" t="s">
        <v>27</v>
      </c>
      <c r="P1285" s="1" t="s">
        <v>28</v>
      </c>
      <c r="T1285" s="2" t="s">
        <v>29</v>
      </c>
    </row>
    <row r="1286" spans="1:20" s="2" customFormat="1" ht="24.95" customHeight="1">
      <c r="A1286" s="9" t="s">
        <v>30</v>
      </c>
      <c r="B1286" s="110" t="s">
        <v>31</v>
      </c>
      <c r="C1286" s="110"/>
      <c r="D1286" s="110"/>
      <c r="E1286" s="4"/>
      <c r="F1286" s="54"/>
      <c r="G1286" s="59"/>
      <c r="H1286" s="72"/>
      <c r="I1286" s="72"/>
      <c r="J1286" s="72"/>
      <c r="K1286" s="72"/>
      <c r="L1286" s="72"/>
      <c r="M1286" s="72"/>
    </row>
    <row r="1287" spans="1:20" ht="24.95" customHeight="1">
      <c r="A1287" s="10">
        <v>1</v>
      </c>
      <c r="B1287" s="66" t="s">
        <v>91</v>
      </c>
      <c r="C1287" s="67" t="s">
        <v>91</v>
      </c>
      <c r="D1287" s="68" t="s">
        <v>91</v>
      </c>
      <c r="E1287" s="4" t="s">
        <v>32</v>
      </c>
      <c r="F1287" s="69">
        <v>1</v>
      </c>
      <c r="G1287" s="70"/>
      <c r="H1287" s="69"/>
      <c r="I1287" s="70"/>
      <c r="J1287" s="71">
        <f>H1287+J1229</f>
        <v>1</v>
      </c>
      <c r="K1287" s="71"/>
      <c r="L1287" s="72"/>
      <c r="M1287" s="72"/>
      <c r="O1287" s="11">
        <v>4000</v>
      </c>
      <c r="P1287" s="11">
        <f>ROUND(H1287*O1287,0)</f>
        <v>0</v>
      </c>
      <c r="Q1287" s="12"/>
      <c r="S1287" s="11">
        <f>ROUND(J1287*O1287,0)</f>
        <v>4000</v>
      </c>
      <c r="T1287" s="13">
        <f>F1287-J1287</f>
        <v>0</v>
      </c>
    </row>
    <row r="1288" spans="1:20" ht="24.95" customHeight="1">
      <c r="A1288" s="10">
        <v>2</v>
      </c>
      <c r="B1288" s="66" t="s">
        <v>92</v>
      </c>
      <c r="C1288" s="67" t="s">
        <v>92</v>
      </c>
      <c r="D1288" s="68" t="s">
        <v>92</v>
      </c>
      <c r="E1288" s="4" t="s">
        <v>32</v>
      </c>
      <c r="F1288" s="69">
        <v>1</v>
      </c>
      <c r="G1288" s="70"/>
      <c r="H1288" s="69"/>
      <c r="I1288" s="70"/>
      <c r="J1288" s="71">
        <f t="shared" ref="J1288:J1295" si="150">H1288+J1230</f>
        <v>1</v>
      </c>
      <c r="K1288" s="71"/>
      <c r="L1288" s="72"/>
      <c r="M1288" s="72"/>
      <c r="O1288" s="11">
        <v>14334</v>
      </c>
      <c r="P1288" s="11">
        <f t="shared" ref="P1288:P1295" si="151">ROUND(H1288*O1288,0)</f>
        <v>0</v>
      </c>
      <c r="Q1288" s="12"/>
      <c r="S1288" s="11">
        <f t="shared" ref="S1288:S1295" si="152">ROUND(J1288*O1288,0)</f>
        <v>14334</v>
      </c>
      <c r="T1288" s="13">
        <f t="shared" ref="T1288:T1295" si="153">F1288-J1288</f>
        <v>0</v>
      </c>
    </row>
    <row r="1289" spans="1:20" ht="24.95" customHeight="1">
      <c r="A1289" s="10">
        <v>3</v>
      </c>
      <c r="B1289" s="66" t="s">
        <v>84</v>
      </c>
      <c r="C1289" s="67" t="s">
        <v>84</v>
      </c>
      <c r="D1289" s="68" t="s">
        <v>84</v>
      </c>
      <c r="E1289" s="4" t="s">
        <v>33</v>
      </c>
      <c r="F1289" s="69">
        <v>1</v>
      </c>
      <c r="G1289" s="70"/>
      <c r="H1289" s="69"/>
      <c r="I1289" s="70"/>
      <c r="J1289" s="71">
        <f t="shared" si="150"/>
        <v>0.5</v>
      </c>
      <c r="K1289" s="71"/>
      <c r="L1289" s="72"/>
      <c r="M1289" s="72"/>
      <c r="O1289" s="11">
        <v>7000</v>
      </c>
      <c r="P1289" s="11">
        <f t="shared" si="151"/>
        <v>0</v>
      </c>
      <c r="Q1289" s="12"/>
      <c r="S1289" s="11">
        <f t="shared" si="152"/>
        <v>3500</v>
      </c>
      <c r="T1289" s="13">
        <f t="shared" si="153"/>
        <v>0.5</v>
      </c>
    </row>
    <row r="1290" spans="1:20" ht="24.95" customHeight="1">
      <c r="A1290" s="10">
        <v>4</v>
      </c>
      <c r="B1290" s="66" t="s">
        <v>85</v>
      </c>
      <c r="C1290" s="67" t="s">
        <v>85</v>
      </c>
      <c r="D1290" s="68" t="s">
        <v>85</v>
      </c>
      <c r="E1290" s="4" t="s">
        <v>34</v>
      </c>
      <c r="F1290" s="69">
        <v>1</v>
      </c>
      <c r="G1290" s="70"/>
      <c r="H1290" s="69"/>
      <c r="I1290" s="70"/>
      <c r="J1290" s="71">
        <f t="shared" si="150"/>
        <v>1</v>
      </c>
      <c r="K1290" s="71"/>
      <c r="L1290" s="72"/>
      <c r="M1290" s="72"/>
      <c r="O1290" s="11">
        <v>74000</v>
      </c>
      <c r="P1290" s="11">
        <f t="shared" si="151"/>
        <v>0</v>
      </c>
      <c r="Q1290" s="12"/>
      <c r="S1290" s="11">
        <f t="shared" si="152"/>
        <v>74000</v>
      </c>
      <c r="T1290" s="13">
        <f t="shared" si="153"/>
        <v>0</v>
      </c>
    </row>
    <row r="1291" spans="1:20" ht="24.95" customHeight="1">
      <c r="A1291" s="10">
        <v>5</v>
      </c>
      <c r="B1291" s="66" t="s">
        <v>86</v>
      </c>
      <c r="C1291" s="67" t="s">
        <v>86</v>
      </c>
      <c r="D1291" s="68" t="s">
        <v>86</v>
      </c>
      <c r="E1291" s="4" t="s">
        <v>93</v>
      </c>
      <c r="F1291" s="69">
        <v>396</v>
      </c>
      <c r="G1291" s="70"/>
      <c r="H1291" s="69"/>
      <c r="I1291" s="70"/>
      <c r="J1291" s="71">
        <f t="shared" si="150"/>
        <v>350</v>
      </c>
      <c r="K1291" s="71"/>
      <c r="L1291" s="72"/>
      <c r="M1291" s="72"/>
      <c r="O1291" s="11">
        <v>200</v>
      </c>
      <c r="P1291" s="11">
        <f t="shared" si="151"/>
        <v>0</v>
      </c>
      <c r="Q1291" s="12"/>
      <c r="S1291" s="11">
        <f t="shared" si="152"/>
        <v>70000</v>
      </c>
      <c r="T1291" s="13">
        <f t="shared" si="153"/>
        <v>46</v>
      </c>
    </row>
    <row r="1292" spans="1:20" ht="24.95" customHeight="1">
      <c r="A1292" s="10">
        <v>6</v>
      </c>
      <c r="B1292" s="66" t="s">
        <v>97</v>
      </c>
      <c r="C1292" s="67" t="s">
        <v>87</v>
      </c>
      <c r="D1292" s="68" t="s">
        <v>87</v>
      </c>
      <c r="E1292" s="4" t="s">
        <v>35</v>
      </c>
      <c r="F1292" s="69">
        <v>80</v>
      </c>
      <c r="G1292" s="70">
        <v>183.6</v>
      </c>
      <c r="H1292" s="69"/>
      <c r="I1292" s="70"/>
      <c r="J1292" s="71">
        <f t="shared" si="150"/>
        <v>78</v>
      </c>
      <c r="K1292" s="71"/>
      <c r="L1292" s="54"/>
      <c r="M1292" s="59"/>
      <c r="O1292" s="11">
        <v>1463</v>
      </c>
      <c r="P1292" s="11">
        <f t="shared" si="151"/>
        <v>0</v>
      </c>
      <c r="S1292" s="11">
        <f t="shared" si="152"/>
        <v>114114</v>
      </c>
      <c r="T1292" s="13">
        <f t="shared" si="153"/>
        <v>2</v>
      </c>
    </row>
    <row r="1293" spans="1:20" ht="24.95" customHeight="1">
      <c r="A1293" s="10">
        <v>7</v>
      </c>
      <c r="B1293" s="66" t="s">
        <v>88</v>
      </c>
      <c r="C1293" s="67" t="s">
        <v>88</v>
      </c>
      <c r="D1293" s="68" t="s">
        <v>88</v>
      </c>
      <c r="E1293" s="4" t="s">
        <v>94</v>
      </c>
      <c r="F1293" s="69">
        <v>126</v>
      </c>
      <c r="G1293" s="70">
        <v>19</v>
      </c>
      <c r="H1293" s="69"/>
      <c r="I1293" s="70"/>
      <c r="J1293" s="71">
        <f t="shared" si="150"/>
        <v>0</v>
      </c>
      <c r="K1293" s="71"/>
      <c r="L1293" s="54"/>
      <c r="M1293" s="59"/>
      <c r="O1293" s="11">
        <v>6350</v>
      </c>
      <c r="P1293" s="11">
        <f t="shared" si="151"/>
        <v>0</v>
      </c>
      <c r="S1293" s="11">
        <f t="shared" si="152"/>
        <v>0</v>
      </c>
      <c r="T1293" s="13">
        <f t="shared" si="153"/>
        <v>126</v>
      </c>
    </row>
    <row r="1294" spans="1:20" ht="24.95" customHeight="1">
      <c r="A1294" s="10">
        <v>8</v>
      </c>
      <c r="B1294" s="66" t="s">
        <v>89</v>
      </c>
      <c r="C1294" s="67" t="s">
        <v>89</v>
      </c>
      <c r="D1294" s="68" t="s">
        <v>89</v>
      </c>
      <c r="E1294" s="4" t="s">
        <v>95</v>
      </c>
      <c r="F1294" s="69">
        <v>1</v>
      </c>
      <c r="G1294" s="70">
        <v>1192</v>
      </c>
      <c r="H1294" s="69"/>
      <c r="I1294" s="70"/>
      <c r="J1294" s="71">
        <f t="shared" si="150"/>
        <v>0.3</v>
      </c>
      <c r="K1294" s="71"/>
      <c r="L1294" s="54"/>
      <c r="M1294" s="59"/>
      <c r="O1294" s="11">
        <v>47600</v>
      </c>
      <c r="P1294" s="11">
        <f t="shared" si="151"/>
        <v>0</v>
      </c>
      <c r="S1294" s="11">
        <f t="shared" si="152"/>
        <v>14280</v>
      </c>
      <c r="T1294" s="13">
        <f t="shared" si="153"/>
        <v>0.7</v>
      </c>
    </row>
    <row r="1295" spans="1:20" ht="24.95" customHeight="1">
      <c r="A1295" s="10">
        <v>9</v>
      </c>
      <c r="B1295" s="66" t="s">
        <v>90</v>
      </c>
      <c r="C1295" s="67" t="s">
        <v>90</v>
      </c>
      <c r="D1295" s="68" t="s">
        <v>90</v>
      </c>
      <c r="E1295" s="4" t="s">
        <v>96</v>
      </c>
      <c r="F1295" s="69">
        <v>1</v>
      </c>
      <c r="G1295" s="70">
        <v>1261</v>
      </c>
      <c r="H1295" s="69"/>
      <c r="I1295" s="70"/>
      <c r="J1295" s="71">
        <f t="shared" si="150"/>
        <v>0</v>
      </c>
      <c r="K1295" s="71"/>
      <c r="L1295" s="54"/>
      <c r="M1295" s="59"/>
      <c r="O1295" s="11">
        <v>10000</v>
      </c>
      <c r="P1295" s="11">
        <f t="shared" si="151"/>
        <v>0</v>
      </c>
      <c r="S1295" s="11">
        <f t="shared" si="152"/>
        <v>0</v>
      </c>
      <c r="T1295" s="13">
        <f t="shared" si="153"/>
        <v>1</v>
      </c>
    </row>
    <row r="1296" spans="1:20" ht="24.95" customHeight="1">
      <c r="A1296" s="14"/>
      <c r="B1296" s="15"/>
      <c r="C1296" s="16"/>
      <c r="D1296" s="17"/>
      <c r="E1296" s="4"/>
      <c r="F1296" s="18"/>
      <c r="G1296" s="19"/>
      <c r="H1296" s="105"/>
      <c r="I1296" s="106"/>
      <c r="J1296" s="105"/>
      <c r="K1296" s="106"/>
      <c r="L1296" s="54"/>
      <c r="M1296" s="59"/>
      <c r="N1296" s="20"/>
      <c r="P1296" s="21" t="s">
        <v>37</v>
      </c>
      <c r="Q1296" s="22">
        <f>SUM(P1287:P1295)</f>
        <v>0</v>
      </c>
      <c r="R1296" s="23"/>
      <c r="S1296" s="24">
        <f>SUM(S1287:S1295)</f>
        <v>294228</v>
      </c>
      <c r="T1296" s="13"/>
    </row>
    <row r="1297" spans="1:20" ht="24.95" customHeight="1">
      <c r="A1297" s="107"/>
      <c r="B1297" s="108"/>
      <c r="C1297" s="108"/>
      <c r="D1297" s="109"/>
      <c r="E1297" s="4"/>
      <c r="F1297" s="54"/>
      <c r="G1297" s="59"/>
      <c r="H1297" s="72"/>
      <c r="I1297" s="72"/>
      <c r="J1297" s="72"/>
      <c r="K1297" s="72"/>
      <c r="L1297" s="72"/>
      <c r="M1297" s="72"/>
      <c r="O1297" t="s">
        <v>38</v>
      </c>
      <c r="P1297" s="24">
        <f>Q1296</f>
        <v>0</v>
      </c>
      <c r="T1297" s="13"/>
    </row>
    <row r="1298" spans="1:20" ht="24.95" customHeight="1">
      <c r="A1298" s="97"/>
      <c r="B1298" s="98"/>
      <c r="C1298" s="98"/>
      <c r="D1298" s="99"/>
      <c r="E1298" s="4"/>
      <c r="F1298" s="54"/>
      <c r="G1298" s="59"/>
      <c r="H1298" s="72"/>
      <c r="I1298" s="72"/>
      <c r="J1298" s="72"/>
      <c r="K1298" s="72"/>
      <c r="L1298" s="72"/>
      <c r="M1298" s="72"/>
      <c r="O1298" t="s">
        <v>39</v>
      </c>
      <c r="P1298" s="23">
        <f>ROUND(P1297/1153274,4)*100</f>
        <v>0</v>
      </c>
      <c r="T1298" s="13"/>
    </row>
    <row r="1299" spans="1:20" ht="24.95" customHeight="1">
      <c r="A1299" s="25"/>
      <c r="B1299" s="63" t="s">
        <v>40</v>
      </c>
      <c r="C1299" s="63"/>
      <c r="D1299" s="59"/>
      <c r="E1299" s="26"/>
      <c r="F1299" s="100"/>
      <c r="G1299" s="101"/>
      <c r="H1299" s="100"/>
      <c r="I1299" s="101"/>
      <c r="J1299" s="102"/>
      <c r="K1299" s="102"/>
      <c r="L1299" s="103">
        <f>P1297</f>
        <v>0</v>
      </c>
      <c r="M1299" s="104"/>
      <c r="T1299" s="13"/>
    </row>
    <row r="1300" spans="1:20" ht="24.95" customHeight="1" thickBot="1">
      <c r="A1300" s="27"/>
      <c r="B1300" s="85" t="s">
        <v>41</v>
      </c>
      <c r="C1300" s="85"/>
      <c r="D1300" s="86"/>
      <c r="E1300" s="28"/>
      <c r="F1300" s="87"/>
      <c r="G1300" s="88"/>
      <c r="H1300" s="87"/>
      <c r="I1300" s="88"/>
      <c r="J1300" s="87"/>
      <c r="K1300" s="88"/>
      <c r="L1300" s="89">
        <f>L1299+L1242</f>
        <v>294228</v>
      </c>
      <c r="M1300" s="90"/>
      <c r="T1300" s="13"/>
    </row>
    <row r="1301" spans="1:20" ht="24.95" customHeight="1">
      <c r="A1301" s="29"/>
      <c r="B1301" s="91" t="s">
        <v>42</v>
      </c>
      <c r="C1301" s="91"/>
      <c r="D1301" s="92"/>
      <c r="E1301" s="30"/>
      <c r="F1301" s="93"/>
      <c r="G1301" s="94"/>
      <c r="H1301" s="95"/>
      <c r="I1301" s="95"/>
      <c r="J1301" s="95"/>
      <c r="K1301" s="95"/>
      <c r="L1301" s="95"/>
      <c r="M1301" s="96"/>
      <c r="T1301" s="13"/>
    </row>
    <row r="1302" spans="1:20" ht="24.95" customHeight="1">
      <c r="A1302" s="31"/>
      <c r="B1302" s="76" t="s">
        <v>43</v>
      </c>
      <c r="C1302" s="76"/>
      <c r="D1302" s="77"/>
      <c r="E1302" s="4"/>
      <c r="F1302" s="54"/>
      <c r="G1302" s="59"/>
      <c r="H1302" s="72"/>
      <c r="I1302" s="72"/>
      <c r="J1302" s="72"/>
      <c r="K1302" s="72"/>
      <c r="L1302" s="72"/>
      <c r="M1302" s="78"/>
      <c r="T1302" s="13"/>
    </row>
    <row r="1303" spans="1:20" ht="24.95" customHeight="1" thickBot="1">
      <c r="A1303" s="32"/>
      <c r="B1303" s="79" t="s">
        <v>44</v>
      </c>
      <c r="C1303" s="79"/>
      <c r="D1303" s="80"/>
      <c r="E1303" s="33"/>
      <c r="F1303" s="81"/>
      <c r="G1303" s="82"/>
      <c r="H1303" s="83"/>
      <c r="I1303" s="83"/>
      <c r="J1303" s="83"/>
      <c r="K1303" s="83"/>
      <c r="L1303" s="83"/>
      <c r="M1303" s="84"/>
      <c r="T1303" s="13"/>
    </row>
    <row r="1304" spans="1:20" ht="24.95" customHeight="1">
      <c r="A1304" s="73" t="s">
        <v>45</v>
      </c>
      <c r="B1304" s="74"/>
      <c r="C1304" s="74"/>
      <c r="D1304" s="74"/>
      <c r="E1304" s="74"/>
      <c r="F1304" s="74"/>
      <c r="G1304" s="74"/>
      <c r="H1304" s="74"/>
      <c r="I1304" s="74"/>
      <c r="J1304" s="74"/>
      <c r="K1304" s="74"/>
      <c r="L1304" s="74"/>
      <c r="M1304" s="74"/>
      <c r="T1304" s="13"/>
    </row>
    <row r="1305" spans="1:20" ht="24.95" customHeight="1">
      <c r="A1305" s="72" t="s">
        <v>46</v>
      </c>
      <c r="B1305" s="75"/>
      <c r="C1305" s="75"/>
      <c r="D1305" s="75"/>
      <c r="E1305" s="4" t="s">
        <v>22</v>
      </c>
      <c r="F1305" s="72" t="s">
        <v>47</v>
      </c>
      <c r="G1305" s="72"/>
      <c r="H1305" s="72" t="s">
        <v>48</v>
      </c>
      <c r="I1305" s="72"/>
      <c r="J1305" s="72" t="s">
        <v>49</v>
      </c>
      <c r="K1305" s="72"/>
      <c r="L1305" s="72" t="s">
        <v>50</v>
      </c>
      <c r="M1305" s="72"/>
      <c r="T1305" s="13"/>
    </row>
    <row r="1306" spans="1:20" ht="24.95" customHeight="1">
      <c r="A1306" s="10">
        <v>6</v>
      </c>
      <c r="B1306" s="66" t="s">
        <v>97</v>
      </c>
      <c r="C1306" s="67" t="s">
        <v>51</v>
      </c>
      <c r="D1306" s="68" t="s">
        <v>51</v>
      </c>
      <c r="E1306" s="4" t="s">
        <v>35</v>
      </c>
      <c r="F1306" s="69">
        <v>80</v>
      </c>
      <c r="G1306" s="70">
        <v>1261</v>
      </c>
      <c r="H1306" s="71">
        <f>H1292</f>
        <v>0</v>
      </c>
      <c r="I1306" s="71"/>
      <c r="J1306" s="71">
        <f>H1306+J1248</f>
        <v>78</v>
      </c>
      <c r="K1306" s="71"/>
      <c r="L1306" s="72"/>
      <c r="M1306" s="72"/>
      <c r="T1306" s="13"/>
    </row>
    <row r="1307" spans="1:20" ht="24.95" customHeight="1">
      <c r="A1307" s="10">
        <v>7</v>
      </c>
      <c r="B1307" s="66" t="s">
        <v>88</v>
      </c>
      <c r="C1307" s="67" t="s">
        <v>88</v>
      </c>
      <c r="D1307" s="68" t="s">
        <v>88</v>
      </c>
      <c r="E1307" s="4" t="s">
        <v>98</v>
      </c>
      <c r="F1307" s="69">
        <v>126</v>
      </c>
      <c r="G1307" s="70"/>
      <c r="H1307" s="71">
        <f>H1293</f>
        <v>0</v>
      </c>
      <c r="I1307" s="71"/>
      <c r="J1307" s="71">
        <f t="shared" ref="J1307:J1308" si="154">H1307+J1249</f>
        <v>0</v>
      </c>
      <c r="K1307" s="71"/>
      <c r="L1307" s="72"/>
      <c r="M1307" s="72"/>
      <c r="T1307" s="13"/>
    </row>
    <row r="1308" spans="1:20" ht="24.95" customHeight="1">
      <c r="A1308" s="10">
        <v>8</v>
      </c>
      <c r="B1308" s="66" t="s">
        <v>89</v>
      </c>
      <c r="C1308" s="67" t="s">
        <v>89</v>
      </c>
      <c r="D1308" s="68" t="s">
        <v>89</v>
      </c>
      <c r="E1308" s="4" t="s">
        <v>36</v>
      </c>
      <c r="F1308" s="69">
        <v>1</v>
      </c>
      <c r="G1308" s="70"/>
      <c r="H1308" s="71">
        <f>H1294</f>
        <v>0</v>
      </c>
      <c r="I1308" s="71"/>
      <c r="J1308" s="71">
        <f t="shared" si="154"/>
        <v>0.3</v>
      </c>
      <c r="K1308" s="71"/>
      <c r="L1308" s="72"/>
      <c r="M1308" s="72"/>
      <c r="T1308" s="13"/>
    </row>
    <row r="1309" spans="1:20" ht="24.95" customHeight="1">
      <c r="A1309" s="51" t="s">
        <v>52</v>
      </c>
      <c r="B1309" s="52"/>
      <c r="C1309" s="52"/>
      <c r="D1309" s="52"/>
      <c r="E1309" s="52"/>
      <c r="F1309" s="52"/>
      <c r="G1309" s="52"/>
      <c r="H1309" s="52"/>
      <c r="I1309" s="52"/>
      <c r="J1309" s="52"/>
      <c r="K1309" s="52"/>
      <c r="L1309" s="52"/>
      <c r="M1309" s="53"/>
      <c r="T1309" s="13"/>
    </row>
    <row r="1310" spans="1:20" ht="24.95" customHeight="1">
      <c r="A1310" s="54" t="s">
        <v>53</v>
      </c>
      <c r="B1310" s="63"/>
      <c r="C1310" s="63"/>
      <c r="D1310" s="59"/>
      <c r="E1310" s="4" t="s">
        <v>54</v>
      </c>
      <c r="F1310" s="54" t="s">
        <v>55</v>
      </c>
      <c r="G1310" s="59"/>
      <c r="H1310" s="54" t="s">
        <v>56</v>
      </c>
      <c r="I1310" s="59"/>
      <c r="J1310" s="54" t="s">
        <v>48</v>
      </c>
      <c r="K1310" s="59"/>
      <c r="L1310" s="64" t="s">
        <v>49</v>
      </c>
      <c r="M1310" s="65"/>
      <c r="T1310" s="13"/>
    </row>
    <row r="1311" spans="1:20" ht="24.95" customHeight="1">
      <c r="A1311" s="54" t="s">
        <v>57</v>
      </c>
      <c r="B1311" s="55"/>
      <c r="C1311" s="55"/>
      <c r="D1311" s="56"/>
      <c r="E1311" s="4"/>
      <c r="F1311" s="57">
        <f>E1311+F1253</f>
        <v>28</v>
      </c>
      <c r="G1311" s="58"/>
      <c r="H1311" s="54" t="s">
        <v>58</v>
      </c>
      <c r="I1311" s="59"/>
      <c r="J1311" s="54"/>
      <c r="K1311" s="59"/>
      <c r="L1311" s="57">
        <f>J1311+L1253</f>
        <v>15</v>
      </c>
      <c r="M1311" s="58"/>
      <c r="T1311" s="13"/>
    </row>
    <row r="1312" spans="1:20" ht="24.95" customHeight="1">
      <c r="A1312" s="54" t="s">
        <v>59</v>
      </c>
      <c r="B1312" s="55"/>
      <c r="C1312" s="55"/>
      <c r="D1312" s="56"/>
      <c r="E1312" s="4"/>
      <c r="F1312" s="57">
        <f t="shared" ref="F1312:F1314" si="155">E1312+F1254</f>
        <v>0</v>
      </c>
      <c r="G1312" s="58"/>
      <c r="H1312" s="54" t="s">
        <v>60</v>
      </c>
      <c r="I1312" s="59"/>
      <c r="J1312" s="54"/>
      <c r="K1312" s="59"/>
      <c r="L1312" s="57">
        <f t="shared" ref="L1312:L1314" si="156">J1312+L1254</f>
        <v>0</v>
      </c>
      <c r="M1312" s="58"/>
      <c r="T1312" s="13"/>
    </row>
    <row r="1313" spans="1:20" ht="24.95" customHeight="1">
      <c r="A1313" s="54" t="s">
        <v>61</v>
      </c>
      <c r="B1313" s="55"/>
      <c r="C1313" s="55"/>
      <c r="D1313" s="56"/>
      <c r="E1313" s="4"/>
      <c r="F1313" s="57">
        <f t="shared" si="155"/>
        <v>2</v>
      </c>
      <c r="G1313" s="58"/>
      <c r="H1313" s="54" t="s">
        <v>62</v>
      </c>
      <c r="I1313" s="59"/>
      <c r="J1313" s="54"/>
      <c r="K1313" s="59"/>
      <c r="L1313" s="57">
        <f t="shared" si="156"/>
        <v>5</v>
      </c>
      <c r="M1313" s="58"/>
      <c r="T1313" s="13"/>
    </row>
    <row r="1314" spans="1:20" ht="24.95" customHeight="1">
      <c r="A1314" s="54" t="s">
        <v>63</v>
      </c>
      <c r="B1314" s="55"/>
      <c r="C1314" s="55"/>
      <c r="D1314" s="56"/>
      <c r="E1314" s="4"/>
      <c r="F1314" s="57">
        <f t="shared" si="155"/>
        <v>4</v>
      </c>
      <c r="G1314" s="58"/>
      <c r="H1314" s="54" t="s">
        <v>64</v>
      </c>
      <c r="I1314" s="59"/>
      <c r="J1314" s="54"/>
      <c r="K1314" s="59"/>
      <c r="L1314" s="57">
        <f t="shared" si="156"/>
        <v>1</v>
      </c>
      <c r="M1314" s="58"/>
      <c r="T1314" s="13"/>
    </row>
    <row r="1315" spans="1:20" ht="64.5" customHeight="1">
      <c r="A1315" s="60" t="s">
        <v>65</v>
      </c>
      <c r="B1315" s="61"/>
      <c r="C1315" s="61"/>
      <c r="D1315" s="61"/>
      <c r="E1315" s="61"/>
      <c r="F1315" s="61"/>
      <c r="G1315" s="61"/>
      <c r="H1315" s="61"/>
      <c r="I1315" s="61"/>
      <c r="J1315" s="61"/>
      <c r="K1315" s="61"/>
      <c r="L1315" s="61"/>
      <c r="M1315" s="62"/>
      <c r="T1315" s="13"/>
    </row>
    <row r="1316" spans="1:20" ht="24.95" customHeight="1">
      <c r="A1316" s="46" t="s">
        <v>66</v>
      </c>
      <c r="B1316" s="47"/>
      <c r="C1316" s="47"/>
      <c r="D1316" s="47"/>
      <c r="E1316" s="47"/>
      <c r="F1316" s="47"/>
      <c r="G1316" s="47"/>
      <c r="H1316" s="47"/>
      <c r="I1316" s="47"/>
      <c r="J1316" s="47"/>
      <c r="K1316" s="47"/>
      <c r="L1316" s="47"/>
      <c r="M1316" s="48"/>
      <c r="T1316" s="13"/>
    </row>
    <row r="1317" spans="1:20" ht="24.95" customHeight="1">
      <c r="A1317" s="27"/>
      <c r="B1317" s="34" t="s">
        <v>67</v>
      </c>
      <c r="C1317" s="34"/>
      <c r="D1317" s="34"/>
      <c r="E1317" s="34"/>
      <c r="F1317" s="34"/>
      <c r="G1317" s="35"/>
      <c r="H1317" s="34"/>
      <c r="I1317" s="34"/>
      <c r="J1317" s="34"/>
      <c r="K1317" s="34"/>
      <c r="L1317" s="34"/>
      <c r="M1317" s="36"/>
      <c r="T1317" s="13"/>
    </row>
    <row r="1318" spans="1:20" ht="24.95" customHeight="1">
      <c r="A1318" s="27"/>
      <c r="B1318" s="34" t="s">
        <v>81</v>
      </c>
      <c r="C1318" s="34"/>
      <c r="D1318" s="34"/>
      <c r="E1318" s="34"/>
      <c r="F1318" s="34"/>
      <c r="G1318" s="35"/>
      <c r="H1318" s="34"/>
      <c r="I1318" s="34"/>
      <c r="J1318" s="34"/>
      <c r="K1318" s="34"/>
      <c r="L1318" s="34"/>
      <c r="M1318" s="36"/>
      <c r="T1318" s="13"/>
    </row>
    <row r="1319" spans="1:20" ht="24.95" customHeight="1">
      <c r="A1319" s="27"/>
      <c r="B1319" s="34" t="s">
        <v>68</v>
      </c>
      <c r="C1319" s="34"/>
      <c r="D1319" s="34"/>
      <c r="E1319" s="34"/>
      <c r="F1319" s="34"/>
      <c r="G1319" s="35"/>
      <c r="H1319" s="34"/>
      <c r="I1319" s="34"/>
      <c r="J1319" s="34"/>
      <c r="K1319" s="34"/>
      <c r="L1319" s="34"/>
      <c r="M1319" s="36"/>
      <c r="T1319" s="13"/>
    </row>
    <row r="1320" spans="1:20" ht="24.95" customHeight="1">
      <c r="A1320" s="27"/>
      <c r="B1320" s="34" t="s">
        <v>82</v>
      </c>
      <c r="C1320" s="34"/>
      <c r="D1320" s="34"/>
      <c r="E1320" s="34"/>
      <c r="F1320" s="34"/>
      <c r="G1320" s="35"/>
      <c r="H1320" s="34"/>
      <c r="I1320" s="34"/>
      <c r="J1320" s="34"/>
      <c r="K1320" s="34"/>
      <c r="L1320" s="34"/>
      <c r="M1320" s="36"/>
      <c r="T1320" s="13"/>
    </row>
    <row r="1321" spans="1:20" ht="24.95" customHeight="1">
      <c r="A1321" s="27"/>
      <c r="B1321" s="34" t="s">
        <v>99</v>
      </c>
      <c r="C1321" s="34"/>
      <c r="D1321" s="34"/>
      <c r="E1321" s="34"/>
      <c r="F1321" s="34"/>
      <c r="G1321" s="35"/>
      <c r="H1321" s="34"/>
      <c r="I1321" s="34"/>
      <c r="J1321" s="34"/>
      <c r="K1321" s="34"/>
      <c r="L1321" s="34"/>
      <c r="M1321" s="36"/>
      <c r="T1321" s="13"/>
    </row>
    <row r="1322" spans="1:20" ht="24.95" customHeight="1">
      <c r="A1322" s="37"/>
      <c r="B1322" s="49" t="s">
        <v>69</v>
      </c>
      <c r="C1322" s="49"/>
      <c r="D1322" s="49"/>
      <c r="E1322" s="49"/>
      <c r="F1322" s="49"/>
      <c r="G1322" s="49"/>
      <c r="H1322" s="49"/>
      <c r="I1322" s="49"/>
      <c r="J1322" s="49"/>
      <c r="K1322" s="49"/>
      <c r="L1322" s="49"/>
      <c r="M1322" s="50"/>
      <c r="T1322" s="13"/>
    </row>
    <row r="1323" spans="1:20" ht="44.25" customHeight="1">
      <c r="A1323" s="51" t="s">
        <v>70</v>
      </c>
      <c r="B1323" s="52"/>
      <c r="C1323" s="52"/>
      <c r="D1323" s="52"/>
      <c r="E1323" s="52"/>
      <c r="F1323" s="52"/>
      <c r="G1323" s="52"/>
      <c r="H1323" s="52"/>
      <c r="I1323" s="52"/>
      <c r="J1323" s="52"/>
      <c r="K1323" s="52"/>
      <c r="L1323" s="52"/>
      <c r="M1323" s="53"/>
      <c r="T1323" s="13"/>
    </row>
    <row r="1324" spans="1:20" ht="48" customHeight="1">
      <c r="A1324" s="51" t="s">
        <v>71</v>
      </c>
      <c r="B1324" s="52"/>
      <c r="C1324" s="52"/>
      <c r="D1324" s="52"/>
      <c r="E1324" s="52"/>
      <c r="F1324" s="52"/>
      <c r="G1324" s="52"/>
      <c r="H1324" s="52"/>
      <c r="I1324" s="52"/>
      <c r="J1324" s="52"/>
      <c r="K1324" s="52"/>
      <c r="L1324" s="52"/>
      <c r="M1324" s="53"/>
      <c r="T1324" s="13"/>
    </row>
    <row r="1325" spans="1:20" ht="81" customHeight="1">
      <c r="A1325" s="51" t="s">
        <v>141</v>
      </c>
      <c r="B1325" s="52"/>
      <c r="C1325" s="52"/>
      <c r="D1325" s="52"/>
      <c r="E1325" s="52"/>
      <c r="F1325" s="52"/>
      <c r="G1325" s="52"/>
      <c r="H1325" s="52"/>
      <c r="I1325" s="52"/>
      <c r="J1325" s="52"/>
      <c r="K1325" s="52"/>
      <c r="L1325" s="52"/>
      <c r="M1325" s="53"/>
      <c r="T1325" s="13"/>
    </row>
    <row r="1326" spans="1:20" ht="100.5" customHeight="1">
      <c r="A1326" s="51" t="s">
        <v>72</v>
      </c>
      <c r="B1326" s="52"/>
      <c r="C1326" s="52"/>
      <c r="D1326" s="52"/>
      <c r="E1326" s="52"/>
      <c r="F1326" s="52"/>
      <c r="G1326" s="52"/>
      <c r="H1326" s="52"/>
      <c r="I1326" s="52"/>
      <c r="J1326" s="52"/>
      <c r="K1326" s="52"/>
      <c r="L1326" s="52"/>
      <c r="M1326" s="53"/>
      <c r="T1326" s="13"/>
    </row>
    <row r="1327" spans="1:20" ht="12" customHeight="1">
      <c r="A1327" s="41" t="s">
        <v>73</v>
      </c>
      <c r="B1327" s="41"/>
      <c r="C1327" s="42"/>
      <c r="D1327" s="42"/>
      <c r="E1327" s="42"/>
      <c r="F1327" s="42"/>
      <c r="G1327" s="42"/>
      <c r="H1327" s="42"/>
      <c r="I1327" s="42"/>
      <c r="J1327" s="42"/>
      <c r="K1327" s="42"/>
      <c r="L1327" s="42"/>
      <c r="M1327" s="38"/>
      <c r="T1327" s="13"/>
    </row>
    <row r="1328" spans="1:20" ht="12" customHeight="1">
      <c r="A1328" s="43" t="s">
        <v>74</v>
      </c>
      <c r="B1328" s="43"/>
      <c r="C1328" s="40"/>
      <c r="D1328" s="40"/>
      <c r="E1328" s="40"/>
      <c r="F1328" s="40"/>
      <c r="G1328" s="40"/>
      <c r="H1328" s="40"/>
      <c r="I1328" s="40"/>
      <c r="J1328" s="40"/>
      <c r="K1328" s="40"/>
      <c r="L1328" s="38"/>
      <c r="M1328" s="38"/>
      <c r="T1328" s="13"/>
    </row>
    <row r="1329" spans="1:20" ht="12" customHeight="1">
      <c r="A1329" s="44" t="s">
        <v>75</v>
      </c>
      <c r="B1329" s="44"/>
      <c r="C1329" s="44"/>
      <c r="D1329" s="44"/>
      <c r="E1329" s="44"/>
      <c r="F1329" s="44"/>
      <c r="G1329" s="44"/>
      <c r="H1329" s="44"/>
      <c r="I1329" s="44"/>
      <c r="J1329" s="44"/>
      <c r="K1329" s="44"/>
      <c r="L1329" s="44"/>
      <c r="M1329" s="44"/>
      <c r="T1329" s="13"/>
    </row>
    <row r="1330" spans="1:20" ht="12" customHeight="1">
      <c r="A1330" s="39" t="s">
        <v>76</v>
      </c>
      <c r="B1330" s="39"/>
      <c r="C1330" s="39"/>
      <c r="D1330" s="39"/>
      <c r="E1330" s="39"/>
      <c r="F1330" s="39"/>
      <c r="G1330" s="39"/>
      <c r="H1330" s="39"/>
      <c r="I1330" s="39"/>
      <c r="J1330" s="39"/>
      <c r="K1330" s="39"/>
      <c r="L1330" s="39"/>
      <c r="M1330" s="39"/>
      <c r="T1330" s="13"/>
    </row>
    <row r="1331" spans="1:20" ht="12" customHeight="1">
      <c r="A1331" s="39" t="s">
        <v>77</v>
      </c>
      <c r="B1331" s="40"/>
      <c r="C1331" s="40"/>
      <c r="D1331" s="40"/>
      <c r="E1331" s="40"/>
      <c r="F1331" s="40"/>
      <c r="G1331" s="40"/>
      <c r="H1331" s="40"/>
      <c r="I1331" s="40"/>
      <c r="J1331" s="40"/>
      <c r="K1331" s="40"/>
      <c r="L1331" s="40"/>
      <c r="M1331" s="40"/>
      <c r="T1331" s="13"/>
    </row>
    <row r="1332" spans="1:20" ht="12" customHeight="1">
      <c r="A1332" s="45" t="s">
        <v>78</v>
      </c>
      <c r="B1332" s="40"/>
      <c r="C1332" s="40"/>
      <c r="D1332" s="40"/>
      <c r="E1332" s="40"/>
      <c r="F1332" s="40"/>
      <c r="G1332" s="40"/>
      <c r="H1332" s="40"/>
      <c r="I1332" s="40"/>
      <c r="J1332" s="40"/>
      <c r="K1332" s="40"/>
      <c r="L1332" s="40"/>
      <c r="M1332" s="40"/>
      <c r="T1332" s="13"/>
    </row>
    <row r="1333" spans="1:20" ht="12" customHeight="1">
      <c r="A1333" s="39" t="s">
        <v>79</v>
      </c>
      <c r="B1333" s="40"/>
      <c r="C1333" s="40"/>
      <c r="D1333" s="40"/>
      <c r="E1333" s="40"/>
      <c r="F1333" s="40"/>
      <c r="G1333" s="40"/>
      <c r="H1333" s="40"/>
      <c r="I1333" s="40"/>
      <c r="J1333" s="40"/>
      <c r="K1333" s="40"/>
      <c r="L1333" s="40"/>
      <c r="M1333" s="40"/>
      <c r="T1333" s="13"/>
    </row>
    <row r="1334" spans="1:20" ht="409.5" customHeight="1"/>
    <row r="1335" spans="1:20" s="2" customFormat="1" ht="35.1" customHeight="1">
      <c r="A1335" s="126" t="s">
        <v>0</v>
      </c>
      <c r="B1335" s="126"/>
      <c r="C1335" s="1">
        <f>C1277+1</f>
        <v>28</v>
      </c>
      <c r="G1335" s="3"/>
    </row>
    <row r="1336" spans="1:20" s="2" customFormat="1" ht="35.1" customHeight="1">
      <c r="A1336" s="126" t="s">
        <v>1</v>
      </c>
      <c r="B1336" s="126"/>
      <c r="C1336" s="2" t="s">
        <v>2</v>
      </c>
      <c r="D1336" s="2" t="s">
        <v>137</v>
      </c>
      <c r="E1336" s="2" t="s">
        <v>3</v>
      </c>
      <c r="F1336" s="2" t="s">
        <v>137</v>
      </c>
      <c r="G1336" s="3"/>
      <c r="H1336" s="127" t="s">
        <v>4</v>
      </c>
      <c r="I1336" s="128"/>
      <c r="J1336" s="129">
        <f>J1278+1</f>
        <v>46015</v>
      </c>
      <c r="K1336" s="130"/>
      <c r="L1336" s="131">
        <f>J1336</f>
        <v>46015</v>
      </c>
      <c r="M1336" s="132"/>
    </row>
    <row r="1337" spans="1:20" s="2" customFormat="1" ht="30" customHeight="1">
      <c r="A1337" s="72" t="s">
        <v>5</v>
      </c>
      <c r="B1337" s="114"/>
      <c r="C1337" s="119" t="s">
        <v>83</v>
      </c>
      <c r="D1337" s="119"/>
      <c r="E1337" s="119"/>
      <c r="F1337" s="119"/>
      <c r="G1337" s="119"/>
      <c r="H1337" s="54" t="s">
        <v>6</v>
      </c>
      <c r="I1337" s="59"/>
      <c r="J1337" s="120"/>
      <c r="K1337" s="120"/>
      <c r="L1337" s="120"/>
      <c r="M1337" s="120"/>
    </row>
    <row r="1338" spans="1:20" s="1" customFormat="1" ht="30" customHeight="1">
      <c r="A1338" s="72" t="s">
        <v>7</v>
      </c>
      <c r="B1338" s="114"/>
      <c r="C1338" s="4">
        <v>50</v>
      </c>
      <c r="D1338" s="4" t="s">
        <v>8</v>
      </c>
      <c r="E1338" s="4" t="s">
        <v>9</v>
      </c>
      <c r="F1338" s="4">
        <f>F1280+1</f>
        <v>28</v>
      </c>
      <c r="G1338" s="5" t="s">
        <v>8</v>
      </c>
      <c r="H1338" s="4" t="s">
        <v>10</v>
      </c>
      <c r="I1338" s="4">
        <f>C1338-F1338+L1338</f>
        <v>22</v>
      </c>
      <c r="J1338" s="4" t="s">
        <v>11</v>
      </c>
      <c r="K1338" s="6" t="s">
        <v>12</v>
      </c>
      <c r="L1338" s="7">
        <f>L1280</f>
        <v>0</v>
      </c>
      <c r="M1338" s="4" t="s">
        <v>8</v>
      </c>
    </row>
    <row r="1339" spans="1:20" s="2" customFormat="1" ht="30" customHeight="1">
      <c r="A1339" s="72" t="s">
        <v>13</v>
      </c>
      <c r="B1339" s="75"/>
      <c r="C1339" s="75"/>
      <c r="D1339" s="121">
        <f>D1281</f>
        <v>45988</v>
      </c>
      <c r="E1339" s="122"/>
      <c r="F1339" s="122"/>
      <c r="G1339" s="123"/>
      <c r="H1339" s="124" t="s">
        <v>14</v>
      </c>
      <c r="I1339" s="125"/>
      <c r="J1339" s="121">
        <f>J1281</f>
        <v>46037</v>
      </c>
      <c r="K1339" s="122"/>
      <c r="L1339" s="122"/>
      <c r="M1339" s="123"/>
    </row>
    <row r="1340" spans="1:20" s="2" customFormat="1" ht="30" customHeight="1">
      <c r="A1340" s="72" t="s">
        <v>15</v>
      </c>
      <c r="B1340" s="114"/>
      <c r="C1340" s="114"/>
      <c r="D1340" s="72">
        <v>1.702</v>
      </c>
      <c r="E1340" s="72"/>
      <c r="F1340" s="72"/>
      <c r="G1340" s="72"/>
      <c r="H1340" s="64" t="s">
        <v>16</v>
      </c>
      <c r="I1340" s="115"/>
      <c r="J1340" s="116">
        <f>P1356</f>
        <v>0</v>
      </c>
      <c r="K1340" s="117"/>
      <c r="L1340" s="117"/>
      <c r="M1340" s="118"/>
    </row>
    <row r="1341" spans="1:20" s="2" customFormat="1" ht="30" customHeight="1">
      <c r="A1341" s="72" t="s">
        <v>17</v>
      </c>
      <c r="B1341" s="114"/>
      <c r="C1341" s="114"/>
      <c r="D1341" s="72">
        <f>D1340+D1283</f>
        <v>16.959999999999997</v>
      </c>
      <c r="E1341" s="72"/>
      <c r="F1341" s="72"/>
      <c r="G1341" s="72"/>
      <c r="H1341" s="64" t="s">
        <v>18</v>
      </c>
      <c r="I1341" s="115"/>
      <c r="J1341" s="116">
        <f>J1340+J1283</f>
        <v>25.469999999999992</v>
      </c>
      <c r="K1341" s="117"/>
      <c r="L1341" s="117"/>
      <c r="M1341" s="118"/>
    </row>
    <row r="1342" spans="1:20" s="2" customFormat="1" ht="30" customHeight="1">
      <c r="A1342" s="111" t="s">
        <v>19</v>
      </c>
      <c r="B1342" s="112"/>
      <c r="C1342" s="112"/>
      <c r="D1342" s="112"/>
      <c r="E1342" s="112"/>
      <c r="F1342" s="112"/>
      <c r="G1342" s="112"/>
      <c r="H1342" s="112"/>
      <c r="I1342" s="112"/>
      <c r="J1342" s="112"/>
      <c r="K1342" s="112"/>
      <c r="L1342" s="112"/>
      <c r="M1342" s="113"/>
    </row>
    <row r="1343" spans="1:20" s="2" customFormat="1" ht="30" customHeight="1">
      <c r="A1343" s="8" t="s">
        <v>20</v>
      </c>
      <c r="B1343" s="72" t="s">
        <v>21</v>
      </c>
      <c r="C1343" s="72"/>
      <c r="D1343" s="72"/>
      <c r="E1343" s="4" t="s">
        <v>22</v>
      </c>
      <c r="F1343" s="54" t="s">
        <v>23</v>
      </c>
      <c r="G1343" s="59"/>
      <c r="H1343" s="72" t="s">
        <v>24</v>
      </c>
      <c r="I1343" s="72"/>
      <c r="J1343" s="72" t="s">
        <v>25</v>
      </c>
      <c r="K1343" s="72"/>
      <c r="L1343" s="72" t="s">
        <v>26</v>
      </c>
      <c r="M1343" s="72"/>
      <c r="O1343" s="1" t="s">
        <v>27</v>
      </c>
      <c r="P1343" s="1" t="s">
        <v>28</v>
      </c>
      <c r="T1343" s="2" t="s">
        <v>29</v>
      </c>
    </row>
    <row r="1344" spans="1:20" s="2" customFormat="1" ht="24.95" customHeight="1">
      <c r="A1344" s="9" t="s">
        <v>30</v>
      </c>
      <c r="B1344" s="110" t="s">
        <v>31</v>
      </c>
      <c r="C1344" s="110"/>
      <c r="D1344" s="110"/>
      <c r="E1344" s="4"/>
      <c r="F1344" s="54"/>
      <c r="G1344" s="59"/>
      <c r="H1344" s="72"/>
      <c r="I1344" s="72"/>
      <c r="J1344" s="72"/>
      <c r="K1344" s="72"/>
      <c r="L1344" s="72"/>
      <c r="M1344" s="72"/>
    </row>
    <row r="1345" spans="1:20" ht="24.95" customHeight="1">
      <c r="A1345" s="10">
        <v>1</v>
      </c>
      <c r="B1345" s="66" t="s">
        <v>91</v>
      </c>
      <c r="C1345" s="67" t="s">
        <v>91</v>
      </c>
      <c r="D1345" s="68" t="s">
        <v>91</v>
      </c>
      <c r="E1345" s="4" t="s">
        <v>32</v>
      </c>
      <c r="F1345" s="69">
        <v>1</v>
      </c>
      <c r="G1345" s="70"/>
      <c r="H1345" s="69"/>
      <c r="I1345" s="70"/>
      <c r="J1345" s="71">
        <f>H1345+J1287</f>
        <v>1</v>
      </c>
      <c r="K1345" s="71"/>
      <c r="L1345" s="72"/>
      <c r="M1345" s="72"/>
      <c r="O1345" s="11">
        <v>4000</v>
      </c>
      <c r="P1345" s="11">
        <f>ROUND(H1345*O1345,0)</f>
        <v>0</v>
      </c>
      <c r="Q1345" s="12"/>
      <c r="S1345" s="11">
        <f>ROUND(J1345*O1345,0)</f>
        <v>4000</v>
      </c>
      <c r="T1345" s="13">
        <f>F1345-J1345</f>
        <v>0</v>
      </c>
    </row>
    <row r="1346" spans="1:20" ht="24.95" customHeight="1">
      <c r="A1346" s="10">
        <v>2</v>
      </c>
      <c r="B1346" s="66" t="s">
        <v>92</v>
      </c>
      <c r="C1346" s="67" t="s">
        <v>92</v>
      </c>
      <c r="D1346" s="68" t="s">
        <v>92</v>
      </c>
      <c r="E1346" s="4" t="s">
        <v>32</v>
      </c>
      <c r="F1346" s="69">
        <v>1</v>
      </c>
      <c r="G1346" s="70"/>
      <c r="H1346" s="69"/>
      <c r="I1346" s="70"/>
      <c r="J1346" s="71">
        <f t="shared" ref="J1346:J1353" si="157">H1346+J1288</f>
        <v>1</v>
      </c>
      <c r="K1346" s="71"/>
      <c r="L1346" s="72"/>
      <c r="M1346" s="72"/>
      <c r="O1346" s="11">
        <v>14334</v>
      </c>
      <c r="P1346" s="11">
        <f t="shared" ref="P1346:P1353" si="158">ROUND(H1346*O1346,0)</f>
        <v>0</v>
      </c>
      <c r="Q1346" s="12"/>
      <c r="S1346" s="11">
        <f t="shared" ref="S1346:S1353" si="159">ROUND(J1346*O1346,0)</f>
        <v>14334</v>
      </c>
      <c r="T1346" s="13">
        <f t="shared" ref="T1346:T1353" si="160">F1346-J1346</f>
        <v>0</v>
      </c>
    </row>
    <row r="1347" spans="1:20" ht="24.95" customHeight="1">
      <c r="A1347" s="10">
        <v>3</v>
      </c>
      <c r="B1347" s="66" t="s">
        <v>84</v>
      </c>
      <c r="C1347" s="67" t="s">
        <v>84</v>
      </c>
      <c r="D1347" s="68" t="s">
        <v>84</v>
      </c>
      <c r="E1347" s="4" t="s">
        <v>33</v>
      </c>
      <c r="F1347" s="69">
        <v>1</v>
      </c>
      <c r="G1347" s="70"/>
      <c r="H1347" s="69"/>
      <c r="I1347" s="70"/>
      <c r="J1347" s="71">
        <f t="shared" si="157"/>
        <v>0.5</v>
      </c>
      <c r="K1347" s="71"/>
      <c r="L1347" s="72"/>
      <c r="M1347" s="72"/>
      <c r="O1347" s="11">
        <v>7000</v>
      </c>
      <c r="P1347" s="11">
        <f t="shared" si="158"/>
        <v>0</v>
      </c>
      <c r="Q1347" s="12"/>
      <c r="S1347" s="11">
        <f t="shared" si="159"/>
        <v>3500</v>
      </c>
      <c r="T1347" s="13">
        <f t="shared" si="160"/>
        <v>0.5</v>
      </c>
    </row>
    <row r="1348" spans="1:20" ht="24.95" customHeight="1">
      <c r="A1348" s="10">
        <v>4</v>
      </c>
      <c r="B1348" s="66" t="s">
        <v>85</v>
      </c>
      <c r="C1348" s="67" t="s">
        <v>85</v>
      </c>
      <c r="D1348" s="68" t="s">
        <v>85</v>
      </c>
      <c r="E1348" s="4" t="s">
        <v>34</v>
      </c>
      <c r="F1348" s="69">
        <v>1</v>
      </c>
      <c r="G1348" s="70"/>
      <c r="H1348" s="69"/>
      <c r="I1348" s="70"/>
      <c r="J1348" s="71">
        <f t="shared" si="157"/>
        <v>1</v>
      </c>
      <c r="K1348" s="71"/>
      <c r="L1348" s="72"/>
      <c r="M1348" s="72"/>
      <c r="O1348" s="11">
        <v>74000</v>
      </c>
      <c r="P1348" s="11">
        <f t="shared" si="158"/>
        <v>0</v>
      </c>
      <c r="Q1348" s="12"/>
      <c r="S1348" s="11">
        <f t="shared" si="159"/>
        <v>74000</v>
      </c>
      <c r="T1348" s="13">
        <f t="shared" si="160"/>
        <v>0</v>
      </c>
    </row>
    <row r="1349" spans="1:20" ht="24.95" customHeight="1">
      <c r="A1349" s="10">
        <v>5</v>
      </c>
      <c r="B1349" s="66" t="s">
        <v>86</v>
      </c>
      <c r="C1349" s="67" t="s">
        <v>86</v>
      </c>
      <c r="D1349" s="68" t="s">
        <v>86</v>
      </c>
      <c r="E1349" s="4" t="s">
        <v>93</v>
      </c>
      <c r="F1349" s="69">
        <v>396</v>
      </c>
      <c r="G1349" s="70"/>
      <c r="H1349" s="69"/>
      <c r="I1349" s="70"/>
      <c r="J1349" s="71">
        <f t="shared" si="157"/>
        <v>350</v>
      </c>
      <c r="K1349" s="71"/>
      <c r="L1349" s="72"/>
      <c r="M1349" s="72"/>
      <c r="O1349" s="11">
        <v>200</v>
      </c>
      <c r="P1349" s="11">
        <f t="shared" si="158"/>
        <v>0</v>
      </c>
      <c r="Q1349" s="12"/>
      <c r="S1349" s="11">
        <f t="shared" si="159"/>
        <v>70000</v>
      </c>
      <c r="T1349" s="13">
        <f t="shared" si="160"/>
        <v>46</v>
      </c>
    </row>
    <row r="1350" spans="1:20" ht="24.95" customHeight="1">
      <c r="A1350" s="10">
        <v>6</v>
      </c>
      <c r="B1350" s="66" t="s">
        <v>97</v>
      </c>
      <c r="C1350" s="67" t="s">
        <v>87</v>
      </c>
      <c r="D1350" s="68" t="s">
        <v>87</v>
      </c>
      <c r="E1350" s="4" t="s">
        <v>35</v>
      </c>
      <c r="F1350" s="69">
        <v>80</v>
      </c>
      <c r="G1350" s="70">
        <v>183.6</v>
      </c>
      <c r="H1350" s="69"/>
      <c r="I1350" s="70"/>
      <c r="J1350" s="71">
        <f t="shared" si="157"/>
        <v>78</v>
      </c>
      <c r="K1350" s="71"/>
      <c r="L1350" s="54"/>
      <c r="M1350" s="59"/>
      <c r="O1350" s="11">
        <v>1463</v>
      </c>
      <c r="P1350" s="11">
        <f t="shared" si="158"/>
        <v>0</v>
      </c>
      <c r="S1350" s="11">
        <f t="shared" si="159"/>
        <v>114114</v>
      </c>
      <c r="T1350" s="13">
        <f t="shared" si="160"/>
        <v>2</v>
      </c>
    </row>
    <row r="1351" spans="1:20" ht="24.95" customHeight="1">
      <c r="A1351" s="10">
        <v>7</v>
      </c>
      <c r="B1351" s="66" t="s">
        <v>88</v>
      </c>
      <c r="C1351" s="67" t="s">
        <v>88</v>
      </c>
      <c r="D1351" s="68" t="s">
        <v>88</v>
      </c>
      <c r="E1351" s="4" t="s">
        <v>94</v>
      </c>
      <c r="F1351" s="69">
        <v>126</v>
      </c>
      <c r="G1351" s="70">
        <v>19</v>
      </c>
      <c r="H1351" s="69"/>
      <c r="I1351" s="70"/>
      <c r="J1351" s="71">
        <f t="shared" si="157"/>
        <v>0</v>
      </c>
      <c r="K1351" s="71"/>
      <c r="L1351" s="54"/>
      <c r="M1351" s="59"/>
      <c r="O1351" s="11">
        <v>6350</v>
      </c>
      <c r="P1351" s="11">
        <f t="shared" si="158"/>
        <v>0</v>
      </c>
      <c r="S1351" s="11">
        <f t="shared" si="159"/>
        <v>0</v>
      </c>
      <c r="T1351" s="13">
        <f t="shared" si="160"/>
        <v>126</v>
      </c>
    </row>
    <row r="1352" spans="1:20" ht="24.95" customHeight="1">
      <c r="A1352" s="10">
        <v>8</v>
      </c>
      <c r="B1352" s="66" t="s">
        <v>89</v>
      </c>
      <c r="C1352" s="67" t="s">
        <v>89</v>
      </c>
      <c r="D1352" s="68" t="s">
        <v>89</v>
      </c>
      <c r="E1352" s="4" t="s">
        <v>95</v>
      </c>
      <c r="F1352" s="69">
        <v>1</v>
      </c>
      <c r="G1352" s="70">
        <v>1192</v>
      </c>
      <c r="H1352" s="69"/>
      <c r="I1352" s="70"/>
      <c r="J1352" s="71">
        <f t="shared" si="157"/>
        <v>0.3</v>
      </c>
      <c r="K1352" s="71"/>
      <c r="L1352" s="54"/>
      <c r="M1352" s="59"/>
      <c r="O1352" s="11">
        <v>47600</v>
      </c>
      <c r="P1352" s="11">
        <f t="shared" si="158"/>
        <v>0</v>
      </c>
      <c r="S1352" s="11">
        <f t="shared" si="159"/>
        <v>14280</v>
      </c>
      <c r="T1352" s="13">
        <f t="shared" si="160"/>
        <v>0.7</v>
      </c>
    </row>
    <row r="1353" spans="1:20" ht="24.95" customHeight="1">
      <c r="A1353" s="10">
        <v>9</v>
      </c>
      <c r="B1353" s="66" t="s">
        <v>90</v>
      </c>
      <c r="C1353" s="67" t="s">
        <v>90</v>
      </c>
      <c r="D1353" s="68" t="s">
        <v>90</v>
      </c>
      <c r="E1353" s="4" t="s">
        <v>96</v>
      </c>
      <c r="F1353" s="69">
        <v>1</v>
      </c>
      <c r="G1353" s="70">
        <v>1261</v>
      </c>
      <c r="H1353" s="69"/>
      <c r="I1353" s="70"/>
      <c r="J1353" s="71">
        <f t="shared" si="157"/>
        <v>0</v>
      </c>
      <c r="K1353" s="71"/>
      <c r="L1353" s="54"/>
      <c r="M1353" s="59"/>
      <c r="O1353" s="11">
        <v>10000</v>
      </c>
      <c r="P1353" s="11">
        <f t="shared" si="158"/>
        <v>0</v>
      </c>
      <c r="S1353" s="11">
        <f t="shared" si="159"/>
        <v>0</v>
      </c>
      <c r="T1353" s="13">
        <f t="shared" si="160"/>
        <v>1</v>
      </c>
    </row>
    <row r="1354" spans="1:20" ht="24.95" customHeight="1">
      <c r="A1354" s="14"/>
      <c r="B1354" s="15"/>
      <c r="C1354" s="16"/>
      <c r="D1354" s="17"/>
      <c r="E1354" s="4"/>
      <c r="F1354" s="18"/>
      <c r="G1354" s="19"/>
      <c r="H1354" s="105"/>
      <c r="I1354" s="106"/>
      <c r="J1354" s="105"/>
      <c r="K1354" s="106"/>
      <c r="L1354" s="54"/>
      <c r="M1354" s="59"/>
      <c r="N1354" s="20"/>
      <c r="P1354" s="21" t="s">
        <v>37</v>
      </c>
      <c r="Q1354" s="22">
        <f>SUM(P1345:P1353)</f>
        <v>0</v>
      </c>
      <c r="R1354" s="23"/>
      <c r="S1354" s="24">
        <f>SUM(S1345:S1353)</f>
        <v>294228</v>
      </c>
      <c r="T1354" s="13"/>
    </row>
    <row r="1355" spans="1:20" ht="24.95" customHeight="1">
      <c r="A1355" s="107"/>
      <c r="B1355" s="108"/>
      <c r="C1355" s="108"/>
      <c r="D1355" s="109"/>
      <c r="E1355" s="4"/>
      <c r="F1355" s="54"/>
      <c r="G1355" s="59"/>
      <c r="H1355" s="72"/>
      <c r="I1355" s="72"/>
      <c r="J1355" s="72"/>
      <c r="K1355" s="72"/>
      <c r="L1355" s="72"/>
      <c r="M1355" s="72"/>
      <c r="O1355" t="s">
        <v>38</v>
      </c>
      <c r="P1355" s="24">
        <f>Q1354</f>
        <v>0</v>
      </c>
      <c r="T1355" s="13"/>
    </row>
    <row r="1356" spans="1:20" ht="24.95" customHeight="1">
      <c r="A1356" s="97"/>
      <c r="B1356" s="98"/>
      <c r="C1356" s="98"/>
      <c r="D1356" s="99"/>
      <c r="E1356" s="4"/>
      <c r="F1356" s="54"/>
      <c r="G1356" s="59"/>
      <c r="H1356" s="72"/>
      <c r="I1356" s="72"/>
      <c r="J1356" s="72"/>
      <c r="K1356" s="72"/>
      <c r="L1356" s="72"/>
      <c r="M1356" s="72"/>
      <c r="O1356" t="s">
        <v>39</v>
      </c>
      <c r="P1356" s="23">
        <f>ROUND(P1355/1153274,4)*100</f>
        <v>0</v>
      </c>
      <c r="T1356" s="13"/>
    </row>
    <row r="1357" spans="1:20" ht="24.95" customHeight="1">
      <c r="A1357" s="25"/>
      <c r="B1357" s="63" t="s">
        <v>40</v>
      </c>
      <c r="C1357" s="63"/>
      <c r="D1357" s="59"/>
      <c r="E1357" s="26"/>
      <c r="F1357" s="100"/>
      <c r="G1357" s="101"/>
      <c r="H1357" s="100"/>
      <c r="I1357" s="101"/>
      <c r="J1357" s="102"/>
      <c r="K1357" s="102"/>
      <c r="L1357" s="103">
        <f>P1355</f>
        <v>0</v>
      </c>
      <c r="M1357" s="104"/>
      <c r="T1357" s="13"/>
    </row>
    <row r="1358" spans="1:20" ht="24.95" customHeight="1" thickBot="1">
      <c r="A1358" s="27"/>
      <c r="B1358" s="85" t="s">
        <v>41</v>
      </c>
      <c r="C1358" s="85"/>
      <c r="D1358" s="86"/>
      <c r="E1358" s="28"/>
      <c r="F1358" s="87"/>
      <c r="G1358" s="88"/>
      <c r="H1358" s="87"/>
      <c r="I1358" s="88"/>
      <c r="J1358" s="87"/>
      <c r="K1358" s="88"/>
      <c r="L1358" s="89">
        <f>L1357+L1300</f>
        <v>294228</v>
      </c>
      <c r="M1358" s="90"/>
      <c r="T1358" s="13"/>
    </row>
    <row r="1359" spans="1:20" ht="24.95" customHeight="1">
      <c r="A1359" s="29"/>
      <c r="B1359" s="91" t="s">
        <v>42</v>
      </c>
      <c r="C1359" s="91"/>
      <c r="D1359" s="92"/>
      <c r="E1359" s="30"/>
      <c r="F1359" s="93"/>
      <c r="G1359" s="94"/>
      <c r="H1359" s="95"/>
      <c r="I1359" s="95"/>
      <c r="J1359" s="95"/>
      <c r="K1359" s="95"/>
      <c r="L1359" s="95"/>
      <c r="M1359" s="96"/>
      <c r="T1359" s="13"/>
    </row>
    <row r="1360" spans="1:20" ht="24.95" customHeight="1">
      <c r="A1360" s="31"/>
      <c r="B1360" s="76" t="s">
        <v>43</v>
      </c>
      <c r="C1360" s="76"/>
      <c r="D1360" s="77"/>
      <c r="E1360" s="4"/>
      <c r="F1360" s="54"/>
      <c r="G1360" s="59"/>
      <c r="H1360" s="72"/>
      <c r="I1360" s="72"/>
      <c r="J1360" s="72"/>
      <c r="K1360" s="72"/>
      <c r="L1360" s="72"/>
      <c r="M1360" s="78"/>
      <c r="T1360" s="13"/>
    </row>
    <row r="1361" spans="1:20" ht="24.95" customHeight="1" thickBot="1">
      <c r="A1361" s="32"/>
      <c r="B1361" s="79" t="s">
        <v>44</v>
      </c>
      <c r="C1361" s="79"/>
      <c r="D1361" s="80"/>
      <c r="E1361" s="33"/>
      <c r="F1361" s="81"/>
      <c r="G1361" s="82"/>
      <c r="H1361" s="83"/>
      <c r="I1361" s="83"/>
      <c r="J1361" s="83"/>
      <c r="K1361" s="83"/>
      <c r="L1361" s="83"/>
      <c r="M1361" s="84"/>
      <c r="T1361" s="13"/>
    </row>
    <row r="1362" spans="1:20" ht="24.95" customHeight="1">
      <c r="A1362" s="73" t="s">
        <v>45</v>
      </c>
      <c r="B1362" s="74"/>
      <c r="C1362" s="74"/>
      <c r="D1362" s="74"/>
      <c r="E1362" s="74"/>
      <c r="F1362" s="74"/>
      <c r="G1362" s="74"/>
      <c r="H1362" s="74"/>
      <c r="I1362" s="74"/>
      <c r="J1362" s="74"/>
      <c r="K1362" s="74"/>
      <c r="L1362" s="74"/>
      <c r="M1362" s="74"/>
      <c r="T1362" s="13"/>
    </row>
    <row r="1363" spans="1:20" ht="24.95" customHeight="1">
      <c r="A1363" s="72" t="s">
        <v>46</v>
      </c>
      <c r="B1363" s="75"/>
      <c r="C1363" s="75"/>
      <c r="D1363" s="75"/>
      <c r="E1363" s="4" t="s">
        <v>22</v>
      </c>
      <c r="F1363" s="72" t="s">
        <v>47</v>
      </c>
      <c r="G1363" s="72"/>
      <c r="H1363" s="72" t="s">
        <v>48</v>
      </c>
      <c r="I1363" s="72"/>
      <c r="J1363" s="72" t="s">
        <v>49</v>
      </c>
      <c r="K1363" s="72"/>
      <c r="L1363" s="72" t="s">
        <v>50</v>
      </c>
      <c r="M1363" s="72"/>
      <c r="T1363" s="13"/>
    </row>
    <row r="1364" spans="1:20" ht="24.95" customHeight="1">
      <c r="A1364" s="10">
        <v>6</v>
      </c>
      <c r="B1364" s="66" t="s">
        <v>97</v>
      </c>
      <c r="C1364" s="67" t="s">
        <v>51</v>
      </c>
      <c r="D1364" s="68" t="s">
        <v>51</v>
      </c>
      <c r="E1364" s="4" t="s">
        <v>35</v>
      </c>
      <c r="F1364" s="69">
        <v>80</v>
      </c>
      <c r="G1364" s="70">
        <v>1261</v>
      </c>
      <c r="H1364" s="71">
        <f>H1350</f>
        <v>0</v>
      </c>
      <c r="I1364" s="71"/>
      <c r="J1364" s="71">
        <f>H1364+J1306</f>
        <v>78</v>
      </c>
      <c r="K1364" s="71"/>
      <c r="L1364" s="72"/>
      <c r="M1364" s="72"/>
      <c r="T1364" s="13"/>
    </row>
    <row r="1365" spans="1:20" ht="24.95" customHeight="1">
      <c r="A1365" s="10">
        <v>7</v>
      </c>
      <c r="B1365" s="66" t="s">
        <v>88</v>
      </c>
      <c r="C1365" s="67" t="s">
        <v>88</v>
      </c>
      <c r="D1365" s="68" t="s">
        <v>88</v>
      </c>
      <c r="E1365" s="4" t="s">
        <v>98</v>
      </c>
      <c r="F1365" s="69">
        <v>126</v>
      </c>
      <c r="G1365" s="70"/>
      <c r="H1365" s="71">
        <f>H1351</f>
        <v>0</v>
      </c>
      <c r="I1365" s="71"/>
      <c r="J1365" s="71">
        <f t="shared" ref="J1365:J1366" si="161">H1365+J1307</f>
        <v>0</v>
      </c>
      <c r="K1365" s="71"/>
      <c r="L1365" s="72"/>
      <c r="M1365" s="72"/>
      <c r="T1365" s="13"/>
    </row>
    <row r="1366" spans="1:20" ht="24.95" customHeight="1">
      <c r="A1366" s="10">
        <v>8</v>
      </c>
      <c r="B1366" s="66" t="s">
        <v>89</v>
      </c>
      <c r="C1366" s="67" t="s">
        <v>89</v>
      </c>
      <c r="D1366" s="68" t="s">
        <v>89</v>
      </c>
      <c r="E1366" s="4" t="s">
        <v>36</v>
      </c>
      <c r="F1366" s="69">
        <v>1</v>
      </c>
      <c r="G1366" s="70"/>
      <c r="H1366" s="71">
        <f>H1352</f>
        <v>0</v>
      </c>
      <c r="I1366" s="71"/>
      <c r="J1366" s="71">
        <f t="shared" si="161"/>
        <v>0.3</v>
      </c>
      <c r="K1366" s="71"/>
      <c r="L1366" s="72"/>
      <c r="M1366" s="72"/>
      <c r="T1366" s="13"/>
    </row>
    <row r="1367" spans="1:20" ht="24.95" customHeight="1">
      <c r="A1367" s="51" t="s">
        <v>52</v>
      </c>
      <c r="B1367" s="52"/>
      <c r="C1367" s="52"/>
      <c r="D1367" s="52"/>
      <c r="E1367" s="52"/>
      <c r="F1367" s="52"/>
      <c r="G1367" s="52"/>
      <c r="H1367" s="52"/>
      <c r="I1367" s="52"/>
      <c r="J1367" s="52"/>
      <c r="K1367" s="52"/>
      <c r="L1367" s="52"/>
      <c r="M1367" s="53"/>
      <c r="T1367" s="13"/>
    </row>
    <row r="1368" spans="1:20" ht="24.95" customHeight="1">
      <c r="A1368" s="54" t="s">
        <v>53</v>
      </c>
      <c r="B1368" s="63"/>
      <c r="C1368" s="63"/>
      <c r="D1368" s="59"/>
      <c r="E1368" s="4" t="s">
        <v>54</v>
      </c>
      <c r="F1368" s="54" t="s">
        <v>55</v>
      </c>
      <c r="G1368" s="59"/>
      <c r="H1368" s="54" t="s">
        <v>56</v>
      </c>
      <c r="I1368" s="59"/>
      <c r="J1368" s="54" t="s">
        <v>48</v>
      </c>
      <c r="K1368" s="59"/>
      <c r="L1368" s="64" t="s">
        <v>49</v>
      </c>
      <c r="M1368" s="65"/>
      <c r="T1368" s="13"/>
    </row>
    <row r="1369" spans="1:20" ht="24.95" customHeight="1">
      <c r="A1369" s="54" t="s">
        <v>57</v>
      </c>
      <c r="B1369" s="55"/>
      <c r="C1369" s="55"/>
      <c r="D1369" s="56"/>
      <c r="E1369" s="4"/>
      <c r="F1369" s="57">
        <f>E1369+F1311</f>
        <v>28</v>
      </c>
      <c r="G1369" s="58"/>
      <c r="H1369" s="54" t="s">
        <v>58</v>
      </c>
      <c r="I1369" s="59"/>
      <c r="J1369" s="54"/>
      <c r="K1369" s="59"/>
      <c r="L1369" s="57">
        <f>J1369+L1311</f>
        <v>15</v>
      </c>
      <c r="M1369" s="58"/>
      <c r="T1369" s="13"/>
    </row>
    <row r="1370" spans="1:20" ht="24.95" customHeight="1">
      <c r="A1370" s="54" t="s">
        <v>59</v>
      </c>
      <c r="B1370" s="55"/>
      <c r="C1370" s="55"/>
      <c r="D1370" s="56"/>
      <c r="E1370" s="4"/>
      <c r="F1370" s="57">
        <f t="shared" ref="F1370:F1372" si="162">E1370+F1312</f>
        <v>0</v>
      </c>
      <c r="G1370" s="58"/>
      <c r="H1370" s="54" t="s">
        <v>60</v>
      </c>
      <c r="I1370" s="59"/>
      <c r="J1370" s="54"/>
      <c r="K1370" s="59"/>
      <c r="L1370" s="57">
        <f t="shared" ref="L1370:L1372" si="163">J1370+L1312</f>
        <v>0</v>
      </c>
      <c r="M1370" s="58"/>
      <c r="T1370" s="13"/>
    </row>
    <row r="1371" spans="1:20" ht="24.95" customHeight="1">
      <c r="A1371" s="54" t="s">
        <v>61</v>
      </c>
      <c r="B1371" s="55"/>
      <c r="C1371" s="55"/>
      <c r="D1371" s="56"/>
      <c r="E1371" s="4"/>
      <c r="F1371" s="57">
        <f t="shared" si="162"/>
        <v>2</v>
      </c>
      <c r="G1371" s="58"/>
      <c r="H1371" s="54" t="s">
        <v>62</v>
      </c>
      <c r="I1371" s="59"/>
      <c r="J1371" s="54"/>
      <c r="K1371" s="59"/>
      <c r="L1371" s="57">
        <f t="shared" si="163"/>
        <v>5</v>
      </c>
      <c r="M1371" s="58"/>
      <c r="T1371" s="13"/>
    </row>
    <row r="1372" spans="1:20" ht="24.95" customHeight="1">
      <c r="A1372" s="54" t="s">
        <v>63</v>
      </c>
      <c r="B1372" s="55"/>
      <c r="C1372" s="55"/>
      <c r="D1372" s="56"/>
      <c r="E1372" s="4"/>
      <c r="F1372" s="57">
        <f t="shared" si="162"/>
        <v>4</v>
      </c>
      <c r="G1372" s="58"/>
      <c r="H1372" s="54" t="s">
        <v>64</v>
      </c>
      <c r="I1372" s="59"/>
      <c r="J1372" s="54"/>
      <c r="K1372" s="59"/>
      <c r="L1372" s="57">
        <f t="shared" si="163"/>
        <v>1</v>
      </c>
      <c r="M1372" s="58"/>
      <c r="T1372" s="13"/>
    </row>
    <row r="1373" spans="1:20" ht="64.5" customHeight="1">
      <c r="A1373" s="60" t="s">
        <v>65</v>
      </c>
      <c r="B1373" s="61"/>
      <c r="C1373" s="61"/>
      <c r="D1373" s="61"/>
      <c r="E1373" s="61"/>
      <c r="F1373" s="61"/>
      <c r="G1373" s="61"/>
      <c r="H1373" s="61"/>
      <c r="I1373" s="61"/>
      <c r="J1373" s="61"/>
      <c r="K1373" s="61"/>
      <c r="L1373" s="61"/>
      <c r="M1373" s="62"/>
      <c r="T1373" s="13"/>
    </row>
    <row r="1374" spans="1:20" ht="24.95" customHeight="1">
      <c r="A1374" s="46" t="s">
        <v>66</v>
      </c>
      <c r="B1374" s="47"/>
      <c r="C1374" s="47"/>
      <c r="D1374" s="47"/>
      <c r="E1374" s="47"/>
      <c r="F1374" s="47"/>
      <c r="G1374" s="47"/>
      <c r="H1374" s="47"/>
      <c r="I1374" s="47"/>
      <c r="J1374" s="47"/>
      <c r="K1374" s="47"/>
      <c r="L1374" s="47"/>
      <c r="M1374" s="48"/>
      <c r="T1374" s="13"/>
    </row>
    <row r="1375" spans="1:20" ht="24.95" customHeight="1">
      <c r="A1375" s="27"/>
      <c r="B1375" s="34" t="s">
        <v>67</v>
      </c>
      <c r="C1375" s="34"/>
      <c r="D1375" s="34"/>
      <c r="E1375" s="34"/>
      <c r="F1375" s="34"/>
      <c r="G1375" s="35"/>
      <c r="H1375" s="34"/>
      <c r="I1375" s="34"/>
      <c r="J1375" s="34"/>
      <c r="K1375" s="34"/>
      <c r="L1375" s="34"/>
      <c r="M1375" s="36"/>
      <c r="T1375" s="13"/>
    </row>
    <row r="1376" spans="1:20" ht="24.95" customHeight="1">
      <c r="A1376" s="27"/>
      <c r="B1376" s="34" t="s">
        <v>81</v>
      </c>
      <c r="C1376" s="34"/>
      <c r="D1376" s="34"/>
      <c r="E1376" s="34"/>
      <c r="F1376" s="34"/>
      <c r="G1376" s="35"/>
      <c r="H1376" s="34"/>
      <c r="I1376" s="34"/>
      <c r="J1376" s="34"/>
      <c r="K1376" s="34"/>
      <c r="L1376" s="34"/>
      <c r="M1376" s="36"/>
      <c r="T1376" s="13"/>
    </row>
    <row r="1377" spans="1:20" ht="24.95" customHeight="1">
      <c r="A1377" s="27"/>
      <c r="B1377" s="34" t="s">
        <v>68</v>
      </c>
      <c r="C1377" s="34"/>
      <c r="D1377" s="34"/>
      <c r="E1377" s="34"/>
      <c r="F1377" s="34"/>
      <c r="G1377" s="35"/>
      <c r="H1377" s="34"/>
      <c r="I1377" s="34"/>
      <c r="J1377" s="34"/>
      <c r="K1377" s="34"/>
      <c r="L1377" s="34"/>
      <c r="M1377" s="36"/>
      <c r="T1377" s="13"/>
    </row>
    <row r="1378" spans="1:20" ht="24.95" customHeight="1">
      <c r="A1378" s="27"/>
      <c r="B1378" s="34" t="s">
        <v>82</v>
      </c>
      <c r="C1378" s="34"/>
      <c r="D1378" s="34"/>
      <c r="E1378" s="34"/>
      <c r="F1378" s="34"/>
      <c r="G1378" s="35"/>
      <c r="H1378" s="34"/>
      <c r="I1378" s="34"/>
      <c r="J1378" s="34"/>
      <c r="K1378" s="34"/>
      <c r="L1378" s="34"/>
      <c r="M1378" s="36"/>
      <c r="T1378" s="13"/>
    </row>
    <row r="1379" spans="1:20" ht="24.95" customHeight="1">
      <c r="A1379" s="27"/>
      <c r="B1379" s="34" t="s">
        <v>99</v>
      </c>
      <c r="C1379" s="34"/>
      <c r="D1379" s="34"/>
      <c r="E1379" s="34"/>
      <c r="F1379" s="34"/>
      <c r="G1379" s="35"/>
      <c r="H1379" s="34"/>
      <c r="I1379" s="34"/>
      <c r="J1379" s="34"/>
      <c r="K1379" s="34"/>
      <c r="L1379" s="34"/>
      <c r="M1379" s="36"/>
      <c r="T1379" s="13"/>
    </row>
    <row r="1380" spans="1:20" ht="24.95" customHeight="1">
      <c r="A1380" s="37"/>
      <c r="B1380" s="49" t="s">
        <v>69</v>
      </c>
      <c r="C1380" s="49"/>
      <c r="D1380" s="49"/>
      <c r="E1380" s="49"/>
      <c r="F1380" s="49"/>
      <c r="G1380" s="49"/>
      <c r="H1380" s="49"/>
      <c r="I1380" s="49"/>
      <c r="J1380" s="49"/>
      <c r="K1380" s="49"/>
      <c r="L1380" s="49"/>
      <c r="M1380" s="50"/>
      <c r="T1380" s="13"/>
    </row>
    <row r="1381" spans="1:20" ht="44.25" customHeight="1">
      <c r="A1381" s="51" t="s">
        <v>70</v>
      </c>
      <c r="B1381" s="52"/>
      <c r="C1381" s="52"/>
      <c r="D1381" s="52"/>
      <c r="E1381" s="52"/>
      <c r="F1381" s="52"/>
      <c r="G1381" s="52"/>
      <c r="H1381" s="52"/>
      <c r="I1381" s="52"/>
      <c r="J1381" s="52"/>
      <c r="K1381" s="52"/>
      <c r="L1381" s="52"/>
      <c r="M1381" s="53"/>
      <c r="T1381" s="13"/>
    </row>
    <row r="1382" spans="1:20" ht="48" customHeight="1">
      <c r="A1382" s="51" t="s">
        <v>71</v>
      </c>
      <c r="B1382" s="52"/>
      <c r="C1382" s="52"/>
      <c r="D1382" s="52"/>
      <c r="E1382" s="52"/>
      <c r="F1382" s="52"/>
      <c r="G1382" s="52"/>
      <c r="H1382" s="52"/>
      <c r="I1382" s="52"/>
      <c r="J1382" s="52"/>
      <c r="K1382" s="52"/>
      <c r="L1382" s="52"/>
      <c r="M1382" s="53"/>
      <c r="T1382" s="13"/>
    </row>
    <row r="1383" spans="1:20" ht="81" customHeight="1">
      <c r="A1383" s="51" t="s">
        <v>150</v>
      </c>
      <c r="B1383" s="52"/>
      <c r="C1383" s="52"/>
      <c r="D1383" s="52"/>
      <c r="E1383" s="52"/>
      <c r="F1383" s="52"/>
      <c r="G1383" s="52"/>
      <c r="H1383" s="52"/>
      <c r="I1383" s="52"/>
      <c r="J1383" s="52"/>
      <c r="K1383" s="52"/>
      <c r="L1383" s="52"/>
      <c r="M1383" s="53"/>
      <c r="T1383" s="13"/>
    </row>
    <row r="1384" spans="1:20" ht="100.5" customHeight="1">
      <c r="A1384" s="51" t="s">
        <v>72</v>
      </c>
      <c r="B1384" s="52"/>
      <c r="C1384" s="52"/>
      <c r="D1384" s="52"/>
      <c r="E1384" s="52"/>
      <c r="F1384" s="52"/>
      <c r="G1384" s="52"/>
      <c r="H1384" s="52"/>
      <c r="I1384" s="52"/>
      <c r="J1384" s="52"/>
      <c r="K1384" s="52"/>
      <c r="L1384" s="52"/>
      <c r="M1384" s="53"/>
      <c r="T1384" s="13"/>
    </row>
    <row r="1385" spans="1:20" ht="12" customHeight="1">
      <c r="A1385" s="41" t="s">
        <v>73</v>
      </c>
      <c r="B1385" s="41"/>
      <c r="C1385" s="42"/>
      <c r="D1385" s="42"/>
      <c r="E1385" s="42"/>
      <c r="F1385" s="42"/>
      <c r="G1385" s="42"/>
      <c r="H1385" s="42"/>
      <c r="I1385" s="42"/>
      <c r="J1385" s="42"/>
      <c r="K1385" s="42"/>
      <c r="L1385" s="42"/>
      <c r="M1385" s="38"/>
      <c r="T1385" s="13"/>
    </row>
    <row r="1386" spans="1:20" ht="12" customHeight="1">
      <c r="A1386" s="43" t="s">
        <v>74</v>
      </c>
      <c r="B1386" s="43"/>
      <c r="C1386" s="40"/>
      <c r="D1386" s="40"/>
      <c r="E1386" s="40"/>
      <c r="F1386" s="40"/>
      <c r="G1386" s="40"/>
      <c r="H1386" s="40"/>
      <c r="I1386" s="40"/>
      <c r="J1386" s="40"/>
      <c r="K1386" s="40"/>
      <c r="L1386" s="38"/>
      <c r="M1386" s="38"/>
      <c r="T1386" s="13"/>
    </row>
    <row r="1387" spans="1:20" ht="12" customHeight="1">
      <c r="A1387" s="44" t="s">
        <v>75</v>
      </c>
      <c r="B1387" s="44"/>
      <c r="C1387" s="44"/>
      <c r="D1387" s="44"/>
      <c r="E1387" s="44"/>
      <c r="F1387" s="44"/>
      <c r="G1387" s="44"/>
      <c r="H1387" s="44"/>
      <c r="I1387" s="44"/>
      <c r="J1387" s="44"/>
      <c r="K1387" s="44"/>
      <c r="L1387" s="44"/>
      <c r="M1387" s="44"/>
      <c r="T1387" s="13"/>
    </row>
    <row r="1388" spans="1:20" ht="12" customHeight="1">
      <c r="A1388" s="39" t="s">
        <v>76</v>
      </c>
      <c r="B1388" s="39"/>
      <c r="C1388" s="39"/>
      <c r="D1388" s="39"/>
      <c r="E1388" s="39"/>
      <c r="F1388" s="39"/>
      <c r="G1388" s="39"/>
      <c r="H1388" s="39"/>
      <c r="I1388" s="39"/>
      <c r="J1388" s="39"/>
      <c r="K1388" s="39"/>
      <c r="L1388" s="39"/>
      <c r="M1388" s="39"/>
      <c r="T1388" s="13"/>
    </row>
    <row r="1389" spans="1:20" ht="12" customHeight="1">
      <c r="A1389" s="39" t="s">
        <v>77</v>
      </c>
      <c r="B1389" s="40"/>
      <c r="C1389" s="40"/>
      <c r="D1389" s="40"/>
      <c r="E1389" s="40"/>
      <c r="F1389" s="40"/>
      <c r="G1389" s="40"/>
      <c r="H1389" s="40"/>
      <c r="I1389" s="40"/>
      <c r="J1389" s="40"/>
      <c r="K1389" s="40"/>
      <c r="L1389" s="40"/>
      <c r="M1389" s="40"/>
      <c r="T1389" s="13"/>
    </row>
    <row r="1390" spans="1:20" ht="12" customHeight="1">
      <c r="A1390" s="45" t="s">
        <v>78</v>
      </c>
      <c r="B1390" s="40"/>
      <c r="C1390" s="40"/>
      <c r="D1390" s="40"/>
      <c r="E1390" s="40"/>
      <c r="F1390" s="40"/>
      <c r="G1390" s="40"/>
      <c r="H1390" s="40"/>
      <c r="I1390" s="40"/>
      <c r="J1390" s="40"/>
      <c r="K1390" s="40"/>
      <c r="L1390" s="40"/>
      <c r="M1390" s="40"/>
      <c r="T1390" s="13"/>
    </row>
    <row r="1391" spans="1:20" ht="12" customHeight="1">
      <c r="A1391" s="39" t="s">
        <v>79</v>
      </c>
      <c r="B1391" s="40"/>
      <c r="C1391" s="40"/>
      <c r="D1391" s="40"/>
      <c r="E1391" s="40"/>
      <c r="F1391" s="40"/>
      <c r="G1391" s="40"/>
      <c r="H1391" s="40"/>
      <c r="I1391" s="40"/>
      <c r="J1391" s="40"/>
      <c r="K1391" s="40"/>
      <c r="L1391" s="40"/>
      <c r="M1391" s="40"/>
      <c r="T1391" s="13"/>
    </row>
    <row r="1392" spans="1:20" ht="409.5" customHeight="1"/>
    <row r="1393" spans="1:20" s="2" customFormat="1" ht="35.1" customHeight="1">
      <c r="A1393" s="126" t="s">
        <v>0</v>
      </c>
      <c r="B1393" s="126"/>
      <c r="C1393" s="1">
        <f>C1335+1</f>
        <v>29</v>
      </c>
      <c r="G1393" s="3"/>
    </row>
    <row r="1394" spans="1:20" s="2" customFormat="1" ht="35.1" customHeight="1">
      <c r="A1394" s="126" t="s">
        <v>1</v>
      </c>
      <c r="B1394" s="126"/>
      <c r="C1394" s="2" t="s">
        <v>2</v>
      </c>
      <c r="D1394" s="2" t="s">
        <v>137</v>
      </c>
      <c r="E1394" s="2" t="s">
        <v>3</v>
      </c>
      <c r="F1394" s="2" t="s">
        <v>137</v>
      </c>
      <c r="G1394" s="3"/>
      <c r="H1394" s="127" t="s">
        <v>4</v>
      </c>
      <c r="I1394" s="128"/>
      <c r="J1394" s="129">
        <f>J1336+1</f>
        <v>46016</v>
      </c>
      <c r="K1394" s="130"/>
      <c r="L1394" s="131">
        <f>J1394</f>
        <v>46016</v>
      </c>
      <c r="M1394" s="132"/>
    </row>
    <row r="1395" spans="1:20" s="2" customFormat="1" ht="30" customHeight="1">
      <c r="A1395" s="72" t="s">
        <v>5</v>
      </c>
      <c r="B1395" s="114"/>
      <c r="C1395" s="119" t="s">
        <v>83</v>
      </c>
      <c r="D1395" s="119"/>
      <c r="E1395" s="119"/>
      <c r="F1395" s="119"/>
      <c r="G1395" s="119"/>
      <c r="H1395" s="54" t="s">
        <v>6</v>
      </c>
      <c r="I1395" s="59"/>
      <c r="J1395" s="120"/>
      <c r="K1395" s="120"/>
      <c r="L1395" s="120"/>
      <c r="M1395" s="120"/>
    </row>
    <row r="1396" spans="1:20" s="1" customFormat="1" ht="30" customHeight="1">
      <c r="A1396" s="72" t="s">
        <v>7</v>
      </c>
      <c r="B1396" s="114"/>
      <c r="C1396" s="4">
        <v>50</v>
      </c>
      <c r="D1396" s="4" t="s">
        <v>8</v>
      </c>
      <c r="E1396" s="4" t="s">
        <v>9</v>
      </c>
      <c r="F1396" s="4">
        <f>F1338+1</f>
        <v>29</v>
      </c>
      <c r="G1396" s="5" t="s">
        <v>8</v>
      </c>
      <c r="H1396" s="4" t="s">
        <v>10</v>
      </c>
      <c r="I1396" s="4">
        <f>C1396-F1396+L1396</f>
        <v>21</v>
      </c>
      <c r="J1396" s="4" t="s">
        <v>11</v>
      </c>
      <c r="K1396" s="6" t="s">
        <v>12</v>
      </c>
      <c r="L1396" s="7">
        <f>L1338</f>
        <v>0</v>
      </c>
      <c r="M1396" s="4" t="s">
        <v>8</v>
      </c>
    </row>
    <row r="1397" spans="1:20" s="2" customFormat="1" ht="30" customHeight="1">
      <c r="A1397" s="72" t="s">
        <v>13</v>
      </c>
      <c r="B1397" s="75"/>
      <c r="C1397" s="75"/>
      <c r="D1397" s="121">
        <f>D1339</f>
        <v>45988</v>
      </c>
      <c r="E1397" s="122"/>
      <c r="F1397" s="122"/>
      <c r="G1397" s="123"/>
      <c r="H1397" s="124" t="s">
        <v>14</v>
      </c>
      <c r="I1397" s="125"/>
      <c r="J1397" s="121">
        <f>J1339</f>
        <v>46037</v>
      </c>
      <c r="K1397" s="122"/>
      <c r="L1397" s="122"/>
      <c r="M1397" s="123"/>
    </row>
    <row r="1398" spans="1:20" s="2" customFormat="1" ht="30" customHeight="1">
      <c r="A1398" s="72" t="s">
        <v>15</v>
      </c>
      <c r="B1398" s="114"/>
      <c r="C1398" s="114"/>
      <c r="D1398" s="72">
        <v>1.702</v>
      </c>
      <c r="E1398" s="72"/>
      <c r="F1398" s="72"/>
      <c r="G1398" s="72"/>
      <c r="H1398" s="64" t="s">
        <v>16</v>
      </c>
      <c r="I1398" s="115"/>
      <c r="J1398" s="116">
        <f>P1414</f>
        <v>0</v>
      </c>
      <c r="K1398" s="117"/>
      <c r="L1398" s="117"/>
      <c r="M1398" s="118"/>
    </row>
    <row r="1399" spans="1:20" s="2" customFormat="1" ht="30" customHeight="1">
      <c r="A1399" s="72" t="s">
        <v>17</v>
      </c>
      <c r="B1399" s="114"/>
      <c r="C1399" s="114"/>
      <c r="D1399" s="72">
        <f>D1398+D1341</f>
        <v>18.661999999999999</v>
      </c>
      <c r="E1399" s="72"/>
      <c r="F1399" s="72"/>
      <c r="G1399" s="72"/>
      <c r="H1399" s="64" t="s">
        <v>18</v>
      </c>
      <c r="I1399" s="115"/>
      <c r="J1399" s="116">
        <f>J1398+J1341</f>
        <v>25.469999999999992</v>
      </c>
      <c r="K1399" s="117"/>
      <c r="L1399" s="117"/>
      <c r="M1399" s="118"/>
    </row>
    <row r="1400" spans="1:20" s="2" customFormat="1" ht="30" customHeight="1">
      <c r="A1400" s="111" t="s">
        <v>19</v>
      </c>
      <c r="B1400" s="112"/>
      <c r="C1400" s="112"/>
      <c r="D1400" s="112"/>
      <c r="E1400" s="112"/>
      <c r="F1400" s="112"/>
      <c r="G1400" s="112"/>
      <c r="H1400" s="112"/>
      <c r="I1400" s="112"/>
      <c r="J1400" s="112"/>
      <c r="K1400" s="112"/>
      <c r="L1400" s="112"/>
      <c r="M1400" s="113"/>
    </row>
    <row r="1401" spans="1:20" s="2" customFormat="1" ht="30" customHeight="1">
      <c r="A1401" s="8" t="s">
        <v>20</v>
      </c>
      <c r="B1401" s="72" t="s">
        <v>21</v>
      </c>
      <c r="C1401" s="72"/>
      <c r="D1401" s="72"/>
      <c r="E1401" s="4" t="s">
        <v>22</v>
      </c>
      <c r="F1401" s="54" t="s">
        <v>23</v>
      </c>
      <c r="G1401" s="59"/>
      <c r="H1401" s="72" t="s">
        <v>24</v>
      </c>
      <c r="I1401" s="72"/>
      <c r="J1401" s="72" t="s">
        <v>25</v>
      </c>
      <c r="K1401" s="72"/>
      <c r="L1401" s="72" t="s">
        <v>26</v>
      </c>
      <c r="M1401" s="72"/>
      <c r="O1401" s="1" t="s">
        <v>27</v>
      </c>
      <c r="P1401" s="1" t="s">
        <v>28</v>
      </c>
      <c r="T1401" s="2" t="s">
        <v>29</v>
      </c>
    </row>
    <row r="1402" spans="1:20" s="2" customFormat="1" ht="24.95" customHeight="1">
      <c r="A1402" s="9" t="s">
        <v>30</v>
      </c>
      <c r="B1402" s="110" t="s">
        <v>31</v>
      </c>
      <c r="C1402" s="110"/>
      <c r="D1402" s="110"/>
      <c r="E1402" s="4"/>
      <c r="F1402" s="54"/>
      <c r="G1402" s="59"/>
      <c r="H1402" s="72"/>
      <c r="I1402" s="72"/>
      <c r="J1402" s="72"/>
      <c r="K1402" s="72"/>
      <c r="L1402" s="72"/>
      <c r="M1402" s="72"/>
    </row>
    <row r="1403" spans="1:20" ht="24.95" customHeight="1">
      <c r="A1403" s="10">
        <v>1</v>
      </c>
      <c r="B1403" s="66" t="s">
        <v>91</v>
      </c>
      <c r="C1403" s="67" t="s">
        <v>91</v>
      </c>
      <c r="D1403" s="68" t="s">
        <v>91</v>
      </c>
      <c r="E1403" s="4" t="s">
        <v>32</v>
      </c>
      <c r="F1403" s="69">
        <v>1</v>
      </c>
      <c r="G1403" s="70"/>
      <c r="H1403" s="69"/>
      <c r="I1403" s="70"/>
      <c r="J1403" s="71">
        <f>H1403+J1345</f>
        <v>1</v>
      </c>
      <c r="K1403" s="71"/>
      <c r="L1403" s="72"/>
      <c r="M1403" s="72"/>
      <c r="O1403" s="11">
        <v>4000</v>
      </c>
      <c r="P1403" s="11">
        <f>ROUND(H1403*O1403,0)</f>
        <v>0</v>
      </c>
      <c r="Q1403" s="12"/>
      <c r="S1403" s="11">
        <f>ROUND(J1403*O1403,0)</f>
        <v>4000</v>
      </c>
      <c r="T1403" s="13">
        <f>F1403-J1403</f>
        <v>0</v>
      </c>
    </row>
    <row r="1404" spans="1:20" ht="24.95" customHeight="1">
      <c r="A1404" s="10">
        <v>2</v>
      </c>
      <c r="B1404" s="66" t="s">
        <v>92</v>
      </c>
      <c r="C1404" s="67" t="s">
        <v>92</v>
      </c>
      <c r="D1404" s="68" t="s">
        <v>92</v>
      </c>
      <c r="E1404" s="4" t="s">
        <v>32</v>
      </c>
      <c r="F1404" s="69">
        <v>1</v>
      </c>
      <c r="G1404" s="70"/>
      <c r="H1404" s="69"/>
      <c r="I1404" s="70"/>
      <c r="J1404" s="71">
        <f t="shared" ref="J1404:J1411" si="164">H1404+J1346</f>
        <v>1</v>
      </c>
      <c r="K1404" s="71"/>
      <c r="L1404" s="72"/>
      <c r="M1404" s="72"/>
      <c r="O1404" s="11">
        <v>14334</v>
      </c>
      <c r="P1404" s="11">
        <f t="shared" ref="P1404:P1411" si="165">ROUND(H1404*O1404,0)</f>
        <v>0</v>
      </c>
      <c r="Q1404" s="12"/>
      <c r="S1404" s="11">
        <f t="shared" ref="S1404:S1411" si="166">ROUND(J1404*O1404,0)</f>
        <v>14334</v>
      </c>
      <c r="T1404" s="13">
        <f t="shared" ref="T1404:T1411" si="167">F1404-J1404</f>
        <v>0</v>
      </c>
    </row>
    <row r="1405" spans="1:20" ht="24.95" customHeight="1">
      <c r="A1405" s="10">
        <v>3</v>
      </c>
      <c r="B1405" s="66" t="s">
        <v>84</v>
      </c>
      <c r="C1405" s="67" t="s">
        <v>84</v>
      </c>
      <c r="D1405" s="68" t="s">
        <v>84</v>
      </c>
      <c r="E1405" s="4" t="s">
        <v>33</v>
      </c>
      <c r="F1405" s="69">
        <v>1</v>
      </c>
      <c r="G1405" s="70"/>
      <c r="H1405" s="69"/>
      <c r="I1405" s="70"/>
      <c r="J1405" s="71">
        <f t="shared" si="164"/>
        <v>0.5</v>
      </c>
      <c r="K1405" s="71"/>
      <c r="L1405" s="72"/>
      <c r="M1405" s="72"/>
      <c r="O1405" s="11">
        <v>7000</v>
      </c>
      <c r="P1405" s="11">
        <f t="shared" si="165"/>
        <v>0</v>
      </c>
      <c r="Q1405" s="12"/>
      <c r="S1405" s="11">
        <f t="shared" si="166"/>
        <v>3500</v>
      </c>
      <c r="T1405" s="13">
        <f t="shared" si="167"/>
        <v>0.5</v>
      </c>
    </row>
    <row r="1406" spans="1:20" ht="24.95" customHeight="1">
      <c r="A1406" s="10">
        <v>4</v>
      </c>
      <c r="B1406" s="66" t="s">
        <v>85</v>
      </c>
      <c r="C1406" s="67" t="s">
        <v>85</v>
      </c>
      <c r="D1406" s="68" t="s">
        <v>85</v>
      </c>
      <c r="E1406" s="4" t="s">
        <v>34</v>
      </c>
      <c r="F1406" s="69">
        <v>1</v>
      </c>
      <c r="G1406" s="70"/>
      <c r="H1406" s="69"/>
      <c r="I1406" s="70"/>
      <c r="J1406" s="71">
        <f t="shared" si="164"/>
        <v>1</v>
      </c>
      <c r="K1406" s="71"/>
      <c r="L1406" s="72"/>
      <c r="M1406" s="72"/>
      <c r="O1406" s="11">
        <v>74000</v>
      </c>
      <c r="P1406" s="11">
        <f t="shared" si="165"/>
        <v>0</v>
      </c>
      <c r="Q1406" s="12"/>
      <c r="S1406" s="11">
        <f t="shared" si="166"/>
        <v>74000</v>
      </c>
      <c r="T1406" s="13">
        <f t="shared" si="167"/>
        <v>0</v>
      </c>
    </row>
    <row r="1407" spans="1:20" ht="24.95" customHeight="1">
      <c r="A1407" s="10">
        <v>5</v>
      </c>
      <c r="B1407" s="66" t="s">
        <v>86</v>
      </c>
      <c r="C1407" s="67" t="s">
        <v>86</v>
      </c>
      <c r="D1407" s="68" t="s">
        <v>86</v>
      </c>
      <c r="E1407" s="4" t="s">
        <v>93</v>
      </c>
      <c r="F1407" s="69">
        <v>396</v>
      </c>
      <c r="G1407" s="70"/>
      <c r="H1407" s="69"/>
      <c r="I1407" s="70"/>
      <c r="J1407" s="71">
        <f t="shared" si="164"/>
        <v>350</v>
      </c>
      <c r="K1407" s="71"/>
      <c r="L1407" s="72"/>
      <c r="M1407" s="72"/>
      <c r="O1407" s="11">
        <v>200</v>
      </c>
      <c r="P1407" s="11">
        <f t="shared" si="165"/>
        <v>0</v>
      </c>
      <c r="Q1407" s="12"/>
      <c r="S1407" s="11">
        <f t="shared" si="166"/>
        <v>70000</v>
      </c>
      <c r="T1407" s="13">
        <f t="shared" si="167"/>
        <v>46</v>
      </c>
    </row>
    <row r="1408" spans="1:20" ht="24.95" customHeight="1">
      <c r="A1408" s="10">
        <v>6</v>
      </c>
      <c r="B1408" s="66" t="s">
        <v>97</v>
      </c>
      <c r="C1408" s="67" t="s">
        <v>87</v>
      </c>
      <c r="D1408" s="68" t="s">
        <v>87</v>
      </c>
      <c r="E1408" s="4" t="s">
        <v>35</v>
      </c>
      <c r="F1408" s="69">
        <v>80</v>
      </c>
      <c r="G1408" s="70">
        <v>183.6</v>
      </c>
      <c r="H1408" s="69"/>
      <c r="I1408" s="70"/>
      <c r="J1408" s="71">
        <f t="shared" si="164"/>
        <v>78</v>
      </c>
      <c r="K1408" s="71"/>
      <c r="L1408" s="54"/>
      <c r="M1408" s="59"/>
      <c r="O1408" s="11">
        <v>1463</v>
      </c>
      <c r="P1408" s="11">
        <f t="shared" si="165"/>
        <v>0</v>
      </c>
      <c r="S1408" s="11">
        <f t="shared" si="166"/>
        <v>114114</v>
      </c>
      <c r="T1408" s="13">
        <f t="shared" si="167"/>
        <v>2</v>
      </c>
    </row>
    <row r="1409" spans="1:20" ht="24.95" customHeight="1">
      <c r="A1409" s="10">
        <v>7</v>
      </c>
      <c r="B1409" s="66" t="s">
        <v>88</v>
      </c>
      <c r="C1409" s="67" t="s">
        <v>88</v>
      </c>
      <c r="D1409" s="68" t="s">
        <v>88</v>
      </c>
      <c r="E1409" s="4" t="s">
        <v>94</v>
      </c>
      <c r="F1409" s="69">
        <v>126</v>
      </c>
      <c r="G1409" s="70">
        <v>19</v>
      </c>
      <c r="H1409" s="69"/>
      <c r="I1409" s="70"/>
      <c r="J1409" s="71">
        <f t="shared" si="164"/>
        <v>0</v>
      </c>
      <c r="K1409" s="71"/>
      <c r="L1409" s="54"/>
      <c r="M1409" s="59"/>
      <c r="O1409" s="11">
        <v>6350</v>
      </c>
      <c r="P1409" s="11">
        <f t="shared" si="165"/>
        <v>0</v>
      </c>
      <c r="S1409" s="11">
        <f t="shared" si="166"/>
        <v>0</v>
      </c>
      <c r="T1409" s="13">
        <f t="shared" si="167"/>
        <v>126</v>
      </c>
    </row>
    <row r="1410" spans="1:20" ht="24.95" customHeight="1">
      <c r="A1410" s="10">
        <v>8</v>
      </c>
      <c r="B1410" s="66" t="s">
        <v>89</v>
      </c>
      <c r="C1410" s="67" t="s">
        <v>89</v>
      </c>
      <c r="D1410" s="68" t="s">
        <v>89</v>
      </c>
      <c r="E1410" s="4" t="s">
        <v>95</v>
      </c>
      <c r="F1410" s="69">
        <v>1</v>
      </c>
      <c r="G1410" s="70">
        <v>1192</v>
      </c>
      <c r="H1410" s="69"/>
      <c r="I1410" s="70"/>
      <c r="J1410" s="71">
        <f t="shared" si="164"/>
        <v>0.3</v>
      </c>
      <c r="K1410" s="71"/>
      <c r="L1410" s="54"/>
      <c r="M1410" s="59"/>
      <c r="O1410" s="11">
        <v>47600</v>
      </c>
      <c r="P1410" s="11">
        <f t="shared" si="165"/>
        <v>0</v>
      </c>
      <c r="S1410" s="11">
        <f t="shared" si="166"/>
        <v>14280</v>
      </c>
      <c r="T1410" s="13">
        <f t="shared" si="167"/>
        <v>0.7</v>
      </c>
    </row>
    <row r="1411" spans="1:20" ht="24.95" customHeight="1">
      <c r="A1411" s="10">
        <v>9</v>
      </c>
      <c r="B1411" s="66" t="s">
        <v>90</v>
      </c>
      <c r="C1411" s="67" t="s">
        <v>90</v>
      </c>
      <c r="D1411" s="68" t="s">
        <v>90</v>
      </c>
      <c r="E1411" s="4" t="s">
        <v>96</v>
      </c>
      <c r="F1411" s="69">
        <v>1</v>
      </c>
      <c r="G1411" s="70">
        <v>1261</v>
      </c>
      <c r="H1411" s="69"/>
      <c r="I1411" s="70"/>
      <c r="J1411" s="71">
        <f t="shared" si="164"/>
        <v>0</v>
      </c>
      <c r="K1411" s="71"/>
      <c r="L1411" s="54"/>
      <c r="M1411" s="59"/>
      <c r="O1411" s="11">
        <v>10000</v>
      </c>
      <c r="P1411" s="11">
        <f t="shared" si="165"/>
        <v>0</v>
      </c>
      <c r="S1411" s="11">
        <f t="shared" si="166"/>
        <v>0</v>
      </c>
      <c r="T1411" s="13">
        <f t="shared" si="167"/>
        <v>1</v>
      </c>
    </row>
    <row r="1412" spans="1:20" ht="24.95" customHeight="1">
      <c r="A1412" s="14"/>
      <c r="B1412" s="15"/>
      <c r="C1412" s="16"/>
      <c r="D1412" s="17"/>
      <c r="E1412" s="4"/>
      <c r="F1412" s="18"/>
      <c r="G1412" s="19"/>
      <c r="H1412" s="105"/>
      <c r="I1412" s="106"/>
      <c r="J1412" s="105"/>
      <c r="K1412" s="106"/>
      <c r="L1412" s="54"/>
      <c r="M1412" s="59"/>
      <c r="N1412" s="20"/>
      <c r="P1412" s="21" t="s">
        <v>37</v>
      </c>
      <c r="Q1412" s="22">
        <f>SUM(P1403:P1411)</f>
        <v>0</v>
      </c>
      <c r="R1412" s="23"/>
      <c r="S1412" s="24">
        <f>SUM(S1403:S1411)</f>
        <v>294228</v>
      </c>
      <c r="T1412" s="13"/>
    </row>
    <row r="1413" spans="1:20" ht="24.95" customHeight="1">
      <c r="A1413" s="107"/>
      <c r="B1413" s="108"/>
      <c r="C1413" s="108"/>
      <c r="D1413" s="109"/>
      <c r="E1413" s="4"/>
      <c r="F1413" s="54"/>
      <c r="G1413" s="59"/>
      <c r="H1413" s="72"/>
      <c r="I1413" s="72"/>
      <c r="J1413" s="72"/>
      <c r="K1413" s="72"/>
      <c r="L1413" s="72"/>
      <c r="M1413" s="72"/>
      <c r="O1413" t="s">
        <v>38</v>
      </c>
      <c r="P1413" s="24">
        <f>Q1412</f>
        <v>0</v>
      </c>
      <c r="T1413" s="13"/>
    </row>
    <row r="1414" spans="1:20" ht="24.95" customHeight="1">
      <c r="A1414" s="97"/>
      <c r="B1414" s="98"/>
      <c r="C1414" s="98"/>
      <c r="D1414" s="99"/>
      <c r="E1414" s="4"/>
      <c r="F1414" s="54"/>
      <c r="G1414" s="59"/>
      <c r="H1414" s="72"/>
      <c r="I1414" s="72"/>
      <c r="J1414" s="72"/>
      <c r="K1414" s="72"/>
      <c r="L1414" s="72"/>
      <c r="M1414" s="72"/>
      <c r="O1414" t="s">
        <v>39</v>
      </c>
      <c r="P1414" s="23">
        <f>ROUND(P1413/1153274,4)*100</f>
        <v>0</v>
      </c>
      <c r="T1414" s="13"/>
    </row>
    <row r="1415" spans="1:20" ht="24.95" customHeight="1">
      <c r="A1415" s="25"/>
      <c r="B1415" s="63" t="s">
        <v>40</v>
      </c>
      <c r="C1415" s="63"/>
      <c r="D1415" s="59"/>
      <c r="E1415" s="26"/>
      <c r="F1415" s="100"/>
      <c r="G1415" s="101"/>
      <c r="H1415" s="100"/>
      <c r="I1415" s="101"/>
      <c r="J1415" s="102"/>
      <c r="K1415" s="102"/>
      <c r="L1415" s="103">
        <f>P1413</f>
        <v>0</v>
      </c>
      <c r="M1415" s="104"/>
      <c r="T1415" s="13"/>
    </row>
    <row r="1416" spans="1:20" ht="24.95" customHeight="1" thickBot="1">
      <c r="A1416" s="27"/>
      <c r="B1416" s="85" t="s">
        <v>41</v>
      </c>
      <c r="C1416" s="85"/>
      <c r="D1416" s="86"/>
      <c r="E1416" s="28"/>
      <c r="F1416" s="87"/>
      <c r="G1416" s="88"/>
      <c r="H1416" s="87"/>
      <c r="I1416" s="88"/>
      <c r="J1416" s="87"/>
      <c r="K1416" s="88"/>
      <c r="L1416" s="89">
        <f>L1415+L1358</f>
        <v>294228</v>
      </c>
      <c r="M1416" s="90"/>
      <c r="T1416" s="13"/>
    </row>
    <row r="1417" spans="1:20" ht="24.95" customHeight="1">
      <c r="A1417" s="29"/>
      <c r="B1417" s="91" t="s">
        <v>42</v>
      </c>
      <c r="C1417" s="91"/>
      <c r="D1417" s="92"/>
      <c r="E1417" s="30"/>
      <c r="F1417" s="93"/>
      <c r="G1417" s="94"/>
      <c r="H1417" s="95"/>
      <c r="I1417" s="95"/>
      <c r="J1417" s="95"/>
      <c r="K1417" s="95"/>
      <c r="L1417" s="95"/>
      <c r="M1417" s="96"/>
      <c r="T1417" s="13"/>
    </row>
    <row r="1418" spans="1:20" ht="24.95" customHeight="1">
      <c r="A1418" s="31"/>
      <c r="B1418" s="76" t="s">
        <v>43</v>
      </c>
      <c r="C1418" s="76"/>
      <c r="D1418" s="77"/>
      <c r="E1418" s="4"/>
      <c r="F1418" s="54"/>
      <c r="G1418" s="59"/>
      <c r="H1418" s="72"/>
      <c r="I1418" s="72"/>
      <c r="J1418" s="72"/>
      <c r="K1418" s="72"/>
      <c r="L1418" s="72"/>
      <c r="M1418" s="78"/>
      <c r="T1418" s="13"/>
    </row>
    <row r="1419" spans="1:20" ht="24.95" customHeight="1" thickBot="1">
      <c r="A1419" s="32"/>
      <c r="B1419" s="79" t="s">
        <v>44</v>
      </c>
      <c r="C1419" s="79"/>
      <c r="D1419" s="80"/>
      <c r="E1419" s="33"/>
      <c r="F1419" s="81"/>
      <c r="G1419" s="82"/>
      <c r="H1419" s="83"/>
      <c r="I1419" s="83"/>
      <c r="J1419" s="83"/>
      <c r="K1419" s="83"/>
      <c r="L1419" s="83"/>
      <c r="M1419" s="84"/>
      <c r="T1419" s="13"/>
    </row>
    <row r="1420" spans="1:20" ht="24.95" customHeight="1">
      <c r="A1420" s="73" t="s">
        <v>45</v>
      </c>
      <c r="B1420" s="74"/>
      <c r="C1420" s="74"/>
      <c r="D1420" s="74"/>
      <c r="E1420" s="74"/>
      <c r="F1420" s="74"/>
      <c r="G1420" s="74"/>
      <c r="H1420" s="74"/>
      <c r="I1420" s="74"/>
      <c r="J1420" s="74"/>
      <c r="K1420" s="74"/>
      <c r="L1420" s="74"/>
      <c r="M1420" s="74"/>
      <c r="T1420" s="13"/>
    </row>
    <row r="1421" spans="1:20" ht="24.95" customHeight="1">
      <c r="A1421" s="72" t="s">
        <v>46</v>
      </c>
      <c r="B1421" s="75"/>
      <c r="C1421" s="75"/>
      <c r="D1421" s="75"/>
      <c r="E1421" s="4" t="s">
        <v>22</v>
      </c>
      <c r="F1421" s="72" t="s">
        <v>47</v>
      </c>
      <c r="G1421" s="72"/>
      <c r="H1421" s="72" t="s">
        <v>48</v>
      </c>
      <c r="I1421" s="72"/>
      <c r="J1421" s="72" t="s">
        <v>49</v>
      </c>
      <c r="K1421" s="72"/>
      <c r="L1421" s="72" t="s">
        <v>50</v>
      </c>
      <c r="M1421" s="72"/>
      <c r="T1421" s="13"/>
    </row>
    <row r="1422" spans="1:20" ht="24.95" customHeight="1">
      <c r="A1422" s="10">
        <v>6</v>
      </c>
      <c r="B1422" s="66" t="s">
        <v>97</v>
      </c>
      <c r="C1422" s="67" t="s">
        <v>51</v>
      </c>
      <c r="D1422" s="68" t="s">
        <v>51</v>
      </c>
      <c r="E1422" s="4" t="s">
        <v>35</v>
      </c>
      <c r="F1422" s="69">
        <v>80</v>
      </c>
      <c r="G1422" s="70">
        <v>1261</v>
      </c>
      <c r="H1422" s="71">
        <f>H1408</f>
        <v>0</v>
      </c>
      <c r="I1422" s="71"/>
      <c r="J1422" s="71">
        <f>H1422+J1364</f>
        <v>78</v>
      </c>
      <c r="K1422" s="71"/>
      <c r="L1422" s="72"/>
      <c r="M1422" s="72"/>
      <c r="T1422" s="13"/>
    </row>
    <row r="1423" spans="1:20" ht="24.95" customHeight="1">
      <c r="A1423" s="10">
        <v>7</v>
      </c>
      <c r="B1423" s="66" t="s">
        <v>88</v>
      </c>
      <c r="C1423" s="67" t="s">
        <v>88</v>
      </c>
      <c r="D1423" s="68" t="s">
        <v>88</v>
      </c>
      <c r="E1423" s="4" t="s">
        <v>98</v>
      </c>
      <c r="F1423" s="69">
        <v>126</v>
      </c>
      <c r="G1423" s="70"/>
      <c r="H1423" s="71">
        <f>H1409</f>
        <v>0</v>
      </c>
      <c r="I1423" s="71"/>
      <c r="J1423" s="71">
        <f t="shared" ref="J1423:J1424" si="168">H1423+J1365</f>
        <v>0</v>
      </c>
      <c r="K1423" s="71"/>
      <c r="L1423" s="72"/>
      <c r="M1423" s="72"/>
      <c r="T1423" s="13"/>
    </row>
    <row r="1424" spans="1:20" ht="24.95" customHeight="1">
      <c r="A1424" s="10">
        <v>8</v>
      </c>
      <c r="B1424" s="66" t="s">
        <v>89</v>
      </c>
      <c r="C1424" s="67" t="s">
        <v>89</v>
      </c>
      <c r="D1424" s="68" t="s">
        <v>89</v>
      </c>
      <c r="E1424" s="4" t="s">
        <v>36</v>
      </c>
      <c r="F1424" s="69">
        <v>1</v>
      </c>
      <c r="G1424" s="70"/>
      <c r="H1424" s="71">
        <f>H1410</f>
        <v>0</v>
      </c>
      <c r="I1424" s="71"/>
      <c r="J1424" s="71">
        <f t="shared" si="168"/>
        <v>0.3</v>
      </c>
      <c r="K1424" s="71"/>
      <c r="L1424" s="72"/>
      <c r="M1424" s="72"/>
      <c r="T1424" s="13"/>
    </row>
    <row r="1425" spans="1:20" ht="24.95" customHeight="1">
      <c r="A1425" s="51" t="s">
        <v>52</v>
      </c>
      <c r="B1425" s="52"/>
      <c r="C1425" s="52"/>
      <c r="D1425" s="52"/>
      <c r="E1425" s="52"/>
      <c r="F1425" s="52"/>
      <c r="G1425" s="52"/>
      <c r="H1425" s="52"/>
      <c r="I1425" s="52"/>
      <c r="J1425" s="52"/>
      <c r="K1425" s="52"/>
      <c r="L1425" s="52"/>
      <c r="M1425" s="53"/>
      <c r="T1425" s="13"/>
    </row>
    <row r="1426" spans="1:20" ht="24.95" customHeight="1">
      <c r="A1426" s="54" t="s">
        <v>53</v>
      </c>
      <c r="B1426" s="63"/>
      <c r="C1426" s="63"/>
      <c r="D1426" s="59"/>
      <c r="E1426" s="4" t="s">
        <v>54</v>
      </c>
      <c r="F1426" s="54" t="s">
        <v>55</v>
      </c>
      <c r="G1426" s="59"/>
      <c r="H1426" s="54" t="s">
        <v>56</v>
      </c>
      <c r="I1426" s="59"/>
      <c r="J1426" s="54" t="s">
        <v>48</v>
      </c>
      <c r="K1426" s="59"/>
      <c r="L1426" s="64" t="s">
        <v>49</v>
      </c>
      <c r="M1426" s="65"/>
      <c r="T1426" s="13"/>
    </row>
    <row r="1427" spans="1:20" ht="24.95" customHeight="1">
      <c r="A1427" s="54" t="s">
        <v>57</v>
      </c>
      <c r="B1427" s="55"/>
      <c r="C1427" s="55"/>
      <c r="D1427" s="56"/>
      <c r="E1427" s="4"/>
      <c r="F1427" s="57">
        <f>E1427+F1369</f>
        <v>28</v>
      </c>
      <c r="G1427" s="58"/>
      <c r="H1427" s="54" t="s">
        <v>58</v>
      </c>
      <c r="I1427" s="59"/>
      <c r="J1427" s="54"/>
      <c r="K1427" s="59"/>
      <c r="L1427" s="57">
        <f>J1427+L1369</f>
        <v>15</v>
      </c>
      <c r="M1427" s="58"/>
      <c r="T1427" s="13"/>
    </row>
    <row r="1428" spans="1:20" ht="24.95" customHeight="1">
      <c r="A1428" s="54" t="s">
        <v>59</v>
      </c>
      <c r="B1428" s="55"/>
      <c r="C1428" s="55"/>
      <c r="D1428" s="56"/>
      <c r="E1428" s="4"/>
      <c r="F1428" s="57">
        <f t="shared" ref="F1428:F1430" si="169">E1428+F1370</f>
        <v>0</v>
      </c>
      <c r="G1428" s="58"/>
      <c r="H1428" s="54" t="s">
        <v>60</v>
      </c>
      <c r="I1428" s="59"/>
      <c r="J1428" s="54"/>
      <c r="K1428" s="59"/>
      <c r="L1428" s="57">
        <f t="shared" ref="L1428:L1430" si="170">J1428+L1370</f>
        <v>0</v>
      </c>
      <c r="M1428" s="58"/>
      <c r="T1428" s="13"/>
    </row>
    <row r="1429" spans="1:20" ht="24.95" customHeight="1">
      <c r="A1429" s="54" t="s">
        <v>61</v>
      </c>
      <c r="B1429" s="55"/>
      <c r="C1429" s="55"/>
      <c r="D1429" s="56"/>
      <c r="E1429" s="4"/>
      <c r="F1429" s="57">
        <f t="shared" si="169"/>
        <v>2</v>
      </c>
      <c r="G1429" s="58"/>
      <c r="H1429" s="54" t="s">
        <v>62</v>
      </c>
      <c r="I1429" s="59"/>
      <c r="J1429" s="54"/>
      <c r="K1429" s="59"/>
      <c r="L1429" s="57">
        <f t="shared" si="170"/>
        <v>5</v>
      </c>
      <c r="M1429" s="58"/>
      <c r="T1429" s="13"/>
    </row>
    <row r="1430" spans="1:20" ht="24.95" customHeight="1">
      <c r="A1430" s="54" t="s">
        <v>63</v>
      </c>
      <c r="B1430" s="55"/>
      <c r="C1430" s="55"/>
      <c r="D1430" s="56"/>
      <c r="E1430" s="4"/>
      <c r="F1430" s="57">
        <f t="shared" si="169"/>
        <v>4</v>
      </c>
      <c r="G1430" s="58"/>
      <c r="H1430" s="54" t="s">
        <v>64</v>
      </c>
      <c r="I1430" s="59"/>
      <c r="J1430" s="54"/>
      <c r="K1430" s="59"/>
      <c r="L1430" s="57">
        <f t="shared" si="170"/>
        <v>1</v>
      </c>
      <c r="M1430" s="58"/>
      <c r="T1430" s="13"/>
    </row>
    <row r="1431" spans="1:20" ht="64.5" customHeight="1">
      <c r="A1431" s="60" t="s">
        <v>65</v>
      </c>
      <c r="B1431" s="61"/>
      <c r="C1431" s="61"/>
      <c r="D1431" s="61"/>
      <c r="E1431" s="61"/>
      <c r="F1431" s="61"/>
      <c r="G1431" s="61"/>
      <c r="H1431" s="61"/>
      <c r="I1431" s="61"/>
      <c r="J1431" s="61"/>
      <c r="K1431" s="61"/>
      <c r="L1431" s="61"/>
      <c r="M1431" s="62"/>
      <c r="T1431" s="13"/>
    </row>
    <row r="1432" spans="1:20" ht="24.95" customHeight="1">
      <c r="A1432" s="46" t="s">
        <v>66</v>
      </c>
      <c r="B1432" s="47"/>
      <c r="C1432" s="47"/>
      <c r="D1432" s="47"/>
      <c r="E1432" s="47"/>
      <c r="F1432" s="47"/>
      <c r="G1432" s="47"/>
      <c r="H1432" s="47"/>
      <c r="I1432" s="47"/>
      <c r="J1432" s="47"/>
      <c r="K1432" s="47"/>
      <c r="L1432" s="47"/>
      <c r="M1432" s="48"/>
      <c r="T1432" s="13"/>
    </row>
    <row r="1433" spans="1:20" ht="24.95" customHeight="1">
      <c r="A1433" s="27"/>
      <c r="B1433" s="34" t="s">
        <v>67</v>
      </c>
      <c r="C1433" s="34"/>
      <c r="D1433" s="34"/>
      <c r="E1433" s="34"/>
      <c r="F1433" s="34"/>
      <c r="G1433" s="35"/>
      <c r="H1433" s="34"/>
      <c r="I1433" s="34"/>
      <c r="J1433" s="34"/>
      <c r="K1433" s="34"/>
      <c r="L1433" s="34"/>
      <c r="M1433" s="36"/>
      <c r="T1433" s="13"/>
    </row>
    <row r="1434" spans="1:20" ht="24.95" customHeight="1">
      <c r="A1434" s="27"/>
      <c r="B1434" s="34" t="s">
        <v>81</v>
      </c>
      <c r="C1434" s="34"/>
      <c r="D1434" s="34"/>
      <c r="E1434" s="34"/>
      <c r="F1434" s="34"/>
      <c r="G1434" s="35"/>
      <c r="H1434" s="34"/>
      <c r="I1434" s="34"/>
      <c r="J1434" s="34"/>
      <c r="K1434" s="34"/>
      <c r="L1434" s="34"/>
      <c r="M1434" s="36"/>
      <c r="T1434" s="13"/>
    </row>
    <row r="1435" spans="1:20" ht="24.95" customHeight="1">
      <c r="A1435" s="27"/>
      <c r="B1435" s="34" t="s">
        <v>68</v>
      </c>
      <c r="C1435" s="34"/>
      <c r="D1435" s="34"/>
      <c r="E1435" s="34"/>
      <c r="F1435" s="34"/>
      <c r="G1435" s="35"/>
      <c r="H1435" s="34"/>
      <c r="I1435" s="34"/>
      <c r="J1435" s="34"/>
      <c r="K1435" s="34"/>
      <c r="L1435" s="34"/>
      <c r="M1435" s="36"/>
      <c r="T1435" s="13"/>
    </row>
    <row r="1436" spans="1:20" ht="24.95" customHeight="1">
      <c r="A1436" s="27"/>
      <c r="B1436" s="34" t="s">
        <v>82</v>
      </c>
      <c r="C1436" s="34"/>
      <c r="D1436" s="34"/>
      <c r="E1436" s="34"/>
      <c r="F1436" s="34"/>
      <c r="G1436" s="35"/>
      <c r="H1436" s="34"/>
      <c r="I1436" s="34"/>
      <c r="J1436" s="34"/>
      <c r="K1436" s="34"/>
      <c r="L1436" s="34"/>
      <c r="M1436" s="36"/>
      <c r="T1436" s="13"/>
    </row>
    <row r="1437" spans="1:20" ht="24.95" customHeight="1">
      <c r="A1437" s="27"/>
      <c r="B1437" s="34" t="s">
        <v>99</v>
      </c>
      <c r="C1437" s="34"/>
      <c r="D1437" s="34"/>
      <c r="E1437" s="34"/>
      <c r="F1437" s="34"/>
      <c r="G1437" s="35"/>
      <c r="H1437" s="34"/>
      <c r="I1437" s="34"/>
      <c r="J1437" s="34"/>
      <c r="K1437" s="34"/>
      <c r="L1437" s="34"/>
      <c r="M1437" s="36"/>
      <c r="T1437" s="13"/>
    </row>
    <row r="1438" spans="1:20" ht="24.95" customHeight="1">
      <c r="A1438" s="37"/>
      <c r="B1438" s="49" t="s">
        <v>69</v>
      </c>
      <c r="C1438" s="49"/>
      <c r="D1438" s="49"/>
      <c r="E1438" s="49"/>
      <c r="F1438" s="49"/>
      <c r="G1438" s="49"/>
      <c r="H1438" s="49"/>
      <c r="I1438" s="49"/>
      <c r="J1438" s="49"/>
      <c r="K1438" s="49"/>
      <c r="L1438" s="49"/>
      <c r="M1438" s="50"/>
      <c r="T1438" s="13"/>
    </row>
    <row r="1439" spans="1:20" ht="44.25" customHeight="1">
      <c r="A1439" s="51" t="s">
        <v>70</v>
      </c>
      <c r="B1439" s="52"/>
      <c r="C1439" s="52"/>
      <c r="D1439" s="52"/>
      <c r="E1439" s="52"/>
      <c r="F1439" s="52"/>
      <c r="G1439" s="52"/>
      <c r="H1439" s="52"/>
      <c r="I1439" s="52"/>
      <c r="J1439" s="52"/>
      <c r="K1439" s="52"/>
      <c r="L1439" s="52"/>
      <c r="M1439" s="53"/>
      <c r="T1439" s="13"/>
    </row>
    <row r="1440" spans="1:20" ht="48" customHeight="1">
      <c r="A1440" s="51" t="s">
        <v>71</v>
      </c>
      <c r="B1440" s="52"/>
      <c r="C1440" s="52"/>
      <c r="D1440" s="52"/>
      <c r="E1440" s="52"/>
      <c r="F1440" s="52"/>
      <c r="G1440" s="52"/>
      <c r="H1440" s="52"/>
      <c r="I1440" s="52"/>
      <c r="J1440" s="52"/>
      <c r="K1440" s="52"/>
      <c r="L1440" s="52"/>
      <c r="M1440" s="53"/>
      <c r="T1440" s="13"/>
    </row>
    <row r="1441" spans="1:20" ht="81" customHeight="1">
      <c r="A1441" s="51" t="s">
        <v>150</v>
      </c>
      <c r="B1441" s="52"/>
      <c r="C1441" s="52"/>
      <c r="D1441" s="52"/>
      <c r="E1441" s="52"/>
      <c r="F1441" s="52"/>
      <c r="G1441" s="52"/>
      <c r="H1441" s="52"/>
      <c r="I1441" s="52"/>
      <c r="J1441" s="52"/>
      <c r="K1441" s="52"/>
      <c r="L1441" s="52"/>
      <c r="M1441" s="53"/>
      <c r="T1441" s="13"/>
    </row>
    <row r="1442" spans="1:20" ht="100.5" customHeight="1">
      <c r="A1442" s="51" t="s">
        <v>72</v>
      </c>
      <c r="B1442" s="52"/>
      <c r="C1442" s="52"/>
      <c r="D1442" s="52"/>
      <c r="E1442" s="52"/>
      <c r="F1442" s="52"/>
      <c r="G1442" s="52"/>
      <c r="H1442" s="52"/>
      <c r="I1442" s="52"/>
      <c r="J1442" s="52"/>
      <c r="K1442" s="52"/>
      <c r="L1442" s="52"/>
      <c r="M1442" s="53"/>
      <c r="T1442" s="13"/>
    </row>
    <row r="1443" spans="1:20" ht="12" customHeight="1">
      <c r="A1443" s="41" t="s">
        <v>73</v>
      </c>
      <c r="B1443" s="41"/>
      <c r="C1443" s="42"/>
      <c r="D1443" s="42"/>
      <c r="E1443" s="42"/>
      <c r="F1443" s="42"/>
      <c r="G1443" s="42"/>
      <c r="H1443" s="42"/>
      <c r="I1443" s="42"/>
      <c r="J1443" s="42"/>
      <c r="K1443" s="42"/>
      <c r="L1443" s="42"/>
      <c r="M1443" s="38"/>
      <c r="T1443" s="13"/>
    </row>
    <row r="1444" spans="1:20" ht="12" customHeight="1">
      <c r="A1444" s="43" t="s">
        <v>74</v>
      </c>
      <c r="B1444" s="43"/>
      <c r="C1444" s="40"/>
      <c r="D1444" s="40"/>
      <c r="E1444" s="40"/>
      <c r="F1444" s="40"/>
      <c r="G1444" s="40"/>
      <c r="H1444" s="40"/>
      <c r="I1444" s="40"/>
      <c r="J1444" s="40"/>
      <c r="K1444" s="40"/>
      <c r="L1444" s="38"/>
      <c r="M1444" s="38"/>
      <c r="T1444" s="13"/>
    </row>
    <row r="1445" spans="1:20" ht="12" customHeight="1">
      <c r="A1445" s="44" t="s">
        <v>75</v>
      </c>
      <c r="B1445" s="44"/>
      <c r="C1445" s="44"/>
      <c r="D1445" s="44"/>
      <c r="E1445" s="44"/>
      <c r="F1445" s="44"/>
      <c r="G1445" s="44"/>
      <c r="H1445" s="44"/>
      <c r="I1445" s="44"/>
      <c r="J1445" s="44"/>
      <c r="K1445" s="44"/>
      <c r="L1445" s="44"/>
      <c r="M1445" s="44"/>
      <c r="T1445" s="13"/>
    </row>
    <row r="1446" spans="1:20" ht="12" customHeight="1">
      <c r="A1446" s="39" t="s">
        <v>76</v>
      </c>
      <c r="B1446" s="39"/>
      <c r="C1446" s="39"/>
      <c r="D1446" s="39"/>
      <c r="E1446" s="39"/>
      <c r="F1446" s="39"/>
      <c r="G1446" s="39"/>
      <c r="H1446" s="39"/>
      <c r="I1446" s="39"/>
      <c r="J1446" s="39"/>
      <c r="K1446" s="39"/>
      <c r="L1446" s="39"/>
      <c r="M1446" s="39"/>
      <c r="T1446" s="13"/>
    </row>
    <row r="1447" spans="1:20" ht="12" customHeight="1">
      <c r="A1447" s="39" t="s">
        <v>77</v>
      </c>
      <c r="B1447" s="40"/>
      <c r="C1447" s="40"/>
      <c r="D1447" s="40"/>
      <c r="E1447" s="40"/>
      <c r="F1447" s="40"/>
      <c r="G1447" s="40"/>
      <c r="H1447" s="40"/>
      <c r="I1447" s="40"/>
      <c r="J1447" s="40"/>
      <c r="K1447" s="40"/>
      <c r="L1447" s="40"/>
      <c r="M1447" s="40"/>
      <c r="T1447" s="13"/>
    </row>
    <row r="1448" spans="1:20" ht="12" customHeight="1">
      <c r="A1448" s="45" t="s">
        <v>78</v>
      </c>
      <c r="B1448" s="40"/>
      <c r="C1448" s="40"/>
      <c r="D1448" s="40"/>
      <c r="E1448" s="40"/>
      <c r="F1448" s="40"/>
      <c r="G1448" s="40"/>
      <c r="H1448" s="40"/>
      <c r="I1448" s="40"/>
      <c r="J1448" s="40"/>
      <c r="K1448" s="40"/>
      <c r="L1448" s="40"/>
      <c r="M1448" s="40"/>
      <c r="T1448" s="13"/>
    </row>
    <row r="1449" spans="1:20" ht="12" customHeight="1">
      <c r="A1449" s="39" t="s">
        <v>79</v>
      </c>
      <c r="B1449" s="40"/>
      <c r="C1449" s="40"/>
      <c r="D1449" s="40"/>
      <c r="E1449" s="40"/>
      <c r="F1449" s="40"/>
      <c r="G1449" s="40"/>
      <c r="H1449" s="40"/>
      <c r="I1449" s="40"/>
      <c r="J1449" s="40"/>
      <c r="K1449" s="40"/>
      <c r="L1449" s="40"/>
      <c r="M1449" s="40"/>
      <c r="T1449" s="13"/>
    </row>
    <row r="1450" spans="1:20" ht="409.5" customHeight="1"/>
    <row r="1451" spans="1:20" s="2" customFormat="1" ht="35.1" customHeight="1">
      <c r="A1451" s="126" t="s">
        <v>0</v>
      </c>
      <c r="B1451" s="126"/>
      <c r="C1451" s="1">
        <f>C1393+1</f>
        <v>30</v>
      </c>
      <c r="G1451" s="3"/>
    </row>
    <row r="1452" spans="1:20" s="2" customFormat="1" ht="35.1" customHeight="1">
      <c r="A1452" s="126" t="s">
        <v>1</v>
      </c>
      <c r="B1452" s="126"/>
      <c r="C1452" s="2" t="s">
        <v>2</v>
      </c>
      <c r="D1452" s="2" t="s">
        <v>137</v>
      </c>
      <c r="E1452" s="2" t="s">
        <v>3</v>
      </c>
      <c r="F1452" s="2" t="s">
        <v>151</v>
      </c>
      <c r="G1452" s="3"/>
      <c r="H1452" s="127" t="s">
        <v>4</v>
      </c>
      <c r="I1452" s="128"/>
      <c r="J1452" s="129">
        <f>J1394+1</f>
        <v>46017</v>
      </c>
      <c r="K1452" s="130"/>
      <c r="L1452" s="131">
        <f>J1452</f>
        <v>46017</v>
      </c>
      <c r="M1452" s="132"/>
    </row>
    <row r="1453" spans="1:20" s="2" customFormat="1" ht="30" customHeight="1">
      <c r="A1453" s="72" t="s">
        <v>5</v>
      </c>
      <c r="B1453" s="114"/>
      <c r="C1453" s="119" t="s">
        <v>83</v>
      </c>
      <c r="D1453" s="119"/>
      <c r="E1453" s="119"/>
      <c r="F1453" s="119"/>
      <c r="G1453" s="119"/>
      <c r="H1453" s="54" t="s">
        <v>6</v>
      </c>
      <c r="I1453" s="59"/>
      <c r="J1453" s="120"/>
      <c r="K1453" s="120"/>
      <c r="L1453" s="120"/>
      <c r="M1453" s="120"/>
    </row>
    <row r="1454" spans="1:20" s="1" customFormat="1" ht="30" customHeight="1">
      <c r="A1454" s="72" t="s">
        <v>7</v>
      </c>
      <c r="B1454" s="114"/>
      <c r="C1454" s="4">
        <v>50</v>
      </c>
      <c r="D1454" s="4" t="s">
        <v>8</v>
      </c>
      <c r="E1454" s="4" t="s">
        <v>9</v>
      </c>
      <c r="F1454" s="4">
        <f>F1396+1</f>
        <v>30</v>
      </c>
      <c r="G1454" s="5" t="s">
        <v>8</v>
      </c>
      <c r="H1454" s="4" t="s">
        <v>10</v>
      </c>
      <c r="I1454" s="4">
        <f>C1454-F1454+L1454</f>
        <v>20</v>
      </c>
      <c r="J1454" s="4" t="s">
        <v>11</v>
      </c>
      <c r="K1454" s="6" t="s">
        <v>12</v>
      </c>
      <c r="L1454" s="7">
        <f>L1396</f>
        <v>0</v>
      </c>
      <c r="M1454" s="4" t="s">
        <v>8</v>
      </c>
    </row>
    <row r="1455" spans="1:20" s="2" customFormat="1" ht="30" customHeight="1">
      <c r="A1455" s="72" t="s">
        <v>13</v>
      </c>
      <c r="B1455" s="75"/>
      <c r="C1455" s="75"/>
      <c r="D1455" s="121">
        <f>D1397</f>
        <v>45988</v>
      </c>
      <c r="E1455" s="122"/>
      <c r="F1455" s="122"/>
      <c r="G1455" s="123"/>
      <c r="H1455" s="124" t="s">
        <v>14</v>
      </c>
      <c r="I1455" s="125"/>
      <c r="J1455" s="121">
        <f>J1397</f>
        <v>46037</v>
      </c>
      <c r="K1455" s="122"/>
      <c r="L1455" s="122"/>
      <c r="M1455" s="123"/>
    </row>
    <row r="1456" spans="1:20" s="2" customFormat="1" ht="30" customHeight="1">
      <c r="A1456" s="72" t="s">
        <v>15</v>
      </c>
      <c r="B1456" s="114"/>
      <c r="C1456" s="114"/>
      <c r="D1456" s="72">
        <v>1.702</v>
      </c>
      <c r="E1456" s="72"/>
      <c r="F1456" s="72"/>
      <c r="G1456" s="72"/>
      <c r="H1456" s="64" t="s">
        <v>16</v>
      </c>
      <c r="I1456" s="115"/>
      <c r="J1456" s="116">
        <f>P1472</f>
        <v>0</v>
      </c>
      <c r="K1456" s="117"/>
      <c r="L1456" s="117"/>
      <c r="M1456" s="118"/>
    </row>
    <row r="1457" spans="1:20" s="2" customFormat="1" ht="30" customHeight="1">
      <c r="A1457" s="72" t="s">
        <v>17</v>
      </c>
      <c r="B1457" s="114"/>
      <c r="C1457" s="114"/>
      <c r="D1457" s="72">
        <f>D1456+D1399</f>
        <v>20.363999999999997</v>
      </c>
      <c r="E1457" s="72"/>
      <c r="F1457" s="72"/>
      <c r="G1457" s="72"/>
      <c r="H1457" s="64" t="s">
        <v>18</v>
      </c>
      <c r="I1457" s="115"/>
      <c r="J1457" s="116">
        <f>J1456+J1399</f>
        <v>25.469999999999992</v>
      </c>
      <c r="K1457" s="117"/>
      <c r="L1457" s="117"/>
      <c r="M1457" s="118"/>
    </row>
    <row r="1458" spans="1:20" s="2" customFormat="1" ht="30" customHeight="1">
      <c r="A1458" s="111" t="s">
        <v>19</v>
      </c>
      <c r="B1458" s="112"/>
      <c r="C1458" s="112"/>
      <c r="D1458" s="112"/>
      <c r="E1458" s="112"/>
      <c r="F1458" s="112"/>
      <c r="G1458" s="112"/>
      <c r="H1458" s="112"/>
      <c r="I1458" s="112"/>
      <c r="J1458" s="112"/>
      <c r="K1458" s="112"/>
      <c r="L1458" s="112"/>
      <c r="M1458" s="113"/>
    </row>
    <row r="1459" spans="1:20" s="2" customFormat="1" ht="30" customHeight="1">
      <c r="A1459" s="8" t="s">
        <v>20</v>
      </c>
      <c r="B1459" s="72" t="s">
        <v>21</v>
      </c>
      <c r="C1459" s="72"/>
      <c r="D1459" s="72"/>
      <c r="E1459" s="4" t="s">
        <v>22</v>
      </c>
      <c r="F1459" s="54" t="s">
        <v>23</v>
      </c>
      <c r="G1459" s="59"/>
      <c r="H1459" s="72" t="s">
        <v>24</v>
      </c>
      <c r="I1459" s="72"/>
      <c r="J1459" s="72" t="s">
        <v>25</v>
      </c>
      <c r="K1459" s="72"/>
      <c r="L1459" s="72" t="s">
        <v>26</v>
      </c>
      <c r="M1459" s="72"/>
      <c r="O1459" s="1" t="s">
        <v>27</v>
      </c>
      <c r="P1459" s="1" t="s">
        <v>28</v>
      </c>
      <c r="T1459" s="2" t="s">
        <v>29</v>
      </c>
    </row>
    <row r="1460" spans="1:20" s="2" customFormat="1" ht="24.95" customHeight="1">
      <c r="A1460" s="9" t="s">
        <v>30</v>
      </c>
      <c r="B1460" s="110" t="s">
        <v>31</v>
      </c>
      <c r="C1460" s="110"/>
      <c r="D1460" s="110"/>
      <c r="E1460" s="4"/>
      <c r="F1460" s="54"/>
      <c r="G1460" s="59"/>
      <c r="H1460" s="72"/>
      <c r="I1460" s="72"/>
      <c r="J1460" s="72"/>
      <c r="K1460" s="72"/>
      <c r="L1460" s="72"/>
      <c r="M1460" s="72"/>
    </row>
    <row r="1461" spans="1:20" ht="24.95" customHeight="1">
      <c r="A1461" s="10">
        <v>1</v>
      </c>
      <c r="B1461" s="66" t="s">
        <v>91</v>
      </c>
      <c r="C1461" s="67" t="s">
        <v>91</v>
      </c>
      <c r="D1461" s="68" t="s">
        <v>91</v>
      </c>
      <c r="E1461" s="4" t="s">
        <v>32</v>
      </c>
      <c r="F1461" s="69">
        <v>1</v>
      </c>
      <c r="G1461" s="70"/>
      <c r="H1461" s="69"/>
      <c r="I1461" s="70"/>
      <c r="J1461" s="71">
        <f>H1461+J1403</f>
        <v>1</v>
      </c>
      <c r="K1461" s="71"/>
      <c r="L1461" s="72"/>
      <c r="M1461" s="72"/>
      <c r="O1461" s="11">
        <v>4000</v>
      </c>
      <c r="P1461" s="11">
        <f>ROUND(H1461*O1461,0)</f>
        <v>0</v>
      </c>
      <c r="Q1461" s="12"/>
      <c r="S1461" s="11">
        <f>ROUND(J1461*O1461,0)</f>
        <v>4000</v>
      </c>
      <c r="T1461" s="13">
        <f>F1461-J1461</f>
        <v>0</v>
      </c>
    </row>
    <row r="1462" spans="1:20" ht="24.95" customHeight="1">
      <c r="A1462" s="10">
        <v>2</v>
      </c>
      <c r="B1462" s="66" t="s">
        <v>92</v>
      </c>
      <c r="C1462" s="67" t="s">
        <v>92</v>
      </c>
      <c r="D1462" s="68" t="s">
        <v>92</v>
      </c>
      <c r="E1462" s="4" t="s">
        <v>32</v>
      </c>
      <c r="F1462" s="69">
        <v>1</v>
      </c>
      <c r="G1462" s="70"/>
      <c r="H1462" s="69"/>
      <c r="I1462" s="70"/>
      <c r="J1462" s="71">
        <f t="shared" ref="J1462:J1469" si="171">H1462+J1404</f>
        <v>1</v>
      </c>
      <c r="K1462" s="71"/>
      <c r="L1462" s="72"/>
      <c r="M1462" s="72"/>
      <c r="O1462" s="11">
        <v>14334</v>
      </c>
      <c r="P1462" s="11">
        <f t="shared" ref="P1462:P1469" si="172">ROUND(H1462*O1462,0)</f>
        <v>0</v>
      </c>
      <c r="Q1462" s="12"/>
      <c r="S1462" s="11">
        <f t="shared" ref="S1462:S1469" si="173">ROUND(J1462*O1462,0)</f>
        <v>14334</v>
      </c>
      <c r="T1462" s="13">
        <f t="shared" ref="T1462:T1469" si="174">F1462-J1462</f>
        <v>0</v>
      </c>
    </row>
    <row r="1463" spans="1:20" ht="24.95" customHeight="1">
      <c r="A1463" s="10">
        <v>3</v>
      </c>
      <c r="B1463" s="66" t="s">
        <v>84</v>
      </c>
      <c r="C1463" s="67" t="s">
        <v>84</v>
      </c>
      <c r="D1463" s="68" t="s">
        <v>84</v>
      </c>
      <c r="E1463" s="4" t="s">
        <v>33</v>
      </c>
      <c r="F1463" s="69">
        <v>1</v>
      </c>
      <c r="G1463" s="70"/>
      <c r="H1463" s="69"/>
      <c r="I1463" s="70"/>
      <c r="J1463" s="71">
        <f t="shared" si="171"/>
        <v>0.5</v>
      </c>
      <c r="K1463" s="71"/>
      <c r="L1463" s="72"/>
      <c r="M1463" s="72"/>
      <c r="O1463" s="11">
        <v>7000</v>
      </c>
      <c r="P1463" s="11">
        <f t="shared" si="172"/>
        <v>0</v>
      </c>
      <c r="Q1463" s="12"/>
      <c r="S1463" s="11">
        <f t="shared" si="173"/>
        <v>3500</v>
      </c>
      <c r="T1463" s="13">
        <f t="shared" si="174"/>
        <v>0.5</v>
      </c>
    </row>
    <row r="1464" spans="1:20" ht="24.95" customHeight="1">
      <c r="A1464" s="10">
        <v>4</v>
      </c>
      <c r="B1464" s="66" t="s">
        <v>85</v>
      </c>
      <c r="C1464" s="67" t="s">
        <v>85</v>
      </c>
      <c r="D1464" s="68" t="s">
        <v>85</v>
      </c>
      <c r="E1464" s="4" t="s">
        <v>34</v>
      </c>
      <c r="F1464" s="69">
        <v>1</v>
      </c>
      <c r="G1464" s="70"/>
      <c r="H1464" s="69"/>
      <c r="I1464" s="70"/>
      <c r="J1464" s="71">
        <f t="shared" si="171"/>
        <v>1</v>
      </c>
      <c r="K1464" s="71"/>
      <c r="L1464" s="72"/>
      <c r="M1464" s="72"/>
      <c r="O1464" s="11">
        <v>74000</v>
      </c>
      <c r="P1464" s="11">
        <f t="shared" si="172"/>
        <v>0</v>
      </c>
      <c r="Q1464" s="12"/>
      <c r="S1464" s="11">
        <f t="shared" si="173"/>
        <v>74000</v>
      </c>
      <c r="T1464" s="13">
        <f t="shared" si="174"/>
        <v>0</v>
      </c>
    </row>
    <row r="1465" spans="1:20" ht="24.95" customHeight="1">
      <c r="A1465" s="10">
        <v>5</v>
      </c>
      <c r="B1465" s="66" t="s">
        <v>86</v>
      </c>
      <c r="C1465" s="67" t="s">
        <v>86</v>
      </c>
      <c r="D1465" s="68" t="s">
        <v>86</v>
      </c>
      <c r="E1465" s="4" t="s">
        <v>93</v>
      </c>
      <c r="F1465" s="69">
        <v>396</v>
      </c>
      <c r="G1465" s="70"/>
      <c r="H1465" s="69"/>
      <c r="I1465" s="70"/>
      <c r="J1465" s="71">
        <f t="shared" si="171"/>
        <v>350</v>
      </c>
      <c r="K1465" s="71"/>
      <c r="L1465" s="72"/>
      <c r="M1465" s="72"/>
      <c r="O1465" s="11">
        <v>200</v>
      </c>
      <c r="P1465" s="11">
        <f t="shared" si="172"/>
        <v>0</v>
      </c>
      <c r="Q1465" s="12"/>
      <c r="S1465" s="11">
        <f t="shared" si="173"/>
        <v>70000</v>
      </c>
      <c r="T1465" s="13">
        <f t="shared" si="174"/>
        <v>46</v>
      </c>
    </row>
    <row r="1466" spans="1:20" ht="24.95" customHeight="1">
      <c r="A1466" s="10">
        <v>6</v>
      </c>
      <c r="B1466" s="66" t="s">
        <v>97</v>
      </c>
      <c r="C1466" s="67" t="s">
        <v>87</v>
      </c>
      <c r="D1466" s="68" t="s">
        <v>87</v>
      </c>
      <c r="E1466" s="4" t="s">
        <v>35</v>
      </c>
      <c r="F1466" s="69">
        <v>80</v>
      </c>
      <c r="G1466" s="70">
        <v>183.6</v>
      </c>
      <c r="H1466" s="69"/>
      <c r="I1466" s="70"/>
      <c r="J1466" s="71">
        <f t="shared" si="171"/>
        <v>78</v>
      </c>
      <c r="K1466" s="71"/>
      <c r="L1466" s="54"/>
      <c r="M1466" s="59"/>
      <c r="O1466" s="11">
        <v>1463</v>
      </c>
      <c r="P1466" s="11">
        <f t="shared" si="172"/>
        <v>0</v>
      </c>
      <c r="S1466" s="11">
        <f t="shared" si="173"/>
        <v>114114</v>
      </c>
      <c r="T1466" s="13">
        <f t="shared" si="174"/>
        <v>2</v>
      </c>
    </row>
    <row r="1467" spans="1:20" ht="24.95" customHeight="1">
      <c r="A1467" s="10">
        <v>7</v>
      </c>
      <c r="B1467" s="66" t="s">
        <v>88</v>
      </c>
      <c r="C1467" s="67" t="s">
        <v>88</v>
      </c>
      <c r="D1467" s="68" t="s">
        <v>88</v>
      </c>
      <c r="E1467" s="4" t="s">
        <v>94</v>
      </c>
      <c r="F1467" s="69">
        <v>126</v>
      </c>
      <c r="G1467" s="70">
        <v>19</v>
      </c>
      <c r="H1467" s="69"/>
      <c r="I1467" s="70"/>
      <c r="J1467" s="71">
        <f t="shared" si="171"/>
        <v>0</v>
      </c>
      <c r="K1467" s="71"/>
      <c r="L1467" s="54"/>
      <c r="M1467" s="59"/>
      <c r="O1467" s="11">
        <v>6350</v>
      </c>
      <c r="P1467" s="11">
        <f t="shared" si="172"/>
        <v>0</v>
      </c>
      <c r="S1467" s="11">
        <f t="shared" si="173"/>
        <v>0</v>
      </c>
      <c r="T1467" s="13">
        <f t="shared" si="174"/>
        <v>126</v>
      </c>
    </row>
    <row r="1468" spans="1:20" ht="24.95" customHeight="1">
      <c r="A1468" s="10">
        <v>8</v>
      </c>
      <c r="B1468" s="66" t="s">
        <v>89</v>
      </c>
      <c r="C1468" s="67" t="s">
        <v>89</v>
      </c>
      <c r="D1468" s="68" t="s">
        <v>89</v>
      </c>
      <c r="E1468" s="4" t="s">
        <v>95</v>
      </c>
      <c r="F1468" s="69">
        <v>1</v>
      </c>
      <c r="G1468" s="70">
        <v>1192</v>
      </c>
      <c r="H1468" s="69"/>
      <c r="I1468" s="70"/>
      <c r="J1468" s="71">
        <f t="shared" si="171"/>
        <v>0.3</v>
      </c>
      <c r="K1468" s="71"/>
      <c r="L1468" s="54"/>
      <c r="M1468" s="59"/>
      <c r="O1468" s="11">
        <v>47600</v>
      </c>
      <c r="P1468" s="11">
        <f t="shared" si="172"/>
        <v>0</v>
      </c>
      <c r="S1468" s="11">
        <f t="shared" si="173"/>
        <v>14280</v>
      </c>
      <c r="T1468" s="13">
        <f t="shared" si="174"/>
        <v>0.7</v>
      </c>
    </row>
    <row r="1469" spans="1:20" ht="24.95" customHeight="1">
      <c r="A1469" s="10">
        <v>9</v>
      </c>
      <c r="B1469" s="66" t="s">
        <v>90</v>
      </c>
      <c r="C1469" s="67" t="s">
        <v>90</v>
      </c>
      <c r="D1469" s="68" t="s">
        <v>90</v>
      </c>
      <c r="E1469" s="4" t="s">
        <v>96</v>
      </c>
      <c r="F1469" s="69">
        <v>1</v>
      </c>
      <c r="G1469" s="70">
        <v>1261</v>
      </c>
      <c r="H1469" s="69"/>
      <c r="I1469" s="70"/>
      <c r="J1469" s="71">
        <f t="shared" si="171"/>
        <v>0</v>
      </c>
      <c r="K1469" s="71"/>
      <c r="L1469" s="54"/>
      <c r="M1469" s="59"/>
      <c r="O1469" s="11">
        <v>10000</v>
      </c>
      <c r="P1469" s="11">
        <f t="shared" si="172"/>
        <v>0</v>
      </c>
      <c r="S1469" s="11">
        <f t="shared" si="173"/>
        <v>0</v>
      </c>
      <c r="T1469" s="13">
        <f t="shared" si="174"/>
        <v>1</v>
      </c>
    </row>
    <row r="1470" spans="1:20" ht="24.95" customHeight="1">
      <c r="A1470" s="14"/>
      <c r="B1470" s="15"/>
      <c r="C1470" s="16"/>
      <c r="D1470" s="17"/>
      <c r="E1470" s="4"/>
      <c r="F1470" s="18"/>
      <c r="G1470" s="19"/>
      <c r="H1470" s="105"/>
      <c r="I1470" s="106"/>
      <c r="J1470" s="105"/>
      <c r="K1470" s="106"/>
      <c r="L1470" s="54"/>
      <c r="M1470" s="59"/>
      <c r="N1470" s="20"/>
      <c r="P1470" s="21" t="s">
        <v>37</v>
      </c>
      <c r="Q1470" s="22">
        <f>SUM(P1461:P1469)</f>
        <v>0</v>
      </c>
      <c r="R1470" s="23"/>
      <c r="S1470" s="24">
        <f>SUM(S1461:S1469)</f>
        <v>294228</v>
      </c>
      <c r="T1470" s="13"/>
    </row>
    <row r="1471" spans="1:20" ht="24.95" customHeight="1">
      <c r="A1471" s="107"/>
      <c r="B1471" s="108"/>
      <c r="C1471" s="108"/>
      <c r="D1471" s="109"/>
      <c r="E1471" s="4"/>
      <c r="F1471" s="54"/>
      <c r="G1471" s="59"/>
      <c r="H1471" s="72"/>
      <c r="I1471" s="72"/>
      <c r="J1471" s="72"/>
      <c r="K1471" s="72"/>
      <c r="L1471" s="72"/>
      <c r="M1471" s="72"/>
      <c r="O1471" t="s">
        <v>38</v>
      </c>
      <c r="P1471" s="24">
        <f>Q1470</f>
        <v>0</v>
      </c>
      <c r="T1471" s="13"/>
    </row>
    <row r="1472" spans="1:20" ht="24.95" customHeight="1">
      <c r="A1472" s="97"/>
      <c r="B1472" s="98"/>
      <c r="C1472" s="98"/>
      <c r="D1472" s="99"/>
      <c r="E1472" s="4"/>
      <c r="F1472" s="54"/>
      <c r="G1472" s="59"/>
      <c r="H1472" s="72"/>
      <c r="I1472" s="72"/>
      <c r="J1472" s="72"/>
      <c r="K1472" s="72"/>
      <c r="L1472" s="72"/>
      <c r="M1472" s="72"/>
      <c r="O1472" t="s">
        <v>39</v>
      </c>
      <c r="P1472" s="23">
        <f>ROUND(P1471/1153274,4)*100</f>
        <v>0</v>
      </c>
      <c r="T1472" s="13"/>
    </row>
    <row r="1473" spans="1:20" ht="24.95" customHeight="1">
      <c r="A1473" s="25"/>
      <c r="B1473" s="63" t="s">
        <v>40</v>
      </c>
      <c r="C1473" s="63"/>
      <c r="D1473" s="59"/>
      <c r="E1473" s="26"/>
      <c r="F1473" s="100"/>
      <c r="G1473" s="101"/>
      <c r="H1473" s="100"/>
      <c r="I1473" s="101"/>
      <c r="J1473" s="102"/>
      <c r="K1473" s="102"/>
      <c r="L1473" s="103">
        <f>P1471</f>
        <v>0</v>
      </c>
      <c r="M1473" s="104"/>
      <c r="T1473" s="13"/>
    </row>
    <row r="1474" spans="1:20" ht="24.95" customHeight="1" thickBot="1">
      <c r="A1474" s="27"/>
      <c r="B1474" s="85" t="s">
        <v>41</v>
      </c>
      <c r="C1474" s="85"/>
      <c r="D1474" s="86"/>
      <c r="E1474" s="28"/>
      <c r="F1474" s="87"/>
      <c r="G1474" s="88"/>
      <c r="H1474" s="87"/>
      <c r="I1474" s="88"/>
      <c r="J1474" s="87"/>
      <c r="K1474" s="88"/>
      <c r="L1474" s="89">
        <f>L1473+L1416</f>
        <v>294228</v>
      </c>
      <c r="M1474" s="90"/>
      <c r="T1474" s="13"/>
    </row>
    <row r="1475" spans="1:20" ht="24.95" customHeight="1">
      <c r="A1475" s="29"/>
      <c r="B1475" s="91" t="s">
        <v>42</v>
      </c>
      <c r="C1475" s="91"/>
      <c r="D1475" s="92"/>
      <c r="E1475" s="30"/>
      <c r="F1475" s="93"/>
      <c r="G1475" s="94"/>
      <c r="H1475" s="95"/>
      <c r="I1475" s="95"/>
      <c r="J1475" s="95"/>
      <c r="K1475" s="95"/>
      <c r="L1475" s="95"/>
      <c r="M1475" s="96"/>
      <c r="T1475" s="13"/>
    </row>
    <row r="1476" spans="1:20" ht="24.95" customHeight="1">
      <c r="A1476" s="31"/>
      <c r="B1476" s="76" t="s">
        <v>43</v>
      </c>
      <c r="C1476" s="76"/>
      <c r="D1476" s="77"/>
      <c r="E1476" s="4"/>
      <c r="F1476" s="54"/>
      <c r="G1476" s="59"/>
      <c r="H1476" s="72"/>
      <c r="I1476" s="72"/>
      <c r="J1476" s="72"/>
      <c r="K1476" s="72"/>
      <c r="L1476" s="72"/>
      <c r="M1476" s="78"/>
      <c r="T1476" s="13"/>
    </row>
    <row r="1477" spans="1:20" ht="24.95" customHeight="1" thickBot="1">
      <c r="A1477" s="32"/>
      <c r="B1477" s="79" t="s">
        <v>44</v>
      </c>
      <c r="C1477" s="79"/>
      <c r="D1477" s="80"/>
      <c r="E1477" s="33"/>
      <c r="F1477" s="81"/>
      <c r="G1477" s="82"/>
      <c r="H1477" s="83"/>
      <c r="I1477" s="83"/>
      <c r="J1477" s="83"/>
      <c r="K1477" s="83"/>
      <c r="L1477" s="83"/>
      <c r="M1477" s="84"/>
      <c r="T1477" s="13"/>
    </row>
    <row r="1478" spans="1:20" ht="24.95" customHeight="1">
      <c r="A1478" s="73" t="s">
        <v>45</v>
      </c>
      <c r="B1478" s="74"/>
      <c r="C1478" s="74"/>
      <c r="D1478" s="74"/>
      <c r="E1478" s="74"/>
      <c r="F1478" s="74"/>
      <c r="G1478" s="74"/>
      <c r="H1478" s="74"/>
      <c r="I1478" s="74"/>
      <c r="J1478" s="74"/>
      <c r="K1478" s="74"/>
      <c r="L1478" s="74"/>
      <c r="M1478" s="74"/>
      <c r="T1478" s="13"/>
    </row>
    <row r="1479" spans="1:20" ht="24.95" customHeight="1">
      <c r="A1479" s="72" t="s">
        <v>46</v>
      </c>
      <c r="B1479" s="75"/>
      <c r="C1479" s="75"/>
      <c r="D1479" s="75"/>
      <c r="E1479" s="4" t="s">
        <v>22</v>
      </c>
      <c r="F1479" s="72" t="s">
        <v>47</v>
      </c>
      <c r="G1479" s="72"/>
      <c r="H1479" s="72" t="s">
        <v>48</v>
      </c>
      <c r="I1479" s="72"/>
      <c r="J1479" s="72" t="s">
        <v>49</v>
      </c>
      <c r="K1479" s="72"/>
      <c r="L1479" s="72" t="s">
        <v>50</v>
      </c>
      <c r="M1479" s="72"/>
      <c r="T1479" s="13"/>
    </row>
    <row r="1480" spans="1:20" ht="24.95" customHeight="1">
      <c r="A1480" s="10">
        <v>6</v>
      </c>
      <c r="B1480" s="66" t="s">
        <v>97</v>
      </c>
      <c r="C1480" s="67" t="s">
        <v>51</v>
      </c>
      <c r="D1480" s="68" t="s">
        <v>51</v>
      </c>
      <c r="E1480" s="4" t="s">
        <v>35</v>
      </c>
      <c r="F1480" s="69">
        <v>80</v>
      </c>
      <c r="G1480" s="70">
        <v>1261</v>
      </c>
      <c r="H1480" s="71">
        <f>H1466</f>
        <v>0</v>
      </c>
      <c r="I1480" s="71"/>
      <c r="J1480" s="71">
        <f>H1480+J1422</f>
        <v>78</v>
      </c>
      <c r="K1480" s="71"/>
      <c r="L1480" s="72"/>
      <c r="M1480" s="72"/>
      <c r="T1480" s="13"/>
    </row>
    <row r="1481" spans="1:20" ht="24.95" customHeight="1">
      <c r="A1481" s="10">
        <v>7</v>
      </c>
      <c r="B1481" s="66" t="s">
        <v>88</v>
      </c>
      <c r="C1481" s="67" t="s">
        <v>88</v>
      </c>
      <c r="D1481" s="68" t="s">
        <v>88</v>
      </c>
      <c r="E1481" s="4" t="s">
        <v>98</v>
      </c>
      <c r="F1481" s="69">
        <v>126</v>
      </c>
      <c r="G1481" s="70"/>
      <c r="H1481" s="71">
        <f>H1467</f>
        <v>0</v>
      </c>
      <c r="I1481" s="71"/>
      <c r="J1481" s="71">
        <f t="shared" ref="J1481:J1482" si="175">H1481+J1423</f>
        <v>0</v>
      </c>
      <c r="K1481" s="71"/>
      <c r="L1481" s="72"/>
      <c r="M1481" s="72"/>
      <c r="T1481" s="13"/>
    </row>
    <row r="1482" spans="1:20" ht="24.95" customHeight="1">
      <c r="A1482" s="10">
        <v>8</v>
      </c>
      <c r="B1482" s="66" t="s">
        <v>89</v>
      </c>
      <c r="C1482" s="67" t="s">
        <v>89</v>
      </c>
      <c r="D1482" s="68" t="s">
        <v>89</v>
      </c>
      <c r="E1482" s="4" t="s">
        <v>36</v>
      </c>
      <c r="F1482" s="69">
        <v>1</v>
      </c>
      <c r="G1482" s="70"/>
      <c r="H1482" s="71">
        <f>H1468</f>
        <v>0</v>
      </c>
      <c r="I1482" s="71"/>
      <c r="J1482" s="71">
        <f t="shared" si="175"/>
        <v>0.3</v>
      </c>
      <c r="K1482" s="71"/>
      <c r="L1482" s="72"/>
      <c r="M1482" s="72"/>
      <c r="T1482" s="13"/>
    </row>
    <row r="1483" spans="1:20" ht="24.95" customHeight="1">
      <c r="A1483" s="51" t="s">
        <v>52</v>
      </c>
      <c r="B1483" s="52"/>
      <c r="C1483" s="52"/>
      <c r="D1483" s="52"/>
      <c r="E1483" s="52"/>
      <c r="F1483" s="52"/>
      <c r="G1483" s="52"/>
      <c r="H1483" s="52"/>
      <c r="I1483" s="52"/>
      <c r="J1483" s="52"/>
      <c r="K1483" s="52"/>
      <c r="L1483" s="52"/>
      <c r="M1483" s="53"/>
      <c r="T1483" s="13"/>
    </row>
    <row r="1484" spans="1:20" ht="24.95" customHeight="1">
      <c r="A1484" s="54" t="s">
        <v>53</v>
      </c>
      <c r="B1484" s="63"/>
      <c r="C1484" s="63"/>
      <c r="D1484" s="59"/>
      <c r="E1484" s="4" t="s">
        <v>54</v>
      </c>
      <c r="F1484" s="54" t="s">
        <v>55</v>
      </c>
      <c r="G1484" s="59"/>
      <c r="H1484" s="54" t="s">
        <v>56</v>
      </c>
      <c r="I1484" s="59"/>
      <c r="J1484" s="54" t="s">
        <v>48</v>
      </c>
      <c r="K1484" s="59"/>
      <c r="L1484" s="64" t="s">
        <v>49</v>
      </c>
      <c r="M1484" s="65"/>
      <c r="T1484" s="13"/>
    </row>
    <row r="1485" spans="1:20" ht="24.95" customHeight="1">
      <c r="A1485" s="54" t="s">
        <v>57</v>
      </c>
      <c r="B1485" s="55"/>
      <c r="C1485" s="55"/>
      <c r="D1485" s="56"/>
      <c r="E1485" s="4"/>
      <c r="F1485" s="57">
        <f>E1485+F1427</f>
        <v>28</v>
      </c>
      <c r="G1485" s="58"/>
      <c r="H1485" s="54" t="s">
        <v>58</v>
      </c>
      <c r="I1485" s="59"/>
      <c r="J1485" s="54"/>
      <c r="K1485" s="59"/>
      <c r="L1485" s="57">
        <f>J1485+L1427</f>
        <v>15</v>
      </c>
      <c r="M1485" s="58"/>
      <c r="T1485" s="13"/>
    </row>
    <row r="1486" spans="1:20" ht="24.95" customHeight="1">
      <c r="A1486" s="54" t="s">
        <v>59</v>
      </c>
      <c r="B1486" s="55"/>
      <c r="C1486" s="55"/>
      <c r="D1486" s="56"/>
      <c r="E1486" s="4"/>
      <c r="F1486" s="57">
        <f t="shared" ref="F1486:F1488" si="176">E1486+F1428</f>
        <v>0</v>
      </c>
      <c r="G1486" s="58"/>
      <c r="H1486" s="54" t="s">
        <v>60</v>
      </c>
      <c r="I1486" s="59"/>
      <c r="J1486" s="54"/>
      <c r="K1486" s="59"/>
      <c r="L1486" s="57">
        <f t="shared" ref="L1486:L1488" si="177">J1486+L1428</f>
        <v>0</v>
      </c>
      <c r="M1486" s="58"/>
      <c r="T1486" s="13"/>
    </row>
    <row r="1487" spans="1:20" ht="24.95" customHeight="1">
      <c r="A1487" s="54" t="s">
        <v>61</v>
      </c>
      <c r="B1487" s="55"/>
      <c r="C1487" s="55"/>
      <c r="D1487" s="56"/>
      <c r="E1487" s="4"/>
      <c r="F1487" s="57">
        <f t="shared" si="176"/>
        <v>2</v>
      </c>
      <c r="G1487" s="58"/>
      <c r="H1487" s="54" t="s">
        <v>62</v>
      </c>
      <c r="I1487" s="59"/>
      <c r="J1487" s="54"/>
      <c r="K1487" s="59"/>
      <c r="L1487" s="57">
        <f t="shared" si="177"/>
        <v>5</v>
      </c>
      <c r="M1487" s="58"/>
      <c r="T1487" s="13"/>
    </row>
    <row r="1488" spans="1:20" ht="24.95" customHeight="1">
      <c r="A1488" s="54" t="s">
        <v>63</v>
      </c>
      <c r="B1488" s="55"/>
      <c r="C1488" s="55"/>
      <c r="D1488" s="56"/>
      <c r="E1488" s="4"/>
      <c r="F1488" s="57">
        <f t="shared" si="176"/>
        <v>4</v>
      </c>
      <c r="G1488" s="58"/>
      <c r="H1488" s="54" t="s">
        <v>64</v>
      </c>
      <c r="I1488" s="59"/>
      <c r="J1488" s="54"/>
      <c r="K1488" s="59"/>
      <c r="L1488" s="57">
        <f t="shared" si="177"/>
        <v>1</v>
      </c>
      <c r="M1488" s="58"/>
      <c r="T1488" s="13"/>
    </row>
    <row r="1489" spans="1:20" ht="64.5" customHeight="1">
      <c r="A1489" s="60" t="s">
        <v>65</v>
      </c>
      <c r="B1489" s="61"/>
      <c r="C1489" s="61"/>
      <c r="D1489" s="61"/>
      <c r="E1489" s="61"/>
      <c r="F1489" s="61"/>
      <c r="G1489" s="61"/>
      <c r="H1489" s="61"/>
      <c r="I1489" s="61"/>
      <c r="J1489" s="61"/>
      <c r="K1489" s="61"/>
      <c r="L1489" s="61"/>
      <c r="M1489" s="62"/>
      <c r="T1489" s="13"/>
    </row>
    <row r="1490" spans="1:20" ht="24.95" customHeight="1">
      <c r="A1490" s="46" t="s">
        <v>66</v>
      </c>
      <c r="B1490" s="47"/>
      <c r="C1490" s="47"/>
      <c r="D1490" s="47"/>
      <c r="E1490" s="47"/>
      <c r="F1490" s="47"/>
      <c r="G1490" s="47"/>
      <c r="H1490" s="47"/>
      <c r="I1490" s="47"/>
      <c r="J1490" s="47"/>
      <c r="K1490" s="47"/>
      <c r="L1490" s="47"/>
      <c r="M1490" s="48"/>
      <c r="T1490" s="13"/>
    </row>
    <row r="1491" spans="1:20" ht="24.95" customHeight="1">
      <c r="A1491" s="27"/>
      <c r="B1491" s="34" t="s">
        <v>67</v>
      </c>
      <c r="C1491" s="34"/>
      <c r="D1491" s="34"/>
      <c r="E1491" s="34"/>
      <c r="F1491" s="34"/>
      <c r="G1491" s="35"/>
      <c r="H1491" s="34"/>
      <c r="I1491" s="34"/>
      <c r="J1491" s="34"/>
      <c r="K1491" s="34"/>
      <c r="L1491" s="34"/>
      <c r="M1491" s="36"/>
      <c r="T1491" s="13"/>
    </row>
    <row r="1492" spans="1:20" ht="24.95" customHeight="1">
      <c r="A1492" s="27"/>
      <c r="B1492" s="34" t="s">
        <v>81</v>
      </c>
      <c r="C1492" s="34"/>
      <c r="D1492" s="34"/>
      <c r="E1492" s="34"/>
      <c r="F1492" s="34"/>
      <c r="G1492" s="35"/>
      <c r="H1492" s="34"/>
      <c r="I1492" s="34"/>
      <c r="J1492" s="34"/>
      <c r="K1492" s="34"/>
      <c r="L1492" s="34"/>
      <c r="M1492" s="36"/>
      <c r="T1492" s="13"/>
    </row>
    <row r="1493" spans="1:20" ht="24.95" customHeight="1">
      <c r="A1493" s="27"/>
      <c r="B1493" s="34" t="s">
        <v>68</v>
      </c>
      <c r="C1493" s="34"/>
      <c r="D1493" s="34"/>
      <c r="E1493" s="34"/>
      <c r="F1493" s="34"/>
      <c r="G1493" s="35"/>
      <c r="H1493" s="34"/>
      <c r="I1493" s="34"/>
      <c r="J1493" s="34"/>
      <c r="K1493" s="34"/>
      <c r="L1493" s="34"/>
      <c r="M1493" s="36"/>
      <c r="T1493" s="13"/>
    </row>
    <row r="1494" spans="1:20" ht="24.95" customHeight="1">
      <c r="A1494" s="27"/>
      <c r="B1494" s="34" t="s">
        <v>82</v>
      </c>
      <c r="C1494" s="34"/>
      <c r="D1494" s="34"/>
      <c r="E1494" s="34"/>
      <c r="F1494" s="34"/>
      <c r="G1494" s="35"/>
      <c r="H1494" s="34"/>
      <c r="I1494" s="34"/>
      <c r="J1494" s="34"/>
      <c r="K1494" s="34"/>
      <c r="L1494" s="34"/>
      <c r="M1494" s="36"/>
      <c r="T1494" s="13"/>
    </row>
    <row r="1495" spans="1:20" ht="24.95" customHeight="1">
      <c r="A1495" s="27"/>
      <c r="B1495" s="34" t="s">
        <v>99</v>
      </c>
      <c r="C1495" s="34"/>
      <c r="D1495" s="34"/>
      <c r="E1495" s="34"/>
      <c r="F1495" s="34"/>
      <c r="G1495" s="35"/>
      <c r="H1495" s="34"/>
      <c r="I1495" s="34"/>
      <c r="J1495" s="34"/>
      <c r="K1495" s="34"/>
      <c r="L1495" s="34"/>
      <c r="M1495" s="36"/>
      <c r="T1495" s="13"/>
    </row>
    <row r="1496" spans="1:20" ht="24.95" customHeight="1">
      <c r="A1496" s="37"/>
      <c r="B1496" s="49" t="s">
        <v>69</v>
      </c>
      <c r="C1496" s="49"/>
      <c r="D1496" s="49"/>
      <c r="E1496" s="49"/>
      <c r="F1496" s="49"/>
      <c r="G1496" s="49"/>
      <c r="H1496" s="49"/>
      <c r="I1496" s="49"/>
      <c r="J1496" s="49"/>
      <c r="K1496" s="49"/>
      <c r="L1496" s="49"/>
      <c r="M1496" s="50"/>
      <c r="T1496" s="13"/>
    </row>
    <row r="1497" spans="1:20" ht="44.25" customHeight="1">
      <c r="A1497" s="51" t="s">
        <v>70</v>
      </c>
      <c r="B1497" s="52"/>
      <c r="C1497" s="52"/>
      <c r="D1497" s="52"/>
      <c r="E1497" s="52"/>
      <c r="F1497" s="52"/>
      <c r="G1497" s="52"/>
      <c r="H1497" s="52"/>
      <c r="I1497" s="52"/>
      <c r="J1497" s="52"/>
      <c r="K1497" s="52"/>
      <c r="L1497" s="52"/>
      <c r="M1497" s="53"/>
      <c r="T1497" s="13"/>
    </row>
    <row r="1498" spans="1:20" ht="48" customHeight="1">
      <c r="A1498" s="51" t="s">
        <v>71</v>
      </c>
      <c r="B1498" s="52"/>
      <c r="C1498" s="52"/>
      <c r="D1498" s="52"/>
      <c r="E1498" s="52"/>
      <c r="F1498" s="52"/>
      <c r="G1498" s="52"/>
      <c r="H1498" s="52"/>
      <c r="I1498" s="52"/>
      <c r="J1498" s="52"/>
      <c r="K1498" s="52"/>
      <c r="L1498" s="52"/>
      <c r="M1498" s="53"/>
      <c r="T1498" s="13"/>
    </row>
    <row r="1499" spans="1:20" ht="81" customHeight="1">
      <c r="A1499" s="51" t="s">
        <v>142</v>
      </c>
      <c r="B1499" s="52"/>
      <c r="C1499" s="52"/>
      <c r="D1499" s="52"/>
      <c r="E1499" s="52"/>
      <c r="F1499" s="52"/>
      <c r="G1499" s="52"/>
      <c r="H1499" s="52"/>
      <c r="I1499" s="52"/>
      <c r="J1499" s="52"/>
      <c r="K1499" s="52"/>
      <c r="L1499" s="52"/>
      <c r="M1499" s="53"/>
      <c r="T1499" s="13"/>
    </row>
    <row r="1500" spans="1:20" ht="100.5" customHeight="1">
      <c r="A1500" s="51" t="s">
        <v>72</v>
      </c>
      <c r="B1500" s="52"/>
      <c r="C1500" s="52"/>
      <c r="D1500" s="52"/>
      <c r="E1500" s="52"/>
      <c r="F1500" s="52"/>
      <c r="G1500" s="52"/>
      <c r="H1500" s="52"/>
      <c r="I1500" s="52"/>
      <c r="J1500" s="52"/>
      <c r="K1500" s="52"/>
      <c r="L1500" s="52"/>
      <c r="M1500" s="53"/>
      <c r="T1500" s="13"/>
    </row>
    <row r="1501" spans="1:20" ht="12" customHeight="1">
      <c r="A1501" s="41" t="s">
        <v>73</v>
      </c>
      <c r="B1501" s="41"/>
      <c r="C1501" s="42"/>
      <c r="D1501" s="42"/>
      <c r="E1501" s="42"/>
      <c r="F1501" s="42"/>
      <c r="G1501" s="42"/>
      <c r="H1501" s="42"/>
      <c r="I1501" s="42"/>
      <c r="J1501" s="42"/>
      <c r="K1501" s="42"/>
      <c r="L1501" s="42"/>
      <c r="M1501" s="38"/>
      <c r="T1501" s="13"/>
    </row>
    <row r="1502" spans="1:20" ht="12" customHeight="1">
      <c r="A1502" s="43" t="s">
        <v>74</v>
      </c>
      <c r="B1502" s="43"/>
      <c r="C1502" s="40"/>
      <c r="D1502" s="40"/>
      <c r="E1502" s="40"/>
      <c r="F1502" s="40"/>
      <c r="G1502" s="40"/>
      <c r="H1502" s="40"/>
      <c r="I1502" s="40"/>
      <c r="J1502" s="40"/>
      <c r="K1502" s="40"/>
      <c r="L1502" s="38"/>
      <c r="M1502" s="38"/>
      <c r="T1502" s="13"/>
    </row>
    <row r="1503" spans="1:20" ht="12" customHeight="1">
      <c r="A1503" s="44" t="s">
        <v>75</v>
      </c>
      <c r="B1503" s="44"/>
      <c r="C1503" s="44"/>
      <c r="D1503" s="44"/>
      <c r="E1503" s="44"/>
      <c r="F1503" s="44"/>
      <c r="G1503" s="44"/>
      <c r="H1503" s="44"/>
      <c r="I1503" s="44"/>
      <c r="J1503" s="44"/>
      <c r="K1503" s="44"/>
      <c r="L1503" s="44"/>
      <c r="M1503" s="44"/>
      <c r="T1503" s="13"/>
    </row>
    <row r="1504" spans="1:20" ht="12" customHeight="1">
      <c r="A1504" s="39" t="s">
        <v>76</v>
      </c>
      <c r="B1504" s="39"/>
      <c r="C1504" s="39"/>
      <c r="D1504" s="39"/>
      <c r="E1504" s="39"/>
      <c r="F1504" s="39"/>
      <c r="G1504" s="39"/>
      <c r="H1504" s="39"/>
      <c r="I1504" s="39"/>
      <c r="J1504" s="39"/>
      <c r="K1504" s="39"/>
      <c r="L1504" s="39"/>
      <c r="M1504" s="39"/>
      <c r="T1504" s="13"/>
    </row>
    <row r="1505" spans="1:20" ht="12" customHeight="1">
      <c r="A1505" s="39" t="s">
        <v>77</v>
      </c>
      <c r="B1505" s="40"/>
      <c r="C1505" s="40"/>
      <c r="D1505" s="40"/>
      <c r="E1505" s="40"/>
      <c r="F1505" s="40"/>
      <c r="G1505" s="40"/>
      <c r="H1505" s="40"/>
      <c r="I1505" s="40"/>
      <c r="J1505" s="40"/>
      <c r="K1505" s="40"/>
      <c r="L1505" s="40"/>
      <c r="M1505" s="40"/>
      <c r="T1505" s="13"/>
    </row>
    <row r="1506" spans="1:20" ht="12" customHeight="1">
      <c r="A1506" s="45" t="s">
        <v>78</v>
      </c>
      <c r="B1506" s="40"/>
      <c r="C1506" s="40"/>
      <c r="D1506" s="40"/>
      <c r="E1506" s="40"/>
      <c r="F1506" s="40"/>
      <c r="G1506" s="40"/>
      <c r="H1506" s="40"/>
      <c r="I1506" s="40"/>
      <c r="J1506" s="40"/>
      <c r="K1506" s="40"/>
      <c r="L1506" s="40"/>
      <c r="M1506" s="40"/>
      <c r="T1506" s="13"/>
    </row>
    <row r="1507" spans="1:20" ht="12" customHeight="1">
      <c r="A1507" s="39" t="s">
        <v>79</v>
      </c>
      <c r="B1507" s="40"/>
      <c r="C1507" s="40"/>
      <c r="D1507" s="40"/>
      <c r="E1507" s="40"/>
      <c r="F1507" s="40"/>
      <c r="G1507" s="40"/>
      <c r="H1507" s="40"/>
      <c r="I1507" s="40"/>
      <c r="J1507" s="40"/>
      <c r="K1507" s="40"/>
      <c r="L1507" s="40"/>
      <c r="M1507" s="40"/>
      <c r="T1507" s="13"/>
    </row>
    <row r="1508" spans="1:20" ht="409.5" customHeight="1"/>
    <row r="1509" spans="1:20" s="2" customFormat="1" ht="35.1" customHeight="1">
      <c r="A1509" s="126" t="s">
        <v>0</v>
      </c>
      <c r="B1509" s="126"/>
      <c r="C1509" s="1">
        <f>C1451+1</f>
        <v>31</v>
      </c>
      <c r="G1509" s="3"/>
    </row>
    <row r="1510" spans="1:20" s="2" customFormat="1" ht="35.1" customHeight="1">
      <c r="A1510" s="126" t="s">
        <v>1</v>
      </c>
      <c r="B1510" s="126"/>
      <c r="C1510" s="2" t="s">
        <v>2</v>
      </c>
      <c r="D1510" s="2" t="s">
        <v>151</v>
      </c>
      <c r="E1510" s="2" t="s">
        <v>3</v>
      </c>
      <c r="F1510" s="2" t="s">
        <v>152</v>
      </c>
      <c r="G1510" s="3"/>
      <c r="H1510" s="127" t="s">
        <v>4</v>
      </c>
      <c r="I1510" s="128"/>
      <c r="J1510" s="129">
        <f>J1452+1</f>
        <v>46018</v>
      </c>
      <c r="K1510" s="130"/>
      <c r="L1510" s="131">
        <f>J1510</f>
        <v>46018</v>
      </c>
      <c r="M1510" s="132"/>
    </row>
    <row r="1511" spans="1:20" s="2" customFormat="1" ht="30" customHeight="1">
      <c r="A1511" s="72" t="s">
        <v>5</v>
      </c>
      <c r="B1511" s="114"/>
      <c r="C1511" s="119" t="s">
        <v>83</v>
      </c>
      <c r="D1511" s="119"/>
      <c r="E1511" s="119"/>
      <c r="F1511" s="119"/>
      <c r="G1511" s="119"/>
      <c r="H1511" s="54" t="s">
        <v>6</v>
      </c>
      <c r="I1511" s="59"/>
      <c r="J1511" s="120"/>
      <c r="K1511" s="120"/>
      <c r="L1511" s="120"/>
      <c r="M1511" s="120"/>
    </row>
    <row r="1512" spans="1:20" s="1" customFormat="1" ht="30" customHeight="1">
      <c r="A1512" s="72" t="s">
        <v>7</v>
      </c>
      <c r="B1512" s="114"/>
      <c r="C1512" s="4">
        <v>50</v>
      </c>
      <c r="D1512" s="4" t="s">
        <v>8</v>
      </c>
      <c r="E1512" s="4" t="s">
        <v>9</v>
      </c>
      <c r="F1512" s="4">
        <f>F1454+1</f>
        <v>31</v>
      </c>
      <c r="G1512" s="5" t="s">
        <v>8</v>
      </c>
      <c r="H1512" s="4" t="s">
        <v>10</v>
      </c>
      <c r="I1512" s="4">
        <f>C1512-F1512+L1512</f>
        <v>19</v>
      </c>
      <c r="J1512" s="4" t="s">
        <v>11</v>
      </c>
      <c r="K1512" s="6" t="s">
        <v>12</v>
      </c>
      <c r="L1512" s="7">
        <f>L1454</f>
        <v>0</v>
      </c>
      <c r="M1512" s="4" t="s">
        <v>8</v>
      </c>
    </row>
    <row r="1513" spans="1:20" s="2" customFormat="1" ht="30" customHeight="1">
      <c r="A1513" s="72" t="s">
        <v>13</v>
      </c>
      <c r="B1513" s="75"/>
      <c r="C1513" s="75"/>
      <c r="D1513" s="121">
        <f>D1455</f>
        <v>45988</v>
      </c>
      <c r="E1513" s="122"/>
      <c r="F1513" s="122"/>
      <c r="G1513" s="123"/>
      <c r="H1513" s="124" t="s">
        <v>14</v>
      </c>
      <c r="I1513" s="125"/>
      <c r="J1513" s="121">
        <f>J1455</f>
        <v>46037</v>
      </c>
      <c r="K1513" s="122"/>
      <c r="L1513" s="122"/>
      <c r="M1513" s="123"/>
    </row>
    <row r="1514" spans="1:20" s="2" customFormat="1" ht="30" customHeight="1">
      <c r="A1514" s="72" t="s">
        <v>15</v>
      </c>
      <c r="B1514" s="114"/>
      <c r="C1514" s="114"/>
      <c r="D1514" s="72">
        <v>1.0149999999999999</v>
      </c>
      <c r="E1514" s="72"/>
      <c r="F1514" s="72"/>
      <c r="G1514" s="72"/>
      <c r="H1514" s="64" t="s">
        <v>16</v>
      </c>
      <c r="I1514" s="115"/>
      <c r="J1514" s="116">
        <f>P1530</f>
        <v>0</v>
      </c>
      <c r="K1514" s="117"/>
      <c r="L1514" s="117"/>
      <c r="M1514" s="118"/>
    </row>
    <row r="1515" spans="1:20" s="2" customFormat="1" ht="30" customHeight="1">
      <c r="A1515" s="72" t="s">
        <v>17</v>
      </c>
      <c r="B1515" s="114"/>
      <c r="C1515" s="114"/>
      <c r="D1515" s="72">
        <f>D1514+D1457</f>
        <v>21.378999999999998</v>
      </c>
      <c r="E1515" s="72"/>
      <c r="F1515" s="72"/>
      <c r="G1515" s="72"/>
      <c r="H1515" s="64" t="s">
        <v>18</v>
      </c>
      <c r="I1515" s="115"/>
      <c r="J1515" s="116">
        <f>J1514+J1457</f>
        <v>25.469999999999992</v>
      </c>
      <c r="K1515" s="117"/>
      <c r="L1515" s="117"/>
      <c r="M1515" s="118"/>
    </row>
    <row r="1516" spans="1:20" s="2" customFormat="1" ht="30" customHeight="1">
      <c r="A1516" s="111" t="s">
        <v>19</v>
      </c>
      <c r="B1516" s="112"/>
      <c r="C1516" s="112"/>
      <c r="D1516" s="112"/>
      <c r="E1516" s="112"/>
      <c r="F1516" s="112"/>
      <c r="G1516" s="112"/>
      <c r="H1516" s="112"/>
      <c r="I1516" s="112"/>
      <c r="J1516" s="112"/>
      <c r="K1516" s="112"/>
      <c r="L1516" s="112"/>
      <c r="M1516" s="113"/>
    </row>
    <row r="1517" spans="1:20" s="2" customFormat="1" ht="30" customHeight="1">
      <c r="A1517" s="8" t="s">
        <v>20</v>
      </c>
      <c r="B1517" s="72" t="s">
        <v>21</v>
      </c>
      <c r="C1517" s="72"/>
      <c r="D1517" s="72"/>
      <c r="E1517" s="4" t="s">
        <v>22</v>
      </c>
      <c r="F1517" s="54" t="s">
        <v>23</v>
      </c>
      <c r="G1517" s="59"/>
      <c r="H1517" s="72" t="s">
        <v>24</v>
      </c>
      <c r="I1517" s="72"/>
      <c r="J1517" s="72" t="s">
        <v>25</v>
      </c>
      <c r="K1517" s="72"/>
      <c r="L1517" s="72" t="s">
        <v>26</v>
      </c>
      <c r="M1517" s="72"/>
      <c r="O1517" s="1" t="s">
        <v>27</v>
      </c>
      <c r="P1517" s="1" t="s">
        <v>28</v>
      </c>
      <c r="T1517" s="2" t="s">
        <v>29</v>
      </c>
    </row>
    <row r="1518" spans="1:20" s="2" customFormat="1" ht="24.95" customHeight="1">
      <c r="A1518" s="9" t="s">
        <v>30</v>
      </c>
      <c r="B1518" s="110" t="s">
        <v>31</v>
      </c>
      <c r="C1518" s="110"/>
      <c r="D1518" s="110"/>
      <c r="E1518" s="4"/>
      <c r="F1518" s="54"/>
      <c r="G1518" s="59"/>
      <c r="H1518" s="72"/>
      <c r="I1518" s="72"/>
      <c r="J1518" s="72"/>
      <c r="K1518" s="72"/>
      <c r="L1518" s="72"/>
      <c r="M1518" s="72"/>
    </row>
    <row r="1519" spans="1:20" ht="24.95" customHeight="1">
      <c r="A1519" s="10">
        <v>1</v>
      </c>
      <c r="B1519" s="66" t="s">
        <v>91</v>
      </c>
      <c r="C1519" s="67" t="s">
        <v>91</v>
      </c>
      <c r="D1519" s="68" t="s">
        <v>91</v>
      </c>
      <c r="E1519" s="4" t="s">
        <v>32</v>
      </c>
      <c r="F1519" s="69">
        <v>1</v>
      </c>
      <c r="G1519" s="70"/>
      <c r="H1519" s="69"/>
      <c r="I1519" s="70"/>
      <c r="J1519" s="71">
        <f>H1519+J1461</f>
        <v>1</v>
      </c>
      <c r="K1519" s="71"/>
      <c r="L1519" s="72"/>
      <c r="M1519" s="72"/>
      <c r="O1519" s="11">
        <v>4000</v>
      </c>
      <c r="P1519" s="11">
        <f>ROUND(H1519*O1519,0)</f>
        <v>0</v>
      </c>
      <c r="Q1519" s="12"/>
      <c r="S1519" s="11">
        <f>ROUND(J1519*O1519,0)</f>
        <v>4000</v>
      </c>
      <c r="T1519" s="13">
        <f>F1519-J1519</f>
        <v>0</v>
      </c>
    </row>
    <row r="1520" spans="1:20" ht="24.95" customHeight="1">
      <c r="A1520" s="10">
        <v>2</v>
      </c>
      <c r="B1520" s="66" t="s">
        <v>92</v>
      </c>
      <c r="C1520" s="67" t="s">
        <v>92</v>
      </c>
      <c r="D1520" s="68" t="s">
        <v>92</v>
      </c>
      <c r="E1520" s="4" t="s">
        <v>32</v>
      </c>
      <c r="F1520" s="69">
        <v>1</v>
      </c>
      <c r="G1520" s="70"/>
      <c r="H1520" s="69"/>
      <c r="I1520" s="70"/>
      <c r="J1520" s="71">
        <f t="shared" ref="J1520:J1527" si="178">H1520+J1462</f>
        <v>1</v>
      </c>
      <c r="K1520" s="71"/>
      <c r="L1520" s="72"/>
      <c r="M1520" s="72"/>
      <c r="O1520" s="11">
        <v>14334</v>
      </c>
      <c r="P1520" s="11">
        <f t="shared" ref="P1520:P1527" si="179">ROUND(H1520*O1520,0)</f>
        <v>0</v>
      </c>
      <c r="Q1520" s="12"/>
      <c r="S1520" s="11">
        <f t="shared" ref="S1520:S1527" si="180">ROUND(J1520*O1520,0)</f>
        <v>14334</v>
      </c>
      <c r="T1520" s="13">
        <f t="shared" ref="T1520:T1527" si="181">F1520-J1520</f>
        <v>0</v>
      </c>
    </row>
    <row r="1521" spans="1:20" ht="24.95" customHeight="1">
      <c r="A1521" s="10">
        <v>3</v>
      </c>
      <c r="B1521" s="66" t="s">
        <v>84</v>
      </c>
      <c r="C1521" s="67" t="s">
        <v>84</v>
      </c>
      <c r="D1521" s="68" t="s">
        <v>84</v>
      </c>
      <c r="E1521" s="4" t="s">
        <v>33</v>
      </c>
      <c r="F1521" s="69">
        <v>1</v>
      </c>
      <c r="G1521" s="70"/>
      <c r="H1521" s="69"/>
      <c r="I1521" s="70"/>
      <c r="J1521" s="71">
        <f t="shared" si="178"/>
        <v>0.5</v>
      </c>
      <c r="K1521" s="71"/>
      <c r="L1521" s="72"/>
      <c r="M1521" s="72"/>
      <c r="O1521" s="11">
        <v>7000</v>
      </c>
      <c r="P1521" s="11">
        <f t="shared" si="179"/>
        <v>0</v>
      </c>
      <c r="Q1521" s="12"/>
      <c r="S1521" s="11">
        <f t="shared" si="180"/>
        <v>3500</v>
      </c>
      <c r="T1521" s="13">
        <f t="shared" si="181"/>
        <v>0.5</v>
      </c>
    </row>
    <row r="1522" spans="1:20" ht="24.95" customHeight="1">
      <c r="A1522" s="10">
        <v>4</v>
      </c>
      <c r="B1522" s="66" t="s">
        <v>85</v>
      </c>
      <c r="C1522" s="67" t="s">
        <v>85</v>
      </c>
      <c r="D1522" s="68" t="s">
        <v>85</v>
      </c>
      <c r="E1522" s="4" t="s">
        <v>34</v>
      </c>
      <c r="F1522" s="69">
        <v>1</v>
      </c>
      <c r="G1522" s="70"/>
      <c r="H1522" s="69"/>
      <c r="I1522" s="70"/>
      <c r="J1522" s="71">
        <f t="shared" si="178"/>
        <v>1</v>
      </c>
      <c r="K1522" s="71"/>
      <c r="L1522" s="72"/>
      <c r="M1522" s="72"/>
      <c r="O1522" s="11">
        <v>74000</v>
      </c>
      <c r="P1522" s="11">
        <f t="shared" si="179"/>
        <v>0</v>
      </c>
      <c r="Q1522" s="12"/>
      <c r="S1522" s="11">
        <f t="shared" si="180"/>
        <v>74000</v>
      </c>
      <c r="T1522" s="13">
        <f t="shared" si="181"/>
        <v>0</v>
      </c>
    </row>
    <row r="1523" spans="1:20" ht="24.95" customHeight="1">
      <c r="A1523" s="10">
        <v>5</v>
      </c>
      <c r="B1523" s="66" t="s">
        <v>86</v>
      </c>
      <c r="C1523" s="67" t="s">
        <v>86</v>
      </c>
      <c r="D1523" s="68" t="s">
        <v>86</v>
      </c>
      <c r="E1523" s="4" t="s">
        <v>93</v>
      </c>
      <c r="F1523" s="69">
        <v>396</v>
      </c>
      <c r="G1523" s="70"/>
      <c r="H1523" s="69"/>
      <c r="I1523" s="70"/>
      <c r="J1523" s="71">
        <f t="shared" si="178"/>
        <v>350</v>
      </c>
      <c r="K1523" s="71"/>
      <c r="L1523" s="72"/>
      <c r="M1523" s="72"/>
      <c r="O1523" s="11">
        <v>200</v>
      </c>
      <c r="P1523" s="11">
        <f t="shared" si="179"/>
        <v>0</v>
      </c>
      <c r="Q1523" s="12"/>
      <c r="S1523" s="11">
        <f t="shared" si="180"/>
        <v>70000</v>
      </c>
      <c r="T1523" s="13">
        <f t="shared" si="181"/>
        <v>46</v>
      </c>
    </row>
    <row r="1524" spans="1:20" ht="24.95" customHeight="1">
      <c r="A1524" s="10">
        <v>6</v>
      </c>
      <c r="B1524" s="66" t="s">
        <v>97</v>
      </c>
      <c r="C1524" s="67" t="s">
        <v>87</v>
      </c>
      <c r="D1524" s="68" t="s">
        <v>87</v>
      </c>
      <c r="E1524" s="4" t="s">
        <v>35</v>
      </c>
      <c r="F1524" s="69">
        <v>80</v>
      </c>
      <c r="G1524" s="70">
        <v>183.6</v>
      </c>
      <c r="H1524" s="69"/>
      <c r="I1524" s="70"/>
      <c r="J1524" s="71">
        <f t="shared" si="178"/>
        <v>78</v>
      </c>
      <c r="K1524" s="71"/>
      <c r="L1524" s="54"/>
      <c r="M1524" s="59"/>
      <c r="O1524" s="11">
        <v>1463</v>
      </c>
      <c r="P1524" s="11">
        <f t="shared" si="179"/>
        <v>0</v>
      </c>
      <c r="S1524" s="11">
        <f t="shared" si="180"/>
        <v>114114</v>
      </c>
      <c r="T1524" s="13">
        <f t="shared" si="181"/>
        <v>2</v>
      </c>
    </row>
    <row r="1525" spans="1:20" ht="24.95" customHeight="1">
      <c r="A1525" s="10">
        <v>7</v>
      </c>
      <c r="B1525" s="66" t="s">
        <v>88</v>
      </c>
      <c r="C1525" s="67" t="s">
        <v>88</v>
      </c>
      <c r="D1525" s="68" t="s">
        <v>88</v>
      </c>
      <c r="E1525" s="4" t="s">
        <v>94</v>
      </c>
      <c r="F1525" s="69">
        <v>126</v>
      </c>
      <c r="G1525" s="70">
        <v>19</v>
      </c>
      <c r="H1525" s="69"/>
      <c r="I1525" s="70"/>
      <c r="J1525" s="71">
        <f t="shared" si="178"/>
        <v>0</v>
      </c>
      <c r="K1525" s="71"/>
      <c r="L1525" s="54"/>
      <c r="M1525" s="59"/>
      <c r="O1525" s="11">
        <v>6350</v>
      </c>
      <c r="P1525" s="11">
        <f t="shared" si="179"/>
        <v>0</v>
      </c>
      <c r="S1525" s="11">
        <f t="shared" si="180"/>
        <v>0</v>
      </c>
      <c r="T1525" s="13">
        <f t="shared" si="181"/>
        <v>126</v>
      </c>
    </row>
    <row r="1526" spans="1:20" ht="24.95" customHeight="1">
      <c r="A1526" s="10">
        <v>8</v>
      </c>
      <c r="B1526" s="66" t="s">
        <v>89</v>
      </c>
      <c r="C1526" s="67" t="s">
        <v>89</v>
      </c>
      <c r="D1526" s="68" t="s">
        <v>89</v>
      </c>
      <c r="E1526" s="4" t="s">
        <v>95</v>
      </c>
      <c r="F1526" s="69">
        <v>1</v>
      </c>
      <c r="G1526" s="70">
        <v>1192</v>
      </c>
      <c r="H1526" s="69"/>
      <c r="I1526" s="70"/>
      <c r="J1526" s="71">
        <f t="shared" si="178"/>
        <v>0.3</v>
      </c>
      <c r="K1526" s="71"/>
      <c r="L1526" s="54"/>
      <c r="M1526" s="59"/>
      <c r="O1526" s="11">
        <v>47600</v>
      </c>
      <c r="P1526" s="11">
        <f t="shared" si="179"/>
        <v>0</v>
      </c>
      <c r="S1526" s="11">
        <f t="shared" si="180"/>
        <v>14280</v>
      </c>
      <c r="T1526" s="13">
        <f t="shared" si="181"/>
        <v>0.7</v>
      </c>
    </row>
    <row r="1527" spans="1:20" ht="24.95" customHeight="1">
      <c r="A1527" s="10">
        <v>9</v>
      </c>
      <c r="B1527" s="66" t="s">
        <v>90</v>
      </c>
      <c r="C1527" s="67" t="s">
        <v>90</v>
      </c>
      <c r="D1527" s="68" t="s">
        <v>90</v>
      </c>
      <c r="E1527" s="4" t="s">
        <v>96</v>
      </c>
      <c r="F1527" s="69">
        <v>1</v>
      </c>
      <c r="G1527" s="70">
        <v>1261</v>
      </c>
      <c r="H1527" s="69"/>
      <c r="I1527" s="70"/>
      <c r="J1527" s="71">
        <f t="shared" si="178"/>
        <v>0</v>
      </c>
      <c r="K1527" s="71"/>
      <c r="L1527" s="54"/>
      <c r="M1527" s="59"/>
      <c r="O1527" s="11">
        <v>10000</v>
      </c>
      <c r="P1527" s="11">
        <f t="shared" si="179"/>
        <v>0</v>
      </c>
      <c r="S1527" s="11">
        <f t="shared" si="180"/>
        <v>0</v>
      </c>
      <c r="T1527" s="13">
        <f t="shared" si="181"/>
        <v>1</v>
      </c>
    </row>
    <row r="1528" spans="1:20" ht="24.95" customHeight="1">
      <c r="A1528" s="14"/>
      <c r="B1528" s="15"/>
      <c r="C1528" s="16"/>
      <c r="D1528" s="17"/>
      <c r="E1528" s="4"/>
      <c r="F1528" s="18"/>
      <c r="G1528" s="19"/>
      <c r="H1528" s="105"/>
      <c r="I1528" s="106"/>
      <c r="J1528" s="105"/>
      <c r="K1528" s="106"/>
      <c r="L1528" s="54"/>
      <c r="M1528" s="59"/>
      <c r="N1528" s="20"/>
      <c r="P1528" s="21" t="s">
        <v>37</v>
      </c>
      <c r="Q1528" s="22">
        <f>SUM(P1519:P1527)</f>
        <v>0</v>
      </c>
      <c r="R1528" s="23"/>
      <c r="S1528" s="24">
        <f>SUM(S1519:S1527)</f>
        <v>294228</v>
      </c>
      <c r="T1528" s="13"/>
    </row>
    <row r="1529" spans="1:20" ht="24.95" customHeight="1">
      <c r="A1529" s="107"/>
      <c r="B1529" s="108"/>
      <c r="C1529" s="108"/>
      <c r="D1529" s="109"/>
      <c r="E1529" s="4"/>
      <c r="F1529" s="54"/>
      <c r="G1529" s="59"/>
      <c r="H1529" s="72"/>
      <c r="I1529" s="72"/>
      <c r="J1529" s="72"/>
      <c r="K1529" s="72"/>
      <c r="L1529" s="72"/>
      <c r="M1529" s="72"/>
      <c r="O1529" t="s">
        <v>38</v>
      </c>
      <c r="P1529" s="24">
        <f>Q1528</f>
        <v>0</v>
      </c>
      <c r="T1529" s="13"/>
    </row>
    <row r="1530" spans="1:20" ht="24.95" customHeight="1">
      <c r="A1530" s="97"/>
      <c r="B1530" s="98"/>
      <c r="C1530" s="98"/>
      <c r="D1530" s="99"/>
      <c r="E1530" s="4"/>
      <c r="F1530" s="54"/>
      <c r="G1530" s="59"/>
      <c r="H1530" s="72"/>
      <c r="I1530" s="72"/>
      <c r="J1530" s="72"/>
      <c r="K1530" s="72"/>
      <c r="L1530" s="72"/>
      <c r="M1530" s="72"/>
      <c r="O1530" t="s">
        <v>39</v>
      </c>
      <c r="P1530" s="23">
        <f>ROUND(P1529/1153274,4)*100</f>
        <v>0</v>
      </c>
      <c r="T1530" s="13"/>
    </row>
    <row r="1531" spans="1:20" ht="24.95" customHeight="1">
      <c r="A1531" s="25"/>
      <c r="B1531" s="63" t="s">
        <v>40</v>
      </c>
      <c r="C1531" s="63"/>
      <c r="D1531" s="59"/>
      <c r="E1531" s="26"/>
      <c r="F1531" s="100"/>
      <c r="G1531" s="101"/>
      <c r="H1531" s="100"/>
      <c r="I1531" s="101"/>
      <c r="J1531" s="102"/>
      <c r="K1531" s="102"/>
      <c r="L1531" s="103">
        <f>P1529</f>
        <v>0</v>
      </c>
      <c r="M1531" s="104"/>
      <c r="T1531" s="13"/>
    </row>
    <row r="1532" spans="1:20" ht="24.95" customHeight="1" thickBot="1">
      <c r="A1532" s="27"/>
      <c r="B1532" s="85" t="s">
        <v>41</v>
      </c>
      <c r="C1532" s="85"/>
      <c r="D1532" s="86"/>
      <c r="E1532" s="28"/>
      <c r="F1532" s="87"/>
      <c r="G1532" s="88"/>
      <c r="H1532" s="87"/>
      <c r="I1532" s="88"/>
      <c r="J1532" s="87"/>
      <c r="K1532" s="88"/>
      <c r="L1532" s="89">
        <f>L1531+L1474</f>
        <v>294228</v>
      </c>
      <c r="M1532" s="90"/>
      <c r="T1532" s="13"/>
    </row>
    <row r="1533" spans="1:20" ht="24.95" customHeight="1">
      <c r="A1533" s="29"/>
      <c r="B1533" s="91" t="s">
        <v>42</v>
      </c>
      <c r="C1533" s="91"/>
      <c r="D1533" s="92"/>
      <c r="E1533" s="30"/>
      <c r="F1533" s="93"/>
      <c r="G1533" s="94"/>
      <c r="H1533" s="95"/>
      <c r="I1533" s="95"/>
      <c r="J1533" s="95"/>
      <c r="K1533" s="95"/>
      <c r="L1533" s="95"/>
      <c r="M1533" s="96"/>
      <c r="T1533" s="13"/>
    </row>
    <row r="1534" spans="1:20" ht="24.95" customHeight="1">
      <c r="A1534" s="31"/>
      <c r="B1534" s="76" t="s">
        <v>43</v>
      </c>
      <c r="C1534" s="76"/>
      <c r="D1534" s="77"/>
      <c r="E1534" s="4"/>
      <c r="F1534" s="54"/>
      <c r="G1534" s="59"/>
      <c r="H1534" s="72"/>
      <c r="I1534" s="72"/>
      <c r="J1534" s="72"/>
      <c r="K1534" s="72"/>
      <c r="L1534" s="72"/>
      <c r="M1534" s="78"/>
      <c r="T1534" s="13"/>
    </row>
    <row r="1535" spans="1:20" ht="24.95" customHeight="1" thickBot="1">
      <c r="A1535" s="32"/>
      <c r="B1535" s="79" t="s">
        <v>44</v>
      </c>
      <c r="C1535" s="79"/>
      <c r="D1535" s="80"/>
      <c r="E1535" s="33"/>
      <c r="F1535" s="81"/>
      <c r="G1535" s="82"/>
      <c r="H1535" s="83"/>
      <c r="I1535" s="83"/>
      <c r="J1535" s="83"/>
      <c r="K1535" s="83"/>
      <c r="L1535" s="83"/>
      <c r="M1535" s="84"/>
      <c r="T1535" s="13"/>
    </row>
    <row r="1536" spans="1:20" ht="24.95" customHeight="1">
      <c r="A1536" s="73" t="s">
        <v>45</v>
      </c>
      <c r="B1536" s="74"/>
      <c r="C1536" s="74"/>
      <c r="D1536" s="74"/>
      <c r="E1536" s="74"/>
      <c r="F1536" s="74"/>
      <c r="G1536" s="74"/>
      <c r="H1536" s="74"/>
      <c r="I1536" s="74"/>
      <c r="J1536" s="74"/>
      <c r="K1536" s="74"/>
      <c r="L1536" s="74"/>
      <c r="M1536" s="74"/>
      <c r="T1536" s="13"/>
    </row>
    <row r="1537" spans="1:20" ht="24.95" customHeight="1">
      <c r="A1537" s="72" t="s">
        <v>46</v>
      </c>
      <c r="B1537" s="75"/>
      <c r="C1537" s="75"/>
      <c r="D1537" s="75"/>
      <c r="E1537" s="4" t="s">
        <v>22</v>
      </c>
      <c r="F1537" s="72" t="s">
        <v>47</v>
      </c>
      <c r="G1537" s="72"/>
      <c r="H1537" s="72" t="s">
        <v>48</v>
      </c>
      <c r="I1537" s="72"/>
      <c r="J1537" s="72" t="s">
        <v>49</v>
      </c>
      <c r="K1537" s="72"/>
      <c r="L1537" s="72" t="s">
        <v>50</v>
      </c>
      <c r="M1537" s="72"/>
      <c r="T1537" s="13"/>
    </row>
    <row r="1538" spans="1:20" ht="24.95" customHeight="1">
      <c r="A1538" s="10">
        <v>6</v>
      </c>
      <c r="B1538" s="66" t="s">
        <v>97</v>
      </c>
      <c r="C1538" s="67" t="s">
        <v>51</v>
      </c>
      <c r="D1538" s="68" t="s">
        <v>51</v>
      </c>
      <c r="E1538" s="4" t="s">
        <v>35</v>
      </c>
      <c r="F1538" s="69">
        <v>80</v>
      </c>
      <c r="G1538" s="70">
        <v>1261</v>
      </c>
      <c r="H1538" s="71">
        <f>H1524</f>
        <v>0</v>
      </c>
      <c r="I1538" s="71"/>
      <c r="J1538" s="71">
        <f>H1538+J1480</f>
        <v>78</v>
      </c>
      <c r="K1538" s="71"/>
      <c r="L1538" s="72"/>
      <c r="M1538" s="72"/>
      <c r="T1538" s="13"/>
    </row>
    <row r="1539" spans="1:20" ht="24.95" customHeight="1">
      <c r="A1539" s="10">
        <v>7</v>
      </c>
      <c r="B1539" s="66" t="s">
        <v>88</v>
      </c>
      <c r="C1539" s="67" t="s">
        <v>88</v>
      </c>
      <c r="D1539" s="68" t="s">
        <v>88</v>
      </c>
      <c r="E1539" s="4" t="s">
        <v>98</v>
      </c>
      <c r="F1539" s="69">
        <v>126</v>
      </c>
      <c r="G1539" s="70"/>
      <c r="H1539" s="71">
        <f>H1525</f>
        <v>0</v>
      </c>
      <c r="I1539" s="71"/>
      <c r="J1539" s="71">
        <f t="shared" ref="J1539:J1540" si="182">H1539+J1481</f>
        <v>0</v>
      </c>
      <c r="K1539" s="71"/>
      <c r="L1539" s="72"/>
      <c r="M1539" s="72"/>
      <c r="T1539" s="13"/>
    </row>
    <row r="1540" spans="1:20" ht="24.95" customHeight="1">
      <c r="A1540" s="10">
        <v>8</v>
      </c>
      <c r="B1540" s="66" t="s">
        <v>89</v>
      </c>
      <c r="C1540" s="67" t="s">
        <v>89</v>
      </c>
      <c r="D1540" s="68" t="s">
        <v>89</v>
      </c>
      <c r="E1540" s="4" t="s">
        <v>36</v>
      </c>
      <c r="F1540" s="69">
        <v>1</v>
      </c>
      <c r="G1540" s="70"/>
      <c r="H1540" s="71">
        <f>H1526</f>
        <v>0</v>
      </c>
      <c r="I1540" s="71"/>
      <c r="J1540" s="71">
        <f t="shared" si="182"/>
        <v>0.3</v>
      </c>
      <c r="K1540" s="71"/>
      <c r="L1540" s="72"/>
      <c r="M1540" s="72"/>
      <c r="T1540" s="13"/>
    </row>
    <row r="1541" spans="1:20" ht="24.95" customHeight="1">
      <c r="A1541" s="51" t="s">
        <v>52</v>
      </c>
      <c r="B1541" s="52"/>
      <c r="C1541" s="52"/>
      <c r="D1541" s="52"/>
      <c r="E1541" s="52"/>
      <c r="F1541" s="52"/>
      <c r="G1541" s="52"/>
      <c r="H1541" s="52"/>
      <c r="I1541" s="52"/>
      <c r="J1541" s="52"/>
      <c r="K1541" s="52"/>
      <c r="L1541" s="52"/>
      <c r="M1541" s="53"/>
      <c r="T1541" s="13"/>
    </row>
    <row r="1542" spans="1:20" ht="24.95" customHeight="1">
      <c r="A1542" s="54" t="s">
        <v>53</v>
      </c>
      <c r="B1542" s="63"/>
      <c r="C1542" s="63"/>
      <c r="D1542" s="59"/>
      <c r="E1542" s="4" t="s">
        <v>54</v>
      </c>
      <c r="F1542" s="54" t="s">
        <v>55</v>
      </c>
      <c r="G1542" s="59"/>
      <c r="H1542" s="54" t="s">
        <v>56</v>
      </c>
      <c r="I1542" s="59"/>
      <c r="J1542" s="54" t="s">
        <v>48</v>
      </c>
      <c r="K1542" s="59"/>
      <c r="L1542" s="64" t="s">
        <v>49</v>
      </c>
      <c r="M1542" s="65"/>
      <c r="T1542" s="13"/>
    </row>
    <row r="1543" spans="1:20" ht="24.95" customHeight="1">
      <c r="A1543" s="54" t="s">
        <v>57</v>
      </c>
      <c r="B1543" s="55"/>
      <c r="C1543" s="55"/>
      <c r="D1543" s="56"/>
      <c r="E1543" s="4"/>
      <c r="F1543" s="57">
        <f>E1543+F1485</f>
        <v>28</v>
      </c>
      <c r="G1543" s="58"/>
      <c r="H1543" s="54" t="s">
        <v>58</v>
      </c>
      <c r="I1543" s="59"/>
      <c r="J1543" s="54"/>
      <c r="K1543" s="59"/>
      <c r="L1543" s="57">
        <f>J1543+L1485</f>
        <v>15</v>
      </c>
      <c r="M1543" s="58"/>
      <c r="T1543" s="13"/>
    </row>
    <row r="1544" spans="1:20" ht="24.95" customHeight="1">
      <c r="A1544" s="54" t="s">
        <v>59</v>
      </c>
      <c r="B1544" s="55"/>
      <c r="C1544" s="55"/>
      <c r="D1544" s="56"/>
      <c r="E1544" s="4"/>
      <c r="F1544" s="57">
        <f t="shared" ref="F1544:F1546" si="183">E1544+F1486</f>
        <v>0</v>
      </c>
      <c r="G1544" s="58"/>
      <c r="H1544" s="54" t="s">
        <v>60</v>
      </c>
      <c r="I1544" s="59"/>
      <c r="J1544" s="54"/>
      <c r="K1544" s="59"/>
      <c r="L1544" s="57">
        <f t="shared" ref="L1544:L1546" si="184">J1544+L1486</f>
        <v>0</v>
      </c>
      <c r="M1544" s="58"/>
      <c r="T1544" s="13"/>
    </row>
    <row r="1545" spans="1:20" ht="24.95" customHeight="1">
      <c r="A1545" s="54" t="s">
        <v>61</v>
      </c>
      <c r="B1545" s="55"/>
      <c r="C1545" s="55"/>
      <c r="D1545" s="56"/>
      <c r="E1545" s="4"/>
      <c r="F1545" s="57">
        <f t="shared" si="183"/>
        <v>2</v>
      </c>
      <c r="G1545" s="58"/>
      <c r="H1545" s="54" t="s">
        <v>62</v>
      </c>
      <c r="I1545" s="59"/>
      <c r="J1545" s="54"/>
      <c r="K1545" s="59"/>
      <c r="L1545" s="57">
        <f t="shared" si="184"/>
        <v>5</v>
      </c>
      <c r="M1545" s="58"/>
      <c r="T1545" s="13"/>
    </row>
    <row r="1546" spans="1:20" ht="24.95" customHeight="1">
      <c r="A1546" s="54" t="s">
        <v>63</v>
      </c>
      <c r="B1546" s="55"/>
      <c r="C1546" s="55"/>
      <c r="D1546" s="56"/>
      <c r="E1546" s="4"/>
      <c r="F1546" s="57">
        <f t="shared" si="183"/>
        <v>4</v>
      </c>
      <c r="G1546" s="58"/>
      <c r="H1546" s="54" t="s">
        <v>64</v>
      </c>
      <c r="I1546" s="59"/>
      <c r="J1546" s="54"/>
      <c r="K1546" s="59"/>
      <c r="L1546" s="57">
        <f t="shared" si="184"/>
        <v>1</v>
      </c>
      <c r="M1546" s="58"/>
      <c r="T1546" s="13"/>
    </row>
    <row r="1547" spans="1:20" ht="64.5" customHeight="1">
      <c r="A1547" s="60" t="s">
        <v>65</v>
      </c>
      <c r="B1547" s="61"/>
      <c r="C1547" s="61"/>
      <c r="D1547" s="61"/>
      <c r="E1547" s="61"/>
      <c r="F1547" s="61"/>
      <c r="G1547" s="61"/>
      <c r="H1547" s="61"/>
      <c r="I1547" s="61"/>
      <c r="J1547" s="61"/>
      <c r="K1547" s="61"/>
      <c r="L1547" s="61"/>
      <c r="M1547" s="62"/>
      <c r="T1547" s="13"/>
    </row>
    <row r="1548" spans="1:20" ht="24.95" customHeight="1">
      <c r="A1548" s="46" t="s">
        <v>66</v>
      </c>
      <c r="B1548" s="47"/>
      <c r="C1548" s="47"/>
      <c r="D1548" s="47"/>
      <c r="E1548" s="47"/>
      <c r="F1548" s="47"/>
      <c r="G1548" s="47"/>
      <c r="H1548" s="47"/>
      <c r="I1548" s="47"/>
      <c r="J1548" s="47"/>
      <c r="K1548" s="47"/>
      <c r="L1548" s="47"/>
      <c r="M1548" s="48"/>
      <c r="T1548" s="13"/>
    </row>
    <row r="1549" spans="1:20" ht="24.95" customHeight="1">
      <c r="A1549" s="27"/>
      <c r="B1549" s="34" t="s">
        <v>67</v>
      </c>
      <c r="C1549" s="34"/>
      <c r="D1549" s="34"/>
      <c r="E1549" s="34"/>
      <c r="F1549" s="34"/>
      <c r="G1549" s="35"/>
      <c r="H1549" s="34"/>
      <c r="I1549" s="34"/>
      <c r="J1549" s="34"/>
      <c r="K1549" s="34"/>
      <c r="L1549" s="34"/>
      <c r="M1549" s="36"/>
      <c r="T1549" s="13"/>
    </row>
    <row r="1550" spans="1:20" ht="24.95" customHeight="1">
      <c r="A1550" s="27"/>
      <c r="B1550" s="34" t="s">
        <v>81</v>
      </c>
      <c r="C1550" s="34"/>
      <c r="D1550" s="34"/>
      <c r="E1550" s="34"/>
      <c r="F1550" s="34"/>
      <c r="G1550" s="35"/>
      <c r="H1550" s="34"/>
      <c r="I1550" s="34"/>
      <c r="J1550" s="34"/>
      <c r="K1550" s="34"/>
      <c r="L1550" s="34"/>
      <c r="M1550" s="36"/>
      <c r="T1550" s="13"/>
    </row>
    <row r="1551" spans="1:20" ht="24.95" customHeight="1">
      <c r="A1551" s="27"/>
      <c r="B1551" s="34" t="s">
        <v>68</v>
      </c>
      <c r="C1551" s="34"/>
      <c r="D1551" s="34"/>
      <c r="E1551" s="34"/>
      <c r="F1551" s="34"/>
      <c r="G1551" s="35"/>
      <c r="H1551" s="34"/>
      <c r="I1551" s="34"/>
      <c r="J1551" s="34"/>
      <c r="K1551" s="34"/>
      <c r="L1551" s="34"/>
      <c r="M1551" s="36"/>
      <c r="T1551" s="13"/>
    </row>
    <row r="1552" spans="1:20" ht="24.95" customHeight="1">
      <c r="A1552" s="27"/>
      <c r="B1552" s="34" t="s">
        <v>82</v>
      </c>
      <c r="C1552" s="34"/>
      <c r="D1552" s="34"/>
      <c r="E1552" s="34"/>
      <c r="F1552" s="34"/>
      <c r="G1552" s="35"/>
      <c r="H1552" s="34"/>
      <c r="I1552" s="34"/>
      <c r="J1552" s="34"/>
      <c r="K1552" s="34"/>
      <c r="L1552" s="34"/>
      <c r="M1552" s="36"/>
      <c r="T1552" s="13"/>
    </row>
    <row r="1553" spans="1:20" ht="24.95" customHeight="1">
      <c r="A1553" s="27"/>
      <c r="B1553" s="34" t="s">
        <v>99</v>
      </c>
      <c r="C1553" s="34"/>
      <c r="D1553" s="34"/>
      <c r="E1553" s="34"/>
      <c r="F1553" s="34"/>
      <c r="G1553" s="35"/>
      <c r="H1553" s="34"/>
      <c r="I1553" s="34"/>
      <c r="J1553" s="34"/>
      <c r="K1553" s="34"/>
      <c r="L1553" s="34"/>
      <c r="M1553" s="36"/>
      <c r="T1553" s="13"/>
    </row>
    <row r="1554" spans="1:20" ht="24.95" customHeight="1">
      <c r="A1554" s="37"/>
      <c r="B1554" s="49" t="s">
        <v>69</v>
      </c>
      <c r="C1554" s="49"/>
      <c r="D1554" s="49"/>
      <c r="E1554" s="49"/>
      <c r="F1554" s="49"/>
      <c r="G1554" s="49"/>
      <c r="H1554" s="49"/>
      <c r="I1554" s="49"/>
      <c r="J1554" s="49"/>
      <c r="K1554" s="49"/>
      <c r="L1554" s="49"/>
      <c r="M1554" s="50"/>
      <c r="T1554" s="13"/>
    </row>
    <row r="1555" spans="1:20" ht="44.25" customHeight="1">
      <c r="A1555" s="51" t="s">
        <v>70</v>
      </c>
      <c r="B1555" s="52"/>
      <c r="C1555" s="52"/>
      <c r="D1555" s="52"/>
      <c r="E1555" s="52"/>
      <c r="F1555" s="52"/>
      <c r="G1555" s="52"/>
      <c r="H1555" s="52"/>
      <c r="I1555" s="52"/>
      <c r="J1555" s="52"/>
      <c r="K1555" s="52"/>
      <c r="L1555" s="52"/>
      <c r="M1555" s="53"/>
      <c r="T1555" s="13"/>
    </row>
    <row r="1556" spans="1:20" ht="48" customHeight="1">
      <c r="A1556" s="51" t="s">
        <v>71</v>
      </c>
      <c r="B1556" s="52"/>
      <c r="C1556" s="52"/>
      <c r="D1556" s="52"/>
      <c r="E1556" s="52"/>
      <c r="F1556" s="52"/>
      <c r="G1556" s="52"/>
      <c r="H1556" s="52"/>
      <c r="I1556" s="52"/>
      <c r="J1556" s="52"/>
      <c r="K1556" s="52"/>
      <c r="L1556" s="52"/>
      <c r="M1556" s="53"/>
      <c r="T1556" s="13"/>
    </row>
    <row r="1557" spans="1:20" ht="81" customHeight="1">
      <c r="A1557" s="51" t="s">
        <v>153</v>
      </c>
      <c r="B1557" s="52"/>
      <c r="C1557" s="52"/>
      <c r="D1557" s="52"/>
      <c r="E1557" s="52"/>
      <c r="F1557" s="52"/>
      <c r="G1557" s="52"/>
      <c r="H1557" s="52"/>
      <c r="I1557" s="52"/>
      <c r="J1557" s="52"/>
      <c r="K1557" s="52"/>
      <c r="L1557" s="52"/>
      <c r="M1557" s="53"/>
      <c r="T1557" s="13"/>
    </row>
    <row r="1558" spans="1:20" ht="100.5" customHeight="1">
      <c r="A1558" s="51" t="s">
        <v>72</v>
      </c>
      <c r="B1558" s="52"/>
      <c r="C1558" s="52"/>
      <c r="D1558" s="52"/>
      <c r="E1558" s="52"/>
      <c r="F1558" s="52"/>
      <c r="G1558" s="52"/>
      <c r="H1558" s="52"/>
      <c r="I1558" s="52"/>
      <c r="J1558" s="52"/>
      <c r="K1558" s="52"/>
      <c r="L1558" s="52"/>
      <c r="M1558" s="53"/>
      <c r="T1558" s="13"/>
    </row>
    <row r="1559" spans="1:20" ht="12" customHeight="1">
      <c r="A1559" s="41" t="s">
        <v>73</v>
      </c>
      <c r="B1559" s="41"/>
      <c r="C1559" s="42"/>
      <c r="D1559" s="42"/>
      <c r="E1559" s="42"/>
      <c r="F1559" s="42"/>
      <c r="G1559" s="42"/>
      <c r="H1559" s="42"/>
      <c r="I1559" s="42"/>
      <c r="J1559" s="42"/>
      <c r="K1559" s="42"/>
      <c r="L1559" s="42"/>
      <c r="M1559" s="38"/>
      <c r="T1559" s="13"/>
    </row>
    <row r="1560" spans="1:20" ht="12" customHeight="1">
      <c r="A1560" s="43" t="s">
        <v>74</v>
      </c>
      <c r="B1560" s="43"/>
      <c r="C1560" s="40"/>
      <c r="D1560" s="40"/>
      <c r="E1560" s="40"/>
      <c r="F1560" s="40"/>
      <c r="G1560" s="40"/>
      <c r="H1560" s="40"/>
      <c r="I1560" s="40"/>
      <c r="J1560" s="40"/>
      <c r="K1560" s="40"/>
      <c r="L1560" s="38"/>
      <c r="M1560" s="38"/>
      <c r="T1560" s="13"/>
    </row>
    <row r="1561" spans="1:20" ht="12" customHeight="1">
      <c r="A1561" s="44" t="s">
        <v>75</v>
      </c>
      <c r="B1561" s="44"/>
      <c r="C1561" s="44"/>
      <c r="D1561" s="44"/>
      <c r="E1561" s="44"/>
      <c r="F1561" s="44"/>
      <c r="G1561" s="44"/>
      <c r="H1561" s="44"/>
      <c r="I1561" s="44"/>
      <c r="J1561" s="44"/>
      <c r="K1561" s="44"/>
      <c r="L1561" s="44"/>
      <c r="M1561" s="44"/>
      <c r="T1561" s="13"/>
    </row>
    <row r="1562" spans="1:20" ht="12" customHeight="1">
      <c r="A1562" s="39" t="s">
        <v>76</v>
      </c>
      <c r="B1562" s="39"/>
      <c r="C1562" s="39"/>
      <c r="D1562" s="39"/>
      <c r="E1562" s="39"/>
      <c r="F1562" s="39"/>
      <c r="G1562" s="39"/>
      <c r="H1562" s="39"/>
      <c r="I1562" s="39"/>
      <c r="J1562" s="39"/>
      <c r="K1562" s="39"/>
      <c r="L1562" s="39"/>
      <c r="M1562" s="39"/>
      <c r="T1562" s="13"/>
    </row>
    <row r="1563" spans="1:20" ht="12" customHeight="1">
      <c r="A1563" s="39" t="s">
        <v>77</v>
      </c>
      <c r="B1563" s="40"/>
      <c r="C1563" s="40"/>
      <c r="D1563" s="40"/>
      <c r="E1563" s="40"/>
      <c r="F1563" s="40"/>
      <c r="G1563" s="40"/>
      <c r="H1563" s="40"/>
      <c r="I1563" s="40"/>
      <c r="J1563" s="40"/>
      <c r="K1563" s="40"/>
      <c r="L1563" s="40"/>
      <c r="M1563" s="40"/>
      <c r="T1563" s="13"/>
    </row>
    <row r="1564" spans="1:20" ht="12" customHeight="1">
      <c r="A1564" s="45" t="s">
        <v>78</v>
      </c>
      <c r="B1564" s="40"/>
      <c r="C1564" s="40"/>
      <c r="D1564" s="40"/>
      <c r="E1564" s="40"/>
      <c r="F1564" s="40"/>
      <c r="G1564" s="40"/>
      <c r="H1564" s="40"/>
      <c r="I1564" s="40"/>
      <c r="J1564" s="40"/>
      <c r="K1564" s="40"/>
      <c r="L1564" s="40"/>
      <c r="M1564" s="40"/>
      <c r="T1564" s="13"/>
    </row>
    <row r="1565" spans="1:20" ht="12" customHeight="1">
      <c r="A1565" s="39" t="s">
        <v>79</v>
      </c>
      <c r="B1565" s="40"/>
      <c r="C1565" s="40"/>
      <c r="D1565" s="40"/>
      <c r="E1565" s="40"/>
      <c r="F1565" s="40"/>
      <c r="G1565" s="40"/>
      <c r="H1565" s="40"/>
      <c r="I1565" s="40"/>
      <c r="J1565" s="40"/>
      <c r="K1565" s="40"/>
      <c r="L1565" s="40"/>
      <c r="M1565" s="40"/>
      <c r="T1565" s="13"/>
    </row>
    <row r="1566" spans="1:20" ht="409.5" customHeight="1"/>
    <row r="1567" spans="1:20" s="2" customFormat="1" ht="35.1" customHeight="1">
      <c r="A1567" s="126" t="s">
        <v>0</v>
      </c>
      <c r="B1567" s="126"/>
      <c r="C1567" s="1">
        <f>C1509+1</f>
        <v>32</v>
      </c>
      <c r="G1567" s="3"/>
    </row>
    <row r="1568" spans="1:20" s="2" customFormat="1" ht="35.1" customHeight="1">
      <c r="A1568" s="126" t="s">
        <v>1</v>
      </c>
      <c r="B1568" s="126"/>
      <c r="C1568" s="2" t="s">
        <v>2</v>
      </c>
      <c r="D1568" s="2" t="s">
        <v>139</v>
      </c>
      <c r="E1568" s="2" t="s">
        <v>3</v>
      </c>
      <c r="F1568" s="2" t="s">
        <v>154</v>
      </c>
      <c r="G1568" s="3"/>
      <c r="H1568" s="127" t="s">
        <v>4</v>
      </c>
      <c r="I1568" s="128"/>
      <c r="J1568" s="129">
        <f>J1510+1</f>
        <v>46019</v>
      </c>
      <c r="K1568" s="130"/>
      <c r="L1568" s="131">
        <f>J1568</f>
        <v>46019</v>
      </c>
      <c r="M1568" s="132"/>
    </row>
    <row r="1569" spans="1:20" s="2" customFormat="1" ht="30" customHeight="1">
      <c r="A1569" s="72" t="s">
        <v>5</v>
      </c>
      <c r="B1569" s="114"/>
      <c r="C1569" s="119" t="s">
        <v>83</v>
      </c>
      <c r="D1569" s="119"/>
      <c r="E1569" s="119"/>
      <c r="F1569" s="119"/>
      <c r="G1569" s="119"/>
      <c r="H1569" s="54" t="s">
        <v>6</v>
      </c>
      <c r="I1569" s="59"/>
      <c r="J1569" s="120"/>
      <c r="K1569" s="120"/>
      <c r="L1569" s="120"/>
      <c r="M1569" s="120"/>
    </row>
    <row r="1570" spans="1:20" s="1" customFormat="1" ht="30" customHeight="1">
      <c r="A1570" s="72" t="s">
        <v>7</v>
      </c>
      <c r="B1570" s="114"/>
      <c r="C1570" s="4">
        <v>50</v>
      </c>
      <c r="D1570" s="4" t="s">
        <v>8</v>
      </c>
      <c r="E1570" s="4" t="s">
        <v>9</v>
      </c>
      <c r="F1570" s="4">
        <f>F1512+1</f>
        <v>32</v>
      </c>
      <c r="G1570" s="5" t="s">
        <v>8</v>
      </c>
      <c r="H1570" s="4" t="s">
        <v>10</v>
      </c>
      <c r="I1570" s="4">
        <f>C1570-F1570+L1570</f>
        <v>18</v>
      </c>
      <c r="J1570" s="4" t="s">
        <v>11</v>
      </c>
      <c r="K1570" s="6" t="s">
        <v>12</v>
      </c>
      <c r="L1570" s="7">
        <f>L1512</f>
        <v>0</v>
      </c>
      <c r="M1570" s="4" t="s">
        <v>8</v>
      </c>
    </row>
    <row r="1571" spans="1:20" s="2" customFormat="1" ht="30" customHeight="1">
      <c r="A1571" s="72" t="s">
        <v>13</v>
      </c>
      <c r="B1571" s="75"/>
      <c r="C1571" s="75"/>
      <c r="D1571" s="121">
        <f>D1513</f>
        <v>45988</v>
      </c>
      <c r="E1571" s="122"/>
      <c r="F1571" s="122"/>
      <c r="G1571" s="123"/>
      <c r="H1571" s="124" t="s">
        <v>14</v>
      </c>
      <c r="I1571" s="125"/>
      <c r="J1571" s="121">
        <f>J1513</f>
        <v>46037</v>
      </c>
      <c r="K1571" s="122"/>
      <c r="L1571" s="122"/>
      <c r="M1571" s="123"/>
    </row>
    <row r="1572" spans="1:20" s="2" customFormat="1" ht="30" customHeight="1">
      <c r="A1572" s="72" t="s">
        <v>15</v>
      </c>
      <c r="B1572" s="114"/>
      <c r="C1572" s="114"/>
      <c r="D1572" s="72">
        <v>1.0149999999999999</v>
      </c>
      <c r="E1572" s="72"/>
      <c r="F1572" s="72"/>
      <c r="G1572" s="72"/>
      <c r="H1572" s="64" t="s">
        <v>16</v>
      </c>
      <c r="I1572" s="115"/>
      <c r="J1572" s="116">
        <f>P1588</f>
        <v>0</v>
      </c>
      <c r="K1572" s="117"/>
      <c r="L1572" s="117"/>
      <c r="M1572" s="118"/>
    </row>
    <row r="1573" spans="1:20" s="2" customFormat="1" ht="30" customHeight="1">
      <c r="A1573" s="72" t="s">
        <v>17</v>
      </c>
      <c r="B1573" s="114"/>
      <c r="C1573" s="114"/>
      <c r="D1573" s="72">
        <f>D1572+D1515</f>
        <v>22.393999999999998</v>
      </c>
      <c r="E1573" s="72"/>
      <c r="F1573" s="72"/>
      <c r="G1573" s="72"/>
      <c r="H1573" s="64" t="s">
        <v>18</v>
      </c>
      <c r="I1573" s="115"/>
      <c r="J1573" s="116">
        <f>J1572+J1515</f>
        <v>25.469999999999992</v>
      </c>
      <c r="K1573" s="117"/>
      <c r="L1573" s="117"/>
      <c r="M1573" s="118"/>
    </row>
    <row r="1574" spans="1:20" s="2" customFormat="1" ht="30" customHeight="1">
      <c r="A1574" s="111" t="s">
        <v>19</v>
      </c>
      <c r="B1574" s="112"/>
      <c r="C1574" s="112"/>
      <c r="D1574" s="112"/>
      <c r="E1574" s="112"/>
      <c r="F1574" s="112"/>
      <c r="G1574" s="112"/>
      <c r="H1574" s="112"/>
      <c r="I1574" s="112"/>
      <c r="J1574" s="112"/>
      <c r="K1574" s="112"/>
      <c r="L1574" s="112"/>
      <c r="M1574" s="113"/>
    </row>
    <row r="1575" spans="1:20" s="2" customFormat="1" ht="30" customHeight="1">
      <c r="A1575" s="8" t="s">
        <v>20</v>
      </c>
      <c r="B1575" s="72" t="s">
        <v>21</v>
      </c>
      <c r="C1575" s="72"/>
      <c r="D1575" s="72"/>
      <c r="E1575" s="4" t="s">
        <v>22</v>
      </c>
      <c r="F1575" s="54" t="s">
        <v>23</v>
      </c>
      <c r="G1575" s="59"/>
      <c r="H1575" s="72" t="s">
        <v>24</v>
      </c>
      <c r="I1575" s="72"/>
      <c r="J1575" s="72" t="s">
        <v>25</v>
      </c>
      <c r="K1575" s="72"/>
      <c r="L1575" s="72" t="s">
        <v>26</v>
      </c>
      <c r="M1575" s="72"/>
      <c r="O1575" s="1" t="s">
        <v>27</v>
      </c>
      <c r="P1575" s="1" t="s">
        <v>28</v>
      </c>
      <c r="T1575" s="2" t="s">
        <v>29</v>
      </c>
    </row>
    <row r="1576" spans="1:20" s="2" customFormat="1" ht="24.95" customHeight="1">
      <c r="A1576" s="9" t="s">
        <v>30</v>
      </c>
      <c r="B1576" s="110" t="s">
        <v>31</v>
      </c>
      <c r="C1576" s="110"/>
      <c r="D1576" s="110"/>
      <c r="E1576" s="4"/>
      <c r="F1576" s="54"/>
      <c r="G1576" s="59"/>
      <c r="H1576" s="72"/>
      <c r="I1576" s="72"/>
      <c r="J1576" s="72"/>
      <c r="K1576" s="72"/>
      <c r="L1576" s="72"/>
      <c r="M1576" s="72"/>
    </row>
    <row r="1577" spans="1:20" ht="24.95" customHeight="1">
      <c r="A1577" s="10">
        <v>1</v>
      </c>
      <c r="B1577" s="66" t="s">
        <v>91</v>
      </c>
      <c r="C1577" s="67" t="s">
        <v>91</v>
      </c>
      <c r="D1577" s="68" t="s">
        <v>91</v>
      </c>
      <c r="E1577" s="4" t="s">
        <v>32</v>
      </c>
      <c r="F1577" s="69">
        <v>1</v>
      </c>
      <c r="G1577" s="70"/>
      <c r="H1577" s="69"/>
      <c r="I1577" s="70"/>
      <c r="J1577" s="71">
        <f>H1577+J1519</f>
        <v>1</v>
      </c>
      <c r="K1577" s="71"/>
      <c r="L1577" s="72"/>
      <c r="M1577" s="72"/>
      <c r="O1577" s="11">
        <v>4000</v>
      </c>
      <c r="P1577" s="11">
        <f>ROUND(H1577*O1577,0)</f>
        <v>0</v>
      </c>
      <c r="Q1577" s="12"/>
      <c r="S1577" s="11">
        <f>ROUND(J1577*O1577,0)</f>
        <v>4000</v>
      </c>
      <c r="T1577" s="13">
        <f>F1577-J1577</f>
        <v>0</v>
      </c>
    </row>
    <row r="1578" spans="1:20" ht="24.95" customHeight="1">
      <c r="A1578" s="10">
        <v>2</v>
      </c>
      <c r="B1578" s="66" t="s">
        <v>92</v>
      </c>
      <c r="C1578" s="67" t="s">
        <v>92</v>
      </c>
      <c r="D1578" s="68" t="s">
        <v>92</v>
      </c>
      <c r="E1578" s="4" t="s">
        <v>32</v>
      </c>
      <c r="F1578" s="69">
        <v>1</v>
      </c>
      <c r="G1578" s="70"/>
      <c r="H1578" s="69"/>
      <c r="I1578" s="70"/>
      <c r="J1578" s="71">
        <f t="shared" ref="J1578:J1585" si="185">H1578+J1520</f>
        <v>1</v>
      </c>
      <c r="K1578" s="71"/>
      <c r="L1578" s="72"/>
      <c r="M1578" s="72"/>
      <c r="O1578" s="11">
        <v>14334</v>
      </c>
      <c r="P1578" s="11">
        <f t="shared" ref="P1578:P1585" si="186">ROUND(H1578*O1578,0)</f>
        <v>0</v>
      </c>
      <c r="Q1578" s="12"/>
      <c r="S1578" s="11">
        <f t="shared" ref="S1578:S1585" si="187">ROUND(J1578*O1578,0)</f>
        <v>14334</v>
      </c>
      <c r="T1578" s="13">
        <f t="shared" ref="T1578:T1585" si="188">F1578-J1578</f>
        <v>0</v>
      </c>
    </row>
    <row r="1579" spans="1:20" ht="24.95" customHeight="1">
      <c r="A1579" s="10">
        <v>3</v>
      </c>
      <c r="B1579" s="66" t="s">
        <v>84</v>
      </c>
      <c r="C1579" s="67" t="s">
        <v>84</v>
      </c>
      <c r="D1579" s="68" t="s">
        <v>84</v>
      </c>
      <c r="E1579" s="4" t="s">
        <v>33</v>
      </c>
      <c r="F1579" s="69">
        <v>1</v>
      </c>
      <c r="G1579" s="70"/>
      <c r="H1579" s="69"/>
      <c r="I1579" s="70"/>
      <c r="J1579" s="71">
        <f t="shared" si="185"/>
        <v>0.5</v>
      </c>
      <c r="K1579" s="71"/>
      <c r="L1579" s="72"/>
      <c r="M1579" s="72"/>
      <c r="O1579" s="11">
        <v>7000</v>
      </c>
      <c r="P1579" s="11">
        <f t="shared" si="186"/>
        <v>0</v>
      </c>
      <c r="Q1579" s="12"/>
      <c r="S1579" s="11">
        <f t="shared" si="187"/>
        <v>3500</v>
      </c>
      <c r="T1579" s="13">
        <f t="shared" si="188"/>
        <v>0.5</v>
      </c>
    </row>
    <row r="1580" spans="1:20" ht="24.95" customHeight="1">
      <c r="A1580" s="10">
        <v>4</v>
      </c>
      <c r="B1580" s="66" t="s">
        <v>85</v>
      </c>
      <c r="C1580" s="67" t="s">
        <v>85</v>
      </c>
      <c r="D1580" s="68" t="s">
        <v>85</v>
      </c>
      <c r="E1580" s="4" t="s">
        <v>34</v>
      </c>
      <c r="F1580" s="69">
        <v>1</v>
      </c>
      <c r="G1580" s="70"/>
      <c r="H1580" s="69"/>
      <c r="I1580" s="70"/>
      <c r="J1580" s="71">
        <f t="shared" si="185"/>
        <v>1</v>
      </c>
      <c r="K1580" s="71"/>
      <c r="L1580" s="72"/>
      <c r="M1580" s="72"/>
      <c r="O1580" s="11">
        <v>74000</v>
      </c>
      <c r="P1580" s="11">
        <f t="shared" si="186"/>
        <v>0</v>
      </c>
      <c r="Q1580" s="12"/>
      <c r="S1580" s="11">
        <f t="shared" si="187"/>
        <v>74000</v>
      </c>
      <c r="T1580" s="13">
        <f t="shared" si="188"/>
        <v>0</v>
      </c>
    </row>
    <row r="1581" spans="1:20" ht="24.95" customHeight="1">
      <c r="A1581" s="10">
        <v>5</v>
      </c>
      <c r="B1581" s="66" t="s">
        <v>86</v>
      </c>
      <c r="C1581" s="67" t="s">
        <v>86</v>
      </c>
      <c r="D1581" s="68" t="s">
        <v>86</v>
      </c>
      <c r="E1581" s="4" t="s">
        <v>93</v>
      </c>
      <c r="F1581" s="69">
        <v>396</v>
      </c>
      <c r="G1581" s="70"/>
      <c r="H1581" s="69"/>
      <c r="I1581" s="70"/>
      <c r="J1581" s="71">
        <f t="shared" si="185"/>
        <v>350</v>
      </c>
      <c r="K1581" s="71"/>
      <c r="L1581" s="72"/>
      <c r="M1581" s="72"/>
      <c r="O1581" s="11">
        <v>200</v>
      </c>
      <c r="P1581" s="11">
        <f t="shared" si="186"/>
        <v>0</v>
      </c>
      <c r="Q1581" s="12"/>
      <c r="S1581" s="11">
        <f t="shared" si="187"/>
        <v>70000</v>
      </c>
      <c r="T1581" s="13">
        <f t="shared" si="188"/>
        <v>46</v>
      </c>
    </row>
    <row r="1582" spans="1:20" ht="24.95" customHeight="1">
      <c r="A1582" s="10">
        <v>6</v>
      </c>
      <c r="B1582" s="66" t="s">
        <v>97</v>
      </c>
      <c r="C1582" s="67" t="s">
        <v>87</v>
      </c>
      <c r="D1582" s="68" t="s">
        <v>87</v>
      </c>
      <c r="E1582" s="4" t="s">
        <v>35</v>
      </c>
      <c r="F1582" s="69">
        <v>80</v>
      </c>
      <c r="G1582" s="70">
        <v>183.6</v>
      </c>
      <c r="H1582" s="69"/>
      <c r="I1582" s="70"/>
      <c r="J1582" s="71">
        <f t="shared" si="185"/>
        <v>78</v>
      </c>
      <c r="K1582" s="71"/>
      <c r="L1582" s="54"/>
      <c r="M1582" s="59"/>
      <c r="O1582" s="11">
        <v>1463</v>
      </c>
      <c r="P1582" s="11">
        <f t="shared" si="186"/>
        <v>0</v>
      </c>
      <c r="S1582" s="11">
        <f t="shared" si="187"/>
        <v>114114</v>
      </c>
      <c r="T1582" s="13">
        <f t="shared" si="188"/>
        <v>2</v>
      </c>
    </row>
    <row r="1583" spans="1:20" ht="24.95" customHeight="1">
      <c r="A1583" s="10">
        <v>7</v>
      </c>
      <c r="B1583" s="66" t="s">
        <v>88</v>
      </c>
      <c r="C1583" s="67" t="s">
        <v>88</v>
      </c>
      <c r="D1583" s="68" t="s">
        <v>88</v>
      </c>
      <c r="E1583" s="4" t="s">
        <v>94</v>
      </c>
      <c r="F1583" s="69">
        <v>126</v>
      </c>
      <c r="G1583" s="70">
        <v>19</v>
      </c>
      <c r="H1583" s="69"/>
      <c r="I1583" s="70"/>
      <c r="J1583" s="71">
        <f t="shared" si="185"/>
        <v>0</v>
      </c>
      <c r="K1583" s="71"/>
      <c r="L1583" s="54"/>
      <c r="M1583" s="59"/>
      <c r="O1583" s="11">
        <v>6350</v>
      </c>
      <c r="P1583" s="11">
        <f t="shared" si="186"/>
        <v>0</v>
      </c>
      <c r="S1583" s="11">
        <f t="shared" si="187"/>
        <v>0</v>
      </c>
      <c r="T1583" s="13">
        <f t="shared" si="188"/>
        <v>126</v>
      </c>
    </row>
    <row r="1584" spans="1:20" ht="24.95" customHeight="1">
      <c r="A1584" s="10">
        <v>8</v>
      </c>
      <c r="B1584" s="66" t="s">
        <v>89</v>
      </c>
      <c r="C1584" s="67" t="s">
        <v>89</v>
      </c>
      <c r="D1584" s="68" t="s">
        <v>89</v>
      </c>
      <c r="E1584" s="4" t="s">
        <v>95</v>
      </c>
      <c r="F1584" s="69">
        <v>1</v>
      </c>
      <c r="G1584" s="70">
        <v>1192</v>
      </c>
      <c r="H1584" s="69"/>
      <c r="I1584" s="70"/>
      <c r="J1584" s="71">
        <f t="shared" si="185"/>
        <v>0.3</v>
      </c>
      <c r="K1584" s="71"/>
      <c r="L1584" s="54"/>
      <c r="M1584" s="59"/>
      <c r="O1584" s="11">
        <v>47600</v>
      </c>
      <c r="P1584" s="11">
        <f t="shared" si="186"/>
        <v>0</v>
      </c>
      <c r="S1584" s="11">
        <f t="shared" si="187"/>
        <v>14280</v>
      </c>
      <c r="T1584" s="13">
        <f t="shared" si="188"/>
        <v>0.7</v>
      </c>
    </row>
    <row r="1585" spans="1:20" ht="24.95" customHeight="1">
      <c r="A1585" s="10">
        <v>9</v>
      </c>
      <c r="B1585" s="66" t="s">
        <v>90</v>
      </c>
      <c r="C1585" s="67" t="s">
        <v>90</v>
      </c>
      <c r="D1585" s="68" t="s">
        <v>90</v>
      </c>
      <c r="E1585" s="4" t="s">
        <v>96</v>
      </c>
      <c r="F1585" s="69">
        <v>1</v>
      </c>
      <c r="G1585" s="70">
        <v>1261</v>
      </c>
      <c r="H1585" s="69"/>
      <c r="I1585" s="70"/>
      <c r="J1585" s="71">
        <f t="shared" si="185"/>
        <v>0</v>
      </c>
      <c r="K1585" s="71"/>
      <c r="L1585" s="54"/>
      <c r="M1585" s="59"/>
      <c r="O1585" s="11">
        <v>10000</v>
      </c>
      <c r="P1585" s="11">
        <f t="shared" si="186"/>
        <v>0</v>
      </c>
      <c r="S1585" s="11">
        <f t="shared" si="187"/>
        <v>0</v>
      </c>
      <c r="T1585" s="13">
        <f t="shared" si="188"/>
        <v>1</v>
      </c>
    </row>
    <row r="1586" spans="1:20" ht="24.95" customHeight="1">
      <c r="A1586" s="14"/>
      <c r="B1586" s="15"/>
      <c r="C1586" s="16"/>
      <c r="D1586" s="17"/>
      <c r="E1586" s="4"/>
      <c r="F1586" s="18"/>
      <c r="G1586" s="19"/>
      <c r="H1586" s="105"/>
      <c r="I1586" s="106"/>
      <c r="J1586" s="105"/>
      <c r="K1586" s="106"/>
      <c r="L1586" s="54"/>
      <c r="M1586" s="59"/>
      <c r="N1586" s="20"/>
      <c r="P1586" s="21" t="s">
        <v>37</v>
      </c>
      <c r="Q1586" s="22">
        <f>SUM(P1577:P1585)</f>
        <v>0</v>
      </c>
      <c r="R1586" s="23"/>
      <c r="S1586" s="24">
        <f>SUM(S1577:S1585)</f>
        <v>294228</v>
      </c>
      <c r="T1586" s="13"/>
    </row>
    <row r="1587" spans="1:20" ht="24.95" customHeight="1">
      <c r="A1587" s="107"/>
      <c r="B1587" s="108"/>
      <c r="C1587" s="108"/>
      <c r="D1587" s="109"/>
      <c r="E1587" s="4"/>
      <c r="F1587" s="54"/>
      <c r="G1587" s="59"/>
      <c r="H1587" s="72"/>
      <c r="I1587" s="72"/>
      <c r="J1587" s="72"/>
      <c r="K1587" s="72"/>
      <c r="L1587" s="72"/>
      <c r="M1587" s="72"/>
      <c r="O1587" t="s">
        <v>38</v>
      </c>
      <c r="P1587" s="24">
        <f>Q1586</f>
        <v>0</v>
      </c>
      <c r="T1587" s="13"/>
    </row>
    <row r="1588" spans="1:20" ht="24.95" customHeight="1">
      <c r="A1588" s="97"/>
      <c r="B1588" s="98"/>
      <c r="C1588" s="98"/>
      <c r="D1588" s="99"/>
      <c r="E1588" s="4"/>
      <c r="F1588" s="54"/>
      <c r="G1588" s="59"/>
      <c r="H1588" s="72"/>
      <c r="I1588" s="72"/>
      <c r="J1588" s="72"/>
      <c r="K1588" s="72"/>
      <c r="L1588" s="72"/>
      <c r="M1588" s="72"/>
      <c r="O1588" t="s">
        <v>39</v>
      </c>
      <c r="P1588" s="23">
        <f>ROUND(P1587/1153274,4)*100</f>
        <v>0</v>
      </c>
      <c r="T1588" s="13"/>
    </row>
    <row r="1589" spans="1:20" ht="24.95" customHeight="1">
      <c r="A1589" s="25"/>
      <c r="B1589" s="63" t="s">
        <v>40</v>
      </c>
      <c r="C1589" s="63"/>
      <c r="D1589" s="59"/>
      <c r="E1589" s="26"/>
      <c r="F1589" s="100"/>
      <c r="G1589" s="101"/>
      <c r="H1589" s="100"/>
      <c r="I1589" s="101"/>
      <c r="J1589" s="102"/>
      <c r="K1589" s="102"/>
      <c r="L1589" s="103">
        <f>P1587</f>
        <v>0</v>
      </c>
      <c r="M1589" s="104"/>
      <c r="T1589" s="13"/>
    </row>
    <row r="1590" spans="1:20" ht="24.95" customHeight="1" thickBot="1">
      <c r="A1590" s="27"/>
      <c r="B1590" s="85" t="s">
        <v>41</v>
      </c>
      <c r="C1590" s="85"/>
      <c r="D1590" s="86"/>
      <c r="E1590" s="28"/>
      <c r="F1590" s="87"/>
      <c r="G1590" s="88"/>
      <c r="H1590" s="87"/>
      <c r="I1590" s="88"/>
      <c r="J1590" s="87"/>
      <c r="K1590" s="88"/>
      <c r="L1590" s="89">
        <f>L1589+L1532</f>
        <v>294228</v>
      </c>
      <c r="M1590" s="90"/>
      <c r="T1590" s="13"/>
    </row>
    <row r="1591" spans="1:20" ht="24.95" customHeight="1">
      <c r="A1591" s="29"/>
      <c r="B1591" s="91" t="s">
        <v>42</v>
      </c>
      <c r="C1591" s="91"/>
      <c r="D1591" s="92"/>
      <c r="E1591" s="30"/>
      <c r="F1591" s="93"/>
      <c r="G1591" s="94"/>
      <c r="H1591" s="95"/>
      <c r="I1591" s="95"/>
      <c r="J1591" s="95"/>
      <c r="K1591" s="95"/>
      <c r="L1591" s="95"/>
      <c r="M1591" s="96"/>
      <c r="T1591" s="13"/>
    </row>
    <row r="1592" spans="1:20" ht="24.95" customHeight="1">
      <c r="A1592" s="31"/>
      <c r="B1592" s="76" t="s">
        <v>43</v>
      </c>
      <c r="C1592" s="76"/>
      <c r="D1592" s="77"/>
      <c r="E1592" s="4"/>
      <c r="F1592" s="54"/>
      <c r="G1592" s="59"/>
      <c r="H1592" s="72"/>
      <c r="I1592" s="72"/>
      <c r="J1592" s="72"/>
      <c r="K1592" s="72"/>
      <c r="L1592" s="72"/>
      <c r="M1592" s="78"/>
      <c r="T1592" s="13"/>
    </row>
    <row r="1593" spans="1:20" ht="24.95" customHeight="1" thickBot="1">
      <c r="A1593" s="32"/>
      <c r="B1593" s="79" t="s">
        <v>44</v>
      </c>
      <c r="C1593" s="79"/>
      <c r="D1593" s="80"/>
      <c r="E1593" s="33"/>
      <c r="F1593" s="81"/>
      <c r="G1593" s="82"/>
      <c r="H1593" s="83"/>
      <c r="I1593" s="83"/>
      <c r="J1593" s="83"/>
      <c r="K1593" s="83"/>
      <c r="L1593" s="83"/>
      <c r="M1593" s="84"/>
      <c r="T1593" s="13"/>
    </row>
    <row r="1594" spans="1:20" ht="24.95" customHeight="1">
      <c r="A1594" s="73" t="s">
        <v>45</v>
      </c>
      <c r="B1594" s="74"/>
      <c r="C1594" s="74"/>
      <c r="D1594" s="74"/>
      <c r="E1594" s="74"/>
      <c r="F1594" s="74"/>
      <c r="G1594" s="74"/>
      <c r="H1594" s="74"/>
      <c r="I1594" s="74"/>
      <c r="J1594" s="74"/>
      <c r="K1594" s="74"/>
      <c r="L1594" s="74"/>
      <c r="M1594" s="74"/>
      <c r="T1594" s="13"/>
    </row>
    <row r="1595" spans="1:20" ht="24.95" customHeight="1">
      <c r="A1595" s="72" t="s">
        <v>46</v>
      </c>
      <c r="B1595" s="75"/>
      <c r="C1595" s="75"/>
      <c r="D1595" s="75"/>
      <c r="E1595" s="4" t="s">
        <v>22</v>
      </c>
      <c r="F1595" s="72" t="s">
        <v>47</v>
      </c>
      <c r="G1595" s="72"/>
      <c r="H1595" s="72" t="s">
        <v>48</v>
      </c>
      <c r="I1595" s="72"/>
      <c r="J1595" s="72" t="s">
        <v>49</v>
      </c>
      <c r="K1595" s="72"/>
      <c r="L1595" s="72" t="s">
        <v>50</v>
      </c>
      <c r="M1595" s="72"/>
      <c r="T1595" s="13"/>
    </row>
    <row r="1596" spans="1:20" ht="24.95" customHeight="1">
      <c r="A1596" s="10">
        <v>6</v>
      </c>
      <c r="B1596" s="66" t="s">
        <v>97</v>
      </c>
      <c r="C1596" s="67" t="s">
        <v>51</v>
      </c>
      <c r="D1596" s="68" t="s">
        <v>51</v>
      </c>
      <c r="E1596" s="4" t="s">
        <v>35</v>
      </c>
      <c r="F1596" s="69">
        <v>80</v>
      </c>
      <c r="G1596" s="70">
        <v>1261</v>
      </c>
      <c r="H1596" s="71">
        <f>H1582</f>
        <v>0</v>
      </c>
      <c r="I1596" s="71"/>
      <c r="J1596" s="71">
        <f>H1596+J1538</f>
        <v>78</v>
      </c>
      <c r="K1596" s="71"/>
      <c r="L1596" s="72"/>
      <c r="M1596" s="72"/>
      <c r="T1596" s="13"/>
    </row>
    <row r="1597" spans="1:20" ht="24.95" customHeight="1">
      <c r="A1597" s="10">
        <v>7</v>
      </c>
      <c r="B1597" s="66" t="s">
        <v>88</v>
      </c>
      <c r="C1597" s="67" t="s">
        <v>88</v>
      </c>
      <c r="D1597" s="68" t="s">
        <v>88</v>
      </c>
      <c r="E1597" s="4" t="s">
        <v>98</v>
      </c>
      <c r="F1597" s="69">
        <v>126</v>
      </c>
      <c r="G1597" s="70"/>
      <c r="H1597" s="71">
        <f>H1583</f>
        <v>0</v>
      </c>
      <c r="I1597" s="71"/>
      <c r="J1597" s="71">
        <f t="shared" ref="J1597:J1598" si="189">H1597+J1539</f>
        <v>0</v>
      </c>
      <c r="K1597" s="71"/>
      <c r="L1597" s="72"/>
      <c r="M1597" s="72"/>
      <c r="T1597" s="13"/>
    </row>
    <row r="1598" spans="1:20" ht="24.95" customHeight="1">
      <c r="A1598" s="10">
        <v>8</v>
      </c>
      <c r="B1598" s="66" t="s">
        <v>89</v>
      </c>
      <c r="C1598" s="67" t="s">
        <v>89</v>
      </c>
      <c r="D1598" s="68" t="s">
        <v>89</v>
      </c>
      <c r="E1598" s="4" t="s">
        <v>36</v>
      </c>
      <c r="F1598" s="69">
        <v>1</v>
      </c>
      <c r="G1598" s="70"/>
      <c r="H1598" s="71">
        <f>H1584</f>
        <v>0</v>
      </c>
      <c r="I1598" s="71"/>
      <c r="J1598" s="71">
        <f t="shared" si="189"/>
        <v>0.3</v>
      </c>
      <c r="K1598" s="71"/>
      <c r="L1598" s="72"/>
      <c r="M1598" s="72"/>
      <c r="T1598" s="13"/>
    </row>
    <row r="1599" spans="1:20" ht="24.95" customHeight="1">
      <c r="A1599" s="51" t="s">
        <v>52</v>
      </c>
      <c r="B1599" s="52"/>
      <c r="C1599" s="52"/>
      <c r="D1599" s="52"/>
      <c r="E1599" s="52"/>
      <c r="F1599" s="52"/>
      <c r="G1599" s="52"/>
      <c r="H1599" s="52"/>
      <c r="I1599" s="52"/>
      <c r="J1599" s="52"/>
      <c r="K1599" s="52"/>
      <c r="L1599" s="52"/>
      <c r="M1599" s="53"/>
      <c r="T1599" s="13"/>
    </row>
    <row r="1600" spans="1:20" ht="24.95" customHeight="1">
      <c r="A1600" s="54" t="s">
        <v>53</v>
      </c>
      <c r="B1600" s="63"/>
      <c r="C1600" s="63"/>
      <c r="D1600" s="59"/>
      <c r="E1600" s="4" t="s">
        <v>54</v>
      </c>
      <c r="F1600" s="54" t="s">
        <v>55</v>
      </c>
      <c r="G1600" s="59"/>
      <c r="H1600" s="54" t="s">
        <v>56</v>
      </c>
      <c r="I1600" s="59"/>
      <c r="J1600" s="54" t="s">
        <v>48</v>
      </c>
      <c r="K1600" s="59"/>
      <c r="L1600" s="64" t="s">
        <v>49</v>
      </c>
      <c r="M1600" s="65"/>
      <c r="T1600" s="13"/>
    </row>
    <row r="1601" spans="1:20" ht="24.95" customHeight="1">
      <c r="A1601" s="54" t="s">
        <v>57</v>
      </c>
      <c r="B1601" s="55"/>
      <c r="C1601" s="55"/>
      <c r="D1601" s="56"/>
      <c r="E1601" s="4"/>
      <c r="F1601" s="57">
        <f>E1601+F1543</f>
        <v>28</v>
      </c>
      <c r="G1601" s="58"/>
      <c r="H1601" s="54" t="s">
        <v>58</v>
      </c>
      <c r="I1601" s="59"/>
      <c r="J1601" s="54"/>
      <c r="K1601" s="59"/>
      <c r="L1601" s="57">
        <f>J1601+L1543</f>
        <v>15</v>
      </c>
      <c r="M1601" s="58"/>
      <c r="T1601" s="13"/>
    </row>
    <row r="1602" spans="1:20" ht="24.95" customHeight="1">
      <c r="A1602" s="54" t="s">
        <v>59</v>
      </c>
      <c r="B1602" s="55"/>
      <c r="C1602" s="55"/>
      <c r="D1602" s="56"/>
      <c r="E1602" s="4"/>
      <c r="F1602" s="57">
        <f t="shared" ref="F1602:F1604" si="190">E1602+F1544</f>
        <v>0</v>
      </c>
      <c r="G1602" s="58"/>
      <c r="H1602" s="54" t="s">
        <v>60</v>
      </c>
      <c r="I1602" s="59"/>
      <c r="J1602" s="54"/>
      <c r="K1602" s="59"/>
      <c r="L1602" s="57">
        <f t="shared" ref="L1602:L1604" si="191">J1602+L1544</f>
        <v>0</v>
      </c>
      <c r="M1602" s="58"/>
      <c r="T1602" s="13"/>
    </row>
    <row r="1603" spans="1:20" ht="24.95" customHeight="1">
      <c r="A1603" s="54" t="s">
        <v>61</v>
      </c>
      <c r="B1603" s="55"/>
      <c r="C1603" s="55"/>
      <c r="D1603" s="56"/>
      <c r="E1603" s="4"/>
      <c r="F1603" s="57">
        <f t="shared" si="190"/>
        <v>2</v>
      </c>
      <c r="G1603" s="58"/>
      <c r="H1603" s="54" t="s">
        <v>62</v>
      </c>
      <c r="I1603" s="59"/>
      <c r="J1603" s="54"/>
      <c r="K1603" s="59"/>
      <c r="L1603" s="57">
        <f t="shared" si="191"/>
        <v>5</v>
      </c>
      <c r="M1603" s="58"/>
      <c r="T1603" s="13"/>
    </row>
    <row r="1604" spans="1:20" ht="24.95" customHeight="1">
      <c r="A1604" s="54" t="s">
        <v>63</v>
      </c>
      <c r="B1604" s="55"/>
      <c r="C1604" s="55"/>
      <c r="D1604" s="56"/>
      <c r="E1604" s="4"/>
      <c r="F1604" s="57">
        <f t="shared" si="190"/>
        <v>4</v>
      </c>
      <c r="G1604" s="58"/>
      <c r="H1604" s="54" t="s">
        <v>64</v>
      </c>
      <c r="I1604" s="59"/>
      <c r="J1604" s="54"/>
      <c r="K1604" s="59"/>
      <c r="L1604" s="57">
        <f t="shared" si="191"/>
        <v>1</v>
      </c>
      <c r="M1604" s="58"/>
      <c r="T1604" s="13"/>
    </row>
    <row r="1605" spans="1:20" ht="64.5" customHeight="1">
      <c r="A1605" s="60" t="s">
        <v>65</v>
      </c>
      <c r="B1605" s="61"/>
      <c r="C1605" s="61"/>
      <c r="D1605" s="61"/>
      <c r="E1605" s="61"/>
      <c r="F1605" s="61"/>
      <c r="G1605" s="61"/>
      <c r="H1605" s="61"/>
      <c r="I1605" s="61"/>
      <c r="J1605" s="61"/>
      <c r="K1605" s="61"/>
      <c r="L1605" s="61"/>
      <c r="M1605" s="62"/>
      <c r="T1605" s="13"/>
    </row>
    <row r="1606" spans="1:20" ht="24.95" customHeight="1">
      <c r="A1606" s="46" t="s">
        <v>66</v>
      </c>
      <c r="B1606" s="47"/>
      <c r="C1606" s="47"/>
      <c r="D1606" s="47"/>
      <c r="E1606" s="47"/>
      <c r="F1606" s="47"/>
      <c r="G1606" s="47"/>
      <c r="H1606" s="47"/>
      <c r="I1606" s="47"/>
      <c r="J1606" s="47"/>
      <c r="K1606" s="47"/>
      <c r="L1606" s="47"/>
      <c r="M1606" s="48"/>
      <c r="T1606" s="13"/>
    </row>
    <row r="1607" spans="1:20" ht="24.95" customHeight="1">
      <c r="A1607" s="27"/>
      <c r="B1607" s="34" t="s">
        <v>67</v>
      </c>
      <c r="C1607" s="34"/>
      <c r="D1607" s="34"/>
      <c r="E1607" s="34"/>
      <c r="F1607" s="34"/>
      <c r="G1607" s="35"/>
      <c r="H1607" s="34"/>
      <c r="I1607" s="34"/>
      <c r="J1607" s="34"/>
      <c r="K1607" s="34"/>
      <c r="L1607" s="34"/>
      <c r="M1607" s="36"/>
      <c r="T1607" s="13"/>
    </row>
    <row r="1608" spans="1:20" ht="24.95" customHeight="1">
      <c r="A1608" s="27"/>
      <c r="B1608" s="34" t="s">
        <v>81</v>
      </c>
      <c r="C1608" s="34"/>
      <c r="D1608" s="34"/>
      <c r="E1608" s="34"/>
      <c r="F1608" s="34"/>
      <c r="G1608" s="35"/>
      <c r="H1608" s="34"/>
      <c r="I1608" s="34"/>
      <c r="J1608" s="34"/>
      <c r="K1608" s="34"/>
      <c r="L1608" s="34"/>
      <c r="M1608" s="36"/>
      <c r="T1608" s="13"/>
    </row>
    <row r="1609" spans="1:20" ht="24.95" customHeight="1">
      <c r="A1609" s="27"/>
      <c r="B1609" s="34" t="s">
        <v>68</v>
      </c>
      <c r="C1609" s="34"/>
      <c r="D1609" s="34"/>
      <c r="E1609" s="34"/>
      <c r="F1609" s="34"/>
      <c r="G1609" s="35"/>
      <c r="H1609" s="34"/>
      <c r="I1609" s="34"/>
      <c r="J1609" s="34"/>
      <c r="K1609" s="34"/>
      <c r="L1609" s="34"/>
      <c r="M1609" s="36"/>
      <c r="T1609" s="13"/>
    </row>
    <row r="1610" spans="1:20" ht="24.95" customHeight="1">
      <c r="A1610" s="27"/>
      <c r="B1610" s="34" t="s">
        <v>82</v>
      </c>
      <c r="C1610" s="34"/>
      <c r="D1610" s="34"/>
      <c r="E1610" s="34"/>
      <c r="F1610" s="34"/>
      <c r="G1610" s="35"/>
      <c r="H1610" s="34"/>
      <c r="I1610" s="34"/>
      <c r="J1610" s="34"/>
      <c r="K1610" s="34"/>
      <c r="L1610" s="34"/>
      <c r="M1610" s="36"/>
      <c r="T1610" s="13"/>
    </row>
    <row r="1611" spans="1:20" ht="24.95" customHeight="1">
      <c r="A1611" s="27"/>
      <c r="B1611" s="34" t="s">
        <v>99</v>
      </c>
      <c r="C1611" s="34"/>
      <c r="D1611" s="34"/>
      <c r="E1611" s="34"/>
      <c r="F1611" s="34"/>
      <c r="G1611" s="35"/>
      <c r="H1611" s="34"/>
      <c r="I1611" s="34"/>
      <c r="J1611" s="34"/>
      <c r="K1611" s="34"/>
      <c r="L1611" s="34"/>
      <c r="M1611" s="36"/>
      <c r="T1611" s="13"/>
    </row>
    <row r="1612" spans="1:20" ht="24.95" customHeight="1">
      <c r="A1612" s="37"/>
      <c r="B1612" s="49" t="s">
        <v>69</v>
      </c>
      <c r="C1612" s="49"/>
      <c r="D1612" s="49"/>
      <c r="E1612" s="49"/>
      <c r="F1612" s="49"/>
      <c r="G1612" s="49"/>
      <c r="H1612" s="49"/>
      <c r="I1612" s="49"/>
      <c r="J1612" s="49"/>
      <c r="K1612" s="49"/>
      <c r="L1612" s="49"/>
      <c r="M1612" s="50"/>
      <c r="T1612" s="13"/>
    </row>
    <row r="1613" spans="1:20" ht="44.25" customHeight="1">
      <c r="A1613" s="51" t="s">
        <v>70</v>
      </c>
      <c r="B1613" s="52"/>
      <c r="C1613" s="52"/>
      <c r="D1613" s="52"/>
      <c r="E1613" s="52"/>
      <c r="F1613" s="52"/>
      <c r="G1613" s="52"/>
      <c r="H1613" s="52"/>
      <c r="I1613" s="52"/>
      <c r="J1613" s="52"/>
      <c r="K1613" s="52"/>
      <c r="L1613" s="52"/>
      <c r="M1613" s="53"/>
      <c r="T1613" s="13"/>
    </row>
    <row r="1614" spans="1:20" ht="48" customHeight="1">
      <c r="A1614" s="51" t="s">
        <v>71</v>
      </c>
      <c r="B1614" s="52"/>
      <c r="C1614" s="52"/>
      <c r="D1614" s="52"/>
      <c r="E1614" s="52"/>
      <c r="F1614" s="52"/>
      <c r="G1614" s="52"/>
      <c r="H1614" s="52"/>
      <c r="I1614" s="52"/>
      <c r="J1614" s="52"/>
      <c r="K1614" s="52"/>
      <c r="L1614" s="52"/>
      <c r="M1614" s="53"/>
      <c r="T1614" s="13"/>
    </row>
    <row r="1615" spans="1:20" ht="81" customHeight="1">
      <c r="A1615" s="51" t="s">
        <v>141</v>
      </c>
      <c r="B1615" s="52"/>
      <c r="C1615" s="52"/>
      <c r="D1615" s="52"/>
      <c r="E1615" s="52"/>
      <c r="F1615" s="52"/>
      <c r="G1615" s="52"/>
      <c r="H1615" s="52"/>
      <c r="I1615" s="52"/>
      <c r="J1615" s="52"/>
      <c r="K1615" s="52"/>
      <c r="L1615" s="52"/>
      <c r="M1615" s="53"/>
      <c r="T1615" s="13"/>
    </row>
    <row r="1616" spans="1:20" ht="100.5" customHeight="1">
      <c r="A1616" s="51" t="s">
        <v>72</v>
      </c>
      <c r="B1616" s="52"/>
      <c r="C1616" s="52"/>
      <c r="D1616" s="52"/>
      <c r="E1616" s="52"/>
      <c r="F1616" s="52"/>
      <c r="G1616" s="52"/>
      <c r="H1616" s="52"/>
      <c r="I1616" s="52"/>
      <c r="J1616" s="52"/>
      <c r="K1616" s="52"/>
      <c r="L1616" s="52"/>
      <c r="M1616" s="53"/>
      <c r="T1616" s="13"/>
    </row>
    <row r="1617" spans="1:20" ht="12" customHeight="1">
      <c r="A1617" s="41" t="s">
        <v>73</v>
      </c>
      <c r="B1617" s="41"/>
      <c r="C1617" s="42"/>
      <c r="D1617" s="42"/>
      <c r="E1617" s="42"/>
      <c r="F1617" s="42"/>
      <c r="G1617" s="42"/>
      <c r="H1617" s="42"/>
      <c r="I1617" s="42"/>
      <c r="J1617" s="42"/>
      <c r="K1617" s="42"/>
      <c r="L1617" s="42"/>
      <c r="M1617" s="38"/>
      <c r="T1617" s="13"/>
    </row>
    <row r="1618" spans="1:20" ht="12" customHeight="1">
      <c r="A1618" s="43" t="s">
        <v>74</v>
      </c>
      <c r="B1618" s="43"/>
      <c r="C1618" s="40"/>
      <c r="D1618" s="40"/>
      <c r="E1618" s="40"/>
      <c r="F1618" s="40"/>
      <c r="G1618" s="40"/>
      <c r="H1618" s="40"/>
      <c r="I1618" s="40"/>
      <c r="J1618" s="40"/>
      <c r="K1618" s="40"/>
      <c r="L1618" s="38"/>
      <c r="M1618" s="38"/>
      <c r="T1618" s="13"/>
    </row>
    <row r="1619" spans="1:20" ht="12" customHeight="1">
      <c r="A1619" s="44" t="s">
        <v>75</v>
      </c>
      <c r="B1619" s="44"/>
      <c r="C1619" s="44"/>
      <c r="D1619" s="44"/>
      <c r="E1619" s="44"/>
      <c r="F1619" s="44"/>
      <c r="G1619" s="44"/>
      <c r="H1619" s="44"/>
      <c r="I1619" s="44"/>
      <c r="J1619" s="44"/>
      <c r="K1619" s="44"/>
      <c r="L1619" s="44"/>
      <c r="M1619" s="44"/>
      <c r="T1619" s="13"/>
    </row>
    <row r="1620" spans="1:20" ht="12" customHeight="1">
      <c r="A1620" s="39" t="s">
        <v>76</v>
      </c>
      <c r="B1620" s="39"/>
      <c r="C1620" s="39"/>
      <c r="D1620" s="39"/>
      <c r="E1620" s="39"/>
      <c r="F1620" s="39"/>
      <c r="G1620" s="39"/>
      <c r="H1620" s="39"/>
      <c r="I1620" s="39"/>
      <c r="J1620" s="39"/>
      <c r="K1620" s="39"/>
      <c r="L1620" s="39"/>
      <c r="M1620" s="39"/>
      <c r="T1620" s="13"/>
    </row>
    <row r="1621" spans="1:20" ht="12" customHeight="1">
      <c r="A1621" s="39" t="s">
        <v>77</v>
      </c>
      <c r="B1621" s="40"/>
      <c r="C1621" s="40"/>
      <c r="D1621" s="40"/>
      <c r="E1621" s="40"/>
      <c r="F1621" s="40"/>
      <c r="G1621" s="40"/>
      <c r="H1621" s="40"/>
      <c r="I1621" s="40"/>
      <c r="J1621" s="40"/>
      <c r="K1621" s="40"/>
      <c r="L1621" s="40"/>
      <c r="M1621" s="40"/>
      <c r="T1621" s="13"/>
    </row>
    <row r="1622" spans="1:20" ht="12" customHeight="1">
      <c r="A1622" s="45" t="s">
        <v>78</v>
      </c>
      <c r="B1622" s="40"/>
      <c r="C1622" s="40"/>
      <c r="D1622" s="40"/>
      <c r="E1622" s="40"/>
      <c r="F1622" s="40"/>
      <c r="G1622" s="40"/>
      <c r="H1622" s="40"/>
      <c r="I1622" s="40"/>
      <c r="J1622" s="40"/>
      <c r="K1622" s="40"/>
      <c r="L1622" s="40"/>
      <c r="M1622" s="40"/>
      <c r="T1622" s="13"/>
    </row>
    <row r="1623" spans="1:20" ht="12" customHeight="1">
      <c r="A1623" s="39" t="s">
        <v>79</v>
      </c>
      <c r="B1623" s="40"/>
      <c r="C1623" s="40"/>
      <c r="D1623" s="40"/>
      <c r="E1623" s="40"/>
      <c r="F1623" s="40"/>
      <c r="G1623" s="40"/>
      <c r="H1623" s="40"/>
      <c r="I1623" s="40"/>
      <c r="J1623" s="40"/>
      <c r="K1623" s="40"/>
      <c r="L1623" s="40"/>
      <c r="M1623" s="40"/>
      <c r="T1623" s="13"/>
    </row>
    <row r="1624" spans="1:20" ht="409.5" customHeight="1"/>
    <row r="1625" spans="1:20" s="2" customFormat="1" ht="35.1" customHeight="1">
      <c r="A1625" s="126" t="s">
        <v>0</v>
      </c>
      <c r="B1625" s="126"/>
      <c r="C1625" s="1">
        <f>C1567+1</f>
        <v>33</v>
      </c>
      <c r="G1625" s="3"/>
    </row>
    <row r="1626" spans="1:20" s="2" customFormat="1" ht="35.1" customHeight="1">
      <c r="A1626" s="126" t="s">
        <v>1</v>
      </c>
      <c r="B1626" s="126"/>
      <c r="C1626" s="2" t="s">
        <v>2</v>
      </c>
      <c r="D1626" s="2" t="s">
        <v>137</v>
      </c>
      <c r="E1626" s="2" t="s">
        <v>3</v>
      </c>
      <c r="F1626" s="2" t="s">
        <v>154</v>
      </c>
      <c r="G1626" s="3"/>
      <c r="H1626" s="127" t="s">
        <v>4</v>
      </c>
      <c r="I1626" s="128"/>
      <c r="J1626" s="129">
        <f>J1568+1</f>
        <v>46020</v>
      </c>
      <c r="K1626" s="130"/>
      <c r="L1626" s="131">
        <f>J1626</f>
        <v>46020</v>
      </c>
      <c r="M1626" s="132"/>
    </row>
    <row r="1627" spans="1:20" s="2" customFormat="1" ht="30" customHeight="1">
      <c r="A1627" s="72" t="s">
        <v>5</v>
      </c>
      <c r="B1627" s="114"/>
      <c r="C1627" s="119" t="s">
        <v>83</v>
      </c>
      <c r="D1627" s="119"/>
      <c r="E1627" s="119"/>
      <c r="F1627" s="119"/>
      <c r="G1627" s="119"/>
      <c r="H1627" s="54" t="s">
        <v>6</v>
      </c>
      <c r="I1627" s="59"/>
      <c r="J1627" s="120"/>
      <c r="K1627" s="120"/>
      <c r="L1627" s="120"/>
      <c r="M1627" s="120"/>
    </row>
    <row r="1628" spans="1:20" s="1" customFormat="1" ht="30" customHeight="1">
      <c r="A1628" s="72" t="s">
        <v>7</v>
      </c>
      <c r="B1628" s="114"/>
      <c r="C1628" s="4">
        <v>50</v>
      </c>
      <c r="D1628" s="4" t="s">
        <v>8</v>
      </c>
      <c r="E1628" s="4" t="s">
        <v>9</v>
      </c>
      <c r="F1628" s="4">
        <f>F1570+1</f>
        <v>33</v>
      </c>
      <c r="G1628" s="5" t="s">
        <v>8</v>
      </c>
      <c r="H1628" s="4" t="s">
        <v>10</v>
      </c>
      <c r="I1628" s="4">
        <f>C1628-F1628+L1628</f>
        <v>17</v>
      </c>
      <c r="J1628" s="4" t="s">
        <v>11</v>
      </c>
      <c r="K1628" s="6" t="s">
        <v>12</v>
      </c>
      <c r="L1628" s="7">
        <f>L1570</f>
        <v>0</v>
      </c>
      <c r="M1628" s="4" t="s">
        <v>8</v>
      </c>
    </row>
    <row r="1629" spans="1:20" s="2" customFormat="1" ht="30" customHeight="1">
      <c r="A1629" s="72" t="s">
        <v>13</v>
      </c>
      <c r="B1629" s="75"/>
      <c r="C1629" s="75"/>
      <c r="D1629" s="121">
        <f>D1571</f>
        <v>45988</v>
      </c>
      <c r="E1629" s="122"/>
      <c r="F1629" s="122"/>
      <c r="G1629" s="123"/>
      <c r="H1629" s="124" t="s">
        <v>14</v>
      </c>
      <c r="I1629" s="125"/>
      <c r="J1629" s="121">
        <f>J1571</f>
        <v>46037</v>
      </c>
      <c r="K1629" s="122"/>
      <c r="L1629" s="122"/>
      <c r="M1629" s="123"/>
    </row>
    <row r="1630" spans="1:20" s="2" customFormat="1" ht="30" customHeight="1">
      <c r="A1630" s="72" t="s">
        <v>15</v>
      </c>
      <c r="B1630" s="114"/>
      <c r="C1630" s="114"/>
      <c r="D1630" s="72">
        <v>1.0149999999999999</v>
      </c>
      <c r="E1630" s="72"/>
      <c r="F1630" s="72"/>
      <c r="G1630" s="72"/>
      <c r="H1630" s="64" t="s">
        <v>16</v>
      </c>
      <c r="I1630" s="115"/>
      <c r="J1630" s="116">
        <f>P1646</f>
        <v>0</v>
      </c>
      <c r="K1630" s="117"/>
      <c r="L1630" s="117"/>
      <c r="M1630" s="118"/>
    </row>
    <row r="1631" spans="1:20" s="2" customFormat="1" ht="30" customHeight="1">
      <c r="A1631" s="72" t="s">
        <v>17</v>
      </c>
      <c r="B1631" s="114"/>
      <c r="C1631" s="114"/>
      <c r="D1631" s="72">
        <f>D1630+D1573</f>
        <v>23.408999999999999</v>
      </c>
      <c r="E1631" s="72"/>
      <c r="F1631" s="72"/>
      <c r="G1631" s="72"/>
      <c r="H1631" s="64" t="s">
        <v>18</v>
      </c>
      <c r="I1631" s="115"/>
      <c r="J1631" s="116">
        <f>J1630+J1573</f>
        <v>25.469999999999992</v>
      </c>
      <c r="K1631" s="117"/>
      <c r="L1631" s="117"/>
      <c r="M1631" s="118"/>
    </row>
    <row r="1632" spans="1:20" s="2" customFormat="1" ht="30" customHeight="1">
      <c r="A1632" s="111" t="s">
        <v>19</v>
      </c>
      <c r="B1632" s="112"/>
      <c r="C1632" s="112"/>
      <c r="D1632" s="112"/>
      <c r="E1632" s="112"/>
      <c r="F1632" s="112"/>
      <c r="G1632" s="112"/>
      <c r="H1632" s="112"/>
      <c r="I1632" s="112"/>
      <c r="J1632" s="112"/>
      <c r="K1632" s="112"/>
      <c r="L1632" s="112"/>
      <c r="M1632" s="113"/>
    </row>
    <row r="1633" spans="1:20" s="2" customFormat="1" ht="30" customHeight="1">
      <c r="A1633" s="8" t="s">
        <v>20</v>
      </c>
      <c r="B1633" s="72" t="s">
        <v>21</v>
      </c>
      <c r="C1633" s="72"/>
      <c r="D1633" s="72"/>
      <c r="E1633" s="4" t="s">
        <v>22</v>
      </c>
      <c r="F1633" s="54" t="s">
        <v>23</v>
      </c>
      <c r="G1633" s="59"/>
      <c r="H1633" s="72" t="s">
        <v>24</v>
      </c>
      <c r="I1633" s="72"/>
      <c r="J1633" s="72" t="s">
        <v>25</v>
      </c>
      <c r="K1633" s="72"/>
      <c r="L1633" s="72" t="s">
        <v>26</v>
      </c>
      <c r="M1633" s="72"/>
      <c r="O1633" s="1" t="s">
        <v>27</v>
      </c>
      <c r="P1633" s="1" t="s">
        <v>28</v>
      </c>
      <c r="T1633" s="2" t="s">
        <v>29</v>
      </c>
    </row>
    <row r="1634" spans="1:20" s="2" customFormat="1" ht="24.95" customHeight="1">
      <c r="A1634" s="9" t="s">
        <v>30</v>
      </c>
      <c r="B1634" s="110" t="s">
        <v>31</v>
      </c>
      <c r="C1634" s="110"/>
      <c r="D1634" s="110"/>
      <c r="E1634" s="4"/>
      <c r="F1634" s="54"/>
      <c r="G1634" s="59"/>
      <c r="H1634" s="72"/>
      <c r="I1634" s="72"/>
      <c r="J1634" s="72"/>
      <c r="K1634" s="72"/>
      <c r="L1634" s="72"/>
      <c r="M1634" s="72"/>
    </row>
    <row r="1635" spans="1:20" ht="24.95" customHeight="1">
      <c r="A1635" s="10">
        <v>1</v>
      </c>
      <c r="B1635" s="66" t="s">
        <v>91</v>
      </c>
      <c r="C1635" s="67" t="s">
        <v>91</v>
      </c>
      <c r="D1635" s="68" t="s">
        <v>91</v>
      </c>
      <c r="E1635" s="4" t="s">
        <v>32</v>
      </c>
      <c r="F1635" s="69">
        <v>1</v>
      </c>
      <c r="G1635" s="70"/>
      <c r="H1635" s="69"/>
      <c r="I1635" s="70"/>
      <c r="J1635" s="71">
        <f>H1635+J1577</f>
        <v>1</v>
      </c>
      <c r="K1635" s="71"/>
      <c r="L1635" s="72"/>
      <c r="M1635" s="72"/>
      <c r="O1635" s="11">
        <v>4000</v>
      </c>
      <c r="P1635" s="11">
        <f>ROUND(H1635*O1635,0)</f>
        <v>0</v>
      </c>
      <c r="Q1635" s="12"/>
      <c r="S1635" s="11">
        <f>ROUND(J1635*O1635,0)</f>
        <v>4000</v>
      </c>
      <c r="T1635" s="13">
        <f>F1635-J1635</f>
        <v>0</v>
      </c>
    </row>
    <row r="1636" spans="1:20" ht="24.95" customHeight="1">
      <c r="A1636" s="10">
        <v>2</v>
      </c>
      <c r="B1636" s="66" t="s">
        <v>92</v>
      </c>
      <c r="C1636" s="67" t="s">
        <v>92</v>
      </c>
      <c r="D1636" s="68" t="s">
        <v>92</v>
      </c>
      <c r="E1636" s="4" t="s">
        <v>32</v>
      </c>
      <c r="F1636" s="69">
        <v>1</v>
      </c>
      <c r="G1636" s="70"/>
      <c r="H1636" s="69"/>
      <c r="I1636" s="70"/>
      <c r="J1636" s="71">
        <f t="shared" ref="J1636:J1643" si="192">H1636+J1578</f>
        <v>1</v>
      </c>
      <c r="K1636" s="71"/>
      <c r="L1636" s="72"/>
      <c r="M1636" s="72"/>
      <c r="O1636" s="11">
        <v>14334</v>
      </c>
      <c r="P1636" s="11">
        <f t="shared" ref="P1636:P1643" si="193">ROUND(H1636*O1636,0)</f>
        <v>0</v>
      </c>
      <c r="Q1636" s="12"/>
      <c r="S1636" s="11">
        <f t="shared" ref="S1636:S1643" si="194">ROUND(J1636*O1636,0)</f>
        <v>14334</v>
      </c>
      <c r="T1636" s="13">
        <f t="shared" ref="T1636:T1643" si="195">F1636-J1636</f>
        <v>0</v>
      </c>
    </row>
    <row r="1637" spans="1:20" ht="24.95" customHeight="1">
      <c r="A1637" s="10">
        <v>3</v>
      </c>
      <c r="B1637" s="66" t="s">
        <v>84</v>
      </c>
      <c r="C1637" s="67" t="s">
        <v>84</v>
      </c>
      <c r="D1637" s="68" t="s">
        <v>84</v>
      </c>
      <c r="E1637" s="4" t="s">
        <v>33</v>
      </c>
      <c r="F1637" s="69">
        <v>1</v>
      </c>
      <c r="G1637" s="70"/>
      <c r="H1637" s="69"/>
      <c r="I1637" s="70"/>
      <c r="J1637" s="71">
        <f t="shared" si="192"/>
        <v>0.5</v>
      </c>
      <c r="K1637" s="71"/>
      <c r="L1637" s="72"/>
      <c r="M1637" s="72"/>
      <c r="O1637" s="11">
        <v>7000</v>
      </c>
      <c r="P1637" s="11">
        <f t="shared" si="193"/>
        <v>0</v>
      </c>
      <c r="Q1637" s="12"/>
      <c r="S1637" s="11">
        <f t="shared" si="194"/>
        <v>3500</v>
      </c>
      <c r="T1637" s="13">
        <f t="shared" si="195"/>
        <v>0.5</v>
      </c>
    </row>
    <row r="1638" spans="1:20" ht="24.95" customHeight="1">
      <c r="A1638" s="10">
        <v>4</v>
      </c>
      <c r="B1638" s="66" t="s">
        <v>85</v>
      </c>
      <c r="C1638" s="67" t="s">
        <v>85</v>
      </c>
      <c r="D1638" s="68" t="s">
        <v>85</v>
      </c>
      <c r="E1638" s="4" t="s">
        <v>34</v>
      </c>
      <c r="F1638" s="69">
        <v>1</v>
      </c>
      <c r="G1638" s="70"/>
      <c r="H1638" s="69"/>
      <c r="I1638" s="70"/>
      <c r="J1638" s="71">
        <f t="shared" si="192"/>
        <v>1</v>
      </c>
      <c r="K1638" s="71"/>
      <c r="L1638" s="72"/>
      <c r="M1638" s="72"/>
      <c r="O1638" s="11">
        <v>74000</v>
      </c>
      <c r="P1638" s="11">
        <f t="shared" si="193"/>
        <v>0</v>
      </c>
      <c r="Q1638" s="12"/>
      <c r="S1638" s="11">
        <f t="shared" si="194"/>
        <v>74000</v>
      </c>
      <c r="T1638" s="13">
        <f t="shared" si="195"/>
        <v>0</v>
      </c>
    </row>
    <row r="1639" spans="1:20" ht="24.95" customHeight="1">
      <c r="A1639" s="10">
        <v>5</v>
      </c>
      <c r="B1639" s="66" t="s">
        <v>86</v>
      </c>
      <c r="C1639" s="67" t="s">
        <v>86</v>
      </c>
      <c r="D1639" s="68" t="s">
        <v>86</v>
      </c>
      <c r="E1639" s="4" t="s">
        <v>93</v>
      </c>
      <c r="F1639" s="69">
        <v>396</v>
      </c>
      <c r="G1639" s="70"/>
      <c r="H1639" s="69"/>
      <c r="I1639" s="70"/>
      <c r="J1639" s="71">
        <f t="shared" si="192"/>
        <v>350</v>
      </c>
      <c r="K1639" s="71"/>
      <c r="L1639" s="72"/>
      <c r="M1639" s="72"/>
      <c r="O1639" s="11">
        <v>200</v>
      </c>
      <c r="P1639" s="11">
        <f t="shared" si="193"/>
        <v>0</v>
      </c>
      <c r="Q1639" s="12"/>
      <c r="S1639" s="11">
        <f t="shared" si="194"/>
        <v>70000</v>
      </c>
      <c r="T1639" s="13">
        <f t="shared" si="195"/>
        <v>46</v>
      </c>
    </row>
    <row r="1640" spans="1:20" ht="24.95" customHeight="1">
      <c r="A1640" s="10">
        <v>6</v>
      </c>
      <c r="B1640" s="66" t="s">
        <v>97</v>
      </c>
      <c r="C1640" s="67" t="s">
        <v>87</v>
      </c>
      <c r="D1640" s="68" t="s">
        <v>87</v>
      </c>
      <c r="E1640" s="4" t="s">
        <v>35</v>
      </c>
      <c r="F1640" s="69">
        <v>80</v>
      </c>
      <c r="G1640" s="70">
        <v>183.6</v>
      </c>
      <c r="H1640" s="69"/>
      <c r="I1640" s="70"/>
      <c r="J1640" s="71">
        <f t="shared" si="192"/>
        <v>78</v>
      </c>
      <c r="K1640" s="71"/>
      <c r="L1640" s="54"/>
      <c r="M1640" s="59"/>
      <c r="O1640" s="11">
        <v>1463</v>
      </c>
      <c r="P1640" s="11">
        <f t="shared" si="193"/>
        <v>0</v>
      </c>
      <c r="S1640" s="11">
        <f t="shared" si="194"/>
        <v>114114</v>
      </c>
      <c r="T1640" s="13">
        <f t="shared" si="195"/>
        <v>2</v>
      </c>
    </row>
    <row r="1641" spans="1:20" ht="24.95" customHeight="1">
      <c r="A1641" s="10">
        <v>7</v>
      </c>
      <c r="B1641" s="66" t="s">
        <v>88</v>
      </c>
      <c r="C1641" s="67" t="s">
        <v>88</v>
      </c>
      <c r="D1641" s="68" t="s">
        <v>88</v>
      </c>
      <c r="E1641" s="4" t="s">
        <v>94</v>
      </c>
      <c r="F1641" s="69">
        <v>126</v>
      </c>
      <c r="G1641" s="70">
        <v>19</v>
      </c>
      <c r="H1641" s="69"/>
      <c r="I1641" s="70"/>
      <c r="J1641" s="71">
        <f t="shared" si="192"/>
        <v>0</v>
      </c>
      <c r="K1641" s="71"/>
      <c r="L1641" s="54"/>
      <c r="M1641" s="59"/>
      <c r="O1641" s="11">
        <v>6350</v>
      </c>
      <c r="P1641" s="11">
        <f t="shared" si="193"/>
        <v>0</v>
      </c>
      <c r="S1641" s="11">
        <f t="shared" si="194"/>
        <v>0</v>
      </c>
      <c r="T1641" s="13">
        <f t="shared" si="195"/>
        <v>126</v>
      </c>
    </row>
    <row r="1642" spans="1:20" ht="24.95" customHeight="1">
      <c r="A1642" s="10">
        <v>8</v>
      </c>
      <c r="B1642" s="66" t="s">
        <v>89</v>
      </c>
      <c r="C1642" s="67" t="s">
        <v>89</v>
      </c>
      <c r="D1642" s="68" t="s">
        <v>89</v>
      </c>
      <c r="E1642" s="4" t="s">
        <v>95</v>
      </c>
      <c r="F1642" s="69">
        <v>1</v>
      </c>
      <c r="G1642" s="70">
        <v>1192</v>
      </c>
      <c r="H1642" s="69"/>
      <c r="I1642" s="70"/>
      <c r="J1642" s="71">
        <f t="shared" si="192"/>
        <v>0.3</v>
      </c>
      <c r="K1642" s="71"/>
      <c r="L1642" s="54"/>
      <c r="M1642" s="59"/>
      <c r="O1642" s="11">
        <v>47600</v>
      </c>
      <c r="P1642" s="11">
        <f t="shared" si="193"/>
        <v>0</v>
      </c>
      <c r="S1642" s="11">
        <f t="shared" si="194"/>
        <v>14280</v>
      </c>
      <c r="T1642" s="13">
        <f t="shared" si="195"/>
        <v>0.7</v>
      </c>
    </row>
    <row r="1643" spans="1:20" ht="24.95" customHeight="1">
      <c r="A1643" s="10">
        <v>9</v>
      </c>
      <c r="B1643" s="66" t="s">
        <v>90</v>
      </c>
      <c r="C1643" s="67" t="s">
        <v>90</v>
      </c>
      <c r="D1643" s="68" t="s">
        <v>90</v>
      </c>
      <c r="E1643" s="4" t="s">
        <v>96</v>
      </c>
      <c r="F1643" s="69">
        <v>1</v>
      </c>
      <c r="G1643" s="70">
        <v>1261</v>
      </c>
      <c r="H1643" s="69"/>
      <c r="I1643" s="70"/>
      <c r="J1643" s="71">
        <f t="shared" si="192"/>
        <v>0</v>
      </c>
      <c r="K1643" s="71"/>
      <c r="L1643" s="54"/>
      <c r="M1643" s="59"/>
      <c r="O1643" s="11">
        <v>10000</v>
      </c>
      <c r="P1643" s="11">
        <f t="shared" si="193"/>
        <v>0</v>
      </c>
      <c r="S1643" s="11">
        <f t="shared" si="194"/>
        <v>0</v>
      </c>
      <c r="T1643" s="13">
        <f t="shared" si="195"/>
        <v>1</v>
      </c>
    </row>
    <row r="1644" spans="1:20" ht="24.95" customHeight="1">
      <c r="A1644" s="14"/>
      <c r="B1644" s="15"/>
      <c r="C1644" s="16"/>
      <c r="D1644" s="17"/>
      <c r="E1644" s="4"/>
      <c r="F1644" s="18"/>
      <c r="G1644" s="19"/>
      <c r="H1644" s="105"/>
      <c r="I1644" s="106"/>
      <c r="J1644" s="105"/>
      <c r="K1644" s="106"/>
      <c r="L1644" s="54"/>
      <c r="M1644" s="59"/>
      <c r="N1644" s="20"/>
      <c r="P1644" s="21" t="s">
        <v>37</v>
      </c>
      <c r="Q1644" s="22">
        <f>SUM(P1635:P1643)</f>
        <v>0</v>
      </c>
      <c r="R1644" s="23"/>
      <c r="S1644" s="24">
        <f>SUM(S1635:S1643)</f>
        <v>294228</v>
      </c>
      <c r="T1644" s="13"/>
    </row>
    <row r="1645" spans="1:20" ht="24.95" customHeight="1">
      <c r="A1645" s="107"/>
      <c r="B1645" s="108"/>
      <c r="C1645" s="108"/>
      <c r="D1645" s="109"/>
      <c r="E1645" s="4"/>
      <c r="F1645" s="54"/>
      <c r="G1645" s="59"/>
      <c r="H1645" s="72"/>
      <c r="I1645" s="72"/>
      <c r="J1645" s="72"/>
      <c r="K1645" s="72"/>
      <c r="L1645" s="72"/>
      <c r="M1645" s="72"/>
      <c r="O1645" t="s">
        <v>38</v>
      </c>
      <c r="P1645" s="24">
        <f>Q1644</f>
        <v>0</v>
      </c>
      <c r="T1645" s="13"/>
    </row>
    <row r="1646" spans="1:20" ht="24.95" customHeight="1">
      <c r="A1646" s="97"/>
      <c r="B1646" s="98"/>
      <c r="C1646" s="98"/>
      <c r="D1646" s="99"/>
      <c r="E1646" s="4"/>
      <c r="F1646" s="54"/>
      <c r="G1646" s="59"/>
      <c r="H1646" s="72"/>
      <c r="I1646" s="72"/>
      <c r="J1646" s="72"/>
      <c r="K1646" s="72"/>
      <c r="L1646" s="72"/>
      <c r="M1646" s="72"/>
      <c r="O1646" t="s">
        <v>39</v>
      </c>
      <c r="P1646" s="23">
        <f>ROUND(P1645/1153274,4)*100</f>
        <v>0</v>
      </c>
      <c r="T1646" s="13"/>
    </row>
    <row r="1647" spans="1:20" ht="24.95" customHeight="1">
      <c r="A1647" s="25"/>
      <c r="B1647" s="63" t="s">
        <v>40</v>
      </c>
      <c r="C1647" s="63"/>
      <c r="D1647" s="59"/>
      <c r="E1647" s="26"/>
      <c r="F1647" s="100"/>
      <c r="G1647" s="101"/>
      <c r="H1647" s="100"/>
      <c r="I1647" s="101"/>
      <c r="J1647" s="102"/>
      <c r="K1647" s="102"/>
      <c r="L1647" s="103">
        <f>P1645</f>
        <v>0</v>
      </c>
      <c r="M1647" s="104"/>
      <c r="T1647" s="13"/>
    </row>
    <row r="1648" spans="1:20" ht="24.95" customHeight="1" thickBot="1">
      <c r="A1648" s="27"/>
      <c r="B1648" s="85" t="s">
        <v>41</v>
      </c>
      <c r="C1648" s="85"/>
      <c r="D1648" s="86"/>
      <c r="E1648" s="28"/>
      <c r="F1648" s="87"/>
      <c r="G1648" s="88"/>
      <c r="H1648" s="87"/>
      <c r="I1648" s="88"/>
      <c r="J1648" s="87"/>
      <c r="K1648" s="88"/>
      <c r="L1648" s="89">
        <f>L1647+L1590</f>
        <v>294228</v>
      </c>
      <c r="M1648" s="90"/>
      <c r="T1648" s="13"/>
    </row>
    <row r="1649" spans="1:20" ht="24.95" customHeight="1">
      <c r="A1649" s="29"/>
      <c r="B1649" s="91" t="s">
        <v>42</v>
      </c>
      <c r="C1649" s="91"/>
      <c r="D1649" s="92"/>
      <c r="E1649" s="30"/>
      <c r="F1649" s="93"/>
      <c r="G1649" s="94"/>
      <c r="H1649" s="95"/>
      <c r="I1649" s="95"/>
      <c r="J1649" s="95"/>
      <c r="K1649" s="95"/>
      <c r="L1649" s="95"/>
      <c r="M1649" s="96"/>
      <c r="T1649" s="13"/>
    </row>
    <row r="1650" spans="1:20" ht="24.95" customHeight="1">
      <c r="A1650" s="31"/>
      <c r="B1650" s="76" t="s">
        <v>43</v>
      </c>
      <c r="C1650" s="76"/>
      <c r="D1650" s="77"/>
      <c r="E1650" s="4"/>
      <c r="F1650" s="54"/>
      <c r="G1650" s="59"/>
      <c r="H1650" s="72"/>
      <c r="I1650" s="72"/>
      <c r="J1650" s="72"/>
      <c r="K1650" s="72"/>
      <c r="L1650" s="72"/>
      <c r="M1650" s="78"/>
      <c r="T1650" s="13"/>
    </row>
    <row r="1651" spans="1:20" ht="24.95" customHeight="1" thickBot="1">
      <c r="A1651" s="32"/>
      <c r="B1651" s="79" t="s">
        <v>44</v>
      </c>
      <c r="C1651" s="79"/>
      <c r="D1651" s="80"/>
      <c r="E1651" s="33"/>
      <c r="F1651" s="81"/>
      <c r="G1651" s="82"/>
      <c r="H1651" s="83"/>
      <c r="I1651" s="83"/>
      <c r="J1651" s="83"/>
      <c r="K1651" s="83"/>
      <c r="L1651" s="83"/>
      <c r="M1651" s="84"/>
      <c r="T1651" s="13"/>
    </row>
    <row r="1652" spans="1:20" ht="24.95" customHeight="1">
      <c r="A1652" s="73" t="s">
        <v>45</v>
      </c>
      <c r="B1652" s="74"/>
      <c r="C1652" s="74"/>
      <c r="D1652" s="74"/>
      <c r="E1652" s="74"/>
      <c r="F1652" s="74"/>
      <c r="G1652" s="74"/>
      <c r="H1652" s="74"/>
      <c r="I1652" s="74"/>
      <c r="J1652" s="74"/>
      <c r="K1652" s="74"/>
      <c r="L1652" s="74"/>
      <c r="M1652" s="74"/>
      <c r="T1652" s="13"/>
    </row>
    <row r="1653" spans="1:20" ht="24.95" customHeight="1">
      <c r="A1653" s="72" t="s">
        <v>46</v>
      </c>
      <c r="B1653" s="75"/>
      <c r="C1653" s="75"/>
      <c r="D1653" s="75"/>
      <c r="E1653" s="4" t="s">
        <v>22</v>
      </c>
      <c r="F1653" s="72" t="s">
        <v>47</v>
      </c>
      <c r="G1653" s="72"/>
      <c r="H1653" s="72" t="s">
        <v>48</v>
      </c>
      <c r="I1653" s="72"/>
      <c r="J1653" s="72" t="s">
        <v>49</v>
      </c>
      <c r="K1653" s="72"/>
      <c r="L1653" s="72" t="s">
        <v>50</v>
      </c>
      <c r="M1653" s="72"/>
      <c r="T1653" s="13"/>
    </row>
    <row r="1654" spans="1:20" ht="24.95" customHeight="1">
      <c r="A1654" s="10">
        <v>6</v>
      </c>
      <c r="B1654" s="66" t="s">
        <v>97</v>
      </c>
      <c r="C1654" s="67" t="s">
        <v>51</v>
      </c>
      <c r="D1654" s="68" t="s">
        <v>51</v>
      </c>
      <c r="E1654" s="4" t="s">
        <v>35</v>
      </c>
      <c r="F1654" s="69">
        <v>80</v>
      </c>
      <c r="G1654" s="70">
        <v>1261</v>
      </c>
      <c r="H1654" s="71">
        <f>H1640</f>
        <v>0</v>
      </c>
      <c r="I1654" s="71"/>
      <c r="J1654" s="71">
        <f>H1654+J1596</f>
        <v>78</v>
      </c>
      <c r="K1654" s="71"/>
      <c r="L1654" s="72"/>
      <c r="M1654" s="72"/>
      <c r="T1654" s="13"/>
    </row>
    <row r="1655" spans="1:20" ht="24.95" customHeight="1">
      <c r="A1655" s="10">
        <v>7</v>
      </c>
      <c r="B1655" s="66" t="s">
        <v>88</v>
      </c>
      <c r="C1655" s="67" t="s">
        <v>88</v>
      </c>
      <c r="D1655" s="68" t="s">
        <v>88</v>
      </c>
      <c r="E1655" s="4" t="s">
        <v>98</v>
      </c>
      <c r="F1655" s="69">
        <v>126</v>
      </c>
      <c r="G1655" s="70"/>
      <c r="H1655" s="71">
        <f>H1641</f>
        <v>0</v>
      </c>
      <c r="I1655" s="71"/>
      <c r="J1655" s="71">
        <f t="shared" ref="J1655:J1656" si="196">H1655+J1597</f>
        <v>0</v>
      </c>
      <c r="K1655" s="71"/>
      <c r="L1655" s="72"/>
      <c r="M1655" s="72"/>
      <c r="T1655" s="13"/>
    </row>
    <row r="1656" spans="1:20" ht="24.95" customHeight="1">
      <c r="A1656" s="10">
        <v>8</v>
      </c>
      <c r="B1656" s="66" t="s">
        <v>89</v>
      </c>
      <c r="C1656" s="67" t="s">
        <v>89</v>
      </c>
      <c r="D1656" s="68" t="s">
        <v>89</v>
      </c>
      <c r="E1656" s="4" t="s">
        <v>36</v>
      </c>
      <c r="F1656" s="69">
        <v>1</v>
      </c>
      <c r="G1656" s="70"/>
      <c r="H1656" s="71">
        <f>H1642</f>
        <v>0</v>
      </c>
      <c r="I1656" s="71"/>
      <c r="J1656" s="71">
        <f t="shared" si="196"/>
        <v>0.3</v>
      </c>
      <c r="K1656" s="71"/>
      <c r="L1656" s="72"/>
      <c r="M1656" s="72"/>
      <c r="T1656" s="13"/>
    </row>
    <row r="1657" spans="1:20" ht="24.95" customHeight="1">
      <c r="A1657" s="51" t="s">
        <v>52</v>
      </c>
      <c r="B1657" s="52"/>
      <c r="C1657" s="52"/>
      <c r="D1657" s="52"/>
      <c r="E1657" s="52"/>
      <c r="F1657" s="52"/>
      <c r="G1657" s="52"/>
      <c r="H1657" s="52"/>
      <c r="I1657" s="52"/>
      <c r="J1657" s="52"/>
      <c r="K1657" s="52"/>
      <c r="L1657" s="52"/>
      <c r="M1657" s="53"/>
      <c r="T1657" s="13"/>
    </row>
    <row r="1658" spans="1:20" ht="24.95" customHeight="1">
      <c r="A1658" s="54" t="s">
        <v>53</v>
      </c>
      <c r="B1658" s="63"/>
      <c r="C1658" s="63"/>
      <c r="D1658" s="59"/>
      <c r="E1658" s="4" t="s">
        <v>54</v>
      </c>
      <c r="F1658" s="54" t="s">
        <v>55</v>
      </c>
      <c r="G1658" s="59"/>
      <c r="H1658" s="54" t="s">
        <v>56</v>
      </c>
      <c r="I1658" s="59"/>
      <c r="J1658" s="54" t="s">
        <v>48</v>
      </c>
      <c r="K1658" s="59"/>
      <c r="L1658" s="64" t="s">
        <v>49</v>
      </c>
      <c r="M1658" s="65"/>
      <c r="T1658" s="13"/>
    </row>
    <row r="1659" spans="1:20" ht="24.95" customHeight="1">
      <c r="A1659" s="54" t="s">
        <v>57</v>
      </c>
      <c r="B1659" s="55"/>
      <c r="C1659" s="55"/>
      <c r="D1659" s="56"/>
      <c r="E1659" s="4"/>
      <c r="F1659" s="57">
        <f>E1659+F1601</f>
        <v>28</v>
      </c>
      <c r="G1659" s="58"/>
      <c r="H1659" s="54" t="s">
        <v>58</v>
      </c>
      <c r="I1659" s="59"/>
      <c r="J1659" s="54"/>
      <c r="K1659" s="59"/>
      <c r="L1659" s="57">
        <f>J1659+L1601</f>
        <v>15</v>
      </c>
      <c r="M1659" s="58"/>
      <c r="T1659" s="13"/>
    </row>
    <row r="1660" spans="1:20" ht="24.95" customHeight="1">
      <c r="A1660" s="54" t="s">
        <v>59</v>
      </c>
      <c r="B1660" s="55"/>
      <c r="C1660" s="55"/>
      <c r="D1660" s="56"/>
      <c r="E1660" s="4"/>
      <c r="F1660" s="57">
        <f t="shared" ref="F1660:F1662" si="197">E1660+F1602</f>
        <v>0</v>
      </c>
      <c r="G1660" s="58"/>
      <c r="H1660" s="54" t="s">
        <v>60</v>
      </c>
      <c r="I1660" s="59"/>
      <c r="J1660" s="54"/>
      <c r="K1660" s="59"/>
      <c r="L1660" s="57">
        <f t="shared" ref="L1660:L1662" si="198">J1660+L1602</f>
        <v>0</v>
      </c>
      <c r="M1660" s="58"/>
      <c r="T1660" s="13"/>
    </row>
    <row r="1661" spans="1:20" ht="24.95" customHeight="1">
      <c r="A1661" s="54" t="s">
        <v>61</v>
      </c>
      <c r="B1661" s="55"/>
      <c r="C1661" s="55"/>
      <c r="D1661" s="56"/>
      <c r="E1661" s="4"/>
      <c r="F1661" s="57">
        <f t="shared" si="197"/>
        <v>2</v>
      </c>
      <c r="G1661" s="58"/>
      <c r="H1661" s="54" t="s">
        <v>62</v>
      </c>
      <c r="I1661" s="59"/>
      <c r="J1661" s="54"/>
      <c r="K1661" s="59"/>
      <c r="L1661" s="57">
        <f t="shared" si="198"/>
        <v>5</v>
      </c>
      <c r="M1661" s="58"/>
      <c r="T1661" s="13"/>
    </row>
    <row r="1662" spans="1:20" ht="24.95" customHeight="1">
      <c r="A1662" s="54" t="s">
        <v>63</v>
      </c>
      <c r="B1662" s="55"/>
      <c r="C1662" s="55"/>
      <c r="D1662" s="56"/>
      <c r="E1662" s="4"/>
      <c r="F1662" s="57">
        <f t="shared" si="197"/>
        <v>4</v>
      </c>
      <c r="G1662" s="58"/>
      <c r="H1662" s="54" t="s">
        <v>64</v>
      </c>
      <c r="I1662" s="59"/>
      <c r="J1662" s="54"/>
      <c r="K1662" s="59"/>
      <c r="L1662" s="57">
        <f t="shared" si="198"/>
        <v>1</v>
      </c>
      <c r="M1662" s="58"/>
      <c r="T1662" s="13"/>
    </row>
    <row r="1663" spans="1:20" ht="64.5" customHeight="1">
      <c r="A1663" s="60" t="s">
        <v>65</v>
      </c>
      <c r="B1663" s="61"/>
      <c r="C1663" s="61"/>
      <c r="D1663" s="61"/>
      <c r="E1663" s="61"/>
      <c r="F1663" s="61"/>
      <c r="G1663" s="61"/>
      <c r="H1663" s="61"/>
      <c r="I1663" s="61"/>
      <c r="J1663" s="61"/>
      <c r="K1663" s="61"/>
      <c r="L1663" s="61"/>
      <c r="M1663" s="62"/>
      <c r="T1663" s="13"/>
    </row>
    <row r="1664" spans="1:20" ht="24.95" customHeight="1">
      <c r="A1664" s="46" t="s">
        <v>66</v>
      </c>
      <c r="B1664" s="47"/>
      <c r="C1664" s="47"/>
      <c r="D1664" s="47"/>
      <c r="E1664" s="47"/>
      <c r="F1664" s="47"/>
      <c r="G1664" s="47"/>
      <c r="H1664" s="47"/>
      <c r="I1664" s="47"/>
      <c r="J1664" s="47"/>
      <c r="K1664" s="47"/>
      <c r="L1664" s="47"/>
      <c r="M1664" s="48"/>
      <c r="T1664" s="13"/>
    </row>
    <row r="1665" spans="1:20" ht="24.95" customHeight="1">
      <c r="A1665" s="27"/>
      <c r="B1665" s="34" t="s">
        <v>67</v>
      </c>
      <c r="C1665" s="34"/>
      <c r="D1665" s="34"/>
      <c r="E1665" s="34"/>
      <c r="F1665" s="34"/>
      <c r="G1665" s="35"/>
      <c r="H1665" s="34"/>
      <c r="I1665" s="34"/>
      <c r="J1665" s="34"/>
      <c r="K1665" s="34"/>
      <c r="L1665" s="34"/>
      <c r="M1665" s="36"/>
      <c r="T1665" s="13"/>
    </row>
    <row r="1666" spans="1:20" ht="24.95" customHeight="1">
      <c r="A1666" s="27"/>
      <c r="B1666" s="34" t="s">
        <v>81</v>
      </c>
      <c r="C1666" s="34"/>
      <c r="D1666" s="34"/>
      <c r="E1666" s="34"/>
      <c r="F1666" s="34"/>
      <c r="G1666" s="35"/>
      <c r="H1666" s="34"/>
      <c r="I1666" s="34"/>
      <c r="J1666" s="34"/>
      <c r="K1666" s="34"/>
      <c r="L1666" s="34"/>
      <c r="M1666" s="36"/>
      <c r="T1666" s="13"/>
    </row>
    <row r="1667" spans="1:20" ht="24.95" customHeight="1">
      <c r="A1667" s="27"/>
      <c r="B1667" s="34" t="s">
        <v>68</v>
      </c>
      <c r="C1667" s="34"/>
      <c r="D1667" s="34"/>
      <c r="E1667" s="34"/>
      <c r="F1667" s="34"/>
      <c r="G1667" s="35"/>
      <c r="H1667" s="34"/>
      <c r="I1667" s="34"/>
      <c r="J1667" s="34"/>
      <c r="K1667" s="34"/>
      <c r="L1667" s="34"/>
      <c r="M1667" s="36"/>
      <c r="T1667" s="13"/>
    </row>
    <row r="1668" spans="1:20" ht="24.95" customHeight="1">
      <c r="A1668" s="27"/>
      <c r="B1668" s="34" t="s">
        <v>82</v>
      </c>
      <c r="C1668" s="34"/>
      <c r="D1668" s="34"/>
      <c r="E1668" s="34"/>
      <c r="F1668" s="34"/>
      <c r="G1668" s="35"/>
      <c r="H1668" s="34"/>
      <c r="I1668" s="34"/>
      <c r="J1668" s="34"/>
      <c r="K1668" s="34"/>
      <c r="L1668" s="34"/>
      <c r="M1668" s="36"/>
      <c r="T1668" s="13"/>
    </row>
    <row r="1669" spans="1:20" ht="24.95" customHeight="1">
      <c r="A1669" s="27"/>
      <c r="B1669" s="34" t="s">
        <v>99</v>
      </c>
      <c r="C1669" s="34"/>
      <c r="D1669" s="34"/>
      <c r="E1669" s="34"/>
      <c r="F1669" s="34"/>
      <c r="G1669" s="35"/>
      <c r="H1669" s="34"/>
      <c r="I1669" s="34"/>
      <c r="J1669" s="34"/>
      <c r="K1669" s="34"/>
      <c r="L1669" s="34"/>
      <c r="M1669" s="36"/>
      <c r="T1669" s="13"/>
    </row>
    <row r="1670" spans="1:20" ht="24.95" customHeight="1">
      <c r="A1670" s="37"/>
      <c r="B1670" s="49" t="s">
        <v>69</v>
      </c>
      <c r="C1670" s="49"/>
      <c r="D1670" s="49"/>
      <c r="E1670" s="49"/>
      <c r="F1670" s="49"/>
      <c r="G1670" s="49"/>
      <c r="H1670" s="49"/>
      <c r="I1670" s="49"/>
      <c r="J1670" s="49"/>
      <c r="K1670" s="49"/>
      <c r="L1670" s="49"/>
      <c r="M1670" s="50"/>
      <c r="T1670" s="13"/>
    </row>
    <row r="1671" spans="1:20" ht="44.25" customHeight="1">
      <c r="A1671" s="51" t="s">
        <v>70</v>
      </c>
      <c r="B1671" s="52"/>
      <c r="C1671" s="52"/>
      <c r="D1671" s="52"/>
      <c r="E1671" s="52"/>
      <c r="F1671" s="52"/>
      <c r="G1671" s="52"/>
      <c r="H1671" s="52"/>
      <c r="I1671" s="52"/>
      <c r="J1671" s="52"/>
      <c r="K1671" s="52"/>
      <c r="L1671" s="52"/>
      <c r="M1671" s="53"/>
      <c r="T1671" s="13"/>
    </row>
    <row r="1672" spans="1:20" ht="48" customHeight="1">
      <c r="A1672" s="51" t="s">
        <v>71</v>
      </c>
      <c r="B1672" s="52"/>
      <c r="C1672" s="52"/>
      <c r="D1672" s="52"/>
      <c r="E1672" s="52"/>
      <c r="F1672" s="52"/>
      <c r="G1672" s="52"/>
      <c r="H1672" s="52"/>
      <c r="I1672" s="52"/>
      <c r="J1672" s="52"/>
      <c r="K1672" s="52"/>
      <c r="L1672" s="52"/>
      <c r="M1672" s="53"/>
      <c r="T1672" s="13"/>
    </row>
    <row r="1673" spans="1:20" ht="81" customHeight="1">
      <c r="A1673" s="51" t="s">
        <v>109</v>
      </c>
      <c r="B1673" s="52"/>
      <c r="C1673" s="52"/>
      <c r="D1673" s="52"/>
      <c r="E1673" s="52"/>
      <c r="F1673" s="52"/>
      <c r="G1673" s="52"/>
      <c r="H1673" s="52"/>
      <c r="I1673" s="52"/>
      <c r="J1673" s="52"/>
      <c r="K1673" s="52"/>
      <c r="L1673" s="52"/>
      <c r="M1673" s="53"/>
      <c r="T1673" s="13"/>
    </row>
    <row r="1674" spans="1:20" ht="100.5" customHeight="1">
      <c r="A1674" s="51" t="s">
        <v>72</v>
      </c>
      <c r="B1674" s="52"/>
      <c r="C1674" s="52"/>
      <c r="D1674" s="52"/>
      <c r="E1674" s="52"/>
      <c r="F1674" s="52"/>
      <c r="G1674" s="52"/>
      <c r="H1674" s="52"/>
      <c r="I1674" s="52"/>
      <c r="J1674" s="52"/>
      <c r="K1674" s="52"/>
      <c r="L1674" s="52"/>
      <c r="M1674" s="53"/>
      <c r="T1674" s="13"/>
    </row>
    <row r="1675" spans="1:20" ht="12" customHeight="1">
      <c r="A1675" s="41" t="s">
        <v>73</v>
      </c>
      <c r="B1675" s="41"/>
      <c r="C1675" s="42"/>
      <c r="D1675" s="42"/>
      <c r="E1675" s="42"/>
      <c r="F1675" s="42"/>
      <c r="G1675" s="42"/>
      <c r="H1675" s="42"/>
      <c r="I1675" s="42"/>
      <c r="J1675" s="42"/>
      <c r="K1675" s="42"/>
      <c r="L1675" s="42"/>
      <c r="M1675" s="38"/>
      <c r="T1675" s="13"/>
    </row>
    <row r="1676" spans="1:20" ht="12" customHeight="1">
      <c r="A1676" s="43" t="s">
        <v>74</v>
      </c>
      <c r="B1676" s="43"/>
      <c r="C1676" s="40"/>
      <c r="D1676" s="40"/>
      <c r="E1676" s="40"/>
      <c r="F1676" s="40"/>
      <c r="G1676" s="40"/>
      <c r="H1676" s="40"/>
      <c r="I1676" s="40"/>
      <c r="J1676" s="40"/>
      <c r="K1676" s="40"/>
      <c r="L1676" s="38"/>
      <c r="M1676" s="38"/>
      <c r="T1676" s="13"/>
    </row>
    <row r="1677" spans="1:20" ht="12" customHeight="1">
      <c r="A1677" s="44" t="s">
        <v>75</v>
      </c>
      <c r="B1677" s="44"/>
      <c r="C1677" s="44"/>
      <c r="D1677" s="44"/>
      <c r="E1677" s="44"/>
      <c r="F1677" s="44"/>
      <c r="G1677" s="44"/>
      <c r="H1677" s="44"/>
      <c r="I1677" s="44"/>
      <c r="J1677" s="44"/>
      <c r="K1677" s="44"/>
      <c r="L1677" s="44"/>
      <c r="M1677" s="44"/>
      <c r="T1677" s="13"/>
    </row>
    <row r="1678" spans="1:20" ht="12" customHeight="1">
      <c r="A1678" s="39" t="s">
        <v>76</v>
      </c>
      <c r="B1678" s="39"/>
      <c r="C1678" s="39"/>
      <c r="D1678" s="39"/>
      <c r="E1678" s="39"/>
      <c r="F1678" s="39"/>
      <c r="G1678" s="39"/>
      <c r="H1678" s="39"/>
      <c r="I1678" s="39"/>
      <c r="J1678" s="39"/>
      <c r="K1678" s="39"/>
      <c r="L1678" s="39"/>
      <c r="M1678" s="39"/>
      <c r="T1678" s="13"/>
    </row>
    <row r="1679" spans="1:20" ht="12" customHeight="1">
      <c r="A1679" s="39" t="s">
        <v>77</v>
      </c>
      <c r="B1679" s="40"/>
      <c r="C1679" s="40"/>
      <c r="D1679" s="40"/>
      <c r="E1679" s="40"/>
      <c r="F1679" s="40"/>
      <c r="G1679" s="40"/>
      <c r="H1679" s="40"/>
      <c r="I1679" s="40"/>
      <c r="J1679" s="40"/>
      <c r="K1679" s="40"/>
      <c r="L1679" s="40"/>
      <c r="M1679" s="40"/>
      <c r="T1679" s="13"/>
    </row>
    <row r="1680" spans="1:20" ht="12" customHeight="1">
      <c r="A1680" s="45" t="s">
        <v>78</v>
      </c>
      <c r="B1680" s="40"/>
      <c r="C1680" s="40"/>
      <c r="D1680" s="40"/>
      <c r="E1680" s="40"/>
      <c r="F1680" s="40"/>
      <c r="G1680" s="40"/>
      <c r="H1680" s="40"/>
      <c r="I1680" s="40"/>
      <c r="J1680" s="40"/>
      <c r="K1680" s="40"/>
      <c r="L1680" s="40"/>
      <c r="M1680" s="40"/>
      <c r="T1680" s="13"/>
    </row>
    <row r="1681" spans="1:20" ht="12" customHeight="1">
      <c r="A1681" s="39" t="s">
        <v>79</v>
      </c>
      <c r="B1681" s="40"/>
      <c r="C1681" s="40"/>
      <c r="D1681" s="40"/>
      <c r="E1681" s="40"/>
      <c r="F1681" s="40"/>
      <c r="G1681" s="40"/>
      <c r="H1681" s="40"/>
      <c r="I1681" s="40"/>
      <c r="J1681" s="40"/>
      <c r="K1681" s="40"/>
      <c r="L1681" s="40"/>
      <c r="M1681" s="40"/>
      <c r="T1681" s="13"/>
    </row>
    <row r="1682" spans="1:20" ht="409.5" customHeight="1"/>
    <row r="1683" spans="1:20" s="2" customFormat="1" ht="35.1" customHeight="1">
      <c r="A1683" s="126" t="s">
        <v>0</v>
      </c>
      <c r="B1683" s="126"/>
      <c r="C1683" s="1">
        <f>C1625+1</f>
        <v>34</v>
      </c>
      <c r="G1683" s="3"/>
    </row>
    <row r="1684" spans="1:20" s="2" customFormat="1" ht="35.1" customHeight="1">
      <c r="A1684" s="126" t="s">
        <v>1</v>
      </c>
      <c r="B1684" s="126"/>
      <c r="C1684" s="2" t="s">
        <v>2</v>
      </c>
      <c r="D1684" s="2" t="s">
        <v>137</v>
      </c>
      <c r="E1684" s="2" t="s">
        <v>3</v>
      </c>
      <c r="F1684" s="2" t="s">
        <v>137</v>
      </c>
      <c r="G1684" s="3"/>
      <c r="H1684" s="127" t="s">
        <v>4</v>
      </c>
      <c r="I1684" s="128"/>
      <c r="J1684" s="129">
        <f>J1626+1</f>
        <v>46021</v>
      </c>
      <c r="K1684" s="130"/>
      <c r="L1684" s="131">
        <f>J1684</f>
        <v>46021</v>
      </c>
      <c r="M1684" s="132"/>
    </row>
    <row r="1685" spans="1:20" s="2" customFormat="1" ht="30" customHeight="1">
      <c r="A1685" s="72" t="s">
        <v>5</v>
      </c>
      <c r="B1685" s="114"/>
      <c r="C1685" s="119" t="s">
        <v>83</v>
      </c>
      <c r="D1685" s="119"/>
      <c r="E1685" s="119"/>
      <c r="F1685" s="119"/>
      <c r="G1685" s="119"/>
      <c r="H1685" s="54" t="s">
        <v>6</v>
      </c>
      <c r="I1685" s="59"/>
      <c r="J1685" s="120"/>
      <c r="K1685" s="120"/>
      <c r="L1685" s="120"/>
      <c r="M1685" s="120"/>
    </row>
    <row r="1686" spans="1:20" s="1" customFormat="1" ht="30" customHeight="1">
      <c r="A1686" s="72" t="s">
        <v>7</v>
      </c>
      <c r="B1686" s="114"/>
      <c r="C1686" s="4">
        <v>50</v>
      </c>
      <c r="D1686" s="4" t="s">
        <v>8</v>
      </c>
      <c r="E1686" s="4" t="s">
        <v>9</v>
      </c>
      <c r="F1686" s="4">
        <f>F1628+1</f>
        <v>34</v>
      </c>
      <c r="G1686" s="5" t="s">
        <v>8</v>
      </c>
      <c r="H1686" s="4" t="s">
        <v>10</v>
      </c>
      <c r="I1686" s="4">
        <f>C1686-F1686+L1686</f>
        <v>16</v>
      </c>
      <c r="J1686" s="4" t="s">
        <v>11</v>
      </c>
      <c r="K1686" s="6" t="s">
        <v>12</v>
      </c>
      <c r="L1686" s="7">
        <f>L1628</f>
        <v>0</v>
      </c>
      <c r="M1686" s="4" t="s">
        <v>8</v>
      </c>
    </row>
    <row r="1687" spans="1:20" s="2" customFormat="1" ht="30" customHeight="1">
      <c r="A1687" s="72" t="s">
        <v>13</v>
      </c>
      <c r="B1687" s="75"/>
      <c r="C1687" s="75"/>
      <c r="D1687" s="121">
        <f>D1629</f>
        <v>45988</v>
      </c>
      <c r="E1687" s="122"/>
      <c r="F1687" s="122"/>
      <c r="G1687" s="123"/>
      <c r="H1687" s="124" t="s">
        <v>14</v>
      </c>
      <c r="I1687" s="125"/>
      <c r="J1687" s="121">
        <f>J1629</f>
        <v>46037</v>
      </c>
      <c r="K1687" s="122"/>
      <c r="L1687" s="122"/>
      <c r="M1687" s="123"/>
    </row>
    <row r="1688" spans="1:20" s="2" customFormat="1" ht="30" customHeight="1">
      <c r="A1688" s="72" t="s">
        <v>15</v>
      </c>
      <c r="B1688" s="114"/>
      <c r="C1688" s="114"/>
      <c r="D1688" s="72">
        <v>1.0149999999999999</v>
      </c>
      <c r="E1688" s="72"/>
      <c r="F1688" s="72"/>
      <c r="G1688" s="72"/>
      <c r="H1688" s="64" t="s">
        <v>16</v>
      </c>
      <c r="I1688" s="115"/>
      <c r="J1688" s="116">
        <f>P1704</f>
        <v>0</v>
      </c>
      <c r="K1688" s="117"/>
      <c r="L1688" s="117"/>
      <c r="M1688" s="118"/>
    </row>
    <row r="1689" spans="1:20" s="2" customFormat="1" ht="30" customHeight="1">
      <c r="A1689" s="72" t="s">
        <v>17</v>
      </c>
      <c r="B1689" s="114"/>
      <c r="C1689" s="114"/>
      <c r="D1689" s="72">
        <f>D1688+D1631</f>
        <v>24.423999999999999</v>
      </c>
      <c r="E1689" s="72"/>
      <c r="F1689" s="72"/>
      <c r="G1689" s="72"/>
      <c r="H1689" s="64" t="s">
        <v>18</v>
      </c>
      <c r="I1689" s="115"/>
      <c r="J1689" s="116">
        <f>J1688+J1631</f>
        <v>25.469999999999992</v>
      </c>
      <c r="K1689" s="117"/>
      <c r="L1689" s="117"/>
      <c r="M1689" s="118"/>
    </row>
    <row r="1690" spans="1:20" s="2" customFormat="1" ht="30" customHeight="1">
      <c r="A1690" s="111" t="s">
        <v>19</v>
      </c>
      <c r="B1690" s="112"/>
      <c r="C1690" s="112"/>
      <c r="D1690" s="112"/>
      <c r="E1690" s="112"/>
      <c r="F1690" s="112"/>
      <c r="G1690" s="112"/>
      <c r="H1690" s="112"/>
      <c r="I1690" s="112"/>
      <c r="J1690" s="112"/>
      <c r="K1690" s="112"/>
      <c r="L1690" s="112"/>
      <c r="M1690" s="113"/>
    </row>
    <row r="1691" spans="1:20" s="2" customFormat="1" ht="30" customHeight="1">
      <c r="A1691" s="8" t="s">
        <v>20</v>
      </c>
      <c r="B1691" s="72" t="s">
        <v>21</v>
      </c>
      <c r="C1691" s="72"/>
      <c r="D1691" s="72"/>
      <c r="E1691" s="4" t="s">
        <v>22</v>
      </c>
      <c r="F1691" s="54" t="s">
        <v>23</v>
      </c>
      <c r="G1691" s="59"/>
      <c r="H1691" s="72" t="s">
        <v>24</v>
      </c>
      <c r="I1691" s="72"/>
      <c r="J1691" s="72" t="s">
        <v>25</v>
      </c>
      <c r="K1691" s="72"/>
      <c r="L1691" s="72" t="s">
        <v>26</v>
      </c>
      <c r="M1691" s="72"/>
      <c r="O1691" s="1" t="s">
        <v>27</v>
      </c>
      <c r="P1691" s="1" t="s">
        <v>28</v>
      </c>
      <c r="T1691" s="2" t="s">
        <v>29</v>
      </c>
    </row>
    <row r="1692" spans="1:20" s="2" customFormat="1" ht="24.95" customHeight="1">
      <c r="A1692" s="9" t="s">
        <v>30</v>
      </c>
      <c r="B1692" s="110" t="s">
        <v>31</v>
      </c>
      <c r="C1692" s="110"/>
      <c r="D1692" s="110"/>
      <c r="E1692" s="4"/>
      <c r="F1692" s="54"/>
      <c r="G1692" s="59"/>
      <c r="H1692" s="72"/>
      <c r="I1692" s="72"/>
      <c r="J1692" s="72"/>
      <c r="K1692" s="72"/>
      <c r="L1692" s="72"/>
      <c r="M1692" s="72"/>
    </row>
    <row r="1693" spans="1:20" ht="24.95" customHeight="1">
      <c r="A1693" s="10">
        <v>1</v>
      </c>
      <c r="B1693" s="66" t="s">
        <v>91</v>
      </c>
      <c r="C1693" s="67" t="s">
        <v>91</v>
      </c>
      <c r="D1693" s="68" t="s">
        <v>91</v>
      </c>
      <c r="E1693" s="4" t="s">
        <v>32</v>
      </c>
      <c r="F1693" s="69">
        <v>1</v>
      </c>
      <c r="G1693" s="70"/>
      <c r="H1693" s="69"/>
      <c r="I1693" s="70"/>
      <c r="J1693" s="71">
        <f>H1693+J1635</f>
        <v>1</v>
      </c>
      <c r="K1693" s="71"/>
      <c r="L1693" s="72"/>
      <c r="M1693" s="72"/>
      <c r="O1693" s="11">
        <v>4000</v>
      </c>
      <c r="P1693" s="11">
        <f>ROUND(H1693*O1693,0)</f>
        <v>0</v>
      </c>
      <c r="Q1693" s="12"/>
      <c r="S1693" s="11">
        <f>ROUND(J1693*O1693,0)</f>
        <v>4000</v>
      </c>
      <c r="T1693" s="13">
        <f>F1693-J1693</f>
        <v>0</v>
      </c>
    </row>
    <row r="1694" spans="1:20" ht="24.95" customHeight="1">
      <c r="A1694" s="10">
        <v>2</v>
      </c>
      <c r="B1694" s="66" t="s">
        <v>92</v>
      </c>
      <c r="C1694" s="67" t="s">
        <v>92</v>
      </c>
      <c r="D1694" s="68" t="s">
        <v>92</v>
      </c>
      <c r="E1694" s="4" t="s">
        <v>32</v>
      </c>
      <c r="F1694" s="69">
        <v>1</v>
      </c>
      <c r="G1694" s="70"/>
      <c r="H1694" s="69"/>
      <c r="I1694" s="70"/>
      <c r="J1694" s="71">
        <f t="shared" ref="J1694:J1701" si="199">H1694+J1636</f>
        <v>1</v>
      </c>
      <c r="K1694" s="71"/>
      <c r="L1694" s="72"/>
      <c r="M1694" s="72"/>
      <c r="O1694" s="11">
        <v>14334</v>
      </c>
      <c r="P1694" s="11">
        <f t="shared" ref="P1694:P1701" si="200">ROUND(H1694*O1694,0)</f>
        <v>0</v>
      </c>
      <c r="Q1694" s="12"/>
      <c r="S1694" s="11">
        <f t="shared" ref="S1694:S1701" si="201">ROUND(J1694*O1694,0)</f>
        <v>14334</v>
      </c>
      <c r="T1694" s="13">
        <f t="shared" ref="T1694:T1701" si="202">F1694-J1694</f>
        <v>0</v>
      </c>
    </row>
    <row r="1695" spans="1:20" ht="24.95" customHeight="1">
      <c r="A1695" s="10">
        <v>3</v>
      </c>
      <c r="B1695" s="66" t="s">
        <v>84</v>
      </c>
      <c r="C1695" s="67" t="s">
        <v>84</v>
      </c>
      <c r="D1695" s="68" t="s">
        <v>84</v>
      </c>
      <c r="E1695" s="4" t="s">
        <v>33</v>
      </c>
      <c r="F1695" s="69">
        <v>1</v>
      </c>
      <c r="G1695" s="70"/>
      <c r="H1695" s="69"/>
      <c r="I1695" s="70"/>
      <c r="J1695" s="71">
        <f t="shared" si="199"/>
        <v>0.5</v>
      </c>
      <c r="K1695" s="71"/>
      <c r="L1695" s="72"/>
      <c r="M1695" s="72"/>
      <c r="O1695" s="11">
        <v>7000</v>
      </c>
      <c r="P1695" s="11">
        <f t="shared" si="200"/>
        <v>0</v>
      </c>
      <c r="Q1695" s="12"/>
      <c r="S1695" s="11">
        <f t="shared" si="201"/>
        <v>3500</v>
      </c>
      <c r="T1695" s="13">
        <f t="shared" si="202"/>
        <v>0.5</v>
      </c>
    </row>
    <row r="1696" spans="1:20" ht="24.95" customHeight="1">
      <c r="A1696" s="10">
        <v>4</v>
      </c>
      <c r="B1696" s="66" t="s">
        <v>85</v>
      </c>
      <c r="C1696" s="67" t="s">
        <v>85</v>
      </c>
      <c r="D1696" s="68" t="s">
        <v>85</v>
      </c>
      <c r="E1696" s="4" t="s">
        <v>34</v>
      </c>
      <c r="F1696" s="69">
        <v>1</v>
      </c>
      <c r="G1696" s="70"/>
      <c r="H1696" s="69"/>
      <c r="I1696" s="70"/>
      <c r="J1696" s="71">
        <f t="shared" si="199"/>
        <v>1</v>
      </c>
      <c r="K1696" s="71"/>
      <c r="L1696" s="72"/>
      <c r="M1696" s="72"/>
      <c r="O1696" s="11">
        <v>74000</v>
      </c>
      <c r="P1696" s="11">
        <f t="shared" si="200"/>
        <v>0</v>
      </c>
      <c r="Q1696" s="12"/>
      <c r="S1696" s="11">
        <f t="shared" si="201"/>
        <v>74000</v>
      </c>
      <c r="T1696" s="13">
        <f t="shared" si="202"/>
        <v>0</v>
      </c>
    </row>
    <row r="1697" spans="1:20" ht="24.95" customHeight="1">
      <c r="A1697" s="10">
        <v>5</v>
      </c>
      <c r="B1697" s="66" t="s">
        <v>86</v>
      </c>
      <c r="C1697" s="67" t="s">
        <v>86</v>
      </c>
      <c r="D1697" s="68" t="s">
        <v>86</v>
      </c>
      <c r="E1697" s="4" t="s">
        <v>93</v>
      </c>
      <c r="F1697" s="69">
        <v>396</v>
      </c>
      <c r="G1697" s="70"/>
      <c r="H1697" s="69"/>
      <c r="I1697" s="70"/>
      <c r="J1697" s="71">
        <f t="shared" si="199"/>
        <v>350</v>
      </c>
      <c r="K1697" s="71"/>
      <c r="L1697" s="72"/>
      <c r="M1697" s="72"/>
      <c r="O1697" s="11">
        <v>200</v>
      </c>
      <c r="P1697" s="11">
        <f t="shared" si="200"/>
        <v>0</v>
      </c>
      <c r="Q1697" s="12"/>
      <c r="S1697" s="11">
        <f t="shared" si="201"/>
        <v>70000</v>
      </c>
      <c r="T1697" s="13">
        <f t="shared" si="202"/>
        <v>46</v>
      </c>
    </row>
    <row r="1698" spans="1:20" ht="24.95" customHeight="1">
      <c r="A1698" s="10">
        <v>6</v>
      </c>
      <c r="B1698" s="66" t="s">
        <v>97</v>
      </c>
      <c r="C1698" s="67" t="s">
        <v>87</v>
      </c>
      <c r="D1698" s="68" t="s">
        <v>87</v>
      </c>
      <c r="E1698" s="4" t="s">
        <v>35</v>
      </c>
      <c r="F1698" s="69">
        <v>80</v>
      </c>
      <c r="G1698" s="70">
        <v>183.6</v>
      </c>
      <c r="H1698" s="69"/>
      <c r="I1698" s="70"/>
      <c r="J1698" s="71">
        <f t="shared" si="199"/>
        <v>78</v>
      </c>
      <c r="K1698" s="71"/>
      <c r="L1698" s="54"/>
      <c r="M1698" s="59"/>
      <c r="O1698" s="11">
        <v>1463</v>
      </c>
      <c r="P1698" s="11">
        <f t="shared" si="200"/>
        <v>0</v>
      </c>
      <c r="S1698" s="11">
        <f t="shared" si="201"/>
        <v>114114</v>
      </c>
      <c r="T1698" s="13">
        <f t="shared" si="202"/>
        <v>2</v>
      </c>
    </row>
    <row r="1699" spans="1:20" ht="24.95" customHeight="1">
      <c r="A1699" s="10">
        <v>7</v>
      </c>
      <c r="B1699" s="66" t="s">
        <v>88</v>
      </c>
      <c r="C1699" s="67" t="s">
        <v>88</v>
      </c>
      <c r="D1699" s="68" t="s">
        <v>88</v>
      </c>
      <c r="E1699" s="4" t="s">
        <v>94</v>
      </c>
      <c r="F1699" s="69">
        <v>126</v>
      </c>
      <c r="G1699" s="70">
        <v>19</v>
      </c>
      <c r="H1699" s="69"/>
      <c r="I1699" s="70"/>
      <c r="J1699" s="71">
        <f t="shared" si="199"/>
        <v>0</v>
      </c>
      <c r="K1699" s="71"/>
      <c r="L1699" s="54"/>
      <c r="M1699" s="59"/>
      <c r="O1699" s="11">
        <v>6350</v>
      </c>
      <c r="P1699" s="11">
        <f t="shared" si="200"/>
        <v>0</v>
      </c>
      <c r="S1699" s="11">
        <f t="shared" si="201"/>
        <v>0</v>
      </c>
      <c r="T1699" s="13">
        <f t="shared" si="202"/>
        <v>126</v>
      </c>
    </row>
    <row r="1700" spans="1:20" ht="24.95" customHeight="1">
      <c r="A1700" s="10">
        <v>8</v>
      </c>
      <c r="B1700" s="66" t="s">
        <v>89</v>
      </c>
      <c r="C1700" s="67" t="s">
        <v>89</v>
      </c>
      <c r="D1700" s="68" t="s">
        <v>89</v>
      </c>
      <c r="E1700" s="4" t="s">
        <v>95</v>
      </c>
      <c r="F1700" s="69">
        <v>1</v>
      </c>
      <c r="G1700" s="70">
        <v>1192</v>
      </c>
      <c r="H1700" s="69"/>
      <c r="I1700" s="70"/>
      <c r="J1700" s="71">
        <f t="shared" si="199"/>
        <v>0.3</v>
      </c>
      <c r="K1700" s="71"/>
      <c r="L1700" s="54"/>
      <c r="M1700" s="59"/>
      <c r="O1700" s="11">
        <v>47600</v>
      </c>
      <c r="P1700" s="11">
        <f t="shared" si="200"/>
        <v>0</v>
      </c>
      <c r="S1700" s="11">
        <f t="shared" si="201"/>
        <v>14280</v>
      </c>
      <c r="T1700" s="13">
        <f t="shared" si="202"/>
        <v>0.7</v>
      </c>
    </row>
    <row r="1701" spans="1:20" ht="24.95" customHeight="1">
      <c r="A1701" s="10">
        <v>9</v>
      </c>
      <c r="B1701" s="66" t="s">
        <v>90</v>
      </c>
      <c r="C1701" s="67" t="s">
        <v>90</v>
      </c>
      <c r="D1701" s="68" t="s">
        <v>90</v>
      </c>
      <c r="E1701" s="4" t="s">
        <v>96</v>
      </c>
      <c r="F1701" s="69">
        <v>1</v>
      </c>
      <c r="G1701" s="70">
        <v>1261</v>
      </c>
      <c r="H1701" s="69"/>
      <c r="I1701" s="70"/>
      <c r="J1701" s="71">
        <f t="shared" si="199"/>
        <v>0</v>
      </c>
      <c r="K1701" s="71"/>
      <c r="L1701" s="54"/>
      <c r="M1701" s="59"/>
      <c r="O1701" s="11">
        <v>10000</v>
      </c>
      <c r="P1701" s="11">
        <f t="shared" si="200"/>
        <v>0</v>
      </c>
      <c r="S1701" s="11">
        <f t="shared" si="201"/>
        <v>0</v>
      </c>
      <c r="T1701" s="13">
        <f t="shared" si="202"/>
        <v>1</v>
      </c>
    </row>
    <row r="1702" spans="1:20" ht="24.95" customHeight="1">
      <c r="A1702" s="14"/>
      <c r="B1702" s="15"/>
      <c r="C1702" s="16"/>
      <c r="D1702" s="17"/>
      <c r="E1702" s="4"/>
      <c r="F1702" s="18"/>
      <c r="G1702" s="19"/>
      <c r="H1702" s="105"/>
      <c r="I1702" s="106"/>
      <c r="J1702" s="105"/>
      <c r="K1702" s="106"/>
      <c r="L1702" s="54"/>
      <c r="M1702" s="59"/>
      <c r="N1702" s="20"/>
      <c r="P1702" s="21" t="s">
        <v>37</v>
      </c>
      <c r="Q1702" s="22">
        <f>SUM(P1693:P1701)</f>
        <v>0</v>
      </c>
      <c r="R1702" s="23"/>
      <c r="S1702" s="24">
        <f>SUM(S1693:S1701)</f>
        <v>294228</v>
      </c>
      <c r="T1702" s="13"/>
    </row>
    <row r="1703" spans="1:20" ht="24.95" customHeight="1">
      <c r="A1703" s="107"/>
      <c r="B1703" s="108"/>
      <c r="C1703" s="108"/>
      <c r="D1703" s="109"/>
      <c r="E1703" s="4"/>
      <c r="F1703" s="54"/>
      <c r="G1703" s="59"/>
      <c r="H1703" s="72"/>
      <c r="I1703" s="72"/>
      <c r="J1703" s="72"/>
      <c r="K1703" s="72"/>
      <c r="L1703" s="72"/>
      <c r="M1703" s="72"/>
      <c r="O1703" t="s">
        <v>38</v>
      </c>
      <c r="P1703" s="24">
        <f>Q1702</f>
        <v>0</v>
      </c>
      <c r="T1703" s="13"/>
    </row>
    <row r="1704" spans="1:20" ht="24.95" customHeight="1">
      <c r="A1704" s="97"/>
      <c r="B1704" s="98"/>
      <c r="C1704" s="98"/>
      <c r="D1704" s="99"/>
      <c r="E1704" s="4"/>
      <c r="F1704" s="54"/>
      <c r="G1704" s="59"/>
      <c r="H1704" s="72"/>
      <c r="I1704" s="72"/>
      <c r="J1704" s="72"/>
      <c r="K1704" s="72"/>
      <c r="L1704" s="72"/>
      <c r="M1704" s="72"/>
      <c r="O1704" t="s">
        <v>39</v>
      </c>
      <c r="P1704" s="23">
        <f>ROUND(P1703/1153274,4)*100</f>
        <v>0</v>
      </c>
      <c r="T1704" s="13"/>
    </row>
    <row r="1705" spans="1:20" ht="24.95" customHeight="1">
      <c r="A1705" s="25"/>
      <c r="B1705" s="63" t="s">
        <v>40</v>
      </c>
      <c r="C1705" s="63"/>
      <c r="D1705" s="59"/>
      <c r="E1705" s="26"/>
      <c r="F1705" s="100"/>
      <c r="G1705" s="101"/>
      <c r="H1705" s="100"/>
      <c r="I1705" s="101"/>
      <c r="J1705" s="102"/>
      <c r="K1705" s="102"/>
      <c r="L1705" s="103">
        <f>P1703</f>
        <v>0</v>
      </c>
      <c r="M1705" s="104"/>
      <c r="T1705" s="13"/>
    </row>
    <row r="1706" spans="1:20" ht="24.95" customHeight="1" thickBot="1">
      <c r="A1706" s="27"/>
      <c r="B1706" s="85" t="s">
        <v>41</v>
      </c>
      <c r="C1706" s="85"/>
      <c r="D1706" s="86"/>
      <c r="E1706" s="28"/>
      <c r="F1706" s="87"/>
      <c r="G1706" s="88"/>
      <c r="H1706" s="87"/>
      <c r="I1706" s="88"/>
      <c r="J1706" s="87"/>
      <c r="K1706" s="88"/>
      <c r="L1706" s="89">
        <f>L1705+L1648</f>
        <v>294228</v>
      </c>
      <c r="M1706" s="90"/>
      <c r="T1706" s="13"/>
    </row>
    <row r="1707" spans="1:20" ht="24.95" customHeight="1">
      <c r="A1707" s="29"/>
      <c r="B1707" s="91" t="s">
        <v>42</v>
      </c>
      <c r="C1707" s="91"/>
      <c r="D1707" s="92"/>
      <c r="E1707" s="30"/>
      <c r="F1707" s="93"/>
      <c r="G1707" s="94"/>
      <c r="H1707" s="95"/>
      <c r="I1707" s="95"/>
      <c r="J1707" s="95"/>
      <c r="K1707" s="95"/>
      <c r="L1707" s="95"/>
      <c r="M1707" s="96"/>
      <c r="T1707" s="13"/>
    </row>
    <row r="1708" spans="1:20" ht="24.95" customHeight="1">
      <c r="A1708" s="31"/>
      <c r="B1708" s="76" t="s">
        <v>43</v>
      </c>
      <c r="C1708" s="76"/>
      <c r="D1708" s="77"/>
      <c r="E1708" s="4"/>
      <c r="F1708" s="54"/>
      <c r="G1708" s="59"/>
      <c r="H1708" s="72"/>
      <c r="I1708" s="72"/>
      <c r="J1708" s="72"/>
      <c r="K1708" s="72"/>
      <c r="L1708" s="72"/>
      <c r="M1708" s="78"/>
      <c r="T1708" s="13"/>
    </row>
    <row r="1709" spans="1:20" ht="24.95" customHeight="1" thickBot="1">
      <c r="A1709" s="32"/>
      <c r="B1709" s="79" t="s">
        <v>44</v>
      </c>
      <c r="C1709" s="79"/>
      <c r="D1709" s="80"/>
      <c r="E1709" s="33"/>
      <c r="F1709" s="81"/>
      <c r="G1709" s="82"/>
      <c r="H1709" s="83"/>
      <c r="I1709" s="83"/>
      <c r="J1709" s="83"/>
      <c r="K1709" s="83"/>
      <c r="L1709" s="83"/>
      <c r="M1709" s="84"/>
      <c r="T1709" s="13"/>
    </row>
    <row r="1710" spans="1:20" ht="24.95" customHeight="1">
      <c r="A1710" s="73" t="s">
        <v>45</v>
      </c>
      <c r="B1710" s="74"/>
      <c r="C1710" s="74"/>
      <c r="D1710" s="74"/>
      <c r="E1710" s="74"/>
      <c r="F1710" s="74"/>
      <c r="G1710" s="74"/>
      <c r="H1710" s="74"/>
      <c r="I1710" s="74"/>
      <c r="J1710" s="74"/>
      <c r="K1710" s="74"/>
      <c r="L1710" s="74"/>
      <c r="M1710" s="74"/>
      <c r="T1710" s="13"/>
    </row>
    <row r="1711" spans="1:20" ht="24.95" customHeight="1">
      <c r="A1711" s="72" t="s">
        <v>46</v>
      </c>
      <c r="B1711" s="75"/>
      <c r="C1711" s="75"/>
      <c r="D1711" s="75"/>
      <c r="E1711" s="4" t="s">
        <v>22</v>
      </c>
      <c r="F1711" s="72" t="s">
        <v>47</v>
      </c>
      <c r="G1711" s="72"/>
      <c r="H1711" s="72" t="s">
        <v>48</v>
      </c>
      <c r="I1711" s="72"/>
      <c r="J1711" s="72" t="s">
        <v>49</v>
      </c>
      <c r="K1711" s="72"/>
      <c r="L1711" s="72" t="s">
        <v>50</v>
      </c>
      <c r="M1711" s="72"/>
      <c r="T1711" s="13"/>
    </row>
    <row r="1712" spans="1:20" ht="24.95" customHeight="1">
      <c r="A1712" s="10">
        <v>6</v>
      </c>
      <c r="B1712" s="66" t="s">
        <v>97</v>
      </c>
      <c r="C1712" s="67" t="s">
        <v>51</v>
      </c>
      <c r="D1712" s="68" t="s">
        <v>51</v>
      </c>
      <c r="E1712" s="4" t="s">
        <v>35</v>
      </c>
      <c r="F1712" s="69">
        <v>80</v>
      </c>
      <c r="G1712" s="70">
        <v>1261</v>
      </c>
      <c r="H1712" s="71">
        <f>H1698</f>
        <v>0</v>
      </c>
      <c r="I1712" s="71"/>
      <c r="J1712" s="71">
        <f>H1712+J1654</f>
        <v>78</v>
      </c>
      <c r="K1712" s="71"/>
      <c r="L1712" s="72"/>
      <c r="M1712" s="72"/>
      <c r="T1712" s="13"/>
    </row>
    <row r="1713" spans="1:20" ht="24.95" customHeight="1">
      <c r="A1713" s="10">
        <v>7</v>
      </c>
      <c r="B1713" s="66" t="s">
        <v>88</v>
      </c>
      <c r="C1713" s="67" t="s">
        <v>88</v>
      </c>
      <c r="D1713" s="68" t="s">
        <v>88</v>
      </c>
      <c r="E1713" s="4" t="s">
        <v>98</v>
      </c>
      <c r="F1713" s="69">
        <v>126</v>
      </c>
      <c r="G1713" s="70"/>
      <c r="H1713" s="71">
        <f>H1699</f>
        <v>0</v>
      </c>
      <c r="I1713" s="71"/>
      <c r="J1713" s="71">
        <f t="shared" ref="J1713:J1714" si="203">H1713+J1655</f>
        <v>0</v>
      </c>
      <c r="K1713" s="71"/>
      <c r="L1713" s="72"/>
      <c r="M1713" s="72"/>
      <c r="T1713" s="13"/>
    </row>
    <row r="1714" spans="1:20" ht="24.95" customHeight="1">
      <c r="A1714" s="10">
        <v>8</v>
      </c>
      <c r="B1714" s="66" t="s">
        <v>89</v>
      </c>
      <c r="C1714" s="67" t="s">
        <v>89</v>
      </c>
      <c r="D1714" s="68" t="s">
        <v>89</v>
      </c>
      <c r="E1714" s="4" t="s">
        <v>36</v>
      </c>
      <c r="F1714" s="69">
        <v>1</v>
      </c>
      <c r="G1714" s="70"/>
      <c r="H1714" s="71">
        <f>H1700</f>
        <v>0</v>
      </c>
      <c r="I1714" s="71"/>
      <c r="J1714" s="71">
        <f t="shared" si="203"/>
        <v>0.3</v>
      </c>
      <c r="K1714" s="71"/>
      <c r="L1714" s="72"/>
      <c r="M1714" s="72"/>
      <c r="T1714" s="13"/>
    </row>
    <row r="1715" spans="1:20" ht="24.95" customHeight="1">
      <c r="A1715" s="51" t="s">
        <v>52</v>
      </c>
      <c r="B1715" s="52"/>
      <c r="C1715" s="52"/>
      <c r="D1715" s="52"/>
      <c r="E1715" s="52"/>
      <c r="F1715" s="52"/>
      <c r="G1715" s="52"/>
      <c r="H1715" s="52"/>
      <c r="I1715" s="52"/>
      <c r="J1715" s="52"/>
      <c r="K1715" s="52"/>
      <c r="L1715" s="52"/>
      <c r="M1715" s="53"/>
      <c r="T1715" s="13"/>
    </row>
    <row r="1716" spans="1:20" ht="24.95" customHeight="1">
      <c r="A1716" s="54" t="s">
        <v>53</v>
      </c>
      <c r="B1716" s="63"/>
      <c r="C1716" s="63"/>
      <c r="D1716" s="59"/>
      <c r="E1716" s="4" t="s">
        <v>54</v>
      </c>
      <c r="F1716" s="54" t="s">
        <v>55</v>
      </c>
      <c r="G1716" s="59"/>
      <c r="H1716" s="54" t="s">
        <v>56</v>
      </c>
      <c r="I1716" s="59"/>
      <c r="J1716" s="54" t="s">
        <v>48</v>
      </c>
      <c r="K1716" s="59"/>
      <c r="L1716" s="64" t="s">
        <v>49</v>
      </c>
      <c r="M1716" s="65"/>
      <c r="T1716" s="13"/>
    </row>
    <row r="1717" spans="1:20" ht="24.95" customHeight="1">
      <c r="A1717" s="54" t="s">
        <v>57</v>
      </c>
      <c r="B1717" s="55"/>
      <c r="C1717" s="55"/>
      <c r="D1717" s="56"/>
      <c r="E1717" s="4"/>
      <c r="F1717" s="57">
        <f>E1717+F1659</f>
        <v>28</v>
      </c>
      <c r="G1717" s="58"/>
      <c r="H1717" s="54" t="s">
        <v>58</v>
      </c>
      <c r="I1717" s="59"/>
      <c r="J1717" s="54"/>
      <c r="K1717" s="59"/>
      <c r="L1717" s="57">
        <f>J1717+L1659</f>
        <v>15</v>
      </c>
      <c r="M1717" s="58"/>
      <c r="T1717" s="13"/>
    </row>
    <row r="1718" spans="1:20" ht="24.95" customHeight="1">
      <c r="A1718" s="54" t="s">
        <v>59</v>
      </c>
      <c r="B1718" s="55"/>
      <c r="C1718" s="55"/>
      <c r="D1718" s="56"/>
      <c r="E1718" s="4"/>
      <c r="F1718" s="57">
        <f t="shared" ref="F1718:F1720" si="204">E1718+F1660</f>
        <v>0</v>
      </c>
      <c r="G1718" s="58"/>
      <c r="H1718" s="54" t="s">
        <v>60</v>
      </c>
      <c r="I1718" s="59"/>
      <c r="J1718" s="54"/>
      <c r="K1718" s="59"/>
      <c r="L1718" s="57">
        <f t="shared" ref="L1718:L1720" si="205">J1718+L1660</f>
        <v>0</v>
      </c>
      <c r="M1718" s="58"/>
      <c r="T1718" s="13"/>
    </row>
    <row r="1719" spans="1:20" ht="24.95" customHeight="1">
      <c r="A1719" s="54" t="s">
        <v>61</v>
      </c>
      <c r="B1719" s="55"/>
      <c r="C1719" s="55"/>
      <c r="D1719" s="56"/>
      <c r="E1719" s="4"/>
      <c r="F1719" s="57">
        <f t="shared" si="204"/>
        <v>2</v>
      </c>
      <c r="G1719" s="58"/>
      <c r="H1719" s="54" t="s">
        <v>62</v>
      </c>
      <c r="I1719" s="59"/>
      <c r="J1719" s="54"/>
      <c r="K1719" s="59"/>
      <c r="L1719" s="57">
        <f t="shared" si="205"/>
        <v>5</v>
      </c>
      <c r="M1719" s="58"/>
      <c r="T1719" s="13"/>
    </row>
    <row r="1720" spans="1:20" ht="24.95" customHeight="1">
      <c r="A1720" s="54" t="s">
        <v>63</v>
      </c>
      <c r="B1720" s="55"/>
      <c r="C1720" s="55"/>
      <c r="D1720" s="56"/>
      <c r="E1720" s="4"/>
      <c r="F1720" s="57">
        <f t="shared" si="204"/>
        <v>4</v>
      </c>
      <c r="G1720" s="58"/>
      <c r="H1720" s="54" t="s">
        <v>64</v>
      </c>
      <c r="I1720" s="59"/>
      <c r="J1720" s="54"/>
      <c r="K1720" s="59"/>
      <c r="L1720" s="57">
        <f t="shared" si="205"/>
        <v>1</v>
      </c>
      <c r="M1720" s="58"/>
      <c r="T1720" s="13"/>
    </row>
    <row r="1721" spans="1:20" ht="64.5" customHeight="1">
      <c r="A1721" s="60" t="s">
        <v>65</v>
      </c>
      <c r="B1721" s="61"/>
      <c r="C1721" s="61"/>
      <c r="D1721" s="61"/>
      <c r="E1721" s="61"/>
      <c r="F1721" s="61"/>
      <c r="G1721" s="61"/>
      <c r="H1721" s="61"/>
      <c r="I1721" s="61"/>
      <c r="J1721" s="61"/>
      <c r="K1721" s="61"/>
      <c r="L1721" s="61"/>
      <c r="M1721" s="62"/>
      <c r="T1721" s="13"/>
    </row>
    <row r="1722" spans="1:20" ht="24.95" customHeight="1">
      <c r="A1722" s="46" t="s">
        <v>66</v>
      </c>
      <c r="B1722" s="47"/>
      <c r="C1722" s="47"/>
      <c r="D1722" s="47"/>
      <c r="E1722" s="47"/>
      <c r="F1722" s="47"/>
      <c r="G1722" s="47"/>
      <c r="H1722" s="47"/>
      <c r="I1722" s="47"/>
      <c r="J1722" s="47"/>
      <c r="K1722" s="47"/>
      <c r="L1722" s="47"/>
      <c r="M1722" s="48"/>
      <c r="T1722" s="13"/>
    </row>
    <row r="1723" spans="1:20" ht="24.95" customHeight="1">
      <c r="A1723" s="27"/>
      <c r="B1723" s="34" t="s">
        <v>67</v>
      </c>
      <c r="C1723" s="34"/>
      <c r="D1723" s="34"/>
      <c r="E1723" s="34"/>
      <c r="F1723" s="34"/>
      <c r="G1723" s="35"/>
      <c r="H1723" s="34"/>
      <c r="I1723" s="34"/>
      <c r="J1723" s="34"/>
      <c r="K1723" s="34"/>
      <c r="L1723" s="34"/>
      <c r="M1723" s="36"/>
      <c r="T1723" s="13"/>
    </row>
    <row r="1724" spans="1:20" ht="24.95" customHeight="1">
      <c r="A1724" s="27"/>
      <c r="B1724" s="34" t="s">
        <v>81</v>
      </c>
      <c r="C1724" s="34"/>
      <c r="D1724" s="34"/>
      <c r="E1724" s="34"/>
      <c r="F1724" s="34"/>
      <c r="G1724" s="35"/>
      <c r="H1724" s="34"/>
      <c r="I1724" s="34"/>
      <c r="J1724" s="34"/>
      <c r="K1724" s="34"/>
      <c r="L1724" s="34"/>
      <c r="M1724" s="36"/>
      <c r="T1724" s="13"/>
    </row>
    <row r="1725" spans="1:20" ht="24.95" customHeight="1">
      <c r="A1725" s="27"/>
      <c r="B1725" s="34" t="s">
        <v>68</v>
      </c>
      <c r="C1725" s="34"/>
      <c r="D1725" s="34"/>
      <c r="E1725" s="34"/>
      <c r="F1725" s="34"/>
      <c r="G1725" s="35"/>
      <c r="H1725" s="34"/>
      <c r="I1725" s="34"/>
      <c r="J1725" s="34"/>
      <c r="K1725" s="34"/>
      <c r="L1725" s="34"/>
      <c r="M1725" s="36"/>
      <c r="T1725" s="13"/>
    </row>
    <row r="1726" spans="1:20" ht="24.95" customHeight="1">
      <c r="A1726" s="27"/>
      <c r="B1726" s="34" t="s">
        <v>82</v>
      </c>
      <c r="C1726" s="34"/>
      <c r="D1726" s="34"/>
      <c r="E1726" s="34"/>
      <c r="F1726" s="34"/>
      <c r="G1726" s="35"/>
      <c r="H1726" s="34"/>
      <c r="I1726" s="34"/>
      <c r="J1726" s="34"/>
      <c r="K1726" s="34"/>
      <c r="L1726" s="34"/>
      <c r="M1726" s="36"/>
      <c r="T1726" s="13"/>
    </row>
    <row r="1727" spans="1:20" ht="24.95" customHeight="1">
      <c r="A1727" s="27"/>
      <c r="B1727" s="34" t="s">
        <v>99</v>
      </c>
      <c r="C1727" s="34"/>
      <c r="D1727" s="34"/>
      <c r="E1727" s="34"/>
      <c r="F1727" s="34"/>
      <c r="G1727" s="35"/>
      <c r="H1727" s="34"/>
      <c r="I1727" s="34"/>
      <c r="J1727" s="34"/>
      <c r="K1727" s="34"/>
      <c r="L1727" s="34"/>
      <c r="M1727" s="36"/>
      <c r="T1727" s="13"/>
    </row>
    <row r="1728" spans="1:20" ht="24.95" customHeight="1">
      <c r="A1728" s="37"/>
      <c r="B1728" s="49" t="s">
        <v>69</v>
      </c>
      <c r="C1728" s="49"/>
      <c r="D1728" s="49"/>
      <c r="E1728" s="49"/>
      <c r="F1728" s="49"/>
      <c r="G1728" s="49"/>
      <c r="H1728" s="49"/>
      <c r="I1728" s="49"/>
      <c r="J1728" s="49"/>
      <c r="K1728" s="49"/>
      <c r="L1728" s="49"/>
      <c r="M1728" s="50"/>
      <c r="T1728" s="13"/>
    </row>
    <row r="1729" spans="1:20" ht="44.25" customHeight="1">
      <c r="A1729" s="51" t="s">
        <v>70</v>
      </c>
      <c r="B1729" s="52"/>
      <c r="C1729" s="52"/>
      <c r="D1729" s="52"/>
      <c r="E1729" s="52"/>
      <c r="F1729" s="52"/>
      <c r="G1729" s="52"/>
      <c r="H1729" s="52"/>
      <c r="I1729" s="52"/>
      <c r="J1729" s="52"/>
      <c r="K1729" s="52"/>
      <c r="L1729" s="52"/>
      <c r="M1729" s="53"/>
      <c r="T1729" s="13"/>
    </row>
    <row r="1730" spans="1:20" ht="48" customHeight="1">
      <c r="A1730" s="51" t="s">
        <v>71</v>
      </c>
      <c r="B1730" s="52"/>
      <c r="C1730" s="52"/>
      <c r="D1730" s="52"/>
      <c r="E1730" s="52"/>
      <c r="F1730" s="52"/>
      <c r="G1730" s="52"/>
      <c r="H1730" s="52"/>
      <c r="I1730" s="52"/>
      <c r="J1730" s="52"/>
      <c r="K1730" s="52"/>
      <c r="L1730" s="52"/>
      <c r="M1730" s="53"/>
      <c r="T1730" s="13"/>
    </row>
    <row r="1731" spans="1:20" ht="81" customHeight="1">
      <c r="A1731" s="51" t="s">
        <v>155</v>
      </c>
      <c r="B1731" s="52"/>
      <c r="C1731" s="52"/>
      <c r="D1731" s="52"/>
      <c r="E1731" s="52"/>
      <c r="F1731" s="52"/>
      <c r="G1731" s="52"/>
      <c r="H1731" s="52"/>
      <c r="I1731" s="52"/>
      <c r="J1731" s="52"/>
      <c r="K1731" s="52"/>
      <c r="L1731" s="52"/>
      <c r="M1731" s="53"/>
      <c r="T1731" s="13"/>
    </row>
    <row r="1732" spans="1:20" ht="100.5" customHeight="1">
      <c r="A1732" s="51" t="s">
        <v>72</v>
      </c>
      <c r="B1732" s="52"/>
      <c r="C1732" s="52"/>
      <c r="D1732" s="52"/>
      <c r="E1732" s="52"/>
      <c r="F1732" s="52"/>
      <c r="G1732" s="52"/>
      <c r="H1732" s="52"/>
      <c r="I1732" s="52"/>
      <c r="J1732" s="52"/>
      <c r="K1732" s="52"/>
      <c r="L1732" s="52"/>
      <c r="M1732" s="53"/>
      <c r="T1732" s="13"/>
    </row>
    <row r="1733" spans="1:20" ht="12" customHeight="1">
      <c r="A1733" s="41" t="s">
        <v>73</v>
      </c>
      <c r="B1733" s="41"/>
      <c r="C1733" s="42"/>
      <c r="D1733" s="42"/>
      <c r="E1733" s="42"/>
      <c r="F1733" s="42"/>
      <c r="G1733" s="42"/>
      <c r="H1733" s="42"/>
      <c r="I1733" s="42"/>
      <c r="J1733" s="42"/>
      <c r="K1733" s="42"/>
      <c r="L1733" s="42"/>
      <c r="M1733" s="38"/>
      <c r="T1733" s="13"/>
    </row>
    <row r="1734" spans="1:20" ht="12" customHeight="1">
      <c r="A1734" s="43" t="s">
        <v>74</v>
      </c>
      <c r="B1734" s="43"/>
      <c r="C1734" s="40"/>
      <c r="D1734" s="40"/>
      <c r="E1734" s="40"/>
      <c r="F1734" s="40"/>
      <c r="G1734" s="40"/>
      <c r="H1734" s="40"/>
      <c r="I1734" s="40"/>
      <c r="J1734" s="40"/>
      <c r="K1734" s="40"/>
      <c r="L1734" s="38"/>
      <c r="M1734" s="38"/>
      <c r="T1734" s="13"/>
    </row>
    <row r="1735" spans="1:20" ht="12" customHeight="1">
      <c r="A1735" s="44" t="s">
        <v>75</v>
      </c>
      <c r="B1735" s="44"/>
      <c r="C1735" s="44"/>
      <c r="D1735" s="44"/>
      <c r="E1735" s="44"/>
      <c r="F1735" s="44"/>
      <c r="G1735" s="44"/>
      <c r="H1735" s="44"/>
      <c r="I1735" s="44"/>
      <c r="J1735" s="44"/>
      <c r="K1735" s="44"/>
      <c r="L1735" s="44"/>
      <c r="M1735" s="44"/>
      <c r="T1735" s="13"/>
    </row>
    <row r="1736" spans="1:20" ht="12" customHeight="1">
      <c r="A1736" s="39" t="s">
        <v>76</v>
      </c>
      <c r="B1736" s="39"/>
      <c r="C1736" s="39"/>
      <c r="D1736" s="39"/>
      <c r="E1736" s="39"/>
      <c r="F1736" s="39"/>
      <c r="G1736" s="39"/>
      <c r="H1736" s="39"/>
      <c r="I1736" s="39"/>
      <c r="J1736" s="39"/>
      <c r="K1736" s="39"/>
      <c r="L1736" s="39"/>
      <c r="M1736" s="39"/>
      <c r="T1736" s="13"/>
    </row>
    <row r="1737" spans="1:20" ht="12" customHeight="1">
      <c r="A1737" s="39" t="s">
        <v>77</v>
      </c>
      <c r="B1737" s="40"/>
      <c r="C1737" s="40"/>
      <c r="D1737" s="40"/>
      <c r="E1737" s="40"/>
      <c r="F1737" s="40"/>
      <c r="G1737" s="40"/>
      <c r="H1737" s="40"/>
      <c r="I1737" s="40"/>
      <c r="J1737" s="40"/>
      <c r="K1737" s="40"/>
      <c r="L1737" s="40"/>
      <c r="M1737" s="40"/>
      <c r="T1737" s="13"/>
    </row>
    <row r="1738" spans="1:20" ht="12" customHeight="1">
      <c r="A1738" s="45" t="s">
        <v>78</v>
      </c>
      <c r="B1738" s="40"/>
      <c r="C1738" s="40"/>
      <c r="D1738" s="40"/>
      <c r="E1738" s="40"/>
      <c r="F1738" s="40"/>
      <c r="G1738" s="40"/>
      <c r="H1738" s="40"/>
      <c r="I1738" s="40"/>
      <c r="J1738" s="40"/>
      <c r="K1738" s="40"/>
      <c r="L1738" s="40"/>
      <c r="M1738" s="40"/>
      <c r="T1738" s="13"/>
    </row>
    <row r="1739" spans="1:20" ht="12" customHeight="1">
      <c r="A1739" s="39" t="s">
        <v>79</v>
      </c>
      <c r="B1739" s="40"/>
      <c r="C1739" s="40"/>
      <c r="D1739" s="40"/>
      <c r="E1739" s="40"/>
      <c r="F1739" s="40"/>
      <c r="G1739" s="40"/>
      <c r="H1739" s="40"/>
      <c r="I1739" s="40"/>
      <c r="J1739" s="40"/>
      <c r="K1739" s="40"/>
      <c r="L1739" s="40"/>
      <c r="M1739" s="40"/>
      <c r="T1739" s="13"/>
    </row>
    <row r="1740" spans="1:20" ht="409.5" customHeight="1"/>
    <row r="1741" spans="1:20" s="2" customFormat="1" ht="35.1" customHeight="1">
      <c r="A1741" s="126" t="s">
        <v>0</v>
      </c>
      <c r="B1741" s="126"/>
      <c r="C1741" s="1">
        <f>C1683+1</f>
        <v>35</v>
      </c>
      <c r="G1741" s="3"/>
    </row>
    <row r="1742" spans="1:20" s="2" customFormat="1" ht="35.1" customHeight="1">
      <c r="A1742" s="126" t="s">
        <v>1</v>
      </c>
      <c r="B1742" s="126"/>
      <c r="C1742" s="2" t="s">
        <v>2</v>
      </c>
      <c r="D1742" s="2" t="s">
        <v>151</v>
      </c>
      <c r="E1742" s="2" t="s">
        <v>3</v>
      </c>
      <c r="F1742" s="2" t="s">
        <v>151</v>
      </c>
      <c r="G1742" s="3"/>
      <c r="H1742" s="127" t="s">
        <v>4</v>
      </c>
      <c r="I1742" s="128"/>
      <c r="J1742" s="129">
        <f>J1684+1</f>
        <v>46022</v>
      </c>
      <c r="K1742" s="130"/>
      <c r="L1742" s="131">
        <f>J1742</f>
        <v>46022</v>
      </c>
      <c r="M1742" s="132"/>
    </row>
    <row r="1743" spans="1:20" s="2" customFormat="1" ht="30" customHeight="1">
      <c r="A1743" s="72" t="s">
        <v>5</v>
      </c>
      <c r="B1743" s="114"/>
      <c r="C1743" s="119" t="s">
        <v>83</v>
      </c>
      <c r="D1743" s="119"/>
      <c r="E1743" s="119"/>
      <c r="F1743" s="119"/>
      <c r="G1743" s="119"/>
      <c r="H1743" s="54" t="s">
        <v>6</v>
      </c>
      <c r="I1743" s="59"/>
      <c r="J1743" s="120"/>
      <c r="K1743" s="120"/>
      <c r="L1743" s="120"/>
      <c r="M1743" s="120"/>
    </row>
    <row r="1744" spans="1:20" s="1" customFormat="1" ht="30" customHeight="1">
      <c r="A1744" s="72" t="s">
        <v>7</v>
      </c>
      <c r="B1744" s="114"/>
      <c r="C1744" s="4">
        <v>50</v>
      </c>
      <c r="D1744" s="4" t="s">
        <v>8</v>
      </c>
      <c r="E1744" s="4" t="s">
        <v>9</v>
      </c>
      <c r="F1744" s="4">
        <f>F1686+1</f>
        <v>35</v>
      </c>
      <c r="G1744" s="5" t="s">
        <v>8</v>
      </c>
      <c r="H1744" s="4" t="s">
        <v>10</v>
      </c>
      <c r="I1744" s="4">
        <f>C1744-F1744+L1744</f>
        <v>15</v>
      </c>
      <c r="J1744" s="4" t="s">
        <v>11</v>
      </c>
      <c r="K1744" s="6" t="s">
        <v>12</v>
      </c>
      <c r="L1744" s="7">
        <f>L1686</f>
        <v>0</v>
      </c>
      <c r="M1744" s="4" t="s">
        <v>8</v>
      </c>
    </row>
    <row r="1745" spans="1:20" s="2" customFormat="1" ht="30" customHeight="1">
      <c r="A1745" s="72" t="s">
        <v>13</v>
      </c>
      <c r="B1745" s="75"/>
      <c r="C1745" s="75"/>
      <c r="D1745" s="121">
        <f>D1687</f>
        <v>45988</v>
      </c>
      <c r="E1745" s="122"/>
      <c r="F1745" s="122"/>
      <c r="G1745" s="123"/>
      <c r="H1745" s="124" t="s">
        <v>14</v>
      </c>
      <c r="I1745" s="125"/>
      <c r="J1745" s="121">
        <f>J1687</f>
        <v>46037</v>
      </c>
      <c r="K1745" s="122"/>
      <c r="L1745" s="122"/>
      <c r="M1745" s="123"/>
    </row>
    <row r="1746" spans="1:20" s="2" customFormat="1" ht="30" customHeight="1">
      <c r="A1746" s="72" t="s">
        <v>15</v>
      </c>
      <c r="B1746" s="114"/>
      <c r="C1746" s="114"/>
      <c r="D1746" s="72">
        <v>1.0149999999999999</v>
      </c>
      <c r="E1746" s="72"/>
      <c r="F1746" s="72"/>
      <c r="G1746" s="72"/>
      <c r="H1746" s="64" t="s">
        <v>16</v>
      </c>
      <c r="I1746" s="115"/>
      <c r="J1746" s="116">
        <f>P1762</f>
        <v>0</v>
      </c>
      <c r="K1746" s="117"/>
      <c r="L1746" s="117"/>
      <c r="M1746" s="118"/>
    </row>
    <row r="1747" spans="1:20" s="2" customFormat="1" ht="30" customHeight="1">
      <c r="A1747" s="72" t="s">
        <v>17</v>
      </c>
      <c r="B1747" s="114"/>
      <c r="C1747" s="114"/>
      <c r="D1747" s="72">
        <f>D1746+D1689</f>
        <v>25.439</v>
      </c>
      <c r="E1747" s="72"/>
      <c r="F1747" s="72"/>
      <c r="G1747" s="72"/>
      <c r="H1747" s="64" t="s">
        <v>18</v>
      </c>
      <c r="I1747" s="115"/>
      <c r="J1747" s="116">
        <f>J1746+J1689</f>
        <v>25.469999999999992</v>
      </c>
      <c r="K1747" s="117"/>
      <c r="L1747" s="117"/>
      <c r="M1747" s="118"/>
    </row>
    <row r="1748" spans="1:20" s="2" customFormat="1" ht="30" customHeight="1">
      <c r="A1748" s="111" t="s">
        <v>19</v>
      </c>
      <c r="B1748" s="112"/>
      <c r="C1748" s="112"/>
      <c r="D1748" s="112"/>
      <c r="E1748" s="112"/>
      <c r="F1748" s="112"/>
      <c r="G1748" s="112"/>
      <c r="H1748" s="112"/>
      <c r="I1748" s="112"/>
      <c r="J1748" s="112"/>
      <c r="K1748" s="112"/>
      <c r="L1748" s="112"/>
      <c r="M1748" s="113"/>
    </row>
    <row r="1749" spans="1:20" s="2" customFormat="1" ht="30" customHeight="1">
      <c r="A1749" s="8" t="s">
        <v>20</v>
      </c>
      <c r="B1749" s="72" t="s">
        <v>21</v>
      </c>
      <c r="C1749" s="72"/>
      <c r="D1749" s="72"/>
      <c r="E1749" s="4" t="s">
        <v>22</v>
      </c>
      <c r="F1749" s="54" t="s">
        <v>23</v>
      </c>
      <c r="G1749" s="59"/>
      <c r="H1749" s="72" t="s">
        <v>24</v>
      </c>
      <c r="I1749" s="72"/>
      <c r="J1749" s="72" t="s">
        <v>25</v>
      </c>
      <c r="K1749" s="72"/>
      <c r="L1749" s="72" t="s">
        <v>26</v>
      </c>
      <c r="M1749" s="72"/>
      <c r="O1749" s="1" t="s">
        <v>27</v>
      </c>
      <c r="P1749" s="1" t="s">
        <v>28</v>
      </c>
      <c r="T1749" s="2" t="s">
        <v>29</v>
      </c>
    </row>
    <row r="1750" spans="1:20" s="2" customFormat="1" ht="24.95" customHeight="1">
      <c r="A1750" s="9" t="s">
        <v>30</v>
      </c>
      <c r="B1750" s="110" t="s">
        <v>31</v>
      </c>
      <c r="C1750" s="110"/>
      <c r="D1750" s="110"/>
      <c r="E1750" s="4"/>
      <c r="F1750" s="54"/>
      <c r="G1750" s="59"/>
      <c r="H1750" s="72"/>
      <c r="I1750" s="72"/>
      <c r="J1750" s="72"/>
      <c r="K1750" s="72"/>
      <c r="L1750" s="72"/>
      <c r="M1750" s="72"/>
    </row>
    <row r="1751" spans="1:20" ht="24.95" customHeight="1">
      <c r="A1751" s="10">
        <v>1</v>
      </c>
      <c r="B1751" s="66" t="s">
        <v>91</v>
      </c>
      <c r="C1751" s="67" t="s">
        <v>91</v>
      </c>
      <c r="D1751" s="68" t="s">
        <v>91</v>
      </c>
      <c r="E1751" s="4" t="s">
        <v>32</v>
      </c>
      <c r="F1751" s="69">
        <v>1</v>
      </c>
      <c r="G1751" s="70"/>
      <c r="H1751" s="69"/>
      <c r="I1751" s="70"/>
      <c r="J1751" s="71">
        <f>H1751+J1693</f>
        <v>1</v>
      </c>
      <c r="K1751" s="71"/>
      <c r="L1751" s="72"/>
      <c r="M1751" s="72"/>
      <c r="O1751" s="11">
        <v>4000</v>
      </c>
      <c r="P1751" s="11">
        <f>ROUND(H1751*O1751,0)</f>
        <v>0</v>
      </c>
      <c r="Q1751" s="12"/>
      <c r="S1751" s="11">
        <f>ROUND(J1751*O1751,0)</f>
        <v>4000</v>
      </c>
      <c r="T1751" s="13">
        <f>F1751-J1751</f>
        <v>0</v>
      </c>
    </row>
    <row r="1752" spans="1:20" ht="24.95" customHeight="1">
      <c r="A1752" s="10">
        <v>2</v>
      </c>
      <c r="B1752" s="66" t="s">
        <v>92</v>
      </c>
      <c r="C1752" s="67" t="s">
        <v>92</v>
      </c>
      <c r="D1752" s="68" t="s">
        <v>92</v>
      </c>
      <c r="E1752" s="4" t="s">
        <v>32</v>
      </c>
      <c r="F1752" s="69">
        <v>1</v>
      </c>
      <c r="G1752" s="70"/>
      <c r="H1752" s="69"/>
      <c r="I1752" s="70"/>
      <c r="J1752" s="71">
        <f t="shared" ref="J1752:J1759" si="206">H1752+J1694</f>
        <v>1</v>
      </c>
      <c r="K1752" s="71"/>
      <c r="L1752" s="72"/>
      <c r="M1752" s="72"/>
      <c r="O1752" s="11">
        <v>14334</v>
      </c>
      <c r="P1752" s="11">
        <f t="shared" ref="P1752:P1759" si="207">ROUND(H1752*O1752,0)</f>
        <v>0</v>
      </c>
      <c r="Q1752" s="12"/>
      <c r="S1752" s="11">
        <f t="shared" ref="S1752:S1759" si="208">ROUND(J1752*O1752,0)</f>
        <v>14334</v>
      </c>
      <c r="T1752" s="13">
        <f t="shared" ref="T1752:T1759" si="209">F1752-J1752</f>
        <v>0</v>
      </c>
    </row>
    <row r="1753" spans="1:20" ht="24.95" customHeight="1">
      <c r="A1753" s="10">
        <v>3</v>
      </c>
      <c r="B1753" s="66" t="s">
        <v>84</v>
      </c>
      <c r="C1753" s="67" t="s">
        <v>84</v>
      </c>
      <c r="D1753" s="68" t="s">
        <v>84</v>
      </c>
      <c r="E1753" s="4" t="s">
        <v>33</v>
      </c>
      <c r="F1753" s="69">
        <v>1</v>
      </c>
      <c r="G1753" s="70"/>
      <c r="H1753" s="69"/>
      <c r="I1753" s="70"/>
      <c r="J1753" s="71">
        <f t="shared" si="206"/>
        <v>0.5</v>
      </c>
      <c r="K1753" s="71"/>
      <c r="L1753" s="72"/>
      <c r="M1753" s="72"/>
      <c r="O1753" s="11">
        <v>7000</v>
      </c>
      <c r="P1753" s="11">
        <f t="shared" si="207"/>
        <v>0</v>
      </c>
      <c r="Q1753" s="12"/>
      <c r="S1753" s="11">
        <f t="shared" si="208"/>
        <v>3500</v>
      </c>
      <c r="T1753" s="13">
        <f t="shared" si="209"/>
        <v>0.5</v>
      </c>
    </row>
    <row r="1754" spans="1:20" ht="24.95" customHeight="1">
      <c r="A1754" s="10">
        <v>4</v>
      </c>
      <c r="B1754" s="66" t="s">
        <v>85</v>
      </c>
      <c r="C1754" s="67" t="s">
        <v>85</v>
      </c>
      <c r="D1754" s="68" t="s">
        <v>85</v>
      </c>
      <c r="E1754" s="4" t="s">
        <v>34</v>
      </c>
      <c r="F1754" s="69">
        <v>1</v>
      </c>
      <c r="G1754" s="70"/>
      <c r="H1754" s="69"/>
      <c r="I1754" s="70"/>
      <c r="J1754" s="71">
        <f t="shared" si="206"/>
        <v>1</v>
      </c>
      <c r="K1754" s="71"/>
      <c r="L1754" s="72"/>
      <c r="M1754" s="72"/>
      <c r="O1754" s="11">
        <v>74000</v>
      </c>
      <c r="P1754" s="11">
        <f t="shared" si="207"/>
        <v>0</v>
      </c>
      <c r="Q1754" s="12"/>
      <c r="S1754" s="11">
        <f t="shared" si="208"/>
        <v>74000</v>
      </c>
      <c r="T1754" s="13">
        <f t="shared" si="209"/>
        <v>0</v>
      </c>
    </row>
    <row r="1755" spans="1:20" ht="24.95" customHeight="1">
      <c r="A1755" s="10">
        <v>5</v>
      </c>
      <c r="B1755" s="66" t="s">
        <v>86</v>
      </c>
      <c r="C1755" s="67" t="s">
        <v>86</v>
      </c>
      <c r="D1755" s="68" t="s">
        <v>86</v>
      </c>
      <c r="E1755" s="4" t="s">
        <v>93</v>
      </c>
      <c r="F1755" s="69">
        <v>396</v>
      </c>
      <c r="G1755" s="70"/>
      <c r="H1755" s="69"/>
      <c r="I1755" s="70"/>
      <c r="J1755" s="71">
        <f t="shared" si="206"/>
        <v>350</v>
      </c>
      <c r="K1755" s="71"/>
      <c r="L1755" s="72"/>
      <c r="M1755" s="72"/>
      <c r="O1755" s="11">
        <v>200</v>
      </c>
      <c r="P1755" s="11">
        <f t="shared" si="207"/>
        <v>0</v>
      </c>
      <c r="Q1755" s="12"/>
      <c r="S1755" s="11">
        <f t="shared" si="208"/>
        <v>70000</v>
      </c>
      <c r="T1755" s="13">
        <f t="shared" si="209"/>
        <v>46</v>
      </c>
    </row>
    <row r="1756" spans="1:20" ht="24.95" customHeight="1">
      <c r="A1756" s="10">
        <v>6</v>
      </c>
      <c r="B1756" s="66" t="s">
        <v>97</v>
      </c>
      <c r="C1756" s="67" t="s">
        <v>87</v>
      </c>
      <c r="D1756" s="68" t="s">
        <v>87</v>
      </c>
      <c r="E1756" s="4" t="s">
        <v>35</v>
      </c>
      <c r="F1756" s="69">
        <v>80</v>
      </c>
      <c r="G1756" s="70">
        <v>183.6</v>
      </c>
      <c r="H1756" s="69"/>
      <c r="I1756" s="70"/>
      <c r="J1756" s="71">
        <f t="shared" si="206"/>
        <v>78</v>
      </c>
      <c r="K1756" s="71"/>
      <c r="L1756" s="54"/>
      <c r="M1756" s="59"/>
      <c r="O1756" s="11">
        <v>1463</v>
      </c>
      <c r="P1756" s="11">
        <f t="shared" si="207"/>
        <v>0</v>
      </c>
      <c r="S1756" s="11">
        <f t="shared" si="208"/>
        <v>114114</v>
      </c>
      <c r="T1756" s="13">
        <f t="shared" si="209"/>
        <v>2</v>
      </c>
    </row>
    <row r="1757" spans="1:20" ht="24.95" customHeight="1">
      <c r="A1757" s="10">
        <v>7</v>
      </c>
      <c r="B1757" s="66" t="s">
        <v>88</v>
      </c>
      <c r="C1757" s="67" t="s">
        <v>88</v>
      </c>
      <c r="D1757" s="68" t="s">
        <v>88</v>
      </c>
      <c r="E1757" s="4" t="s">
        <v>94</v>
      </c>
      <c r="F1757" s="69">
        <v>126</v>
      </c>
      <c r="G1757" s="70">
        <v>19</v>
      </c>
      <c r="H1757" s="69"/>
      <c r="I1757" s="70"/>
      <c r="J1757" s="71">
        <f t="shared" si="206"/>
        <v>0</v>
      </c>
      <c r="K1757" s="71"/>
      <c r="L1757" s="54"/>
      <c r="M1757" s="59"/>
      <c r="O1757" s="11">
        <v>6350</v>
      </c>
      <c r="P1757" s="11">
        <f t="shared" si="207"/>
        <v>0</v>
      </c>
      <c r="S1757" s="11">
        <f t="shared" si="208"/>
        <v>0</v>
      </c>
      <c r="T1757" s="13">
        <f t="shared" si="209"/>
        <v>126</v>
      </c>
    </row>
    <row r="1758" spans="1:20" ht="24.95" customHeight="1">
      <c r="A1758" s="10">
        <v>8</v>
      </c>
      <c r="B1758" s="66" t="s">
        <v>89</v>
      </c>
      <c r="C1758" s="67" t="s">
        <v>89</v>
      </c>
      <c r="D1758" s="68" t="s">
        <v>89</v>
      </c>
      <c r="E1758" s="4" t="s">
        <v>95</v>
      </c>
      <c r="F1758" s="69">
        <v>1</v>
      </c>
      <c r="G1758" s="70">
        <v>1192</v>
      </c>
      <c r="H1758" s="69"/>
      <c r="I1758" s="70"/>
      <c r="J1758" s="71">
        <f t="shared" si="206"/>
        <v>0.3</v>
      </c>
      <c r="K1758" s="71"/>
      <c r="L1758" s="54"/>
      <c r="M1758" s="59"/>
      <c r="O1758" s="11">
        <v>47600</v>
      </c>
      <c r="P1758" s="11">
        <f t="shared" si="207"/>
        <v>0</v>
      </c>
      <c r="S1758" s="11">
        <f t="shared" si="208"/>
        <v>14280</v>
      </c>
      <c r="T1758" s="13">
        <f t="shared" si="209"/>
        <v>0.7</v>
      </c>
    </row>
    <row r="1759" spans="1:20" ht="24.95" customHeight="1">
      <c r="A1759" s="10">
        <v>9</v>
      </c>
      <c r="B1759" s="66" t="s">
        <v>90</v>
      </c>
      <c r="C1759" s="67" t="s">
        <v>90</v>
      </c>
      <c r="D1759" s="68" t="s">
        <v>90</v>
      </c>
      <c r="E1759" s="4" t="s">
        <v>96</v>
      </c>
      <c r="F1759" s="69">
        <v>1</v>
      </c>
      <c r="G1759" s="70">
        <v>1261</v>
      </c>
      <c r="H1759" s="69"/>
      <c r="I1759" s="70"/>
      <c r="J1759" s="71">
        <f t="shared" si="206"/>
        <v>0</v>
      </c>
      <c r="K1759" s="71"/>
      <c r="L1759" s="54"/>
      <c r="M1759" s="59"/>
      <c r="O1759" s="11">
        <v>10000</v>
      </c>
      <c r="P1759" s="11">
        <f t="shared" si="207"/>
        <v>0</v>
      </c>
      <c r="S1759" s="11">
        <f t="shared" si="208"/>
        <v>0</v>
      </c>
      <c r="T1759" s="13">
        <f t="shared" si="209"/>
        <v>1</v>
      </c>
    </row>
    <row r="1760" spans="1:20" ht="24.95" customHeight="1">
      <c r="A1760" s="14"/>
      <c r="B1760" s="15"/>
      <c r="C1760" s="16"/>
      <c r="D1760" s="17"/>
      <c r="E1760" s="4"/>
      <c r="F1760" s="18"/>
      <c r="G1760" s="19"/>
      <c r="H1760" s="105"/>
      <c r="I1760" s="106"/>
      <c r="J1760" s="105"/>
      <c r="K1760" s="106"/>
      <c r="L1760" s="54"/>
      <c r="M1760" s="59"/>
      <c r="N1760" s="20"/>
      <c r="P1760" s="21" t="s">
        <v>37</v>
      </c>
      <c r="Q1760" s="22">
        <f>SUM(P1751:P1759)</f>
        <v>0</v>
      </c>
      <c r="R1760" s="23"/>
      <c r="S1760" s="24">
        <f>SUM(S1751:S1759)</f>
        <v>294228</v>
      </c>
      <c r="T1760" s="13"/>
    </row>
    <row r="1761" spans="1:20" ht="24.95" customHeight="1">
      <c r="A1761" s="107"/>
      <c r="B1761" s="108"/>
      <c r="C1761" s="108"/>
      <c r="D1761" s="109"/>
      <c r="E1761" s="4"/>
      <c r="F1761" s="54"/>
      <c r="G1761" s="59"/>
      <c r="H1761" s="72"/>
      <c r="I1761" s="72"/>
      <c r="J1761" s="72"/>
      <c r="K1761" s="72"/>
      <c r="L1761" s="72"/>
      <c r="M1761" s="72"/>
      <c r="O1761" t="s">
        <v>38</v>
      </c>
      <c r="P1761" s="24">
        <f>Q1760</f>
        <v>0</v>
      </c>
      <c r="T1761" s="13"/>
    </row>
    <row r="1762" spans="1:20" ht="24.95" customHeight="1">
      <c r="A1762" s="97"/>
      <c r="B1762" s="98"/>
      <c r="C1762" s="98"/>
      <c r="D1762" s="99"/>
      <c r="E1762" s="4"/>
      <c r="F1762" s="54"/>
      <c r="G1762" s="59"/>
      <c r="H1762" s="72"/>
      <c r="I1762" s="72"/>
      <c r="J1762" s="72"/>
      <c r="K1762" s="72"/>
      <c r="L1762" s="72"/>
      <c r="M1762" s="72"/>
      <c r="O1762" t="s">
        <v>39</v>
      </c>
      <c r="P1762" s="23">
        <f>ROUND(P1761/1153274,4)*100</f>
        <v>0</v>
      </c>
      <c r="T1762" s="13"/>
    </row>
    <row r="1763" spans="1:20" ht="24.95" customHeight="1">
      <c r="A1763" s="25"/>
      <c r="B1763" s="63" t="s">
        <v>40</v>
      </c>
      <c r="C1763" s="63"/>
      <c r="D1763" s="59"/>
      <c r="E1763" s="26"/>
      <c r="F1763" s="100"/>
      <c r="G1763" s="101"/>
      <c r="H1763" s="100"/>
      <c r="I1763" s="101"/>
      <c r="J1763" s="102"/>
      <c r="K1763" s="102"/>
      <c r="L1763" s="103">
        <f>P1761</f>
        <v>0</v>
      </c>
      <c r="M1763" s="104"/>
      <c r="T1763" s="13"/>
    </row>
    <row r="1764" spans="1:20" ht="24.95" customHeight="1" thickBot="1">
      <c r="A1764" s="27"/>
      <c r="B1764" s="85" t="s">
        <v>41</v>
      </c>
      <c r="C1764" s="85"/>
      <c r="D1764" s="86"/>
      <c r="E1764" s="28"/>
      <c r="F1764" s="87"/>
      <c r="G1764" s="88"/>
      <c r="H1764" s="87"/>
      <c r="I1764" s="88"/>
      <c r="J1764" s="87"/>
      <c r="K1764" s="88"/>
      <c r="L1764" s="89">
        <f>L1763+L1706</f>
        <v>294228</v>
      </c>
      <c r="M1764" s="90"/>
      <c r="T1764" s="13"/>
    </row>
    <row r="1765" spans="1:20" ht="24.95" customHeight="1">
      <c r="A1765" s="29"/>
      <c r="B1765" s="91" t="s">
        <v>42</v>
      </c>
      <c r="C1765" s="91"/>
      <c r="D1765" s="92"/>
      <c r="E1765" s="30"/>
      <c r="F1765" s="93"/>
      <c r="G1765" s="94"/>
      <c r="H1765" s="95"/>
      <c r="I1765" s="95"/>
      <c r="J1765" s="95"/>
      <c r="K1765" s="95"/>
      <c r="L1765" s="95"/>
      <c r="M1765" s="96"/>
      <c r="T1765" s="13"/>
    </row>
    <row r="1766" spans="1:20" ht="24.95" customHeight="1">
      <c r="A1766" s="31"/>
      <c r="B1766" s="76" t="s">
        <v>43</v>
      </c>
      <c r="C1766" s="76"/>
      <c r="D1766" s="77"/>
      <c r="E1766" s="4"/>
      <c r="F1766" s="54"/>
      <c r="G1766" s="59"/>
      <c r="H1766" s="72"/>
      <c r="I1766" s="72"/>
      <c r="J1766" s="72"/>
      <c r="K1766" s="72"/>
      <c r="L1766" s="72"/>
      <c r="M1766" s="78"/>
      <c r="T1766" s="13"/>
    </row>
    <row r="1767" spans="1:20" ht="24.95" customHeight="1" thickBot="1">
      <c r="A1767" s="32"/>
      <c r="B1767" s="79" t="s">
        <v>44</v>
      </c>
      <c r="C1767" s="79"/>
      <c r="D1767" s="80"/>
      <c r="E1767" s="33"/>
      <c r="F1767" s="81"/>
      <c r="G1767" s="82"/>
      <c r="H1767" s="83"/>
      <c r="I1767" s="83"/>
      <c r="J1767" s="83"/>
      <c r="K1767" s="83"/>
      <c r="L1767" s="83"/>
      <c r="M1767" s="84"/>
      <c r="T1767" s="13"/>
    </row>
    <row r="1768" spans="1:20" ht="24.95" customHeight="1">
      <c r="A1768" s="73" t="s">
        <v>45</v>
      </c>
      <c r="B1768" s="74"/>
      <c r="C1768" s="74"/>
      <c r="D1768" s="74"/>
      <c r="E1768" s="74"/>
      <c r="F1768" s="74"/>
      <c r="G1768" s="74"/>
      <c r="H1768" s="74"/>
      <c r="I1768" s="74"/>
      <c r="J1768" s="74"/>
      <c r="K1768" s="74"/>
      <c r="L1768" s="74"/>
      <c r="M1768" s="74"/>
      <c r="T1768" s="13"/>
    </row>
    <row r="1769" spans="1:20" ht="24.95" customHeight="1">
      <c r="A1769" s="72" t="s">
        <v>46</v>
      </c>
      <c r="B1769" s="75"/>
      <c r="C1769" s="75"/>
      <c r="D1769" s="75"/>
      <c r="E1769" s="4" t="s">
        <v>22</v>
      </c>
      <c r="F1769" s="72" t="s">
        <v>47</v>
      </c>
      <c r="G1769" s="72"/>
      <c r="H1769" s="72" t="s">
        <v>48</v>
      </c>
      <c r="I1769" s="72"/>
      <c r="J1769" s="72" t="s">
        <v>49</v>
      </c>
      <c r="K1769" s="72"/>
      <c r="L1769" s="72" t="s">
        <v>50</v>
      </c>
      <c r="M1769" s="72"/>
      <c r="T1769" s="13"/>
    </row>
    <row r="1770" spans="1:20" ht="24.95" customHeight="1">
      <c r="A1770" s="10">
        <v>6</v>
      </c>
      <c r="B1770" s="66" t="s">
        <v>97</v>
      </c>
      <c r="C1770" s="67" t="s">
        <v>51</v>
      </c>
      <c r="D1770" s="68" t="s">
        <v>51</v>
      </c>
      <c r="E1770" s="4" t="s">
        <v>35</v>
      </c>
      <c r="F1770" s="69">
        <v>80</v>
      </c>
      <c r="G1770" s="70">
        <v>1261</v>
      </c>
      <c r="H1770" s="71">
        <f>H1756</f>
        <v>0</v>
      </c>
      <c r="I1770" s="71"/>
      <c r="J1770" s="71">
        <f>H1770+J1712</f>
        <v>78</v>
      </c>
      <c r="K1770" s="71"/>
      <c r="L1770" s="72"/>
      <c r="M1770" s="72"/>
      <c r="T1770" s="13"/>
    </row>
    <row r="1771" spans="1:20" ht="24.95" customHeight="1">
      <c r="A1771" s="10">
        <v>7</v>
      </c>
      <c r="B1771" s="66" t="s">
        <v>88</v>
      </c>
      <c r="C1771" s="67" t="s">
        <v>88</v>
      </c>
      <c r="D1771" s="68" t="s">
        <v>88</v>
      </c>
      <c r="E1771" s="4" t="s">
        <v>98</v>
      </c>
      <c r="F1771" s="69">
        <v>126</v>
      </c>
      <c r="G1771" s="70"/>
      <c r="H1771" s="71">
        <f>H1757</f>
        <v>0</v>
      </c>
      <c r="I1771" s="71"/>
      <c r="J1771" s="71">
        <f t="shared" ref="J1771:J1772" si="210">H1771+J1713</f>
        <v>0</v>
      </c>
      <c r="K1771" s="71"/>
      <c r="L1771" s="72"/>
      <c r="M1771" s="72"/>
      <c r="T1771" s="13"/>
    </row>
    <row r="1772" spans="1:20" ht="24.95" customHeight="1">
      <c r="A1772" s="10">
        <v>8</v>
      </c>
      <c r="B1772" s="66" t="s">
        <v>89</v>
      </c>
      <c r="C1772" s="67" t="s">
        <v>89</v>
      </c>
      <c r="D1772" s="68" t="s">
        <v>89</v>
      </c>
      <c r="E1772" s="4" t="s">
        <v>36</v>
      </c>
      <c r="F1772" s="69">
        <v>1</v>
      </c>
      <c r="G1772" s="70"/>
      <c r="H1772" s="71">
        <f>H1758</f>
        <v>0</v>
      </c>
      <c r="I1772" s="71"/>
      <c r="J1772" s="71">
        <f t="shared" si="210"/>
        <v>0.3</v>
      </c>
      <c r="K1772" s="71"/>
      <c r="L1772" s="72"/>
      <c r="M1772" s="72"/>
      <c r="T1772" s="13"/>
    </row>
    <row r="1773" spans="1:20" ht="24.95" customHeight="1">
      <c r="A1773" s="51" t="s">
        <v>52</v>
      </c>
      <c r="B1773" s="52"/>
      <c r="C1773" s="52"/>
      <c r="D1773" s="52"/>
      <c r="E1773" s="52"/>
      <c r="F1773" s="52"/>
      <c r="G1773" s="52"/>
      <c r="H1773" s="52"/>
      <c r="I1773" s="52"/>
      <c r="J1773" s="52"/>
      <c r="K1773" s="52"/>
      <c r="L1773" s="52"/>
      <c r="M1773" s="53"/>
      <c r="T1773" s="13"/>
    </row>
    <row r="1774" spans="1:20" ht="24.95" customHeight="1">
      <c r="A1774" s="54" t="s">
        <v>53</v>
      </c>
      <c r="B1774" s="63"/>
      <c r="C1774" s="63"/>
      <c r="D1774" s="59"/>
      <c r="E1774" s="4" t="s">
        <v>54</v>
      </c>
      <c r="F1774" s="54" t="s">
        <v>55</v>
      </c>
      <c r="G1774" s="59"/>
      <c r="H1774" s="54" t="s">
        <v>56</v>
      </c>
      <c r="I1774" s="59"/>
      <c r="J1774" s="54" t="s">
        <v>48</v>
      </c>
      <c r="K1774" s="59"/>
      <c r="L1774" s="64" t="s">
        <v>49</v>
      </c>
      <c r="M1774" s="65"/>
      <c r="T1774" s="13"/>
    </row>
    <row r="1775" spans="1:20" ht="24.95" customHeight="1">
      <c r="A1775" s="54" t="s">
        <v>57</v>
      </c>
      <c r="B1775" s="55"/>
      <c r="C1775" s="55"/>
      <c r="D1775" s="56"/>
      <c r="E1775" s="4"/>
      <c r="F1775" s="57">
        <f>E1775+F1717</f>
        <v>28</v>
      </c>
      <c r="G1775" s="58"/>
      <c r="H1775" s="54" t="s">
        <v>58</v>
      </c>
      <c r="I1775" s="59"/>
      <c r="J1775" s="54"/>
      <c r="K1775" s="59"/>
      <c r="L1775" s="57">
        <f>J1775+L1717</f>
        <v>15</v>
      </c>
      <c r="M1775" s="58"/>
      <c r="T1775" s="13"/>
    </row>
    <row r="1776" spans="1:20" ht="24.95" customHeight="1">
      <c r="A1776" s="54" t="s">
        <v>59</v>
      </c>
      <c r="B1776" s="55"/>
      <c r="C1776" s="55"/>
      <c r="D1776" s="56"/>
      <c r="E1776" s="4"/>
      <c r="F1776" s="57">
        <f t="shared" ref="F1776:F1778" si="211">E1776+F1718</f>
        <v>0</v>
      </c>
      <c r="G1776" s="58"/>
      <c r="H1776" s="54" t="s">
        <v>60</v>
      </c>
      <c r="I1776" s="59"/>
      <c r="J1776" s="54"/>
      <c r="K1776" s="59"/>
      <c r="L1776" s="57">
        <f t="shared" ref="L1776:L1778" si="212">J1776+L1718</f>
        <v>0</v>
      </c>
      <c r="M1776" s="58"/>
      <c r="T1776" s="13"/>
    </row>
    <row r="1777" spans="1:20" ht="24.95" customHeight="1">
      <c r="A1777" s="54" t="s">
        <v>61</v>
      </c>
      <c r="B1777" s="55"/>
      <c r="C1777" s="55"/>
      <c r="D1777" s="56"/>
      <c r="E1777" s="4"/>
      <c r="F1777" s="57">
        <f t="shared" si="211"/>
        <v>2</v>
      </c>
      <c r="G1777" s="58"/>
      <c r="H1777" s="54" t="s">
        <v>62</v>
      </c>
      <c r="I1777" s="59"/>
      <c r="J1777" s="54"/>
      <c r="K1777" s="59"/>
      <c r="L1777" s="57">
        <f t="shared" si="212"/>
        <v>5</v>
      </c>
      <c r="M1777" s="58"/>
      <c r="T1777" s="13"/>
    </row>
    <row r="1778" spans="1:20" ht="24.95" customHeight="1">
      <c r="A1778" s="54" t="s">
        <v>63</v>
      </c>
      <c r="B1778" s="55"/>
      <c r="C1778" s="55"/>
      <c r="D1778" s="56"/>
      <c r="E1778" s="4"/>
      <c r="F1778" s="57">
        <f t="shared" si="211"/>
        <v>4</v>
      </c>
      <c r="G1778" s="58"/>
      <c r="H1778" s="54" t="s">
        <v>64</v>
      </c>
      <c r="I1778" s="59"/>
      <c r="J1778" s="54"/>
      <c r="K1778" s="59"/>
      <c r="L1778" s="57">
        <f t="shared" si="212"/>
        <v>1</v>
      </c>
      <c r="M1778" s="58"/>
      <c r="T1778" s="13"/>
    </row>
    <row r="1779" spans="1:20" ht="64.5" customHeight="1">
      <c r="A1779" s="60" t="s">
        <v>65</v>
      </c>
      <c r="B1779" s="61"/>
      <c r="C1779" s="61"/>
      <c r="D1779" s="61"/>
      <c r="E1779" s="61"/>
      <c r="F1779" s="61"/>
      <c r="G1779" s="61"/>
      <c r="H1779" s="61"/>
      <c r="I1779" s="61"/>
      <c r="J1779" s="61"/>
      <c r="K1779" s="61"/>
      <c r="L1779" s="61"/>
      <c r="M1779" s="62"/>
      <c r="T1779" s="13"/>
    </row>
    <row r="1780" spans="1:20" ht="24.95" customHeight="1">
      <c r="A1780" s="46" t="s">
        <v>66</v>
      </c>
      <c r="B1780" s="47"/>
      <c r="C1780" s="47"/>
      <c r="D1780" s="47"/>
      <c r="E1780" s="47"/>
      <c r="F1780" s="47"/>
      <c r="G1780" s="47"/>
      <c r="H1780" s="47"/>
      <c r="I1780" s="47"/>
      <c r="J1780" s="47"/>
      <c r="K1780" s="47"/>
      <c r="L1780" s="47"/>
      <c r="M1780" s="48"/>
      <c r="T1780" s="13"/>
    </row>
    <row r="1781" spans="1:20" ht="24.95" customHeight="1">
      <c r="A1781" s="27"/>
      <c r="B1781" s="34" t="s">
        <v>67</v>
      </c>
      <c r="C1781" s="34"/>
      <c r="D1781" s="34"/>
      <c r="E1781" s="34"/>
      <c r="F1781" s="34"/>
      <c r="G1781" s="35"/>
      <c r="H1781" s="34"/>
      <c r="I1781" s="34"/>
      <c r="J1781" s="34"/>
      <c r="K1781" s="34"/>
      <c r="L1781" s="34"/>
      <c r="M1781" s="36"/>
      <c r="T1781" s="13"/>
    </row>
    <row r="1782" spans="1:20" ht="24.95" customHeight="1">
      <c r="A1782" s="27"/>
      <c r="B1782" s="34" t="s">
        <v>81</v>
      </c>
      <c r="C1782" s="34"/>
      <c r="D1782" s="34"/>
      <c r="E1782" s="34"/>
      <c r="F1782" s="34"/>
      <c r="G1782" s="35"/>
      <c r="H1782" s="34"/>
      <c r="I1782" s="34"/>
      <c r="J1782" s="34"/>
      <c r="K1782" s="34"/>
      <c r="L1782" s="34"/>
      <c r="M1782" s="36"/>
      <c r="T1782" s="13"/>
    </row>
    <row r="1783" spans="1:20" ht="24.95" customHeight="1">
      <c r="A1783" s="27"/>
      <c r="B1783" s="34" t="s">
        <v>68</v>
      </c>
      <c r="C1783" s="34"/>
      <c r="D1783" s="34"/>
      <c r="E1783" s="34"/>
      <c r="F1783" s="34"/>
      <c r="G1783" s="35"/>
      <c r="H1783" s="34"/>
      <c r="I1783" s="34"/>
      <c r="J1783" s="34"/>
      <c r="K1783" s="34"/>
      <c r="L1783" s="34"/>
      <c r="M1783" s="36"/>
      <c r="T1783" s="13"/>
    </row>
    <row r="1784" spans="1:20" ht="24.95" customHeight="1">
      <c r="A1784" s="27"/>
      <c r="B1784" s="34" t="s">
        <v>82</v>
      </c>
      <c r="C1784" s="34"/>
      <c r="D1784" s="34"/>
      <c r="E1784" s="34"/>
      <c r="F1784" s="34"/>
      <c r="G1784" s="35"/>
      <c r="H1784" s="34"/>
      <c r="I1784" s="34"/>
      <c r="J1784" s="34"/>
      <c r="K1784" s="34"/>
      <c r="L1784" s="34"/>
      <c r="M1784" s="36"/>
      <c r="T1784" s="13"/>
    </row>
    <row r="1785" spans="1:20" ht="24.95" customHeight="1">
      <c r="A1785" s="27"/>
      <c r="B1785" s="34" t="s">
        <v>99</v>
      </c>
      <c r="C1785" s="34"/>
      <c r="D1785" s="34"/>
      <c r="E1785" s="34"/>
      <c r="F1785" s="34"/>
      <c r="G1785" s="35"/>
      <c r="H1785" s="34"/>
      <c r="I1785" s="34"/>
      <c r="J1785" s="34"/>
      <c r="K1785" s="34"/>
      <c r="L1785" s="34"/>
      <c r="M1785" s="36"/>
      <c r="T1785" s="13"/>
    </row>
    <row r="1786" spans="1:20" ht="24.95" customHeight="1">
      <c r="A1786" s="37"/>
      <c r="B1786" s="49" t="s">
        <v>69</v>
      </c>
      <c r="C1786" s="49"/>
      <c r="D1786" s="49"/>
      <c r="E1786" s="49"/>
      <c r="F1786" s="49"/>
      <c r="G1786" s="49"/>
      <c r="H1786" s="49"/>
      <c r="I1786" s="49"/>
      <c r="J1786" s="49"/>
      <c r="K1786" s="49"/>
      <c r="L1786" s="49"/>
      <c r="M1786" s="50"/>
      <c r="T1786" s="13"/>
    </row>
    <row r="1787" spans="1:20" ht="44.25" customHeight="1">
      <c r="A1787" s="51" t="s">
        <v>70</v>
      </c>
      <c r="B1787" s="52"/>
      <c r="C1787" s="52"/>
      <c r="D1787" s="52"/>
      <c r="E1787" s="52"/>
      <c r="F1787" s="52"/>
      <c r="G1787" s="52"/>
      <c r="H1787" s="52"/>
      <c r="I1787" s="52"/>
      <c r="J1787" s="52"/>
      <c r="K1787" s="52"/>
      <c r="L1787" s="52"/>
      <c r="M1787" s="53"/>
      <c r="T1787" s="13"/>
    </row>
    <row r="1788" spans="1:20" ht="48" customHeight="1">
      <c r="A1788" s="51" t="s">
        <v>71</v>
      </c>
      <c r="B1788" s="52"/>
      <c r="C1788" s="52"/>
      <c r="D1788" s="52"/>
      <c r="E1788" s="52"/>
      <c r="F1788" s="52"/>
      <c r="G1788" s="52"/>
      <c r="H1788" s="52"/>
      <c r="I1788" s="52"/>
      <c r="J1788" s="52"/>
      <c r="K1788" s="52"/>
      <c r="L1788" s="52"/>
      <c r="M1788" s="53"/>
      <c r="T1788" s="13"/>
    </row>
    <row r="1789" spans="1:20" ht="81" customHeight="1">
      <c r="A1789" s="51" t="s">
        <v>159</v>
      </c>
      <c r="B1789" s="52"/>
      <c r="C1789" s="52"/>
      <c r="D1789" s="52"/>
      <c r="E1789" s="52"/>
      <c r="F1789" s="52"/>
      <c r="G1789" s="52"/>
      <c r="H1789" s="52"/>
      <c r="I1789" s="52"/>
      <c r="J1789" s="52"/>
      <c r="K1789" s="52"/>
      <c r="L1789" s="52"/>
      <c r="M1789" s="53"/>
      <c r="T1789" s="13"/>
    </row>
    <row r="1790" spans="1:20" ht="100.5" customHeight="1">
      <c r="A1790" s="51" t="s">
        <v>72</v>
      </c>
      <c r="B1790" s="52"/>
      <c r="C1790" s="52"/>
      <c r="D1790" s="52"/>
      <c r="E1790" s="52"/>
      <c r="F1790" s="52"/>
      <c r="G1790" s="52"/>
      <c r="H1790" s="52"/>
      <c r="I1790" s="52"/>
      <c r="J1790" s="52"/>
      <c r="K1790" s="52"/>
      <c r="L1790" s="52"/>
      <c r="M1790" s="53"/>
      <c r="T1790" s="13"/>
    </row>
    <row r="1791" spans="1:20" ht="12" customHeight="1">
      <c r="A1791" s="41" t="s">
        <v>73</v>
      </c>
      <c r="B1791" s="41"/>
      <c r="C1791" s="42"/>
      <c r="D1791" s="42"/>
      <c r="E1791" s="42"/>
      <c r="F1791" s="42"/>
      <c r="G1791" s="42"/>
      <c r="H1791" s="42"/>
      <c r="I1791" s="42"/>
      <c r="J1791" s="42"/>
      <c r="K1791" s="42"/>
      <c r="L1791" s="42"/>
      <c r="M1791" s="38"/>
      <c r="T1791" s="13"/>
    </row>
    <row r="1792" spans="1:20" ht="12" customHeight="1">
      <c r="A1792" s="43" t="s">
        <v>74</v>
      </c>
      <c r="B1792" s="43"/>
      <c r="C1792" s="40"/>
      <c r="D1792" s="40"/>
      <c r="E1792" s="40"/>
      <c r="F1792" s="40"/>
      <c r="G1792" s="40"/>
      <c r="H1792" s="40"/>
      <c r="I1792" s="40"/>
      <c r="J1792" s="40"/>
      <c r="K1792" s="40"/>
      <c r="L1792" s="38"/>
      <c r="M1792" s="38"/>
      <c r="T1792" s="13"/>
    </row>
    <row r="1793" spans="1:20" ht="12" customHeight="1">
      <c r="A1793" s="44" t="s">
        <v>75</v>
      </c>
      <c r="B1793" s="44"/>
      <c r="C1793" s="44"/>
      <c r="D1793" s="44"/>
      <c r="E1793" s="44"/>
      <c r="F1793" s="44"/>
      <c r="G1793" s="44"/>
      <c r="H1793" s="44"/>
      <c r="I1793" s="44"/>
      <c r="J1793" s="44"/>
      <c r="K1793" s="44"/>
      <c r="L1793" s="44"/>
      <c r="M1793" s="44"/>
      <c r="T1793" s="13"/>
    </row>
    <row r="1794" spans="1:20" ht="12" customHeight="1">
      <c r="A1794" s="39" t="s">
        <v>76</v>
      </c>
      <c r="B1794" s="39"/>
      <c r="C1794" s="39"/>
      <c r="D1794" s="39"/>
      <c r="E1794" s="39"/>
      <c r="F1794" s="39"/>
      <c r="G1794" s="39"/>
      <c r="H1794" s="39"/>
      <c r="I1794" s="39"/>
      <c r="J1794" s="39"/>
      <c r="K1794" s="39"/>
      <c r="L1794" s="39"/>
      <c r="M1794" s="39"/>
      <c r="T1794" s="13"/>
    </row>
    <row r="1795" spans="1:20" ht="12" customHeight="1">
      <c r="A1795" s="39" t="s">
        <v>77</v>
      </c>
      <c r="B1795" s="40"/>
      <c r="C1795" s="40"/>
      <c r="D1795" s="40"/>
      <c r="E1795" s="40"/>
      <c r="F1795" s="40"/>
      <c r="G1795" s="40"/>
      <c r="H1795" s="40"/>
      <c r="I1795" s="40"/>
      <c r="J1795" s="40"/>
      <c r="K1795" s="40"/>
      <c r="L1795" s="40"/>
      <c r="M1795" s="40"/>
      <c r="T1795" s="13"/>
    </row>
    <row r="1796" spans="1:20" ht="12" customHeight="1">
      <c r="A1796" s="45" t="s">
        <v>78</v>
      </c>
      <c r="B1796" s="40"/>
      <c r="C1796" s="40"/>
      <c r="D1796" s="40"/>
      <c r="E1796" s="40"/>
      <c r="F1796" s="40"/>
      <c r="G1796" s="40"/>
      <c r="H1796" s="40"/>
      <c r="I1796" s="40"/>
      <c r="J1796" s="40"/>
      <c r="K1796" s="40"/>
      <c r="L1796" s="40"/>
      <c r="M1796" s="40"/>
      <c r="T1796" s="13"/>
    </row>
    <row r="1797" spans="1:20" ht="12" customHeight="1">
      <c r="A1797" s="39" t="s">
        <v>79</v>
      </c>
      <c r="B1797" s="40"/>
      <c r="C1797" s="40"/>
      <c r="D1797" s="40"/>
      <c r="E1797" s="40"/>
      <c r="F1797" s="40"/>
      <c r="G1797" s="40"/>
      <c r="H1797" s="40"/>
      <c r="I1797" s="40"/>
      <c r="J1797" s="40"/>
      <c r="K1797" s="40"/>
      <c r="L1797" s="40"/>
      <c r="M1797" s="40"/>
      <c r="T1797" s="13"/>
    </row>
    <row r="1798" spans="1:20" ht="409.5" customHeight="1"/>
  </sheetData>
  <mergeCells count="5487">
    <mergeCell ref="A4:B4"/>
    <mergeCell ref="A5:C5"/>
    <mergeCell ref="D5:G5"/>
    <mergeCell ref="H5:I5"/>
    <mergeCell ref="J5:M5"/>
    <mergeCell ref="A6:C6"/>
    <mergeCell ref="D6:G6"/>
    <mergeCell ref="H6:I6"/>
    <mergeCell ref="J6:M6"/>
    <mergeCell ref="A1:B1"/>
    <mergeCell ref="A2:B2"/>
    <mergeCell ref="H2:I2"/>
    <mergeCell ref="J2:K2"/>
    <mergeCell ref="L2:M2"/>
    <mergeCell ref="A3:B3"/>
    <mergeCell ref="C3:G3"/>
    <mergeCell ref="H3:I3"/>
    <mergeCell ref="J3:M3"/>
    <mergeCell ref="B10:D10"/>
    <mergeCell ref="F10:G10"/>
    <mergeCell ref="H10:I10"/>
    <mergeCell ref="J10:K10"/>
    <mergeCell ref="L10:M10"/>
    <mergeCell ref="B11:D11"/>
    <mergeCell ref="F11:G11"/>
    <mergeCell ref="H11:I11"/>
    <mergeCell ref="J11:K11"/>
    <mergeCell ref="L11:M11"/>
    <mergeCell ref="A7:C7"/>
    <mergeCell ref="D7:G7"/>
    <mergeCell ref="H7:I7"/>
    <mergeCell ref="J7:M7"/>
    <mergeCell ref="A8:M8"/>
    <mergeCell ref="B9:D9"/>
    <mergeCell ref="F9:G9"/>
    <mergeCell ref="H9:I9"/>
    <mergeCell ref="J9:K9"/>
    <mergeCell ref="L9:M9"/>
    <mergeCell ref="B14:D14"/>
    <mergeCell ref="F14:G14"/>
    <mergeCell ref="H14:I14"/>
    <mergeCell ref="J14:K14"/>
    <mergeCell ref="L14:M14"/>
    <mergeCell ref="B15:D15"/>
    <mergeCell ref="F15:G15"/>
    <mergeCell ref="H15:I15"/>
    <mergeCell ref="J15:K15"/>
    <mergeCell ref="L15:M15"/>
    <mergeCell ref="B12:D12"/>
    <mergeCell ref="F12:G12"/>
    <mergeCell ref="H12:I12"/>
    <mergeCell ref="J12:K12"/>
    <mergeCell ref="L12:M12"/>
    <mergeCell ref="B13:D13"/>
    <mergeCell ref="F13:G13"/>
    <mergeCell ref="H13:I13"/>
    <mergeCell ref="J13:K13"/>
    <mergeCell ref="L13:M13"/>
    <mergeCell ref="B18:D18"/>
    <mergeCell ref="F18:G18"/>
    <mergeCell ref="H18:I18"/>
    <mergeCell ref="J18:K18"/>
    <mergeCell ref="L18:M18"/>
    <mergeCell ref="B19:D19"/>
    <mergeCell ref="F19:G19"/>
    <mergeCell ref="H19:I19"/>
    <mergeCell ref="J19:K19"/>
    <mergeCell ref="L19:M19"/>
    <mergeCell ref="B16:D16"/>
    <mergeCell ref="F16:G16"/>
    <mergeCell ref="H16:I16"/>
    <mergeCell ref="J16:K16"/>
    <mergeCell ref="L16:M16"/>
    <mergeCell ref="B17:D17"/>
    <mergeCell ref="F17:G17"/>
    <mergeCell ref="H17:I17"/>
    <mergeCell ref="J17:K17"/>
    <mergeCell ref="L17:M17"/>
    <mergeCell ref="A22:D22"/>
    <mergeCell ref="F22:G22"/>
    <mergeCell ref="H22:I22"/>
    <mergeCell ref="J22:K22"/>
    <mergeCell ref="L22:M22"/>
    <mergeCell ref="B23:D23"/>
    <mergeCell ref="F23:G23"/>
    <mergeCell ref="H23:I23"/>
    <mergeCell ref="J23:K23"/>
    <mergeCell ref="L23:M23"/>
    <mergeCell ref="H20:I20"/>
    <mergeCell ref="J20:K20"/>
    <mergeCell ref="L20:M20"/>
    <mergeCell ref="A21:D21"/>
    <mergeCell ref="F21:G21"/>
    <mergeCell ref="H21:I21"/>
    <mergeCell ref="J21:K21"/>
    <mergeCell ref="L21:M21"/>
    <mergeCell ref="A28:M28"/>
    <mergeCell ref="A29:D29"/>
    <mergeCell ref="F29:G29"/>
    <mergeCell ref="H29:I29"/>
    <mergeCell ref="J29:K29"/>
    <mergeCell ref="L29:M29"/>
    <mergeCell ref="B26:D26"/>
    <mergeCell ref="F26:G26"/>
    <mergeCell ref="H26:I26"/>
    <mergeCell ref="J26:K26"/>
    <mergeCell ref="L26:M26"/>
    <mergeCell ref="B27:D27"/>
    <mergeCell ref="F27:G27"/>
    <mergeCell ref="H27:I27"/>
    <mergeCell ref="J27:K27"/>
    <mergeCell ref="L27:M27"/>
    <mergeCell ref="B24:D24"/>
    <mergeCell ref="F24:G24"/>
    <mergeCell ref="H24:I24"/>
    <mergeCell ref="J24:K24"/>
    <mergeCell ref="L24:M24"/>
    <mergeCell ref="B25:D25"/>
    <mergeCell ref="F25:G25"/>
    <mergeCell ref="H25:I25"/>
    <mergeCell ref="J25:K25"/>
    <mergeCell ref="L25:M25"/>
    <mergeCell ref="A34:D34"/>
    <mergeCell ref="F34:G34"/>
    <mergeCell ref="H34:I34"/>
    <mergeCell ref="J34:K34"/>
    <mergeCell ref="L34:M34"/>
    <mergeCell ref="A35:D35"/>
    <mergeCell ref="F35:G35"/>
    <mergeCell ref="H35:I35"/>
    <mergeCell ref="J35:K35"/>
    <mergeCell ref="L35:M35"/>
    <mergeCell ref="B32:D32"/>
    <mergeCell ref="F32:G32"/>
    <mergeCell ref="H32:I32"/>
    <mergeCell ref="J32:K32"/>
    <mergeCell ref="L32:M32"/>
    <mergeCell ref="A33:M33"/>
    <mergeCell ref="B30:D30"/>
    <mergeCell ref="F30:G30"/>
    <mergeCell ref="H30:I30"/>
    <mergeCell ref="J30:K30"/>
    <mergeCell ref="L30:M30"/>
    <mergeCell ref="B31:D31"/>
    <mergeCell ref="F31:G31"/>
    <mergeCell ref="H31:I31"/>
    <mergeCell ref="J31:K31"/>
    <mergeCell ref="L31:M31"/>
    <mergeCell ref="A40:M40"/>
    <mergeCell ref="B46:M46"/>
    <mergeCell ref="A47:M47"/>
    <mergeCell ref="A48:M48"/>
    <mergeCell ref="A49:M49"/>
    <mergeCell ref="A50:M50"/>
    <mergeCell ref="A38:D38"/>
    <mergeCell ref="F38:G38"/>
    <mergeCell ref="H38:I38"/>
    <mergeCell ref="J38:K38"/>
    <mergeCell ref="L38:M38"/>
    <mergeCell ref="A39:M39"/>
    <mergeCell ref="A36:D36"/>
    <mergeCell ref="F36:G36"/>
    <mergeCell ref="H36:I36"/>
    <mergeCell ref="J36:K36"/>
    <mergeCell ref="L36:M36"/>
    <mergeCell ref="A37:D37"/>
    <mergeCell ref="F37:G37"/>
    <mergeCell ref="H37:I37"/>
    <mergeCell ref="J37:K37"/>
    <mergeCell ref="L37:M37"/>
    <mergeCell ref="A61:B61"/>
    <mergeCell ref="C61:G61"/>
    <mergeCell ref="H61:I61"/>
    <mergeCell ref="J61:M61"/>
    <mergeCell ref="A62:B62"/>
    <mergeCell ref="A63:C63"/>
    <mergeCell ref="D63:G63"/>
    <mergeCell ref="H63:I63"/>
    <mergeCell ref="J63:M63"/>
    <mergeCell ref="A57:M57"/>
    <mergeCell ref="A59:B59"/>
    <mergeCell ref="A60:B60"/>
    <mergeCell ref="H60:I60"/>
    <mergeCell ref="J60:K60"/>
    <mergeCell ref="L60:M60"/>
    <mergeCell ref="A51:L51"/>
    <mergeCell ref="A52:K52"/>
    <mergeCell ref="A53:M53"/>
    <mergeCell ref="A54:M54"/>
    <mergeCell ref="A55:M55"/>
    <mergeCell ref="A56:M56"/>
    <mergeCell ref="B68:D68"/>
    <mergeCell ref="F68:G68"/>
    <mergeCell ref="H68:I68"/>
    <mergeCell ref="J68:K68"/>
    <mergeCell ref="L68:M68"/>
    <mergeCell ref="B69:D69"/>
    <mergeCell ref="F69:G69"/>
    <mergeCell ref="H69:I69"/>
    <mergeCell ref="J69:K69"/>
    <mergeCell ref="L69:M69"/>
    <mergeCell ref="A66:M66"/>
    <mergeCell ref="B67:D67"/>
    <mergeCell ref="F67:G67"/>
    <mergeCell ref="H67:I67"/>
    <mergeCell ref="J67:K67"/>
    <mergeCell ref="L67:M67"/>
    <mergeCell ref="A64:C64"/>
    <mergeCell ref="D64:G64"/>
    <mergeCell ref="H64:I64"/>
    <mergeCell ref="J64:M64"/>
    <mergeCell ref="A65:C65"/>
    <mergeCell ref="D65:G65"/>
    <mergeCell ref="H65:I65"/>
    <mergeCell ref="J65:M65"/>
    <mergeCell ref="B72:D72"/>
    <mergeCell ref="F72:G72"/>
    <mergeCell ref="H72:I72"/>
    <mergeCell ref="J72:K72"/>
    <mergeCell ref="L72:M72"/>
    <mergeCell ref="B73:D73"/>
    <mergeCell ref="F73:G73"/>
    <mergeCell ref="H73:I73"/>
    <mergeCell ref="J73:K73"/>
    <mergeCell ref="L73:M73"/>
    <mergeCell ref="B70:D70"/>
    <mergeCell ref="F70:G70"/>
    <mergeCell ref="H70:I70"/>
    <mergeCell ref="J70:K70"/>
    <mergeCell ref="L70:M70"/>
    <mergeCell ref="B71:D71"/>
    <mergeCell ref="F71:G71"/>
    <mergeCell ref="H71:I71"/>
    <mergeCell ref="J71:K71"/>
    <mergeCell ref="L71:M71"/>
    <mergeCell ref="B76:D76"/>
    <mergeCell ref="F76:G76"/>
    <mergeCell ref="H76:I76"/>
    <mergeCell ref="J76:K76"/>
    <mergeCell ref="L76:M76"/>
    <mergeCell ref="B77:D77"/>
    <mergeCell ref="F77:G77"/>
    <mergeCell ref="H77:I77"/>
    <mergeCell ref="J77:K77"/>
    <mergeCell ref="L77:M77"/>
    <mergeCell ref="B74:D74"/>
    <mergeCell ref="F74:G74"/>
    <mergeCell ref="H74:I74"/>
    <mergeCell ref="J74:K74"/>
    <mergeCell ref="L74:M74"/>
    <mergeCell ref="B75:D75"/>
    <mergeCell ref="F75:G75"/>
    <mergeCell ref="H75:I75"/>
    <mergeCell ref="J75:K75"/>
    <mergeCell ref="L75:M75"/>
    <mergeCell ref="A80:D80"/>
    <mergeCell ref="F80:G80"/>
    <mergeCell ref="H80:I80"/>
    <mergeCell ref="J80:K80"/>
    <mergeCell ref="L80:M80"/>
    <mergeCell ref="B81:D81"/>
    <mergeCell ref="F81:G81"/>
    <mergeCell ref="H81:I81"/>
    <mergeCell ref="J81:K81"/>
    <mergeCell ref="L81:M81"/>
    <mergeCell ref="H78:I78"/>
    <mergeCell ref="J78:K78"/>
    <mergeCell ref="L78:M78"/>
    <mergeCell ref="A79:D79"/>
    <mergeCell ref="F79:G79"/>
    <mergeCell ref="H79:I79"/>
    <mergeCell ref="J79:K79"/>
    <mergeCell ref="L79:M79"/>
    <mergeCell ref="A86:M86"/>
    <mergeCell ref="A87:D87"/>
    <mergeCell ref="F87:G87"/>
    <mergeCell ref="H87:I87"/>
    <mergeCell ref="J87:K87"/>
    <mergeCell ref="L87:M87"/>
    <mergeCell ref="B84:D84"/>
    <mergeCell ref="F84:G84"/>
    <mergeCell ref="H84:I84"/>
    <mergeCell ref="J84:K84"/>
    <mergeCell ref="L84:M84"/>
    <mergeCell ref="B85:D85"/>
    <mergeCell ref="F85:G85"/>
    <mergeCell ref="H85:I85"/>
    <mergeCell ref="J85:K85"/>
    <mergeCell ref="L85:M85"/>
    <mergeCell ref="B82:D82"/>
    <mergeCell ref="F82:G82"/>
    <mergeCell ref="H82:I82"/>
    <mergeCell ref="J82:K82"/>
    <mergeCell ref="L82:M82"/>
    <mergeCell ref="B83:D83"/>
    <mergeCell ref="F83:G83"/>
    <mergeCell ref="H83:I83"/>
    <mergeCell ref="J83:K83"/>
    <mergeCell ref="L83:M83"/>
    <mergeCell ref="A92:D92"/>
    <mergeCell ref="F92:G92"/>
    <mergeCell ref="H92:I92"/>
    <mergeCell ref="J92:K92"/>
    <mergeCell ref="L92:M92"/>
    <mergeCell ref="A93:D93"/>
    <mergeCell ref="F93:G93"/>
    <mergeCell ref="H93:I93"/>
    <mergeCell ref="J93:K93"/>
    <mergeCell ref="L93:M93"/>
    <mergeCell ref="B90:D90"/>
    <mergeCell ref="F90:G90"/>
    <mergeCell ref="H90:I90"/>
    <mergeCell ref="J90:K90"/>
    <mergeCell ref="L90:M90"/>
    <mergeCell ref="A91:M91"/>
    <mergeCell ref="B88:D88"/>
    <mergeCell ref="F88:G88"/>
    <mergeCell ref="H88:I88"/>
    <mergeCell ref="J88:K88"/>
    <mergeCell ref="L88:M88"/>
    <mergeCell ref="B89:D89"/>
    <mergeCell ref="F89:G89"/>
    <mergeCell ref="H89:I89"/>
    <mergeCell ref="J89:K89"/>
    <mergeCell ref="L89:M89"/>
    <mergeCell ref="A98:M98"/>
    <mergeCell ref="B104:M104"/>
    <mergeCell ref="A105:M105"/>
    <mergeCell ref="A106:M106"/>
    <mergeCell ref="A107:M107"/>
    <mergeCell ref="A108:M108"/>
    <mergeCell ref="A96:D96"/>
    <mergeCell ref="F96:G96"/>
    <mergeCell ref="H96:I96"/>
    <mergeCell ref="J96:K96"/>
    <mergeCell ref="L96:M96"/>
    <mergeCell ref="A97:M97"/>
    <mergeCell ref="A94:D94"/>
    <mergeCell ref="F94:G94"/>
    <mergeCell ref="H94:I94"/>
    <mergeCell ref="J94:K94"/>
    <mergeCell ref="L94:M94"/>
    <mergeCell ref="A95:D95"/>
    <mergeCell ref="F95:G95"/>
    <mergeCell ref="H95:I95"/>
    <mergeCell ref="J95:K95"/>
    <mergeCell ref="L95:M95"/>
    <mergeCell ref="A119:B119"/>
    <mergeCell ref="C119:G119"/>
    <mergeCell ref="H119:I119"/>
    <mergeCell ref="J119:M119"/>
    <mergeCell ref="A120:B120"/>
    <mergeCell ref="A121:C121"/>
    <mergeCell ref="D121:G121"/>
    <mergeCell ref="H121:I121"/>
    <mergeCell ref="J121:M121"/>
    <mergeCell ref="A115:M115"/>
    <mergeCell ref="A117:B117"/>
    <mergeCell ref="A118:B118"/>
    <mergeCell ref="H118:I118"/>
    <mergeCell ref="J118:K118"/>
    <mergeCell ref="L118:M118"/>
    <mergeCell ref="A109:L109"/>
    <mergeCell ref="A110:K110"/>
    <mergeCell ref="A111:M111"/>
    <mergeCell ref="A112:M112"/>
    <mergeCell ref="A113:M113"/>
    <mergeCell ref="A114:M114"/>
    <mergeCell ref="B126:D126"/>
    <mergeCell ref="F126:G126"/>
    <mergeCell ref="H126:I126"/>
    <mergeCell ref="J126:K126"/>
    <mergeCell ref="L126:M126"/>
    <mergeCell ref="B127:D127"/>
    <mergeCell ref="F127:G127"/>
    <mergeCell ref="H127:I127"/>
    <mergeCell ref="J127:K127"/>
    <mergeCell ref="L127:M127"/>
    <mergeCell ref="A124:M124"/>
    <mergeCell ref="B125:D125"/>
    <mergeCell ref="F125:G125"/>
    <mergeCell ref="H125:I125"/>
    <mergeCell ref="J125:K125"/>
    <mergeCell ref="L125:M125"/>
    <mergeCell ref="A122:C122"/>
    <mergeCell ref="D122:G122"/>
    <mergeCell ref="H122:I122"/>
    <mergeCell ref="J122:M122"/>
    <mergeCell ref="A123:C123"/>
    <mergeCell ref="D123:G123"/>
    <mergeCell ref="H123:I123"/>
    <mergeCell ref="J123:M123"/>
    <mergeCell ref="B130:D130"/>
    <mergeCell ref="F130:G130"/>
    <mergeCell ref="H130:I130"/>
    <mergeCell ref="J130:K130"/>
    <mergeCell ref="L130:M130"/>
    <mergeCell ref="B131:D131"/>
    <mergeCell ref="F131:G131"/>
    <mergeCell ref="H131:I131"/>
    <mergeCell ref="J131:K131"/>
    <mergeCell ref="L131:M131"/>
    <mergeCell ref="B128:D128"/>
    <mergeCell ref="F128:G128"/>
    <mergeCell ref="H128:I128"/>
    <mergeCell ref="J128:K128"/>
    <mergeCell ref="L128:M128"/>
    <mergeCell ref="B129:D129"/>
    <mergeCell ref="F129:G129"/>
    <mergeCell ref="H129:I129"/>
    <mergeCell ref="J129:K129"/>
    <mergeCell ref="L129:M129"/>
    <mergeCell ref="B134:D134"/>
    <mergeCell ref="F134:G134"/>
    <mergeCell ref="H134:I134"/>
    <mergeCell ref="J134:K134"/>
    <mergeCell ref="L134:M134"/>
    <mergeCell ref="B135:D135"/>
    <mergeCell ref="F135:G135"/>
    <mergeCell ref="H135:I135"/>
    <mergeCell ref="J135:K135"/>
    <mergeCell ref="L135:M135"/>
    <mergeCell ref="B132:D132"/>
    <mergeCell ref="F132:G132"/>
    <mergeCell ref="H132:I132"/>
    <mergeCell ref="J132:K132"/>
    <mergeCell ref="L132:M132"/>
    <mergeCell ref="B133:D133"/>
    <mergeCell ref="F133:G133"/>
    <mergeCell ref="H133:I133"/>
    <mergeCell ref="J133:K133"/>
    <mergeCell ref="L133:M133"/>
    <mergeCell ref="A138:D138"/>
    <mergeCell ref="F138:G138"/>
    <mergeCell ref="H138:I138"/>
    <mergeCell ref="J138:K138"/>
    <mergeCell ref="L138:M138"/>
    <mergeCell ref="B139:D139"/>
    <mergeCell ref="F139:G139"/>
    <mergeCell ref="H139:I139"/>
    <mergeCell ref="J139:K139"/>
    <mergeCell ref="L139:M139"/>
    <mergeCell ref="H136:I136"/>
    <mergeCell ref="J136:K136"/>
    <mergeCell ref="L136:M136"/>
    <mergeCell ref="A137:D137"/>
    <mergeCell ref="F137:G137"/>
    <mergeCell ref="H137:I137"/>
    <mergeCell ref="J137:K137"/>
    <mergeCell ref="L137:M137"/>
    <mergeCell ref="A144:M144"/>
    <mergeCell ref="A145:D145"/>
    <mergeCell ref="F145:G145"/>
    <mergeCell ref="H145:I145"/>
    <mergeCell ref="J145:K145"/>
    <mergeCell ref="L145:M145"/>
    <mergeCell ref="B142:D142"/>
    <mergeCell ref="F142:G142"/>
    <mergeCell ref="H142:I142"/>
    <mergeCell ref="J142:K142"/>
    <mergeCell ref="L142:M142"/>
    <mergeCell ref="B143:D143"/>
    <mergeCell ref="F143:G143"/>
    <mergeCell ref="H143:I143"/>
    <mergeCell ref="J143:K143"/>
    <mergeCell ref="L143:M143"/>
    <mergeCell ref="B140:D140"/>
    <mergeCell ref="F140:G140"/>
    <mergeCell ref="H140:I140"/>
    <mergeCell ref="J140:K140"/>
    <mergeCell ref="L140:M140"/>
    <mergeCell ref="B141:D141"/>
    <mergeCell ref="F141:G141"/>
    <mergeCell ref="H141:I141"/>
    <mergeCell ref="J141:K141"/>
    <mergeCell ref="L141:M141"/>
    <mergeCell ref="A150:D150"/>
    <mergeCell ref="F150:G150"/>
    <mergeCell ref="H150:I150"/>
    <mergeCell ref="J150:K150"/>
    <mergeCell ref="L150:M150"/>
    <mergeCell ref="A151:D151"/>
    <mergeCell ref="F151:G151"/>
    <mergeCell ref="H151:I151"/>
    <mergeCell ref="J151:K151"/>
    <mergeCell ref="L151:M151"/>
    <mergeCell ref="B148:D148"/>
    <mergeCell ref="F148:G148"/>
    <mergeCell ref="H148:I148"/>
    <mergeCell ref="J148:K148"/>
    <mergeCell ref="L148:M148"/>
    <mergeCell ref="A149:M149"/>
    <mergeCell ref="B146:D146"/>
    <mergeCell ref="F146:G146"/>
    <mergeCell ref="H146:I146"/>
    <mergeCell ref="J146:K146"/>
    <mergeCell ref="L146:M146"/>
    <mergeCell ref="B147:D147"/>
    <mergeCell ref="F147:G147"/>
    <mergeCell ref="H147:I147"/>
    <mergeCell ref="J147:K147"/>
    <mergeCell ref="L147:M147"/>
    <mergeCell ref="A156:M156"/>
    <mergeCell ref="B162:M162"/>
    <mergeCell ref="A163:M163"/>
    <mergeCell ref="A164:M164"/>
    <mergeCell ref="A165:M165"/>
    <mergeCell ref="A166:M166"/>
    <mergeCell ref="A154:D154"/>
    <mergeCell ref="F154:G154"/>
    <mergeCell ref="H154:I154"/>
    <mergeCell ref="J154:K154"/>
    <mergeCell ref="L154:M154"/>
    <mergeCell ref="A155:M155"/>
    <mergeCell ref="A152:D152"/>
    <mergeCell ref="F152:G152"/>
    <mergeCell ref="H152:I152"/>
    <mergeCell ref="J152:K152"/>
    <mergeCell ref="L152:M152"/>
    <mergeCell ref="A153:D153"/>
    <mergeCell ref="F153:G153"/>
    <mergeCell ref="H153:I153"/>
    <mergeCell ref="J153:K153"/>
    <mergeCell ref="L153:M153"/>
    <mergeCell ref="A177:B177"/>
    <mergeCell ref="C177:G177"/>
    <mergeCell ref="H177:I177"/>
    <mergeCell ref="J177:M177"/>
    <mergeCell ref="A178:B178"/>
    <mergeCell ref="A179:C179"/>
    <mergeCell ref="D179:G179"/>
    <mergeCell ref="H179:I179"/>
    <mergeCell ref="J179:M179"/>
    <mergeCell ref="A173:M173"/>
    <mergeCell ref="A175:B175"/>
    <mergeCell ref="A176:B176"/>
    <mergeCell ref="H176:I176"/>
    <mergeCell ref="J176:K176"/>
    <mergeCell ref="L176:M176"/>
    <mergeCell ref="A167:L167"/>
    <mergeCell ref="A168:K168"/>
    <mergeCell ref="A169:M169"/>
    <mergeCell ref="A170:M170"/>
    <mergeCell ref="A171:M171"/>
    <mergeCell ref="A172:M172"/>
    <mergeCell ref="B184:D184"/>
    <mergeCell ref="F184:G184"/>
    <mergeCell ref="H184:I184"/>
    <mergeCell ref="J184:K184"/>
    <mergeCell ref="L184:M184"/>
    <mergeCell ref="B185:D185"/>
    <mergeCell ref="F185:G185"/>
    <mergeCell ref="H185:I185"/>
    <mergeCell ref="J185:K185"/>
    <mergeCell ref="L185:M185"/>
    <mergeCell ref="A182:M182"/>
    <mergeCell ref="B183:D183"/>
    <mergeCell ref="F183:G183"/>
    <mergeCell ref="H183:I183"/>
    <mergeCell ref="J183:K183"/>
    <mergeCell ref="L183:M183"/>
    <mergeCell ref="A180:C180"/>
    <mergeCell ref="D180:G180"/>
    <mergeCell ref="H180:I180"/>
    <mergeCell ref="J180:M180"/>
    <mergeCell ref="A181:C181"/>
    <mergeCell ref="D181:G181"/>
    <mergeCell ref="H181:I181"/>
    <mergeCell ref="J181:M181"/>
    <mergeCell ref="B188:D188"/>
    <mergeCell ref="F188:G188"/>
    <mergeCell ref="H188:I188"/>
    <mergeCell ref="J188:K188"/>
    <mergeCell ref="L188:M188"/>
    <mergeCell ref="B189:D189"/>
    <mergeCell ref="F189:G189"/>
    <mergeCell ref="H189:I189"/>
    <mergeCell ref="J189:K189"/>
    <mergeCell ref="L189:M189"/>
    <mergeCell ref="B186:D186"/>
    <mergeCell ref="F186:G186"/>
    <mergeCell ref="H186:I186"/>
    <mergeCell ref="J186:K186"/>
    <mergeCell ref="L186:M186"/>
    <mergeCell ref="B187:D187"/>
    <mergeCell ref="F187:G187"/>
    <mergeCell ref="H187:I187"/>
    <mergeCell ref="J187:K187"/>
    <mergeCell ref="L187:M187"/>
    <mergeCell ref="B192:D192"/>
    <mergeCell ref="F192:G192"/>
    <mergeCell ref="H192:I192"/>
    <mergeCell ref="J192:K192"/>
    <mergeCell ref="L192:M192"/>
    <mergeCell ref="B193:D193"/>
    <mergeCell ref="F193:G193"/>
    <mergeCell ref="H193:I193"/>
    <mergeCell ref="J193:K193"/>
    <mergeCell ref="L193:M193"/>
    <mergeCell ref="B190:D190"/>
    <mergeCell ref="F190:G190"/>
    <mergeCell ref="H190:I190"/>
    <mergeCell ref="J190:K190"/>
    <mergeCell ref="L190:M190"/>
    <mergeCell ref="B191:D191"/>
    <mergeCell ref="F191:G191"/>
    <mergeCell ref="H191:I191"/>
    <mergeCell ref="J191:K191"/>
    <mergeCell ref="L191:M191"/>
    <mergeCell ref="A196:D196"/>
    <mergeCell ref="F196:G196"/>
    <mergeCell ref="H196:I196"/>
    <mergeCell ref="J196:K196"/>
    <mergeCell ref="L196:M196"/>
    <mergeCell ref="B197:D197"/>
    <mergeCell ref="F197:G197"/>
    <mergeCell ref="H197:I197"/>
    <mergeCell ref="J197:K197"/>
    <mergeCell ref="L197:M197"/>
    <mergeCell ref="H194:I194"/>
    <mergeCell ref="J194:K194"/>
    <mergeCell ref="L194:M194"/>
    <mergeCell ref="A195:D195"/>
    <mergeCell ref="F195:G195"/>
    <mergeCell ref="H195:I195"/>
    <mergeCell ref="J195:K195"/>
    <mergeCell ref="L195:M195"/>
    <mergeCell ref="A202:M202"/>
    <mergeCell ref="A203:D203"/>
    <mergeCell ref="F203:G203"/>
    <mergeCell ref="H203:I203"/>
    <mergeCell ref="J203:K203"/>
    <mergeCell ref="L203:M203"/>
    <mergeCell ref="B200:D200"/>
    <mergeCell ref="F200:G200"/>
    <mergeCell ref="H200:I200"/>
    <mergeCell ref="J200:K200"/>
    <mergeCell ref="L200:M200"/>
    <mergeCell ref="B201:D201"/>
    <mergeCell ref="F201:G201"/>
    <mergeCell ref="H201:I201"/>
    <mergeCell ref="J201:K201"/>
    <mergeCell ref="L201:M201"/>
    <mergeCell ref="B198:D198"/>
    <mergeCell ref="F198:G198"/>
    <mergeCell ref="H198:I198"/>
    <mergeCell ref="J198:K198"/>
    <mergeCell ref="L198:M198"/>
    <mergeCell ref="B199:D199"/>
    <mergeCell ref="F199:G199"/>
    <mergeCell ref="H199:I199"/>
    <mergeCell ref="J199:K199"/>
    <mergeCell ref="L199:M199"/>
    <mergeCell ref="A208:D208"/>
    <mergeCell ref="F208:G208"/>
    <mergeCell ref="H208:I208"/>
    <mergeCell ref="J208:K208"/>
    <mergeCell ref="L208:M208"/>
    <mergeCell ref="A209:D209"/>
    <mergeCell ref="F209:G209"/>
    <mergeCell ref="H209:I209"/>
    <mergeCell ref="J209:K209"/>
    <mergeCell ref="L209:M209"/>
    <mergeCell ref="B206:D206"/>
    <mergeCell ref="F206:G206"/>
    <mergeCell ref="H206:I206"/>
    <mergeCell ref="J206:K206"/>
    <mergeCell ref="L206:M206"/>
    <mergeCell ref="A207:M207"/>
    <mergeCell ref="B204:D204"/>
    <mergeCell ref="F204:G204"/>
    <mergeCell ref="H204:I204"/>
    <mergeCell ref="J204:K204"/>
    <mergeCell ref="L204:M204"/>
    <mergeCell ref="B205:D205"/>
    <mergeCell ref="F205:G205"/>
    <mergeCell ref="H205:I205"/>
    <mergeCell ref="J205:K205"/>
    <mergeCell ref="L205:M205"/>
    <mergeCell ref="A214:M214"/>
    <mergeCell ref="B220:M220"/>
    <mergeCell ref="A221:M221"/>
    <mergeCell ref="A222:M222"/>
    <mergeCell ref="A223:M223"/>
    <mergeCell ref="A224:M224"/>
    <mergeCell ref="A212:D212"/>
    <mergeCell ref="F212:G212"/>
    <mergeCell ref="H212:I212"/>
    <mergeCell ref="J212:K212"/>
    <mergeCell ref="L212:M212"/>
    <mergeCell ref="A213:M213"/>
    <mergeCell ref="A210:D210"/>
    <mergeCell ref="F210:G210"/>
    <mergeCell ref="H210:I210"/>
    <mergeCell ref="J210:K210"/>
    <mergeCell ref="L210:M210"/>
    <mergeCell ref="A211:D211"/>
    <mergeCell ref="F211:G211"/>
    <mergeCell ref="H211:I211"/>
    <mergeCell ref="J211:K211"/>
    <mergeCell ref="L211:M211"/>
    <mergeCell ref="A235:B235"/>
    <mergeCell ref="C235:G235"/>
    <mergeCell ref="H235:I235"/>
    <mergeCell ref="J235:M235"/>
    <mergeCell ref="A236:B236"/>
    <mergeCell ref="A237:C237"/>
    <mergeCell ref="D237:G237"/>
    <mergeCell ref="H237:I237"/>
    <mergeCell ref="J237:M237"/>
    <mergeCell ref="A231:M231"/>
    <mergeCell ref="A233:B233"/>
    <mergeCell ref="A234:B234"/>
    <mergeCell ref="H234:I234"/>
    <mergeCell ref="J234:K234"/>
    <mergeCell ref="L234:M234"/>
    <mergeCell ref="A225:L225"/>
    <mergeCell ref="A226:K226"/>
    <mergeCell ref="A227:M227"/>
    <mergeCell ref="A228:M228"/>
    <mergeCell ref="A229:M229"/>
    <mergeCell ref="A230:M230"/>
    <mergeCell ref="B242:D242"/>
    <mergeCell ref="F242:G242"/>
    <mergeCell ref="H242:I242"/>
    <mergeCell ref="J242:K242"/>
    <mergeCell ref="L242:M242"/>
    <mergeCell ref="B243:D243"/>
    <mergeCell ref="F243:G243"/>
    <mergeCell ref="H243:I243"/>
    <mergeCell ref="J243:K243"/>
    <mergeCell ref="L243:M243"/>
    <mergeCell ref="A240:M240"/>
    <mergeCell ref="B241:D241"/>
    <mergeCell ref="F241:G241"/>
    <mergeCell ref="H241:I241"/>
    <mergeCell ref="J241:K241"/>
    <mergeCell ref="L241:M241"/>
    <mergeCell ref="A238:C238"/>
    <mergeCell ref="D238:G238"/>
    <mergeCell ref="H238:I238"/>
    <mergeCell ref="J238:M238"/>
    <mergeCell ref="A239:C239"/>
    <mergeCell ref="D239:G239"/>
    <mergeCell ref="H239:I239"/>
    <mergeCell ref="J239:M239"/>
    <mergeCell ref="B246:D246"/>
    <mergeCell ref="F246:G246"/>
    <mergeCell ref="H246:I246"/>
    <mergeCell ref="J246:K246"/>
    <mergeCell ref="L246:M246"/>
    <mergeCell ref="B247:D247"/>
    <mergeCell ref="F247:G247"/>
    <mergeCell ref="H247:I247"/>
    <mergeCell ref="J247:K247"/>
    <mergeCell ref="L247:M247"/>
    <mergeCell ref="B244:D244"/>
    <mergeCell ref="F244:G244"/>
    <mergeCell ref="H244:I244"/>
    <mergeCell ref="J244:K244"/>
    <mergeCell ref="L244:M244"/>
    <mergeCell ref="B245:D245"/>
    <mergeCell ref="F245:G245"/>
    <mergeCell ref="H245:I245"/>
    <mergeCell ref="J245:K245"/>
    <mergeCell ref="L245:M245"/>
    <mergeCell ref="B250:D250"/>
    <mergeCell ref="F250:G250"/>
    <mergeCell ref="H250:I250"/>
    <mergeCell ref="J250:K250"/>
    <mergeCell ref="L250:M250"/>
    <mergeCell ref="B251:D251"/>
    <mergeCell ref="F251:G251"/>
    <mergeCell ref="H251:I251"/>
    <mergeCell ref="J251:K251"/>
    <mergeCell ref="L251:M251"/>
    <mergeCell ref="B248:D248"/>
    <mergeCell ref="F248:G248"/>
    <mergeCell ref="H248:I248"/>
    <mergeCell ref="J248:K248"/>
    <mergeCell ref="L248:M248"/>
    <mergeCell ref="B249:D249"/>
    <mergeCell ref="F249:G249"/>
    <mergeCell ref="H249:I249"/>
    <mergeCell ref="J249:K249"/>
    <mergeCell ref="L249:M249"/>
    <mergeCell ref="A254:D254"/>
    <mergeCell ref="F254:G254"/>
    <mergeCell ref="H254:I254"/>
    <mergeCell ref="J254:K254"/>
    <mergeCell ref="L254:M254"/>
    <mergeCell ref="B255:D255"/>
    <mergeCell ref="F255:G255"/>
    <mergeCell ref="H255:I255"/>
    <mergeCell ref="J255:K255"/>
    <mergeCell ref="L255:M255"/>
    <mergeCell ref="H252:I252"/>
    <mergeCell ref="J252:K252"/>
    <mergeCell ref="L252:M252"/>
    <mergeCell ref="A253:D253"/>
    <mergeCell ref="F253:G253"/>
    <mergeCell ref="H253:I253"/>
    <mergeCell ref="J253:K253"/>
    <mergeCell ref="L253:M253"/>
    <mergeCell ref="A260:M260"/>
    <mergeCell ref="A261:D261"/>
    <mergeCell ref="F261:G261"/>
    <mergeCell ref="H261:I261"/>
    <mergeCell ref="J261:K261"/>
    <mergeCell ref="L261:M261"/>
    <mergeCell ref="B258:D258"/>
    <mergeCell ref="F258:G258"/>
    <mergeCell ref="H258:I258"/>
    <mergeCell ref="J258:K258"/>
    <mergeCell ref="L258:M258"/>
    <mergeCell ref="B259:D259"/>
    <mergeCell ref="F259:G259"/>
    <mergeCell ref="H259:I259"/>
    <mergeCell ref="J259:K259"/>
    <mergeCell ref="L259:M259"/>
    <mergeCell ref="B256:D256"/>
    <mergeCell ref="F256:G256"/>
    <mergeCell ref="H256:I256"/>
    <mergeCell ref="J256:K256"/>
    <mergeCell ref="L256:M256"/>
    <mergeCell ref="B257:D257"/>
    <mergeCell ref="F257:G257"/>
    <mergeCell ref="H257:I257"/>
    <mergeCell ref="J257:K257"/>
    <mergeCell ref="L257:M257"/>
    <mergeCell ref="A266:D266"/>
    <mergeCell ref="F266:G266"/>
    <mergeCell ref="H266:I266"/>
    <mergeCell ref="J266:K266"/>
    <mergeCell ref="L266:M266"/>
    <mergeCell ref="A267:D267"/>
    <mergeCell ref="F267:G267"/>
    <mergeCell ref="H267:I267"/>
    <mergeCell ref="J267:K267"/>
    <mergeCell ref="L267:M267"/>
    <mergeCell ref="B264:D264"/>
    <mergeCell ref="F264:G264"/>
    <mergeCell ref="H264:I264"/>
    <mergeCell ref="J264:K264"/>
    <mergeCell ref="L264:M264"/>
    <mergeCell ref="A265:M265"/>
    <mergeCell ref="B262:D262"/>
    <mergeCell ref="F262:G262"/>
    <mergeCell ref="H262:I262"/>
    <mergeCell ref="J262:K262"/>
    <mergeCell ref="L262:M262"/>
    <mergeCell ref="B263:D263"/>
    <mergeCell ref="F263:G263"/>
    <mergeCell ref="H263:I263"/>
    <mergeCell ref="J263:K263"/>
    <mergeCell ref="L263:M263"/>
    <mergeCell ref="A272:M272"/>
    <mergeCell ref="B278:M278"/>
    <mergeCell ref="A279:M279"/>
    <mergeCell ref="A280:M280"/>
    <mergeCell ref="A281:M281"/>
    <mergeCell ref="A282:M282"/>
    <mergeCell ref="A270:D270"/>
    <mergeCell ref="F270:G270"/>
    <mergeCell ref="H270:I270"/>
    <mergeCell ref="J270:K270"/>
    <mergeCell ref="L270:M270"/>
    <mergeCell ref="A271:M271"/>
    <mergeCell ref="A268:D268"/>
    <mergeCell ref="F268:G268"/>
    <mergeCell ref="H268:I268"/>
    <mergeCell ref="J268:K268"/>
    <mergeCell ref="L268:M268"/>
    <mergeCell ref="A269:D269"/>
    <mergeCell ref="F269:G269"/>
    <mergeCell ref="H269:I269"/>
    <mergeCell ref="J269:K269"/>
    <mergeCell ref="L269:M269"/>
    <mergeCell ref="A293:B293"/>
    <mergeCell ref="C293:G293"/>
    <mergeCell ref="H293:I293"/>
    <mergeCell ref="J293:M293"/>
    <mergeCell ref="A294:B294"/>
    <mergeCell ref="A295:C295"/>
    <mergeCell ref="D295:G295"/>
    <mergeCell ref="H295:I295"/>
    <mergeCell ref="J295:M295"/>
    <mergeCell ref="A289:M289"/>
    <mergeCell ref="A291:B291"/>
    <mergeCell ref="A292:B292"/>
    <mergeCell ref="H292:I292"/>
    <mergeCell ref="J292:K292"/>
    <mergeCell ref="L292:M292"/>
    <mergeCell ref="A283:L283"/>
    <mergeCell ref="A284:K284"/>
    <mergeCell ref="A285:M285"/>
    <mergeCell ref="A286:M286"/>
    <mergeCell ref="A287:M287"/>
    <mergeCell ref="A288:M288"/>
    <mergeCell ref="B300:D300"/>
    <mergeCell ref="F300:G300"/>
    <mergeCell ref="H300:I300"/>
    <mergeCell ref="J300:K300"/>
    <mergeCell ref="L300:M300"/>
    <mergeCell ref="B301:D301"/>
    <mergeCell ref="F301:G301"/>
    <mergeCell ref="H301:I301"/>
    <mergeCell ref="J301:K301"/>
    <mergeCell ref="L301:M301"/>
    <mergeCell ref="A298:M298"/>
    <mergeCell ref="B299:D299"/>
    <mergeCell ref="F299:G299"/>
    <mergeCell ref="H299:I299"/>
    <mergeCell ref="J299:K299"/>
    <mergeCell ref="L299:M299"/>
    <mergeCell ref="A296:C296"/>
    <mergeCell ref="D296:G296"/>
    <mergeCell ref="H296:I296"/>
    <mergeCell ref="J296:M296"/>
    <mergeCell ref="A297:C297"/>
    <mergeCell ref="D297:G297"/>
    <mergeCell ref="H297:I297"/>
    <mergeCell ref="J297:M297"/>
    <mergeCell ref="B304:D304"/>
    <mergeCell ref="F304:G304"/>
    <mergeCell ref="H304:I304"/>
    <mergeCell ref="J304:K304"/>
    <mergeCell ref="L304:M304"/>
    <mergeCell ref="B305:D305"/>
    <mergeCell ref="F305:G305"/>
    <mergeCell ref="H305:I305"/>
    <mergeCell ref="J305:K305"/>
    <mergeCell ref="L305:M305"/>
    <mergeCell ref="B302:D302"/>
    <mergeCell ref="F302:G302"/>
    <mergeCell ref="H302:I302"/>
    <mergeCell ref="J302:K302"/>
    <mergeCell ref="L302:M302"/>
    <mergeCell ref="B303:D303"/>
    <mergeCell ref="F303:G303"/>
    <mergeCell ref="H303:I303"/>
    <mergeCell ref="J303:K303"/>
    <mergeCell ref="L303:M303"/>
    <mergeCell ref="B308:D308"/>
    <mergeCell ref="F308:G308"/>
    <mergeCell ref="H308:I308"/>
    <mergeCell ref="J308:K308"/>
    <mergeCell ref="L308:M308"/>
    <mergeCell ref="B309:D309"/>
    <mergeCell ref="F309:G309"/>
    <mergeCell ref="H309:I309"/>
    <mergeCell ref="J309:K309"/>
    <mergeCell ref="L309:M309"/>
    <mergeCell ref="B306:D306"/>
    <mergeCell ref="F306:G306"/>
    <mergeCell ref="H306:I306"/>
    <mergeCell ref="J306:K306"/>
    <mergeCell ref="L306:M306"/>
    <mergeCell ref="B307:D307"/>
    <mergeCell ref="F307:G307"/>
    <mergeCell ref="H307:I307"/>
    <mergeCell ref="J307:K307"/>
    <mergeCell ref="L307:M307"/>
    <mergeCell ref="A312:D312"/>
    <mergeCell ref="F312:G312"/>
    <mergeCell ref="H312:I312"/>
    <mergeCell ref="J312:K312"/>
    <mergeCell ref="L312:M312"/>
    <mergeCell ref="B313:D313"/>
    <mergeCell ref="F313:G313"/>
    <mergeCell ref="H313:I313"/>
    <mergeCell ref="J313:K313"/>
    <mergeCell ref="L313:M313"/>
    <mergeCell ref="H310:I310"/>
    <mergeCell ref="J310:K310"/>
    <mergeCell ref="L310:M310"/>
    <mergeCell ref="A311:D311"/>
    <mergeCell ref="F311:G311"/>
    <mergeCell ref="H311:I311"/>
    <mergeCell ref="J311:K311"/>
    <mergeCell ref="L311:M311"/>
    <mergeCell ref="A318:M318"/>
    <mergeCell ref="A319:D319"/>
    <mergeCell ref="F319:G319"/>
    <mergeCell ref="H319:I319"/>
    <mergeCell ref="J319:K319"/>
    <mergeCell ref="L319:M319"/>
    <mergeCell ref="B316:D316"/>
    <mergeCell ref="F316:G316"/>
    <mergeCell ref="H316:I316"/>
    <mergeCell ref="J316:K316"/>
    <mergeCell ref="L316:M316"/>
    <mergeCell ref="B317:D317"/>
    <mergeCell ref="F317:G317"/>
    <mergeCell ref="H317:I317"/>
    <mergeCell ref="J317:K317"/>
    <mergeCell ref="L317:M317"/>
    <mergeCell ref="B314:D314"/>
    <mergeCell ref="F314:G314"/>
    <mergeCell ref="H314:I314"/>
    <mergeCell ref="J314:K314"/>
    <mergeCell ref="L314:M314"/>
    <mergeCell ref="B315:D315"/>
    <mergeCell ref="F315:G315"/>
    <mergeCell ref="H315:I315"/>
    <mergeCell ref="J315:K315"/>
    <mergeCell ref="L315:M315"/>
    <mergeCell ref="A324:D324"/>
    <mergeCell ref="F324:G324"/>
    <mergeCell ref="H324:I324"/>
    <mergeCell ref="J324:K324"/>
    <mergeCell ref="L324:M324"/>
    <mergeCell ref="A325:D325"/>
    <mergeCell ref="F325:G325"/>
    <mergeCell ref="H325:I325"/>
    <mergeCell ref="J325:K325"/>
    <mergeCell ref="L325:M325"/>
    <mergeCell ref="B322:D322"/>
    <mergeCell ref="F322:G322"/>
    <mergeCell ref="H322:I322"/>
    <mergeCell ref="J322:K322"/>
    <mergeCell ref="L322:M322"/>
    <mergeCell ref="A323:M323"/>
    <mergeCell ref="B320:D320"/>
    <mergeCell ref="F320:G320"/>
    <mergeCell ref="H320:I320"/>
    <mergeCell ref="J320:K320"/>
    <mergeCell ref="L320:M320"/>
    <mergeCell ref="B321:D321"/>
    <mergeCell ref="F321:G321"/>
    <mergeCell ref="H321:I321"/>
    <mergeCell ref="J321:K321"/>
    <mergeCell ref="L321:M321"/>
    <mergeCell ref="A330:M330"/>
    <mergeCell ref="B336:M336"/>
    <mergeCell ref="A337:M337"/>
    <mergeCell ref="A338:M338"/>
    <mergeCell ref="A339:M339"/>
    <mergeCell ref="A340:M340"/>
    <mergeCell ref="A328:D328"/>
    <mergeCell ref="F328:G328"/>
    <mergeCell ref="H328:I328"/>
    <mergeCell ref="J328:K328"/>
    <mergeCell ref="L328:M328"/>
    <mergeCell ref="A329:M329"/>
    <mergeCell ref="A326:D326"/>
    <mergeCell ref="F326:G326"/>
    <mergeCell ref="H326:I326"/>
    <mergeCell ref="J326:K326"/>
    <mergeCell ref="L326:M326"/>
    <mergeCell ref="A327:D327"/>
    <mergeCell ref="F327:G327"/>
    <mergeCell ref="H327:I327"/>
    <mergeCell ref="J327:K327"/>
    <mergeCell ref="L327:M327"/>
    <mergeCell ref="A351:B351"/>
    <mergeCell ref="C351:G351"/>
    <mergeCell ref="H351:I351"/>
    <mergeCell ref="J351:M351"/>
    <mergeCell ref="A352:B352"/>
    <mergeCell ref="A353:C353"/>
    <mergeCell ref="D353:G353"/>
    <mergeCell ref="H353:I353"/>
    <mergeCell ref="J353:M353"/>
    <mergeCell ref="A347:M347"/>
    <mergeCell ref="A349:B349"/>
    <mergeCell ref="A350:B350"/>
    <mergeCell ref="H350:I350"/>
    <mergeCell ref="J350:K350"/>
    <mergeCell ref="L350:M350"/>
    <mergeCell ref="A341:L341"/>
    <mergeCell ref="A342:K342"/>
    <mergeCell ref="A343:M343"/>
    <mergeCell ref="A344:M344"/>
    <mergeCell ref="A345:M345"/>
    <mergeCell ref="A346:M346"/>
    <mergeCell ref="B358:D358"/>
    <mergeCell ref="F358:G358"/>
    <mergeCell ref="H358:I358"/>
    <mergeCell ref="J358:K358"/>
    <mergeCell ref="L358:M358"/>
    <mergeCell ref="B359:D359"/>
    <mergeCell ref="F359:G359"/>
    <mergeCell ref="H359:I359"/>
    <mergeCell ref="J359:K359"/>
    <mergeCell ref="L359:M359"/>
    <mergeCell ref="A356:M356"/>
    <mergeCell ref="B357:D357"/>
    <mergeCell ref="F357:G357"/>
    <mergeCell ref="H357:I357"/>
    <mergeCell ref="J357:K357"/>
    <mergeCell ref="L357:M357"/>
    <mergeCell ref="A354:C354"/>
    <mergeCell ref="D354:G354"/>
    <mergeCell ref="H354:I354"/>
    <mergeCell ref="J354:M354"/>
    <mergeCell ref="A355:C355"/>
    <mergeCell ref="D355:G355"/>
    <mergeCell ref="H355:I355"/>
    <mergeCell ref="J355:M355"/>
    <mergeCell ref="B362:D362"/>
    <mergeCell ref="F362:G362"/>
    <mergeCell ref="H362:I362"/>
    <mergeCell ref="J362:K362"/>
    <mergeCell ref="L362:M362"/>
    <mergeCell ref="B363:D363"/>
    <mergeCell ref="F363:G363"/>
    <mergeCell ref="H363:I363"/>
    <mergeCell ref="J363:K363"/>
    <mergeCell ref="L363:M363"/>
    <mergeCell ref="B360:D360"/>
    <mergeCell ref="F360:G360"/>
    <mergeCell ref="H360:I360"/>
    <mergeCell ref="J360:K360"/>
    <mergeCell ref="L360:M360"/>
    <mergeCell ref="B361:D361"/>
    <mergeCell ref="F361:G361"/>
    <mergeCell ref="H361:I361"/>
    <mergeCell ref="J361:K361"/>
    <mergeCell ref="L361:M361"/>
    <mergeCell ref="B366:D366"/>
    <mergeCell ref="F366:G366"/>
    <mergeCell ref="H366:I366"/>
    <mergeCell ref="J366:K366"/>
    <mergeCell ref="L366:M366"/>
    <mergeCell ref="B367:D367"/>
    <mergeCell ref="F367:G367"/>
    <mergeCell ref="H367:I367"/>
    <mergeCell ref="J367:K367"/>
    <mergeCell ref="L367:M367"/>
    <mergeCell ref="B364:D364"/>
    <mergeCell ref="F364:G364"/>
    <mergeCell ref="H364:I364"/>
    <mergeCell ref="J364:K364"/>
    <mergeCell ref="L364:M364"/>
    <mergeCell ref="B365:D365"/>
    <mergeCell ref="F365:G365"/>
    <mergeCell ref="H365:I365"/>
    <mergeCell ref="J365:K365"/>
    <mergeCell ref="L365:M365"/>
    <mergeCell ref="A370:D370"/>
    <mergeCell ref="F370:G370"/>
    <mergeCell ref="H370:I370"/>
    <mergeCell ref="J370:K370"/>
    <mergeCell ref="L370:M370"/>
    <mergeCell ref="B371:D371"/>
    <mergeCell ref="F371:G371"/>
    <mergeCell ref="H371:I371"/>
    <mergeCell ref="J371:K371"/>
    <mergeCell ref="L371:M371"/>
    <mergeCell ref="H368:I368"/>
    <mergeCell ref="J368:K368"/>
    <mergeCell ref="L368:M368"/>
    <mergeCell ref="A369:D369"/>
    <mergeCell ref="F369:G369"/>
    <mergeCell ref="H369:I369"/>
    <mergeCell ref="J369:K369"/>
    <mergeCell ref="L369:M369"/>
    <mergeCell ref="A376:M376"/>
    <mergeCell ref="A377:D377"/>
    <mergeCell ref="F377:G377"/>
    <mergeCell ref="H377:I377"/>
    <mergeCell ref="J377:K377"/>
    <mergeCell ref="L377:M377"/>
    <mergeCell ref="B374:D374"/>
    <mergeCell ref="F374:G374"/>
    <mergeCell ref="H374:I374"/>
    <mergeCell ref="J374:K374"/>
    <mergeCell ref="L374:M374"/>
    <mergeCell ref="B375:D375"/>
    <mergeCell ref="F375:G375"/>
    <mergeCell ref="H375:I375"/>
    <mergeCell ref="J375:K375"/>
    <mergeCell ref="L375:M375"/>
    <mergeCell ref="B372:D372"/>
    <mergeCell ref="F372:G372"/>
    <mergeCell ref="H372:I372"/>
    <mergeCell ref="J372:K372"/>
    <mergeCell ref="L372:M372"/>
    <mergeCell ref="B373:D373"/>
    <mergeCell ref="F373:G373"/>
    <mergeCell ref="H373:I373"/>
    <mergeCell ref="J373:K373"/>
    <mergeCell ref="L373:M373"/>
    <mergeCell ref="A382:D382"/>
    <mergeCell ref="F382:G382"/>
    <mergeCell ref="H382:I382"/>
    <mergeCell ref="J382:K382"/>
    <mergeCell ref="L382:M382"/>
    <mergeCell ref="A383:D383"/>
    <mergeCell ref="F383:G383"/>
    <mergeCell ref="H383:I383"/>
    <mergeCell ref="J383:K383"/>
    <mergeCell ref="L383:M383"/>
    <mergeCell ref="B380:D380"/>
    <mergeCell ref="F380:G380"/>
    <mergeCell ref="H380:I380"/>
    <mergeCell ref="J380:K380"/>
    <mergeCell ref="L380:M380"/>
    <mergeCell ref="A381:M381"/>
    <mergeCell ref="B378:D378"/>
    <mergeCell ref="F378:G378"/>
    <mergeCell ref="H378:I378"/>
    <mergeCell ref="J378:K378"/>
    <mergeCell ref="L378:M378"/>
    <mergeCell ref="B379:D379"/>
    <mergeCell ref="F379:G379"/>
    <mergeCell ref="H379:I379"/>
    <mergeCell ref="J379:K379"/>
    <mergeCell ref="L379:M379"/>
    <mergeCell ref="A388:M388"/>
    <mergeCell ref="B394:M394"/>
    <mergeCell ref="A395:M395"/>
    <mergeCell ref="A396:M396"/>
    <mergeCell ref="A397:M397"/>
    <mergeCell ref="A398:M398"/>
    <mergeCell ref="A386:D386"/>
    <mergeCell ref="F386:G386"/>
    <mergeCell ref="H386:I386"/>
    <mergeCell ref="J386:K386"/>
    <mergeCell ref="L386:M386"/>
    <mergeCell ref="A387:M387"/>
    <mergeCell ref="A384:D384"/>
    <mergeCell ref="F384:G384"/>
    <mergeCell ref="H384:I384"/>
    <mergeCell ref="J384:K384"/>
    <mergeCell ref="L384:M384"/>
    <mergeCell ref="A385:D385"/>
    <mergeCell ref="F385:G385"/>
    <mergeCell ref="H385:I385"/>
    <mergeCell ref="J385:K385"/>
    <mergeCell ref="L385:M385"/>
    <mergeCell ref="A409:B409"/>
    <mergeCell ref="C409:G409"/>
    <mergeCell ref="H409:I409"/>
    <mergeCell ref="J409:M409"/>
    <mergeCell ref="A410:B410"/>
    <mergeCell ref="A411:C411"/>
    <mergeCell ref="D411:G411"/>
    <mergeCell ref="H411:I411"/>
    <mergeCell ref="J411:M411"/>
    <mergeCell ref="A405:M405"/>
    <mergeCell ref="A407:B407"/>
    <mergeCell ref="A408:B408"/>
    <mergeCell ref="H408:I408"/>
    <mergeCell ref="J408:K408"/>
    <mergeCell ref="L408:M408"/>
    <mergeCell ref="A399:L399"/>
    <mergeCell ref="A400:K400"/>
    <mergeCell ref="A401:M401"/>
    <mergeCell ref="A402:M402"/>
    <mergeCell ref="A403:M403"/>
    <mergeCell ref="A404:M404"/>
    <mergeCell ref="B416:D416"/>
    <mergeCell ref="F416:G416"/>
    <mergeCell ref="H416:I416"/>
    <mergeCell ref="J416:K416"/>
    <mergeCell ref="L416:M416"/>
    <mergeCell ref="B417:D417"/>
    <mergeCell ref="F417:G417"/>
    <mergeCell ref="H417:I417"/>
    <mergeCell ref="J417:K417"/>
    <mergeCell ref="L417:M417"/>
    <mergeCell ref="A414:M414"/>
    <mergeCell ref="B415:D415"/>
    <mergeCell ref="F415:G415"/>
    <mergeCell ref="H415:I415"/>
    <mergeCell ref="J415:K415"/>
    <mergeCell ref="L415:M415"/>
    <mergeCell ref="A412:C412"/>
    <mergeCell ref="D412:G412"/>
    <mergeCell ref="H412:I412"/>
    <mergeCell ref="J412:M412"/>
    <mergeCell ref="A413:C413"/>
    <mergeCell ref="D413:G413"/>
    <mergeCell ref="H413:I413"/>
    <mergeCell ref="J413:M413"/>
    <mergeCell ref="B420:D420"/>
    <mergeCell ref="F420:G420"/>
    <mergeCell ref="H420:I420"/>
    <mergeCell ref="J420:K420"/>
    <mergeCell ref="L420:M420"/>
    <mergeCell ref="B421:D421"/>
    <mergeCell ref="F421:G421"/>
    <mergeCell ref="H421:I421"/>
    <mergeCell ref="J421:K421"/>
    <mergeCell ref="L421:M421"/>
    <mergeCell ref="B418:D418"/>
    <mergeCell ref="F418:G418"/>
    <mergeCell ref="H418:I418"/>
    <mergeCell ref="J418:K418"/>
    <mergeCell ref="L418:M418"/>
    <mergeCell ref="B419:D419"/>
    <mergeCell ref="F419:G419"/>
    <mergeCell ref="H419:I419"/>
    <mergeCell ref="J419:K419"/>
    <mergeCell ref="L419:M419"/>
    <mergeCell ref="B424:D424"/>
    <mergeCell ref="F424:G424"/>
    <mergeCell ref="H424:I424"/>
    <mergeCell ref="J424:K424"/>
    <mergeCell ref="L424:M424"/>
    <mergeCell ref="B425:D425"/>
    <mergeCell ref="F425:G425"/>
    <mergeCell ref="H425:I425"/>
    <mergeCell ref="J425:K425"/>
    <mergeCell ref="L425:M425"/>
    <mergeCell ref="B422:D422"/>
    <mergeCell ref="F422:G422"/>
    <mergeCell ref="H422:I422"/>
    <mergeCell ref="J422:K422"/>
    <mergeCell ref="L422:M422"/>
    <mergeCell ref="B423:D423"/>
    <mergeCell ref="F423:G423"/>
    <mergeCell ref="H423:I423"/>
    <mergeCell ref="J423:K423"/>
    <mergeCell ref="L423:M423"/>
    <mergeCell ref="A428:D428"/>
    <mergeCell ref="F428:G428"/>
    <mergeCell ref="H428:I428"/>
    <mergeCell ref="J428:K428"/>
    <mergeCell ref="L428:M428"/>
    <mergeCell ref="B429:D429"/>
    <mergeCell ref="F429:G429"/>
    <mergeCell ref="H429:I429"/>
    <mergeCell ref="J429:K429"/>
    <mergeCell ref="L429:M429"/>
    <mergeCell ref="H426:I426"/>
    <mergeCell ref="J426:K426"/>
    <mergeCell ref="L426:M426"/>
    <mergeCell ref="A427:D427"/>
    <mergeCell ref="F427:G427"/>
    <mergeCell ref="H427:I427"/>
    <mergeCell ref="J427:K427"/>
    <mergeCell ref="L427:M427"/>
    <mergeCell ref="A434:M434"/>
    <mergeCell ref="A435:D435"/>
    <mergeCell ref="F435:G435"/>
    <mergeCell ref="H435:I435"/>
    <mergeCell ref="J435:K435"/>
    <mergeCell ref="L435:M435"/>
    <mergeCell ref="B432:D432"/>
    <mergeCell ref="F432:G432"/>
    <mergeCell ref="H432:I432"/>
    <mergeCell ref="J432:K432"/>
    <mergeCell ref="L432:M432"/>
    <mergeCell ref="B433:D433"/>
    <mergeCell ref="F433:G433"/>
    <mergeCell ref="H433:I433"/>
    <mergeCell ref="J433:K433"/>
    <mergeCell ref="L433:M433"/>
    <mergeCell ref="B430:D430"/>
    <mergeCell ref="F430:G430"/>
    <mergeCell ref="H430:I430"/>
    <mergeCell ref="J430:K430"/>
    <mergeCell ref="L430:M430"/>
    <mergeCell ref="B431:D431"/>
    <mergeCell ref="F431:G431"/>
    <mergeCell ref="H431:I431"/>
    <mergeCell ref="J431:K431"/>
    <mergeCell ref="L431:M431"/>
    <mergeCell ref="A440:D440"/>
    <mergeCell ref="F440:G440"/>
    <mergeCell ref="H440:I440"/>
    <mergeCell ref="J440:K440"/>
    <mergeCell ref="L440:M440"/>
    <mergeCell ref="A441:D441"/>
    <mergeCell ref="F441:G441"/>
    <mergeCell ref="H441:I441"/>
    <mergeCell ref="J441:K441"/>
    <mergeCell ref="L441:M441"/>
    <mergeCell ref="B438:D438"/>
    <mergeCell ref="F438:G438"/>
    <mergeCell ref="H438:I438"/>
    <mergeCell ref="J438:K438"/>
    <mergeCell ref="L438:M438"/>
    <mergeCell ref="A439:M439"/>
    <mergeCell ref="B436:D436"/>
    <mergeCell ref="F436:G436"/>
    <mergeCell ref="H436:I436"/>
    <mergeCell ref="J436:K436"/>
    <mergeCell ref="L436:M436"/>
    <mergeCell ref="B437:D437"/>
    <mergeCell ref="F437:G437"/>
    <mergeCell ref="H437:I437"/>
    <mergeCell ref="J437:K437"/>
    <mergeCell ref="L437:M437"/>
    <mergeCell ref="A446:M446"/>
    <mergeCell ref="B452:M452"/>
    <mergeCell ref="A453:M453"/>
    <mergeCell ref="A454:M454"/>
    <mergeCell ref="A455:M455"/>
    <mergeCell ref="A456:M456"/>
    <mergeCell ref="A444:D444"/>
    <mergeCell ref="F444:G444"/>
    <mergeCell ref="H444:I444"/>
    <mergeCell ref="J444:K444"/>
    <mergeCell ref="L444:M444"/>
    <mergeCell ref="A445:M445"/>
    <mergeCell ref="A442:D442"/>
    <mergeCell ref="F442:G442"/>
    <mergeCell ref="H442:I442"/>
    <mergeCell ref="J442:K442"/>
    <mergeCell ref="L442:M442"/>
    <mergeCell ref="A443:D443"/>
    <mergeCell ref="F443:G443"/>
    <mergeCell ref="H443:I443"/>
    <mergeCell ref="J443:K443"/>
    <mergeCell ref="L443:M443"/>
    <mergeCell ref="A467:B467"/>
    <mergeCell ref="C467:G467"/>
    <mergeCell ref="H467:I467"/>
    <mergeCell ref="J467:M467"/>
    <mergeCell ref="A468:B468"/>
    <mergeCell ref="A469:C469"/>
    <mergeCell ref="D469:G469"/>
    <mergeCell ref="H469:I469"/>
    <mergeCell ref="J469:M469"/>
    <mergeCell ref="A463:M463"/>
    <mergeCell ref="A465:B465"/>
    <mergeCell ref="A466:B466"/>
    <mergeCell ref="H466:I466"/>
    <mergeCell ref="J466:K466"/>
    <mergeCell ref="L466:M466"/>
    <mergeCell ref="A457:L457"/>
    <mergeCell ref="A458:K458"/>
    <mergeCell ref="A459:M459"/>
    <mergeCell ref="A460:M460"/>
    <mergeCell ref="A461:M461"/>
    <mergeCell ref="A462:M462"/>
    <mergeCell ref="B474:D474"/>
    <mergeCell ref="F474:G474"/>
    <mergeCell ref="H474:I474"/>
    <mergeCell ref="J474:K474"/>
    <mergeCell ref="L474:M474"/>
    <mergeCell ref="B475:D475"/>
    <mergeCell ref="F475:G475"/>
    <mergeCell ref="H475:I475"/>
    <mergeCell ref="J475:K475"/>
    <mergeCell ref="L475:M475"/>
    <mergeCell ref="A472:M472"/>
    <mergeCell ref="B473:D473"/>
    <mergeCell ref="F473:G473"/>
    <mergeCell ref="H473:I473"/>
    <mergeCell ref="J473:K473"/>
    <mergeCell ref="L473:M473"/>
    <mergeCell ref="A470:C470"/>
    <mergeCell ref="D470:G470"/>
    <mergeCell ref="H470:I470"/>
    <mergeCell ref="J470:M470"/>
    <mergeCell ref="A471:C471"/>
    <mergeCell ref="D471:G471"/>
    <mergeCell ref="H471:I471"/>
    <mergeCell ref="J471:M471"/>
    <mergeCell ref="B478:D478"/>
    <mergeCell ref="F478:G478"/>
    <mergeCell ref="H478:I478"/>
    <mergeCell ref="J478:K478"/>
    <mergeCell ref="L478:M478"/>
    <mergeCell ref="B479:D479"/>
    <mergeCell ref="F479:G479"/>
    <mergeCell ref="H479:I479"/>
    <mergeCell ref="J479:K479"/>
    <mergeCell ref="L479:M479"/>
    <mergeCell ref="B476:D476"/>
    <mergeCell ref="F476:G476"/>
    <mergeCell ref="H476:I476"/>
    <mergeCell ref="J476:K476"/>
    <mergeCell ref="L476:M476"/>
    <mergeCell ref="B477:D477"/>
    <mergeCell ref="F477:G477"/>
    <mergeCell ref="H477:I477"/>
    <mergeCell ref="J477:K477"/>
    <mergeCell ref="L477:M477"/>
    <mergeCell ref="B482:D482"/>
    <mergeCell ref="F482:G482"/>
    <mergeCell ref="H482:I482"/>
    <mergeCell ref="J482:K482"/>
    <mergeCell ref="L482:M482"/>
    <mergeCell ref="B483:D483"/>
    <mergeCell ref="F483:G483"/>
    <mergeCell ref="H483:I483"/>
    <mergeCell ref="J483:K483"/>
    <mergeCell ref="L483:M483"/>
    <mergeCell ref="B480:D480"/>
    <mergeCell ref="F480:G480"/>
    <mergeCell ref="H480:I480"/>
    <mergeCell ref="J480:K480"/>
    <mergeCell ref="L480:M480"/>
    <mergeCell ref="B481:D481"/>
    <mergeCell ref="F481:G481"/>
    <mergeCell ref="H481:I481"/>
    <mergeCell ref="J481:K481"/>
    <mergeCell ref="L481:M481"/>
    <mergeCell ref="A486:D486"/>
    <mergeCell ref="F486:G486"/>
    <mergeCell ref="H486:I486"/>
    <mergeCell ref="J486:K486"/>
    <mergeCell ref="L486:M486"/>
    <mergeCell ref="B487:D487"/>
    <mergeCell ref="F487:G487"/>
    <mergeCell ref="H487:I487"/>
    <mergeCell ref="J487:K487"/>
    <mergeCell ref="L487:M487"/>
    <mergeCell ref="H484:I484"/>
    <mergeCell ref="J484:K484"/>
    <mergeCell ref="L484:M484"/>
    <mergeCell ref="A485:D485"/>
    <mergeCell ref="F485:G485"/>
    <mergeCell ref="H485:I485"/>
    <mergeCell ref="J485:K485"/>
    <mergeCell ref="L485:M485"/>
    <mergeCell ref="A492:M492"/>
    <mergeCell ref="A493:D493"/>
    <mergeCell ref="F493:G493"/>
    <mergeCell ref="H493:I493"/>
    <mergeCell ref="J493:K493"/>
    <mergeCell ref="L493:M493"/>
    <mergeCell ref="B490:D490"/>
    <mergeCell ref="F490:G490"/>
    <mergeCell ref="H490:I490"/>
    <mergeCell ref="J490:K490"/>
    <mergeCell ref="L490:M490"/>
    <mergeCell ref="B491:D491"/>
    <mergeCell ref="F491:G491"/>
    <mergeCell ref="H491:I491"/>
    <mergeCell ref="J491:K491"/>
    <mergeCell ref="L491:M491"/>
    <mergeCell ref="B488:D488"/>
    <mergeCell ref="F488:G488"/>
    <mergeCell ref="H488:I488"/>
    <mergeCell ref="J488:K488"/>
    <mergeCell ref="L488:M488"/>
    <mergeCell ref="B489:D489"/>
    <mergeCell ref="F489:G489"/>
    <mergeCell ref="H489:I489"/>
    <mergeCell ref="J489:K489"/>
    <mergeCell ref="L489:M489"/>
    <mergeCell ref="A498:D498"/>
    <mergeCell ref="F498:G498"/>
    <mergeCell ref="H498:I498"/>
    <mergeCell ref="J498:K498"/>
    <mergeCell ref="L498:M498"/>
    <mergeCell ref="A499:D499"/>
    <mergeCell ref="F499:G499"/>
    <mergeCell ref="H499:I499"/>
    <mergeCell ref="J499:K499"/>
    <mergeCell ref="L499:M499"/>
    <mergeCell ref="B496:D496"/>
    <mergeCell ref="F496:G496"/>
    <mergeCell ref="H496:I496"/>
    <mergeCell ref="J496:K496"/>
    <mergeCell ref="L496:M496"/>
    <mergeCell ref="A497:M497"/>
    <mergeCell ref="B494:D494"/>
    <mergeCell ref="F494:G494"/>
    <mergeCell ref="H494:I494"/>
    <mergeCell ref="J494:K494"/>
    <mergeCell ref="L494:M494"/>
    <mergeCell ref="B495:D495"/>
    <mergeCell ref="F495:G495"/>
    <mergeCell ref="H495:I495"/>
    <mergeCell ref="J495:K495"/>
    <mergeCell ref="L495:M495"/>
    <mergeCell ref="A504:M504"/>
    <mergeCell ref="B510:M510"/>
    <mergeCell ref="A511:M511"/>
    <mergeCell ref="A512:M512"/>
    <mergeCell ref="A513:M513"/>
    <mergeCell ref="A514:M514"/>
    <mergeCell ref="A502:D502"/>
    <mergeCell ref="F502:G502"/>
    <mergeCell ref="H502:I502"/>
    <mergeCell ref="J502:K502"/>
    <mergeCell ref="L502:M502"/>
    <mergeCell ref="A503:M503"/>
    <mergeCell ref="A500:D500"/>
    <mergeCell ref="F500:G500"/>
    <mergeCell ref="H500:I500"/>
    <mergeCell ref="J500:K500"/>
    <mergeCell ref="L500:M500"/>
    <mergeCell ref="A501:D501"/>
    <mergeCell ref="F501:G501"/>
    <mergeCell ref="H501:I501"/>
    <mergeCell ref="J501:K501"/>
    <mergeCell ref="L501:M501"/>
    <mergeCell ref="A525:B525"/>
    <mergeCell ref="C525:G525"/>
    <mergeCell ref="H525:I525"/>
    <mergeCell ref="J525:M525"/>
    <mergeCell ref="A526:B526"/>
    <mergeCell ref="A527:C527"/>
    <mergeCell ref="D527:G527"/>
    <mergeCell ref="H527:I527"/>
    <mergeCell ref="J527:M527"/>
    <mergeCell ref="A521:M521"/>
    <mergeCell ref="A523:B523"/>
    <mergeCell ref="A524:B524"/>
    <mergeCell ref="H524:I524"/>
    <mergeCell ref="J524:K524"/>
    <mergeCell ref="L524:M524"/>
    <mergeCell ref="A515:L515"/>
    <mergeCell ref="A516:K516"/>
    <mergeCell ref="A517:M517"/>
    <mergeCell ref="A518:M518"/>
    <mergeCell ref="A519:M519"/>
    <mergeCell ref="A520:M520"/>
    <mergeCell ref="B532:D532"/>
    <mergeCell ref="F532:G532"/>
    <mergeCell ref="H532:I532"/>
    <mergeCell ref="J532:K532"/>
    <mergeCell ref="L532:M532"/>
    <mergeCell ref="B533:D533"/>
    <mergeCell ref="F533:G533"/>
    <mergeCell ref="H533:I533"/>
    <mergeCell ref="J533:K533"/>
    <mergeCell ref="L533:M533"/>
    <mergeCell ref="A530:M530"/>
    <mergeCell ref="B531:D531"/>
    <mergeCell ref="F531:G531"/>
    <mergeCell ref="H531:I531"/>
    <mergeCell ref="J531:K531"/>
    <mergeCell ref="L531:M531"/>
    <mergeCell ref="A528:C528"/>
    <mergeCell ref="D528:G528"/>
    <mergeCell ref="H528:I528"/>
    <mergeCell ref="J528:M528"/>
    <mergeCell ref="A529:C529"/>
    <mergeCell ref="D529:G529"/>
    <mergeCell ref="H529:I529"/>
    <mergeCell ref="J529:M529"/>
    <mergeCell ref="B536:D536"/>
    <mergeCell ref="F536:G536"/>
    <mergeCell ref="H536:I536"/>
    <mergeCell ref="J536:K536"/>
    <mergeCell ref="L536:M536"/>
    <mergeCell ref="B537:D537"/>
    <mergeCell ref="F537:G537"/>
    <mergeCell ref="H537:I537"/>
    <mergeCell ref="J537:K537"/>
    <mergeCell ref="L537:M537"/>
    <mergeCell ref="B534:D534"/>
    <mergeCell ref="F534:G534"/>
    <mergeCell ref="H534:I534"/>
    <mergeCell ref="J534:K534"/>
    <mergeCell ref="L534:M534"/>
    <mergeCell ref="B535:D535"/>
    <mergeCell ref="F535:G535"/>
    <mergeCell ref="H535:I535"/>
    <mergeCell ref="J535:K535"/>
    <mergeCell ref="L535:M535"/>
    <mergeCell ref="B540:D540"/>
    <mergeCell ref="F540:G540"/>
    <mergeCell ref="H540:I540"/>
    <mergeCell ref="J540:K540"/>
    <mergeCell ref="L540:M540"/>
    <mergeCell ref="B541:D541"/>
    <mergeCell ref="F541:G541"/>
    <mergeCell ref="H541:I541"/>
    <mergeCell ref="J541:K541"/>
    <mergeCell ref="L541:M541"/>
    <mergeCell ref="B538:D538"/>
    <mergeCell ref="F538:G538"/>
    <mergeCell ref="H538:I538"/>
    <mergeCell ref="J538:K538"/>
    <mergeCell ref="L538:M538"/>
    <mergeCell ref="B539:D539"/>
    <mergeCell ref="F539:G539"/>
    <mergeCell ref="H539:I539"/>
    <mergeCell ref="J539:K539"/>
    <mergeCell ref="L539:M539"/>
    <mergeCell ref="A544:D544"/>
    <mergeCell ref="F544:G544"/>
    <mergeCell ref="H544:I544"/>
    <mergeCell ref="J544:K544"/>
    <mergeCell ref="L544:M544"/>
    <mergeCell ref="B545:D545"/>
    <mergeCell ref="F545:G545"/>
    <mergeCell ref="H545:I545"/>
    <mergeCell ref="J545:K545"/>
    <mergeCell ref="L545:M545"/>
    <mergeCell ref="H542:I542"/>
    <mergeCell ref="J542:K542"/>
    <mergeCell ref="L542:M542"/>
    <mergeCell ref="A543:D543"/>
    <mergeCell ref="F543:G543"/>
    <mergeCell ref="H543:I543"/>
    <mergeCell ref="J543:K543"/>
    <mergeCell ref="L543:M543"/>
    <mergeCell ref="A550:M550"/>
    <mergeCell ref="A551:D551"/>
    <mergeCell ref="F551:G551"/>
    <mergeCell ref="H551:I551"/>
    <mergeCell ref="J551:K551"/>
    <mergeCell ref="L551:M551"/>
    <mergeCell ref="B548:D548"/>
    <mergeCell ref="F548:G548"/>
    <mergeCell ref="H548:I548"/>
    <mergeCell ref="J548:K548"/>
    <mergeCell ref="L548:M548"/>
    <mergeCell ref="B549:D549"/>
    <mergeCell ref="F549:G549"/>
    <mergeCell ref="H549:I549"/>
    <mergeCell ref="J549:K549"/>
    <mergeCell ref="L549:M549"/>
    <mergeCell ref="B546:D546"/>
    <mergeCell ref="F546:G546"/>
    <mergeCell ref="H546:I546"/>
    <mergeCell ref="J546:K546"/>
    <mergeCell ref="L546:M546"/>
    <mergeCell ref="B547:D547"/>
    <mergeCell ref="F547:G547"/>
    <mergeCell ref="H547:I547"/>
    <mergeCell ref="J547:K547"/>
    <mergeCell ref="L547:M547"/>
    <mergeCell ref="A556:D556"/>
    <mergeCell ref="F556:G556"/>
    <mergeCell ref="H556:I556"/>
    <mergeCell ref="J556:K556"/>
    <mergeCell ref="L556:M556"/>
    <mergeCell ref="A557:D557"/>
    <mergeCell ref="F557:G557"/>
    <mergeCell ref="H557:I557"/>
    <mergeCell ref="J557:K557"/>
    <mergeCell ref="L557:M557"/>
    <mergeCell ref="B554:D554"/>
    <mergeCell ref="F554:G554"/>
    <mergeCell ref="H554:I554"/>
    <mergeCell ref="J554:K554"/>
    <mergeCell ref="L554:M554"/>
    <mergeCell ref="A555:M555"/>
    <mergeCell ref="B552:D552"/>
    <mergeCell ref="F552:G552"/>
    <mergeCell ref="H552:I552"/>
    <mergeCell ref="J552:K552"/>
    <mergeCell ref="L552:M552"/>
    <mergeCell ref="B553:D553"/>
    <mergeCell ref="F553:G553"/>
    <mergeCell ref="H553:I553"/>
    <mergeCell ref="J553:K553"/>
    <mergeCell ref="L553:M553"/>
    <mergeCell ref="A562:M562"/>
    <mergeCell ref="B568:M568"/>
    <mergeCell ref="A569:M569"/>
    <mergeCell ref="A570:M570"/>
    <mergeCell ref="A571:M571"/>
    <mergeCell ref="A572:M572"/>
    <mergeCell ref="A560:D560"/>
    <mergeCell ref="F560:G560"/>
    <mergeCell ref="H560:I560"/>
    <mergeCell ref="J560:K560"/>
    <mergeCell ref="L560:M560"/>
    <mergeCell ref="A561:M561"/>
    <mergeCell ref="A558:D558"/>
    <mergeCell ref="F558:G558"/>
    <mergeCell ref="H558:I558"/>
    <mergeCell ref="J558:K558"/>
    <mergeCell ref="L558:M558"/>
    <mergeCell ref="A559:D559"/>
    <mergeCell ref="F559:G559"/>
    <mergeCell ref="H559:I559"/>
    <mergeCell ref="J559:K559"/>
    <mergeCell ref="L559:M559"/>
    <mergeCell ref="A583:B583"/>
    <mergeCell ref="C583:G583"/>
    <mergeCell ref="H583:I583"/>
    <mergeCell ref="J583:M583"/>
    <mergeCell ref="A584:B584"/>
    <mergeCell ref="A585:C585"/>
    <mergeCell ref="D585:G585"/>
    <mergeCell ref="H585:I585"/>
    <mergeCell ref="J585:M585"/>
    <mergeCell ref="A579:M579"/>
    <mergeCell ref="A581:B581"/>
    <mergeCell ref="A582:B582"/>
    <mergeCell ref="H582:I582"/>
    <mergeCell ref="J582:K582"/>
    <mergeCell ref="L582:M582"/>
    <mergeCell ref="A573:L573"/>
    <mergeCell ref="A574:K574"/>
    <mergeCell ref="A575:M575"/>
    <mergeCell ref="A576:M576"/>
    <mergeCell ref="A577:M577"/>
    <mergeCell ref="A578:M578"/>
    <mergeCell ref="B590:D590"/>
    <mergeCell ref="F590:G590"/>
    <mergeCell ref="H590:I590"/>
    <mergeCell ref="J590:K590"/>
    <mergeCell ref="L590:M590"/>
    <mergeCell ref="B591:D591"/>
    <mergeCell ref="F591:G591"/>
    <mergeCell ref="H591:I591"/>
    <mergeCell ref="J591:K591"/>
    <mergeCell ref="L591:M591"/>
    <mergeCell ref="A588:M588"/>
    <mergeCell ref="B589:D589"/>
    <mergeCell ref="F589:G589"/>
    <mergeCell ref="H589:I589"/>
    <mergeCell ref="J589:K589"/>
    <mergeCell ref="L589:M589"/>
    <mergeCell ref="A586:C586"/>
    <mergeCell ref="D586:G586"/>
    <mergeCell ref="H586:I586"/>
    <mergeCell ref="J586:M586"/>
    <mergeCell ref="A587:C587"/>
    <mergeCell ref="D587:G587"/>
    <mergeCell ref="H587:I587"/>
    <mergeCell ref="J587:M587"/>
    <mergeCell ref="B594:D594"/>
    <mergeCell ref="F594:G594"/>
    <mergeCell ref="H594:I594"/>
    <mergeCell ref="J594:K594"/>
    <mergeCell ref="L594:M594"/>
    <mergeCell ref="B595:D595"/>
    <mergeCell ref="F595:G595"/>
    <mergeCell ref="H595:I595"/>
    <mergeCell ref="J595:K595"/>
    <mergeCell ref="L595:M595"/>
    <mergeCell ref="B592:D592"/>
    <mergeCell ref="F592:G592"/>
    <mergeCell ref="H592:I592"/>
    <mergeCell ref="J592:K592"/>
    <mergeCell ref="L592:M592"/>
    <mergeCell ref="B593:D593"/>
    <mergeCell ref="F593:G593"/>
    <mergeCell ref="H593:I593"/>
    <mergeCell ref="J593:K593"/>
    <mergeCell ref="L593:M593"/>
    <mergeCell ref="B598:D598"/>
    <mergeCell ref="F598:G598"/>
    <mergeCell ref="H598:I598"/>
    <mergeCell ref="J598:K598"/>
    <mergeCell ref="L598:M598"/>
    <mergeCell ref="B599:D599"/>
    <mergeCell ref="F599:G599"/>
    <mergeCell ref="H599:I599"/>
    <mergeCell ref="J599:K599"/>
    <mergeCell ref="L599:M599"/>
    <mergeCell ref="B596:D596"/>
    <mergeCell ref="F596:G596"/>
    <mergeCell ref="H596:I596"/>
    <mergeCell ref="J596:K596"/>
    <mergeCell ref="L596:M596"/>
    <mergeCell ref="B597:D597"/>
    <mergeCell ref="F597:G597"/>
    <mergeCell ref="H597:I597"/>
    <mergeCell ref="J597:K597"/>
    <mergeCell ref="L597:M597"/>
    <mergeCell ref="A602:D602"/>
    <mergeCell ref="F602:G602"/>
    <mergeCell ref="H602:I602"/>
    <mergeCell ref="J602:K602"/>
    <mergeCell ref="L602:M602"/>
    <mergeCell ref="B603:D603"/>
    <mergeCell ref="F603:G603"/>
    <mergeCell ref="H603:I603"/>
    <mergeCell ref="J603:K603"/>
    <mergeCell ref="L603:M603"/>
    <mergeCell ref="H600:I600"/>
    <mergeCell ref="J600:K600"/>
    <mergeCell ref="L600:M600"/>
    <mergeCell ref="A601:D601"/>
    <mergeCell ref="F601:G601"/>
    <mergeCell ref="H601:I601"/>
    <mergeCell ref="J601:K601"/>
    <mergeCell ref="L601:M601"/>
    <mergeCell ref="A608:M608"/>
    <mergeCell ref="A609:D609"/>
    <mergeCell ref="F609:G609"/>
    <mergeCell ref="H609:I609"/>
    <mergeCell ref="J609:K609"/>
    <mergeCell ref="L609:M609"/>
    <mergeCell ref="B606:D606"/>
    <mergeCell ref="F606:G606"/>
    <mergeCell ref="H606:I606"/>
    <mergeCell ref="J606:K606"/>
    <mergeCell ref="L606:M606"/>
    <mergeCell ref="B607:D607"/>
    <mergeCell ref="F607:G607"/>
    <mergeCell ref="H607:I607"/>
    <mergeCell ref="J607:K607"/>
    <mergeCell ref="L607:M607"/>
    <mergeCell ref="B604:D604"/>
    <mergeCell ref="F604:G604"/>
    <mergeCell ref="H604:I604"/>
    <mergeCell ref="J604:K604"/>
    <mergeCell ref="L604:M604"/>
    <mergeCell ref="B605:D605"/>
    <mergeCell ref="F605:G605"/>
    <mergeCell ref="H605:I605"/>
    <mergeCell ref="J605:K605"/>
    <mergeCell ref="L605:M605"/>
    <mergeCell ref="A614:D614"/>
    <mergeCell ref="F614:G614"/>
    <mergeCell ref="H614:I614"/>
    <mergeCell ref="J614:K614"/>
    <mergeCell ref="L614:M614"/>
    <mergeCell ref="A615:D615"/>
    <mergeCell ref="F615:G615"/>
    <mergeCell ref="H615:I615"/>
    <mergeCell ref="J615:K615"/>
    <mergeCell ref="L615:M615"/>
    <mergeCell ref="B612:D612"/>
    <mergeCell ref="F612:G612"/>
    <mergeCell ref="H612:I612"/>
    <mergeCell ref="J612:K612"/>
    <mergeCell ref="L612:M612"/>
    <mergeCell ref="A613:M613"/>
    <mergeCell ref="B610:D610"/>
    <mergeCell ref="F610:G610"/>
    <mergeCell ref="H610:I610"/>
    <mergeCell ref="J610:K610"/>
    <mergeCell ref="L610:M610"/>
    <mergeCell ref="B611:D611"/>
    <mergeCell ref="F611:G611"/>
    <mergeCell ref="H611:I611"/>
    <mergeCell ref="J611:K611"/>
    <mergeCell ref="L611:M611"/>
    <mergeCell ref="A620:M620"/>
    <mergeCell ref="B626:M626"/>
    <mergeCell ref="A627:M627"/>
    <mergeCell ref="A628:M628"/>
    <mergeCell ref="A629:M629"/>
    <mergeCell ref="A630:M630"/>
    <mergeCell ref="A618:D618"/>
    <mergeCell ref="F618:G618"/>
    <mergeCell ref="H618:I618"/>
    <mergeCell ref="J618:K618"/>
    <mergeCell ref="L618:M618"/>
    <mergeCell ref="A619:M619"/>
    <mergeCell ref="A616:D616"/>
    <mergeCell ref="F616:G616"/>
    <mergeCell ref="H616:I616"/>
    <mergeCell ref="J616:K616"/>
    <mergeCell ref="L616:M616"/>
    <mergeCell ref="A617:D617"/>
    <mergeCell ref="F617:G617"/>
    <mergeCell ref="H617:I617"/>
    <mergeCell ref="J617:K617"/>
    <mergeCell ref="L617:M617"/>
    <mergeCell ref="A641:B641"/>
    <mergeCell ref="C641:G641"/>
    <mergeCell ref="H641:I641"/>
    <mergeCell ref="J641:M641"/>
    <mergeCell ref="A642:B642"/>
    <mergeCell ref="A643:C643"/>
    <mergeCell ref="D643:G643"/>
    <mergeCell ref="H643:I643"/>
    <mergeCell ref="J643:M643"/>
    <mergeCell ref="A637:M637"/>
    <mergeCell ref="A639:B639"/>
    <mergeCell ref="A640:B640"/>
    <mergeCell ref="H640:I640"/>
    <mergeCell ref="J640:K640"/>
    <mergeCell ref="L640:M640"/>
    <mergeCell ref="A631:L631"/>
    <mergeCell ref="A632:K632"/>
    <mergeCell ref="A633:M633"/>
    <mergeCell ref="A634:M634"/>
    <mergeCell ref="A635:M635"/>
    <mergeCell ref="A636:M636"/>
    <mergeCell ref="B648:D648"/>
    <mergeCell ref="F648:G648"/>
    <mergeCell ref="H648:I648"/>
    <mergeCell ref="J648:K648"/>
    <mergeCell ref="L648:M648"/>
    <mergeCell ref="B649:D649"/>
    <mergeCell ref="F649:G649"/>
    <mergeCell ref="H649:I649"/>
    <mergeCell ref="J649:K649"/>
    <mergeCell ref="L649:M649"/>
    <mergeCell ref="A646:M646"/>
    <mergeCell ref="B647:D647"/>
    <mergeCell ref="F647:G647"/>
    <mergeCell ref="H647:I647"/>
    <mergeCell ref="J647:K647"/>
    <mergeCell ref="L647:M647"/>
    <mergeCell ref="A644:C644"/>
    <mergeCell ref="D644:G644"/>
    <mergeCell ref="H644:I644"/>
    <mergeCell ref="J644:M644"/>
    <mergeCell ref="A645:C645"/>
    <mergeCell ref="D645:G645"/>
    <mergeCell ref="H645:I645"/>
    <mergeCell ref="J645:M645"/>
    <mergeCell ref="B652:D652"/>
    <mergeCell ref="F652:G652"/>
    <mergeCell ref="H652:I652"/>
    <mergeCell ref="J652:K652"/>
    <mergeCell ref="L652:M652"/>
    <mergeCell ref="B653:D653"/>
    <mergeCell ref="F653:G653"/>
    <mergeCell ref="H653:I653"/>
    <mergeCell ref="J653:K653"/>
    <mergeCell ref="L653:M653"/>
    <mergeCell ref="B650:D650"/>
    <mergeCell ref="F650:G650"/>
    <mergeCell ref="H650:I650"/>
    <mergeCell ref="J650:K650"/>
    <mergeCell ref="L650:M650"/>
    <mergeCell ref="B651:D651"/>
    <mergeCell ref="F651:G651"/>
    <mergeCell ref="H651:I651"/>
    <mergeCell ref="J651:K651"/>
    <mergeCell ref="L651:M651"/>
    <mergeCell ref="B656:D656"/>
    <mergeCell ref="F656:G656"/>
    <mergeCell ref="H656:I656"/>
    <mergeCell ref="J656:K656"/>
    <mergeCell ref="L656:M656"/>
    <mergeCell ref="B657:D657"/>
    <mergeCell ref="F657:G657"/>
    <mergeCell ref="H657:I657"/>
    <mergeCell ref="J657:K657"/>
    <mergeCell ref="L657:M657"/>
    <mergeCell ref="B654:D654"/>
    <mergeCell ref="F654:G654"/>
    <mergeCell ref="H654:I654"/>
    <mergeCell ref="J654:K654"/>
    <mergeCell ref="L654:M654"/>
    <mergeCell ref="B655:D655"/>
    <mergeCell ref="F655:G655"/>
    <mergeCell ref="H655:I655"/>
    <mergeCell ref="J655:K655"/>
    <mergeCell ref="L655:M655"/>
    <mergeCell ref="A660:D660"/>
    <mergeCell ref="F660:G660"/>
    <mergeCell ref="H660:I660"/>
    <mergeCell ref="J660:K660"/>
    <mergeCell ref="L660:M660"/>
    <mergeCell ref="B661:D661"/>
    <mergeCell ref="F661:G661"/>
    <mergeCell ref="H661:I661"/>
    <mergeCell ref="J661:K661"/>
    <mergeCell ref="L661:M661"/>
    <mergeCell ref="H658:I658"/>
    <mergeCell ref="J658:K658"/>
    <mergeCell ref="L658:M658"/>
    <mergeCell ref="A659:D659"/>
    <mergeCell ref="F659:G659"/>
    <mergeCell ref="H659:I659"/>
    <mergeCell ref="J659:K659"/>
    <mergeCell ref="L659:M659"/>
    <mergeCell ref="A666:M666"/>
    <mergeCell ref="A667:D667"/>
    <mergeCell ref="F667:G667"/>
    <mergeCell ref="H667:I667"/>
    <mergeCell ref="J667:K667"/>
    <mergeCell ref="L667:M667"/>
    <mergeCell ref="B664:D664"/>
    <mergeCell ref="F664:G664"/>
    <mergeCell ref="H664:I664"/>
    <mergeCell ref="J664:K664"/>
    <mergeCell ref="L664:M664"/>
    <mergeCell ref="B665:D665"/>
    <mergeCell ref="F665:G665"/>
    <mergeCell ref="H665:I665"/>
    <mergeCell ref="J665:K665"/>
    <mergeCell ref="L665:M665"/>
    <mergeCell ref="B662:D662"/>
    <mergeCell ref="F662:G662"/>
    <mergeCell ref="H662:I662"/>
    <mergeCell ref="J662:K662"/>
    <mergeCell ref="L662:M662"/>
    <mergeCell ref="B663:D663"/>
    <mergeCell ref="F663:G663"/>
    <mergeCell ref="H663:I663"/>
    <mergeCell ref="J663:K663"/>
    <mergeCell ref="L663:M663"/>
    <mergeCell ref="A672:D672"/>
    <mergeCell ref="F672:G672"/>
    <mergeCell ref="H672:I672"/>
    <mergeCell ref="J672:K672"/>
    <mergeCell ref="L672:M672"/>
    <mergeCell ref="A673:D673"/>
    <mergeCell ref="F673:G673"/>
    <mergeCell ref="H673:I673"/>
    <mergeCell ref="J673:K673"/>
    <mergeCell ref="L673:M673"/>
    <mergeCell ref="B670:D670"/>
    <mergeCell ref="F670:G670"/>
    <mergeCell ref="H670:I670"/>
    <mergeCell ref="J670:K670"/>
    <mergeCell ref="L670:M670"/>
    <mergeCell ref="A671:M671"/>
    <mergeCell ref="B668:D668"/>
    <mergeCell ref="F668:G668"/>
    <mergeCell ref="H668:I668"/>
    <mergeCell ref="J668:K668"/>
    <mergeCell ref="L668:M668"/>
    <mergeCell ref="B669:D669"/>
    <mergeCell ref="F669:G669"/>
    <mergeCell ref="H669:I669"/>
    <mergeCell ref="J669:K669"/>
    <mergeCell ref="L669:M669"/>
    <mergeCell ref="A678:M678"/>
    <mergeCell ref="B684:M684"/>
    <mergeCell ref="A685:M685"/>
    <mergeCell ref="A686:M686"/>
    <mergeCell ref="A687:M687"/>
    <mergeCell ref="A688:M688"/>
    <mergeCell ref="A676:D676"/>
    <mergeCell ref="F676:G676"/>
    <mergeCell ref="H676:I676"/>
    <mergeCell ref="J676:K676"/>
    <mergeCell ref="L676:M676"/>
    <mergeCell ref="A677:M677"/>
    <mergeCell ref="A674:D674"/>
    <mergeCell ref="F674:G674"/>
    <mergeCell ref="H674:I674"/>
    <mergeCell ref="J674:K674"/>
    <mergeCell ref="L674:M674"/>
    <mergeCell ref="A675:D675"/>
    <mergeCell ref="F675:G675"/>
    <mergeCell ref="H675:I675"/>
    <mergeCell ref="J675:K675"/>
    <mergeCell ref="L675:M675"/>
    <mergeCell ref="A699:B699"/>
    <mergeCell ref="C699:G699"/>
    <mergeCell ref="H699:I699"/>
    <mergeCell ref="J699:M699"/>
    <mergeCell ref="A700:B700"/>
    <mergeCell ref="A701:C701"/>
    <mergeCell ref="D701:G701"/>
    <mergeCell ref="H701:I701"/>
    <mergeCell ref="J701:M701"/>
    <mergeCell ref="A695:M695"/>
    <mergeCell ref="A697:B697"/>
    <mergeCell ref="A698:B698"/>
    <mergeCell ref="H698:I698"/>
    <mergeCell ref="J698:K698"/>
    <mergeCell ref="L698:M698"/>
    <mergeCell ref="A689:L689"/>
    <mergeCell ref="A690:K690"/>
    <mergeCell ref="A691:M691"/>
    <mergeCell ref="A692:M692"/>
    <mergeCell ref="A693:M693"/>
    <mergeCell ref="A694:M694"/>
    <mergeCell ref="B706:D706"/>
    <mergeCell ref="F706:G706"/>
    <mergeCell ref="H706:I706"/>
    <mergeCell ref="J706:K706"/>
    <mergeCell ref="L706:M706"/>
    <mergeCell ref="B707:D707"/>
    <mergeCell ref="F707:G707"/>
    <mergeCell ref="H707:I707"/>
    <mergeCell ref="J707:K707"/>
    <mergeCell ref="L707:M707"/>
    <mergeCell ref="A704:M704"/>
    <mergeCell ref="B705:D705"/>
    <mergeCell ref="F705:G705"/>
    <mergeCell ref="H705:I705"/>
    <mergeCell ref="J705:K705"/>
    <mergeCell ref="L705:M705"/>
    <mergeCell ref="A702:C702"/>
    <mergeCell ref="D702:G702"/>
    <mergeCell ref="H702:I702"/>
    <mergeCell ref="J702:M702"/>
    <mergeCell ref="A703:C703"/>
    <mergeCell ref="D703:G703"/>
    <mergeCell ref="H703:I703"/>
    <mergeCell ref="J703:M703"/>
    <mergeCell ref="B710:D710"/>
    <mergeCell ref="F710:G710"/>
    <mergeCell ref="H710:I710"/>
    <mergeCell ref="J710:K710"/>
    <mergeCell ref="L710:M710"/>
    <mergeCell ref="B711:D711"/>
    <mergeCell ref="F711:G711"/>
    <mergeCell ref="H711:I711"/>
    <mergeCell ref="J711:K711"/>
    <mergeCell ref="L711:M711"/>
    <mergeCell ref="B708:D708"/>
    <mergeCell ref="F708:G708"/>
    <mergeCell ref="H708:I708"/>
    <mergeCell ref="J708:K708"/>
    <mergeCell ref="L708:M708"/>
    <mergeCell ref="B709:D709"/>
    <mergeCell ref="F709:G709"/>
    <mergeCell ref="H709:I709"/>
    <mergeCell ref="J709:K709"/>
    <mergeCell ref="L709:M709"/>
    <mergeCell ref="B714:D714"/>
    <mergeCell ref="F714:G714"/>
    <mergeCell ref="H714:I714"/>
    <mergeCell ref="J714:K714"/>
    <mergeCell ref="L714:M714"/>
    <mergeCell ref="B715:D715"/>
    <mergeCell ref="F715:G715"/>
    <mergeCell ref="H715:I715"/>
    <mergeCell ref="J715:K715"/>
    <mergeCell ref="L715:M715"/>
    <mergeCell ref="B712:D712"/>
    <mergeCell ref="F712:G712"/>
    <mergeCell ref="H712:I712"/>
    <mergeCell ref="J712:K712"/>
    <mergeCell ref="L712:M712"/>
    <mergeCell ref="B713:D713"/>
    <mergeCell ref="F713:G713"/>
    <mergeCell ref="H713:I713"/>
    <mergeCell ref="J713:K713"/>
    <mergeCell ref="L713:M713"/>
    <mergeCell ref="A718:D718"/>
    <mergeCell ref="F718:G718"/>
    <mergeCell ref="H718:I718"/>
    <mergeCell ref="J718:K718"/>
    <mergeCell ref="L718:M718"/>
    <mergeCell ref="B719:D719"/>
    <mergeCell ref="F719:G719"/>
    <mergeCell ref="H719:I719"/>
    <mergeCell ref="J719:K719"/>
    <mergeCell ref="L719:M719"/>
    <mergeCell ref="H716:I716"/>
    <mergeCell ref="J716:K716"/>
    <mergeCell ref="L716:M716"/>
    <mergeCell ref="A717:D717"/>
    <mergeCell ref="F717:G717"/>
    <mergeCell ref="H717:I717"/>
    <mergeCell ref="J717:K717"/>
    <mergeCell ref="L717:M717"/>
    <mergeCell ref="A724:M724"/>
    <mergeCell ref="A725:D725"/>
    <mergeCell ref="F725:G725"/>
    <mergeCell ref="H725:I725"/>
    <mergeCell ref="J725:K725"/>
    <mergeCell ref="L725:M725"/>
    <mergeCell ref="B722:D722"/>
    <mergeCell ref="F722:G722"/>
    <mergeCell ref="H722:I722"/>
    <mergeCell ref="J722:K722"/>
    <mergeCell ref="L722:M722"/>
    <mergeCell ref="B723:D723"/>
    <mergeCell ref="F723:G723"/>
    <mergeCell ref="H723:I723"/>
    <mergeCell ref="J723:K723"/>
    <mergeCell ref="L723:M723"/>
    <mergeCell ref="B720:D720"/>
    <mergeCell ref="F720:G720"/>
    <mergeCell ref="H720:I720"/>
    <mergeCell ref="J720:K720"/>
    <mergeCell ref="L720:M720"/>
    <mergeCell ref="B721:D721"/>
    <mergeCell ref="F721:G721"/>
    <mergeCell ref="H721:I721"/>
    <mergeCell ref="J721:K721"/>
    <mergeCell ref="L721:M721"/>
    <mergeCell ref="A730:D730"/>
    <mergeCell ref="F730:G730"/>
    <mergeCell ref="H730:I730"/>
    <mergeCell ref="J730:K730"/>
    <mergeCell ref="L730:M730"/>
    <mergeCell ref="A731:D731"/>
    <mergeCell ref="F731:G731"/>
    <mergeCell ref="H731:I731"/>
    <mergeCell ref="J731:K731"/>
    <mergeCell ref="L731:M731"/>
    <mergeCell ref="B728:D728"/>
    <mergeCell ref="F728:G728"/>
    <mergeCell ref="H728:I728"/>
    <mergeCell ref="J728:K728"/>
    <mergeCell ref="L728:M728"/>
    <mergeCell ref="A729:M729"/>
    <mergeCell ref="B726:D726"/>
    <mergeCell ref="F726:G726"/>
    <mergeCell ref="H726:I726"/>
    <mergeCell ref="J726:K726"/>
    <mergeCell ref="L726:M726"/>
    <mergeCell ref="B727:D727"/>
    <mergeCell ref="F727:G727"/>
    <mergeCell ref="H727:I727"/>
    <mergeCell ref="J727:K727"/>
    <mergeCell ref="L727:M727"/>
    <mergeCell ref="A736:M736"/>
    <mergeCell ref="B742:M742"/>
    <mergeCell ref="A743:M743"/>
    <mergeCell ref="A744:M744"/>
    <mergeCell ref="A745:M745"/>
    <mergeCell ref="A746:M746"/>
    <mergeCell ref="A734:D734"/>
    <mergeCell ref="F734:G734"/>
    <mergeCell ref="H734:I734"/>
    <mergeCell ref="J734:K734"/>
    <mergeCell ref="L734:M734"/>
    <mergeCell ref="A735:M735"/>
    <mergeCell ref="A732:D732"/>
    <mergeCell ref="F732:G732"/>
    <mergeCell ref="H732:I732"/>
    <mergeCell ref="J732:K732"/>
    <mergeCell ref="L732:M732"/>
    <mergeCell ref="A733:D733"/>
    <mergeCell ref="F733:G733"/>
    <mergeCell ref="H733:I733"/>
    <mergeCell ref="J733:K733"/>
    <mergeCell ref="L733:M733"/>
    <mergeCell ref="A757:B757"/>
    <mergeCell ref="C757:G757"/>
    <mergeCell ref="H757:I757"/>
    <mergeCell ref="J757:M757"/>
    <mergeCell ref="A758:B758"/>
    <mergeCell ref="A759:C759"/>
    <mergeCell ref="D759:G759"/>
    <mergeCell ref="H759:I759"/>
    <mergeCell ref="J759:M759"/>
    <mergeCell ref="A753:M753"/>
    <mergeCell ref="A755:B755"/>
    <mergeCell ref="A756:B756"/>
    <mergeCell ref="H756:I756"/>
    <mergeCell ref="J756:K756"/>
    <mergeCell ref="L756:M756"/>
    <mergeCell ref="A747:L747"/>
    <mergeCell ref="A748:K748"/>
    <mergeCell ref="A749:M749"/>
    <mergeCell ref="A750:M750"/>
    <mergeCell ref="A751:M751"/>
    <mergeCell ref="A752:M752"/>
    <mergeCell ref="B764:D764"/>
    <mergeCell ref="F764:G764"/>
    <mergeCell ref="H764:I764"/>
    <mergeCell ref="J764:K764"/>
    <mergeCell ref="L764:M764"/>
    <mergeCell ref="B765:D765"/>
    <mergeCell ref="F765:G765"/>
    <mergeCell ref="H765:I765"/>
    <mergeCell ref="J765:K765"/>
    <mergeCell ref="L765:M765"/>
    <mergeCell ref="A762:M762"/>
    <mergeCell ref="B763:D763"/>
    <mergeCell ref="F763:G763"/>
    <mergeCell ref="H763:I763"/>
    <mergeCell ref="J763:K763"/>
    <mergeCell ref="L763:M763"/>
    <mergeCell ref="A760:C760"/>
    <mergeCell ref="D760:G760"/>
    <mergeCell ref="H760:I760"/>
    <mergeCell ref="J760:M760"/>
    <mergeCell ref="A761:C761"/>
    <mergeCell ref="D761:G761"/>
    <mergeCell ref="H761:I761"/>
    <mergeCell ref="J761:M761"/>
    <mergeCell ref="B768:D768"/>
    <mergeCell ref="F768:G768"/>
    <mergeCell ref="H768:I768"/>
    <mergeCell ref="J768:K768"/>
    <mergeCell ref="L768:M768"/>
    <mergeCell ref="B769:D769"/>
    <mergeCell ref="F769:G769"/>
    <mergeCell ref="H769:I769"/>
    <mergeCell ref="J769:K769"/>
    <mergeCell ref="L769:M769"/>
    <mergeCell ref="B766:D766"/>
    <mergeCell ref="F766:G766"/>
    <mergeCell ref="H766:I766"/>
    <mergeCell ref="J766:K766"/>
    <mergeCell ref="L766:M766"/>
    <mergeCell ref="B767:D767"/>
    <mergeCell ref="F767:G767"/>
    <mergeCell ref="H767:I767"/>
    <mergeCell ref="J767:K767"/>
    <mergeCell ref="L767:M767"/>
    <mergeCell ref="B772:D772"/>
    <mergeCell ref="F772:G772"/>
    <mergeCell ref="H772:I772"/>
    <mergeCell ref="J772:K772"/>
    <mergeCell ref="L772:M772"/>
    <mergeCell ref="B773:D773"/>
    <mergeCell ref="F773:G773"/>
    <mergeCell ref="H773:I773"/>
    <mergeCell ref="J773:K773"/>
    <mergeCell ref="L773:M773"/>
    <mergeCell ref="B770:D770"/>
    <mergeCell ref="F770:G770"/>
    <mergeCell ref="H770:I770"/>
    <mergeCell ref="J770:K770"/>
    <mergeCell ref="L770:M770"/>
    <mergeCell ref="B771:D771"/>
    <mergeCell ref="F771:G771"/>
    <mergeCell ref="H771:I771"/>
    <mergeCell ref="J771:K771"/>
    <mergeCell ref="L771:M771"/>
    <mergeCell ref="A776:D776"/>
    <mergeCell ref="F776:G776"/>
    <mergeCell ref="H776:I776"/>
    <mergeCell ref="J776:K776"/>
    <mergeCell ref="L776:M776"/>
    <mergeCell ref="B777:D777"/>
    <mergeCell ref="F777:G777"/>
    <mergeCell ref="H777:I777"/>
    <mergeCell ref="J777:K777"/>
    <mergeCell ref="L777:M777"/>
    <mergeCell ref="H774:I774"/>
    <mergeCell ref="J774:K774"/>
    <mergeCell ref="L774:M774"/>
    <mergeCell ref="A775:D775"/>
    <mergeCell ref="F775:G775"/>
    <mergeCell ref="H775:I775"/>
    <mergeCell ref="J775:K775"/>
    <mergeCell ref="L775:M775"/>
    <mergeCell ref="A782:M782"/>
    <mergeCell ref="A783:D783"/>
    <mergeCell ref="F783:G783"/>
    <mergeCell ref="H783:I783"/>
    <mergeCell ref="J783:K783"/>
    <mergeCell ref="L783:M783"/>
    <mergeCell ref="B780:D780"/>
    <mergeCell ref="F780:G780"/>
    <mergeCell ref="H780:I780"/>
    <mergeCell ref="J780:K780"/>
    <mergeCell ref="L780:M780"/>
    <mergeCell ref="B781:D781"/>
    <mergeCell ref="F781:G781"/>
    <mergeCell ref="H781:I781"/>
    <mergeCell ref="J781:K781"/>
    <mergeCell ref="L781:M781"/>
    <mergeCell ref="B778:D778"/>
    <mergeCell ref="F778:G778"/>
    <mergeCell ref="H778:I778"/>
    <mergeCell ref="J778:K778"/>
    <mergeCell ref="L778:M778"/>
    <mergeCell ref="B779:D779"/>
    <mergeCell ref="F779:G779"/>
    <mergeCell ref="H779:I779"/>
    <mergeCell ref="J779:K779"/>
    <mergeCell ref="L779:M779"/>
    <mergeCell ref="A788:D788"/>
    <mergeCell ref="F788:G788"/>
    <mergeCell ref="H788:I788"/>
    <mergeCell ref="J788:K788"/>
    <mergeCell ref="L788:M788"/>
    <mergeCell ref="A789:D789"/>
    <mergeCell ref="F789:G789"/>
    <mergeCell ref="H789:I789"/>
    <mergeCell ref="J789:K789"/>
    <mergeCell ref="L789:M789"/>
    <mergeCell ref="B786:D786"/>
    <mergeCell ref="F786:G786"/>
    <mergeCell ref="H786:I786"/>
    <mergeCell ref="J786:K786"/>
    <mergeCell ref="L786:M786"/>
    <mergeCell ref="A787:M787"/>
    <mergeCell ref="B784:D784"/>
    <mergeCell ref="F784:G784"/>
    <mergeCell ref="H784:I784"/>
    <mergeCell ref="J784:K784"/>
    <mergeCell ref="L784:M784"/>
    <mergeCell ref="B785:D785"/>
    <mergeCell ref="F785:G785"/>
    <mergeCell ref="H785:I785"/>
    <mergeCell ref="J785:K785"/>
    <mergeCell ref="L785:M785"/>
    <mergeCell ref="A794:M794"/>
    <mergeCell ref="B800:M800"/>
    <mergeCell ref="A801:M801"/>
    <mergeCell ref="A802:M802"/>
    <mergeCell ref="A803:M803"/>
    <mergeCell ref="A804:M804"/>
    <mergeCell ref="A792:D792"/>
    <mergeCell ref="F792:G792"/>
    <mergeCell ref="H792:I792"/>
    <mergeCell ref="J792:K792"/>
    <mergeCell ref="L792:M792"/>
    <mergeCell ref="A793:M793"/>
    <mergeCell ref="A790:D790"/>
    <mergeCell ref="F790:G790"/>
    <mergeCell ref="H790:I790"/>
    <mergeCell ref="J790:K790"/>
    <mergeCell ref="L790:M790"/>
    <mergeCell ref="A791:D791"/>
    <mergeCell ref="F791:G791"/>
    <mergeCell ref="H791:I791"/>
    <mergeCell ref="J791:K791"/>
    <mergeCell ref="L791:M791"/>
    <mergeCell ref="A815:B815"/>
    <mergeCell ref="C815:G815"/>
    <mergeCell ref="H815:I815"/>
    <mergeCell ref="J815:M815"/>
    <mergeCell ref="A816:B816"/>
    <mergeCell ref="A817:C817"/>
    <mergeCell ref="D817:G817"/>
    <mergeCell ref="H817:I817"/>
    <mergeCell ref="J817:M817"/>
    <mergeCell ref="A811:M811"/>
    <mergeCell ref="A813:B813"/>
    <mergeCell ref="A814:B814"/>
    <mergeCell ref="H814:I814"/>
    <mergeCell ref="J814:K814"/>
    <mergeCell ref="L814:M814"/>
    <mergeCell ref="A805:L805"/>
    <mergeCell ref="A806:K806"/>
    <mergeCell ref="A807:M807"/>
    <mergeCell ref="A808:M808"/>
    <mergeCell ref="A809:M809"/>
    <mergeCell ref="A810:M810"/>
    <mergeCell ref="B822:D822"/>
    <mergeCell ref="F822:G822"/>
    <mergeCell ref="H822:I822"/>
    <mergeCell ref="J822:K822"/>
    <mergeCell ref="L822:M822"/>
    <mergeCell ref="B823:D823"/>
    <mergeCell ref="F823:G823"/>
    <mergeCell ref="H823:I823"/>
    <mergeCell ref="J823:K823"/>
    <mergeCell ref="L823:M823"/>
    <mergeCell ref="A820:M820"/>
    <mergeCell ref="B821:D821"/>
    <mergeCell ref="F821:G821"/>
    <mergeCell ref="H821:I821"/>
    <mergeCell ref="J821:K821"/>
    <mergeCell ref="L821:M821"/>
    <mergeCell ref="A818:C818"/>
    <mergeCell ref="D818:G818"/>
    <mergeCell ref="H818:I818"/>
    <mergeCell ref="J818:M818"/>
    <mergeCell ref="A819:C819"/>
    <mergeCell ref="D819:G819"/>
    <mergeCell ref="H819:I819"/>
    <mergeCell ref="J819:M819"/>
    <mergeCell ref="B826:D826"/>
    <mergeCell ref="F826:G826"/>
    <mergeCell ref="H826:I826"/>
    <mergeCell ref="J826:K826"/>
    <mergeCell ref="L826:M826"/>
    <mergeCell ref="B827:D827"/>
    <mergeCell ref="F827:G827"/>
    <mergeCell ref="H827:I827"/>
    <mergeCell ref="J827:K827"/>
    <mergeCell ref="L827:M827"/>
    <mergeCell ref="B824:D824"/>
    <mergeCell ref="F824:G824"/>
    <mergeCell ref="H824:I824"/>
    <mergeCell ref="J824:K824"/>
    <mergeCell ref="L824:M824"/>
    <mergeCell ref="B825:D825"/>
    <mergeCell ref="F825:G825"/>
    <mergeCell ref="H825:I825"/>
    <mergeCell ref="J825:K825"/>
    <mergeCell ref="L825:M825"/>
    <mergeCell ref="B830:D830"/>
    <mergeCell ref="F830:G830"/>
    <mergeCell ref="H830:I830"/>
    <mergeCell ref="J830:K830"/>
    <mergeCell ref="L830:M830"/>
    <mergeCell ref="B831:D831"/>
    <mergeCell ref="F831:G831"/>
    <mergeCell ref="H831:I831"/>
    <mergeCell ref="J831:K831"/>
    <mergeCell ref="L831:M831"/>
    <mergeCell ref="B828:D828"/>
    <mergeCell ref="F828:G828"/>
    <mergeCell ref="H828:I828"/>
    <mergeCell ref="J828:K828"/>
    <mergeCell ref="L828:M828"/>
    <mergeCell ref="B829:D829"/>
    <mergeCell ref="F829:G829"/>
    <mergeCell ref="H829:I829"/>
    <mergeCell ref="J829:K829"/>
    <mergeCell ref="L829:M829"/>
    <mergeCell ref="A834:D834"/>
    <mergeCell ref="F834:G834"/>
    <mergeCell ref="H834:I834"/>
    <mergeCell ref="J834:K834"/>
    <mergeCell ref="L834:M834"/>
    <mergeCell ref="B835:D835"/>
    <mergeCell ref="F835:G835"/>
    <mergeCell ref="H835:I835"/>
    <mergeCell ref="J835:K835"/>
    <mergeCell ref="L835:M835"/>
    <mergeCell ref="H832:I832"/>
    <mergeCell ref="J832:K832"/>
    <mergeCell ref="L832:M832"/>
    <mergeCell ref="A833:D833"/>
    <mergeCell ref="F833:G833"/>
    <mergeCell ref="H833:I833"/>
    <mergeCell ref="J833:K833"/>
    <mergeCell ref="L833:M833"/>
    <mergeCell ref="A840:M840"/>
    <mergeCell ref="A841:D841"/>
    <mergeCell ref="F841:G841"/>
    <mergeCell ref="H841:I841"/>
    <mergeCell ref="J841:K841"/>
    <mergeCell ref="L841:M841"/>
    <mergeCell ref="B838:D838"/>
    <mergeCell ref="F838:G838"/>
    <mergeCell ref="H838:I838"/>
    <mergeCell ref="J838:K838"/>
    <mergeCell ref="L838:M838"/>
    <mergeCell ref="B839:D839"/>
    <mergeCell ref="F839:G839"/>
    <mergeCell ref="H839:I839"/>
    <mergeCell ref="J839:K839"/>
    <mergeCell ref="L839:M839"/>
    <mergeCell ref="B836:D836"/>
    <mergeCell ref="F836:G836"/>
    <mergeCell ref="H836:I836"/>
    <mergeCell ref="J836:K836"/>
    <mergeCell ref="L836:M836"/>
    <mergeCell ref="B837:D837"/>
    <mergeCell ref="F837:G837"/>
    <mergeCell ref="H837:I837"/>
    <mergeCell ref="J837:K837"/>
    <mergeCell ref="L837:M837"/>
    <mergeCell ref="A846:D846"/>
    <mergeCell ref="F846:G846"/>
    <mergeCell ref="H846:I846"/>
    <mergeCell ref="J846:K846"/>
    <mergeCell ref="L846:M846"/>
    <mergeCell ref="A847:D847"/>
    <mergeCell ref="F847:G847"/>
    <mergeCell ref="H847:I847"/>
    <mergeCell ref="J847:K847"/>
    <mergeCell ref="L847:M847"/>
    <mergeCell ref="B844:D844"/>
    <mergeCell ref="F844:G844"/>
    <mergeCell ref="H844:I844"/>
    <mergeCell ref="J844:K844"/>
    <mergeCell ref="L844:M844"/>
    <mergeCell ref="A845:M845"/>
    <mergeCell ref="B842:D842"/>
    <mergeCell ref="F842:G842"/>
    <mergeCell ref="H842:I842"/>
    <mergeCell ref="J842:K842"/>
    <mergeCell ref="L842:M842"/>
    <mergeCell ref="B843:D843"/>
    <mergeCell ref="F843:G843"/>
    <mergeCell ref="H843:I843"/>
    <mergeCell ref="J843:K843"/>
    <mergeCell ref="L843:M843"/>
    <mergeCell ref="A852:M852"/>
    <mergeCell ref="B858:M858"/>
    <mergeCell ref="A859:M859"/>
    <mergeCell ref="A860:M860"/>
    <mergeCell ref="A861:M861"/>
    <mergeCell ref="A862:M862"/>
    <mergeCell ref="A850:D850"/>
    <mergeCell ref="F850:G850"/>
    <mergeCell ref="H850:I850"/>
    <mergeCell ref="J850:K850"/>
    <mergeCell ref="L850:M850"/>
    <mergeCell ref="A851:M851"/>
    <mergeCell ref="A848:D848"/>
    <mergeCell ref="F848:G848"/>
    <mergeCell ref="H848:I848"/>
    <mergeCell ref="J848:K848"/>
    <mergeCell ref="L848:M848"/>
    <mergeCell ref="A849:D849"/>
    <mergeCell ref="F849:G849"/>
    <mergeCell ref="H849:I849"/>
    <mergeCell ref="J849:K849"/>
    <mergeCell ref="L849:M849"/>
    <mergeCell ref="A873:B873"/>
    <mergeCell ref="C873:G873"/>
    <mergeCell ref="H873:I873"/>
    <mergeCell ref="J873:M873"/>
    <mergeCell ref="A874:B874"/>
    <mergeCell ref="A875:C875"/>
    <mergeCell ref="D875:G875"/>
    <mergeCell ref="H875:I875"/>
    <mergeCell ref="J875:M875"/>
    <mergeCell ref="A869:M869"/>
    <mergeCell ref="A871:B871"/>
    <mergeCell ref="A872:B872"/>
    <mergeCell ref="H872:I872"/>
    <mergeCell ref="J872:K872"/>
    <mergeCell ref="L872:M872"/>
    <mergeCell ref="A863:L863"/>
    <mergeCell ref="A864:K864"/>
    <mergeCell ref="A865:M865"/>
    <mergeCell ref="A866:M866"/>
    <mergeCell ref="A867:M867"/>
    <mergeCell ref="A868:M868"/>
    <mergeCell ref="B880:D880"/>
    <mergeCell ref="F880:G880"/>
    <mergeCell ref="H880:I880"/>
    <mergeCell ref="J880:K880"/>
    <mergeCell ref="L880:M880"/>
    <mergeCell ref="B881:D881"/>
    <mergeCell ref="F881:G881"/>
    <mergeCell ref="H881:I881"/>
    <mergeCell ref="J881:K881"/>
    <mergeCell ref="L881:M881"/>
    <mergeCell ref="A878:M878"/>
    <mergeCell ref="B879:D879"/>
    <mergeCell ref="F879:G879"/>
    <mergeCell ref="H879:I879"/>
    <mergeCell ref="J879:K879"/>
    <mergeCell ref="L879:M879"/>
    <mergeCell ref="A876:C876"/>
    <mergeCell ref="D876:G876"/>
    <mergeCell ref="H876:I876"/>
    <mergeCell ref="J876:M876"/>
    <mergeCell ref="A877:C877"/>
    <mergeCell ref="D877:G877"/>
    <mergeCell ref="H877:I877"/>
    <mergeCell ref="J877:M877"/>
    <mergeCell ref="B884:D884"/>
    <mergeCell ref="F884:G884"/>
    <mergeCell ref="H884:I884"/>
    <mergeCell ref="J884:K884"/>
    <mergeCell ref="L884:M884"/>
    <mergeCell ref="B885:D885"/>
    <mergeCell ref="F885:G885"/>
    <mergeCell ref="H885:I885"/>
    <mergeCell ref="J885:K885"/>
    <mergeCell ref="L885:M885"/>
    <mergeCell ref="B882:D882"/>
    <mergeCell ref="F882:G882"/>
    <mergeCell ref="H882:I882"/>
    <mergeCell ref="J882:K882"/>
    <mergeCell ref="L882:M882"/>
    <mergeCell ref="B883:D883"/>
    <mergeCell ref="F883:G883"/>
    <mergeCell ref="H883:I883"/>
    <mergeCell ref="J883:K883"/>
    <mergeCell ref="L883:M883"/>
    <mergeCell ref="B888:D888"/>
    <mergeCell ref="F888:G888"/>
    <mergeCell ref="H888:I888"/>
    <mergeCell ref="J888:K888"/>
    <mergeCell ref="L888:M888"/>
    <mergeCell ref="B889:D889"/>
    <mergeCell ref="F889:G889"/>
    <mergeCell ref="H889:I889"/>
    <mergeCell ref="J889:K889"/>
    <mergeCell ref="L889:M889"/>
    <mergeCell ref="B886:D886"/>
    <mergeCell ref="F886:G886"/>
    <mergeCell ref="H886:I886"/>
    <mergeCell ref="J886:K886"/>
    <mergeCell ref="L886:M886"/>
    <mergeCell ref="B887:D887"/>
    <mergeCell ref="F887:G887"/>
    <mergeCell ref="H887:I887"/>
    <mergeCell ref="J887:K887"/>
    <mergeCell ref="L887:M887"/>
    <mergeCell ref="A892:D892"/>
    <mergeCell ref="F892:G892"/>
    <mergeCell ref="H892:I892"/>
    <mergeCell ref="J892:K892"/>
    <mergeCell ref="L892:M892"/>
    <mergeCell ref="B893:D893"/>
    <mergeCell ref="F893:G893"/>
    <mergeCell ref="H893:I893"/>
    <mergeCell ref="J893:K893"/>
    <mergeCell ref="L893:M893"/>
    <mergeCell ref="H890:I890"/>
    <mergeCell ref="J890:K890"/>
    <mergeCell ref="L890:M890"/>
    <mergeCell ref="A891:D891"/>
    <mergeCell ref="F891:G891"/>
    <mergeCell ref="H891:I891"/>
    <mergeCell ref="J891:K891"/>
    <mergeCell ref="L891:M891"/>
    <mergeCell ref="A898:M898"/>
    <mergeCell ref="A899:D899"/>
    <mergeCell ref="F899:G899"/>
    <mergeCell ref="H899:I899"/>
    <mergeCell ref="J899:K899"/>
    <mergeCell ref="L899:M899"/>
    <mergeCell ref="B896:D896"/>
    <mergeCell ref="F896:G896"/>
    <mergeCell ref="H896:I896"/>
    <mergeCell ref="J896:K896"/>
    <mergeCell ref="L896:M896"/>
    <mergeCell ref="B897:D897"/>
    <mergeCell ref="F897:G897"/>
    <mergeCell ref="H897:I897"/>
    <mergeCell ref="J897:K897"/>
    <mergeCell ref="L897:M897"/>
    <mergeCell ref="B894:D894"/>
    <mergeCell ref="F894:G894"/>
    <mergeCell ref="H894:I894"/>
    <mergeCell ref="J894:K894"/>
    <mergeCell ref="L894:M894"/>
    <mergeCell ref="B895:D895"/>
    <mergeCell ref="F895:G895"/>
    <mergeCell ref="H895:I895"/>
    <mergeCell ref="J895:K895"/>
    <mergeCell ref="L895:M895"/>
    <mergeCell ref="A904:D904"/>
    <mergeCell ref="F904:G904"/>
    <mergeCell ref="H904:I904"/>
    <mergeCell ref="J904:K904"/>
    <mergeCell ref="L904:M904"/>
    <mergeCell ref="A905:D905"/>
    <mergeCell ref="F905:G905"/>
    <mergeCell ref="H905:I905"/>
    <mergeCell ref="J905:K905"/>
    <mergeCell ref="L905:M905"/>
    <mergeCell ref="B902:D902"/>
    <mergeCell ref="F902:G902"/>
    <mergeCell ref="H902:I902"/>
    <mergeCell ref="J902:K902"/>
    <mergeCell ref="L902:M902"/>
    <mergeCell ref="A903:M903"/>
    <mergeCell ref="B900:D900"/>
    <mergeCell ref="F900:G900"/>
    <mergeCell ref="H900:I900"/>
    <mergeCell ref="J900:K900"/>
    <mergeCell ref="L900:M900"/>
    <mergeCell ref="B901:D901"/>
    <mergeCell ref="F901:G901"/>
    <mergeCell ref="H901:I901"/>
    <mergeCell ref="J901:K901"/>
    <mergeCell ref="L901:M901"/>
    <mergeCell ref="A910:M910"/>
    <mergeCell ref="B916:M916"/>
    <mergeCell ref="A917:M917"/>
    <mergeCell ref="A918:M918"/>
    <mergeCell ref="A919:M919"/>
    <mergeCell ref="A920:M920"/>
    <mergeCell ref="A908:D908"/>
    <mergeCell ref="F908:G908"/>
    <mergeCell ref="H908:I908"/>
    <mergeCell ref="J908:K908"/>
    <mergeCell ref="L908:M908"/>
    <mergeCell ref="A909:M909"/>
    <mergeCell ref="A906:D906"/>
    <mergeCell ref="F906:G906"/>
    <mergeCell ref="H906:I906"/>
    <mergeCell ref="J906:K906"/>
    <mergeCell ref="L906:M906"/>
    <mergeCell ref="A907:D907"/>
    <mergeCell ref="F907:G907"/>
    <mergeCell ref="H907:I907"/>
    <mergeCell ref="J907:K907"/>
    <mergeCell ref="L907:M907"/>
    <mergeCell ref="A931:B931"/>
    <mergeCell ref="C931:G931"/>
    <mergeCell ref="H931:I931"/>
    <mergeCell ref="J931:M931"/>
    <mergeCell ref="A932:B932"/>
    <mergeCell ref="A933:C933"/>
    <mergeCell ref="D933:G933"/>
    <mergeCell ref="H933:I933"/>
    <mergeCell ref="J933:M933"/>
    <mergeCell ref="A927:M927"/>
    <mergeCell ref="A929:B929"/>
    <mergeCell ref="A930:B930"/>
    <mergeCell ref="H930:I930"/>
    <mergeCell ref="J930:K930"/>
    <mergeCell ref="L930:M930"/>
    <mergeCell ref="A921:L921"/>
    <mergeCell ref="A922:K922"/>
    <mergeCell ref="A923:M923"/>
    <mergeCell ref="A924:M924"/>
    <mergeCell ref="A925:M925"/>
    <mergeCell ref="A926:M926"/>
    <mergeCell ref="B938:D938"/>
    <mergeCell ref="F938:G938"/>
    <mergeCell ref="H938:I938"/>
    <mergeCell ref="J938:K938"/>
    <mergeCell ref="L938:M938"/>
    <mergeCell ref="B939:D939"/>
    <mergeCell ref="F939:G939"/>
    <mergeCell ref="H939:I939"/>
    <mergeCell ref="J939:K939"/>
    <mergeCell ref="L939:M939"/>
    <mergeCell ref="A936:M936"/>
    <mergeCell ref="B937:D937"/>
    <mergeCell ref="F937:G937"/>
    <mergeCell ref="H937:I937"/>
    <mergeCell ref="J937:K937"/>
    <mergeCell ref="L937:M937"/>
    <mergeCell ref="A934:C934"/>
    <mergeCell ref="D934:G934"/>
    <mergeCell ref="H934:I934"/>
    <mergeCell ref="J934:M934"/>
    <mergeCell ref="A935:C935"/>
    <mergeCell ref="D935:G935"/>
    <mergeCell ref="H935:I935"/>
    <mergeCell ref="J935:M935"/>
    <mergeCell ref="B942:D942"/>
    <mergeCell ref="F942:G942"/>
    <mergeCell ref="H942:I942"/>
    <mergeCell ref="J942:K942"/>
    <mergeCell ref="L942:M942"/>
    <mergeCell ref="B943:D943"/>
    <mergeCell ref="F943:G943"/>
    <mergeCell ref="H943:I943"/>
    <mergeCell ref="J943:K943"/>
    <mergeCell ref="L943:M943"/>
    <mergeCell ref="B940:D940"/>
    <mergeCell ref="F940:G940"/>
    <mergeCell ref="H940:I940"/>
    <mergeCell ref="J940:K940"/>
    <mergeCell ref="L940:M940"/>
    <mergeCell ref="B941:D941"/>
    <mergeCell ref="F941:G941"/>
    <mergeCell ref="H941:I941"/>
    <mergeCell ref="J941:K941"/>
    <mergeCell ref="L941:M941"/>
    <mergeCell ref="B946:D946"/>
    <mergeCell ref="F946:G946"/>
    <mergeCell ref="H946:I946"/>
    <mergeCell ref="J946:K946"/>
    <mergeCell ref="L946:M946"/>
    <mergeCell ref="B947:D947"/>
    <mergeCell ref="F947:G947"/>
    <mergeCell ref="H947:I947"/>
    <mergeCell ref="J947:K947"/>
    <mergeCell ref="L947:M947"/>
    <mergeCell ref="B944:D944"/>
    <mergeCell ref="F944:G944"/>
    <mergeCell ref="H944:I944"/>
    <mergeCell ref="J944:K944"/>
    <mergeCell ref="L944:M944"/>
    <mergeCell ref="B945:D945"/>
    <mergeCell ref="F945:G945"/>
    <mergeCell ref="H945:I945"/>
    <mergeCell ref="J945:K945"/>
    <mergeCell ref="L945:M945"/>
    <mergeCell ref="A950:D950"/>
    <mergeCell ref="F950:G950"/>
    <mergeCell ref="H950:I950"/>
    <mergeCell ref="J950:K950"/>
    <mergeCell ref="L950:M950"/>
    <mergeCell ref="B951:D951"/>
    <mergeCell ref="F951:G951"/>
    <mergeCell ref="H951:I951"/>
    <mergeCell ref="J951:K951"/>
    <mergeCell ref="L951:M951"/>
    <mergeCell ref="H948:I948"/>
    <mergeCell ref="J948:K948"/>
    <mergeCell ref="L948:M948"/>
    <mergeCell ref="A949:D949"/>
    <mergeCell ref="F949:G949"/>
    <mergeCell ref="H949:I949"/>
    <mergeCell ref="J949:K949"/>
    <mergeCell ref="L949:M949"/>
    <mergeCell ref="A956:M956"/>
    <mergeCell ref="A957:D957"/>
    <mergeCell ref="F957:G957"/>
    <mergeCell ref="H957:I957"/>
    <mergeCell ref="J957:K957"/>
    <mergeCell ref="L957:M957"/>
    <mergeCell ref="B954:D954"/>
    <mergeCell ref="F954:G954"/>
    <mergeCell ref="H954:I954"/>
    <mergeCell ref="J954:K954"/>
    <mergeCell ref="L954:M954"/>
    <mergeCell ref="B955:D955"/>
    <mergeCell ref="F955:G955"/>
    <mergeCell ref="H955:I955"/>
    <mergeCell ref="J955:K955"/>
    <mergeCell ref="L955:M955"/>
    <mergeCell ref="B952:D952"/>
    <mergeCell ref="F952:G952"/>
    <mergeCell ref="H952:I952"/>
    <mergeCell ref="J952:K952"/>
    <mergeCell ref="L952:M952"/>
    <mergeCell ref="B953:D953"/>
    <mergeCell ref="F953:G953"/>
    <mergeCell ref="H953:I953"/>
    <mergeCell ref="J953:K953"/>
    <mergeCell ref="L953:M953"/>
    <mergeCell ref="A962:D962"/>
    <mergeCell ref="F962:G962"/>
    <mergeCell ref="H962:I962"/>
    <mergeCell ref="J962:K962"/>
    <mergeCell ref="L962:M962"/>
    <mergeCell ref="A963:D963"/>
    <mergeCell ref="F963:G963"/>
    <mergeCell ref="H963:I963"/>
    <mergeCell ref="J963:K963"/>
    <mergeCell ref="L963:M963"/>
    <mergeCell ref="B960:D960"/>
    <mergeCell ref="F960:G960"/>
    <mergeCell ref="H960:I960"/>
    <mergeCell ref="J960:K960"/>
    <mergeCell ref="L960:M960"/>
    <mergeCell ref="A961:M961"/>
    <mergeCell ref="B958:D958"/>
    <mergeCell ref="F958:G958"/>
    <mergeCell ref="H958:I958"/>
    <mergeCell ref="J958:K958"/>
    <mergeCell ref="L958:M958"/>
    <mergeCell ref="B959:D959"/>
    <mergeCell ref="F959:G959"/>
    <mergeCell ref="H959:I959"/>
    <mergeCell ref="J959:K959"/>
    <mergeCell ref="L959:M959"/>
    <mergeCell ref="A968:M968"/>
    <mergeCell ref="B974:M974"/>
    <mergeCell ref="A975:M975"/>
    <mergeCell ref="A976:M976"/>
    <mergeCell ref="A977:M977"/>
    <mergeCell ref="A978:M978"/>
    <mergeCell ref="A966:D966"/>
    <mergeCell ref="F966:G966"/>
    <mergeCell ref="H966:I966"/>
    <mergeCell ref="J966:K966"/>
    <mergeCell ref="L966:M966"/>
    <mergeCell ref="A967:M967"/>
    <mergeCell ref="A964:D964"/>
    <mergeCell ref="F964:G964"/>
    <mergeCell ref="H964:I964"/>
    <mergeCell ref="J964:K964"/>
    <mergeCell ref="L964:M964"/>
    <mergeCell ref="A965:D965"/>
    <mergeCell ref="F965:G965"/>
    <mergeCell ref="H965:I965"/>
    <mergeCell ref="J965:K965"/>
    <mergeCell ref="L965:M965"/>
    <mergeCell ref="A989:B989"/>
    <mergeCell ref="C989:G989"/>
    <mergeCell ref="H989:I989"/>
    <mergeCell ref="J989:M989"/>
    <mergeCell ref="A990:B990"/>
    <mergeCell ref="A991:C991"/>
    <mergeCell ref="D991:G991"/>
    <mergeCell ref="H991:I991"/>
    <mergeCell ref="J991:M991"/>
    <mergeCell ref="A985:M985"/>
    <mergeCell ref="A987:B987"/>
    <mergeCell ref="A988:B988"/>
    <mergeCell ref="H988:I988"/>
    <mergeCell ref="J988:K988"/>
    <mergeCell ref="L988:M988"/>
    <mergeCell ref="A979:L979"/>
    <mergeCell ref="A980:K980"/>
    <mergeCell ref="A981:M981"/>
    <mergeCell ref="A982:M982"/>
    <mergeCell ref="A983:M983"/>
    <mergeCell ref="A984:M984"/>
    <mergeCell ref="B996:D996"/>
    <mergeCell ref="F996:G996"/>
    <mergeCell ref="H996:I996"/>
    <mergeCell ref="J996:K996"/>
    <mergeCell ref="L996:M996"/>
    <mergeCell ref="B997:D997"/>
    <mergeCell ref="F997:G997"/>
    <mergeCell ref="H997:I997"/>
    <mergeCell ref="J997:K997"/>
    <mergeCell ref="L997:M997"/>
    <mergeCell ref="A994:M994"/>
    <mergeCell ref="B995:D995"/>
    <mergeCell ref="F995:G995"/>
    <mergeCell ref="H995:I995"/>
    <mergeCell ref="J995:K995"/>
    <mergeCell ref="L995:M995"/>
    <mergeCell ref="A992:C992"/>
    <mergeCell ref="D992:G992"/>
    <mergeCell ref="H992:I992"/>
    <mergeCell ref="J992:M992"/>
    <mergeCell ref="A993:C993"/>
    <mergeCell ref="D993:G993"/>
    <mergeCell ref="H993:I993"/>
    <mergeCell ref="J993:M993"/>
    <mergeCell ref="B1000:D1000"/>
    <mergeCell ref="F1000:G1000"/>
    <mergeCell ref="H1000:I1000"/>
    <mergeCell ref="J1000:K1000"/>
    <mergeCell ref="L1000:M1000"/>
    <mergeCell ref="B1001:D1001"/>
    <mergeCell ref="F1001:G1001"/>
    <mergeCell ref="H1001:I1001"/>
    <mergeCell ref="J1001:K1001"/>
    <mergeCell ref="L1001:M1001"/>
    <mergeCell ref="B998:D998"/>
    <mergeCell ref="F998:G998"/>
    <mergeCell ref="H998:I998"/>
    <mergeCell ref="J998:K998"/>
    <mergeCell ref="L998:M998"/>
    <mergeCell ref="B999:D999"/>
    <mergeCell ref="F999:G999"/>
    <mergeCell ref="H999:I999"/>
    <mergeCell ref="J999:K999"/>
    <mergeCell ref="L999:M999"/>
    <mergeCell ref="B1004:D1004"/>
    <mergeCell ref="F1004:G1004"/>
    <mergeCell ref="H1004:I1004"/>
    <mergeCell ref="J1004:K1004"/>
    <mergeCell ref="L1004:M1004"/>
    <mergeCell ref="B1005:D1005"/>
    <mergeCell ref="F1005:G1005"/>
    <mergeCell ref="H1005:I1005"/>
    <mergeCell ref="J1005:K1005"/>
    <mergeCell ref="L1005:M1005"/>
    <mergeCell ref="B1002:D1002"/>
    <mergeCell ref="F1002:G1002"/>
    <mergeCell ref="H1002:I1002"/>
    <mergeCell ref="J1002:K1002"/>
    <mergeCell ref="L1002:M1002"/>
    <mergeCell ref="B1003:D1003"/>
    <mergeCell ref="F1003:G1003"/>
    <mergeCell ref="H1003:I1003"/>
    <mergeCell ref="J1003:K1003"/>
    <mergeCell ref="L1003:M1003"/>
    <mergeCell ref="A1008:D1008"/>
    <mergeCell ref="F1008:G1008"/>
    <mergeCell ref="H1008:I1008"/>
    <mergeCell ref="J1008:K1008"/>
    <mergeCell ref="L1008:M1008"/>
    <mergeCell ref="B1009:D1009"/>
    <mergeCell ref="F1009:G1009"/>
    <mergeCell ref="H1009:I1009"/>
    <mergeCell ref="J1009:K1009"/>
    <mergeCell ref="L1009:M1009"/>
    <mergeCell ref="H1006:I1006"/>
    <mergeCell ref="J1006:K1006"/>
    <mergeCell ref="L1006:M1006"/>
    <mergeCell ref="A1007:D1007"/>
    <mergeCell ref="F1007:G1007"/>
    <mergeCell ref="H1007:I1007"/>
    <mergeCell ref="J1007:K1007"/>
    <mergeCell ref="L1007:M1007"/>
    <mergeCell ref="A1014:M1014"/>
    <mergeCell ref="A1015:D1015"/>
    <mergeCell ref="F1015:G1015"/>
    <mergeCell ref="H1015:I1015"/>
    <mergeCell ref="J1015:K1015"/>
    <mergeCell ref="L1015:M1015"/>
    <mergeCell ref="B1012:D1012"/>
    <mergeCell ref="F1012:G1012"/>
    <mergeCell ref="H1012:I1012"/>
    <mergeCell ref="J1012:K1012"/>
    <mergeCell ref="L1012:M1012"/>
    <mergeCell ref="B1013:D1013"/>
    <mergeCell ref="F1013:G1013"/>
    <mergeCell ref="H1013:I1013"/>
    <mergeCell ref="J1013:K1013"/>
    <mergeCell ref="L1013:M1013"/>
    <mergeCell ref="B1010:D1010"/>
    <mergeCell ref="F1010:G1010"/>
    <mergeCell ref="H1010:I1010"/>
    <mergeCell ref="J1010:K1010"/>
    <mergeCell ref="L1010:M1010"/>
    <mergeCell ref="B1011:D1011"/>
    <mergeCell ref="F1011:G1011"/>
    <mergeCell ref="H1011:I1011"/>
    <mergeCell ref="J1011:K1011"/>
    <mergeCell ref="L1011:M1011"/>
    <mergeCell ref="A1020:D1020"/>
    <mergeCell ref="F1020:G1020"/>
    <mergeCell ref="H1020:I1020"/>
    <mergeCell ref="J1020:K1020"/>
    <mergeCell ref="L1020:M1020"/>
    <mergeCell ref="A1021:D1021"/>
    <mergeCell ref="F1021:G1021"/>
    <mergeCell ref="H1021:I1021"/>
    <mergeCell ref="J1021:K1021"/>
    <mergeCell ref="L1021:M1021"/>
    <mergeCell ref="B1018:D1018"/>
    <mergeCell ref="F1018:G1018"/>
    <mergeCell ref="H1018:I1018"/>
    <mergeCell ref="J1018:K1018"/>
    <mergeCell ref="L1018:M1018"/>
    <mergeCell ref="A1019:M1019"/>
    <mergeCell ref="B1016:D1016"/>
    <mergeCell ref="F1016:G1016"/>
    <mergeCell ref="H1016:I1016"/>
    <mergeCell ref="J1016:K1016"/>
    <mergeCell ref="L1016:M1016"/>
    <mergeCell ref="B1017:D1017"/>
    <mergeCell ref="F1017:G1017"/>
    <mergeCell ref="H1017:I1017"/>
    <mergeCell ref="J1017:K1017"/>
    <mergeCell ref="L1017:M1017"/>
    <mergeCell ref="A1026:M1026"/>
    <mergeCell ref="B1032:M1032"/>
    <mergeCell ref="A1033:M1033"/>
    <mergeCell ref="A1034:M1034"/>
    <mergeCell ref="A1035:M1035"/>
    <mergeCell ref="A1036:M1036"/>
    <mergeCell ref="A1024:D1024"/>
    <mergeCell ref="F1024:G1024"/>
    <mergeCell ref="H1024:I1024"/>
    <mergeCell ref="J1024:K1024"/>
    <mergeCell ref="L1024:M1024"/>
    <mergeCell ref="A1025:M1025"/>
    <mergeCell ref="A1022:D1022"/>
    <mergeCell ref="F1022:G1022"/>
    <mergeCell ref="H1022:I1022"/>
    <mergeCell ref="J1022:K1022"/>
    <mergeCell ref="L1022:M1022"/>
    <mergeCell ref="A1023:D1023"/>
    <mergeCell ref="F1023:G1023"/>
    <mergeCell ref="H1023:I1023"/>
    <mergeCell ref="J1023:K1023"/>
    <mergeCell ref="L1023:M1023"/>
    <mergeCell ref="A1047:B1047"/>
    <mergeCell ref="C1047:G1047"/>
    <mergeCell ref="H1047:I1047"/>
    <mergeCell ref="J1047:M1047"/>
    <mergeCell ref="A1048:B1048"/>
    <mergeCell ref="A1049:C1049"/>
    <mergeCell ref="D1049:G1049"/>
    <mergeCell ref="H1049:I1049"/>
    <mergeCell ref="J1049:M1049"/>
    <mergeCell ref="A1043:M1043"/>
    <mergeCell ref="A1045:B1045"/>
    <mergeCell ref="A1046:B1046"/>
    <mergeCell ref="H1046:I1046"/>
    <mergeCell ref="J1046:K1046"/>
    <mergeCell ref="L1046:M1046"/>
    <mergeCell ref="A1037:L1037"/>
    <mergeCell ref="A1038:K1038"/>
    <mergeCell ref="A1039:M1039"/>
    <mergeCell ref="A1040:M1040"/>
    <mergeCell ref="A1041:M1041"/>
    <mergeCell ref="A1042:M1042"/>
    <mergeCell ref="B1054:D1054"/>
    <mergeCell ref="F1054:G1054"/>
    <mergeCell ref="H1054:I1054"/>
    <mergeCell ref="J1054:K1054"/>
    <mergeCell ref="L1054:M1054"/>
    <mergeCell ref="B1055:D1055"/>
    <mergeCell ref="F1055:G1055"/>
    <mergeCell ref="H1055:I1055"/>
    <mergeCell ref="J1055:K1055"/>
    <mergeCell ref="L1055:M1055"/>
    <mergeCell ref="A1052:M1052"/>
    <mergeCell ref="B1053:D1053"/>
    <mergeCell ref="F1053:G1053"/>
    <mergeCell ref="H1053:I1053"/>
    <mergeCell ref="J1053:K1053"/>
    <mergeCell ref="L1053:M1053"/>
    <mergeCell ref="A1050:C1050"/>
    <mergeCell ref="D1050:G1050"/>
    <mergeCell ref="H1050:I1050"/>
    <mergeCell ref="J1050:M1050"/>
    <mergeCell ref="A1051:C1051"/>
    <mergeCell ref="D1051:G1051"/>
    <mergeCell ref="H1051:I1051"/>
    <mergeCell ref="J1051:M1051"/>
    <mergeCell ref="B1058:D1058"/>
    <mergeCell ref="F1058:G1058"/>
    <mergeCell ref="H1058:I1058"/>
    <mergeCell ref="J1058:K1058"/>
    <mergeCell ref="L1058:M1058"/>
    <mergeCell ref="B1059:D1059"/>
    <mergeCell ref="F1059:G1059"/>
    <mergeCell ref="H1059:I1059"/>
    <mergeCell ref="J1059:K1059"/>
    <mergeCell ref="L1059:M1059"/>
    <mergeCell ref="B1056:D1056"/>
    <mergeCell ref="F1056:G1056"/>
    <mergeCell ref="H1056:I1056"/>
    <mergeCell ref="J1056:K1056"/>
    <mergeCell ref="L1056:M1056"/>
    <mergeCell ref="B1057:D1057"/>
    <mergeCell ref="F1057:G1057"/>
    <mergeCell ref="H1057:I1057"/>
    <mergeCell ref="J1057:K1057"/>
    <mergeCell ref="L1057:M1057"/>
    <mergeCell ref="B1062:D1062"/>
    <mergeCell ref="F1062:G1062"/>
    <mergeCell ref="H1062:I1062"/>
    <mergeCell ref="J1062:K1062"/>
    <mergeCell ref="L1062:M1062"/>
    <mergeCell ref="B1063:D1063"/>
    <mergeCell ref="F1063:G1063"/>
    <mergeCell ref="H1063:I1063"/>
    <mergeCell ref="J1063:K1063"/>
    <mergeCell ref="L1063:M1063"/>
    <mergeCell ref="B1060:D1060"/>
    <mergeCell ref="F1060:G1060"/>
    <mergeCell ref="H1060:I1060"/>
    <mergeCell ref="J1060:K1060"/>
    <mergeCell ref="L1060:M1060"/>
    <mergeCell ref="B1061:D1061"/>
    <mergeCell ref="F1061:G1061"/>
    <mergeCell ref="H1061:I1061"/>
    <mergeCell ref="J1061:K1061"/>
    <mergeCell ref="L1061:M1061"/>
    <mergeCell ref="A1066:D1066"/>
    <mergeCell ref="F1066:G1066"/>
    <mergeCell ref="H1066:I1066"/>
    <mergeCell ref="J1066:K1066"/>
    <mergeCell ref="L1066:M1066"/>
    <mergeCell ref="B1067:D1067"/>
    <mergeCell ref="F1067:G1067"/>
    <mergeCell ref="H1067:I1067"/>
    <mergeCell ref="J1067:K1067"/>
    <mergeCell ref="L1067:M1067"/>
    <mergeCell ref="H1064:I1064"/>
    <mergeCell ref="J1064:K1064"/>
    <mergeCell ref="L1064:M1064"/>
    <mergeCell ref="A1065:D1065"/>
    <mergeCell ref="F1065:G1065"/>
    <mergeCell ref="H1065:I1065"/>
    <mergeCell ref="J1065:K1065"/>
    <mergeCell ref="L1065:M1065"/>
    <mergeCell ref="A1072:M1072"/>
    <mergeCell ref="A1073:D1073"/>
    <mergeCell ref="F1073:G1073"/>
    <mergeCell ref="H1073:I1073"/>
    <mergeCell ref="J1073:K1073"/>
    <mergeCell ref="L1073:M1073"/>
    <mergeCell ref="B1070:D1070"/>
    <mergeCell ref="F1070:G1070"/>
    <mergeCell ref="H1070:I1070"/>
    <mergeCell ref="J1070:K1070"/>
    <mergeCell ref="L1070:M1070"/>
    <mergeCell ref="B1071:D1071"/>
    <mergeCell ref="F1071:G1071"/>
    <mergeCell ref="H1071:I1071"/>
    <mergeCell ref="J1071:K1071"/>
    <mergeCell ref="L1071:M1071"/>
    <mergeCell ref="B1068:D1068"/>
    <mergeCell ref="F1068:G1068"/>
    <mergeCell ref="H1068:I1068"/>
    <mergeCell ref="J1068:K1068"/>
    <mergeCell ref="L1068:M1068"/>
    <mergeCell ref="B1069:D1069"/>
    <mergeCell ref="F1069:G1069"/>
    <mergeCell ref="H1069:I1069"/>
    <mergeCell ref="J1069:K1069"/>
    <mergeCell ref="L1069:M1069"/>
    <mergeCell ref="A1078:D1078"/>
    <mergeCell ref="F1078:G1078"/>
    <mergeCell ref="H1078:I1078"/>
    <mergeCell ref="J1078:K1078"/>
    <mergeCell ref="L1078:M1078"/>
    <mergeCell ref="A1079:D1079"/>
    <mergeCell ref="F1079:G1079"/>
    <mergeCell ref="H1079:I1079"/>
    <mergeCell ref="J1079:K1079"/>
    <mergeCell ref="L1079:M1079"/>
    <mergeCell ref="B1076:D1076"/>
    <mergeCell ref="F1076:G1076"/>
    <mergeCell ref="H1076:I1076"/>
    <mergeCell ref="J1076:K1076"/>
    <mergeCell ref="L1076:M1076"/>
    <mergeCell ref="A1077:M1077"/>
    <mergeCell ref="B1074:D1074"/>
    <mergeCell ref="F1074:G1074"/>
    <mergeCell ref="H1074:I1074"/>
    <mergeCell ref="J1074:K1074"/>
    <mergeCell ref="L1074:M1074"/>
    <mergeCell ref="B1075:D1075"/>
    <mergeCell ref="F1075:G1075"/>
    <mergeCell ref="H1075:I1075"/>
    <mergeCell ref="J1075:K1075"/>
    <mergeCell ref="L1075:M1075"/>
    <mergeCell ref="A1084:M1084"/>
    <mergeCell ref="B1090:M1090"/>
    <mergeCell ref="A1091:M1091"/>
    <mergeCell ref="A1092:M1092"/>
    <mergeCell ref="A1093:M1093"/>
    <mergeCell ref="A1094:M1094"/>
    <mergeCell ref="A1082:D1082"/>
    <mergeCell ref="F1082:G1082"/>
    <mergeCell ref="H1082:I1082"/>
    <mergeCell ref="J1082:K1082"/>
    <mergeCell ref="L1082:M1082"/>
    <mergeCell ref="A1083:M1083"/>
    <mergeCell ref="A1080:D1080"/>
    <mergeCell ref="F1080:G1080"/>
    <mergeCell ref="H1080:I1080"/>
    <mergeCell ref="J1080:K1080"/>
    <mergeCell ref="L1080:M1080"/>
    <mergeCell ref="A1081:D1081"/>
    <mergeCell ref="F1081:G1081"/>
    <mergeCell ref="H1081:I1081"/>
    <mergeCell ref="J1081:K1081"/>
    <mergeCell ref="L1081:M1081"/>
    <mergeCell ref="A1105:B1105"/>
    <mergeCell ref="C1105:G1105"/>
    <mergeCell ref="H1105:I1105"/>
    <mergeCell ref="J1105:M1105"/>
    <mergeCell ref="A1106:B1106"/>
    <mergeCell ref="A1107:C1107"/>
    <mergeCell ref="D1107:G1107"/>
    <mergeCell ref="H1107:I1107"/>
    <mergeCell ref="J1107:M1107"/>
    <mergeCell ref="A1101:M1101"/>
    <mergeCell ref="A1103:B1103"/>
    <mergeCell ref="A1104:B1104"/>
    <mergeCell ref="H1104:I1104"/>
    <mergeCell ref="J1104:K1104"/>
    <mergeCell ref="L1104:M1104"/>
    <mergeCell ref="A1095:L1095"/>
    <mergeCell ref="A1096:K1096"/>
    <mergeCell ref="A1097:M1097"/>
    <mergeCell ref="A1098:M1098"/>
    <mergeCell ref="A1099:M1099"/>
    <mergeCell ref="A1100:M1100"/>
    <mergeCell ref="B1112:D1112"/>
    <mergeCell ref="F1112:G1112"/>
    <mergeCell ref="H1112:I1112"/>
    <mergeCell ref="J1112:K1112"/>
    <mergeCell ref="L1112:M1112"/>
    <mergeCell ref="B1113:D1113"/>
    <mergeCell ref="F1113:G1113"/>
    <mergeCell ref="H1113:I1113"/>
    <mergeCell ref="J1113:K1113"/>
    <mergeCell ref="L1113:M1113"/>
    <mergeCell ref="A1110:M1110"/>
    <mergeCell ref="B1111:D1111"/>
    <mergeCell ref="F1111:G1111"/>
    <mergeCell ref="H1111:I1111"/>
    <mergeCell ref="J1111:K1111"/>
    <mergeCell ref="L1111:M1111"/>
    <mergeCell ref="A1108:C1108"/>
    <mergeCell ref="D1108:G1108"/>
    <mergeCell ref="H1108:I1108"/>
    <mergeCell ref="J1108:M1108"/>
    <mergeCell ref="A1109:C1109"/>
    <mergeCell ref="D1109:G1109"/>
    <mergeCell ref="H1109:I1109"/>
    <mergeCell ref="J1109:M1109"/>
    <mergeCell ref="B1116:D1116"/>
    <mergeCell ref="F1116:G1116"/>
    <mergeCell ref="H1116:I1116"/>
    <mergeCell ref="J1116:K1116"/>
    <mergeCell ref="L1116:M1116"/>
    <mergeCell ref="B1117:D1117"/>
    <mergeCell ref="F1117:G1117"/>
    <mergeCell ref="H1117:I1117"/>
    <mergeCell ref="J1117:K1117"/>
    <mergeCell ref="L1117:M1117"/>
    <mergeCell ref="B1114:D1114"/>
    <mergeCell ref="F1114:G1114"/>
    <mergeCell ref="H1114:I1114"/>
    <mergeCell ref="J1114:K1114"/>
    <mergeCell ref="L1114:M1114"/>
    <mergeCell ref="B1115:D1115"/>
    <mergeCell ref="F1115:G1115"/>
    <mergeCell ref="H1115:I1115"/>
    <mergeCell ref="J1115:K1115"/>
    <mergeCell ref="L1115:M1115"/>
    <mergeCell ref="B1120:D1120"/>
    <mergeCell ref="F1120:G1120"/>
    <mergeCell ref="H1120:I1120"/>
    <mergeCell ref="J1120:K1120"/>
    <mergeCell ref="L1120:M1120"/>
    <mergeCell ref="B1121:D1121"/>
    <mergeCell ref="F1121:G1121"/>
    <mergeCell ref="H1121:I1121"/>
    <mergeCell ref="J1121:K1121"/>
    <mergeCell ref="L1121:M1121"/>
    <mergeCell ref="B1118:D1118"/>
    <mergeCell ref="F1118:G1118"/>
    <mergeCell ref="H1118:I1118"/>
    <mergeCell ref="J1118:K1118"/>
    <mergeCell ref="L1118:M1118"/>
    <mergeCell ref="B1119:D1119"/>
    <mergeCell ref="F1119:G1119"/>
    <mergeCell ref="H1119:I1119"/>
    <mergeCell ref="J1119:K1119"/>
    <mergeCell ref="L1119:M1119"/>
    <mergeCell ref="A1124:D1124"/>
    <mergeCell ref="F1124:G1124"/>
    <mergeCell ref="H1124:I1124"/>
    <mergeCell ref="J1124:K1124"/>
    <mergeCell ref="L1124:M1124"/>
    <mergeCell ref="B1125:D1125"/>
    <mergeCell ref="F1125:G1125"/>
    <mergeCell ref="H1125:I1125"/>
    <mergeCell ref="J1125:K1125"/>
    <mergeCell ref="L1125:M1125"/>
    <mergeCell ref="H1122:I1122"/>
    <mergeCell ref="J1122:K1122"/>
    <mergeCell ref="L1122:M1122"/>
    <mergeCell ref="A1123:D1123"/>
    <mergeCell ref="F1123:G1123"/>
    <mergeCell ref="H1123:I1123"/>
    <mergeCell ref="J1123:K1123"/>
    <mergeCell ref="L1123:M1123"/>
    <mergeCell ref="A1130:M1130"/>
    <mergeCell ref="A1131:D1131"/>
    <mergeCell ref="F1131:G1131"/>
    <mergeCell ref="H1131:I1131"/>
    <mergeCell ref="J1131:K1131"/>
    <mergeCell ref="L1131:M1131"/>
    <mergeCell ref="B1128:D1128"/>
    <mergeCell ref="F1128:G1128"/>
    <mergeCell ref="H1128:I1128"/>
    <mergeCell ref="J1128:K1128"/>
    <mergeCell ref="L1128:M1128"/>
    <mergeCell ref="B1129:D1129"/>
    <mergeCell ref="F1129:G1129"/>
    <mergeCell ref="H1129:I1129"/>
    <mergeCell ref="J1129:K1129"/>
    <mergeCell ref="L1129:M1129"/>
    <mergeCell ref="B1126:D1126"/>
    <mergeCell ref="F1126:G1126"/>
    <mergeCell ref="H1126:I1126"/>
    <mergeCell ref="J1126:K1126"/>
    <mergeCell ref="L1126:M1126"/>
    <mergeCell ref="B1127:D1127"/>
    <mergeCell ref="F1127:G1127"/>
    <mergeCell ref="H1127:I1127"/>
    <mergeCell ref="J1127:K1127"/>
    <mergeCell ref="L1127:M1127"/>
    <mergeCell ref="A1136:D1136"/>
    <mergeCell ref="F1136:G1136"/>
    <mergeCell ref="H1136:I1136"/>
    <mergeCell ref="J1136:K1136"/>
    <mergeCell ref="L1136:M1136"/>
    <mergeCell ref="A1137:D1137"/>
    <mergeCell ref="F1137:G1137"/>
    <mergeCell ref="H1137:I1137"/>
    <mergeCell ref="J1137:K1137"/>
    <mergeCell ref="L1137:M1137"/>
    <mergeCell ref="B1134:D1134"/>
    <mergeCell ref="F1134:G1134"/>
    <mergeCell ref="H1134:I1134"/>
    <mergeCell ref="J1134:K1134"/>
    <mergeCell ref="L1134:M1134"/>
    <mergeCell ref="A1135:M1135"/>
    <mergeCell ref="B1132:D1132"/>
    <mergeCell ref="F1132:G1132"/>
    <mergeCell ref="H1132:I1132"/>
    <mergeCell ref="J1132:K1132"/>
    <mergeCell ref="L1132:M1132"/>
    <mergeCell ref="B1133:D1133"/>
    <mergeCell ref="F1133:G1133"/>
    <mergeCell ref="H1133:I1133"/>
    <mergeCell ref="J1133:K1133"/>
    <mergeCell ref="L1133:M1133"/>
    <mergeCell ref="A1142:M1142"/>
    <mergeCell ref="B1148:M1148"/>
    <mergeCell ref="A1149:M1149"/>
    <mergeCell ref="A1150:M1150"/>
    <mergeCell ref="A1151:M1151"/>
    <mergeCell ref="A1152:M1152"/>
    <mergeCell ref="A1140:D1140"/>
    <mergeCell ref="F1140:G1140"/>
    <mergeCell ref="H1140:I1140"/>
    <mergeCell ref="J1140:K1140"/>
    <mergeCell ref="L1140:M1140"/>
    <mergeCell ref="A1141:M1141"/>
    <mergeCell ref="A1138:D1138"/>
    <mergeCell ref="F1138:G1138"/>
    <mergeCell ref="H1138:I1138"/>
    <mergeCell ref="J1138:K1138"/>
    <mergeCell ref="L1138:M1138"/>
    <mergeCell ref="A1139:D1139"/>
    <mergeCell ref="F1139:G1139"/>
    <mergeCell ref="H1139:I1139"/>
    <mergeCell ref="J1139:K1139"/>
    <mergeCell ref="L1139:M1139"/>
    <mergeCell ref="A1163:B1163"/>
    <mergeCell ref="C1163:G1163"/>
    <mergeCell ref="H1163:I1163"/>
    <mergeCell ref="J1163:M1163"/>
    <mergeCell ref="A1164:B1164"/>
    <mergeCell ref="A1165:C1165"/>
    <mergeCell ref="D1165:G1165"/>
    <mergeCell ref="H1165:I1165"/>
    <mergeCell ref="J1165:M1165"/>
    <mergeCell ref="A1159:M1159"/>
    <mergeCell ref="A1161:B1161"/>
    <mergeCell ref="A1162:B1162"/>
    <mergeCell ref="H1162:I1162"/>
    <mergeCell ref="J1162:K1162"/>
    <mergeCell ref="L1162:M1162"/>
    <mergeCell ref="A1153:L1153"/>
    <mergeCell ref="A1154:K1154"/>
    <mergeCell ref="A1155:M1155"/>
    <mergeCell ref="A1156:M1156"/>
    <mergeCell ref="A1157:M1157"/>
    <mergeCell ref="A1158:M1158"/>
    <mergeCell ref="B1170:D1170"/>
    <mergeCell ref="F1170:G1170"/>
    <mergeCell ref="H1170:I1170"/>
    <mergeCell ref="J1170:K1170"/>
    <mergeCell ref="L1170:M1170"/>
    <mergeCell ref="B1171:D1171"/>
    <mergeCell ref="F1171:G1171"/>
    <mergeCell ref="H1171:I1171"/>
    <mergeCell ref="J1171:K1171"/>
    <mergeCell ref="L1171:M1171"/>
    <mergeCell ref="A1168:M1168"/>
    <mergeCell ref="B1169:D1169"/>
    <mergeCell ref="F1169:G1169"/>
    <mergeCell ref="H1169:I1169"/>
    <mergeCell ref="J1169:K1169"/>
    <mergeCell ref="L1169:M1169"/>
    <mergeCell ref="A1166:C1166"/>
    <mergeCell ref="D1166:G1166"/>
    <mergeCell ref="H1166:I1166"/>
    <mergeCell ref="J1166:M1166"/>
    <mergeCell ref="A1167:C1167"/>
    <mergeCell ref="D1167:G1167"/>
    <mergeCell ref="H1167:I1167"/>
    <mergeCell ref="J1167:M1167"/>
    <mergeCell ref="B1174:D1174"/>
    <mergeCell ref="F1174:G1174"/>
    <mergeCell ref="H1174:I1174"/>
    <mergeCell ref="J1174:K1174"/>
    <mergeCell ref="L1174:M1174"/>
    <mergeCell ref="B1175:D1175"/>
    <mergeCell ref="F1175:G1175"/>
    <mergeCell ref="H1175:I1175"/>
    <mergeCell ref="J1175:K1175"/>
    <mergeCell ref="L1175:M1175"/>
    <mergeCell ref="B1172:D1172"/>
    <mergeCell ref="F1172:G1172"/>
    <mergeCell ref="H1172:I1172"/>
    <mergeCell ref="J1172:K1172"/>
    <mergeCell ref="L1172:M1172"/>
    <mergeCell ref="B1173:D1173"/>
    <mergeCell ref="F1173:G1173"/>
    <mergeCell ref="H1173:I1173"/>
    <mergeCell ref="J1173:K1173"/>
    <mergeCell ref="L1173:M1173"/>
    <mergeCell ref="B1178:D1178"/>
    <mergeCell ref="F1178:G1178"/>
    <mergeCell ref="H1178:I1178"/>
    <mergeCell ref="J1178:K1178"/>
    <mergeCell ref="L1178:M1178"/>
    <mergeCell ref="B1179:D1179"/>
    <mergeCell ref="F1179:G1179"/>
    <mergeCell ref="H1179:I1179"/>
    <mergeCell ref="J1179:K1179"/>
    <mergeCell ref="L1179:M1179"/>
    <mergeCell ref="B1176:D1176"/>
    <mergeCell ref="F1176:G1176"/>
    <mergeCell ref="H1176:I1176"/>
    <mergeCell ref="J1176:K1176"/>
    <mergeCell ref="L1176:M1176"/>
    <mergeCell ref="B1177:D1177"/>
    <mergeCell ref="F1177:G1177"/>
    <mergeCell ref="H1177:I1177"/>
    <mergeCell ref="J1177:K1177"/>
    <mergeCell ref="L1177:M1177"/>
    <mergeCell ref="A1182:D1182"/>
    <mergeCell ref="F1182:G1182"/>
    <mergeCell ref="H1182:I1182"/>
    <mergeCell ref="J1182:K1182"/>
    <mergeCell ref="L1182:M1182"/>
    <mergeCell ref="B1183:D1183"/>
    <mergeCell ref="F1183:G1183"/>
    <mergeCell ref="H1183:I1183"/>
    <mergeCell ref="J1183:K1183"/>
    <mergeCell ref="L1183:M1183"/>
    <mergeCell ref="H1180:I1180"/>
    <mergeCell ref="J1180:K1180"/>
    <mergeCell ref="L1180:M1180"/>
    <mergeCell ref="A1181:D1181"/>
    <mergeCell ref="F1181:G1181"/>
    <mergeCell ref="H1181:I1181"/>
    <mergeCell ref="J1181:K1181"/>
    <mergeCell ref="L1181:M1181"/>
    <mergeCell ref="A1188:M1188"/>
    <mergeCell ref="A1189:D1189"/>
    <mergeCell ref="F1189:G1189"/>
    <mergeCell ref="H1189:I1189"/>
    <mergeCell ref="J1189:K1189"/>
    <mergeCell ref="L1189:M1189"/>
    <mergeCell ref="B1186:D1186"/>
    <mergeCell ref="F1186:G1186"/>
    <mergeCell ref="H1186:I1186"/>
    <mergeCell ref="J1186:K1186"/>
    <mergeCell ref="L1186:M1186"/>
    <mergeCell ref="B1187:D1187"/>
    <mergeCell ref="F1187:G1187"/>
    <mergeCell ref="H1187:I1187"/>
    <mergeCell ref="J1187:K1187"/>
    <mergeCell ref="L1187:M1187"/>
    <mergeCell ref="B1184:D1184"/>
    <mergeCell ref="F1184:G1184"/>
    <mergeCell ref="H1184:I1184"/>
    <mergeCell ref="J1184:K1184"/>
    <mergeCell ref="L1184:M1184"/>
    <mergeCell ref="B1185:D1185"/>
    <mergeCell ref="F1185:G1185"/>
    <mergeCell ref="H1185:I1185"/>
    <mergeCell ref="J1185:K1185"/>
    <mergeCell ref="L1185:M1185"/>
    <mergeCell ref="A1194:D1194"/>
    <mergeCell ref="F1194:G1194"/>
    <mergeCell ref="H1194:I1194"/>
    <mergeCell ref="J1194:K1194"/>
    <mergeCell ref="L1194:M1194"/>
    <mergeCell ref="A1195:D1195"/>
    <mergeCell ref="F1195:G1195"/>
    <mergeCell ref="H1195:I1195"/>
    <mergeCell ref="J1195:K1195"/>
    <mergeCell ref="L1195:M1195"/>
    <mergeCell ref="B1192:D1192"/>
    <mergeCell ref="F1192:G1192"/>
    <mergeCell ref="H1192:I1192"/>
    <mergeCell ref="J1192:K1192"/>
    <mergeCell ref="L1192:M1192"/>
    <mergeCell ref="A1193:M1193"/>
    <mergeCell ref="B1190:D1190"/>
    <mergeCell ref="F1190:G1190"/>
    <mergeCell ref="H1190:I1190"/>
    <mergeCell ref="J1190:K1190"/>
    <mergeCell ref="L1190:M1190"/>
    <mergeCell ref="B1191:D1191"/>
    <mergeCell ref="F1191:G1191"/>
    <mergeCell ref="H1191:I1191"/>
    <mergeCell ref="J1191:K1191"/>
    <mergeCell ref="L1191:M1191"/>
    <mergeCell ref="A1200:M1200"/>
    <mergeCell ref="B1206:M1206"/>
    <mergeCell ref="A1207:M1207"/>
    <mergeCell ref="A1208:M1208"/>
    <mergeCell ref="A1209:M1209"/>
    <mergeCell ref="A1210:M1210"/>
    <mergeCell ref="A1198:D1198"/>
    <mergeCell ref="F1198:G1198"/>
    <mergeCell ref="H1198:I1198"/>
    <mergeCell ref="J1198:K1198"/>
    <mergeCell ref="L1198:M1198"/>
    <mergeCell ref="A1199:M1199"/>
    <mergeCell ref="A1196:D1196"/>
    <mergeCell ref="F1196:G1196"/>
    <mergeCell ref="H1196:I1196"/>
    <mergeCell ref="J1196:K1196"/>
    <mergeCell ref="L1196:M1196"/>
    <mergeCell ref="A1197:D1197"/>
    <mergeCell ref="F1197:G1197"/>
    <mergeCell ref="H1197:I1197"/>
    <mergeCell ref="J1197:K1197"/>
    <mergeCell ref="L1197:M1197"/>
    <mergeCell ref="A1221:B1221"/>
    <mergeCell ref="C1221:G1221"/>
    <mergeCell ref="H1221:I1221"/>
    <mergeCell ref="J1221:M1221"/>
    <mergeCell ref="A1222:B1222"/>
    <mergeCell ref="A1223:C1223"/>
    <mergeCell ref="D1223:G1223"/>
    <mergeCell ref="H1223:I1223"/>
    <mergeCell ref="J1223:M1223"/>
    <mergeCell ref="A1217:M1217"/>
    <mergeCell ref="A1219:B1219"/>
    <mergeCell ref="A1220:B1220"/>
    <mergeCell ref="H1220:I1220"/>
    <mergeCell ref="J1220:K1220"/>
    <mergeCell ref="L1220:M1220"/>
    <mergeCell ref="A1211:L1211"/>
    <mergeCell ref="A1212:K1212"/>
    <mergeCell ref="A1213:M1213"/>
    <mergeCell ref="A1214:M1214"/>
    <mergeCell ref="A1215:M1215"/>
    <mergeCell ref="A1216:M1216"/>
    <mergeCell ref="B1228:D1228"/>
    <mergeCell ref="F1228:G1228"/>
    <mergeCell ref="H1228:I1228"/>
    <mergeCell ref="J1228:K1228"/>
    <mergeCell ref="L1228:M1228"/>
    <mergeCell ref="B1229:D1229"/>
    <mergeCell ref="F1229:G1229"/>
    <mergeCell ref="H1229:I1229"/>
    <mergeCell ref="J1229:K1229"/>
    <mergeCell ref="L1229:M1229"/>
    <mergeCell ref="A1226:M1226"/>
    <mergeCell ref="B1227:D1227"/>
    <mergeCell ref="F1227:G1227"/>
    <mergeCell ref="H1227:I1227"/>
    <mergeCell ref="J1227:K1227"/>
    <mergeCell ref="L1227:M1227"/>
    <mergeCell ref="A1224:C1224"/>
    <mergeCell ref="D1224:G1224"/>
    <mergeCell ref="H1224:I1224"/>
    <mergeCell ref="J1224:M1224"/>
    <mergeCell ref="A1225:C1225"/>
    <mergeCell ref="D1225:G1225"/>
    <mergeCell ref="H1225:I1225"/>
    <mergeCell ref="J1225:M1225"/>
    <mergeCell ref="B1232:D1232"/>
    <mergeCell ref="F1232:G1232"/>
    <mergeCell ref="H1232:I1232"/>
    <mergeCell ref="J1232:K1232"/>
    <mergeCell ref="L1232:M1232"/>
    <mergeCell ref="B1233:D1233"/>
    <mergeCell ref="F1233:G1233"/>
    <mergeCell ref="H1233:I1233"/>
    <mergeCell ref="J1233:K1233"/>
    <mergeCell ref="L1233:M1233"/>
    <mergeCell ref="B1230:D1230"/>
    <mergeCell ref="F1230:G1230"/>
    <mergeCell ref="H1230:I1230"/>
    <mergeCell ref="J1230:K1230"/>
    <mergeCell ref="L1230:M1230"/>
    <mergeCell ref="B1231:D1231"/>
    <mergeCell ref="F1231:G1231"/>
    <mergeCell ref="H1231:I1231"/>
    <mergeCell ref="J1231:K1231"/>
    <mergeCell ref="L1231:M1231"/>
    <mergeCell ref="B1236:D1236"/>
    <mergeCell ref="F1236:G1236"/>
    <mergeCell ref="H1236:I1236"/>
    <mergeCell ref="J1236:K1236"/>
    <mergeCell ref="L1236:M1236"/>
    <mergeCell ref="B1237:D1237"/>
    <mergeCell ref="F1237:G1237"/>
    <mergeCell ref="H1237:I1237"/>
    <mergeCell ref="J1237:K1237"/>
    <mergeCell ref="L1237:M1237"/>
    <mergeCell ref="B1234:D1234"/>
    <mergeCell ref="F1234:G1234"/>
    <mergeCell ref="H1234:I1234"/>
    <mergeCell ref="J1234:K1234"/>
    <mergeCell ref="L1234:M1234"/>
    <mergeCell ref="B1235:D1235"/>
    <mergeCell ref="F1235:G1235"/>
    <mergeCell ref="H1235:I1235"/>
    <mergeCell ref="J1235:K1235"/>
    <mergeCell ref="L1235:M1235"/>
    <mergeCell ref="A1240:D1240"/>
    <mergeCell ref="F1240:G1240"/>
    <mergeCell ref="H1240:I1240"/>
    <mergeCell ref="J1240:K1240"/>
    <mergeCell ref="L1240:M1240"/>
    <mergeCell ref="B1241:D1241"/>
    <mergeCell ref="F1241:G1241"/>
    <mergeCell ref="H1241:I1241"/>
    <mergeCell ref="J1241:K1241"/>
    <mergeCell ref="L1241:M1241"/>
    <mergeCell ref="H1238:I1238"/>
    <mergeCell ref="J1238:K1238"/>
    <mergeCell ref="L1238:M1238"/>
    <mergeCell ref="A1239:D1239"/>
    <mergeCell ref="F1239:G1239"/>
    <mergeCell ref="H1239:I1239"/>
    <mergeCell ref="J1239:K1239"/>
    <mergeCell ref="L1239:M1239"/>
    <mergeCell ref="A1246:M1246"/>
    <mergeCell ref="A1247:D1247"/>
    <mergeCell ref="F1247:G1247"/>
    <mergeCell ref="H1247:I1247"/>
    <mergeCell ref="J1247:K1247"/>
    <mergeCell ref="L1247:M1247"/>
    <mergeCell ref="B1244:D1244"/>
    <mergeCell ref="F1244:G1244"/>
    <mergeCell ref="H1244:I1244"/>
    <mergeCell ref="J1244:K1244"/>
    <mergeCell ref="L1244:M1244"/>
    <mergeCell ref="B1245:D1245"/>
    <mergeCell ref="F1245:G1245"/>
    <mergeCell ref="H1245:I1245"/>
    <mergeCell ref="J1245:K1245"/>
    <mergeCell ref="L1245:M1245"/>
    <mergeCell ref="B1242:D1242"/>
    <mergeCell ref="F1242:G1242"/>
    <mergeCell ref="H1242:I1242"/>
    <mergeCell ref="J1242:K1242"/>
    <mergeCell ref="L1242:M1242"/>
    <mergeCell ref="B1243:D1243"/>
    <mergeCell ref="F1243:G1243"/>
    <mergeCell ref="H1243:I1243"/>
    <mergeCell ref="J1243:K1243"/>
    <mergeCell ref="L1243:M1243"/>
    <mergeCell ref="A1252:D1252"/>
    <mergeCell ref="F1252:G1252"/>
    <mergeCell ref="H1252:I1252"/>
    <mergeCell ref="J1252:K1252"/>
    <mergeCell ref="L1252:M1252"/>
    <mergeCell ref="A1253:D1253"/>
    <mergeCell ref="F1253:G1253"/>
    <mergeCell ref="H1253:I1253"/>
    <mergeCell ref="J1253:K1253"/>
    <mergeCell ref="L1253:M1253"/>
    <mergeCell ref="B1250:D1250"/>
    <mergeCell ref="F1250:G1250"/>
    <mergeCell ref="H1250:I1250"/>
    <mergeCell ref="J1250:K1250"/>
    <mergeCell ref="L1250:M1250"/>
    <mergeCell ref="A1251:M1251"/>
    <mergeCell ref="B1248:D1248"/>
    <mergeCell ref="F1248:G1248"/>
    <mergeCell ref="H1248:I1248"/>
    <mergeCell ref="J1248:K1248"/>
    <mergeCell ref="L1248:M1248"/>
    <mergeCell ref="B1249:D1249"/>
    <mergeCell ref="F1249:G1249"/>
    <mergeCell ref="H1249:I1249"/>
    <mergeCell ref="J1249:K1249"/>
    <mergeCell ref="L1249:M1249"/>
    <mergeCell ref="A1258:M1258"/>
    <mergeCell ref="B1264:M1264"/>
    <mergeCell ref="A1265:M1265"/>
    <mergeCell ref="A1266:M1266"/>
    <mergeCell ref="A1267:M1267"/>
    <mergeCell ref="A1268:M1268"/>
    <mergeCell ref="A1256:D1256"/>
    <mergeCell ref="F1256:G1256"/>
    <mergeCell ref="H1256:I1256"/>
    <mergeCell ref="J1256:K1256"/>
    <mergeCell ref="L1256:M1256"/>
    <mergeCell ref="A1257:M1257"/>
    <mergeCell ref="A1254:D1254"/>
    <mergeCell ref="F1254:G1254"/>
    <mergeCell ref="H1254:I1254"/>
    <mergeCell ref="J1254:K1254"/>
    <mergeCell ref="L1254:M1254"/>
    <mergeCell ref="A1255:D1255"/>
    <mergeCell ref="F1255:G1255"/>
    <mergeCell ref="H1255:I1255"/>
    <mergeCell ref="J1255:K1255"/>
    <mergeCell ref="L1255:M1255"/>
    <mergeCell ref="A1279:B1279"/>
    <mergeCell ref="C1279:G1279"/>
    <mergeCell ref="H1279:I1279"/>
    <mergeCell ref="J1279:M1279"/>
    <mergeCell ref="A1280:B1280"/>
    <mergeCell ref="A1281:C1281"/>
    <mergeCell ref="D1281:G1281"/>
    <mergeCell ref="H1281:I1281"/>
    <mergeCell ref="J1281:M1281"/>
    <mergeCell ref="A1275:M1275"/>
    <mergeCell ref="A1277:B1277"/>
    <mergeCell ref="A1278:B1278"/>
    <mergeCell ref="H1278:I1278"/>
    <mergeCell ref="J1278:K1278"/>
    <mergeCell ref="L1278:M1278"/>
    <mergeCell ref="A1269:L1269"/>
    <mergeCell ref="A1270:K1270"/>
    <mergeCell ref="A1271:M1271"/>
    <mergeCell ref="A1272:M1272"/>
    <mergeCell ref="A1273:M1273"/>
    <mergeCell ref="A1274:M1274"/>
    <mergeCell ref="B1286:D1286"/>
    <mergeCell ref="F1286:G1286"/>
    <mergeCell ref="H1286:I1286"/>
    <mergeCell ref="J1286:K1286"/>
    <mergeCell ref="L1286:M1286"/>
    <mergeCell ref="B1287:D1287"/>
    <mergeCell ref="F1287:G1287"/>
    <mergeCell ref="H1287:I1287"/>
    <mergeCell ref="J1287:K1287"/>
    <mergeCell ref="L1287:M1287"/>
    <mergeCell ref="A1284:M1284"/>
    <mergeCell ref="B1285:D1285"/>
    <mergeCell ref="F1285:G1285"/>
    <mergeCell ref="H1285:I1285"/>
    <mergeCell ref="J1285:K1285"/>
    <mergeCell ref="L1285:M1285"/>
    <mergeCell ref="A1282:C1282"/>
    <mergeCell ref="D1282:G1282"/>
    <mergeCell ref="H1282:I1282"/>
    <mergeCell ref="J1282:M1282"/>
    <mergeCell ref="A1283:C1283"/>
    <mergeCell ref="D1283:G1283"/>
    <mergeCell ref="H1283:I1283"/>
    <mergeCell ref="J1283:M1283"/>
    <mergeCell ref="B1290:D1290"/>
    <mergeCell ref="F1290:G1290"/>
    <mergeCell ref="H1290:I1290"/>
    <mergeCell ref="J1290:K1290"/>
    <mergeCell ref="L1290:M1290"/>
    <mergeCell ref="B1291:D1291"/>
    <mergeCell ref="F1291:G1291"/>
    <mergeCell ref="H1291:I1291"/>
    <mergeCell ref="J1291:K1291"/>
    <mergeCell ref="L1291:M1291"/>
    <mergeCell ref="B1288:D1288"/>
    <mergeCell ref="F1288:G1288"/>
    <mergeCell ref="H1288:I1288"/>
    <mergeCell ref="J1288:K1288"/>
    <mergeCell ref="L1288:M1288"/>
    <mergeCell ref="B1289:D1289"/>
    <mergeCell ref="F1289:G1289"/>
    <mergeCell ref="H1289:I1289"/>
    <mergeCell ref="J1289:K1289"/>
    <mergeCell ref="L1289:M1289"/>
    <mergeCell ref="B1294:D1294"/>
    <mergeCell ref="F1294:G1294"/>
    <mergeCell ref="H1294:I1294"/>
    <mergeCell ref="J1294:K1294"/>
    <mergeCell ref="L1294:M1294"/>
    <mergeCell ref="B1295:D1295"/>
    <mergeCell ref="F1295:G1295"/>
    <mergeCell ref="H1295:I1295"/>
    <mergeCell ref="J1295:K1295"/>
    <mergeCell ref="L1295:M1295"/>
    <mergeCell ref="B1292:D1292"/>
    <mergeCell ref="F1292:G1292"/>
    <mergeCell ref="H1292:I1292"/>
    <mergeCell ref="J1292:K1292"/>
    <mergeCell ref="L1292:M1292"/>
    <mergeCell ref="B1293:D1293"/>
    <mergeCell ref="F1293:G1293"/>
    <mergeCell ref="H1293:I1293"/>
    <mergeCell ref="J1293:K1293"/>
    <mergeCell ref="L1293:M1293"/>
    <mergeCell ref="A1298:D1298"/>
    <mergeCell ref="F1298:G1298"/>
    <mergeCell ref="H1298:I1298"/>
    <mergeCell ref="J1298:K1298"/>
    <mergeCell ref="L1298:M1298"/>
    <mergeCell ref="B1299:D1299"/>
    <mergeCell ref="F1299:G1299"/>
    <mergeCell ref="H1299:I1299"/>
    <mergeCell ref="J1299:K1299"/>
    <mergeCell ref="L1299:M1299"/>
    <mergeCell ref="H1296:I1296"/>
    <mergeCell ref="J1296:K1296"/>
    <mergeCell ref="L1296:M1296"/>
    <mergeCell ref="A1297:D1297"/>
    <mergeCell ref="F1297:G1297"/>
    <mergeCell ref="H1297:I1297"/>
    <mergeCell ref="J1297:K1297"/>
    <mergeCell ref="L1297:M1297"/>
    <mergeCell ref="A1304:M1304"/>
    <mergeCell ref="A1305:D1305"/>
    <mergeCell ref="F1305:G1305"/>
    <mergeCell ref="H1305:I1305"/>
    <mergeCell ref="J1305:K1305"/>
    <mergeCell ref="L1305:M1305"/>
    <mergeCell ref="B1302:D1302"/>
    <mergeCell ref="F1302:G1302"/>
    <mergeCell ref="H1302:I1302"/>
    <mergeCell ref="J1302:K1302"/>
    <mergeCell ref="L1302:M1302"/>
    <mergeCell ref="B1303:D1303"/>
    <mergeCell ref="F1303:G1303"/>
    <mergeCell ref="H1303:I1303"/>
    <mergeCell ref="J1303:K1303"/>
    <mergeCell ref="L1303:M1303"/>
    <mergeCell ref="B1300:D1300"/>
    <mergeCell ref="F1300:G1300"/>
    <mergeCell ref="H1300:I1300"/>
    <mergeCell ref="J1300:K1300"/>
    <mergeCell ref="L1300:M1300"/>
    <mergeCell ref="B1301:D1301"/>
    <mergeCell ref="F1301:G1301"/>
    <mergeCell ref="H1301:I1301"/>
    <mergeCell ref="J1301:K1301"/>
    <mergeCell ref="L1301:M1301"/>
    <mergeCell ref="A1310:D1310"/>
    <mergeCell ref="F1310:G1310"/>
    <mergeCell ref="H1310:I1310"/>
    <mergeCell ref="J1310:K1310"/>
    <mergeCell ref="L1310:M1310"/>
    <mergeCell ref="A1311:D1311"/>
    <mergeCell ref="F1311:G1311"/>
    <mergeCell ref="H1311:I1311"/>
    <mergeCell ref="J1311:K1311"/>
    <mergeCell ref="L1311:M1311"/>
    <mergeCell ref="B1308:D1308"/>
    <mergeCell ref="F1308:G1308"/>
    <mergeCell ref="H1308:I1308"/>
    <mergeCell ref="J1308:K1308"/>
    <mergeCell ref="L1308:M1308"/>
    <mergeCell ref="A1309:M1309"/>
    <mergeCell ref="B1306:D1306"/>
    <mergeCell ref="F1306:G1306"/>
    <mergeCell ref="H1306:I1306"/>
    <mergeCell ref="J1306:K1306"/>
    <mergeCell ref="L1306:M1306"/>
    <mergeCell ref="B1307:D1307"/>
    <mergeCell ref="F1307:G1307"/>
    <mergeCell ref="H1307:I1307"/>
    <mergeCell ref="J1307:K1307"/>
    <mergeCell ref="L1307:M1307"/>
    <mergeCell ref="A1316:M1316"/>
    <mergeCell ref="B1322:M1322"/>
    <mergeCell ref="A1323:M1323"/>
    <mergeCell ref="A1324:M1324"/>
    <mergeCell ref="A1325:M1325"/>
    <mergeCell ref="A1326:M1326"/>
    <mergeCell ref="A1314:D1314"/>
    <mergeCell ref="F1314:G1314"/>
    <mergeCell ref="H1314:I1314"/>
    <mergeCell ref="J1314:K1314"/>
    <mergeCell ref="L1314:M1314"/>
    <mergeCell ref="A1315:M1315"/>
    <mergeCell ref="A1312:D1312"/>
    <mergeCell ref="F1312:G1312"/>
    <mergeCell ref="H1312:I1312"/>
    <mergeCell ref="J1312:K1312"/>
    <mergeCell ref="L1312:M1312"/>
    <mergeCell ref="A1313:D1313"/>
    <mergeCell ref="F1313:G1313"/>
    <mergeCell ref="H1313:I1313"/>
    <mergeCell ref="J1313:K1313"/>
    <mergeCell ref="L1313:M1313"/>
    <mergeCell ref="A1337:B1337"/>
    <mergeCell ref="C1337:G1337"/>
    <mergeCell ref="H1337:I1337"/>
    <mergeCell ref="J1337:M1337"/>
    <mergeCell ref="A1338:B1338"/>
    <mergeCell ref="A1339:C1339"/>
    <mergeCell ref="D1339:G1339"/>
    <mergeCell ref="H1339:I1339"/>
    <mergeCell ref="J1339:M1339"/>
    <mergeCell ref="A1333:M1333"/>
    <mergeCell ref="A1335:B1335"/>
    <mergeCell ref="A1336:B1336"/>
    <mergeCell ref="H1336:I1336"/>
    <mergeCell ref="J1336:K1336"/>
    <mergeCell ref="L1336:M1336"/>
    <mergeCell ref="A1327:L1327"/>
    <mergeCell ref="A1328:K1328"/>
    <mergeCell ref="A1329:M1329"/>
    <mergeCell ref="A1330:M1330"/>
    <mergeCell ref="A1331:M1331"/>
    <mergeCell ref="A1332:M1332"/>
    <mergeCell ref="B1344:D1344"/>
    <mergeCell ref="F1344:G1344"/>
    <mergeCell ref="H1344:I1344"/>
    <mergeCell ref="J1344:K1344"/>
    <mergeCell ref="L1344:M1344"/>
    <mergeCell ref="B1345:D1345"/>
    <mergeCell ref="F1345:G1345"/>
    <mergeCell ref="H1345:I1345"/>
    <mergeCell ref="J1345:K1345"/>
    <mergeCell ref="L1345:M1345"/>
    <mergeCell ref="A1342:M1342"/>
    <mergeCell ref="B1343:D1343"/>
    <mergeCell ref="F1343:G1343"/>
    <mergeCell ref="H1343:I1343"/>
    <mergeCell ref="J1343:K1343"/>
    <mergeCell ref="L1343:M1343"/>
    <mergeCell ref="A1340:C1340"/>
    <mergeCell ref="D1340:G1340"/>
    <mergeCell ref="H1340:I1340"/>
    <mergeCell ref="J1340:M1340"/>
    <mergeCell ref="A1341:C1341"/>
    <mergeCell ref="D1341:G1341"/>
    <mergeCell ref="H1341:I1341"/>
    <mergeCell ref="J1341:M1341"/>
    <mergeCell ref="B1348:D1348"/>
    <mergeCell ref="F1348:G1348"/>
    <mergeCell ref="H1348:I1348"/>
    <mergeCell ref="J1348:K1348"/>
    <mergeCell ref="L1348:M1348"/>
    <mergeCell ref="B1349:D1349"/>
    <mergeCell ref="F1349:G1349"/>
    <mergeCell ref="H1349:I1349"/>
    <mergeCell ref="J1349:K1349"/>
    <mergeCell ref="L1349:M1349"/>
    <mergeCell ref="B1346:D1346"/>
    <mergeCell ref="F1346:G1346"/>
    <mergeCell ref="H1346:I1346"/>
    <mergeCell ref="J1346:K1346"/>
    <mergeCell ref="L1346:M1346"/>
    <mergeCell ref="B1347:D1347"/>
    <mergeCell ref="F1347:G1347"/>
    <mergeCell ref="H1347:I1347"/>
    <mergeCell ref="J1347:K1347"/>
    <mergeCell ref="L1347:M1347"/>
    <mergeCell ref="B1352:D1352"/>
    <mergeCell ref="F1352:G1352"/>
    <mergeCell ref="H1352:I1352"/>
    <mergeCell ref="J1352:K1352"/>
    <mergeCell ref="L1352:M1352"/>
    <mergeCell ref="B1353:D1353"/>
    <mergeCell ref="F1353:G1353"/>
    <mergeCell ref="H1353:I1353"/>
    <mergeCell ref="J1353:K1353"/>
    <mergeCell ref="L1353:M1353"/>
    <mergeCell ref="B1350:D1350"/>
    <mergeCell ref="F1350:G1350"/>
    <mergeCell ref="H1350:I1350"/>
    <mergeCell ref="J1350:K1350"/>
    <mergeCell ref="L1350:M1350"/>
    <mergeCell ref="B1351:D1351"/>
    <mergeCell ref="F1351:G1351"/>
    <mergeCell ref="H1351:I1351"/>
    <mergeCell ref="J1351:K1351"/>
    <mergeCell ref="L1351:M1351"/>
    <mergeCell ref="A1356:D1356"/>
    <mergeCell ref="F1356:G1356"/>
    <mergeCell ref="H1356:I1356"/>
    <mergeCell ref="J1356:K1356"/>
    <mergeCell ref="L1356:M1356"/>
    <mergeCell ref="B1357:D1357"/>
    <mergeCell ref="F1357:G1357"/>
    <mergeCell ref="H1357:I1357"/>
    <mergeCell ref="J1357:K1357"/>
    <mergeCell ref="L1357:M1357"/>
    <mergeCell ref="H1354:I1354"/>
    <mergeCell ref="J1354:K1354"/>
    <mergeCell ref="L1354:M1354"/>
    <mergeCell ref="A1355:D1355"/>
    <mergeCell ref="F1355:G1355"/>
    <mergeCell ref="H1355:I1355"/>
    <mergeCell ref="J1355:K1355"/>
    <mergeCell ref="L1355:M1355"/>
    <mergeCell ref="A1362:M1362"/>
    <mergeCell ref="A1363:D1363"/>
    <mergeCell ref="F1363:G1363"/>
    <mergeCell ref="H1363:I1363"/>
    <mergeCell ref="J1363:K1363"/>
    <mergeCell ref="L1363:M1363"/>
    <mergeCell ref="B1360:D1360"/>
    <mergeCell ref="F1360:G1360"/>
    <mergeCell ref="H1360:I1360"/>
    <mergeCell ref="J1360:K1360"/>
    <mergeCell ref="L1360:M1360"/>
    <mergeCell ref="B1361:D1361"/>
    <mergeCell ref="F1361:G1361"/>
    <mergeCell ref="H1361:I1361"/>
    <mergeCell ref="J1361:K1361"/>
    <mergeCell ref="L1361:M1361"/>
    <mergeCell ref="B1358:D1358"/>
    <mergeCell ref="F1358:G1358"/>
    <mergeCell ref="H1358:I1358"/>
    <mergeCell ref="J1358:K1358"/>
    <mergeCell ref="L1358:M1358"/>
    <mergeCell ref="B1359:D1359"/>
    <mergeCell ref="F1359:G1359"/>
    <mergeCell ref="H1359:I1359"/>
    <mergeCell ref="J1359:K1359"/>
    <mergeCell ref="L1359:M1359"/>
    <mergeCell ref="A1368:D1368"/>
    <mergeCell ref="F1368:G1368"/>
    <mergeCell ref="H1368:I1368"/>
    <mergeCell ref="J1368:K1368"/>
    <mergeCell ref="L1368:M1368"/>
    <mergeCell ref="A1369:D1369"/>
    <mergeCell ref="F1369:G1369"/>
    <mergeCell ref="H1369:I1369"/>
    <mergeCell ref="J1369:K1369"/>
    <mergeCell ref="L1369:M1369"/>
    <mergeCell ref="B1366:D1366"/>
    <mergeCell ref="F1366:G1366"/>
    <mergeCell ref="H1366:I1366"/>
    <mergeCell ref="J1366:K1366"/>
    <mergeCell ref="L1366:M1366"/>
    <mergeCell ref="A1367:M1367"/>
    <mergeCell ref="B1364:D1364"/>
    <mergeCell ref="F1364:G1364"/>
    <mergeCell ref="H1364:I1364"/>
    <mergeCell ref="J1364:K1364"/>
    <mergeCell ref="L1364:M1364"/>
    <mergeCell ref="B1365:D1365"/>
    <mergeCell ref="F1365:G1365"/>
    <mergeCell ref="H1365:I1365"/>
    <mergeCell ref="J1365:K1365"/>
    <mergeCell ref="L1365:M1365"/>
    <mergeCell ref="A1374:M1374"/>
    <mergeCell ref="B1380:M1380"/>
    <mergeCell ref="A1381:M1381"/>
    <mergeCell ref="A1382:M1382"/>
    <mergeCell ref="A1383:M1383"/>
    <mergeCell ref="A1384:M1384"/>
    <mergeCell ref="A1372:D1372"/>
    <mergeCell ref="F1372:G1372"/>
    <mergeCell ref="H1372:I1372"/>
    <mergeCell ref="J1372:K1372"/>
    <mergeCell ref="L1372:M1372"/>
    <mergeCell ref="A1373:M1373"/>
    <mergeCell ref="A1370:D1370"/>
    <mergeCell ref="F1370:G1370"/>
    <mergeCell ref="H1370:I1370"/>
    <mergeCell ref="J1370:K1370"/>
    <mergeCell ref="L1370:M1370"/>
    <mergeCell ref="A1371:D1371"/>
    <mergeCell ref="F1371:G1371"/>
    <mergeCell ref="H1371:I1371"/>
    <mergeCell ref="J1371:K1371"/>
    <mergeCell ref="L1371:M1371"/>
    <mergeCell ref="A1395:B1395"/>
    <mergeCell ref="C1395:G1395"/>
    <mergeCell ref="H1395:I1395"/>
    <mergeCell ref="J1395:M1395"/>
    <mergeCell ref="A1396:B1396"/>
    <mergeCell ref="A1397:C1397"/>
    <mergeCell ref="D1397:G1397"/>
    <mergeCell ref="H1397:I1397"/>
    <mergeCell ref="J1397:M1397"/>
    <mergeCell ref="A1391:M1391"/>
    <mergeCell ref="A1393:B1393"/>
    <mergeCell ref="A1394:B1394"/>
    <mergeCell ref="H1394:I1394"/>
    <mergeCell ref="J1394:K1394"/>
    <mergeCell ref="L1394:M1394"/>
    <mergeCell ref="A1385:L1385"/>
    <mergeCell ref="A1386:K1386"/>
    <mergeCell ref="A1387:M1387"/>
    <mergeCell ref="A1388:M1388"/>
    <mergeCell ref="A1389:M1389"/>
    <mergeCell ref="A1390:M1390"/>
    <mergeCell ref="B1402:D1402"/>
    <mergeCell ref="F1402:G1402"/>
    <mergeCell ref="H1402:I1402"/>
    <mergeCell ref="J1402:K1402"/>
    <mergeCell ref="L1402:M1402"/>
    <mergeCell ref="B1403:D1403"/>
    <mergeCell ref="F1403:G1403"/>
    <mergeCell ref="H1403:I1403"/>
    <mergeCell ref="J1403:K1403"/>
    <mergeCell ref="L1403:M1403"/>
    <mergeCell ref="A1400:M1400"/>
    <mergeCell ref="B1401:D1401"/>
    <mergeCell ref="F1401:G1401"/>
    <mergeCell ref="H1401:I1401"/>
    <mergeCell ref="J1401:K1401"/>
    <mergeCell ref="L1401:M1401"/>
    <mergeCell ref="A1398:C1398"/>
    <mergeCell ref="D1398:G1398"/>
    <mergeCell ref="H1398:I1398"/>
    <mergeCell ref="J1398:M1398"/>
    <mergeCell ref="A1399:C1399"/>
    <mergeCell ref="D1399:G1399"/>
    <mergeCell ref="H1399:I1399"/>
    <mergeCell ref="J1399:M1399"/>
    <mergeCell ref="B1406:D1406"/>
    <mergeCell ref="F1406:G1406"/>
    <mergeCell ref="H1406:I1406"/>
    <mergeCell ref="J1406:K1406"/>
    <mergeCell ref="L1406:M1406"/>
    <mergeCell ref="B1407:D1407"/>
    <mergeCell ref="F1407:G1407"/>
    <mergeCell ref="H1407:I1407"/>
    <mergeCell ref="J1407:K1407"/>
    <mergeCell ref="L1407:M1407"/>
    <mergeCell ref="B1404:D1404"/>
    <mergeCell ref="F1404:G1404"/>
    <mergeCell ref="H1404:I1404"/>
    <mergeCell ref="J1404:K1404"/>
    <mergeCell ref="L1404:M1404"/>
    <mergeCell ref="B1405:D1405"/>
    <mergeCell ref="F1405:G1405"/>
    <mergeCell ref="H1405:I1405"/>
    <mergeCell ref="J1405:K1405"/>
    <mergeCell ref="L1405:M1405"/>
    <mergeCell ref="B1410:D1410"/>
    <mergeCell ref="F1410:G1410"/>
    <mergeCell ref="H1410:I1410"/>
    <mergeCell ref="J1410:K1410"/>
    <mergeCell ref="L1410:M1410"/>
    <mergeCell ref="B1411:D1411"/>
    <mergeCell ref="F1411:G1411"/>
    <mergeCell ref="H1411:I1411"/>
    <mergeCell ref="J1411:K1411"/>
    <mergeCell ref="L1411:M1411"/>
    <mergeCell ref="B1408:D1408"/>
    <mergeCell ref="F1408:G1408"/>
    <mergeCell ref="H1408:I1408"/>
    <mergeCell ref="J1408:K1408"/>
    <mergeCell ref="L1408:M1408"/>
    <mergeCell ref="B1409:D1409"/>
    <mergeCell ref="F1409:G1409"/>
    <mergeCell ref="H1409:I1409"/>
    <mergeCell ref="J1409:K1409"/>
    <mergeCell ref="L1409:M1409"/>
    <mergeCell ref="A1414:D1414"/>
    <mergeCell ref="F1414:G1414"/>
    <mergeCell ref="H1414:I1414"/>
    <mergeCell ref="J1414:K1414"/>
    <mergeCell ref="L1414:M1414"/>
    <mergeCell ref="B1415:D1415"/>
    <mergeCell ref="F1415:G1415"/>
    <mergeCell ref="H1415:I1415"/>
    <mergeCell ref="J1415:K1415"/>
    <mergeCell ref="L1415:M1415"/>
    <mergeCell ref="H1412:I1412"/>
    <mergeCell ref="J1412:K1412"/>
    <mergeCell ref="L1412:M1412"/>
    <mergeCell ref="A1413:D1413"/>
    <mergeCell ref="F1413:G1413"/>
    <mergeCell ref="H1413:I1413"/>
    <mergeCell ref="J1413:K1413"/>
    <mergeCell ref="L1413:M1413"/>
    <mergeCell ref="A1420:M1420"/>
    <mergeCell ref="A1421:D1421"/>
    <mergeCell ref="F1421:G1421"/>
    <mergeCell ref="H1421:I1421"/>
    <mergeCell ref="J1421:K1421"/>
    <mergeCell ref="L1421:M1421"/>
    <mergeCell ref="B1418:D1418"/>
    <mergeCell ref="F1418:G1418"/>
    <mergeCell ref="H1418:I1418"/>
    <mergeCell ref="J1418:K1418"/>
    <mergeCell ref="L1418:M1418"/>
    <mergeCell ref="B1419:D1419"/>
    <mergeCell ref="F1419:G1419"/>
    <mergeCell ref="H1419:I1419"/>
    <mergeCell ref="J1419:K1419"/>
    <mergeCell ref="L1419:M1419"/>
    <mergeCell ref="B1416:D1416"/>
    <mergeCell ref="F1416:G1416"/>
    <mergeCell ref="H1416:I1416"/>
    <mergeCell ref="J1416:K1416"/>
    <mergeCell ref="L1416:M1416"/>
    <mergeCell ref="B1417:D1417"/>
    <mergeCell ref="F1417:G1417"/>
    <mergeCell ref="H1417:I1417"/>
    <mergeCell ref="J1417:K1417"/>
    <mergeCell ref="L1417:M1417"/>
    <mergeCell ref="A1426:D1426"/>
    <mergeCell ref="F1426:G1426"/>
    <mergeCell ref="H1426:I1426"/>
    <mergeCell ref="J1426:K1426"/>
    <mergeCell ref="L1426:M1426"/>
    <mergeCell ref="A1427:D1427"/>
    <mergeCell ref="F1427:G1427"/>
    <mergeCell ref="H1427:I1427"/>
    <mergeCell ref="J1427:K1427"/>
    <mergeCell ref="L1427:M1427"/>
    <mergeCell ref="B1424:D1424"/>
    <mergeCell ref="F1424:G1424"/>
    <mergeCell ref="H1424:I1424"/>
    <mergeCell ref="J1424:K1424"/>
    <mergeCell ref="L1424:M1424"/>
    <mergeCell ref="A1425:M1425"/>
    <mergeCell ref="B1422:D1422"/>
    <mergeCell ref="F1422:G1422"/>
    <mergeCell ref="H1422:I1422"/>
    <mergeCell ref="J1422:K1422"/>
    <mergeCell ref="L1422:M1422"/>
    <mergeCell ref="B1423:D1423"/>
    <mergeCell ref="F1423:G1423"/>
    <mergeCell ref="H1423:I1423"/>
    <mergeCell ref="J1423:K1423"/>
    <mergeCell ref="L1423:M1423"/>
    <mergeCell ref="A1432:M1432"/>
    <mergeCell ref="B1438:M1438"/>
    <mergeCell ref="A1439:M1439"/>
    <mergeCell ref="A1440:M1440"/>
    <mergeCell ref="A1441:M1441"/>
    <mergeCell ref="A1442:M1442"/>
    <mergeCell ref="A1430:D1430"/>
    <mergeCell ref="F1430:G1430"/>
    <mergeCell ref="H1430:I1430"/>
    <mergeCell ref="J1430:K1430"/>
    <mergeCell ref="L1430:M1430"/>
    <mergeCell ref="A1431:M1431"/>
    <mergeCell ref="A1428:D1428"/>
    <mergeCell ref="F1428:G1428"/>
    <mergeCell ref="H1428:I1428"/>
    <mergeCell ref="J1428:K1428"/>
    <mergeCell ref="L1428:M1428"/>
    <mergeCell ref="A1429:D1429"/>
    <mergeCell ref="F1429:G1429"/>
    <mergeCell ref="H1429:I1429"/>
    <mergeCell ref="J1429:K1429"/>
    <mergeCell ref="L1429:M1429"/>
    <mergeCell ref="A1453:B1453"/>
    <mergeCell ref="C1453:G1453"/>
    <mergeCell ref="H1453:I1453"/>
    <mergeCell ref="J1453:M1453"/>
    <mergeCell ref="A1454:B1454"/>
    <mergeCell ref="A1455:C1455"/>
    <mergeCell ref="D1455:G1455"/>
    <mergeCell ref="H1455:I1455"/>
    <mergeCell ref="J1455:M1455"/>
    <mergeCell ref="A1449:M1449"/>
    <mergeCell ref="A1451:B1451"/>
    <mergeCell ref="A1452:B1452"/>
    <mergeCell ref="H1452:I1452"/>
    <mergeCell ref="J1452:K1452"/>
    <mergeCell ref="L1452:M1452"/>
    <mergeCell ref="A1443:L1443"/>
    <mergeCell ref="A1444:K1444"/>
    <mergeCell ref="A1445:M1445"/>
    <mergeCell ref="A1446:M1446"/>
    <mergeCell ref="A1447:M1447"/>
    <mergeCell ref="A1448:M1448"/>
    <mergeCell ref="B1460:D1460"/>
    <mergeCell ref="F1460:G1460"/>
    <mergeCell ref="H1460:I1460"/>
    <mergeCell ref="J1460:K1460"/>
    <mergeCell ref="L1460:M1460"/>
    <mergeCell ref="B1461:D1461"/>
    <mergeCell ref="F1461:G1461"/>
    <mergeCell ref="H1461:I1461"/>
    <mergeCell ref="J1461:K1461"/>
    <mergeCell ref="L1461:M1461"/>
    <mergeCell ref="A1458:M1458"/>
    <mergeCell ref="B1459:D1459"/>
    <mergeCell ref="F1459:G1459"/>
    <mergeCell ref="H1459:I1459"/>
    <mergeCell ref="J1459:K1459"/>
    <mergeCell ref="L1459:M1459"/>
    <mergeCell ref="A1456:C1456"/>
    <mergeCell ref="D1456:G1456"/>
    <mergeCell ref="H1456:I1456"/>
    <mergeCell ref="J1456:M1456"/>
    <mergeCell ref="A1457:C1457"/>
    <mergeCell ref="D1457:G1457"/>
    <mergeCell ref="H1457:I1457"/>
    <mergeCell ref="J1457:M1457"/>
    <mergeCell ref="B1464:D1464"/>
    <mergeCell ref="F1464:G1464"/>
    <mergeCell ref="H1464:I1464"/>
    <mergeCell ref="J1464:K1464"/>
    <mergeCell ref="L1464:M1464"/>
    <mergeCell ref="B1465:D1465"/>
    <mergeCell ref="F1465:G1465"/>
    <mergeCell ref="H1465:I1465"/>
    <mergeCell ref="J1465:K1465"/>
    <mergeCell ref="L1465:M1465"/>
    <mergeCell ref="B1462:D1462"/>
    <mergeCell ref="F1462:G1462"/>
    <mergeCell ref="H1462:I1462"/>
    <mergeCell ref="J1462:K1462"/>
    <mergeCell ref="L1462:M1462"/>
    <mergeCell ref="B1463:D1463"/>
    <mergeCell ref="F1463:G1463"/>
    <mergeCell ref="H1463:I1463"/>
    <mergeCell ref="J1463:K1463"/>
    <mergeCell ref="L1463:M1463"/>
    <mergeCell ref="B1468:D1468"/>
    <mergeCell ref="F1468:G1468"/>
    <mergeCell ref="H1468:I1468"/>
    <mergeCell ref="J1468:K1468"/>
    <mergeCell ref="L1468:M1468"/>
    <mergeCell ref="B1469:D1469"/>
    <mergeCell ref="F1469:G1469"/>
    <mergeCell ref="H1469:I1469"/>
    <mergeCell ref="J1469:K1469"/>
    <mergeCell ref="L1469:M1469"/>
    <mergeCell ref="B1466:D1466"/>
    <mergeCell ref="F1466:G1466"/>
    <mergeCell ref="H1466:I1466"/>
    <mergeCell ref="J1466:K1466"/>
    <mergeCell ref="L1466:M1466"/>
    <mergeCell ref="B1467:D1467"/>
    <mergeCell ref="F1467:G1467"/>
    <mergeCell ref="H1467:I1467"/>
    <mergeCell ref="J1467:K1467"/>
    <mergeCell ref="L1467:M1467"/>
    <mergeCell ref="A1472:D1472"/>
    <mergeCell ref="F1472:G1472"/>
    <mergeCell ref="H1472:I1472"/>
    <mergeCell ref="J1472:K1472"/>
    <mergeCell ref="L1472:M1472"/>
    <mergeCell ref="B1473:D1473"/>
    <mergeCell ref="F1473:G1473"/>
    <mergeCell ref="H1473:I1473"/>
    <mergeCell ref="J1473:K1473"/>
    <mergeCell ref="L1473:M1473"/>
    <mergeCell ref="H1470:I1470"/>
    <mergeCell ref="J1470:K1470"/>
    <mergeCell ref="L1470:M1470"/>
    <mergeCell ref="A1471:D1471"/>
    <mergeCell ref="F1471:G1471"/>
    <mergeCell ref="H1471:I1471"/>
    <mergeCell ref="J1471:K1471"/>
    <mergeCell ref="L1471:M1471"/>
    <mergeCell ref="A1478:M1478"/>
    <mergeCell ref="A1479:D1479"/>
    <mergeCell ref="F1479:G1479"/>
    <mergeCell ref="H1479:I1479"/>
    <mergeCell ref="J1479:K1479"/>
    <mergeCell ref="L1479:M1479"/>
    <mergeCell ref="B1476:D1476"/>
    <mergeCell ref="F1476:G1476"/>
    <mergeCell ref="H1476:I1476"/>
    <mergeCell ref="J1476:K1476"/>
    <mergeCell ref="L1476:M1476"/>
    <mergeCell ref="B1477:D1477"/>
    <mergeCell ref="F1477:G1477"/>
    <mergeCell ref="H1477:I1477"/>
    <mergeCell ref="J1477:K1477"/>
    <mergeCell ref="L1477:M1477"/>
    <mergeCell ref="B1474:D1474"/>
    <mergeCell ref="F1474:G1474"/>
    <mergeCell ref="H1474:I1474"/>
    <mergeCell ref="J1474:K1474"/>
    <mergeCell ref="L1474:M1474"/>
    <mergeCell ref="B1475:D1475"/>
    <mergeCell ref="F1475:G1475"/>
    <mergeCell ref="H1475:I1475"/>
    <mergeCell ref="J1475:K1475"/>
    <mergeCell ref="L1475:M1475"/>
    <mergeCell ref="A1484:D1484"/>
    <mergeCell ref="F1484:G1484"/>
    <mergeCell ref="H1484:I1484"/>
    <mergeCell ref="J1484:K1484"/>
    <mergeCell ref="L1484:M1484"/>
    <mergeCell ref="A1485:D1485"/>
    <mergeCell ref="F1485:G1485"/>
    <mergeCell ref="H1485:I1485"/>
    <mergeCell ref="J1485:K1485"/>
    <mergeCell ref="L1485:M1485"/>
    <mergeCell ref="B1482:D1482"/>
    <mergeCell ref="F1482:G1482"/>
    <mergeCell ref="H1482:I1482"/>
    <mergeCell ref="J1482:K1482"/>
    <mergeCell ref="L1482:M1482"/>
    <mergeCell ref="A1483:M1483"/>
    <mergeCell ref="B1480:D1480"/>
    <mergeCell ref="F1480:G1480"/>
    <mergeCell ref="H1480:I1480"/>
    <mergeCell ref="J1480:K1480"/>
    <mergeCell ref="L1480:M1480"/>
    <mergeCell ref="B1481:D1481"/>
    <mergeCell ref="F1481:G1481"/>
    <mergeCell ref="H1481:I1481"/>
    <mergeCell ref="J1481:K1481"/>
    <mergeCell ref="L1481:M1481"/>
    <mergeCell ref="A1490:M1490"/>
    <mergeCell ref="B1496:M1496"/>
    <mergeCell ref="A1497:M1497"/>
    <mergeCell ref="A1498:M1498"/>
    <mergeCell ref="A1499:M1499"/>
    <mergeCell ref="A1500:M1500"/>
    <mergeCell ref="A1488:D1488"/>
    <mergeCell ref="F1488:G1488"/>
    <mergeCell ref="H1488:I1488"/>
    <mergeCell ref="J1488:K1488"/>
    <mergeCell ref="L1488:M1488"/>
    <mergeCell ref="A1489:M1489"/>
    <mergeCell ref="A1486:D1486"/>
    <mergeCell ref="F1486:G1486"/>
    <mergeCell ref="H1486:I1486"/>
    <mergeCell ref="J1486:K1486"/>
    <mergeCell ref="L1486:M1486"/>
    <mergeCell ref="A1487:D1487"/>
    <mergeCell ref="F1487:G1487"/>
    <mergeCell ref="H1487:I1487"/>
    <mergeCell ref="J1487:K1487"/>
    <mergeCell ref="L1487:M1487"/>
    <mergeCell ref="A1511:B1511"/>
    <mergeCell ref="C1511:G1511"/>
    <mergeCell ref="H1511:I1511"/>
    <mergeCell ref="J1511:M1511"/>
    <mergeCell ref="A1512:B1512"/>
    <mergeCell ref="A1513:C1513"/>
    <mergeCell ref="D1513:G1513"/>
    <mergeCell ref="H1513:I1513"/>
    <mergeCell ref="J1513:M1513"/>
    <mergeCell ref="A1507:M1507"/>
    <mergeCell ref="A1509:B1509"/>
    <mergeCell ref="A1510:B1510"/>
    <mergeCell ref="H1510:I1510"/>
    <mergeCell ref="J1510:K1510"/>
    <mergeCell ref="L1510:M1510"/>
    <mergeCell ref="A1501:L1501"/>
    <mergeCell ref="A1502:K1502"/>
    <mergeCell ref="A1503:M1503"/>
    <mergeCell ref="A1504:M1504"/>
    <mergeCell ref="A1505:M1505"/>
    <mergeCell ref="A1506:M1506"/>
    <mergeCell ref="B1518:D1518"/>
    <mergeCell ref="F1518:G1518"/>
    <mergeCell ref="H1518:I1518"/>
    <mergeCell ref="J1518:K1518"/>
    <mergeCell ref="L1518:M1518"/>
    <mergeCell ref="B1519:D1519"/>
    <mergeCell ref="F1519:G1519"/>
    <mergeCell ref="H1519:I1519"/>
    <mergeCell ref="J1519:K1519"/>
    <mergeCell ref="L1519:M1519"/>
    <mergeCell ref="A1516:M1516"/>
    <mergeCell ref="B1517:D1517"/>
    <mergeCell ref="F1517:G1517"/>
    <mergeCell ref="H1517:I1517"/>
    <mergeCell ref="J1517:K1517"/>
    <mergeCell ref="L1517:M1517"/>
    <mergeCell ref="A1514:C1514"/>
    <mergeCell ref="D1514:G1514"/>
    <mergeCell ref="H1514:I1514"/>
    <mergeCell ref="J1514:M1514"/>
    <mergeCell ref="A1515:C1515"/>
    <mergeCell ref="D1515:G1515"/>
    <mergeCell ref="H1515:I1515"/>
    <mergeCell ref="J1515:M1515"/>
    <mergeCell ref="B1522:D1522"/>
    <mergeCell ref="F1522:G1522"/>
    <mergeCell ref="H1522:I1522"/>
    <mergeCell ref="J1522:K1522"/>
    <mergeCell ref="L1522:M1522"/>
    <mergeCell ref="B1523:D1523"/>
    <mergeCell ref="F1523:G1523"/>
    <mergeCell ref="H1523:I1523"/>
    <mergeCell ref="J1523:K1523"/>
    <mergeCell ref="L1523:M1523"/>
    <mergeCell ref="B1520:D1520"/>
    <mergeCell ref="F1520:G1520"/>
    <mergeCell ref="H1520:I1520"/>
    <mergeCell ref="J1520:K1520"/>
    <mergeCell ref="L1520:M1520"/>
    <mergeCell ref="B1521:D1521"/>
    <mergeCell ref="F1521:G1521"/>
    <mergeCell ref="H1521:I1521"/>
    <mergeCell ref="J1521:K1521"/>
    <mergeCell ref="L1521:M1521"/>
    <mergeCell ref="B1526:D1526"/>
    <mergeCell ref="F1526:G1526"/>
    <mergeCell ref="H1526:I1526"/>
    <mergeCell ref="J1526:K1526"/>
    <mergeCell ref="L1526:M1526"/>
    <mergeCell ref="B1527:D1527"/>
    <mergeCell ref="F1527:G1527"/>
    <mergeCell ref="H1527:I1527"/>
    <mergeCell ref="J1527:K1527"/>
    <mergeCell ref="L1527:M1527"/>
    <mergeCell ref="B1524:D1524"/>
    <mergeCell ref="F1524:G1524"/>
    <mergeCell ref="H1524:I1524"/>
    <mergeCell ref="J1524:K1524"/>
    <mergeCell ref="L1524:M1524"/>
    <mergeCell ref="B1525:D1525"/>
    <mergeCell ref="F1525:G1525"/>
    <mergeCell ref="H1525:I1525"/>
    <mergeCell ref="J1525:K1525"/>
    <mergeCell ref="L1525:M1525"/>
    <mergeCell ref="A1530:D1530"/>
    <mergeCell ref="F1530:G1530"/>
    <mergeCell ref="H1530:I1530"/>
    <mergeCell ref="J1530:K1530"/>
    <mergeCell ref="L1530:M1530"/>
    <mergeCell ref="B1531:D1531"/>
    <mergeCell ref="F1531:G1531"/>
    <mergeCell ref="H1531:I1531"/>
    <mergeCell ref="J1531:K1531"/>
    <mergeCell ref="L1531:M1531"/>
    <mergeCell ref="H1528:I1528"/>
    <mergeCell ref="J1528:K1528"/>
    <mergeCell ref="L1528:M1528"/>
    <mergeCell ref="A1529:D1529"/>
    <mergeCell ref="F1529:G1529"/>
    <mergeCell ref="H1529:I1529"/>
    <mergeCell ref="J1529:K1529"/>
    <mergeCell ref="L1529:M1529"/>
    <mergeCell ref="A1536:M1536"/>
    <mergeCell ref="A1537:D1537"/>
    <mergeCell ref="F1537:G1537"/>
    <mergeCell ref="H1537:I1537"/>
    <mergeCell ref="J1537:K1537"/>
    <mergeCell ref="L1537:M1537"/>
    <mergeCell ref="B1534:D1534"/>
    <mergeCell ref="F1534:G1534"/>
    <mergeCell ref="H1534:I1534"/>
    <mergeCell ref="J1534:K1534"/>
    <mergeCell ref="L1534:M1534"/>
    <mergeCell ref="B1535:D1535"/>
    <mergeCell ref="F1535:G1535"/>
    <mergeCell ref="H1535:I1535"/>
    <mergeCell ref="J1535:K1535"/>
    <mergeCell ref="L1535:M1535"/>
    <mergeCell ref="B1532:D1532"/>
    <mergeCell ref="F1532:G1532"/>
    <mergeCell ref="H1532:I1532"/>
    <mergeCell ref="J1532:K1532"/>
    <mergeCell ref="L1532:M1532"/>
    <mergeCell ref="B1533:D1533"/>
    <mergeCell ref="F1533:G1533"/>
    <mergeCell ref="H1533:I1533"/>
    <mergeCell ref="J1533:K1533"/>
    <mergeCell ref="L1533:M1533"/>
    <mergeCell ref="A1542:D1542"/>
    <mergeCell ref="F1542:G1542"/>
    <mergeCell ref="H1542:I1542"/>
    <mergeCell ref="J1542:K1542"/>
    <mergeCell ref="L1542:M1542"/>
    <mergeCell ref="A1543:D1543"/>
    <mergeCell ref="F1543:G1543"/>
    <mergeCell ref="H1543:I1543"/>
    <mergeCell ref="J1543:K1543"/>
    <mergeCell ref="L1543:M1543"/>
    <mergeCell ref="B1540:D1540"/>
    <mergeCell ref="F1540:G1540"/>
    <mergeCell ref="H1540:I1540"/>
    <mergeCell ref="J1540:K1540"/>
    <mergeCell ref="L1540:M1540"/>
    <mergeCell ref="A1541:M1541"/>
    <mergeCell ref="B1538:D1538"/>
    <mergeCell ref="F1538:G1538"/>
    <mergeCell ref="H1538:I1538"/>
    <mergeCell ref="J1538:K1538"/>
    <mergeCell ref="L1538:M1538"/>
    <mergeCell ref="B1539:D1539"/>
    <mergeCell ref="F1539:G1539"/>
    <mergeCell ref="H1539:I1539"/>
    <mergeCell ref="J1539:K1539"/>
    <mergeCell ref="L1539:M1539"/>
    <mergeCell ref="A1548:M1548"/>
    <mergeCell ref="B1554:M1554"/>
    <mergeCell ref="A1555:M1555"/>
    <mergeCell ref="A1556:M1556"/>
    <mergeCell ref="A1557:M1557"/>
    <mergeCell ref="A1558:M1558"/>
    <mergeCell ref="A1546:D1546"/>
    <mergeCell ref="F1546:G1546"/>
    <mergeCell ref="H1546:I1546"/>
    <mergeCell ref="J1546:K1546"/>
    <mergeCell ref="L1546:M1546"/>
    <mergeCell ref="A1547:M1547"/>
    <mergeCell ref="A1544:D1544"/>
    <mergeCell ref="F1544:G1544"/>
    <mergeCell ref="H1544:I1544"/>
    <mergeCell ref="J1544:K1544"/>
    <mergeCell ref="L1544:M1544"/>
    <mergeCell ref="A1545:D1545"/>
    <mergeCell ref="F1545:G1545"/>
    <mergeCell ref="H1545:I1545"/>
    <mergeCell ref="J1545:K1545"/>
    <mergeCell ref="L1545:M1545"/>
    <mergeCell ref="A1569:B1569"/>
    <mergeCell ref="C1569:G1569"/>
    <mergeCell ref="H1569:I1569"/>
    <mergeCell ref="J1569:M1569"/>
    <mergeCell ref="A1570:B1570"/>
    <mergeCell ref="A1571:C1571"/>
    <mergeCell ref="D1571:G1571"/>
    <mergeCell ref="H1571:I1571"/>
    <mergeCell ref="J1571:M1571"/>
    <mergeCell ref="A1565:M1565"/>
    <mergeCell ref="A1567:B1567"/>
    <mergeCell ref="A1568:B1568"/>
    <mergeCell ref="H1568:I1568"/>
    <mergeCell ref="J1568:K1568"/>
    <mergeCell ref="L1568:M1568"/>
    <mergeCell ref="A1559:L1559"/>
    <mergeCell ref="A1560:K1560"/>
    <mergeCell ref="A1561:M1561"/>
    <mergeCell ref="A1562:M1562"/>
    <mergeCell ref="A1563:M1563"/>
    <mergeCell ref="A1564:M1564"/>
    <mergeCell ref="B1576:D1576"/>
    <mergeCell ref="F1576:G1576"/>
    <mergeCell ref="H1576:I1576"/>
    <mergeCell ref="J1576:K1576"/>
    <mergeCell ref="L1576:M1576"/>
    <mergeCell ref="B1577:D1577"/>
    <mergeCell ref="F1577:G1577"/>
    <mergeCell ref="H1577:I1577"/>
    <mergeCell ref="J1577:K1577"/>
    <mergeCell ref="L1577:M1577"/>
    <mergeCell ref="A1574:M1574"/>
    <mergeCell ref="B1575:D1575"/>
    <mergeCell ref="F1575:G1575"/>
    <mergeCell ref="H1575:I1575"/>
    <mergeCell ref="J1575:K1575"/>
    <mergeCell ref="L1575:M1575"/>
    <mergeCell ref="A1572:C1572"/>
    <mergeCell ref="D1572:G1572"/>
    <mergeCell ref="H1572:I1572"/>
    <mergeCell ref="J1572:M1572"/>
    <mergeCell ref="A1573:C1573"/>
    <mergeCell ref="D1573:G1573"/>
    <mergeCell ref="H1573:I1573"/>
    <mergeCell ref="J1573:M1573"/>
    <mergeCell ref="B1580:D1580"/>
    <mergeCell ref="F1580:G1580"/>
    <mergeCell ref="H1580:I1580"/>
    <mergeCell ref="J1580:K1580"/>
    <mergeCell ref="L1580:M1580"/>
    <mergeCell ref="B1581:D1581"/>
    <mergeCell ref="F1581:G1581"/>
    <mergeCell ref="H1581:I1581"/>
    <mergeCell ref="J1581:K1581"/>
    <mergeCell ref="L1581:M1581"/>
    <mergeCell ref="B1578:D1578"/>
    <mergeCell ref="F1578:G1578"/>
    <mergeCell ref="H1578:I1578"/>
    <mergeCell ref="J1578:K1578"/>
    <mergeCell ref="L1578:M1578"/>
    <mergeCell ref="B1579:D1579"/>
    <mergeCell ref="F1579:G1579"/>
    <mergeCell ref="H1579:I1579"/>
    <mergeCell ref="J1579:K1579"/>
    <mergeCell ref="L1579:M1579"/>
    <mergeCell ref="B1584:D1584"/>
    <mergeCell ref="F1584:G1584"/>
    <mergeCell ref="H1584:I1584"/>
    <mergeCell ref="J1584:K1584"/>
    <mergeCell ref="L1584:M1584"/>
    <mergeCell ref="B1585:D1585"/>
    <mergeCell ref="F1585:G1585"/>
    <mergeCell ref="H1585:I1585"/>
    <mergeCell ref="J1585:K1585"/>
    <mergeCell ref="L1585:M1585"/>
    <mergeCell ref="B1582:D1582"/>
    <mergeCell ref="F1582:G1582"/>
    <mergeCell ref="H1582:I1582"/>
    <mergeCell ref="J1582:K1582"/>
    <mergeCell ref="L1582:M1582"/>
    <mergeCell ref="B1583:D1583"/>
    <mergeCell ref="F1583:G1583"/>
    <mergeCell ref="H1583:I1583"/>
    <mergeCell ref="J1583:K1583"/>
    <mergeCell ref="L1583:M1583"/>
    <mergeCell ref="A1588:D1588"/>
    <mergeCell ref="F1588:G1588"/>
    <mergeCell ref="H1588:I1588"/>
    <mergeCell ref="J1588:K1588"/>
    <mergeCell ref="L1588:M1588"/>
    <mergeCell ref="B1589:D1589"/>
    <mergeCell ref="F1589:G1589"/>
    <mergeCell ref="H1589:I1589"/>
    <mergeCell ref="J1589:K1589"/>
    <mergeCell ref="L1589:M1589"/>
    <mergeCell ref="H1586:I1586"/>
    <mergeCell ref="J1586:K1586"/>
    <mergeCell ref="L1586:M1586"/>
    <mergeCell ref="A1587:D1587"/>
    <mergeCell ref="F1587:G1587"/>
    <mergeCell ref="H1587:I1587"/>
    <mergeCell ref="J1587:K1587"/>
    <mergeCell ref="L1587:M1587"/>
    <mergeCell ref="A1594:M1594"/>
    <mergeCell ref="A1595:D1595"/>
    <mergeCell ref="F1595:G1595"/>
    <mergeCell ref="H1595:I1595"/>
    <mergeCell ref="J1595:K1595"/>
    <mergeCell ref="L1595:M1595"/>
    <mergeCell ref="B1592:D1592"/>
    <mergeCell ref="F1592:G1592"/>
    <mergeCell ref="H1592:I1592"/>
    <mergeCell ref="J1592:K1592"/>
    <mergeCell ref="L1592:M1592"/>
    <mergeCell ref="B1593:D1593"/>
    <mergeCell ref="F1593:G1593"/>
    <mergeCell ref="H1593:I1593"/>
    <mergeCell ref="J1593:K1593"/>
    <mergeCell ref="L1593:M1593"/>
    <mergeCell ref="B1590:D1590"/>
    <mergeCell ref="F1590:G1590"/>
    <mergeCell ref="H1590:I1590"/>
    <mergeCell ref="J1590:K1590"/>
    <mergeCell ref="L1590:M1590"/>
    <mergeCell ref="B1591:D1591"/>
    <mergeCell ref="F1591:G1591"/>
    <mergeCell ref="H1591:I1591"/>
    <mergeCell ref="J1591:K1591"/>
    <mergeCell ref="L1591:M1591"/>
    <mergeCell ref="A1600:D1600"/>
    <mergeCell ref="F1600:G1600"/>
    <mergeCell ref="H1600:I1600"/>
    <mergeCell ref="J1600:K1600"/>
    <mergeCell ref="L1600:M1600"/>
    <mergeCell ref="A1601:D1601"/>
    <mergeCell ref="F1601:G1601"/>
    <mergeCell ref="H1601:I1601"/>
    <mergeCell ref="J1601:K1601"/>
    <mergeCell ref="L1601:M1601"/>
    <mergeCell ref="B1598:D1598"/>
    <mergeCell ref="F1598:G1598"/>
    <mergeCell ref="H1598:I1598"/>
    <mergeCell ref="J1598:K1598"/>
    <mergeCell ref="L1598:M1598"/>
    <mergeCell ref="A1599:M1599"/>
    <mergeCell ref="B1596:D1596"/>
    <mergeCell ref="F1596:G1596"/>
    <mergeCell ref="H1596:I1596"/>
    <mergeCell ref="J1596:K1596"/>
    <mergeCell ref="L1596:M1596"/>
    <mergeCell ref="B1597:D1597"/>
    <mergeCell ref="F1597:G1597"/>
    <mergeCell ref="H1597:I1597"/>
    <mergeCell ref="J1597:K1597"/>
    <mergeCell ref="L1597:M1597"/>
    <mergeCell ref="A1606:M1606"/>
    <mergeCell ref="B1612:M1612"/>
    <mergeCell ref="A1613:M1613"/>
    <mergeCell ref="A1614:M1614"/>
    <mergeCell ref="A1615:M1615"/>
    <mergeCell ref="A1616:M1616"/>
    <mergeCell ref="A1604:D1604"/>
    <mergeCell ref="F1604:G1604"/>
    <mergeCell ref="H1604:I1604"/>
    <mergeCell ref="J1604:K1604"/>
    <mergeCell ref="L1604:M1604"/>
    <mergeCell ref="A1605:M1605"/>
    <mergeCell ref="A1602:D1602"/>
    <mergeCell ref="F1602:G1602"/>
    <mergeCell ref="H1602:I1602"/>
    <mergeCell ref="J1602:K1602"/>
    <mergeCell ref="L1602:M1602"/>
    <mergeCell ref="A1603:D1603"/>
    <mergeCell ref="F1603:G1603"/>
    <mergeCell ref="H1603:I1603"/>
    <mergeCell ref="J1603:K1603"/>
    <mergeCell ref="L1603:M1603"/>
    <mergeCell ref="A1627:B1627"/>
    <mergeCell ref="C1627:G1627"/>
    <mergeCell ref="H1627:I1627"/>
    <mergeCell ref="J1627:M1627"/>
    <mergeCell ref="A1628:B1628"/>
    <mergeCell ref="A1629:C1629"/>
    <mergeCell ref="D1629:G1629"/>
    <mergeCell ref="H1629:I1629"/>
    <mergeCell ref="J1629:M1629"/>
    <mergeCell ref="A1623:M1623"/>
    <mergeCell ref="A1625:B1625"/>
    <mergeCell ref="A1626:B1626"/>
    <mergeCell ref="H1626:I1626"/>
    <mergeCell ref="J1626:K1626"/>
    <mergeCell ref="L1626:M1626"/>
    <mergeCell ref="A1617:L1617"/>
    <mergeCell ref="A1618:K1618"/>
    <mergeCell ref="A1619:M1619"/>
    <mergeCell ref="A1620:M1620"/>
    <mergeCell ref="A1621:M1621"/>
    <mergeCell ref="A1622:M1622"/>
    <mergeCell ref="B1634:D1634"/>
    <mergeCell ref="F1634:G1634"/>
    <mergeCell ref="H1634:I1634"/>
    <mergeCell ref="J1634:K1634"/>
    <mergeCell ref="L1634:M1634"/>
    <mergeCell ref="B1635:D1635"/>
    <mergeCell ref="F1635:G1635"/>
    <mergeCell ref="H1635:I1635"/>
    <mergeCell ref="J1635:K1635"/>
    <mergeCell ref="L1635:M1635"/>
    <mergeCell ref="A1632:M1632"/>
    <mergeCell ref="B1633:D1633"/>
    <mergeCell ref="F1633:G1633"/>
    <mergeCell ref="H1633:I1633"/>
    <mergeCell ref="J1633:K1633"/>
    <mergeCell ref="L1633:M1633"/>
    <mergeCell ref="A1630:C1630"/>
    <mergeCell ref="D1630:G1630"/>
    <mergeCell ref="H1630:I1630"/>
    <mergeCell ref="J1630:M1630"/>
    <mergeCell ref="A1631:C1631"/>
    <mergeCell ref="D1631:G1631"/>
    <mergeCell ref="H1631:I1631"/>
    <mergeCell ref="J1631:M1631"/>
    <mergeCell ref="B1638:D1638"/>
    <mergeCell ref="F1638:G1638"/>
    <mergeCell ref="H1638:I1638"/>
    <mergeCell ref="J1638:K1638"/>
    <mergeCell ref="L1638:M1638"/>
    <mergeCell ref="B1639:D1639"/>
    <mergeCell ref="F1639:G1639"/>
    <mergeCell ref="H1639:I1639"/>
    <mergeCell ref="J1639:K1639"/>
    <mergeCell ref="L1639:M1639"/>
    <mergeCell ref="B1636:D1636"/>
    <mergeCell ref="F1636:G1636"/>
    <mergeCell ref="H1636:I1636"/>
    <mergeCell ref="J1636:K1636"/>
    <mergeCell ref="L1636:M1636"/>
    <mergeCell ref="B1637:D1637"/>
    <mergeCell ref="F1637:G1637"/>
    <mergeCell ref="H1637:I1637"/>
    <mergeCell ref="J1637:K1637"/>
    <mergeCell ref="L1637:M1637"/>
    <mergeCell ref="B1642:D1642"/>
    <mergeCell ref="F1642:G1642"/>
    <mergeCell ref="H1642:I1642"/>
    <mergeCell ref="J1642:K1642"/>
    <mergeCell ref="L1642:M1642"/>
    <mergeCell ref="B1643:D1643"/>
    <mergeCell ref="F1643:G1643"/>
    <mergeCell ref="H1643:I1643"/>
    <mergeCell ref="J1643:K1643"/>
    <mergeCell ref="L1643:M1643"/>
    <mergeCell ref="B1640:D1640"/>
    <mergeCell ref="F1640:G1640"/>
    <mergeCell ref="H1640:I1640"/>
    <mergeCell ref="J1640:K1640"/>
    <mergeCell ref="L1640:M1640"/>
    <mergeCell ref="B1641:D1641"/>
    <mergeCell ref="F1641:G1641"/>
    <mergeCell ref="H1641:I1641"/>
    <mergeCell ref="J1641:K1641"/>
    <mergeCell ref="L1641:M1641"/>
    <mergeCell ref="A1646:D1646"/>
    <mergeCell ref="F1646:G1646"/>
    <mergeCell ref="H1646:I1646"/>
    <mergeCell ref="J1646:K1646"/>
    <mergeCell ref="L1646:M1646"/>
    <mergeCell ref="B1647:D1647"/>
    <mergeCell ref="F1647:G1647"/>
    <mergeCell ref="H1647:I1647"/>
    <mergeCell ref="J1647:K1647"/>
    <mergeCell ref="L1647:M1647"/>
    <mergeCell ref="H1644:I1644"/>
    <mergeCell ref="J1644:K1644"/>
    <mergeCell ref="L1644:M1644"/>
    <mergeCell ref="A1645:D1645"/>
    <mergeCell ref="F1645:G1645"/>
    <mergeCell ref="H1645:I1645"/>
    <mergeCell ref="J1645:K1645"/>
    <mergeCell ref="L1645:M1645"/>
    <mergeCell ref="A1652:M1652"/>
    <mergeCell ref="A1653:D1653"/>
    <mergeCell ref="F1653:G1653"/>
    <mergeCell ref="H1653:I1653"/>
    <mergeCell ref="J1653:K1653"/>
    <mergeCell ref="L1653:M1653"/>
    <mergeCell ref="B1650:D1650"/>
    <mergeCell ref="F1650:G1650"/>
    <mergeCell ref="H1650:I1650"/>
    <mergeCell ref="J1650:K1650"/>
    <mergeCell ref="L1650:M1650"/>
    <mergeCell ref="B1651:D1651"/>
    <mergeCell ref="F1651:G1651"/>
    <mergeCell ref="H1651:I1651"/>
    <mergeCell ref="J1651:K1651"/>
    <mergeCell ref="L1651:M1651"/>
    <mergeCell ref="B1648:D1648"/>
    <mergeCell ref="F1648:G1648"/>
    <mergeCell ref="H1648:I1648"/>
    <mergeCell ref="J1648:K1648"/>
    <mergeCell ref="L1648:M1648"/>
    <mergeCell ref="B1649:D1649"/>
    <mergeCell ref="F1649:G1649"/>
    <mergeCell ref="H1649:I1649"/>
    <mergeCell ref="J1649:K1649"/>
    <mergeCell ref="L1649:M1649"/>
    <mergeCell ref="A1658:D1658"/>
    <mergeCell ref="F1658:G1658"/>
    <mergeCell ref="H1658:I1658"/>
    <mergeCell ref="J1658:K1658"/>
    <mergeCell ref="L1658:M1658"/>
    <mergeCell ref="A1659:D1659"/>
    <mergeCell ref="F1659:G1659"/>
    <mergeCell ref="H1659:I1659"/>
    <mergeCell ref="J1659:K1659"/>
    <mergeCell ref="L1659:M1659"/>
    <mergeCell ref="B1656:D1656"/>
    <mergeCell ref="F1656:G1656"/>
    <mergeCell ref="H1656:I1656"/>
    <mergeCell ref="J1656:K1656"/>
    <mergeCell ref="L1656:M1656"/>
    <mergeCell ref="A1657:M1657"/>
    <mergeCell ref="B1654:D1654"/>
    <mergeCell ref="F1654:G1654"/>
    <mergeCell ref="H1654:I1654"/>
    <mergeCell ref="J1654:K1654"/>
    <mergeCell ref="L1654:M1654"/>
    <mergeCell ref="B1655:D1655"/>
    <mergeCell ref="F1655:G1655"/>
    <mergeCell ref="H1655:I1655"/>
    <mergeCell ref="J1655:K1655"/>
    <mergeCell ref="L1655:M1655"/>
    <mergeCell ref="A1664:M1664"/>
    <mergeCell ref="B1670:M1670"/>
    <mergeCell ref="A1671:M1671"/>
    <mergeCell ref="A1672:M1672"/>
    <mergeCell ref="A1673:M1673"/>
    <mergeCell ref="A1674:M1674"/>
    <mergeCell ref="A1662:D1662"/>
    <mergeCell ref="F1662:G1662"/>
    <mergeCell ref="H1662:I1662"/>
    <mergeCell ref="J1662:K1662"/>
    <mergeCell ref="L1662:M1662"/>
    <mergeCell ref="A1663:M1663"/>
    <mergeCell ref="A1660:D1660"/>
    <mergeCell ref="F1660:G1660"/>
    <mergeCell ref="H1660:I1660"/>
    <mergeCell ref="J1660:K1660"/>
    <mergeCell ref="L1660:M1660"/>
    <mergeCell ref="A1661:D1661"/>
    <mergeCell ref="F1661:G1661"/>
    <mergeCell ref="H1661:I1661"/>
    <mergeCell ref="J1661:K1661"/>
    <mergeCell ref="L1661:M1661"/>
    <mergeCell ref="A1685:B1685"/>
    <mergeCell ref="C1685:G1685"/>
    <mergeCell ref="H1685:I1685"/>
    <mergeCell ref="J1685:M1685"/>
    <mergeCell ref="A1686:B1686"/>
    <mergeCell ref="A1687:C1687"/>
    <mergeCell ref="D1687:G1687"/>
    <mergeCell ref="H1687:I1687"/>
    <mergeCell ref="J1687:M1687"/>
    <mergeCell ref="A1681:M1681"/>
    <mergeCell ref="A1683:B1683"/>
    <mergeCell ref="A1684:B1684"/>
    <mergeCell ref="H1684:I1684"/>
    <mergeCell ref="J1684:K1684"/>
    <mergeCell ref="L1684:M1684"/>
    <mergeCell ref="A1675:L1675"/>
    <mergeCell ref="A1676:K1676"/>
    <mergeCell ref="A1677:M1677"/>
    <mergeCell ref="A1678:M1678"/>
    <mergeCell ref="A1679:M1679"/>
    <mergeCell ref="A1680:M1680"/>
    <mergeCell ref="B1692:D1692"/>
    <mergeCell ref="F1692:G1692"/>
    <mergeCell ref="H1692:I1692"/>
    <mergeCell ref="J1692:K1692"/>
    <mergeCell ref="L1692:M1692"/>
    <mergeCell ref="B1693:D1693"/>
    <mergeCell ref="F1693:G1693"/>
    <mergeCell ref="H1693:I1693"/>
    <mergeCell ref="J1693:K1693"/>
    <mergeCell ref="L1693:M1693"/>
    <mergeCell ref="A1690:M1690"/>
    <mergeCell ref="B1691:D1691"/>
    <mergeCell ref="F1691:G1691"/>
    <mergeCell ref="H1691:I1691"/>
    <mergeCell ref="J1691:K1691"/>
    <mergeCell ref="L1691:M1691"/>
    <mergeCell ref="A1688:C1688"/>
    <mergeCell ref="D1688:G1688"/>
    <mergeCell ref="H1688:I1688"/>
    <mergeCell ref="J1688:M1688"/>
    <mergeCell ref="A1689:C1689"/>
    <mergeCell ref="D1689:G1689"/>
    <mergeCell ref="H1689:I1689"/>
    <mergeCell ref="J1689:M1689"/>
    <mergeCell ref="B1696:D1696"/>
    <mergeCell ref="F1696:G1696"/>
    <mergeCell ref="H1696:I1696"/>
    <mergeCell ref="J1696:K1696"/>
    <mergeCell ref="L1696:M1696"/>
    <mergeCell ref="B1697:D1697"/>
    <mergeCell ref="F1697:G1697"/>
    <mergeCell ref="H1697:I1697"/>
    <mergeCell ref="J1697:K1697"/>
    <mergeCell ref="L1697:M1697"/>
    <mergeCell ref="B1694:D1694"/>
    <mergeCell ref="F1694:G1694"/>
    <mergeCell ref="H1694:I1694"/>
    <mergeCell ref="J1694:K1694"/>
    <mergeCell ref="L1694:M1694"/>
    <mergeCell ref="B1695:D1695"/>
    <mergeCell ref="F1695:G1695"/>
    <mergeCell ref="H1695:I1695"/>
    <mergeCell ref="J1695:K1695"/>
    <mergeCell ref="L1695:M1695"/>
    <mergeCell ref="B1700:D1700"/>
    <mergeCell ref="F1700:G1700"/>
    <mergeCell ref="H1700:I1700"/>
    <mergeCell ref="J1700:K1700"/>
    <mergeCell ref="L1700:M1700"/>
    <mergeCell ref="B1701:D1701"/>
    <mergeCell ref="F1701:G1701"/>
    <mergeCell ref="H1701:I1701"/>
    <mergeCell ref="J1701:K1701"/>
    <mergeCell ref="L1701:M1701"/>
    <mergeCell ref="B1698:D1698"/>
    <mergeCell ref="F1698:G1698"/>
    <mergeCell ref="H1698:I1698"/>
    <mergeCell ref="J1698:K1698"/>
    <mergeCell ref="L1698:M1698"/>
    <mergeCell ref="B1699:D1699"/>
    <mergeCell ref="F1699:G1699"/>
    <mergeCell ref="H1699:I1699"/>
    <mergeCell ref="J1699:K1699"/>
    <mergeCell ref="L1699:M1699"/>
    <mergeCell ref="A1704:D1704"/>
    <mergeCell ref="F1704:G1704"/>
    <mergeCell ref="H1704:I1704"/>
    <mergeCell ref="J1704:K1704"/>
    <mergeCell ref="L1704:M1704"/>
    <mergeCell ref="B1705:D1705"/>
    <mergeCell ref="F1705:G1705"/>
    <mergeCell ref="H1705:I1705"/>
    <mergeCell ref="J1705:K1705"/>
    <mergeCell ref="L1705:M1705"/>
    <mergeCell ref="H1702:I1702"/>
    <mergeCell ref="J1702:K1702"/>
    <mergeCell ref="L1702:M1702"/>
    <mergeCell ref="A1703:D1703"/>
    <mergeCell ref="F1703:G1703"/>
    <mergeCell ref="H1703:I1703"/>
    <mergeCell ref="J1703:K1703"/>
    <mergeCell ref="L1703:M1703"/>
    <mergeCell ref="A1710:M1710"/>
    <mergeCell ref="A1711:D1711"/>
    <mergeCell ref="F1711:G1711"/>
    <mergeCell ref="H1711:I1711"/>
    <mergeCell ref="J1711:K1711"/>
    <mergeCell ref="L1711:M1711"/>
    <mergeCell ref="B1708:D1708"/>
    <mergeCell ref="F1708:G1708"/>
    <mergeCell ref="H1708:I1708"/>
    <mergeCell ref="J1708:K1708"/>
    <mergeCell ref="L1708:M1708"/>
    <mergeCell ref="B1709:D1709"/>
    <mergeCell ref="F1709:G1709"/>
    <mergeCell ref="H1709:I1709"/>
    <mergeCell ref="J1709:K1709"/>
    <mergeCell ref="L1709:M1709"/>
    <mergeCell ref="B1706:D1706"/>
    <mergeCell ref="F1706:G1706"/>
    <mergeCell ref="H1706:I1706"/>
    <mergeCell ref="J1706:K1706"/>
    <mergeCell ref="L1706:M1706"/>
    <mergeCell ref="B1707:D1707"/>
    <mergeCell ref="F1707:G1707"/>
    <mergeCell ref="H1707:I1707"/>
    <mergeCell ref="J1707:K1707"/>
    <mergeCell ref="L1707:M1707"/>
    <mergeCell ref="A1716:D1716"/>
    <mergeCell ref="F1716:G1716"/>
    <mergeCell ref="H1716:I1716"/>
    <mergeCell ref="J1716:K1716"/>
    <mergeCell ref="L1716:M1716"/>
    <mergeCell ref="A1717:D1717"/>
    <mergeCell ref="F1717:G1717"/>
    <mergeCell ref="H1717:I1717"/>
    <mergeCell ref="J1717:K1717"/>
    <mergeCell ref="L1717:M1717"/>
    <mergeCell ref="B1714:D1714"/>
    <mergeCell ref="F1714:G1714"/>
    <mergeCell ref="H1714:I1714"/>
    <mergeCell ref="J1714:K1714"/>
    <mergeCell ref="L1714:M1714"/>
    <mergeCell ref="A1715:M1715"/>
    <mergeCell ref="B1712:D1712"/>
    <mergeCell ref="F1712:G1712"/>
    <mergeCell ref="H1712:I1712"/>
    <mergeCell ref="J1712:K1712"/>
    <mergeCell ref="L1712:M1712"/>
    <mergeCell ref="B1713:D1713"/>
    <mergeCell ref="F1713:G1713"/>
    <mergeCell ref="H1713:I1713"/>
    <mergeCell ref="J1713:K1713"/>
    <mergeCell ref="L1713:M1713"/>
    <mergeCell ref="A1722:M1722"/>
    <mergeCell ref="B1728:M1728"/>
    <mergeCell ref="A1729:M1729"/>
    <mergeCell ref="A1730:M1730"/>
    <mergeCell ref="A1731:M1731"/>
    <mergeCell ref="A1732:M1732"/>
    <mergeCell ref="A1720:D1720"/>
    <mergeCell ref="F1720:G1720"/>
    <mergeCell ref="H1720:I1720"/>
    <mergeCell ref="J1720:K1720"/>
    <mergeCell ref="L1720:M1720"/>
    <mergeCell ref="A1721:M1721"/>
    <mergeCell ref="A1718:D1718"/>
    <mergeCell ref="F1718:G1718"/>
    <mergeCell ref="H1718:I1718"/>
    <mergeCell ref="J1718:K1718"/>
    <mergeCell ref="L1718:M1718"/>
    <mergeCell ref="A1719:D1719"/>
    <mergeCell ref="F1719:G1719"/>
    <mergeCell ref="H1719:I1719"/>
    <mergeCell ref="J1719:K1719"/>
    <mergeCell ref="L1719:M1719"/>
    <mergeCell ref="A1743:B1743"/>
    <mergeCell ref="C1743:G1743"/>
    <mergeCell ref="H1743:I1743"/>
    <mergeCell ref="J1743:M1743"/>
    <mergeCell ref="A1744:B1744"/>
    <mergeCell ref="A1745:C1745"/>
    <mergeCell ref="D1745:G1745"/>
    <mergeCell ref="H1745:I1745"/>
    <mergeCell ref="J1745:M1745"/>
    <mergeCell ref="A1739:M1739"/>
    <mergeCell ref="A1741:B1741"/>
    <mergeCell ref="A1742:B1742"/>
    <mergeCell ref="H1742:I1742"/>
    <mergeCell ref="J1742:K1742"/>
    <mergeCell ref="L1742:M1742"/>
    <mergeCell ref="A1733:L1733"/>
    <mergeCell ref="A1734:K1734"/>
    <mergeCell ref="A1735:M1735"/>
    <mergeCell ref="A1736:M1736"/>
    <mergeCell ref="A1737:M1737"/>
    <mergeCell ref="A1738:M1738"/>
    <mergeCell ref="B1750:D1750"/>
    <mergeCell ref="F1750:G1750"/>
    <mergeCell ref="H1750:I1750"/>
    <mergeCell ref="J1750:K1750"/>
    <mergeCell ref="L1750:M1750"/>
    <mergeCell ref="B1751:D1751"/>
    <mergeCell ref="F1751:G1751"/>
    <mergeCell ref="H1751:I1751"/>
    <mergeCell ref="J1751:K1751"/>
    <mergeCell ref="L1751:M1751"/>
    <mergeCell ref="A1748:M1748"/>
    <mergeCell ref="B1749:D1749"/>
    <mergeCell ref="F1749:G1749"/>
    <mergeCell ref="H1749:I1749"/>
    <mergeCell ref="J1749:K1749"/>
    <mergeCell ref="L1749:M1749"/>
    <mergeCell ref="A1746:C1746"/>
    <mergeCell ref="D1746:G1746"/>
    <mergeCell ref="H1746:I1746"/>
    <mergeCell ref="J1746:M1746"/>
    <mergeCell ref="A1747:C1747"/>
    <mergeCell ref="D1747:G1747"/>
    <mergeCell ref="H1747:I1747"/>
    <mergeCell ref="J1747:M1747"/>
    <mergeCell ref="B1754:D1754"/>
    <mergeCell ref="F1754:G1754"/>
    <mergeCell ref="H1754:I1754"/>
    <mergeCell ref="J1754:K1754"/>
    <mergeCell ref="L1754:M1754"/>
    <mergeCell ref="B1755:D1755"/>
    <mergeCell ref="F1755:G1755"/>
    <mergeCell ref="H1755:I1755"/>
    <mergeCell ref="J1755:K1755"/>
    <mergeCell ref="L1755:M1755"/>
    <mergeCell ref="B1752:D1752"/>
    <mergeCell ref="F1752:G1752"/>
    <mergeCell ref="H1752:I1752"/>
    <mergeCell ref="J1752:K1752"/>
    <mergeCell ref="L1752:M1752"/>
    <mergeCell ref="B1753:D1753"/>
    <mergeCell ref="F1753:G1753"/>
    <mergeCell ref="H1753:I1753"/>
    <mergeCell ref="J1753:K1753"/>
    <mergeCell ref="L1753:M1753"/>
    <mergeCell ref="B1758:D1758"/>
    <mergeCell ref="F1758:G1758"/>
    <mergeCell ref="H1758:I1758"/>
    <mergeCell ref="J1758:K1758"/>
    <mergeCell ref="L1758:M1758"/>
    <mergeCell ref="B1759:D1759"/>
    <mergeCell ref="F1759:G1759"/>
    <mergeCell ref="H1759:I1759"/>
    <mergeCell ref="J1759:K1759"/>
    <mergeCell ref="L1759:M1759"/>
    <mergeCell ref="B1756:D1756"/>
    <mergeCell ref="F1756:G1756"/>
    <mergeCell ref="H1756:I1756"/>
    <mergeCell ref="J1756:K1756"/>
    <mergeCell ref="L1756:M1756"/>
    <mergeCell ref="B1757:D1757"/>
    <mergeCell ref="F1757:G1757"/>
    <mergeCell ref="H1757:I1757"/>
    <mergeCell ref="J1757:K1757"/>
    <mergeCell ref="L1757:M1757"/>
    <mergeCell ref="A1762:D1762"/>
    <mergeCell ref="F1762:G1762"/>
    <mergeCell ref="H1762:I1762"/>
    <mergeCell ref="J1762:K1762"/>
    <mergeCell ref="L1762:M1762"/>
    <mergeCell ref="B1763:D1763"/>
    <mergeCell ref="F1763:G1763"/>
    <mergeCell ref="H1763:I1763"/>
    <mergeCell ref="J1763:K1763"/>
    <mergeCell ref="L1763:M1763"/>
    <mergeCell ref="H1760:I1760"/>
    <mergeCell ref="J1760:K1760"/>
    <mergeCell ref="L1760:M1760"/>
    <mergeCell ref="A1761:D1761"/>
    <mergeCell ref="F1761:G1761"/>
    <mergeCell ref="H1761:I1761"/>
    <mergeCell ref="J1761:K1761"/>
    <mergeCell ref="L1761:M1761"/>
    <mergeCell ref="B1766:D1766"/>
    <mergeCell ref="F1766:G1766"/>
    <mergeCell ref="H1766:I1766"/>
    <mergeCell ref="J1766:K1766"/>
    <mergeCell ref="L1766:M1766"/>
    <mergeCell ref="B1767:D1767"/>
    <mergeCell ref="F1767:G1767"/>
    <mergeCell ref="H1767:I1767"/>
    <mergeCell ref="J1767:K1767"/>
    <mergeCell ref="L1767:M1767"/>
    <mergeCell ref="B1764:D1764"/>
    <mergeCell ref="F1764:G1764"/>
    <mergeCell ref="H1764:I1764"/>
    <mergeCell ref="J1764:K1764"/>
    <mergeCell ref="L1764:M1764"/>
    <mergeCell ref="B1765:D1765"/>
    <mergeCell ref="F1765:G1765"/>
    <mergeCell ref="H1765:I1765"/>
    <mergeCell ref="J1765:K1765"/>
    <mergeCell ref="L1765:M1765"/>
    <mergeCell ref="B1772:D1772"/>
    <mergeCell ref="F1772:G1772"/>
    <mergeCell ref="H1772:I1772"/>
    <mergeCell ref="J1772:K1772"/>
    <mergeCell ref="L1772:M1772"/>
    <mergeCell ref="A1773:M1773"/>
    <mergeCell ref="B1770:D1770"/>
    <mergeCell ref="F1770:G1770"/>
    <mergeCell ref="H1770:I1770"/>
    <mergeCell ref="J1770:K1770"/>
    <mergeCell ref="L1770:M1770"/>
    <mergeCell ref="B1771:D1771"/>
    <mergeCell ref="F1771:G1771"/>
    <mergeCell ref="H1771:I1771"/>
    <mergeCell ref="J1771:K1771"/>
    <mergeCell ref="L1771:M1771"/>
    <mergeCell ref="A1768:M1768"/>
    <mergeCell ref="A1769:D1769"/>
    <mergeCell ref="F1769:G1769"/>
    <mergeCell ref="H1769:I1769"/>
    <mergeCell ref="J1769:K1769"/>
    <mergeCell ref="L1769:M1769"/>
    <mergeCell ref="A1776:D1776"/>
    <mergeCell ref="F1776:G1776"/>
    <mergeCell ref="H1776:I1776"/>
    <mergeCell ref="J1776:K1776"/>
    <mergeCell ref="L1776:M1776"/>
    <mergeCell ref="A1777:D1777"/>
    <mergeCell ref="F1777:G1777"/>
    <mergeCell ref="H1777:I1777"/>
    <mergeCell ref="J1777:K1777"/>
    <mergeCell ref="L1777:M1777"/>
    <mergeCell ref="A1774:D1774"/>
    <mergeCell ref="F1774:G1774"/>
    <mergeCell ref="H1774:I1774"/>
    <mergeCell ref="J1774:K1774"/>
    <mergeCell ref="L1774:M1774"/>
    <mergeCell ref="A1775:D1775"/>
    <mergeCell ref="F1775:G1775"/>
    <mergeCell ref="H1775:I1775"/>
    <mergeCell ref="J1775:K1775"/>
    <mergeCell ref="L1775:M1775"/>
    <mergeCell ref="A1797:M1797"/>
    <mergeCell ref="A1791:L1791"/>
    <mergeCell ref="A1792:K1792"/>
    <mergeCell ref="A1793:M1793"/>
    <mergeCell ref="A1794:M1794"/>
    <mergeCell ref="A1795:M1795"/>
    <mergeCell ref="A1796:M1796"/>
    <mergeCell ref="A1780:M1780"/>
    <mergeCell ref="B1786:M1786"/>
    <mergeCell ref="A1787:M1787"/>
    <mergeCell ref="A1788:M1788"/>
    <mergeCell ref="A1789:M1789"/>
    <mergeCell ref="A1790:M1790"/>
    <mergeCell ref="A1778:D1778"/>
    <mergeCell ref="F1778:G1778"/>
    <mergeCell ref="H1778:I1778"/>
    <mergeCell ref="J1778:K1778"/>
    <mergeCell ref="L1778:M1778"/>
    <mergeCell ref="A1779:M1779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75" orientation="portrait" horizontalDpi="1200" verticalDpi="1200" r:id="rId1"/>
  <headerFooter>
    <oddHeader>&amp;C&amp;"標楷體,標準"&amp;16公共工程
施工日誌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98"/>
  <sheetViews>
    <sheetView view="pageBreakPreview" topLeftCell="B254" zoomScaleSheetLayoutView="100" workbookViewId="0">
      <selection activeCell="J181" sqref="J181:M181"/>
    </sheetView>
  </sheetViews>
  <sheetFormatPr defaultRowHeight="16.5"/>
  <cols>
    <col min="15" max="15" width="9.25" bestFit="1" customWidth="1"/>
    <col min="16" max="16" width="12.375" customWidth="1"/>
    <col min="17" max="17" width="13" customWidth="1"/>
    <col min="19" max="19" width="13.5" customWidth="1"/>
  </cols>
  <sheetData>
    <row r="1" spans="1:20" s="2" customFormat="1" ht="35.1" customHeight="1">
      <c r="A1" s="126" t="s">
        <v>0</v>
      </c>
      <c r="B1" s="126"/>
      <c r="C1" s="1">
        <f>'12月'!C1741+1</f>
        <v>36</v>
      </c>
      <c r="G1" s="3"/>
    </row>
    <row r="2" spans="1:20" s="2" customFormat="1" ht="35.1" customHeight="1">
      <c r="A2" s="126" t="s">
        <v>1</v>
      </c>
      <c r="B2" s="126"/>
      <c r="C2" s="2" t="s">
        <v>2</v>
      </c>
      <c r="E2" s="2" t="s">
        <v>3</v>
      </c>
      <c r="G2" s="3"/>
      <c r="H2" s="127" t="s">
        <v>4</v>
      </c>
      <c r="I2" s="128"/>
      <c r="J2" s="129">
        <f>'12月'!J1742:K1742+1</f>
        <v>46023</v>
      </c>
      <c r="K2" s="130"/>
      <c r="L2" s="131">
        <f>J2</f>
        <v>46023</v>
      </c>
      <c r="M2" s="132"/>
    </row>
    <row r="3" spans="1:20" s="2" customFormat="1" ht="30" customHeight="1">
      <c r="A3" s="72" t="s">
        <v>5</v>
      </c>
      <c r="B3" s="114"/>
      <c r="C3" s="119" t="s">
        <v>83</v>
      </c>
      <c r="D3" s="119"/>
      <c r="E3" s="119"/>
      <c r="F3" s="119"/>
      <c r="G3" s="119"/>
      <c r="H3" s="54" t="s">
        <v>6</v>
      </c>
      <c r="I3" s="59"/>
      <c r="J3" s="120"/>
      <c r="K3" s="120"/>
      <c r="L3" s="120"/>
      <c r="M3" s="120"/>
    </row>
    <row r="4" spans="1:20" s="1" customFormat="1" ht="30" customHeight="1">
      <c r="A4" s="72" t="s">
        <v>7</v>
      </c>
      <c r="B4" s="114"/>
      <c r="C4" s="4">
        <v>50</v>
      </c>
      <c r="D4" s="4" t="s">
        <v>8</v>
      </c>
      <c r="E4" s="4" t="s">
        <v>9</v>
      </c>
      <c r="F4" s="4">
        <f>'12月'!F1744+1</f>
        <v>36</v>
      </c>
      <c r="G4" s="5" t="s">
        <v>8</v>
      </c>
      <c r="H4" s="4" t="s">
        <v>10</v>
      </c>
      <c r="I4" s="4">
        <f>C4-F4+L4</f>
        <v>14</v>
      </c>
      <c r="J4" s="4" t="s">
        <v>11</v>
      </c>
      <c r="K4" s="6" t="s">
        <v>12</v>
      </c>
      <c r="L4" s="7">
        <f>'12月'!L1744</f>
        <v>0</v>
      </c>
      <c r="M4" s="4" t="s">
        <v>8</v>
      </c>
    </row>
    <row r="5" spans="1:20" s="2" customFormat="1" ht="30" customHeight="1">
      <c r="A5" s="72" t="s">
        <v>13</v>
      </c>
      <c r="B5" s="75"/>
      <c r="C5" s="75"/>
      <c r="D5" s="121">
        <f>'12月'!D1745:G1745</f>
        <v>45988</v>
      </c>
      <c r="E5" s="122"/>
      <c r="F5" s="122"/>
      <c r="G5" s="123"/>
      <c r="H5" s="124" t="s">
        <v>14</v>
      </c>
      <c r="I5" s="125"/>
      <c r="J5" s="121">
        <f>'12月'!J1745:M1745</f>
        <v>46037</v>
      </c>
      <c r="K5" s="122"/>
      <c r="L5" s="122"/>
      <c r="M5" s="123"/>
    </row>
    <row r="6" spans="1:20" s="2" customFormat="1" ht="30" customHeight="1">
      <c r="A6" s="72" t="s">
        <v>15</v>
      </c>
      <c r="B6" s="114"/>
      <c r="C6" s="114"/>
      <c r="D6" s="72">
        <v>0.82599999999999996</v>
      </c>
      <c r="E6" s="72"/>
      <c r="F6" s="72"/>
      <c r="G6" s="72"/>
      <c r="H6" s="64" t="s">
        <v>16</v>
      </c>
      <c r="I6" s="115"/>
      <c r="J6" s="116">
        <f>P22</f>
        <v>0</v>
      </c>
      <c r="K6" s="117"/>
      <c r="L6" s="117"/>
      <c r="M6" s="118"/>
    </row>
    <row r="7" spans="1:20" s="2" customFormat="1" ht="30" customHeight="1">
      <c r="A7" s="72" t="s">
        <v>17</v>
      </c>
      <c r="B7" s="114"/>
      <c r="C7" s="114"/>
      <c r="D7" s="72">
        <f>D6+'12月'!D1747:G1747</f>
        <v>26.265000000000001</v>
      </c>
      <c r="E7" s="72"/>
      <c r="F7" s="72"/>
      <c r="G7" s="72"/>
      <c r="H7" s="64" t="s">
        <v>18</v>
      </c>
      <c r="I7" s="115"/>
      <c r="J7" s="116">
        <f>J6+'12月'!J1747:M1747</f>
        <v>25.469999999999992</v>
      </c>
      <c r="K7" s="117"/>
      <c r="L7" s="117"/>
      <c r="M7" s="118"/>
    </row>
    <row r="8" spans="1:20" s="2" customFormat="1" ht="30" customHeight="1">
      <c r="A8" s="111" t="s">
        <v>19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</row>
    <row r="9" spans="1:20" s="2" customFormat="1" ht="30" customHeight="1">
      <c r="A9" s="8" t="s">
        <v>20</v>
      </c>
      <c r="B9" s="72" t="s">
        <v>21</v>
      </c>
      <c r="C9" s="72"/>
      <c r="D9" s="72"/>
      <c r="E9" s="4" t="s">
        <v>22</v>
      </c>
      <c r="F9" s="54" t="s">
        <v>23</v>
      </c>
      <c r="G9" s="59"/>
      <c r="H9" s="72" t="s">
        <v>24</v>
      </c>
      <c r="I9" s="72"/>
      <c r="J9" s="72" t="s">
        <v>25</v>
      </c>
      <c r="K9" s="72"/>
      <c r="L9" s="72" t="s">
        <v>26</v>
      </c>
      <c r="M9" s="72"/>
      <c r="O9" s="1" t="s">
        <v>27</v>
      </c>
      <c r="P9" s="1" t="s">
        <v>28</v>
      </c>
      <c r="T9" s="2" t="s">
        <v>29</v>
      </c>
    </row>
    <row r="10" spans="1:20" s="2" customFormat="1" ht="24.95" customHeight="1">
      <c r="A10" s="9" t="s">
        <v>30</v>
      </c>
      <c r="B10" s="110" t="s">
        <v>31</v>
      </c>
      <c r="C10" s="110"/>
      <c r="D10" s="110"/>
      <c r="E10" s="4"/>
      <c r="F10" s="54"/>
      <c r="G10" s="59"/>
      <c r="H10" s="72"/>
      <c r="I10" s="72"/>
      <c r="J10" s="72"/>
      <c r="K10" s="72"/>
      <c r="L10" s="72"/>
      <c r="M10" s="72"/>
    </row>
    <row r="11" spans="1:20" ht="24.95" customHeight="1">
      <c r="A11" s="10">
        <v>1</v>
      </c>
      <c r="B11" s="66" t="s">
        <v>91</v>
      </c>
      <c r="C11" s="67" t="s">
        <v>91</v>
      </c>
      <c r="D11" s="68" t="s">
        <v>91</v>
      </c>
      <c r="E11" s="4" t="s">
        <v>32</v>
      </c>
      <c r="F11" s="69">
        <v>1</v>
      </c>
      <c r="G11" s="70"/>
      <c r="H11" s="69"/>
      <c r="I11" s="70"/>
      <c r="J11" s="71">
        <f>H11+'12月'!J1751:K1751</f>
        <v>1</v>
      </c>
      <c r="K11" s="71"/>
      <c r="L11" s="72"/>
      <c r="M11" s="72"/>
      <c r="O11" s="11">
        <v>4000</v>
      </c>
      <c r="P11" s="11">
        <f>ROUND(H11*O11,0)</f>
        <v>0</v>
      </c>
      <c r="Q11" s="12"/>
      <c r="S11" s="11">
        <f>ROUND(J11*O11,0)</f>
        <v>4000</v>
      </c>
      <c r="T11" s="13">
        <f>F11-J11</f>
        <v>0</v>
      </c>
    </row>
    <row r="12" spans="1:20" ht="24.95" customHeight="1">
      <c r="A12" s="10">
        <v>2</v>
      </c>
      <c r="B12" s="66" t="s">
        <v>92</v>
      </c>
      <c r="C12" s="67" t="s">
        <v>92</v>
      </c>
      <c r="D12" s="68" t="s">
        <v>92</v>
      </c>
      <c r="E12" s="4" t="s">
        <v>32</v>
      </c>
      <c r="F12" s="69">
        <v>1</v>
      </c>
      <c r="G12" s="70"/>
      <c r="H12" s="69"/>
      <c r="I12" s="70"/>
      <c r="J12" s="71">
        <f>H12+'12月'!J1752:K1752</f>
        <v>1</v>
      </c>
      <c r="K12" s="71"/>
      <c r="L12" s="72"/>
      <c r="M12" s="72"/>
      <c r="O12" s="11">
        <v>14334</v>
      </c>
      <c r="P12" s="11">
        <f t="shared" ref="P12:P19" si="0">ROUND(H12*O12,0)</f>
        <v>0</v>
      </c>
      <c r="Q12" s="12"/>
      <c r="S12" s="11">
        <f t="shared" ref="S12:S19" si="1">ROUND(J12*O12,0)</f>
        <v>14334</v>
      </c>
      <c r="T12" s="13">
        <f t="shared" ref="T12:T19" si="2">F12-J12</f>
        <v>0</v>
      </c>
    </row>
    <row r="13" spans="1:20" ht="24.95" customHeight="1">
      <c r="A13" s="10">
        <v>3</v>
      </c>
      <c r="B13" s="66" t="s">
        <v>84</v>
      </c>
      <c r="C13" s="67" t="s">
        <v>84</v>
      </c>
      <c r="D13" s="68" t="s">
        <v>84</v>
      </c>
      <c r="E13" s="4" t="s">
        <v>33</v>
      </c>
      <c r="F13" s="69">
        <v>1</v>
      </c>
      <c r="G13" s="70"/>
      <c r="H13" s="69"/>
      <c r="I13" s="70"/>
      <c r="J13" s="71">
        <f>H13+'12月'!J1753:K1753</f>
        <v>0.5</v>
      </c>
      <c r="K13" s="71"/>
      <c r="L13" s="72"/>
      <c r="M13" s="72"/>
      <c r="O13" s="11">
        <v>7000</v>
      </c>
      <c r="P13" s="11">
        <f t="shared" si="0"/>
        <v>0</v>
      </c>
      <c r="Q13" s="12"/>
      <c r="S13" s="11">
        <f t="shared" si="1"/>
        <v>3500</v>
      </c>
      <c r="T13" s="13">
        <f t="shared" si="2"/>
        <v>0.5</v>
      </c>
    </row>
    <row r="14" spans="1:20" ht="24.95" customHeight="1">
      <c r="A14" s="10">
        <v>4</v>
      </c>
      <c r="B14" s="66" t="s">
        <v>85</v>
      </c>
      <c r="C14" s="67" t="s">
        <v>85</v>
      </c>
      <c r="D14" s="68" t="s">
        <v>85</v>
      </c>
      <c r="E14" s="4" t="s">
        <v>34</v>
      </c>
      <c r="F14" s="69">
        <v>1</v>
      </c>
      <c r="G14" s="70"/>
      <c r="H14" s="69"/>
      <c r="I14" s="70"/>
      <c r="J14" s="71">
        <f>H14+'12月'!J1754:K1754</f>
        <v>1</v>
      </c>
      <c r="K14" s="71"/>
      <c r="L14" s="72"/>
      <c r="M14" s="72"/>
      <c r="O14" s="11">
        <v>74000</v>
      </c>
      <c r="P14" s="11">
        <f t="shared" si="0"/>
        <v>0</v>
      </c>
      <c r="Q14" s="12"/>
      <c r="S14" s="11">
        <f t="shared" si="1"/>
        <v>74000</v>
      </c>
      <c r="T14" s="13">
        <f t="shared" si="2"/>
        <v>0</v>
      </c>
    </row>
    <row r="15" spans="1:20" ht="24.95" customHeight="1">
      <c r="A15" s="10">
        <v>5</v>
      </c>
      <c r="B15" s="66" t="s">
        <v>86</v>
      </c>
      <c r="C15" s="67" t="s">
        <v>86</v>
      </c>
      <c r="D15" s="68" t="s">
        <v>86</v>
      </c>
      <c r="E15" s="4" t="s">
        <v>93</v>
      </c>
      <c r="F15" s="69">
        <v>396</v>
      </c>
      <c r="G15" s="70"/>
      <c r="H15" s="69"/>
      <c r="I15" s="70"/>
      <c r="J15" s="71">
        <f>H15+'12月'!J1755:K1755</f>
        <v>350</v>
      </c>
      <c r="K15" s="71"/>
      <c r="L15" s="72"/>
      <c r="M15" s="72"/>
      <c r="O15" s="11">
        <v>200</v>
      </c>
      <c r="P15" s="11">
        <f t="shared" si="0"/>
        <v>0</v>
      </c>
      <c r="Q15" s="12"/>
      <c r="S15" s="11">
        <f t="shared" si="1"/>
        <v>70000</v>
      </c>
      <c r="T15" s="13">
        <f t="shared" si="2"/>
        <v>46</v>
      </c>
    </row>
    <row r="16" spans="1:20" ht="24.95" customHeight="1">
      <c r="A16" s="10">
        <v>6</v>
      </c>
      <c r="B16" s="66" t="s">
        <v>97</v>
      </c>
      <c r="C16" s="67" t="s">
        <v>87</v>
      </c>
      <c r="D16" s="68" t="s">
        <v>87</v>
      </c>
      <c r="E16" s="4" t="s">
        <v>35</v>
      </c>
      <c r="F16" s="69">
        <v>80</v>
      </c>
      <c r="G16" s="70">
        <v>183.6</v>
      </c>
      <c r="H16" s="69"/>
      <c r="I16" s="70"/>
      <c r="J16" s="71">
        <f>H16+'12月'!J1756:K1756</f>
        <v>78</v>
      </c>
      <c r="K16" s="71"/>
      <c r="L16" s="54"/>
      <c r="M16" s="59"/>
      <c r="O16" s="11">
        <v>1463</v>
      </c>
      <c r="P16" s="11">
        <f t="shared" si="0"/>
        <v>0</v>
      </c>
      <c r="S16" s="11">
        <f t="shared" si="1"/>
        <v>114114</v>
      </c>
      <c r="T16" s="13">
        <f t="shared" si="2"/>
        <v>2</v>
      </c>
    </row>
    <row r="17" spans="1:20" ht="24.95" customHeight="1">
      <c r="A17" s="10">
        <v>7</v>
      </c>
      <c r="B17" s="66" t="s">
        <v>88</v>
      </c>
      <c r="C17" s="67" t="s">
        <v>88</v>
      </c>
      <c r="D17" s="68" t="s">
        <v>88</v>
      </c>
      <c r="E17" s="4" t="s">
        <v>94</v>
      </c>
      <c r="F17" s="69">
        <v>126</v>
      </c>
      <c r="G17" s="70">
        <v>19</v>
      </c>
      <c r="H17" s="69"/>
      <c r="I17" s="70"/>
      <c r="J17" s="71">
        <f>H17+'12月'!J1757:K1757</f>
        <v>0</v>
      </c>
      <c r="K17" s="71"/>
      <c r="L17" s="54"/>
      <c r="M17" s="59"/>
      <c r="O17" s="11">
        <v>6350</v>
      </c>
      <c r="P17" s="11">
        <f t="shared" si="0"/>
        <v>0</v>
      </c>
      <c r="S17" s="11">
        <f t="shared" si="1"/>
        <v>0</v>
      </c>
      <c r="T17" s="13">
        <f t="shared" si="2"/>
        <v>126</v>
      </c>
    </row>
    <row r="18" spans="1:20" ht="24.95" customHeight="1">
      <c r="A18" s="10">
        <v>8</v>
      </c>
      <c r="B18" s="66" t="s">
        <v>89</v>
      </c>
      <c r="C18" s="67" t="s">
        <v>89</v>
      </c>
      <c r="D18" s="68" t="s">
        <v>89</v>
      </c>
      <c r="E18" s="4" t="s">
        <v>95</v>
      </c>
      <c r="F18" s="69">
        <v>1</v>
      </c>
      <c r="G18" s="70">
        <v>1192</v>
      </c>
      <c r="H18" s="69"/>
      <c r="I18" s="70"/>
      <c r="J18" s="71">
        <f>H18+'12月'!J1758:K1758</f>
        <v>0.3</v>
      </c>
      <c r="K18" s="71"/>
      <c r="L18" s="54"/>
      <c r="M18" s="59"/>
      <c r="O18" s="11">
        <v>47600</v>
      </c>
      <c r="P18" s="11">
        <f t="shared" si="0"/>
        <v>0</v>
      </c>
      <c r="S18" s="11">
        <f t="shared" si="1"/>
        <v>14280</v>
      </c>
      <c r="T18" s="13">
        <f t="shared" si="2"/>
        <v>0.7</v>
      </c>
    </row>
    <row r="19" spans="1:20" ht="24.95" customHeight="1">
      <c r="A19" s="10">
        <v>9</v>
      </c>
      <c r="B19" s="66" t="s">
        <v>90</v>
      </c>
      <c r="C19" s="67" t="s">
        <v>90</v>
      </c>
      <c r="D19" s="68" t="s">
        <v>90</v>
      </c>
      <c r="E19" s="4" t="s">
        <v>96</v>
      </c>
      <c r="F19" s="69">
        <v>1</v>
      </c>
      <c r="G19" s="70">
        <v>1261</v>
      </c>
      <c r="H19" s="69"/>
      <c r="I19" s="70"/>
      <c r="J19" s="71">
        <f>H19+'12月'!J1759:K1759</f>
        <v>0</v>
      </c>
      <c r="K19" s="71"/>
      <c r="L19" s="54"/>
      <c r="M19" s="59"/>
      <c r="O19" s="11">
        <v>10000</v>
      </c>
      <c r="P19" s="11">
        <f t="shared" si="0"/>
        <v>0</v>
      </c>
      <c r="S19" s="11">
        <f t="shared" si="1"/>
        <v>0</v>
      </c>
      <c r="T19" s="13">
        <f t="shared" si="2"/>
        <v>1</v>
      </c>
    </row>
    <row r="20" spans="1:20" ht="24.95" customHeight="1">
      <c r="A20" s="14"/>
      <c r="B20" s="15"/>
      <c r="C20" s="16"/>
      <c r="D20" s="17"/>
      <c r="E20" s="4"/>
      <c r="F20" s="18"/>
      <c r="G20" s="19"/>
      <c r="H20" s="105"/>
      <c r="I20" s="106"/>
      <c r="J20" s="105"/>
      <c r="K20" s="106"/>
      <c r="L20" s="54"/>
      <c r="M20" s="59"/>
      <c r="N20" s="20"/>
      <c r="P20" s="21" t="s">
        <v>37</v>
      </c>
      <c r="Q20" s="22">
        <f>SUM(P11:P19)</f>
        <v>0</v>
      </c>
      <c r="R20" s="23"/>
      <c r="S20" s="24">
        <f>SUM(S11:S19)</f>
        <v>294228</v>
      </c>
      <c r="T20" s="13"/>
    </row>
    <row r="21" spans="1:20" ht="24.95" customHeight="1">
      <c r="A21" s="107"/>
      <c r="B21" s="108"/>
      <c r="C21" s="108"/>
      <c r="D21" s="109"/>
      <c r="E21" s="4"/>
      <c r="F21" s="54"/>
      <c r="G21" s="59"/>
      <c r="H21" s="72"/>
      <c r="I21" s="72"/>
      <c r="J21" s="72"/>
      <c r="K21" s="72"/>
      <c r="L21" s="72"/>
      <c r="M21" s="72"/>
      <c r="O21" t="s">
        <v>38</v>
      </c>
      <c r="P21" s="24">
        <f>Q20</f>
        <v>0</v>
      </c>
      <c r="T21" s="13"/>
    </row>
    <row r="22" spans="1:20" ht="24.95" customHeight="1">
      <c r="A22" s="97"/>
      <c r="B22" s="98"/>
      <c r="C22" s="98"/>
      <c r="D22" s="99"/>
      <c r="E22" s="4"/>
      <c r="F22" s="54"/>
      <c r="G22" s="59"/>
      <c r="H22" s="72"/>
      <c r="I22" s="72"/>
      <c r="J22" s="72"/>
      <c r="K22" s="72"/>
      <c r="L22" s="72"/>
      <c r="M22" s="72"/>
      <c r="O22" t="s">
        <v>39</v>
      </c>
      <c r="P22" s="23">
        <f>ROUND(P21/1153274,4)*100</f>
        <v>0</v>
      </c>
      <c r="T22" s="13"/>
    </row>
    <row r="23" spans="1:20" ht="24.95" customHeight="1">
      <c r="A23" s="25"/>
      <c r="B23" s="63" t="s">
        <v>40</v>
      </c>
      <c r="C23" s="63"/>
      <c r="D23" s="59"/>
      <c r="E23" s="26"/>
      <c r="F23" s="100"/>
      <c r="G23" s="101"/>
      <c r="H23" s="100"/>
      <c r="I23" s="101"/>
      <c r="J23" s="102"/>
      <c r="K23" s="102"/>
      <c r="L23" s="103">
        <f>P21</f>
        <v>0</v>
      </c>
      <c r="M23" s="104"/>
      <c r="T23" s="13"/>
    </row>
    <row r="24" spans="1:20" ht="24.95" customHeight="1" thickBot="1">
      <c r="A24" s="27"/>
      <c r="B24" s="85" t="s">
        <v>41</v>
      </c>
      <c r="C24" s="85"/>
      <c r="D24" s="86"/>
      <c r="E24" s="28"/>
      <c r="F24" s="87"/>
      <c r="G24" s="88"/>
      <c r="H24" s="87"/>
      <c r="I24" s="88"/>
      <c r="J24" s="87"/>
      <c r="K24" s="88"/>
      <c r="L24" s="89">
        <f>L23+'12月'!L1764:M1764</f>
        <v>294228</v>
      </c>
      <c r="M24" s="90"/>
      <c r="T24" s="13"/>
    </row>
    <row r="25" spans="1:20" ht="24.95" customHeight="1">
      <c r="A25" s="29"/>
      <c r="B25" s="91" t="s">
        <v>42</v>
      </c>
      <c r="C25" s="91"/>
      <c r="D25" s="92"/>
      <c r="E25" s="30"/>
      <c r="F25" s="93"/>
      <c r="G25" s="94"/>
      <c r="H25" s="95"/>
      <c r="I25" s="95"/>
      <c r="J25" s="95"/>
      <c r="K25" s="95"/>
      <c r="L25" s="95"/>
      <c r="M25" s="96"/>
      <c r="T25" s="13"/>
    </row>
    <row r="26" spans="1:20" ht="24.95" customHeight="1">
      <c r="A26" s="31"/>
      <c r="B26" s="76" t="s">
        <v>43</v>
      </c>
      <c r="C26" s="76"/>
      <c r="D26" s="77"/>
      <c r="E26" s="4"/>
      <c r="F26" s="54"/>
      <c r="G26" s="59"/>
      <c r="H26" s="72"/>
      <c r="I26" s="72"/>
      <c r="J26" s="72"/>
      <c r="K26" s="72"/>
      <c r="L26" s="72"/>
      <c r="M26" s="78"/>
      <c r="T26" s="13"/>
    </row>
    <row r="27" spans="1:20" ht="24.95" customHeight="1" thickBot="1">
      <c r="A27" s="32"/>
      <c r="B27" s="79" t="s">
        <v>44</v>
      </c>
      <c r="C27" s="79"/>
      <c r="D27" s="80"/>
      <c r="E27" s="33"/>
      <c r="F27" s="81"/>
      <c r="G27" s="82"/>
      <c r="H27" s="83"/>
      <c r="I27" s="83"/>
      <c r="J27" s="83"/>
      <c r="K27" s="83"/>
      <c r="L27" s="83"/>
      <c r="M27" s="84"/>
      <c r="T27" s="13"/>
    </row>
    <row r="28" spans="1:20" ht="24.95" customHeight="1">
      <c r="A28" s="73" t="s">
        <v>45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T28" s="13"/>
    </row>
    <row r="29" spans="1:20" ht="24.95" customHeight="1">
      <c r="A29" s="72" t="s">
        <v>46</v>
      </c>
      <c r="B29" s="75"/>
      <c r="C29" s="75"/>
      <c r="D29" s="75"/>
      <c r="E29" s="4" t="s">
        <v>22</v>
      </c>
      <c r="F29" s="72" t="s">
        <v>47</v>
      </c>
      <c r="G29" s="72"/>
      <c r="H29" s="72" t="s">
        <v>48</v>
      </c>
      <c r="I29" s="72"/>
      <c r="J29" s="72" t="s">
        <v>49</v>
      </c>
      <c r="K29" s="72"/>
      <c r="L29" s="72" t="s">
        <v>50</v>
      </c>
      <c r="M29" s="72"/>
      <c r="T29" s="13"/>
    </row>
    <row r="30" spans="1:20" ht="24.95" customHeight="1">
      <c r="A30" s="10">
        <v>6</v>
      </c>
      <c r="B30" s="66" t="s">
        <v>97</v>
      </c>
      <c r="C30" s="67" t="s">
        <v>51</v>
      </c>
      <c r="D30" s="68" t="s">
        <v>51</v>
      </c>
      <c r="E30" s="4" t="s">
        <v>35</v>
      </c>
      <c r="F30" s="69">
        <v>80</v>
      </c>
      <c r="G30" s="70">
        <v>1261</v>
      </c>
      <c r="H30" s="71">
        <f>H16</f>
        <v>0</v>
      </c>
      <c r="I30" s="71"/>
      <c r="J30" s="71">
        <f>H30+'12月'!J1770:K1770</f>
        <v>78</v>
      </c>
      <c r="K30" s="71"/>
      <c r="L30" s="72"/>
      <c r="M30" s="72"/>
      <c r="T30" s="13"/>
    </row>
    <row r="31" spans="1:20" ht="24.95" customHeight="1">
      <c r="A31" s="10">
        <v>7</v>
      </c>
      <c r="B31" s="66" t="s">
        <v>88</v>
      </c>
      <c r="C31" s="67" t="s">
        <v>88</v>
      </c>
      <c r="D31" s="68" t="s">
        <v>88</v>
      </c>
      <c r="E31" s="4" t="s">
        <v>98</v>
      </c>
      <c r="F31" s="69">
        <v>126</v>
      </c>
      <c r="G31" s="70"/>
      <c r="H31" s="71">
        <f>H17</f>
        <v>0</v>
      </c>
      <c r="I31" s="71"/>
      <c r="J31" s="71">
        <f>H31+'12月'!J1771:K1771</f>
        <v>0</v>
      </c>
      <c r="K31" s="71"/>
      <c r="L31" s="72"/>
      <c r="M31" s="72"/>
      <c r="T31" s="13"/>
    </row>
    <row r="32" spans="1:20" ht="24.95" customHeight="1">
      <c r="A32" s="10">
        <v>8</v>
      </c>
      <c r="B32" s="66" t="s">
        <v>89</v>
      </c>
      <c r="C32" s="67" t="s">
        <v>89</v>
      </c>
      <c r="D32" s="68" t="s">
        <v>89</v>
      </c>
      <c r="E32" s="4" t="s">
        <v>36</v>
      </c>
      <c r="F32" s="69">
        <v>1</v>
      </c>
      <c r="G32" s="70"/>
      <c r="H32" s="71">
        <f>H18</f>
        <v>0</v>
      </c>
      <c r="I32" s="71"/>
      <c r="J32" s="71">
        <f>H32+'12月'!J1772:K1772</f>
        <v>0.3</v>
      </c>
      <c r="K32" s="71"/>
      <c r="L32" s="72"/>
      <c r="M32" s="72"/>
      <c r="T32" s="13"/>
    </row>
    <row r="33" spans="1:20" ht="24.95" customHeight="1">
      <c r="A33" s="51" t="s">
        <v>52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3"/>
      <c r="T33" s="13"/>
    </row>
    <row r="34" spans="1:20" ht="24.95" customHeight="1">
      <c r="A34" s="54" t="s">
        <v>53</v>
      </c>
      <c r="B34" s="63"/>
      <c r="C34" s="63"/>
      <c r="D34" s="59"/>
      <c r="E34" s="4" t="s">
        <v>54</v>
      </c>
      <c r="F34" s="54" t="s">
        <v>55</v>
      </c>
      <c r="G34" s="59"/>
      <c r="H34" s="54" t="s">
        <v>56</v>
      </c>
      <c r="I34" s="59"/>
      <c r="J34" s="54" t="s">
        <v>48</v>
      </c>
      <c r="K34" s="59"/>
      <c r="L34" s="64" t="s">
        <v>49</v>
      </c>
      <c r="M34" s="65"/>
      <c r="T34" s="13"/>
    </row>
    <row r="35" spans="1:20" ht="24.95" customHeight="1">
      <c r="A35" s="54" t="s">
        <v>57</v>
      </c>
      <c r="B35" s="55"/>
      <c r="C35" s="55"/>
      <c r="D35" s="56"/>
      <c r="E35" s="4"/>
      <c r="F35" s="57">
        <f>E35+'12月'!F1775:G1775</f>
        <v>28</v>
      </c>
      <c r="G35" s="58"/>
      <c r="H35" s="54" t="s">
        <v>58</v>
      </c>
      <c r="I35" s="59"/>
      <c r="J35" s="54"/>
      <c r="K35" s="59"/>
      <c r="L35" s="57">
        <f>J35+'12月'!L1775:M1775</f>
        <v>15</v>
      </c>
      <c r="M35" s="58"/>
      <c r="T35" s="13"/>
    </row>
    <row r="36" spans="1:20" ht="24.95" customHeight="1">
      <c r="A36" s="54" t="s">
        <v>59</v>
      </c>
      <c r="B36" s="55"/>
      <c r="C36" s="55"/>
      <c r="D36" s="56"/>
      <c r="E36" s="4"/>
      <c r="F36" s="57">
        <f>E36+'12月'!F1776:G1776</f>
        <v>0</v>
      </c>
      <c r="G36" s="58"/>
      <c r="H36" s="54" t="s">
        <v>60</v>
      </c>
      <c r="I36" s="59"/>
      <c r="J36" s="54"/>
      <c r="K36" s="59"/>
      <c r="L36" s="57">
        <f>J36+'12月'!L1776:M1776</f>
        <v>0</v>
      </c>
      <c r="M36" s="58"/>
      <c r="T36" s="13"/>
    </row>
    <row r="37" spans="1:20" ht="24.95" customHeight="1">
      <c r="A37" s="54" t="s">
        <v>61</v>
      </c>
      <c r="B37" s="55"/>
      <c r="C37" s="55"/>
      <c r="D37" s="56"/>
      <c r="E37" s="4"/>
      <c r="F37" s="57">
        <f>E37+'12月'!F1777:G1777</f>
        <v>2</v>
      </c>
      <c r="G37" s="58"/>
      <c r="H37" s="54" t="s">
        <v>62</v>
      </c>
      <c r="I37" s="59"/>
      <c r="J37" s="54"/>
      <c r="K37" s="59"/>
      <c r="L37" s="57">
        <f>J37+'12月'!L1777:M1777</f>
        <v>5</v>
      </c>
      <c r="M37" s="58"/>
      <c r="T37" s="13"/>
    </row>
    <row r="38" spans="1:20" ht="24.95" customHeight="1">
      <c r="A38" s="54" t="s">
        <v>63</v>
      </c>
      <c r="B38" s="55"/>
      <c r="C38" s="55"/>
      <c r="D38" s="56"/>
      <c r="E38" s="4"/>
      <c r="F38" s="57">
        <f>E38+'12月'!F1778:G1778</f>
        <v>4</v>
      </c>
      <c r="G38" s="58"/>
      <c r="H38" s="54" t="s">
        <v>64</v>
      </c>
      <c r="I38" s="59"/>
      <c r="J38" s="54"/>
      <c r="K38" s="59"/>
      <c r="L38" s="57">
        <f>J38+'12月'!L1778:M1778</f>
        <v>1</v>
      </c>
      <c r="M38" s="58"/>
      <c r="T38" s="13"/>
    </row>
    <row r="39" spans="1:20" ht="64.5" customHeight="1">
      <c r="A39" s="60" t="s">
        <v>65</v>
      </c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2"/>
      <c r="T39" s="13"/>
    </row>
    <row r="40" spans="1:20" ht="24.95" customHeight="1">
      <c r="A40" s="46" t="s">
        <v>66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8"/>
      <c r="T40" s="13"/>
    </row>
    <row r="41" spans="1:20" ht="24.95" customHeight="1">
      <c r="A41" s="27"/>
      <c r="B41" s="34" t="s">
        <v>67</v>
      </c>
      <c r="C41" s="34"/>
      <c r="D41" s="34"/>
      <c r="E41" s="34"/>
      <c r="F41" s="34"/>
      <c r="G41" s="35"/>
      <c r="H41" s="34"/>
      <c r="I41" s="34"/>
      <c r="J41" s="34"/>
      <c r="K41" s="34"/>
      <c r="L41" s="34"/>
      <c r="M41" s="36"/>
      <c r="T41" s="13"/>
    </row>
    <row r="42" spans="1:20" ht="24.95" customHeight="1">
      <c r="A42" s="27"/>
      <c r="B42" s="34" t="s">
        <v>81</v>
      </c>
      <c r="C42" s="34"/>
      <c r="D42" s="34"/>
      <c r="E42" s="34"/>
      <c r="F42" s="34"/>
      <c r="G42" s="35"/>
      <c r="H42" s="34"/>
      <c r="I42" s="34"/>
      <c r="J42" s="34"/>
      <c r="K42" s="34"/>
      <c r="L42" s="34"/>
      <c r="M42" s="36"/>
      <c r="T42" s="13"/>
    </row>
    <row r="43" spans="1:20" ht="24.95" customHeight="1">
      <c r="A43" s="27"/>
      <c r="B43" s="34" t="s">
        <v>68</v>
      </c>
      <c r="C43" s="34"/>
      <c r="D43" s="34"/>
      <c r="E43" s="34"/>
      <c r="F43" s="34"/>
      <c r="G43" s="35"/>
      <c r="H43" s="34"/>
      <c r="I43" s="34"/>
      <c r="J43" s="34"/>
      <c r="K43" s="34"/>
      <c r="L43" s="34"/>
      <c r="M43" s="36"/>
      <c r="T43" s="13"/>
    </row>
    <row r="44" spans="1:20" ht="24.95" customHeight="1">
      <c r="A44" s="27"/>
      <c r="B44" s="34" t="s">
        <v>82</v>
      </c>
      <c r="C44" s="34"/>
      <c r="D44" s="34"/>
      <c r="E44" s="34"/>
      <c r="F44" s="34"/>
      <c r="G44" s="35"/>
      <c r="H44" s="34"/>
      <c r="I44" s="34"/>
      <c r="J44" s="34"/>
      <c r="K44" s="34"/>
      <c r="L44" s="34"/>
      <c r="M44" s="36"/>
      <c r="T44" s="13"/>
    </row>
    <row r="45" spans="1:20" ht="24.95" customHeight="1">
      <c r="A45" s="27"/>
      <c r="B45" s="34" t="s">
        <v>99</v>
      </c>
      <c r="C45" s="34"/>
      <c r="D45" s="34"/>
      <c r="E45" s="34"/>
      <c r="F45" s="34"/>
      <c r="G45" s="35"/>
      <c r="H45" s="34"/>
      <c r="I45" s="34"/>
      <c r="J45" s="34"/>
      <c r="K45" s="34"/>
      <c r="L45" s="34"/>
      <c r="M45" s="36"/>
      <c r="T45" s="13"/>
    </row>
    <row r="46" spans="1:20" ht="24.95" customHeight="1">
      <c r="A46" s="37"/>
      <c r="B46" s="49" t="s">
        <v>69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50"/>
      <c r="T46" s="13"/>
    </row>
    <row r="47" spans="1:20" ht="44.25" customHeight="1">
      <c r="A47" s="51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3"/>
      <c r="T47" s="13"/>
    </row>
    <row r="48" spans="1:20" ht="48" customHeight="1">
      <c r="A48" s="51" t="s">
        <v>71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3"/>
      <c r="T48" s="13"/>
    </row>
    <row r="49" spans="1:20" ht="81" customHeight="1">
      <c r="A49" s="51" t="s">
        <v>80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3"/>
      <c r="T49" s="13"/>
    </row>
    <row r="50" spans="1:20" ht="100.5" customHeight="1">
      <c r="A50" s="51" t="s">
        <v>72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3"/>
      <c r="T50" s="13"/>
    </row>
    <row r="51" spans="1:20" ht="12" customHeight="1">
      <c r="A51" s="41" t="s">
        <v>73</v>
      </c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38"/>
      <c r="T51" s="13"/>
    </row>
    <row r="52" spans="1:20" ht="12" customHeight="1">
      <c r="A52" s="43" t="s">
        <v>74</v>
      </c>
      <c r="B52" s="43"/>
      <c r="C52" s="40"/>
      <c r="D52" s="40"/>
      <c r="E52" s="40"/>
      <c r="F52" s="40"/>
      <c r="G52" s="40"/>
      <c r="H52" s="40"/>
      <c r="I52" s="40"/>
      <c r="J52" s="40"/>
      <c r="K52" s="40"/>
      <c r="L52" s="38"/>
      <c r="M52" s="38"/>
      <c r="T52" s="13"/>
    </row>
    <row r="53" spans="1:20" ht="12" customHeight="1">
      <c r="A53" s="44" t="s">
        <v>75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T53" s="13"/>
    </row>
    <row r="54" spans="1:20" ht="12" customHeight="1">
      <c r="A54" s="39" t="s">
        <v>76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T54" s="13"/>
    </row>
    <row r="55" spans="1:20" ht="12" customHeight="1">
      <c r="A55" s="39" t="s">
        <v>77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T55" s="13"/>
    </row>
    <row r="56" spans="1:20" ht="12" customHeight="1">
      <c r="A56" s="45" t="s">
        <v>78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T56" s="13"/>
    </row>
    <row r="57" spans="1:20" ht="12" customHeight="1">
      <c r="A57" s="39" t="s">
        <v>79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T57" s="13"/>
    </row>
    <row r="58" spans="1:20" ht="409.5" customHeight="1"/>
    <row r="59" spans="1:20" s="2" customFormat="1" ht="35.1" customHeight="1">
      <c r="A59" s="126" t="s">
        <v>0</v>
      </c>
      <c r="B59" s="126"/>
      <c r="C59" s="1">
        <f>C1+1</f>
        <v>37</v>
      </c>
      <c r="G59" s="3"/>
    </row>
    <row r="60" spans="1:20" s="2" customFormat="1" ht="35.1" customHeight="1">
      <c r="A60" s="126" t="s">
        <v>1</v>
      </c>
      <c r="B60" s="126"/>
      <c r="C60" s="2" t="s">
        <v>2</v>
      </c>
      <c r="E60" s="2" t="s">
        <v>3</v>
      </c>
      <c r="G60" s="3"/>
      <c r="H60" s="127" t="s">
        <v>4</v>
      </c>
      <c r="I60" s="128"/>
      <c r="J60" s="129">
        <f>J2+1</f>
        <v>46024</v>
      </c>
      <c r="K60" s="130"/>
      <c r="L60" s="131">
        <f>J60</f>
        <v>46024</v>
      </c>
      <c r="M60" s="132"/>
    </row>
    <row r="61" spans="1:20" s="2" customFormat="1" ht="30" customHeight="1">
      <c r="A61" s="72" t="s">
        <v>5</v>
      </c>
      <c r="B61" s="114"/>
      <c r="C61" s="119" t="s">
        <v>83</v>
      </c>
      <c r="D61" s="119"/>
      <c r="E61" s="119"/>
      <c r="F61" s="119"/>
      <c r="G61" s="119"/>
      <c r="H61" s="54" t="s">
        <v>6</v>
      </c>
      <c r="I61" s="59"/>
      <c r="J61" s="120"/>
      <c r="K61" s="120"/>
      <c r="L61" s="120"/>
      <c r="M61" s="120"/>
    </row>
    <row r="62" spans="1:20" s="1" customFormat="1" ht="30" customHeight="1">
      <c r="A62" s="72" t="s">
        <v>7</v>
      </c>
      <c r="B62" s="114"/>
      <c r="C62" s="4">
        <v>50</v>
      </c>
      <c r="D62" s="4" t="s">
        <v>8</v>
      </c>
      <c r="E62" s="4" t="s">
        <v>9</v>
      </c>
      <c r="F62" s="4">
        <f>F4+1</f>
        <v>37</v>
      </c>
      <c r="G62" s="5" t="s">
        <v>8</v>
      </c>
      <c r="H62" s="4" t="s">
        <v>10</v>
      </c>
      <c r="I62" s="4">
        <f>C62-F62+L62</f>
        <v>13</v>
      </c>
      <c r="J62" s="4" t="s">
        <v>11</v>
      </c>
      <c r="K62" s="6" t="s">
        <v>12</v>
      </c>
      <c r="L62" s="7">
        <f>L4</f>
        <v>0</v>
      </c>
      <c r="M62" s="4" t="s">
        <v>8</v>
      </c>
    </row>
    <row r="63" spans="1:20" s="2" customFormat="1" ht="30" customHeight="1">
      <c r="A63" s="72" t="s">
        <v>13</v>
      </c>
      <c r="B63" s="75"/>
      <c r="C63" s="75"/>
      <c r="D63" s="121">
        <f>D5</f>
        <v>45988</v>
      </c>
      <c r="E63" s="122"/>
      <c r="F63" s="122"/>
      <c r="G63" s="123"/>
      <c r="H63" s="124" t="s">
        <v>14</v>
      </c>
      <c r="I63" s="125"/>
      <c r="J63" s="121">
        <f>J5</f>
        <v>46037</v>
      </c>
      <c r="K63" s="122"/>
      <c r="L63" s="122"/>
      <c r="M63" s="123"/>
    </row>
    <row r="64" spans="1:20" s="2" customFormat="1" ht="30" customHeight="1">
      <c r="A64" s="72" t="s">
        <v>15</v>
      </c>
      <c r="B64" s="114"/>
      <c r="C64" s="114"/>
      <c r="D64" s="72">
        <v>0.82599999999999996</v>
      </c>
      <c r="E64" s="72"/>
      <c r="F64" s="72"/>
      <c r="G64" s="72"/>
      <c r="H64" s="64" t="s">
        <v>16</v>
      </c>
      <c r="I64" s="115"/>
      <c r="J64" s="116">
        <f>P80</f>
        <v>0</v>
      </c>
      <c r="K64" s="117"/>
      <c r="L64" s="117"/>
      <c r="M64" s="118"/>
    </row>
    <row r="65" spans="1:20" s="2" customFormat="1" ht="30" customHeight="1">
      <c r="A65" s="72" t="s">
        <v>17</v>
      </c>
      <c r="B65" s="114"/>
      <c r="C65" s="114"/>
      <c r="D65" s="72">
        <f>D64+D7</f>
        <v>27.091000000000001</v>
      </c>
      <c r="E65" s="72"/>
      <c r="F65" s="72"/>
      <c r="G65" s="72"/>
      <c r="H65" s="64" t="s">
        <v>18</v>
      </c>
      <c r="I65" s="115"/>
      <c r="J65" s="116">
        <f>J64+J7</f>
        <v>25.469999999999992</v>
      </c>
      <c r="K65" s="117"/>
      <c r="L65" s="117"/>
      <c r="M65" s="118"/>
    </row>
    <row r="66" spans="1:20" s="2" customFormat="1" ht="30" customHeight="1">
      <c r="A66" s="111" t="s">
        <v>19</v>
      </c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3"/>
    </row>
    <row r="67" spans="1:20" s="2" customFormat="1" ht="30" customHeight="1">
      <c r="A67" s="8" t="s">
        <v>20</v>
      </c>
      <c r="B67" s="72" t="s">
        <v>21</v>
      </c>
      <c r="C67" s="72"/>
      <c r="D67" s="72"/>
      <c r="E67" s="4" t="s">
        <v>22</v>
      </c>
      <c r="F67" s="54" t="s">
        <v>23</v>
      </c>
      <c r="G67" s="59"/>
      <c r="H67" s="72" t="s">
        <v>24</v>
      </c>
      <c r="I67" s="72"/>
      <c r="J67" s="72" t="s">
        <v>25</v>
      </c>
      <c r="K67" s="72"/>
      <c r="L67" s="72" t="s">
        <v>26</v>
      </c>
      <c r="M67" s="72"/>
      <c r="O67" s="1" t="s">
        <v>27</v>
      </c>
      <c r="P67" s="1" t="s">
        <v>28</v>
      </c>
      <c r="T67" s="2" t="s">
        <v>29</v>
      </c>
    </row>
    <row r="68" spans="1:20" s="2" customFormat="1" ht="24.95" customHeight="1">
      <c r="A68" s="9" t="s">
        <v>30</v>
      </c>
      <c r="B68" s="110" t="s">
        <v>31</v>
      </c>
      <c r="C68" s="110"/>
      <c r="D68" s="110"/>
      <c r="E68" s="4"/>
      <c r="F68" s="54"/>
      <c r="G68" s="59"/>
      <c r="H68" s="72"/>
      <c r="I68" s="72"/>
      <c r="J68" s="72"/>
      <c r="K68" s="72"/>
      <c r="L68" s="72"/>
      <c r="M68" s="72"/>
    </row>
    <row r="69" spans="1:20" ht="24.95" customHeight="1">
      <c r="A69" s="10">
        <v>1</v>
      </c>
      <c r="B69" s="66" t="s">
        <v>91</v>
      </c>
      <c r="C69" s="67" t="s">
        <v>91</v>
      </c>
      <c r="D69" s="68" t="s">
        <v>91</v>
      </c>
      <c r="E69" s="4" t="s">
        <v>32</v>
      </c>
      <c r="F69" s="69">
        <v>1</v>
      </c>
      <c r="G69" s="70"/>
      <c r="H69" s="69"/>
      <c r="I69" s="70"/>
      <c r="J69" s="71">
        <f>H69+J11</f>
        <v>1</v>
      </c>
      <c r="K69" s="71"/>
      <c r="L69" s="72"/>
      <c r="M69" s="72"/>
      <c r="O69" s="11">
        <v>4000</v>
      </c>
      <c r="P69" s="11">
        <f>ROUND(H69*O69,0)</f>
        <v>0</v>
      </c>
      <c r="Q69" s="12"/>
      <c r="S69" s="11">
        <f>ROUND(J69*O69,0)</f>
        <v>4000</v>
      </c>
      <c r="T69" s="13">
        <f>F69-J69</f>
        <v>0</v>
      </c>
    </row>
    <row r="70" spans="1:20" ht="24.95" customHeight="1">
      <c r="A70" s="10">
        <v>2</v>
      </c>
      <c r="B70" s="66" t="s">
        <v>92</v>
      </c>
      <c r="C70" s="67" t="s">
        <v>92</v>
      </c>
      <c r="D70" s="68" t="s">
        <v>92</v>
      </c>
      <c r="E70" s="4" t="s">
        <v>32</v>
      </c>
      <c r="F70" s="69">
        <v>1</v>
      </c>
      <c r="G70" s="70"/>
      <c r="H70" s="69"/>
      <c r="I70" s="70"/>
      <c r="J70" s="71">
        <f t="shared" ref="J70:J77" si="3">H70+J12</f>
        <v>1</v>
      </c>
      <c r="K70" s="71"/>
      <c r="L70" s="72"/>
      <c r="M70" s="72"/>
      <c r="O70" s="11">
        <v>14334</v>
      </c>
      <c r="P70" s="11">
        <f t="shared" ref="P70:P77" si="4">ROUND(H70*O70,0)</f>
        <v>0</v>
      </c>
      <c r="Q70" s="12"/>
      <c r="S70" s="11">
        <f t="shared" ref="S70:S77" si="5">ROUND(J70*O70,0)</f>
        <v>14334</v>
      </c>
      <c r="T70" s="13">
        <f t="shared" ref="T70:T77" si="6">F70-J70</f>
        <v>0</v>
      </c>
    </row>
    <row r="71" spans="1:20" ht="24.95" customHeight="1">
      <c r="A71" s="10">
        <v>3</v>
      </c>
      <c r="B71" s="66" t="s">
        <v>84</v>
      </c>
      <c r="C71" s="67" t="s">
        <v>84</v>
      </c>
      <c r="D71" s="68" t="s">
        <v>84</v>
      </c>
      <c r="E71" s="4" t="s">
        <v>33</v>
      </c>
      <c r="F71" s="69">
        <v>1</v>
      </c>
      <c r="G71" s="70"/>
      <c r="H71" s="69"/>
      <c r="I71" s="70"/>
      <c r="J71" s="71">
        <f t="shared" si="3"/>
        <v>0.5</v>
      </c>
      <c r="K71" s="71"/>
      <c r="L71" s="72"/>
      <c r="M71" s="72"/>
      <c r="O71" s="11">
        <v>7000</v>
      </c>
      <c r="P71" s="11">
        <f t="shared" si="4"/>
        <v>0</v>
      </c>
      <c r="Q71" s="12"/>
      <c r="S71" s="11">
        <f t="shared" si="5"/>
        <v>3500</v>
      </c>
      <c r="T71" s="13">
        <f t="shared" si="6"/>
        <v>0.5</v>
      </c>
    </row>
    <row r="72" spans="1:20" ht="24.95" customHeight="1">
      <c r="A72" s="10">
        <v>4</v>
      </c>
      <c r="B72" s="66" t="s">
        <v>85</v>
      </c>
      <c r="C72" s="67" t="s">
        <v>85</v>
      </c>
      <c r="D72" s="68" t="s">
        <v>85</v>
      </c>
      <c r="E72" s="4" t="s">
        <v>34</v>
      </c>
      <c r="F72" s="69">
        <v>1</v>
      </c>
      <c r="G72" s="70"/>
      <c r="H72" s="69"/>
      <c r="I72" s="70"/>
      <c r="J72" s="71">
        <f t="shared" si="3"/>
        <v>1</v>
      </c>
      <c r="K72" s="71"/>
      <c r="L72" s="72"/>
      <c r="M72" s="72"/>
      <c r="O72" s="11">
        <v>74000</v>
      </c>
      <c r="P72" s="11">
        <f t="shared" si="4"/>
        <v>0</v>
      </c>
      <c r="Q72" s="12"/>
      <c r="S72" s="11">
        <f t="shared" si="5"/>
        <v>74000</v>
      </c>
      <c r="T72" s="13">
        <f t="shared" si="6"/>
        <v>0</v>
      </c>
    </row>
    <row r="73" spans="1:20" ht="24.95" customHeight="1">
      <c r="A73" s="10">
        <v>5</v>
      </c>
      <c r="B73" s="66" t="s">
        <v>86</v>
      </c>
      <c r="C73" s="67" t="s">
        <v>86</v>
      </c>
      <c r="D73" s="68" t="s">
        <v>86</v>
      </c>
      <c r="E73" s="4" t="s">
        <v>93</v>
      </c>
      <c r="F73" s="69">
        <v>396</v>
      </c>
      <c r="G73" s="70"/>
      <c r="H73" s="69"/>
      <c r="I73" s="70"/>
      <c r="J73" s="71">
        <f t="shared" si="3"/>
        <v>350</v>
      </c>
      <c r="K73" s="71"/>
      <c r="L73" s="72"/>
      <c r="M73" s="72"/>
      <c r="O73" s="11">
        <v>200</v>
      </c>
      <c r="P73" s="11">
        <f t="shared" si="4"/>
        <v>0</v>
      </c>
      <c r="Q73" s="12"/>
      <c r="S73" s="11">
        <f t="shared" si="5"/>
        <v>70000</v>
      </c>
      <c r="T73" s="13">
        <f t="shared" si="6"/>
        <v>46</v>
      </c>
    </row>
    <row r="74" spans="1:20" ht="24.95" customHeight="1">
      <c r="A74" s="10">
        <v>6</v>
      </c>
      <c r="B74" s="66" t="s">
        <v>97</v>
      </c>
      <c r="C74" s="67" t="s">
        <v>87</v>
      </c>
      <c r="D74" s="68" t="s">
        <v>87</v>
      </c>
      <c r="E74" s="4" t="s">
        <v>35</v>
      </c>
      <c r="F74" s="69">
        <v>80</v>
      </c>
      <c r="G74" s="70">
        <v>183.6</v>
      </c>
      <c r="H74" s="69"/>
      <c r="I74" s="70"/>
      <c r="J74" s="71">
        <f t="shared" si="3"/>
        <v>78</v>
      </c>
      <c r="K74" s="71"/>
      <c r="L74" s="54"/>
      <c r="M74" s="59"/>
      <c r="O74" s="11">
        <v>1463</v>
      </c>
      <c r="P74" s="11">
        <f t="shared" si="4"/>
        <v>0</v>
      </c>
      <c r="S74" s="11">
        <f t="shared" si="5"/>
        <v>114114</v>
      </c>
      <c r="T74" s="13">
        <f t="shared" si="6"/>
        <v>2</v>
      </c>
    </row>
    <row r="75" spans="1:20" ht="24.95" customHeight="1">
      <c r="A75" s="10">
        <v>7</v>
      </c>
      <c r="B75" s="66" t="s">
        <v>88</v>
      </c>
      <c r="C75" s="67" t="s">
        <v>88</v>
      </c>
      <c r="D75" s="68" t="s">
        <v>88</v>
      </c>
      <c r="E75" s="4" t="s">
        <v>94</v>
      </c>
      <c r="F75" s="69">
        <v>126</v>
      </c>
      <c r="G75" s="70">
        <v>19</v>
      </c>
      <c r="H75" s="69"/>
      <c r="I75" s="70"/>
      <c r="J75" s="71">
        <f t="shared" si="3"/>
        <v>0</v>
      </c>
      <c r="K75" s="71"/>
      <c r="L75" s="54"/>
      <c r="M75" s="59"/>
      <c r="O75" s="11">
        <v>6350</v>
      </c>
      <c r="P75" s="11">
        <f t="shared" si="4"/>
        <v>0</v>
      </c>
      <c r="S75" s="11">
        <f t="shared" si="5"/>
        <v>0</v>
      </c>
      <c r="T75" s="13">
        <f t="shared" si="6"/>
        <v>126</v>
      </c>
    </row>
    <row r="76" spans="1:20" ht="24.95" customHeight="1">
      <c r="A76" s="10">
        <v>8</v>
      </c>
      <c r="B76" s="66" t="s">
        <v>89</v>
      </c>
      <c r="C76" s="67" t="s">
        <v>89</v>
      </c>
      <c r="D76" s="68" t="s">
        <v>89</v>
      </c>
      <c r="E76" s="4" t="s">
        <v>95</v>
      </c>
      <c r="F76" s="69">
        <v>1</v>
      </c>
      <c r="G76" s="70">
        <v>1192</v>
      </c>
      <c r="H76" s="69"/>
      <c r="I76" s="70"/>
      <c r="J76" s="71">
        <f t="shared" si="3"/>
        <v>0.3</v>
      </c>
      <c r="K76" s="71"/>
      <c r="L76" s="54"/>
      <c r="M76" s="59"/>
      <c r="O76" s="11">
        <v>47600</v>
      </c>
      <c r="P76" s="11">
        <f t="shared" si="4"/>
        <v>0</v>
      </c>
      <c r="S76" s="11">
        <f t="shared" si="5"/>
        <v>14280</v>
      </c>
      <c r="T76" s="13">
        <f t="shared" si="6"/>
        <v>0.7</v>
      </c>
    </row>
    <row r="77" spans="1:20" ht="24.95" customHeight="1">
      <c r="A77" s="10">
        <v>9</v>
      </c>
      <c r="B77" s="66" t="s">
        <v>90</v>
      </c>
      <c r="C77" s="67" t="s">
        <v>90</v>
      </c>
      <c r="D77" s="68" t="s">
        <v>90</v>
      </c>
      <c r="E77" s="4" t="s">
        <v>96</v>
      </c>
      <c r="F77" s="69">
        <v>1</v>
      </c>
      <c r="G77" s="70">
        <v>1261</v>
      </c>
      <c r="H77" s="69"/>
      <c r="I77" s="70"/>
      <c r="J77" s="71">
        <f t="shared" si="3"/>
        <v>0</v>
      </c>
      <c r="K77" s="71"/>
      <c r="L77" s="54"/>
      <c r="M77" s="59"/>
      <c r="O77" s="11">
        <v>10000</v>
      </c>
      <c r="P77" s="11">
        <f t="shared" si="4"/>
        <v>0</v>
      </c>
      <c r="S77" s="11">
        <f t="shared" si="5"/>
        <v>0</v>
      </c>
      <c r="T77" s="13">
        <f t="shared" si="6"/>
        <v>1</v>
      </c>
    </row>
    <row r="78" spans="1:20" ht="24.95" customHeight="1">
      <c r="A78" s="14"/>
      <c r="B78" s="15"/>
      <c r="C78" s="16"/>
      <c r="D78" s="17"/>
      <c r="E78" s="4"/>
      <c r="F78" s="18"/>
      <c r="G78" s="19"/>
      <c r="H78" s="105"/>
      <c r="I78" s="106"/>
      <c r="J78" s="105"/>
      <c r="K78" s="106"/>
      <c r="L78" s="54"/>
      <c r="M78" s="59"/>
      <c r="N78" s="20"/>
      <c r="P78" s="21" t="s">
        <v>37</v>
      </c>
      <c r="Q78" s="22">
        <f>SUM(P69:P77)</f>
        <v>0</v>
      </c>
      <c r="R78" s="23"/>
      <c r="S78" s="24">
        <f>SUM(S69:S77)</f>
        <v>294228</v>
      </c>
      <c r="T78" s="13"/>
    </row>
    <row r="79" spans="1:20" ht="24.95" customHeight="1">
      <c r="A79" s="107"/>
      <c r="B79" s="108"/>
      <c r="C79" s="108"/>
      <c r="D79" s="109"/>
      <c r="E79" s="4"/>
      <c r="F79" s="54"/>
      <c r="G79" s="59"/>
      <c r="H79" s="72"/>
      <c r="I79" s="72"/>
      <c r="J79" s="72"/>
      <c r="K79" s="72"/>
      <c r="L79" s="72"/>
      <c r="M79" s="72"/>
      <c r="O79" t="s">
        <v>38</v>
      </c>
      <c r="P79" s="24">
        <f>Q78</f>
        <v>0</v>
      </c>
      <c r="T79" s="13"/>
    </row>
    <row r="80" spans="1:20" ht="24.95" customHeight="1">
      <c r="A80" s="97"/>
      <c r="B80" s="98"/>
      <c r="C80" s="98"/>
      <c r="D80" s="99"/>
      <c r="E80" s="4"/>
      <c r="F80" s="54"/>
      <c r="G80" s="59"/>
      <c r="H80" s="72"/>
      <c r="I80" s="72"/>
      <c r="J80" s="72"/>
      <c r="K80" s="72"/>
      <c r="L80" s="72"/>
      <c r="M80" s="72"/>
      <c r="O80" t="s">
        <v>39</v>
      </c>
      <c r="P80" s="23">
        <f>ROUND(P79/1153274,4)*100</f>
        <v>0</v>
      </c>
      <c r="T80" s="13"/>
    </row>
    <row r="81" spans="1:20" ht="24.95" customHeight="1">
      <c r="A81" s="25"/>
      <c r="B81" s="63" t="s">
        <v>40</v>
      </c>
      <c r="C81" s="63"/>
      <c r="D81" s="59"/>
      <c r="E81" s="26"/>
      <c r="F81" s="100"/>
      <c r="G81" s="101"/>
      <c r="H81" s="100"/>
      <c r="I81" s="101"/>
      <c r="J81" s="102"/>
      <c r="K81" s="102"/>
      <c r="L81" s="103">
        <f>P79</f>
        <v>0</v>
      </c>
      <c r="M81" s="104"/>
      <c r="T81" s="13"/>
    </row>
    <row r="82" spans="1:20" ht="24.95" customHeight="1" thickBot="1">
      <c r="A82" s="27"/>
      <c r="B82" s="85" t="s">
        <v>41</v>
      </c>
      <c r="C82" s="85"/>
      <c r="D82" s="86"/>
      <c r="E82" s="28"/>
      <c r="F82" s="87"/>
      <c r="G82" s="88"/>
      <c r="H82" s="87"/>
      <c r="I82" s="88"/>
      <c r="J82" s="87"/>
      <c r="K82" s="88"/>
      <c r="L82" s="89">
        <f>L81+L24</f>
        <v>294228</v>
      </c>
      <c r="M82" s="90"/>
      <c r="T82" s="13"/>
    </row>
    <row r="83" spans="1:20" ht="24.95" customHeight="1">
      <c r="A83" s="29"/>
      <c r="B83" s="91" t="s">
        <v>42</v>
      </c>
      <c r="C83" s="91"/>
      <c r="D83" s="92"/>
      <c r="E83" s="30"/>
      <c r="F83" s="93"/>
      <c r="G83" s="94"/>
      <c r="H83" s="95"/>
      <c r="I83" s="95"/>
      <c r="J83" s="95"/>
      <c r="K83" s="95"/>
      <c r="L83" s="95"/>
      <c r="M83" s="96"/>
      <c r="T83" s="13"/>
    </row>
    <row r="84" spans="1:20" ht="24.95" customHeight="1">
      <c r="A84" s="31"/>
      <c r="B84" s="76" t="s">
        <v>43</v>
      </c>
      <c r="C84" s="76"/>
      <c r="D84" s="77"/>
      <c r="E84" s="4"/>
      <c r="F84" s="54"/>
      <c r="G84" s="59"/>
      <c r="H84" s="72"/>
      <c r="I84" s="72"/>
      <c r="J84" s="72"/>
      <c r="K84" s="72"/>
      <c r="L84" s="72"/>
      <c r="M84" s="78"/>
      <c r="T84" s="13"/>
    </row>
    <row r="85" spans="1:20" ht="24.95" customHeight="1" thickBot="1">
      <c r="A85" s="32"/>
      <c r="B85" s="79" t="s">
        <v>44</v>
      </c>
      <c r="C85" s="79"/>
      <c r="D85" s="80"/>
      <c r="E85" s="33"/>
      <c r="F85" s="81"/>
      <c r="G85" s="82"/>
      <c r="H85" s="83"/>
      <c r="I85" s="83"/>
      <c r="J85" s="83"/>
      <c r="K85" s="83"/>
      <c r="L85" s="83"/>
      <c r="M85" s="84"/>
      <c r="T85" s="13"/>
    </row>
    <row r="86" spans="1:20" ht="24.95" customHeight="1">
      <c r="A86" s="73" t="s">
        <v>45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T86" s="13"/>
    </row>
    <row r="87" spans="1:20" ht="24.95" customHeight="1">
      <c r="A87" s="72" t="s">
        <v>46</v>
      </c>
      <c r="B87" s="75"/>
      <c r="C87" s="75"/>
      <c r="D87" s="75"/>
      <c r="E87" s="4" t="s">
        <v>22</v>
      </c>
      <c r="F87" s="72" t="s">
        <v>47</v>
      </c>
      <c r="G87" s="72"/>
      <c r="H87" s="72" t="s">
        <v>48</v>
      </c>
      <c r="I87" s="72"/>
      <c r="J87" s="72" t="s">
        <v>49</v>
      </c>
      <c r="K87" s="72"/>
      <c r="L87" s="72" t="s">
        <v>50</v>
      </c>
      <c r="M87" s="72"/>
      <c r="T87" s="13"/>
    </row>
    <row r="88" spans="1:20" ht="24.95" customHeight="1">
      <c r="A88" s="10">
        <v>6</v>
      </c>
      <c r="B88" s="66" t="s">
        <v>97</v>
      </c>
      <c r="C88" s="67" t="s">
        <v>51</v>
      </c>
      <c r="D88" s="68" t="s">
        <v>51</v>
      </c>
      <c r="E88" s="4" t="s">
        <v>35</v>
      </c>
      <c r="F88" s="69">
        <v>80</v>
      </c>
      <c r="G88" s="70">
        <v>1261</v>
      </c>
      <c r="H88" s="71">
        <f>H74</f>
        <v>0</v>
      </c>
      <c r="I88" s="71"/>
      <c r="J88" s="71">
        <f>H88+J30</f>
        <v>78</v>
      </c>
      <c r="K88" s="71"/>
      <c r="L88" s="72"/>
      <c r="M88" s="72"/>
      <c r="T88" s="13"/>
    </row>
    <row r="89" spans="1:20" ht="24.95" customHeight="1">
      <c r="A89" s="10">
        <v>7</v>
      </c>
      <c r="B89" s="66" t="s">
        <v>88</v>
      </c>
      <c r="C89" s="67" t="s">
        <v>88</v>
      </c>
      <c r="D89" s="68" t="s">
        <v>88</v>
      </c>
      <c r="E89" s="4" t="s">
        <v>98</v>
      </c>
      <c r="F89" s="69">
        <v>126</v>
      </c>
      <c r="G89" s="70"/>
      <c r="H89" s="71">
        <f>H75</f>
        <v>0</v>
      </c>
      <c r="I89" s="71"/>
      <c r="J89" s="71">
        <f t="shared" ref="J89:J90" si="7">H89+J31</f>
        <v>0</v>
      </c>
      <c r="K89" s="71"/>
      <c r="L89" s="72"/>
      <c r="M89" s="72"/>
      <c r="T89" s="13"/>
    </row>
    <row r="90" spans="1:20" ht="24.95" customHeight="1">
      <c r="A90" s="10">
        <v>8</v>
      </c>
      <c r="B90" s="66" t="s">
        <v>89</v>
      </c>
      <c r="C90" s="67" t="s">
        <v>89</v>
      </c>
      <c r="D90" s="68" t="s">
        <v>89</v>
      </c>
      <c r="E90" s="4" t="s">
        <v>36</v>
      </c>
      <c r="F90" s="69">
        <v>1</v>
      </c>
      <c r="G90" s="70"/>
      <c r="H90" s="71">
        <f>H76</f>
        <v>0</v>
      </c>
      <c r="I90" s="71"/>
      <c r="J90" s="71">
        <f t="shared" si="7"/>
        <v>0.3</v>
      </c>
      <c r="K90" s="71"/>
      <c r="L90" s="72"/>
      <c r="M90" s="72"/>
      <c r="T90" s="13"/>
    </row>
    <row r="91" spans="1:20" ht="24.95" customHeight="1">
      <c r="A91" s="51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3"/>
      <c r="T91" s="13"/>
    </row>
    <row r="92" spans="1:20" ht="24.95" customHeight="1">
      <c r="A92" s="54" t="s">
        <v>53</v>
      </c>
      <c r="B92" s="63"/>
      <c r="C92" s="63"/>
      <c r="D92" s="59"/>
      <c r="E92" s="4" t="s">
        <v>54</v>
      </c>
      <c r="F92" s="54" t="s">
        <v>55</v>
      </c>
      <c r="G92" s="59"/>
      <c r="H92" s="54" t="s">
        <v>56</v>
      </c>
      <c r="I92" s="59"/>
      <c r="J92" s="54" t="s">
        <v>48</v>
      </c>
      <c r="K92" s="59"/>
      <c r="L92" s="64" t="s">
        <v>49</v>
      </c>
      <c r="M92" s="65"/>
      <c r="T92" s="13"/>
    </row>
    <row r="93" spans="1:20" ht="24.95" customHeight="1">
      <c r="A93" s="54" t="s">
        <v>57</v>
      </c>
      <c r="B93" s="55"/>
      <c r="C93" s="55"/>
      <c r="D93" s="56"/>
      <c r="E93" s="4"/>
      <c r="F93" s="57">
        <f>E93+F35</f>
        <v>28</v>
      </c>
      <c r="G93" s="58"/>
      <c r="H93" s="54" t="s">
        <v>58</v>
      </c>
      <c r="I93" s="59"/>
      <c r="J93" s="54"/>
      <c r="K93" s="59"/>
      <c r="L93" s="57">
        <f>J93+L35</f>
        <v>15</v>
      </c>
      <c r="M93" s="58"/>
      <c r="T93" s="13"/>
    </row>
    <row r="94" spans="1:20" ht="24.95" customHeight="1">
      <c r="A94" s="54" t="s">
        <v>59</v>
      </c>
      <c r="B94" s="55"/>
      <c r="C94" s="55"/>
      <c r="D94" s="56"/>
      <c r="E94" s="4"/>
      <c r="F94" s="57">
        <f t="shared" ref="F94:F96" si="8">E94+F36</f>
        <v>0</v>
      </c>
      <c r="G94" s="58"/>
      <c r="H94" s="54" t="s">
        <v>60</v>
      </c>
      <c r="I94" s="59"/>
      <c r="J94" s="54"/>
      <c r="K94" s="59"/>
      <c r="L94" s="57">
        <f t="shared" ref="L94:L96" si="9">J94+L36</f>
        <v>0</v>
      </c>
      <c r="M94" s="58"/>
      <c r="T94" s="13"/>
    </row>
    <row r="95" spans="1:20" ht="24.95" customHeight="1">
      <c r="A95" s="54" t="s">
        <v>61</v>
      </c>
      <c r="B95" s="55"/>
      <c r="C95" s="55"/>
      <c r="D95" s="56"/>
      <c r="E95" s="4"/>
      <c r="F95" s="57">
        <f t="shared" si="8"/>
        <v>2</v>
      </c>
      <c r="G95" s="58"/>
      <c r="H95" s="54" t="s">
        <v>62</v>
      </c>
      <c r="I95" s="59"/>
      <c r="J95" s="54"/>
      <c r="K95" s="59"/>
      <c r="L95" s="57">
        <f t="shared" si="9"/>
        <v>5</v>
      </c>
      <c r="M95" s="58"/>
      <c r="T95" s="13"/>
    </row>
    <row r="96" spans="1:20" ht="24.95" customHeight="1">
      <c r="A96" s="54" t="s">
        <v>63</v>
      </c>
      <c r="B96" s="55"/>
      <c r="C96" s="55"/>
      <c r="D96" s="56"/>
      <c r="E96" s="4"/>
      <c r="F96" s="57">
        <f t="shared" si="8"/>
        <v>4</v>
      </c>
      <c r="G96" s="58"/>
      <c r="H96" s="54" t="s">
        <v>64</v>
      </c>
      <c r="I96" s="59"/>
      <c r="J96" s="54"/>
      <c r="K96" s="59"/>
      <c r="L96" s="57">
        <f t="shared" si="9"/>
        <v>1</v>
      </c>
      <c r="M96" s="58"/>
      <c r="T96" s="13"/>
    </row>
    <row r="97" spans="1:20" ht="64.5" customHeight="1">
      <c r="A97" s="60" t="s">
        <v>65</v>
      </c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2"/>
      <c r="T97" s="13"/>
    </row>
    <row r="98" spans="1:20" ht="24.95" customHeight="1">
      <c r="A98" s="46" t="s">
        <v>66</v>
      </c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8"/>
      <c r="T98" s="13"/>
    </row>
    <row r="99" spans="1:20" ht="24.95" customHeight="1">
      <c r="A99" s="27"/>
      <c r="B99" s="34" t="s">
        <v>67</v>
      </c>
      <c r="C99" s="34"/>
      <c r="D99" s="34"/>
      <c r="E99" s="34"/>
      <c r="F99" s="34"/>
      <c r="G99" s="35"/>
      <c r="H99" s="34"/>
      <c r="I99" s="34"/>
      <c r="J99" s="34"/>
      <c r="K99" s="34"/>
      <c r="L99" s="34"/>
      <c r="M99" s="36"/>
      <c r="T99" s="13"/>
    </row>
    <row r="100" spans="1:20" ht="24.95" customHeight="1">
      <c r="A100" s="27"/>
      <c r="B100" s="34" t="s">
        <v>81</v>
      </c>
      <c r="C100" s="34"/>
      <c r="D100" s="34"/>
      <c r="E100" s="34"/>
      <c r="F100" s="34"/>
      <c r="G100" s="35"/>
      <c r="H100" s="34"/>
      <c r="I100" s="34"/>
      <c r="J100" s="34"/>
      <c r="K100" s="34"/>
      <c r="L100" s="34"/>
      <c r="M100" s="36"/>
      <c r="T100" s="13"/>
    </row>
    <row r="101" spans="1:20" ht="24.95" customHeight="1">
      <c r="A101" s="27"/>
      <c r="B101" s="34" t="s">
        <v>68</v>
      </c>
      <c r="C101" s="34"/>
      <c r="D101" s="34"/>
      <c r="E101" s="34"/>
      <c r="F101" s="34"/>
      <c r="G101" s="35"/>
      <c r="H101" s="34"/>
      <c r="I101" s="34"/>
      <c r="J101" s="34"/>
      <c r="K101" s="34"/>
      <c r="L101" s="34"/>
      <c r="M101" s="36"/>
      <c r="T101" s="13"/>
    </row>
    <row r="102" spans="1:20" ht="24.95" customHeight="1">
      <c r="A102" s="27"/>
      <c r="B102" s="34" t="s">
        <v>82</v>
      </c>
      <c r="C102" s="34"/>
      <c r="D102" s="34"/>
      <c r="E102" s="34"/>
      <c r="F102" s="34"/>
      <c r="G102" s="35"/>
      <c r="H102" s="34"/>
      <c r="I102" s="34"/>
      <c r="J102" s="34"/>
      <c r="K102" s="34"/>
      <c r="L102" s="34"/>
      <c r="M102" s="36"/>
      <c r="T102" s="13"/>
    </row>
    <row r="103" spans="1:20" ht="24.95" customHeight="1">
      <c r="A103" s="27"/>
      <c r="B103" s="34" t="s">
        <v>99</v>
      </c>
      <c r="C103" s="34"/>
      <c r="D103" s="34"/>
      <c r="E103" s="34"/>
      <c r="F103" s="34"/>
      <c r="G103" s="35"/>
      <c r="H103" s="34"/>
      <c r="I103" s="34"/>
      <c r="J103" s="34"/>
      <c r="K103" s="34"/>
      <c r="L103" s="34"/>
      <c r="M103" s="36"/>
      <c r="T103" s="13"/>
    </row>
    <row r="104" spans="1:20" ht="24.95" customHeight="1">
      <c r="A104" s="37"/>
      <c r="B104" s="49" t="s">
        <v>69</v>
      </c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50"/>
      <c r="T104" s="13"/>
    </row>
    <row r="105" spans="1:20" ht="44.25" customHeight="1">
      <c r="A105" s="51" t="s">
        <v>70</v>
      </c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3"/>
      <c r="T105" s="13"/>
    </row>
    <row r="106" spans="1:20" ht="48" customHeight="1">
      <c r="A106" s="51" t="s">
        <v>71</v>
      </c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3"/>
      <c r="T106" s="13"/>
    </row>
    <row r="107" spans="1:20" ht="81" customHeight="1">
      <c r="A107" s="51" t="s">
        <v>80</v>
      </c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3"/>
      <c r="T107" s="13"/>
    </row>
    <row r="108" spans="1:20" ht="100.5" customHeight="1">
      <c r="A108" s="51" t="s">
        <v>72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3"/>
      <c r="T108" s="13"/>
    </row>
    <row r="109" spans="1:20" ht="12" customHeight="1">
      <c r="A109" s="41" t="s">
        <v>73</v>
      </c>
      <c r="B109" s="41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38"/>
      <c r="T109" s="13"/>
    </row>
    <row r="110" spans="1:20" ht="12" customHeight="1">
      <c r="A110" s="43" t="s">
        <v>74</v>
      </c>
      <c r="B110" s="43"/>
      <c r="C110" s="40"/>
      <c r="D110" s="40"/>
      <c r="E110" s="40"/>
      <c r="F110" s="40"/>
      <c r="G110" s="40"/>
      <c r="H110" s="40"/>
      <c r="I110" s="40"/>
      <c r="J110" s="40"/>
      <c r="K110" s="40"/>
      <c r="L110" s="38"/>
      <c r="M110" s="38"/>
      <c r="T110" s="13"/>
    </row>
    <row r="111" spans="1:20" ht="12" customHeight="1">
      <c r="A111" s="44" t="s">
        <v>75</v>
      </c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T111" s="13"/>
    </row>
    <row r="112" spans="1:20" ht="12" customHeight="1">
      <c r="A112" s="39" t="s">
        <v>76</v>
      </c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T112" s="13"/>
    </row>
    <row r="113" spans="1:20" ht="12" customHeight="1">
      <c r="A113" s="39" t="s">
        <v>77</v>
      </c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T113" s="13"/>
    </row>
    <row r="114" spans="1:20" ht="12" customHeight="1">
      <c r="A114" s="45" t="s">
        <v>78</v>
      </c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T114" s="13"/>
    </row>
    <row r="115" spans="1:20" ht="12" customHeight="1">
      <c r="A115" s="39" t="s">
        <v>79</v>
      </c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T115" s="13"/>
    </row>
    <row r="116" spans="1:20" ht="409.5" customHeight="1"/>
    <row r="117" spans="1:20" s="2" customFormat="1" ht="35.1" customHeight="1">
      <c r="A117" s="126" t="s">
        <v>0</v>
      </c>
      <c r="B117" s="126"/>
      <c r="C117" s="1">
        <f>C59+1</f>
        <v>38</v>
      </c>
      <c r="G117" s="3"/>
    </row>
    <row r="118" spans="1:20" s="2" customFormat="1" ht="35.1" customHeight="1">
      <c r="A118" s="126" t="s">
        <v>1</v>
      </c>
      <c r="B118" s="126"/>
      <c r="C118" s="2" t="s">
        <v>2</v>
      </c>
      <c r="E118" s="2" t="s">
        <v>3</v>
      </c>
      <c r="G118" s="3"/>
      <c r="H118" s="127" t="s">
        <v>4</v>
      </c>
      <c r="I118" s="128"/>
      <c r="J118" s="129">
        <f>J60+1</f>
        <v>46025</v>
      </c>
      <c r="K118" s="130"/>
      <c r="L118" s="131">
        <f>J118</f>
        <v>46025</v>
      </c>
      <c r="M118" s="132"/>
    </row>
    <row r="119" spans="1:20" s="2" customFormat="1" ht="30" customHeight="1">
      <c r="A119" s="72" t="s">
        <v>5</v>
      </c>
      <c r="B119" s="114"/>
      <c r="C119" s="119" t="s">
        <v>83</v>
      </c>
      <c r="D119" s="119"/>
      <c r="E119" s="119"/>
      <c r="F119" s="119"/>
      <c r="G119" s="119"/>
      <c r="H119" s="54" t="s">
        <v>6</v>
      </c>
      <c r="I119" s="59"/>
      <c r="J119" s="120"/>
      <c r="K119" s="120"/>
      <c r="L119" s="120"/>
      <c r="M119" s="120"/>
    </row>
    <row r="120" spans="1:20" s="1" customFormat="1" ht="30" customHeight="1">
      <c r="A120" s="72" t="s">
        <v>7</v>
      </c>
      <c r="B120" s="114"/>
      <c r="C120" s="4">
        <v>50</v>
      </c>
      <c r="D120" s="4" t="s">
        <v>8</v>
      </c>
      <c r="E120" s="4" t="s">
        <v>9</v>
      </c>
      <c r="F120" s="4">
        <f>F62+1</f>
        <v>38</v>
      </c>
      <c r="G120" s="5" t="s">
        <v>8</v>
      </c>
      <c r="H120" s="4" t="s">
        <v>10</v>
      </c>
      <c r="I120" s="4">
        <f>C120-F120+L120</f>
        <v>12</v>
      </c>
      <c r="J120" s="4" t="s">
        <v>11</v>
      </c>
      <c r="K120" s="6" t="s">
        <v>12</v>
      </c>
      <c r="L120" s="7">
        <f>L62</f>
        <v>0</v>
      </c>
      <c r="M120" s="4" t="s">
        <v>8</v>
      </c>
    </row>
    <row r="121" spans="1:20" s="2" customFormat="1" ht="30" customHeight="1">
      <c r="A121" s="72" t="s">
        <v>13</v>
      </c>
      <c r="B121" s="75"/>
      <c r="C121" s="75"/>
      <c r="D121" s="121">
        <f>D63</f>
        <v>45988</v>
      </c>
      <c r="E121" s="122"/>
      <c r="F121" s="122"/>
      <c r="G121" s="123"/>
      <c r="H121" s="124" t="s">
        <v>14</v>
      </c>
      <c r="I121" s="125"/>
      <c r="J121" s="121">
        <f>J63</f>
        <v>46037</v>
      </c>
      <c r="K121" s="122"/>
      <c r="L121" s="122"/>
      <c r="M121" s="123"/>
    </row>
    <row r="122" spans="1:20" s="2" customFormat="1" ht="30" customHeight="1">
      <c r="A122" s="72" t="s">
        <v>15</v>
      </c>
      <c r="B122" s="114"/>
      <c r="C122" s="114"/>
      <c r="D122" s="72">
        <v>0.82599999999999996</v>
      </c>
      <c r="E122" s="72"/>
      <c r="F122" s="72"/>
      <c r="G122" s="72"/>
      <c r="H122" s="64" t="s">
        <v>16</v>
      </c>
      <c r="I122" s="115"/>
      <c r="J122" s="116">
        <f>P138</f>
        <v>0</v>
      </c>
      <c r="K122" s="117"/>
      <c r="L122" s="117"/>
      <c r="M122" s="118"/>
    </row>
    <row r="123" spans="1:20" s="2" customFormat="1" ht="30" customHeight="1">
      <c r="A123" s="72" t="s">
        <v>17</v>
      </c>
      <c r="B123" s="114"/>
      <c r="C123" s="114"/>
      <c r="D123" s="72">
        <f>D122+D65</f>
        <v>27.917000000000002</v>
      </c>
      <c r="E123" s="72"/>
      <c r="F123" s="72"/>
      <c r="G123" s="72"/>
      <c r="H123" s="64" t="s">
        <v>18</v>
      </c>
      <c r="I123" s="115"/>
      <c r="J123" s="116">
        <f>J122+J65</f>
        <v>25.469999999999992</v>
      </c>
      <c r="K123" s="117"/>
      <c r="L123" s="117"/>
      <c r="M123" s="118"/>
    </row>
    <row r="124" spans="1:20" s="2" customFormat="1" ht="30" customHeight="1">
      <c r="A124" s="111" t="s">
        <v>19</v>
      </c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3"/>
    </row>
    <row r="125" spans="1:20" s="2" customFormat="1" ht="30" customHeight="1">
      <c r="A125" s="8" t="s">
        <v>20</v>
      </c>
      <c r="B125" s="72" t="s">
        <v>21</v>
      </c>
      <c r="C125" s="72"/>
      <c r="D125" s="72"/>
      <c r="E125" s="4" t="s">
        <v>22</v>
      </c>
      <c r="F125" s="54" t="s">
        <v>23</v>
      </c>
      <c r="G125" s="59"/>
      <c r="H125" s="72" t="s">
        <v>24</v>
      </c>
      <c r="I125" s="72"/>
      <c r="J125" s="72" t="s">
        <v>25</v>
      </c>
      <c r="K125" s="72"/>
      <c r="L125" s="72" t="s">
        <v>26</v>
      </c>
      <c r="M125" s="72"/>
      <c r="O125" s="1" t="s">
        <v>27</v>
      </c>
      <c r="P125" s="1" t="s">
        <v>28</v>
      </c>
      <c r="T125" s="2" t="s">
        <v>29</v>
      </c>
    </row>
    <row r="126" spans="1:20" s="2" customFormat="1" ht="24.95" customHeight="1">
      <c r="A126" s="9" t="s">
        <v>30</v>
      </c>
      <c r="B126" s="110" t="s">
        <v>31</v>
      </c>
      <c r="C126" s="110"/>
      <c r="D126" s="110"/>
      <c r="E126" s="4"/>
      <c r="F126" s="54"/>
      <c r="G126" s="59"/>
      <c r="H126" s="72"/>
      <c r="I126" s="72"/>
      <c r="J126" s="72"/>
      <c r="K126" s="72"/>
      <c r="L126" s="72"/>
      <c r="M126" s="72"/>
    </row>
    <row r="127" spans="1:20" ht="24.95" customHeight="1">
      <c r="A127" s="10">
        <v>1</v>
      </c>
      <c r="B127" s="66" t="s">
        <v>91</v>
      </c>
      <c r="C127" s="67" t="s">
        <v>91</v>
      </c>
      <c r="D127" s="68" t="s">
        <v>91</v>
      </c>
      <c r="E127" s="4" t="s">
        <v>32</v>
      </c>
      <c r="F127" s="69">
        <v>1</v>
      </c>
      <c r="G127" s="70"/>
      <c r="H127" s="69"/>
      <c r="I127" s="70"/>
      <c r="J127" s="71">
        <f>H127+J69</f>
        <v>1</v>
      </c>
      <c r="K127" s="71"/>
      <c r="L127" s="72"/>
      <c r="M127" s="72"/>
      <c r="O127" s="11">
        <v>4000</v>
      </c>
      <c r="P127" s="11">
        <f>ROUND(H127*O127,0)</f>
        <v>0</v>
      </c>
      <c r="Q127" s="12"/>
      <c r="S127" s="11">
        <f>ROUND(J127*O127,0)</f>
        <v>4000</v>
      </c>
      <c r="T127" s="13">
        <f>F127-J127</f>
        <v>0</v>
      </c>
    </row>
    <row r="128" spans="1:20" ht="24.95" customHeight="1">
      <c r="A128" s="10">
        <v>2</v>
      </c>
      <c r="B128" s="66" t="s">
        <v>92</v>
      </c>
      <c r="C128" s="67" t="s">
        <v>92</v>
      </c>
      <c r="D128" s="68" t="s">
        <v>92</v>
      </c>
      <c r="E128" s="4" t="s">
        <v>32</v>
      </c>
      <c r="F128" s="69">
        <v>1</v>
      </c>
      <c r="G128" s="70"/>
      <c r="H128" s="69"/>
      <c r="I128" s="70"/>
      <c r="J128" s="71">
        <f t="shared" ref="J128:J135" si="10">H128+J70</f>
        <v>1</v>
      </c>
      <c r="K128" s="71"/>
      <c r="L128" s="72"/>
      <c r="M128" s="72"/>
      <c r="O128" s="11">
        <v>14334</v>
      </c>
      <c r="P128" s="11">
        <f t="shared" ref="P128:P135" si="11">ROUND(H128*O128,0)</f>
        <v>0</v>
      </c>
      <c r="Q128" s="12"/>
      <c r="S128" s="11">
        <f t="shared" ref="S128:S135" si="12">ROUND(J128*O128,0)</f>
        <v>14334</v>
      </c>
      <c r="T128" s="13">
        <f t="shared" ref="T128:T135" si="13">F128-J128</f>
        <v>0</v>
      </c>
    </row>
    <row r="129" spans="1:20" ht="24.95" customHeight="1">
      <c r="A129" s="10">
        <v>3</v>
      </c>
      <c r="B129" s="66" t="s">
        <v>84</v>
      </c>
      <c r="C129" s="67" t="s">
        <v>84</v>
      </c>
      <c r="D129" s="68" t="s">
        <v>84</v>
      </c>
      <c r="E129" s="4" t="s">
        <v>33</v>
      </c>
      <c r="F129" s="69">
        <v>1</v>
      </c>
      <c r="G129" s="70"/>
      <c r="H129" s="69"/>
      <c r="I129" s="70"/>
      <c r="J129" s="71">
        <f t="shared" si="10"/>
        <v>0.5</v>
      </c>
      <c r="K129" s="71"/>
      <c r="L129" s="72"/>
      <c r="M129" s="72"/>
      <c r="O129" s="11">
        <v>7000</v>
      </c>
      <c r="P129" s="11">
        <f t="shared" si="11"/>
        <v>0</v>
      </c>
      <c r="Q129" s="12"/>
      <c r="S129" s="11">
        <f t="shared" si="12"/>
        <v>3500</v>
      </c>
      <c r="T129" s="13">
        <f t="shared" si="13"/>
        <v>0.5</v>
      </c>
    </row>
    <row r="130" spans="1:20" ht="24.95" customHeight="1">
      <c r="A130" s="10">
        <v>4</v>
      </c>
      <c r="B130" s="66" t="s">
        <v>85</v>
      </c>
      <c r="C130" s="67" t="s">
        <v>85</v>
      </c>
      <c r="D130" s="68" t="s">
        <v>85</v>
      </c>
      <c r="E130" s="4" t="s">
        <v>34</v>
      </c>
      <c r="F130" s="69">
        <v>1</v>
      </c>
      <c r="G130" s="70"/>
      <c r="H130" s="69"/>
      <c r="I130" s="70"/>
      <c r="J130" s="71">
        <f t="shared" si="10"/>
        <v>1</v>
      </c>
      <c r="K130" s="71"/>
      <c r="L130" s="72"/>
      <c r="M130" s="72"/>
      <c r="O130" s="11">
        <v>74000</v>
      </c>
      <c r="P130" s="11">
        <f t="shared" si="11"/>
        <v>0</v>
      </c>
      <c r="Q130" s="12"/>
      <c r="S130" s="11">
        <f t="shared" si="12"/>
        <v>74000</v>
      </c>
      <c r="T130" s="13">
        <f t="shared" si="13"/>
        <v>0</v>
      </c>
    </row>
    <row r="131" spans="1:20" ht="24.95" customHeight="1">
      <c r="A131" s="10">
        <v>5</v>
      </c>
      <c r="B131" s="66" t="s">
        <v>86</v>
      </c>
      <c r="C131" s="67" t="s">
        <v>86</v>
      </c>
      <c r="D131" s="68" t="s">
        <v>86</v>
      </c>
      <c r="E131" s="4" t="s">
        <v>93</v>
      </c>
      <c r="F131" s="69">
        <v>396</v>
      </c>
      <c r="G131" s="70"/>
      <c r="H131" s="69"/>
      <c r="I131" s="70"/>
      <c r="J131" s="71">
        <f t="shared" si="10"/>
        <v>350</v>
      </c>
      <c r="K131" s="71"/>
      <c r="L131" s="72"/>
      <c r="M131" s="72"/>
      <c r="O131" s="11">
        <v>200</v>
      </c>
      <c r="P131" s="11">
        <f t="shared" si="11"/>
        <v>0</v>
      </c>
      <c r="Q131" s="12"/>
      <c r="S131" s="11">
        <f t="shared" si="12"/>
        <v>70000</v>
      </c>
      <c r="T131" s="13">
        <f t="shared" si="13"/>
        <v>46</v>
      </c>
    </row>
    <row r="132" spans="1:20" ht="24.95" customHeight="1">
      <c r="A132" s="10">
        <v>6</v>
      </c>
      <c r="B132" s="66" t="s">
        <v>97</v>
      </c>
      <c r="C132" s="67" t="s">
        <v>87</v>
      </c>
      <c r="D132" s="68" t="s">
        <v>87</v>
      </c>
      <c r="E132" s="4" t="s">
        <v>35</v>
      </c>
      <c r="F132" s="69">
        <v>80</v>
      </c>
      <c r="G132" s="70">
        <v>183.6</v>
      </c>
      <c r="H132" s="69"/>
      <c r="I132" s="70"/>
      <c r="J132" s="71">
        <f t="shared" si="10"/>
        <v>78</v>
      </c>
      <c r="K132" s="71"/>
      <c r="L132" s="54"/>
      <c r="M132" s="59"/>
      <c r="O132" s="11">
        <v>1463</v>
      </c>
      <c r="P132" s="11">
        <f t="shared" si="11"/>
        <v>0</v>
      </c>
      <c r="S132" s="11">
        <f t="shared" si="12"/>
        <v>114114</v>
      </c>
      <c r="T132" s="13">
        <f t="shared" si="13"/>
        <v>2</v>
      </c>
    </row>
    <row r="133" spans="1:20" ht="24.95" customHeight="1">
      <c r="A133" s="10">
        <v>7</v>
      </c>
      <c r="B133" s="66" t="s">
        <v>88</v>
      </c>
      <c r="C133" s="67" t="s">
        <v>88</v>
      </c>
      <c r="D133" s="68" t="s">
        <v>88</v>
      </c>
      <c r="E133" s="4" t="s">
        <v>94</v>
      </c>
      <c r="F133" s="69">
        <v>126</v>
      </c>
      <c r="G133" s="70">
        <v>19</v>
      </c>
      <c r="H133" s="69"/>
      <c r="I133" s="70"/>
      <c r="J133" s="71">
        <f t="shared" si="10"/>
        <v>0</v>
      </c>
      <c r="K133" s="71"/>
      <c r="L133" s="54"/>
      <c r="M133" s="59"/>
      <c r="O133" s="11">
        <v>6350</v>
      </c>
      <c r="P133" s="11">
        <f t="shared" si="11"/>
        <v>0</v>
      </c>
      <c r="S133" s="11">
        <f t="shared" si="12"/>
        <v>0</v>
      </c>
      <c r="T133" s="13">
        <f t="shared" si="13"/>
        <v>126</v>
      </c>
    </row>
    <row r="134" spans="1:20" ht="24.95" customHeight="1">
      <c r="A134" s="10">
        <v>8</v>
      </c>
      <c r="B134" s="66" t="s">
        <v>89</v>
      </c>
      <c r="C134" s="67" t="s">
        <v>89</v>
      </c>
      <c r="D134" s="68" t="s">
        <v>89</v>
      </c>
      <c r="E134" s="4" t="s">
        <v>95</v>
      </c>
      <c r="F134" s="69">
        <v>1</v>
      </c>
      <c r="G134" s="70">
        <v>1192</v>
      </c>
      <c r="H134" s="69"/>
      <c r="I134" s="70"/>
      <c r="J134" s="71">
        <f t="shared" si="10"/>
        <v>0.3</v>
      </c>
      <c r="K134" s="71"/>
      <c r="L134" s="54"/>
      <c r="M134" s="59"/>
      <c r="O134" s="11">
        <v>47600</v>
      </c>
      <c r="P134" s="11">
        <f t="shared" si="11"/>
        <v>0</v>
      </c>
      <c r="S134" s="11">
        <f t="shared" si="12"/>
        <v>14280</v>
      </c>
      <c r="T134" s="13">
        <f t="shared" si="13"/>
        <v>0.7</v>
      </c>
    </row>
    <row r="135" spans="1:20" ht="24.95" customHeight="1">
      <c r="A135" s="10">
        <v>9</v>
      </c>
      <c r="B135" s="66" t="s">
        <v>90</v>
      </c>
      <c r="C135" s="67" t="s">
        <v>90</v>
      </c>
      <c r="D135" s="68" t="s">
        <v>90</v>
      </c>
      <c r="E135" s="4" t="s">
        <v>96</v>
      </c>
      <c r="F135" s="69">
        <v>1</v>
      </c>
      <c r="G135" s="70">
        <v>1261</v>
      </c>
      <c r="H135" s="69"/>
      <c r="I135" s="70"/>
      <c r="J135" s="71">
        <f t="shared" si="10"/>
        <v>0</v>
      </c>
      <c r="K135" s="71"/>
      <c r="L135" s="54"/>
      <c r="M135" s="59"/>
      <c r="O135" s="11">
        <v>10000</v>
      </c>
      <c r="P135" s="11">
        <f t="shared" si="11"/>
        <v>0</v>
      </c>
      <c r="S135" s="11">
        <f t="shared" si="12"/>
        <v>0</v>
      </c>
      <c r="T135" s="13">
        <f t="shared" si="13"/>
        <v>1</v>
      </c>
    </row>
    <row r="136" spans="1:20" ht="24.95" customHeight="1">
      <c r="A136" s="14"/>
      <c r="B136" s="15"/>
      <c r="C136" s="16"/>
      <c r="D136" s="17"/>
      <c r="E136" s="4"/>
      <c r="F136" s="18"/>
      <c r="G136" s="19"/>
      <c r="H136" s="105"/>
      <c r="I136" s="106"/>
      <c r="J136" s="105"/>
      <c r="K136" s="106"/>
      <c r="L136" s="54"/>
      <c r="M136" s="59"/>
      <c r="N136" s="20"/>
      <c r="P136" s="21" t="s">
        <v>37</v>
      </c>
      <c r="Q136" s="22">
        <f>SUM(P127:P135)</f>
        <v>0</v>
      </c>
      <c r="R136" s="23"/>
      <c r="S136" s="24">
        <f>SUM(S127:S135)</f>
        <v>294228</v>
      </c>
      <c r="T136" s="13"/>
    </row>
    <row r="137" spans="1:20" ht="24.95" customHeight="1">
      <c r="A137" s="107"/>
      <c r="B137" s="108"/>
      <c r="C137" s="108"/>
      <c r="D137" s="109"/>
      <c r="E137" s="4"/>
      <c r="F137" s="54"/>
      <c r="G137" s="59"/>
      <c r="H137" s="72"/>
      <c r="I137" s="72"/>
      <c r="J137" s="72"/>
      <c r="K137" s="72"/>
      <c r="L137" s="72"/>
      <c r="M137" s="72"/>
      <c r="O137" t="s">
        <v>38</v>
      </c>
      <c r="P137" s="24">
        <f>Q136</f>
        <v>0</v>
      </c>
      <c r="T137" s="13"/>
    </row>
    <row r="138" spans="1:20" ht="24.95" customHeight="1">
      <c r="A138" s="97"/>
      <c r="B138" s="98"/>
      <c r="C138" s="98"/>
      <c r="D138" s="99"/>
      <c r="E138" s="4"/>
      <c r="F138" s="54"/>
      <c r="G138" s="59"/>
      <c r="H138" s="72"/>
      <c r="I138" s="72"/>
      <c r="J138" s="72"/>
      <c r="K138" s="72"/>
      <c r="L138" s="72"/>
      <c r="M138" s="72"/>
      <c r="O138" t="s">
        <v>39</v>
      </c>
      <c r="P138" s="23">
        <f>ROUND(P137/1153274,4)*100</f>
        <v>0</v>
      </c>
      <c r="T138" s="13"/>
    </row>
    <row r="139" spans="1:20" ht="24.95" customHeight="1">
      <c r="A139" s="25"/>
      <c r="B139" s="63" t="s">
        <v>40</v>
      </c>
      <c r="C139" s="63"/>
      <c r="D139" s="59"/>
      <c r="E139" s="26"/>
      <c r="F139" s="100"/>
      <c r="G139" s="101"/>
      <c r="H139" s="100"/>
      <c r="I139" s="101"/>
      <c r="J139" s="102"/>
      <c r="K139" s="102"/>
      <c r="L139" s="103">
        <f>P137</f>
        <v>0</v>
      </c>
      <c r="M139" s="104"/>
      <c r="T139" s="13"/>
    </row>
    <row r="140" spans="1:20" ht="24.95" customHeight="1" thickBot="1">
      <c r="A140" s="27"/>
      <c r="B140" s="85" t="s">
        <v>41</v>
      </c>
      <c r="C140" s="85"/>
      <c r="D140" s="86"/>
      <c r="E140" s="28"/>
      <c r="F140" s="87"/>
      <c r="G140" s="88"/>
      <c r="H140" s="87"/>
      <c r="I140" s="88"/>
      <c r="J140" s="87"/>
      <c r="K140" s="88"/>
      <c r="L140" s="89">
        <f>L139+L82</f>
        <v>294228</v>
      </c>
      <c r="M140" s="90"/>
      <c r="T140" s="13"/>
    </row>
    <row r="141" spans="1:20" ht="24.95" customHeight="1">
      <c r="A141" s="29"/>
      <c r="B141" s="91" t="s">
        <v>42</v>
      </c>
      <c r="C141" s="91"/>
      <c r="D141" s="92"/>
      <c r="E141" s="30"/>
      <c r="F141" s="93"/>
      <c r="G141" s="94"/>
      <c r="H141" s="95"/>
      <c r="I141" s="95"/>
      <c r="J141" s="95"/>
      <c r="K141" s="95"/>
      <c r="L141" s="95"/>
      <c r="M141" s="96"/>
      <c r="T141" s="13"/>
    </row>
    <row r="142" spans="1:20" ht="24.95" customHeight="1">
      <c r="A142" s="31"/>
      <c r="B142" s="76" t="s">
        <v>43</v>
      </c>
      <c r="C142" s="76"/>
      <c r="D142" s="77"/>
      <c r="E142" s="4"/>
      <c r="F142" s="54"/>
      <c r="G142" s="59"/>
      <c r="H142" s="72"/>
      <c r="I142" s="72"/>
      <c r="J142" s="72"/>
      <c r="K142" s="72"/>
      <c r="L142" s="72"/>
      <c r="M142" s="78"/>
      <c r="T142" s="13"/>
    </row>
    <row r="143" spans="1:20" ht="24.95" customHeight="1" thickBot="1">
      <c r="A143" s="32"/>
      <c r="B143" s="79" t="s">
        <v>44</v>
      </c>
      <c r="C143" s="79"/>
      <c r="D143" s="80"/>
      <c r="E143" s="33"/>
      <c r="F143" s="81"/>
      <c r="G143" s="82"/>
      <c r="H143" s="83"/>
      <c r="I143" s="83"/>
      <c r="J143" s="83"/>
      <c r="K143" s="83"/>
      <c r="L143" s="83"/>
      <c r="M143" s="84"/>
      <c r="T143" s="13"/>
    </row>
    <row r="144" spans="1:20" ht="24.95" customHeight="1">
      <c r="A144" s="73" t="s">
        <v>45</v>
      </c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T144" s="13"/>
    </row>
    <row r="145" spans="1:20" ht="24.95" customHeight="1">
      <c r="A145" s="72" t="s">
        <v>46</v>
      </c>
      <c r="B145" s="75"/>
      <c r="C145" s="75"/>
      <c r="D145" s="75"/>
      <c r="E145" s="4" t="s">
        <v>22</v>
      </c>
      <c r="F145" s="72" t="s">
        <v>47</v>
      </c>
      <c r="G145" s="72"/>
      <c r="H145" s="72" t="s">
        <v>48</v>
      </c>
      <c r="I145" s="72"/>
      <c r="J145" s="72" t="s">
        <v>49</v>
      </c>
      <c r="K145" s="72"/>
      <c r="L145" s="72" t="s">
        <v>50</v>
      </c>
      <c r="M145" s="72"/>
      <c r="T145" s="13"/>
    </row>
    <row r="146" spans="1:20" ht="24.95" customHeight="1">
      <c r="A146" s="10">
        <v>6</v>
      </c>
      <c r="B146" s="66" t="s">
        <v>97</v>
      </c>
      <c r="C146" s="67" t="s">
        <v>51</v>
      </c>
      <c r="D146" s="68" t="s">
        <v>51</v>
      </c>
      <c r="E146" s="4" t="s">
        <v>35</v>
      </c>
      <c r="F146" s="69">
        <v>80</v>
      </c>
      <c r="G146" s="70">
        <v>1261</v>
      </c>
      <c r="H146" s="71">
        <f>H132</f>
        <v>0</v>
      </c>
      <c r="I146" s="71"/>
      <c r="J146" s="71">
        <f>H146+J88</f>
        <v>78</v>
      </c>
      <c r="K146" s="71"/>
      <c r="L146" s="72"/>
      <c r="M146" s="72"/>
      <c r="T146" s="13"/>
    </row>
    <row r="147" spans="1:20" ht="24.95" customHeight="1">
      <c r="A147" s="10">
        <v>7</v>
      </c>
      <c r="B147" s="66" t="s">
        <v>88</v>
      </c>
      <c r="C147" s="67" t="s">
        <v>88</v>
      </c>
      <c r="D147" s="68" t="s">
        <v>88</v>
      </c>
      <c r="E147" s="4" t="s">
        <v>98</v>
      </c>
      <c r="F147" s="69">
        <v>126</v>
      </c>
      <c r="G147" s="70"/>
      <c r="H147" s="71">
        <f>H133</f>
        <v>0</v>
      </c>
      <c r="I147" s="71"/>
      <c r="J147" s="71">
        <f t="shared" ref="J147:J148" si="14">H147+J89</f>
        <v>0</v>
      </c>
      <c r="K147" s="71"/>
      <c r="L147" s="72"/>
      <c r="M147" s="72"/>
      <c r="T147" s="13"/>
    </row>
    <row r="148" spans="1:20" ht="24.95" customHeight="1">
      <c r="A148" s="10">
        <v>8</v>
      </c>
      <c r="B148" s="66" t="s">
        <v>89</v>
      </c>
      <c r="C148" s="67" t="s">
        <v>89</v>
      </c>
      <c r="D148" s="68" t="s">
        <v>89</v>
      </c>
      <c r="E148" s="4" t="s">
        <v>36</v>
      </c>
      <c r="F148" s="69">
        <v>1</v>
      </c>
      <c r="G148" s="70"/>
      <c r="H148" s="71">
        <f>H134</f>
        <v>0</v>
      </c>
      <c r="I148" s="71"/>
      <c r="J148" s="71">
        <f t="shared" si="14"/>
        <v>0.3</v>
      </c>
      <c r="K148" s="71"/>
      <c r="L148" s="72"/>
      <c r="M148" s="72"/>
      <c r="T148" s="13"/>
    </row>
    <row r="149" spans="1:20" ht="24.95" customHeight="1">
      <c r="A149" s="51" t="s">
        <v>52</v>
      </c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3"/>
      <c r="T149" s="13"/>
    </row>
    <row r="150" spans="1:20" ht="24.95" customHeight="1">
      <c r="A150" s="54" t="s">
        <v>53</v>
      </c>
      <c r="B150" s="63"/>
      <c r="C150" s="63"/>
      <c r="D150" s="59"/>
      <c r="E150" s="4" t="s">
        <v>54</v>
      </c>
      <c r="F150" s="54" t="s">
        <v>55</v>
      </c>
      <c r="G150" s="59"/>
      <c r="H150" s="54" t="s">
        <v>56</v>
      </c>
      <c r="I150" s="59"/>
      <c r="J150" s="54" t="s">
        <v>48</v>
      </c>
      <c r="K150" s="59"/>
      <c r="L150" s="64" t="s">
        <v>49</v>
      </c>
      <c r="M150" s="65"/>
      <c r="T150" s="13"/>
    </row>
    <row r="151" spans="1:20" ht="24.95" customHeight="1">
      <c r="A151" s="54" t="s">
        <v>57</v>
      </c>
      <c r="B151" s="55"/>
      <c r="C151" s="55"/>
      <c r="D151" s="56"/>
      <c r="E151" s="4"/>
      <c r="F151" s="57">
        <f>E151+F93</f>
        <v>28</v>
      </c>
      <c r="G151" s="58"/>
      <c r="H151" s="54" t="s">
        <v>58</v>
      </c>
      <c r="I151" s="59"/>
      <c r="J151" s="54"/>
      <c r="K151" s="59"/>
      <c r="L151" s="57">
        <f>J151+L93</f>
        <v>15</v>
      </c>
      <c r="M151" s="58"/>
      <c r="T151" s="13"/>
    </row>
    <row r="152" spans="1:20" ht="24.95" customHeight="1">
      <c r="A152" s="54" t="s">
        <v>59</v>
      </c>
      <c r="B152" s="55"/>
      <c r="C152" s="55"/>
      <c r="D152" s="56"/>
      <c r="E152" s="4"/>
      <c r="F152" s="57">
        <f t="shared" ref="F152:F154" si="15">E152+F94</f>
        <v>0</v>
      </c>
      <c r="G152" s="58"/>
      <c r="H152" s="54" t="s">
        <v>60</v>
      </c>
      <c r="I152" s="59"/>
      <c r="J152" s="54"/>
      <c r="K152" s="59"/>
      <c r="L152" s="57">
        <f t="shared" ref="L152:L154" si="16">J152+L94</f>
        <v>0</v>
      </c>
      <c r="M152" s="58"/>
      <c r="T152" s="13"/>
    </row>
    <row r="153" spans="1:20" ht="24.95" customHeight="1">
      <c r="A153" s="54" t="s">
        <v>61</v>
      </c>
      <c r="B153" s="55"/>
      <c r="C153" s="55"/>
      <c r="D153" s="56"/>
      <c r="E153" s="4"/>
      <c r="F153" s="57">
        <f t="shared" si="15"/>
        <v>2</v>
      </c>
      <c r="G153" s="58"/>
      <c r="H153" s="54" t="s">
        <v>62</v>
      </c>
      <c r="I153" s="59"/>
      <c r="J153" s="54"/>
      <c r="K153" s="59"/>
      <c r="L153" s="57">
        <f t="shared" si="16"/>
        <v>5</v>
      </c>
      <c r="M153" s="58"/>
      <c r="T153" s="13"/>
    </row>
    <row r="154" spans="1:20" ht="24.95" customHeight="1">
      <c r="A154" s="54" t="s">
        <v>63</v>
      </c>
      <c r="B154" s="55"/>
      <c r="C154" s="55"/>
      <c r="D154" s="56"/>
      <c r="E154" s="4"/>
      <c r="F154" s="57">
        <f t="shared" si="15"/>
        <v>4</v>
      </c>
      <c r="G154" s="58"/>
      <c r="H154" s="54" t="s">
        <v>64</v>
      </c>
      <c r="I154" s="59"/>
      <c r="J154" s="54"/>
      <c r="K154" s="59"/>
      <c r="L154" s="57">
        <f t="shared" si="16"/>
        <v>1</v>
      </c>
      <c r="M154" s="58"/>
      <c r="T154" s="13"/>
    </row>
    <row r="155" spans="1:20" ht="64.5" customHeight="1">
      <c r="A155" s="60" t="s">
        <v>65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2"/>
      <c r="T155" s="13"/>
    </row>
    <row r="156" spans="1:20" ht="24.95" customHeight="1">
      <c r="A156" s="46" t="s">
        <v>66</v>
      </c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8"/>
      <c r="T156" s="13"/>
    </row>
    <row r="157" spans="1:20" ht="24.95" customHeight="1">
      <c r="A157" s="27"/>
      <c r="B157" s="34" t="s">
        <v>67</v>
      </c>
      <c r="C157" s="34"/>
      <c r="D157" s="34"/>
      <c r="E157" s="34"/>
      <c r="F157" s="34"/>
      <c r="G157" s="35"/>
      <c r="H157" s="34"/>
      <c r="I157" s="34"/>
      <c r="J157" s="34"/>
      <c r="K157" s="34"/>
      <c r="L157" s="34"/>
      <c r="M157" s="36"/>
      <c r="T157" s="13"/>
    </row>
    <row r="158" spans="1:20" ht="24.95" customHeight="1">
      <c r="A158" s="27"/>
      <c r="B158" s="34" t="s">
        <v>81</v>
      </c>
      <c r="C158" s="34"/>
      <c r="D158" s="34"/>
      <c r="E158" s="34"/>
      <c r="F158" s="34"/>
      <c r="G158" s="35"/>
      <c r="H158" s="34"/>
      <c r="I158" s="34"/>
      <c r="J158" s="34"/>
      <c r="K158" s="34"/>
      <c r="L158" s="34"/>
      <c r="M158" s="36"/>
      <c r="T158" s="13"/>
    </row>
    <row r="159" spans="1:20" ht="24.95" customHeight="1">
      <c r="A159" s="27"/>
      <c r="B159" s="34" t="s">
        <v>68</v>
      </c>
      <c r="C159" s="34"/>
      <c r="D159" s="34"/>
      <c r="E159" s="34"/>
      <c r="F159" s="34"/>
      <c r="G159" s="35"/>
      <c r="H159" s="34"/>
      <c r="I159" s="34"/>
      <c r="J159" s="34"/>
      <c r="K159" s="34"/>
      <c r="L159" s="34"/>
      <c r="M159" s="36"/>
      <c r="T159" s="13"/>
    </row>
    <row r="160" spans="1:20" ht="24.95" customHeight="1">
      <c r="A160" s="27"/>
      <c r="B160" s="34" t="s">
        <v>82</v>
      </c>
      <c r="C160" s="34"/>
      <c r="D160" s="34"/>
      <c r="E160" s="34"/>
      <c r="F160" s="34"/>
      <c r="G160" s="35"/>
      <c r="H160" s="34"/>
      <c r="I160" s="34"/>
      <c r="J160" s="34"/>
      <c r="K160" s="34"/>
      <c r="L160" s="34"/>
      <c r="M160" s="36"/>
      <c r="T160" s="13"/>
    </row>
    <row r="161" spans="1:20" ht="24.95" customHeight="1">
      <c r="A161" s="27"/>
      <c r="B161" s="34" t="s">
        <v>99</v>
      </c>
      <c r="C161" s="34"/>
      <c r="D161" s="34"/>
      <c r="E161" s="34"/>
      <c r="F161" s="34"/>
      <c r="G161" s="35"/>
      <c r="H161" s="34"/>
      <c r="I161" s="34"/>
      <c r="J161" s="34"/>
      <c r="K161" s="34"/>
      <c r="L161" s="34"/>
      <c r="M161" s="36"/>
      <c r="T161" s="13"/>
    </row>
    <row r="162" spans="1:20" ht="24.95" customHeight="1">
      <c r="A162" s="37"/>
      <c r="B162" s="49" t="s">
        <v>69</v>
      </c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50"/>
      <c r="T162" s="13"/>
    </row>
    <row r="163" spans="1:20" ht="44.25" customHeight="1">
      <c r="A163" s="51" t="s">
        <v>70</v>
      </c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3"/>
      <c r="T163" s="13"/>
    </row>
    <row r="164" spans="1:20" ht="48" customHeight="1">
      <c r="A164" s="51" t="s">
        <v>71</v>
      </c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3"/>
      <c r="T164" s="13"/>
    </row>
    <row r="165" spans="1:20" ht="81" customHeight="1">
      <c r="A165" s="51" t="s">
        <v>80</v>
      </c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3"/>
      <c r="T165" s="13"/>
    </row>
    <row r="166" spans="1:20" ht="100.5" customHeight="1">
      <c r="A166" s="51" t="s">
        <v>72</v>
      </c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3"/>
      <c r="T166" s="13"/>
    </row>
    <row r="167" spans="1:20" ht="12" customHeight="1">
      <c r="A167" s="41" t="s">
        <v>73</v>
      </c>
      <c r="B167" s="41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38"/>
      <c r="T167" s="13"/>
    </row>
    <row r="168" spans="1:20" ht="12" customHeight="1">
      <c r="A168" s="43" t="s">
        <v>74</v>
      </c>
      <c r="B168" s="43"/>
      <c r="C168" s="40"/>
      <c r="D168" s="40"/>
      <c r="E168" s="40"/>
      <c r="F168" s="40"/>
      <c r="G168" s="40"/>
      <c r="H168" s="40"/>
      <c r="I168" s="40"/>
      <c r="J168" s="40"/>
      <c r="K168" s="40"/>
      <c r="L168" s="38"/>
      <c r="M168" s="38"/>
      <c r="T168" s="13"/>
    </row>
    <row r="169" spans="1:20" ht="12" customHeight="1">
      <c r="A169" s="44" t="s">
        <v>75</v>
      </c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T169" s="13"/>
    </row>
    <row r="170" spans="1:20" ht="12" customHeight="1">
      <c r="A170" s="39" t="s">
        <v>76</v>
      </c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T170" s="13"/>
    </row>
    <row r="171" spans="1:20" ht="12" customHeight="1">
      <c r="A171" s="39" t="s">
        <v>77</v>
      </c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T171" s="13"/>
    </row>
    <row r="172" spans="1:20" ht="12" customHeight="1">
      <c r="A172" s="45" t="s">
        <v>78</v>
      </c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T172" s="13"/>
    </row>
    <row r="173" spans="1:20" ht="12" customHeight="1">
      <c r="A173" s="39" t="s">
        <v>79</v>
      </c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T173" s="13"/>
    </row>
    <row r="174" spans="1:20" ht="409.5" customHeight="1"/>
    <row r="175" spans="1:20" s="2" customFormat="1" ht="35.1" customHeight="1">
      <c r="A175" s="126" t="s">
        <v>0</v>
      </c>
      <c r="B175" s="126"/>
      <c r="C175" s="1">
        <f>C117+1</f>
        <v>39</v>
      </c>
      <c r="G175" s="3"/>
    </row>
    <row r="176" spans="1:20" s="2" customFormat="1" ht="35.1" customHeight="1">
      <c r="A176" s="126" t="s">
        <v>1</v>
      </c>
      <c r="B176" s="126"/>
      <c r="C176" s="2" t="s">
        <v>2</v>
      </c>
      <c r="E176" s="2" t="s">
        <v>3</v>
      </c>
      <c r="G176" s="3"/>
      <c r="H176" s="127" t="s">
        <v>4</v>
      </c>
      <c r="I176" s="128"/>
      <c r="J176" s="129">
        <f>J118+1</f>
        <v>46026</v>
      </c>
      <c r="K176" s="130"/>
      <c r="L176" s="131">
        <f>J176</f>
        <v>46026</v>
      </c>
      <c r="M176" s="132"/>
    </row>
    <row r="177" spans="1:20" s="2" customFormat="1" ht="30" customHeight="1">
      <c r="A177" s="72" t="s">
        <v>5</v>
      </c>
      <c r="B177" s="114"/>
      <c r="C177" s="119" t="s">
        <v>83</v>
      </c>
      <c r="D177" s="119"/>
      <c r="E177" s="119"/>
      <c r="F177" s="119"/>
      <c r="G177" s="119"/>
      <c r="H177" s="54" t="s">
        <v>6</v>
      </c>
      <c r="I177" s="59"/>
      <c r="J177" s="120"/>
      <c r="K177" s="120"/>
      <c r="L177" s="120"/>
      <c r="M177" s="120"/>
    </row>
    <row r="178" spans="1:20" s="1" customFormat="1" ht="30" customHeight="1">
      <c r="A178" s="72" t="s">
        <v>7</v>
      </c>
      <c r="B178" s="114"/>
      <c r="C178" s="4">
        <v>50</v>
      </c>
      <c r="D178" s="4" t="s">
        <v>8</v>
      </c>
      <c r="E178" s="4" t="s">
        <v>9</v>
      </c>
      <c r="F178" s="4">
        <f>F120+1</f>
        <v>39</v>
      </c>
      <c r="G178" s="5" t="s">
        <v>8</v>
      </c>
      <c r="H178" s="4" t="s">
        <v>10</v>
      </c>
      <c r="I178" s="4">
        <f>C178-F178+L178</f>
        <v>11</v>
      </c>
      <c r="J178" s="4" t="s">
        <v>11</v>
      </c>
      <c r="K178" s="6" t="s">
        <v>12</v>
      </c>
      <c r="L178" s="7">
        <f>L120</f>
        <v>0</v>
      </c>
      <c r="M178" s="4" t="s">
        <v>8</v>
      </c>
    </row>
    <row r="179" spans="1:20" s="2" customFormat="1" ht="30" customHeight="1">
      <c r="A179" s="72" t="s">
        <v>13</v>
      </c>
      <c r="B179" s="75"/>
      <c r="C179" s="75"/>
      <c r="D179" s="121">
        <f>D121</f>
        <v>45988</v>
      </c>
      <c r="E179" s="122"/>
      <c r="F179" s="122"/>
      <c r="G179" s="123"/>
      <c r="H179" s="124" t="s">
        <v>14</v>
      </c>
      <c r="I179" s="125"/>
      <c r="J179" s="121">
        <f>J121</f>
        <v>46037</v>
      </c>
      <c r="K179" s="122"/>
      <c r="L179" s="122"/>
      <c r="M179" s="123"/>
    </row>
    <row r="180" spans="1:20" s="2" customFormat="1" ht="30" customHeight="1">
      <c r="A180" s="72" t="s">
        <v>15</v>
      </c>
      <c r="B180" s="114"/>
      <c r="C180" s="114"/>
      <c r="D180" s="72">
        <v>0.82599999999999996</v>
      </c>
      <c r="E180" s="72"/>
      <c r="F180" s="72"/>
      <c r="G180" s="72"/>
      <c r="H180" s="64" t="s">
        <v>16</v>
      </c>
      <c r="I180" s="115"/>
      <c r="J180" s="116">
        <f>P196</f>
        <v>0</v>
      </c>
      <c r="K180" s="117"/>
      <c r="L180" s="117"/>
      <c r="M180" s="118"/>
    </row>
    <row r="181" spans="1:20" s="2" customFormat="1" ht="30" customHeight="1">
      <c r="A181" s="72" t="s">
        <v>17</v>
      </c>
      <c r="B181" s="114"/>
      <c r="C181" s="114"/>
      <c r="D181" s="72">
        <f>D180+D123</f>
        <v>28.743000000000002</v>
      </c>
      <c r="E181" s="72"/>
      <c r="F181" s="72"/>
      <c r="G181" s="72"/>
      <c r="H181" s="64" t="s">
        <v>18</v>
      </c>
      <c r="I181" s="115"/>
      <c r="J181" s="116">
        <f>J180+J123</f>
        <v>25.469999999999992</v>
      </c>
      <c r="K181" s="117"/>
      <c r="L181" s="117"/>
      <c r="M181" s="118"/>
    </row>
    <row r="182" spans="1:20" s="2" customFormat="1" ht="30" customHeight="1">
      <c r="A182" s="111" t="s">
        <v>19</v>
      </c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3"/>
    </row>
    <row r="183" spans="1:20" s="2" customFormat="1" ht="30" customHeight="1">
      <c r="A183" s="8" t="s">
        <v>20</v>
      </c>
      <c r="B183" s="72" t="s">
        <v>21</v>
      </c>
      <c r="C183" s="72"/>
      <c r="D183" s="72"/>
      <c r="E183" s="4" t="s">
        <v>22</v>
      </c>
      <c r="F183" s="54" t="s">
        <v>23</v>
      </c>
      <c r="G183" s="59"/>
      <c r="H183" s="72" t="s">
        <v>24</v>
      </c>
      <c r="I183" s="72"/>
      <c r="J183" s="72" t="s">
        <v>25</v>
      </c>
      <c r="K183" s="72"/>
      <c r="L183" s="72" t="s">
        <v>26</v>
      </c>
      <c r="M183" s="72"/>
      <c r="O183" s="1" t="s">
        <v>27</v>
      </c>
      <c r="P183" s="1" t="s">
        <v>28</v>
      </c>
      <c r="T183" s="2" t="s">
        <v>29</v>
      </c>
    </row>
    <row r="184" spans="1:20" s="2" customFormat="1" ht="24.95" customHeight="1">
      <c r="A184" s="9" t="s">
        <v>30</v>
      </c>
      <c r="B184" s="110" t="s">
        <v>31</v>
      </c>
      <c r="C184" s="110"/>
      <c r="D184" s="110"/>
      <c r="E184" s="4"/>
      <c r="F184" s="54"/>
      <c r="G184" s="59"/>
      <c r="H184" s="72"/>
      <c r="I184" s="72"/>
      <c r="J184" s="72"/>
      <c r="K184" s="72"/>
      <c r="L184" s="72"/>
      <c r="M184" s="72"/>
    </row>
    <row r="185" spans="1:20" ht="24.95" customHeight="1">
      <c r="A185" s="10">
        <v>1</v>
      </c>
      <c r="B185" s="66" t="s">
        <v>91</v>
      </c>
      <c r="C185" s="67" t="s">
        <v>91</v>
      </c>
      <c r="D185" s="68" t="s">
        <v>91</v>
      </c>
      <c r="E185" s="4" t="s">
        <v>32</v>
      </c>
      <c r="F185" s="69">
        <v>1</v>
      </c>
      <c r="G185" s="70"/>
      <c r="H185" s="69"/>
      <c r="I185" s="70"/>
      <c r="J185" s="71">
        <f>H185+J127</f>
        <v>1</v>
      </c>
      <c r="K185" s="71"/>
      <c r="L185" s="72"/>
      <c r="M185" s="72"/>
      <c r="O185" s="11">
        <v>4000</v>
      </c>
      <c r="P185" s="11">
        <f>ROUND(H185*O185,0)</f>
        <v>0</v>
      </c>
      <c r="Q185" s="12"/>
      <c r="S185" s="11">
        <f>ROUND(J185*O185,0)</f>
        <v>4000</v>
      </c>
      <c r="T185" s="13">
        <f>F185-J185</f>
        <v>0</v>
      </c>
    </row>
    <row r="186" spans="1:20" ht="24.95" customHeight="1">
      <c r="A186" s="10">
        <v>2</v>
      </c>
      <c r="B186" s="66" t="s">
        <v>92</v>
      </c>
      <c r="C186" s="67" t="s">
        <v>92</v>
      </c>
      <c r="D186" s="68" t="s">
        <v>92</v>
      </c>
      <c r="E186" s="4" t="s">
        <v>32</v>
      </c>
      <c r="F186" s="69">
        <v>1</v>
      </c>
      <c r="G186" s="70"/>
      <c r="H186" s="69"/>
      <c r="I186" s="70"/>
      <c r="J186" s="71">
        <f t="shared" ref="J186:J193" si="17">H186+J128</f>
        <v>1</v>
      </c>
      <c r="K186" s="71"/>
      <c r="L186" s="72"/>
      <c r="M186" s="72"/>
      <c r="O186" s="11">
        <v>14334</v>
      </c>
      <c r="P186" s="11">
        <f t="shared" ref="P186:P193" si="18">ROUND(H186*O186,0)</f>
        <v>0</v>
      </c>
      <c r="Q186" s="12"/>
      <c r="S186" s="11">
        <f t="shared" ref="S186:S193" si="19">ROUND(J186*O186,0)</f>
        <v>14334</v>
      </c>
      <c r="T186" s="13">
        <f t="shared" ref="T186:T193" si="20">F186-J186</f>
        <v>0</v>
      </c>
    </row>
    <row r="187" spans="1:20" ht="24.95" customHeight="1">
      <c r="A187" s="10">
        <v>3</v>
      </c>
      <c r="B187" s="66" t="s">
        <v>84</v>
      </c>
      <c r="C187" s="67" t="s">
        <v>84</v>
      </c>
      <c r="D187" s="68" t="s">
        <v>84</v>
      </c>
      <c r="E187" s="4" t="s">
        <v>33</v>
      </c>
      <c r="F187" s="69">
        <v>1</v>
      </c>
      <c r="G187" s="70"/>
      <c r="H187" s="69"/>
      <c r="I187" s="70"/>
      <c r="J187" s="71">
        <f t="shared" si="17"/>
        <v>0.5</v>
      </c>
      <c r="K187" s="71"/>
      <c r="L187" s="72"/>
      <c r="M187" s="72"/>
      <c r="O187" s="11">
        <v>7000</v>
      </c>
      <c r="P187" s="11">
        <f t="shared" si="18"/>
        <v>0</v>
      </c>
      <c r="Q187" s="12"/>
      <c r="S187" s="11">
        <f t="shared" si="19"/>
        <v>3500</v>
      </c>
      <c r="T187" s="13">
        <f t="shared" si="20"/>
        <v>0.5</v>
      </c>
    </row>
    <row r="188" spans="1:20" ht="24.95" customHeight="1">
      <c r="A188" s="10">
        <v>4</v>
      </c>
      <c r="B188" s="66" t="s">
        <v>85</v>
      </c>
      <c r="C188" s="67" t="s">
        <v>85</v>
      </c>
      <c r="D188" s="68" t="s">
        <v>85</v>
      </c>
      <c r="E188" s="4" t="s">
        <v>34</v>
      </c>
      <c r="F188" s="69">
        <v>1</v>
      </c>
      <c r="G188" s="70"/>
      <c r="H188" s="69"/>
      <c r="I188" s="70"/>
      <c r="J188" s="71">
        <f t="shared" si="17"/>
        <v>1</v>
      </c>
      <c r="K188" s="71"/>
      <c r="L188" s="72"/>
      <c r="M188" s="72"/>
      <c r="O188" s="11">
        <v>74000</v>
      </c>
      <c r="P188" s="11">
        <f t="shared" si="18"/>
        <v>0</v>
      </c>
      <c r="Q188" s="12"/>
      <c r="S188" s="11">
        <f t="shared" si="19"/>
        <v>74000</v>
      </c>
      <c r="T188" s="13">
        <f t="shared" si="20"/>
        <v>0</v>
      </c>
    </row>
    <row r="189" spans="1:20" ht="24.95" customHeight="1">
      <c r="A189" s="10">
        <v>5</v>
      </c>
      <c r="B189" s="66" t="s">
        <v>86</v>
      </c>
      <c r="C189" s="67" t="s">
        <v>86</v>
      </c>
      <c r="D189" s="68" t="s">
        <v>86</v>
      </c>
      <c r="E189" s="4" t="s">
        <v>93</v>
      </c>
      <c r="F189" s="69">
        <v>396</v>
      </c>
      <c r="G189" s="70"/>
      <c r="H189" s="69"/>
      <c r="I189" s="70"/>
      <c r="J189" s="71">
        <f t="shared" si="17"/>
        <v>350</v>
      </c>
      <c r="K189" s="71"/>
      <c r="L189" s="72"/>
      <c r="M189" s="72"/>
      <c r="O189" s="11">
        <v>200</v>
      </c>
      <c r="P189" s="11">
        <f t="shared" si="18"/>
        <v>0</v>
      </c>
      <c r="Q189" s="12"/>
      <c r="S189" s="11">
        <f t="shared" si="19"/>
        <v>70000</v>
      </c>
      <c r="T189" s="13">
        <f t="shared" si="20"/>
        <v>46</v>
      </c>
    </row>
    <row r="190" spans="1:20" ht="24.95" customHeight="1">
      <c r="A190" s="10">
        <v>6</v>
      </c>
      <c r="B190" s="66" t="s">
        <v>97</v>
      </c>
      <c r="C190" s="67" t="s">
        <v>87</v>
      </c>
      <c r="D190" s="68" t="s">
        <v>87</v>
      </c>
      <c r="E190" s="4" t="s">
        <v>35</v>
      </c>
      <c r="F190" s="69">
        <v>80</v>
      </c>
      <c r="G190" s="70">
        <v>183.6</v>
      </c>
      <c r="H190" s="69"/>
      <c r="I190" s="70"/>
      <c r="J190" s="71">
        <f t="shared" si="17"/>
        <v>78</v>
      </c>
      <c r="K190" s="71"/>
      <c r="L190" s="54"/>
      <c r="M190" s="59"/>
      <c r="O190" s="11">
        <v>1463</v>
      </c>
      <c r="P190" s="11">
        <f t="shared" si="18"/>
        <v>0</v>
      </c>
      <c r="S190" s="11">
        <f t="shared" si="19"/>
        <v>114114</v>
      </c>
      <c r="T190" s="13">
        <f t="shared" si="20"/>
        <v>2</v>
      </c>
    </row>
    <row r="191" spans="1:20" ht="24.95" customHeight="1">
      <c r="A191" s="10">
        <v>7</v>
      </c>
      <c r="B191" s="66" t="s">
        <v>88</v>
      </c>
      <c r="C191" s="67" t="s">
        <v>88</v>
      </c>
      <c r="D191" s="68" t="s">
        <v>88</v>
      </c>
      <c r="E191" s="4" t="s">
        <v>94</v>
      </c>
      <c r="F191" s="69">
        <v>126</v>
      </c>
      <c r="G191" s="70">
        <v>19</v>
      </c>
      <c r="H191" s="69"/>
      <c r="I191" s="70"/>
      <c r="J191" s="71">
        <f t="shared" si="17"/>
        <v>0</v>
      </c>
      <c r="K191" s="71"/>
      <c r="L191" s="54"/>
      <c r="M191" s="59"/>
      <c r="O191" s="11">
        <v>6350</v>
      </c>
      <c r="P191" s="11">
        <f t="shared" si="18"/>
        <v>0</v>
      </c>
      <c r="S191" s="11">
        <f t="shared" si="19"/>
        <v>0</v>
      </c>
      <c r="T191" s="13">
        <f t="shared" si="20"/>
        <v>126</v>
      </c>
    </row>
    <row r="192" spans="1:20" ht="24.95" customHeight="1">
      <c r="A192" s="10">
        <v>8</v>
      </c>
      <c r="B192" s="66" t="s">
        <v>89</v>
      </c>
      <c r="C192" s="67" t="s">
        <v>89</v>
      </c>
      <c r="D192" s="68" t="s">
        <v>89</v>
      </c>
      <c r="E192" s="4" t="s">
        <v>95</v>
      </c>
      <c r="F192" s="69">
        <v>1</v>
      </c>
      <c r="G192" s="70">
        <v>1192</v>
      </c>
      <c r="H192" s="69"/>
      <c r="I192" s="70"/>
      <c r="J192" s="71">
        <f t="shared" si="17"/>
        <v>0.3</v>
      </c>
      <c r="K192" s="71"/>
      <c r="L192" s="54"/>
      <c r="M192" s="59"/>
      <c r="O192" s="11">
        <v>47600</v>
      </c>
      <c r="P192" s="11">
        <f t="shared" si="18"/>
        <v>0</v>
      </c>
      <c r="S192" s="11">
        <f t="shared" si="19"/>
        <v>14280</v>
      </c>
      <c r="T192" s="13">
        <f t="shared" si="20"/>
        <v>0.7</v>
      </c>
    </row>
    <row r="193" spans="1:20" ht="24.95" customHeight="1">
      <c r="A193" s="10">
        <v>9</v>
      </c>
      <c r="B193" s="66" t="s">
        <v>90</v>
      </c>
      <c r="C193" s="67" t="s">
        <v>90</v>
      </c>
      <c r="D193" s="68" t="s">
        <v>90</v>
      </c>
      <c r="E193" s="4" t="s">
        <v>96</v>
      </c>
      <c r="F193" s="69">
        <v>1</v>
      </c>
      <c r="G193" s="70">
        <v>1261</v>
      </c>
      <c r="H193" s="69"/>
      <c r="I193" s="70"/>
      <c r="J193" s="71">
        <f t="shared" si="17"/>
        <v>0</v>
      </c>
      <c r="K193" s="71"/>
      <c r="L193" s="54"/>
      <c r="M193" s="59"/>
      <c r="O193" s="11">
        <v>10000</v>
      </c>
      <c r="P193" s="11">
        <f t="shared" si="18"/>
        <v>0</v>
      </c>
      <c r="S193" s="11">
        <f t="shared" si="19"/>
        <v>0</v>
      </c>
      <c r="T193" s="13">
        <f t="shared" si="20"/>
        <v>1</v>
      </c>
    </row>
    <row r="194" spans="1:20" ht="24.95" customHeight="1">
      <c r="A194" s="14"/>
      <c r="B194" s="15"/>
      <c r="C194" s="16"/>
      <c r="D194" s="17"/>
      <c r="E194" s="4"/>
      <c r="F194" s="18"/>
      <c r="G194" s="19"/>
      <c r="H194" s="105"/>
      <c r="I194" s="106"/>
      <c r="J194" s="105"/>
      <c r="K194" s="106"/>
      <c r="L194" s="54"/>
      <c r="M194" s="59"/>
      <c r="N194" s="20"/>
      <c r="P194" s="21" t="s">
        <v>37</v>
      </c>
      <c r="Q194" s="22">
        <f>SUM(P185:P193)</f>
        <v>0</v>
      </c>
      <c r="R194" s="23"/>
      <c r="S194" s="24">
        <f>SUM(S185:S193)</f>
        <v>294228</v>
      </c>
      <c r="T194" s="13"/>
    </row>
    <row r="195" spans="1:20" ht="24.95" customHeight="1">
      <c r="A195" s="107"/>
      <c r="B195" s="108"/>
      <c r="C195" s="108"/>
      <c r="D195" s="109"/>
      <c r="E195" s="4"/>
      <c r="F195" s="54"/>
      <c r="G195" s="59"/>
      <c r="H195" s="72"/>
      <c r="I195" s="72"/>
      <c r="J195" s="72"/>
      <c r="K195" s="72"/>
      <c r="L195" s="72"/>
      <c r="M195" s="72"/>
      <c r="O195" t="s">
        <v>38</v>
      </c>
      <c r="P195" s="24">
        <f>Q194</f>
        <v>0</v>
      </c>
      <c r="T195" s="13"/>
    </row>
    <row r="196" spans="1:20" ht="24.95" customHeight="1">
      <c r="A196" s="97"/>
      <c r="B196" s="98"/>
      <c r="C196" s="98"/>
      <c r="D196" s="99"/>
      <c r="E196" s="4"/>
      <c r="F196" s="54"/>
      <c r="G196" s="59"/>
      <c r="H196" s="72"/>
      <c r="I196" s="72"/>
      <c r="J196" s="72"/>
      <c r="K196" s="72"/>
      <c r="L196" s="72"/>
      <c r="M196" s="72"/>
      <c r="O196" t="s">
        <v>39</v>
      </c>
      <c r="P196" s="23">
        <f>ROUND(P195/1153274,4)*100</f>
        <v>0</v>
      </c>
      <c r="T196" s="13"/>
    </row>
    <row r="197" spans="1:20" ht="24.95" customHeight="1">
      <c r="A197" s="25"/>
      <c r="B197" s="63" t="s">
        <v>40</v>
      </c>
      <c r="C197" s="63"/>
      <c r="D197" s="59"/>
      <c r="E197" s="26"/>
      <c r="F197" s="100"/>
      <c r="G197" s="101"/>
      <c r="H197" s="100"/>
      <c r="I197" s="101"/>
      <c r="J197" s="102"/>
      <c r="K197" s="102"/>
      <c r="L197" s="103">
        <f>P195</f>
        <v>0</v>
      </c>
      <c r="M197" s="104"/>
      <c r="T197" s="13"/>
    </row>
    <row r="198" spans="1:20" ht="24.95" customHeight="1" thickBot="1">
      <c r="A198" s="27"/>
      <c r="B198" s="85" t="s">
        <v>41</v>
      </c>
      <c r="C198" s="85"/>
      <c r="D198" s="86"/>
      <c r="E198" s="28"/>
      <c r="F198" s="87"/>
      <c r="G198" s="88"/>
      <c r="H198" s="87"/>
      <c r="I198" s="88"/>
      <c r="J198" s="87"/>
      <c r="K198" s="88"/>
      <c r="L198" s="89">
        <f>L197+L140</f>
        <v>294228</v>
      </c>
      <c r="M198" s="90"/>
      <c r="T198" s="13"/>
    </row>
    <row r="199" spans="1:20" ht="24.95" customHeight="1">
      <c r="A199" s="29"/>
      <c r="B199" s="91" t="s">
        <v>42</v>
      </c>
      <c r="C199" s="91"/>
      <c r="D199" s="92"/>
      <c r="E199" s="30"/>
      <c r="F199" s="93"/>
      <c r="G199" s="94"/>
      <c r="H199" s="95"/>
      <c r="I199" s="95"/>
      <c r="J199" s="95"/>
      <c r="K199" s="95"/>
      <c r="L199" s="95"/>
      <c r="M199" s="96"/>
      <c r="T199" s="13"/>
    </row>
    <row r="200" spans="1:20" ht="24.95" customHeight="1">
      <c r="A200" s="31"/>
      <c r="B200" s="76" t="s">
        <v>43</v>
      </c>
      <c r="C200" s="76"/>
      <c r="D200" s="77"/>
      <c r="E200" s="4"/>
      <c r="F200" s="54"/>
      <c r="G200" s="59"/>
      <c r="H200" s="72"/>
      <c r="I200" s="72"/>
      <c r="J200" s="72"/>
      <c r="K200" s="72"/>
      <c r="L200" s="72"/>
      <c r="M200" s="78"/>
      <c r="T200" s="13"/>
    </row>
    <row r="201" spans="1:20" ht="24.95" customHeight="1" thickBot="1">
      <c r="A201" s="32"/>
      <c r="B201" s="79" t="s">
        <v>44</v>
      </c>
      <c r="C201" s="79"/>
      <c r="D201" s="80"/>
      <c r="E201" s="33"/>
      <c r="F201" s="81"/>
      <c r="G201" s="82"/>
      <c r="H201" s="83"/>
      <c r="I201" s="83"/>
      <c r="J201" s="83"/>
      <c r="K201" s="83"/>
      <c r="L201" s="83"/>
      <c r="M201" s="84"/>
      <c r="T201" s="13"/>
    </row>
    <row r="202" spans="1:20" ht="24.95" customHeight="1">
      <c r="A202" s="73" t="s">
        <v>45</v>
      </c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T202" s="13"/>
    </row>
    <row r="203" spans="1:20" ht="24.95" customHeight="1">
      <c r="A203" s="72" t="s">
        <v>46</v>
      </c>
      <c r="B203" s="75"/>
      <c r="C203" s="75"/>
      <c r="D203" s="75"/>
      <c r="E203" s="4" t="s">
        <v>22</v>
      </c>
      <c r="F203" s="72" t="s">
        <v>47</v>
      </c>
      <c r="G203" s="72"/>
      <c r="H203" s="72" t="s">
        <v>48</v>
      </c>
      <c r="I203" s="72"/>
      <c r="J203" s="72" t="s">
        <v>49</v>
      </c>
      <c r="K203" s="72"/>
      <c r="L203" s="72" t="s">
        <v>50</v>
      </c>
      <c r="M203" s="72"/>
      <c r="T203" s="13"/>
    </row>
    <row r="204" spans="1:20" ht="24.95" customHeight="1">
      <c r="A204" s="10">
        <v>6</v>
      </c>
      <c r="B204" s="66" t="s">
        <v>97</v>
      </c>
      <c r="C204" s="67" t="s">
        <v>51</v>
      </c>
      <c r="D204" s="68" t="s">
        <v>51</v>
      </c>
      <c r="E204" s="4" t="s">
        <v>35</v>
      </c>
      <c r="F204" s="69">
        <v>80</v>
      </c>
      <c r="G204" s="70">
        <v>1261</v>
      </c>
      <c r="H204" s="71">
        <f>H190</f>
        <v>0</v>
      </c>
      <c r="I204" s="71"/>
      <c r="J204" s="71">
        <f>H204+J146</f>
        <v>78</v>
      </c>
      <c r="K204" s="71"/>
      <c r="L204" s="72"/>
      <c r="M204" s="72"/>
      <c r="T204" s="13"/>
    </row>
    <row r="205" spans="1:20" ht="24.95" customHeight="1">
      <c r="A205" s="10">
        <v>7</v>
      </c>
      <c r="B205" s="66" t="s">
        <v>88</v>
      </c>
      <c r="C205" s="67" t="s">
        <v>88</v>
      </c>
      <c r="D205" s="68" t="s">
        <v>88</v>
      </c>
      <c r="E205" s="4" t="s">
        <v>98</v>
      </c>
      <c r="F205" s="69">
        <v>126</v>
      </c>
      <c r="G205" s="70"/>
      <c r="H205" s="71">
        <f>H191</f>
        <v>0</v>
      </c>
      <c r="I205" s="71"/>
      <c r="J205" s="71">
        <f t="shared" ref="J205:J206" si="21">H205+J147</f>
        <v>0</v>
      </c>
      <c r="K205" s="71"/>
      <c r="L205" s="72"/>
      <c r="M205" s="72"/>
      <c r="T205" s="13"/>
    </row>
    <row r="206" spans="1:20" ht="24.95" customHeight="1">
      <c r="A206" s="10">
        <v>8</v>
      </c>
      <c r="B206" s="66" t="s">
        <v>89</v>
      </c>
      <c r="C206" s="67" t="s">
        <v>89</v>
      </c>
      <c r="D206" s="68" t="s">
        <v>89</v>
      </c>
      <c r="E206" s="4" t="s">
        <v>36</v>
      </c>
      <c r="F206" s="69">
        <v>1</v>
      </c>
      <c r="G206" s="70"/>
      <c r="H206" s="71">
        <f>H192</f>
        <v>0</v>
      </c>
      <c r="I206" s="71"/>
      <c r="J206" s="71">
        <f t="shared" si="21"/>
        <v>0.3</v>
      </c>
      <c r="K206" s="71"/>
      <c r="L206" s="72"/>
      <c r="M206" s="72"/>
      <c r="T206" s="13"/>
    </row>
    <row r="207" spans="1:20" ht="24.95" customHeight="1">
      <c r="A207" s="51" t="s">
        <v>52</v>
      </c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3"/>
      <c r="T207" s="13"/>
    </row>
    <row r="208" spans="1:20" ht="24.95" customHeight="1">
      <c r="A208" s="54" t="s">
        <v>53</v>
      </c>
      <c r="B208" s="63"/>
      <c r="C208" s="63"/>
      <c r="D208" s="59"/>
      <c r="E208" s="4" t="s">
        <v>54</v>
      </c>
      <c r="F208" s="54" t="s">
        <v>55</v>
      </c>
      <c r="G208" s="59"/>
      <c r="H208" s="54" t="s">
        <v>56</v>
      </c>
      <c r="I208" s="59"/>
      <c r="J208" s="54" t="s">
        <v>48</v>
      </c>
      <c r="K208" s="59"/>
      <c r="L208" s="64" t="s">
        <v>49</v>
      </c>
      <c r="M208" s="65"/>
      <c r="T208" s="13"/>
    </row>
    <row r="209" spans="1:20" ht="24.95" customHeight="1">
      <c r="A209" s="54" t="s">
        <v>57</v>
      </c>
      <c r="B209" s="55"/>
      <c r="C209" s="55"/>
      <c r="D209" s="56"/>
      <c r="E209" s="4"/>
      <c r="F209" s="57">
        <f>E209+F151</f>
        <v>28</v>
      </c>
      <c r="G209" s="58"/>
      <c r="H209" s="54" t="s">
        <v>58</v>
      </c>
      <c r="I209" s="59"/>
      <c r="J209" s="54"/>
      <c r="K209" s="59"/>
      <c r="L209" s="57">
        <f>J209+L151</f>
        <v>15</v>
      </c>
      <c r="M209" s="58"/>
      <c r="T209" s="13"/>
    </row>
    <row r="210" spans="1:20" ht="24.95" customHeight="1">
      <c r="A210" s="54" t="s">
        <v>59</v>
      </c>
      <c r="B210" s="55"/>
      <c r="C210" s="55"/>
      <c r="D210" s="56"/>
      <c r="E210" s="4"/>
      <c r="F210" s="57">
        <f t="shared" ref="F210:F212" si="22">E210+F152</f>
        <v>0</v>
      </c>
      <c r="G210" s="58"/>
      <c r="H210" s="54" t="s">
        <v>60</v>
      </c>
      <c r="I210" s="59"/>
      <c r="J210" s="54"/>
      <c r="K210" s="59"/>
      <c r="L210" s="57">
        <f t="shared" ref="L210:L212" si="23">J210+L152</f>
        <v>0</v>
      </c>
      <c r="M210" s="58"/>
      <c r="T210" s="13"/>
    </row>
    <row r="211" spans="1:20" ht="24.95" customHeight="1">
      <c r="A211" s="54" t="s">
        <v>61</v>
      </c>
      <c r="B211" s="55"/>
      <c r="C211" s="55"/>
      <c r="D211" s="56"/>
      <c r="E211" s="4"/>
      <c r="F211" s="57">
        <f t="shared" si="22"/>
        <v>2</v>
      </c>
      <c r="G211" s="58"/>
      <c r="H211" s="54" t="s">
        <v>62</v>
      </c>
      <c r="I211" s="59"/>
      <c r="J211" s="54"/>
      <c r="K211" s="59"/>
      <c r="L211" s="57">
        <f t="shared" si="23"/>
        <v>5</v>
      </c>
      <c r="M211" s="58"/>
      <c r="T211" s="13"/>
    </row>
    <row r="212" spans="1:20" ht="24.95" customHeight="1">
      <c r="A212" s="54" t="s">
        <v>63</v>
      </c>
      <c r="B212" s="55"/>
      <c r="C212" s="55"/>
      <c r="D212" s="56"/>
      <c r="E212" s="4"/>
      <c r="F212" s="57">
        <f t="shared" si="22"/>
        <v>4</v>
      </c>
      <c r="G212" s="58"/>
      <c r="H212" s="54" t="s">
        <v>64</v>
      </c>
      <c r="I212" s="59"/>
      <c r="J212" s="54"/>
      <c r="K212" s="59"/>
      <c r="L212" s="57">
        <f t="shared" si="23"/>
        <v>1</v>
      </c>
      <c r="M212" s="58"/>
      <c r="T212" s="13"/>
    </row>
    <row r="213" spans="1:20" ht="64.5" customHeight="1">
      <c r="A213" s="60" t="s">
        <v>65</v>
      </c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2"/>
      <c r="T213" s="13"/>
    </row>
    <row r="214" spans="1:20" ht="24.95" customHeight="1">
      <c r="A214" s="46" t="s">
        <v>66</v>
      </c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8"/>
      <c r="T214" s="13"/>
    </row>
    <row r="215" spans="1:20" ht="24.95" customHeight="1">
      <c r="A215" s="27"/>
      <c r="B215" s="34" t="s">
        <v>67</v>
      </c>
      <c r="C215" s="34"/>
      <c r="D215" s="34"/>
      <c r="E215" s="34"/>
      <c r="F215" s="34"/>
      <c r="G215" s="35"/>
      <c r="H215" s="34"/>
      <c r="I215" s="34"/>
      <c r="J215" s="34"/>
      <c r="K215" s="34"/>
      <c r="L215" s="34"/>
      <c r="M215" s="36"/>
      <c r="T215" s="13"/>
    </row>
    <row r="216" spans="1:20" ht="24.95" customHeight="1">
      <c r="A216" s="27"/>
      <c r="B216" s="34" t="s">
        <v>81</v>
      </c>
      <c r="C216" s="34"/>
      <c r="D216" s="34"/>
      <c r="E216" s="34"/>
      <c r="F216" s="34"/>
      <c r="G216" s="35"/>
      <c r="H216" s="34"/>
      <c r="I216" s="34"/>
      <c r="J216" s="34"/>
      <c r="K216" s="34"/>
      <c r="L216" s="34"/>
      <c r="M216" s="36"/>
      <c r="T216" s="13"/>
    </row>
    <row r="217" spans="1:20" ht="24.95" customHeight="1">
      <c r="A217" s="27"/>
      <c r="B217" s="34" t="s">
        <v>68</v>
      </c>
      <c r="C217" s="34"/>
      <c r="D217" s="34"/>
      <c r="E217" s="34"/>
      <c r="F217" s="34"/>
      <c r="G217" s="35"/>
      <c r="H217" s="34"/>
      <c r="I217" s="34"/>
      <c r="J217" s="34"/>
      <c r="K217" s="34"/>
      <c r="L217" s="34"/>
      <c r="M217" s="36"/>
      <c r="T217" s="13"/>
    </row>
    <row r="218" spans="1:20" ht="24.95" customHeight="1">
      <c r="A218" s="27"/>
      <c r="B218" s="34" t="s">
        <v>82</v>
      </c>
      <c r="C218" s="34"/>
      <c r="D218" s="34"/>
      <c r="E218" s="34"/>
      <c r="F218" s="34"/>
      <c r="G218" s="35"/>
      <c r="H218" s="34"/>
      <c r="I218" s="34"/>
      <c r="J218" s="34"/>
      <c r="K218" s="34"/>
      <c r="L218" s="34"/>
      <c r="M218" s="36"/>
      <c r="T218" s="13"/>
    </row>
    <row r="219" spans="1:20" ht="24.95" customHeight="1">
      <c r="A219" s="27"/>
      <c r="B219" s="34" t="s">
        <v>99</v>
      </c>
      <c r="C219" s="34"/>
      <c r="D219" s="34"/>
      <c r="E219" s="34"/>
      <c r="F219" s="34"/>
      <c r="G219" s="35"/>
      <c r="H219" s="34"/>
      <c r="I219" s="34"/>
      <c r="J219" s="34"/>
      <c r="K219" s="34"/>
      <c r="L219" s="34"/>
      <c r="M219" s="36"/>
      <c r="T219" s="13"/>
    </row>
    <row r="220" spans="1:20" ht="24.95" customHeight="1">
      <c r="A220" s="37"/>
      <c r="B220" s="49" t="s">
        <v>69</v>
      </c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50"/>
      <c r="T220" s="13"/>
    </row>
    <row r="221" spans="1:20" ht="44.25" customHeight="1">
      <c r="A221" s="51" t="s">
        <v>70</v>
      </c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3"/>
      <c r="T221" s="13"/>
    </row>
    <row r="222" spans="1:20" ht="48" customHeight="1">
      <c r="A222" s="51" t="s">
        <v>71</v>
      </c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3"/>
      <c r="T222" s="13"/>
    </row>
    <row r="223" spans="1:20" ht="81" customHeight="1">
      <c r="A223" s="51" t="s">
        <v>80</v>
      </c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3"/>
      <c r="T223" s="13"/>
    </row>
    <row r="224" spans="1:20" ht="100.5" customHeight="1">
      <c r="A224" s="51" t="s">
        <v>72</v>
      </c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3"/>
      <c r="T224" s="13"/>
    </row>
    <row r="225" spans="1:20" ht="12" customHeight="1">
      <c r="A225" s="41" t="s">
        <v>73</v>
      </c>
      <c r="B225" s="41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38"/>
      <c r="T225" s="13"/>
    </row>
    <row r="226" spans="1:20" ht="12" customHeight="1">
      <c r="A226" s="43" t="s">
        <v>74</v>
      </c>
      <c r="B226" s="43"/>
      <c r="C226" s="40"/>
      <c r="D226" s="40"/>
      <c r="E226" s="40"/>
      <c r="F226" s="40"/>
      <c r="G226" s="40"/>
      <c r="H226" s="40"/>
      <c r="I226" s="40"/>
      <c r="J226" s="40"/>
      <c r="K226" s="40"/>
      <c r="L226" s="38"/>
      <c r="M226" s="38"/>
      <c r="T226" s="13"/>
    </row>
    <row r="227" spans="1:20" ht="12" customHeight="1">
      <c r="A227" s="44" t="s">
        <v>75</v>
      </c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T227" s="13"/>
    </row>
    <row r="228" spans="1:20" ht="12" customHeight="1">
      <c r="A228" s="39" t="s">
        <v>76</v>
      </c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T228" s="13"/>
    </row>
    <row r="229" spans="1:20" ht="12" customHeight="1">
      <c r="A229" s="39" t="s">
        <v>77</v>
      </c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T229" s="13"/>
    </row>
    <row r="230" spans="1:20" ht="12" customHeight="1">
      <c r="A230" s="45" t="s">
        <v>78</v>
      </c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T230" s="13"/>
    </row>
    <row r="231" spans="1:20" ht="12" customHeight="1">
      <c r="A231" s="39" t="s">
        <v>79</v>
      </c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T231" s="13"/>
    </row>
    <row r="232" spans="1:20" ht="409.5" customHeight="1"/>
    <row r="233" spans="1:20" s="2" customFormat="1" ht="35.1" customHeight="1">
      <c r="A233" s="126" t="s">
        <v>0</v>
      </c>
      <c r="B233" s="126"/>
      <c r="C233" s="1">
        <f>C175+1</f>
        <v>40</v>
      </c>
      <c r="G233" s="3"/>
    </row>
    <row r="234" spans="1:20" s="2" customFormat="1" ht="35.1" customHeight="1">
      <c r="A234" s="126" t="s">
        <v>1</v>
      </c>
      <c r="B234" s="126"/>
      <c r="C234" s="2" t="s">
        <v>2</v>
      </c>
      <c r="E234" s="2" t="s">
        <v>3</v>
      </c>
      <c r="G234" s="3"/>
      <c r="H234" s="127" t="s">
        <v>4</v>
      </c>
      <c r="I234" s="128"/>
      <c r="J234" s="129">
        <f>J176+1</f>
        <v>46027</v>
      </c>
      <c r="K234" s="130"/>
      <c r="L234" s="131">
        <f>J234</f>
        <v>46027</v>
      </c>
      <c r="M234" s="132"/>
    </row>
    <row r="235" spans="1:20" s="2" customFormat="1" ht="30" customHeight="1">
      <c r="A235" s="72" t="s">
        <v>5</v>
      </c>
      <c r="B235" s="114"/>
      <c r="C235" s="119" t="s">
        <v>83</v>
      </c>
      <c r="D235" s="119"/>
      <c r="E235" s="119"/>
      <c r="F235" s="119"/>
      <c r="G235" s="119"/>
      <c r="H235" s="54" t="s">
        <v>6</v>
      </c>
      <c r="I235" s="59"/>
      <c r="J235" s="120"/>
      <c r="K235" s="120"/>
      <c r="L235" s="120"/>
      <c r="M235" s="120"/>
    </row>
    <row r="236" spans="1:20" s="1" customFormat="1" ht="30" customHeight="1">
      <c r="A236" s="72" t="s">
        <v>7</v>
      </c>
      <c r="B236" s="114"/>
      <c r="C236" s="4">
        <v>50</v>
      </c>
      <c r="D236" s="4" t="s">
        <v>8</v>
      </c>
      <c r="E236" s="4" t="s">
        <v>9</v>
      </c>
      <c r="F236" s="4">
        <f>F178+1</f>
        <v>40</v>
      </c>
      <c r="G236" s="5" t="s">
        <v>8</v>
      </c>
      <c r="H236" s="4" t="s">
        <v>10</v>
      </c>
      <c r="I236" s="4">
        <f>C236-F236+L236</f>
        <v>10</v>
      </c>
      <c r="J236" s="4" t="s">
        <v>11</v>
      </c>
      <c r="K236" s="6" t="s">
        <v>12</v>
      </c>
      <c r="L236" s="7">
        <f>L178</f>
        <v>0</v>
      </c>
      <c r="M236" s="4" t="s">
        <v>8</v>
      </c>
    </row>
    <row r="237" spans="1:20" s="2" customFormat="1" ht="30" customHeight="1">
      <c r="A237" s="72" t="s">
        <v>13</v>
      </c>
      <c r="B237" s="75"/>
      <c r="C237" s="75"/>
      <c r="D237" s="121">
        <f>D179</f>
        <v>45988</v>
      </c>
      <c r="E237" s="122"/>
      <c r="F237" s="122"/>
      <c r="G237" s="123"/>
      <c r="H237" s="124" t="s">
        <v>14</v>
      </c>
      <c r="I237" s="125"/>
      <c r="J237" s="121">
        <f>J179</f>
        <v>46037</v>
      </c>
      <c r="K237" s="122"/>
      <c r="L237" s="122"/>
      <c r="M237" s="123"/>
    </row>
    <row r="238" spans="1:20" s="2" customFormat="1" ht="30" customHeight="1">
      <c r="A238" s="72" t="s">
        <v>15</v>
      </c>
      <c r="B238" s="114"/>
      <c r="C238" s="114"/>
      <c r="D238" s="72">
        <v>0.82599999999999996</v>
      </c>
      <c r="E238" s="72"/>
      <c r="F238" s="72"/>
      <c r="G238" s="72"/>
      <c r="H238" s="64" t="s">
        <v>16</v>
      </c>
      <c r="I238" s="115"/>
      <c r="J238" s="116">
        <f>P254</f>
        <v>0</v>
      </c>
      <c r="K238" s="117"/>
      <c r="L238" s="117"/>
      <c r="M238" s="118"/>
    </row>
    <row r="239" spans="1:20" s="2" customFormat="1" ht="30" customHeight="1">
      <c r="A239" s="72" t="s">
        <v>17</v>
      </c>
      <c r="B239" s="114"/>
      <c r="C239" s="114"/>
      <c r="D239" s="72">
        <f>D238+D181</f>
        <v>29.569000000000003</v>
      </c>
      <c r="E239" s="72"/>
      <c r="F239" s="72"/>
      <c r="G239" s="72"/>
      <c r="H239" s="64" t="s">
        <v>18</v>
      </c>
      <c r="I239" s="115"/>
      <c r="J239" s="116">
        <f>J238+J181</f>
        <v>25.469999999999992</v>
      </c>
      <c r="K239" s="117"/>
      <c r="L239" s="117"/>
      <c r="M239" s="118"/>
    </row>
    <row r="240" spans="1:20" s="2" customFormat="1" ht="30" customHeight="1">
      <c r="A240" s="111" t="s">
        <v>19</v>
      </c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3"/>
    </row>
    <row r="241" spans="1:20" s="2" customFormat="1" ht="30" customHeight="1">
      <c r="A241" s="8" t="s">
        <v>20</v>
      </c>
      <c r="B241" s="72" t="s">
        <v>21</v>
      </c>
      <c r="C241" s="72"/>
      <c r="D241" s="72"/>
      <c r="E241" s="4" t="s">
        <v>22</v>
      </c>
      <c r="F241" s="54" t="s">
        <v>23</v>
      </c>
      <c r="G241" s="59"/>
      <c r="H241" s="72" t="s">
        <v>24</v>
      </c>
      <c r="I241" s="72"/>
      <c r="J241" s="72" t="s">
        <v>25</v>
      </c>
      <c r="K241" s="72"/>
      <c r="L241" s="72" t="s">
        <v>26</v>
      </c>
      <c r="M241" s="72"/>
      <c r="O241" s="1" t="s">
        <v>27</v>
      </c>
      <c r="P241" s="1" t="s">
        <v>28</v>
      </c>
      <c r="T241" s="2" t="s">
        <v>29</v>
      </c>
    </row>
    <row r="242" spans="1:20" s="2" customFormat="1" ht="24.95" customHeight="1">
      <c r="A242" s="9" t="s">
        <v>30</v>
      </c>
      <c r="B242" s="110" t="s">
        <v>31</v>
      </c>
      <c r="C242" s="110"/>
      <c r="D242" s="110"/>
      <c r="E242" s="4"/>
      <c r="F242" s="54"/>
      <c r="G242" s="59"/>
      <c r="H242" s="72"/>
      <c r="I242" s="72"/>
      <c r="J242" s="72"/>
      <c r="K242" s="72"/>
      <c r="L242" s="72"/>
      <c r="M242" s="72"/>
    </row>
    <row r="243" spans="1:20" ht="24.95" customHeight="1">
      <c r="A243" s="10">
        <v>1</v>
      </c>
      <c r="B243" s="66" t="s">
        <v>91</v>
      </c>
      <c r="C243" s="67" t="s">
        <v>91</v>
      </c>
      <c r="D243" s="68" t="s">
        <v>91</v>
      </c>
      <c r="E243" s="4" t="s">
        <v>32</v>
      </c>
      <c r="F243" s="69">
        <v>1</v>
      </c>
      <c r="G243" s="70"/>
      <c r="H243" s="69"/>
      <c r="I243" s="70"/>
      <c r="J243" s="71">
        <f>H243+J185</f>
        <v>1</v>
      </c>
      <c r="K243" s="71"/>
      <c r="L243" s="72"/>
      <c r="M243" s="72"/>
      <c r="O243" s="11">
        <v>4000</v>
      </c>
      <c r="P243" s="11">
        <f>ROUND(H243*O243,0)</f>
        <v>0</v>
      </c>
      <c r="Q243" s="12"/>
      <c r="S243" s="11">
        <f>ROUND(J243*O243,0)</f>
        <v>4000</v>
      </c>
      <c r="T243" s="13">
        <f>F243-J243</f>
        <v>0</v>
      </c>
    </row>
    <row r="244" spans="1:20" ht="24.95" customHeight="1">
      <c r="A244" s="10">
        <v>2</v>
      </c>
      <c r="B244" s="66" t="s">
        <v>92</v>
      </c>
      <c r="C244" s="67" t="s">
        <v>92</v>
      </c>
      <c r="D244" s="68" t="s">
        <v>92</v>
      </c>
      <c r="E244" s="4" t="s">
        <v>32</v>
      </c>
      <c r="F244" s="69">
        <v>1</v>
      </c>
      <c r="G244" s="70"/>
      <c r="H244" s="69"/>
      <c r="I244" s="70"/>
      <c r="J244" s="71">
        <f t="shared" ref="J244:J251" si="24">H244+J186</f>
        <v>1</v>
      </c>
      <c r="K244" s="71"/>
      <c r="L244" s="72"/>
      <c r="M244" s="72"/>
      <c r="O244" s="11">
        <v>14334</v>
      </c>
      <c r="P244" s="11">
        <f t="shared" ref="P244:P251" si="25">ROUND(H244*O244,0)</f>
        <v>0</v>
      </c>
      <c r="Q244" s="12"/>
      <c r="S244" s="11">
        <f t="shared" ref="S244:S251" si="26">ROUND(J244*O244,0)</f>
        <v>14334</v>
      </c>
      <c r="T244" s="13">
        <f t="shared" ref="T244:T251" si="27">F244-J244</f>
        <v>0</v>
      </c>
    </row>
    <row r="245" spans="1:20" ht="24.95" customHeight="1">
      <c r="A245" s="10">
        <v>3</v>
      </c>
      <c r="B245" s="66" t="s">
        <v>84</v>
      </c>
      <c r="C245" s="67" t="s">
        <v>84</v>
      </c>
      <c r="D245" s="68" t="s">
        <v>84</v>
      </c>
      <c r="E245" s="4" t="s">
        <v>33</v>
      </c>
      <c r="F245" s="69">
        <v>1</v>
      </c>
      <c r="G245" s="70"/>
      <c r="H245" s="69"/>
      <c r="I245" s="70"/>
      <c r="J245" s="71">
        <f t="shared" si="24"/>
        <v>0.5</v>
      </c>
      <c r="K245" s="71"/>
      <c r="L245" s="72"/>
      <c r="M245" s="72"/>
      <c r="O245" s="11">
        <v>7000</v>
      </c>
      <c r="P245" s="11">
        <f t="shared" si="25"/>
        <v>0</v>
      </c>
      <c r="Q245" s="12"/>
      <c r="S245" s="11">
        <f t="shared" si="26"/>
        <v>3500</v>
      </c>
      <c r="T245" s="13">
        <f t="shared" si="27"/>
        <v>0.5</v>
      </c>
    </row>
    <row r="246" spans="1:20" ht="24.95" customHeight="1">
      <c r="A246" s="10">
        <v>4</v>
      </c>
      <c r="B246" s="66" t="s">
        <v>85</v>
      </c>
      <c r="C246" s="67" t="s">
        <v>85</v>
      </c>
      <c r="D246" s="68" t="s">
        <v>85</v>
      </c>
      <c r="E246" s="4" t="s">
        <v>34</v>
      </c>
      <c r="F246" s="69">
        <v>1</v>
      </c>
      <c r="G246" s="70"/>
      <c r="H246" s="69"/>
      <c r="I246" s="70"/>
      <c r="J246" s="71">
        <f t="shared" si="24"/>
        <v>1</v>
      </c>
      <c r="K246" s="71"/>
      <c r="L246" s="72"/>
      <c r="M246" s="72"/>
      <c r="O246" s="11">
        <v>74000</v>
      </c>
      <c r="P246" s="11">
        <f t="shared" si="25"/>
        <v>0</v>
      </c>
      <c r="Q246" s="12"/>
      <c r="S246" s="11">
        <f t="shared" si="26"/>
        <v>74000</v>
      </c>
      <c r="T246" s="13">
        <f t="shared" si="27"/>
        <v>0</v>
      </c>
    </row>
    <row r="247" spans="1:20" ht="24.95" customHeight="1">
      <c r="A247" s="10">
        <v>5</v>
      </c>
      <c r="B247" s="66" t="s">
        <v>86</v>
      </c>
      <c r="C247" s="67" t="s">
        <v>86</v>
      </c>
      <c r="D247" s="68" t="s">
        <v>86</v>
      </c>
      <c r="E247" s="4" t="s">
        <v>93</v>
      </c>
      <c r="F247" s="69">
        <v>396</v>
      </c>
      <c r="G247" s="70"/>
      <c r="H247" s="69"/>
      <c r="I247" s="70"/>
      <c r="J247" s="71">
        <f t="shared" si="24"/>
        <v>350</v>
      </c>
      <c r="K247" s="71"/>
      <c r="L247" s="72"/>
      <c r="M247" s="72"/>
      <c r="O247" s="11">
        <v>200</v>
      </c>
      <c r="P247" s="11">
        <f t="shared" si="25"/>
        <v>0</v>
      </c>
      <c r="Q247" s="12"/>
      <c r="S247" s="11">
        <f t="shared" si="26"/>
        <v>70000</v>
      </c>
      <c r="T247" s="13">
        <f t="shared" si="27"/>
        <v>46</v>
      </c>
    </row>
    <row r="248" spans="1:20" ht="24.95" customHeight="1">
      <c r="A248" s="10">
        <v>6</v>
      </c>
      <c r="B248" s="66" t="s">
        <v>97</v>
      </c>
      <c r="C248" s="67" t="s">
        <v>87</v>
      </c>
      <c r="D248" s="68" t="s">
        <v>87</v>
      </c>
      <c r="E248" s="4" t="s">
        <v>35</v>
      </c>
      <c r="F248" s="69">
        <v>80</v>
      </c>
      <c r="G248" s="70">
        <v>183.6</v>
      </c>
      <c r="H248" s="69"/>
      <c r="I248" s="70"/>
      <c r="J248" s="71">
        <f t="shared" si="24"/>
        <v>78</v>
      </c>
      <c r="K248" s="71"/>
      <c r="L248" s="54"/>
      <c r="M248" s="59"/>
      <c r="O248" s="11">
        <v>1463</v>
      </c>
      <c r="P248" s="11">
        <f t="shared" si="25"/>
        <v>0</v>
      </c>
      <c r="S248" s="11">
        <f t="shared" si="26"/>
        <v>114114</v>
      </c>
      <c r="T248" s="13">
        <f t="shared" si="27"/>
        <v>2</v>
      </c>
    </row>
    <row r="249" spans="1:20" ht="24.95" customHeight="1">
      <c r="A249" s="10">
        <v>7</v>
      </c>
      <c r="B249" s="66" t="s">
        <v>88</v>
      </c>
      <c r="C249" s="67" t="s">
        <v>88</v>
      </c>
      <c r="D249" s="68" t="s">
        <v>88</v>
      </c>
      <c r="E249" s="4" t="s">
        <v>94</v>
      </c>
      <c r="F249" s="69">
        <v>126</v>
      </c>
      <c r="G249" s="70">
        <v>19</v>
      </c>
      <c r="H249" s="69"/>
      <c r="I249" s="70"/>
      <c r="J249" s="71">
        <f t="shared" si="24"/>
        <v>0</v>
      </c>
      <c r="K249" s="71"/>
      <c r="L249" s="54"/>
      <c r="M249" s="59"/>
      <c r="O249" s="11">
        <v>6350</v>
      </c>
      <c r="P249" s="11">
        <f t="shared" si="25"/>
        <v>0</v>
      </c>
      <c r="S249" s="11">
        <f t="shared" si="26"/>
        <v>0</v>
      </c>
      <c r="T249" s="13">
        <f t="shared" si="27"/>
        <v>126</v>
      </c>
    </row>
    <row r="250" spans="1:20" ht="24.95" customHeight="1">
      <c r="A250" s="10">
        <v>8</v>
      </c>
      <c r="B250" s="66" t="s">
        <v>89</v>
      </c>
      <c r="C250" s="67" t="s">
        <v>89</v>
      </c>
      <c r="D250" s="68" t="s">
        <v>89</v>
      </c>
      <c r="E250" s="4" t="s">
        <v>95</v>
      </c>
      <c r="F250" s="69">
        <v>1</v>
      </c>
      <c r="G250" s="70">
        <v>1192</v>
      </c>
      <c r="H250" s="69"/>
      <c r="I250" s="70"/>
      <c r="J250" s="71">
        <f t="shared" si="24"/>
        <v>0.3</v>
      </c>
      <c r="K250" s="71"/>
      <c r="L250" s="54"/>
      <c r="M250" s="59"/>
      <c r="O250" s="11">
        <v>47600</v>
      </c>
      <c r="P250" s="11">
        <f t="shared" si="25"/>
        <v>0</v>
      </c>
      <c r="S250" s="11">
        <f t="shared" si="26"/>
        <v>14280</v>
      </c>
      <c r="T250" s="13">
        <f t="shared" si="27"/>
        <v>0.7</v>
      </c>
    </row>
    <row r="251" spans="1:20" ht="24.95" customHeight="1">
      <c r="A251" s="10">
        <v>9</v>
      </c>
      <c r="B251" s="66" t="s">
        <v>90</v>
      </c>
      <c r="C251" s="67" t="s">
        <v>90</v>
      </c>
      <c r="D251" s="68" t="s">
        <v>90</v>
      </c>
      <c r="E251" s="4" t="s">
        <v>96</v>
      </c>
      <c r="F251" s="69">
        <v>1</v>
      </c>
      <c r="G251" s="70">
        <v>1261</v>
      </c>
      <c r="H251" s="69"/>
      <c r="I251" s="70"/>
      <c r="J251" s="71">
        <f t="shared" si="24"/>
        <v>0</v>
      </c>
      <c r="K251" s="71"/>
      <c r="L251" s="54"/>
      <c r="M251" s="59"/>
      <c r="O251" s="11">
        <v>10000</v>
      </c>
      <c r="P251" s="11">
        <f t="shared" si="25"/>
        <v>0</v>
      </c>
      <c r="S251" s="11">
        <f t="shared" si="26"/>
        <v>0</v>
      </c>
      <c r="T251" s="13">
        <f t="shared" si="27"/>
        <v>1</v>
      </c>
    </row>
    <row r="252" spans="1:20" ht="24.95" customHeight="1">
      <c r="A252" s="14"/>
      <c r="B252" s="15"/>
      <c r="C252" s="16"/>
      <c r="D252" s="17"/>
      <c r="E252" s="4"/>
      <c r="F252" s="18"/>
      <c r="G252" s="19"/>
      <c r="H252" s="105"/>
      <c r="I252" s="106"/>
      <c r="J252" s="105"/>
      <c r="K252" s="106"/>
      <c r="L252" s="54"/>
      <c r="M252" s="59"/>
      <c r="N252" s="20"/>
      <c r="P252" s="21" t="s">
        <v>37</v>
      </c>
      <c r="Q252" s="22">
        <f>SUM(P243:P251)</f>
        <v>0</v>
      </c>
      <c r="R252" s="23"/>
      <c r="S252" s="24">
        <f>SUM(S243:S251)</f>
        <v>294228</v>
      </c>
      <c r="T252" s="13"/>
    </row>
    <row r="253" spans="1:20" ht="24.95" customHeight="1">
      <c r="A253" s="107"/>
      <c r="B253" s="108"/>
      <c r="C253" s="108"/>
      <c r="D253" s="109"/>
      <c r="E253" s="4"/>
      <c r="F253" s="54"/>
      <c r="G253" s="59"/>
      <c r="H253" s="72"/>
      <c r="I253" s="72"/>
      <c r="J253" s="72"/>
      <c r="K253" s="72"/>
      <c r="L253" s="72"/>
      <c r="M253" s="72"/>
      <c r="O253" t="s">
        <v>38</v>
      </c>
      <c r="P253" s="24">
        <f>Q252</f>
        <v>0</v>
      </c>
      <c r="T253" s="13"/>
    </row>
    <row r="254" spans="1:20" ht="24.95" customHeight="1">
      <c r="A254" s="97"/>
      <c r="B254" s="98"/>
      <c r="C254" s="98"/>
      <c r="D254" s="99"/>
      <c r="E254" s="4"/>
      <c r="F254" s="54"/>
      <c r="G254" s="59"/>
      <c r="H254" s="72"/>
      <c r="I254" s="72"/>
      <c r="J254" s="72"/>
      <c r="K254" s="72"/>
      <c r="L254" s="72"/>
      <c r="M254" s="72"/>
      <c r="O254" t="s">
        <v>39</v>
      </c>
      <c r="P254" s="23">
        <f>ROUND(P253/1153274,4)*100</f>
        <v>0</v>
      </c>
      <c r="T254" s="13"/>
    </row>
    <row r="255" spans="1:20" ht="24.95" customHeight="1">
      <c r="A255" s="25"/>
      <c r="B255" s="63" t="s">
        <v>40</v>
      </c>
      <c r="C255" s="63"/>
      <c r="D255" s="59"/>
      <c r="E255" s="26"/>
      <c r="F255" s="100"/>
      <c r="G255" s="101"/>
      <c r="H255" s="100"/>
      <c r="I255" s="101"/>
      <c r="J255" s="102"/>
      <c r="K255" s="102"/>
      <c r="L255" s="103">
        <f>P253</f>
        <v>0</v>
      </c>
      <c r="M255" s="104"/>
      <c r="T255" s="13"/>
    </row>
    <row r="256" spans="1:20" ht="24.95" customHeight="1" thickBot="1">
      <c r="A256" s="27"/>
      <c r="B256" s="85" t="s">
        <v>41</v>
      </c>
      <c r="C256" s="85"/>
      <c r="D256" s="86"/>
      <c r="E256" s="28"/>
      <c r="F256" s="87"/>
      <c r="G256" s="88"/>
      <c r="H256" s="87"/>
      <c r="I256" s="88"/>
      <c r="J256" s="87"/>
      <c r="K256" s="88"/>
      <c r="L256" s="89">
        <f>L255+L198</f>
        <v>294228</v>
      </c>
      <c r="M256" s="90"/>
      <c r="T256" s="13"/>
    </row>
    <row r="257" spans="1:20" ht="24.95" customHeight="1">
      <c r="A257" s="29"/>
      <c r="B257" s="91" t="s">
        <v>42</v>
      </c>
      <c r="C257" s="91"/>
      <c r="D257" s="92"/>
      <c r="E257" s="30"/>
      <c r="F257" s="93"/>
      <c r="G257" s="94"/>
      <c r="H257" s="95"/>
      <c r="I257" s="95"/>
      <c r="J257" s="95"/>
      <c r="K257" s="95"/>
      <c r="L257" s="95"/>
      <c r="M257" s="96"/>
      <c r="T257" s="13"/>
    </row>
    <row r="258" spans="1:20" ht="24.95" customHeight="1">
      <c r="A258" s="31"/>
      <c r="B258" s="76" t="s">
        <v>43</v>
      </c>
      <c r="C258" s="76"/>
      <c r="D258" s="77"/>
      <c r="E258" s="4"/>
      <c r="F258" s="54"/>
      <c r="G258" s="59"/>
      <c r="H258" s="72"/>
      <c r="I258" s="72"/>
      <c r="J258" s="72"/>
      <c r="K258" s="72"/>
      <c r="L258" s="72"/>
      <c r="M258" s="78"/>
      <c r="T258" s="13"/>
    </row>
    <row r="259" spans="1:20" ht="24.95" customHeight="1" thickBot="1">
      <c r="A259" s="32"/>
      <c r="B259" s="79" t="s">
        <v>44</v>
      </c>
      <c r="C259" s="79"/>
      <c r="D259" s="80"/>
      <c r="E259" s="33"/>
      <c r="F259" s="81"/>
      <c r="G259" s="82"/>
      <c r="H259" s="83"/>
      <c r="I259" s="83"/>
      <c r="J259" s="83"/>
      <c r="K259" s="83"/>
      <c r="L259" s="83"/>
      <c r="M259" s="84"/>
      <c r="T259" s="13"/>
    </row>
    <row r="260" spans="1:20" ht="24.95" customHeight="1">
      <c r="A260" s="73" t="s">
        <v>45</v>
      </c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T260" s="13"/>
    </row>
    <row r="261" spans="1:20" ht="24.95" customHeight="1">
      <c r="A261" s="72" t="s">
        <v>46</v>
      </c>
      <c r="B261" s="75"/>
      <c r="C261" s="75"/>
      <c r="D261" s="75"/>
      <c r="E261" s="4" t="s">
        <v>22</v>
      </c>
      <c r="F261" s="72" t="s">
        <v>47</v>
      </c>
      <c r="G261" s="72"/>
      <c r="H261" s="72" t="s">
        <v>48</v>
      </c>
      <c r="I261" s="72"/>
      <c r="J261" s="72" t="s">
        <v>49</v>
      </c>
      <c r="K261" s="72"/>
      <c r="L261" s="72" t="s">
        <v>50</v>
      </c>
      <c r="M261" s="72"/>
      <c r="T261" s="13"/>
    </row>
    <row r="262" spans="1:20" ht="24.95" customHeight="1">
      <c r="A262" s="10">
        <v>6</v>
      </c>
      <c r="B262" s="66" t="s">
        <v>97</v>
      </c>
      <c r="C262" s="67" t="s">
        <v>51</v>
      </c>
      <c r="D262" s="68" t="s">
        <v>51</v>
      </c>
      <c r="E262" s="4" t="s">
        <v>35</v>
      </c>
      <c r="F262" s="69">
        <v>80</v>
      </c>
      <c r="G262" s="70">
        <v>1261</v>
      </c>
      <c r="H262" s="71">
        <f>H248</f>
        <v>0</v>
      </c>
      <c r="I262" s="71"/>
      <c r="J262" s="71">
        <f>H262+J204</f>
        <v>78</v>
      </c>
      <c r="K262" s="71"/>
      <c r="L262" s="72"/>
      <c r="M262" s="72"/>
      <c r="T262" s="13"/>
    </row>
    <row r="263" spans="1:20" ht="24.95" customHeight="1">
      <c r="A263" s="10">
        <v>7</v>
      </c>
      <c r="B263" s="66" t="s">
        <v>88</v>
      </c>
      <c r="C263" s="67" t="s">
        <v>88</v>
      </c>
      <c r="D263" s="68" t="s">
        <v>88</v>
      </c>
      <c r="E263" s="4" t="s">
        <v>98</v>
      </c>
      <c r="F263" s="69">
        <v>126</v>
      </c>
      <c r="G263" s="70"/>
      <c r="H263" s="71">
        <f>H249</f>
        <v>0</v>
      </c>
      <c r="I263" s="71"/>
      <c r="J263" s="71">
        <f t="shared" ref="J263:J264" si="28">H263+J205</f>
        <v>0</v>
      </c>
      <c r="K263" s="71"/>
      <c r="L263" s="72"/>
      <c r="M263" s="72"/>
      <c r="T263" s="13"/>
    </row>
    <row r="264" spans="1:20" ht="24.95" customHeight="1">
      <c r="A264" s="10">
        <v>8</v>
      </c>
      <c r="B264" s="66" t="s">
        <v>89</v>
      </c>
      <c r="C264" s="67" t="s">
        <v>89</v>
      </c>
      <c r="D264" s="68" t="s">
        <v>89</v>
      </c>
      <c r="E264" s="4" t="s">
        <v>36</v>
      </c>
      <c r="F264" s="69">
        <v>1</v>
      </c>
      <c r="G264" s="70"/>
      <c r="H264" s="71">
        <f>H250</f>
        <v>0</v>
      </c>
      <c r="I264" s="71"/>
      <c r="J264" s="71">
        <f t="shared" si="28"/>
        <v>0.3</v>
      </c>
      <c r="K264" s="71"/>
      <c r="L264" s="72"/>
      <c r="M264" s="72"/>
      <c r="T264" s="13"/>
    </row>
    <row r="265" spans="1:20" ht="24.95" customHeight="1">
      <c r="A265" s="51" t="s">
        <v>52</v>
      </c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3"/>
      <c r="T265" s="13"/>
    </row>
    <row r="266" spans="1:20" ht="24.95" customHeight="1">
      <c r="A266" s="54" t="s">
        <v>53</v>
      </c>
      <c r="B266" s="63"/>
      <c r="C266" s="63"/>
      <c r="D266" s="59"/>
      <c r="E266" s="4" t="s">
        <v>54</v>
      </c>
      <c r="F266" s="54" t="s">
        <v>55</v>
      </c>
      <c r="G266" s="59"/>
      <c r="H266" s="54" t="s">
        <v>56</v>
      </c>
      <c r="I266" s="59"/>
      <c r="J266" s="54" t="s">
        <v>48</v>
      </c>
      <c r="K266" s="59"/>
      <c r="L266" s="64" t="s">
        <v>49</v>
      </c>
      <c r="M266" s="65"/>
      <c r="T266" s="13"/>
    </row>
    <row r="267" spans="1:20" ht="24.95" customHeight="1">
      <c r="A267" s="54" t="s">
        <v>57</v>
      </c>
      <c r="B267" s="55"/>
      <c r="C267" s="55"/>
      <c r="D267" s="56"/>
      <c r="E267" s="4"/>
      <c r="F267" s="57">
        <f>E267+F209</f>
        <v>28</v>
      </c>
      <c r="G267" s="58"/>
      <c r="H267" s="54" t="s">
        <v>58</v>
      </c>
      <c r="I267" s="59"/>
      <c r="J267" s="54"/>
      <c r="K267" s="59"/>
      <c r="L267" s="57">
        <f>J267+L209</f>
        <v>15</v>
      </c>
      <c r="M267" s="58"/>
      <c r="T267" s="13"/>
    </row>
    <row r="268" spans="1:20" ht="24.95" customHeight="1">
      <c r="A268" s="54" t="s">
        <v>59</v>
      </c>
      <c r="B268" s="55"/>
      <c r="C268" s="55"/>
      <c r="D268" s="56"/>
      <c r="E268" s="4"/>
      <c r="F268" s="57">
        <f t="shared" ref="F268:F270" si="29">E268+F210</f>
        <v>0</v>
      </c>
      <c r="G268" s="58"/>
      <c r="H268" s="54" t="s">
        <v>60</v>
      </c>
      <c r="I268" s="59"/>
      <c r="J268" s="54"/>
      <c r="K268" s="59"/>
      <c r="L268" s="57">
        <f t="shared" ref="L268:L270" si="30">J268+L210</f>
        <v>0</v>
      </c>
      <c r="M268" s="58"/>
      <c r="T268" s="13"/>
    </row>
    <row r="269" spans="1:20" ht="24.95" customHeight="1">
      <c r="A269" s="54" t="s">
        <v>61</v>
      </c>
      <c r="B269" s="55"/>
      <c r="C269" s="55"/>
      <c r="D269" s="56"/>
      <c r="E269" s="4"/>
      <c r="F269" s="57">
        <f t="shared" si="29"/>
        <v>2</v>
      </c>
      <c r="G269" s="58"/>
      <c r="H269" s="54" t="s">
        <v>62</v>
      </c>
      <c r="I269" s="59"/>
      <c r="J269" s="54"/>
      <c r="K269" s="59"/>
      <c r="L269" s="57">
        <f t="shared" si="30"/>
        <v>5</v>
      </c>
      <c r="M269" s="58"/>
      <c r="T269" s="13"/>
    </row>
    <row r="270" spans="1:20" ht="24.95" customHeight="1">
      <c r="A270" s="54" t="s">
        <v>63</v>
      </c>
      <c r="B270" s="55"/>
      <c r="C270" s="55"/>
      <c r="D270" s="56"/>
      <c r="E270" s="4"/>
      <c r="F270" s="57">
        <f t="shared" si="29"/>
        <v>4</v>
      </c>
      <c r="G270" s="58"/>
      <c r="H270" s="54" t="s">
        <v>64</v>
      </c>
      <c r="I270" s="59"/>
      <c r="J270" s="54"/>
      <c r="K270" s="59"/>
      <c r="L270" s="57">
        <f t="shared" si="30"/>
        <v>1</v>
      </c>
      <c r="M270" s="58"/>
      <c r="T270" s="13"/>
    </row>
    <row r="271" spans="1:20" ht="64.5" customHeight="1">
      <c r="A271" s="60" t="s">
        <v>65</v>
      </c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2"/>
      <c r="T271" s="13"/>
    </row>
    <row r="272" spans="1:20" ht="24.95" customHeight="1">
      <c r="A272" s="46" t="s">
        <v>66</v>
      </c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8"/>
      <c r="T272" s="13"/>
    </row>
    <row r="273" spans="1:20" ht="24.95" customHeight="1">
      <c r="A273" s="27"/>
      <c r="B273" s="34" t="s">
        <v>67</v>
      </c>
      <c r="C273" s="34"/>
      <c r="D273" s="34"/>
      <c r="E273" s="34"/>
      <c r="F273" s="34"/>
      <c r="G273" s="35"/>
      <c r="H273" s="34"/>
      <c r="I273" s="34"/>
      <c r="J273" s="34"/>
      <c r="K273" s="34"/>
      <c r="L273" s="34"/>
      <c r="M273" s="36"/>
      <c r="T273" s="13"/>
    </row>
    <row r="274" spans="1:20" ht="24.95" customHeight="1">
      <c r="A274" s="27"/>
      <c r="B274" s="34" t="s">
        <v>81</v>
      </c>
      <c r="C274" s="34"/>
      <c r="D274" s="34"/>
      <c r="E274" s="34"/>
      <c r="F274" s="34"/>
      <c r="G274" s="35"/>
      <c r="H274" s="34"/>
      <c r="I274" s="34"/>
      <c r="J274" s="34"/>
      <c r="K274" s="34"/>
      <c r="L274" s="34"/>
      <c r="M274" s="36"/>
      <c r="T274" s="13"/>
    </row>
    <row r="275" spans="1:20" ht="24.95" customHeight="1">
      <c r="A275" s="27"/>
      <c r="B275" s="34" t="s">
        <v>68</v>
      </c>
      <c r="C275" s="34"/>
      <c r="D275" s="34"/>
      <c r="E275" s="34"/>
      <c r="F275" s="34"/>
      <c r="G275" s="35"/>
      <c r="H275" s="34"/>
      <c r="I275" s="34"/>
      <c r="J275" s="34"/>
      <c r="K275" s="34"/>
      <c r="L275" s="34"/>
      <c r="M275" s="36"/>
      <c r="T275" s="13"/>
    </row>
    <row r="276" spans="1:20" ht="24.95" customHeight="1">
      <c r="A276" s="27"/>
      <c r="B276" s="34" t="s">
        <v>82</v>
      </c>
      <c r="C276" s="34"/>
      <c r="D276" s="34"/>
      <c r="E276" s="34"/>
      <c r="F276" s="34"/>
      <c r="G276" s="35"/>
      <c r="H276" s="34"/>
      <c r="I276" s="34"/>
      <c r="J276" s="34"/>
      <c r="K276" s="34"/>
      <c r="L276" s="34"/>
      <c r="M276" s="36"/>
      <c r="T276" s="13"/>
    </row>
    <row r="277" spans="1:20" ht="24.95" customHeight="1">
      <c r="A277" s="27"/>
      <c r="B277" s="34" t="s">
        <v>99</v>
      </c>
      <c r="C277" s="34"/>
      <c r="D277" s="34"/>
      <c r="E277" s="34"/>
      <c r="F277" s="34"/>
      <c r="G277" s="35"/>
      <c r="H277" s="34"/>
      <c r="I277" s="34"/>
      <c r="J277" s="34"/>
      <c r="K277" s="34"/>
      <c r="L277" s="34"/>
      <c r="M277" s="36"/>
      <c r="T277" s="13"/>
    </row>
    <row r="278" spans="1:20" ht="24.95" customHeight="1">
      <c r="A278" s="37"/>
      <c r="B278" s="49" t="s">
        <v>69</v>
      </c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50"/>
      <c r="T278" s="13"/>
    </row>
    <row r="279" spans="1:20" ht="44.25" customHeight="1">
      <c r="A279" s="51" t="s">
        <v>70</v>
      </c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3"/>
      <c r="T279" s="13"/>
    </row>
    <row r="280" spans="1:20" ht="48" customHeight="1">
      <c r="A280" s="51" t="s">
        <v>71</v>
      </c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3"/>
      <c r="T280" s="13"/>
    </row>
    <row r="281" spans="1:20" ht="81" customHeight="1">
      <c r="A281" s="51" t="s">
        <v>80</v>
      </c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3"/>
      <c r="T281" s="13"/>
    </row>
    <row r="282" spans="1:20" ht="100.5" customHeight="1">
      <c r="A282" s="51" t="s">
        <v>72</v>
      </c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3"/>
      <c r="T282" s="13"/>
    </row>
    <row r="283" spans="1:20" ht="12" customHeight="1">
      <c r="A283" s="41" t="s">
        <v>73</v>
      </c>
      <c r="B283" s="41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38"/>
      <c r="T283" s="13"/>
    </row>
    <row r="284" spans="1:20" ht="12" customHeight="1">
      <c r="A284" s="43" t="s">
        <v>74</v>
      </c>
      <c r="B284" s="43"/>
      <c r="C284" s="40"/>
      <c r="D284" s="40"/>
      <c r="E284" s="40"/>
      <c r="F284" s="40"/>
      <c r="G284" s="40"/>
      <c r="H284" s="40"/>
      <c r="I284" s="40"/>
      <c r="J284" s="40"/>
      <c r="K284" s="40"/>
      <c r="L284" s="38"/>
      <c r="M284" s="38"/>
      <c r="T284" s="13"/>
    </row>
    <row r="285" spans="1:20" ht="12" customHeight="1">
      <c r="A285" s="44" t="s">
        <v>75</v>
      </c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T285" s="13"/>
    </row>
    <row r="286" spans="1:20" ht="12" customHeight="1">
      <c r="A286" s="39" t="s">
        <v>76</v>
      </c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T286" s="13"/>
    </row>
    <row r="287" spans="1:20" ht="12" customHeight="1">
      <c r="A287" s="39" t="s">
        <v>77</v>
      </c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T287" s="13"/>
    </row>
    <row r="288" spans="1:20" ht="12" customHeight="1">
      <c r="A288" s="45" t="s">
        <v>78</v>
      </c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T288" s="13"/>
    </row>
    <row r="289" spans="1:20" ht="12" customHeight="1">
      <c r="A289" s="39" t="s">
        <v>79</v>
      </c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T289" s="13"/>
    </row>
    <row r="290" spans="1:20" ht="409.5" customHeight="1"/>
    <row r="291" spans="1:20" s="2" customFormat="1" ht="35.1" customHeight="1">
      <c r="A291" s="126" t="s">
        <v>0</v>
      </c>
      <c r="B291" s="126"/>
      <c r="C291" s="1">
        <f>C233+1</f>
        <v>41</v>
      </c>
      <c r="G291" s="3"/>
    </row>
    <row r="292" spans="1:20" s="2" customFormat="1" ht="35.1" customHeight="1">
      <c r="A292" s="126" t="s">
        <v>1</v>
      </c>
      <c r="B292" s="126"/>
      <c r="C292" s="2" t="s">
        <v>2</v>
      </c>
      <c r="E292" s="2" t="s">
        <v>3</v>
      </c>
      <c r="G292" s="3"/>
      <c r="H292" s="127" t="s">
        <v>4</v>
      </c>
      <c r="I292" s="128"/>
      <c r="J292" s="129">
        <f>J234+1</f>
        <v>46028</v>
      </c>
      <c r="K292" s="130"/>
      <c r="L292" s="131">
        <f>J292</f>
        <v>46028</v>
      </c>
      <c r="M292" s="132"/>
    </row>
    <row r="293" spans="1:20" s="2" customFormat="1" ht="30" customHeight="1">
      <c r="A293" s="72" t="s">
        <v>5</v>
      </c>
      <c r="B293" s="114"/>
      <c r="C293" s="119" t="s">
        <v>83</v>
      </c>
      <c r="D293" s="119"/>
      <c r="E293" s="119"/>
      <c r="F293" s="119"/>
      <c r="G293" s="119"/>
      <c r="H293" s="54" t="s">
        <v>6</v>
      </c>
      <c r="I293" s="59"/>
      <c r="J293" s="120"/>
      <c r="K293" s="120"/>
      <c r="L293" s="120"/>
      <c r="M293" s="120"/>
    </row>
    <row r="294" spans="1:20" s="1" customFormat="1" ht="30" customHeight="1">
      <c r="A294" s="72" t="s">
        <v>7</v>
      </c>
      <c r="B294" s="114"/>
      <c r="C294" s="4">
        <v>50</v>
      </c>
      <c r="D294" s="4" t="s">
        <v>8</v>
      </c>
      <c r="E294" s="4" t="s">
        <v>9</v>
      </c>
      <c r="F294" s="4">
        <f>F236+1</f>
        <v>41</v>
      </c>
      <c r="G294" s="5" t="s">
        <v>8</v>
      </c>
      <c r="H294" s="4" t="s">
        <v>10</v>
      </c>
      <c r="I294" s="4">
        <f>C294-F294+L294</f>
        <v>9</v>
      </c>
      <c r="J294" s="4" t="s">
        <v>11</v>
      </c>
      <c r="K294" s="6" t="s">
        <v>12</v>
      </c>
      <c r="L294" s="7">
        <f>L236</f>
        <v>0</v>
      </c>
      <c r="M294" s="4" t="s">
        <v>8</v>
      </c>
    </row>
    <row r="295" spans="1:20" s="2" customFormat="1" ht="30" customHeight="1">
      <c r="A295" s="72" t="s">
        <v>13</v>
      </c>
      <c r="B295" s="75"/>
      <c r="C295" s="75"/>
      <c r="D295" s="121">
        <f>D237</f>
        <v>45988</v>
      </c>
      <c r="E295" s="122"/>
      <c r="F295" s="122"/>
      <c r="G295" s="123"/>
      <c r="H295" s="124" t="s">
        <v>14</v>
      </c>
      <c r="I295" s="125"/>
      <c r="J295" s="121">
        <f>J237</f>
        <v>46037</v>
      </c>
      <c r="K295" s="122"/>
      <c r="L295" s="122"/>
      <c r="M295" s="123"/>
    </row>
    <row r="296" spans="1:20" s="2" customFormat="1" ht="30" customHeight="1">
      <c r="A296" s="72" t="s">
        <v>15</v>
      </c>
      <c r="B296" s="114"/>
      <c r="C296" s="114"/>
      <c r="D296" s="72">
        <v>6.9379999999999997</v>
      </c>
      <c r="E296" s="72"/>
      <c r="F296" s="72"/>
      <c r="G296" s="72"/>
      <c r="H296" s="64" t="s">
        <v>16</v>
      </c>
      <c r="I296" s="115"/>
      <c r="J296" s="116">
        <f>P312</f>
        <v>0</v>
      </c>
      <c r="K296" s="117"/>
      <c r="L296" s="117"/>
      <c r="M296" s="118"/>
    </row>
    <row r="297" spans="1:20" s="2" customFormat="1" ht="30" customHeight="1">
      <c r="A297" s="72" t="s">
        <v>17</v>
      </c>
      <c r="B297" s="114"/>
      <c r="C297" s="114"/>
      <c r="D297" s="72">
        <f>D296+D239</f>
        <v>36.507000000000005</v>
      </c>
      <c r="E297" s="72"/>
      <c r="F297" s="72"/>
      <c r="G297" s="72"/>
      <c r="H297" s="64" t="s">
        <v>18</v>
      </c>
      <c r="I297" s="115"/>
      <c r="J297" s="116">
        <f>J296+J239</f>
        <v>25.469999999999992</v>
      </c>
      <c r="K297" s="117"/>
      <c r="L297" s="117"/>
      <c r="M297" s="118"/>
    </row>
    <row r="298" spans="1:20" s="2" customFormat="1" ht="30" customHeight="1">
      <c r="A298" s="111" t="s">
        <v>19</v>
      </c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12"/>
      <c r="M298" s="113"/>
    </row>
    <row r="299" spans="1:20" s="2" customFormat="1" ht="30" customHeight="1">
      <c r="A299" s="8" t="s">
        <v>20</v>
      </c>
      <c r="B299" s="72" t="s">
        <v>21</v>
      </c>
      <c r="C299" s="72"/>
      <c r="D299" s="72"/>
      <c r="E299" s="4" t="s">
        <v>22</v>
      </c>
      <c r="F299" s="54" t="s">
        <v>23</v>
      </c>
      <c r="G299" s="59"/>
      <c r="H299" s="72" t="s">
        <v>24</v>
      </c>
      <c r="I299" s="72"/>
      <c r="J299" s="72" t="s">
        <v>25</v>
      </c>
      <c r="K299" s="72"/>
      <c r="L299" s="72" t="s">
        <v>26</v>
      </c>
      <c r="M299" s="72"/>
      <c r="O299" s="1" t="s">
        <v>27</v>
      </c>
      <c r="P299" s="1" t="s">
        <v>28</v>
      </c>
      <c r="T299" s="2" t="s">
        <v>29</v>
      </c>
    </row>
    <row r="300" spans="1:20" s="2" customFormat="1" ht="24.95" customHeight="1">
      <c r="A300" s="9" t="s">
        <v>30</v>
      </c>
      <c r="B300" s="110" t="s">
        <v>31</v>
      </c>
      <c r="C300" s="110"/>
      <c r="D300" s="110"/>
      <c r="E300" s="4"/>
      <c r="F300" s="54"/>
      <c r="G300" s="59"/>
      <c r="H300" s="72"/>
      <c r="I300" s="72"/>
      <c r="J300" s="72"/>
      <c r="K300" s="72"/>
      <c r="L300" s="72"/>
      <c r="M300" s="72"/>
    </row>
    <row r="301" spans="1:20" ht="24.95" customHeight="1">
      <c r="A301" s="10">
        <v>1</v>
      </c>
      <c r="B301" s="66" t="s">
        <v>91</v>
      </c>
      <c r="C301" s="67" t="s">
        <v>91</v>
      </c>
      <c r="D301" s="68" t="s">
        <v>91</v>
      </c>
      <c r="E301" s="4" t="s">
        <v>32</v>
      </c>
      <c r="F301" s="69">
        <v>1</v>
      </c>
      <c r="G301" s="70"/>
      <c r="H301" s="69"/>
      <c r="I301" s="70"/>
      <c r="J301" s="71">
        <f>H301+J243</f>
        <v>1</v>
      </c>
      <c r="K301" s="71"/>
      <c r="L301" s="72"/>
      <c r="M301" s="72"/>
      <c r="O301" s="11">
        <v>4000</v>
      </c>
      <c r="P301" s="11">
        <f>ROUND(H301*O301,0)</f>
        <v>0</v>
      </c>
      <c r="Q301" s="12"/>
      <c r="S301" s="11">
        <f>ROUND(J301*O301,0)</f>
        <v>4000</v>
      </c>
      <c r="T301" s="13">
        <f>F301-J301</f>
        <v>0</v>
      </c>
    </row>
    <row r="302" spans="1:20" ht="24.95" customHeight="1">
      <c r="A302" s="10">
        <v>2</v>
      </c>
      <c r="B302" s="66" t="s">
        <v>92</v>
      </c>
      <c r="C302" s="67" t="s">
        <v>92</v>
      </c>
      <c r="D302" s="68" t="s">
        <v>92</v>
      </c>
      <c r="E302" s="4" t="s">
        <v>32</v>
      </c>
      <c r="F302" s="69">
        <v>1</v>
      </c>
      <c r="G302" s="70"/>
      <c r="H302" s="69"/>
      <c r="I302" s="70"/>
      <c r="J302" s="71">
        <f t="shared" ref="J302:J309" si="31">H302+J244</f>
        <v>1</v>
      </c>
      <c r="K302" s="71"/>
      <c r="L302" s="72"/>
      <c r="M302" s="72"/>
      <c r="O302" s="11">
        <v>14334</v>
      </c>
      <c r="P302" s="11">
        <f t="shared" ref="P302:P309" si="32">ROUND(H302*O302,0)</f>
        <v>0</v>
      </c>
      <c r="Q302" s="12"/>
      <c r="S302" s="11">
        <f t="shared" ref="S302:S309" si="33">ROUND(J302*O302,0)</f>
        <v>14334</v>
      </c>
      <c r="T302" s="13">
        <f t="shared" ref="T302:T309" si="34">F302-J302</f>
        <v>0</v>
      </c>
    </row>
    <row r="303" spans="1:20" ht="24.95" customHeight="1">
      <c r="A303" s="10">
        <v>3</v>
      </c>
      <c r="B303" s="66" t="s">
        <v>84</v>
      </c>
      <c r="C303" s="67" t="s">
        <v>84</v>
      </c>
      <c r="D303" s="68" t="s">
        <v>84</v>
      </c>
      <c r="E303" s="4" t="s">
        <v>33</v>
      </c>
      <c r="F303" s="69">
        <v>1</v>
      </c>
      <c r="G303" s="70"/>
      <c r="H303" s="69"/>
      <c r="I303" s="70"/>
      <c r="J303" s="71">
        <f t="shared" si="31"/>
        <v>0.5</v>
      </c>
      <c r="K303" s="71"/>
      <c r="L303" s="72"/>
      <c r="M303" s="72"/>
      <c r="O303" s="11">
        <v>7000</v>
      </c>
      <c r="P303" s="11">
        <f t="shared" si="32"/>
        <v>0</v>
      </c>
      <c r="Q303" s="12"/>
      <c r="S303" s="11">
        <f t="shared" si="33"/>
        <v>3500</v>
      </c>
      <c r="T303" s="13">
        <f t="shared" si="34"/>
        <v>0.5</v>
      </c>
    </row>
    <row r="304" spans="1:20" ht="24.95" customHeight="1">
      <c r="A304" s="10">
        <v>4</v>
      </c>
      <c r="B304" s="66" t="s">
        <v>85</v>
      </c>
      <c r="C304" s="67" t="s">
        <v>85</v>
      </c>
      <c r="D304" s="68" t="s">
        <v>85</v>
      </c>
      <c r="E304" s="4" t="s">
        <v>34</v>
      </c>
      <c r="F304" s="69">
        <v>1</v>
      </c>
      <c r="G304" s="70"/>
      <c r="H304" s="69"/>
      <c r="I304" s="70"/>
      <c r="J304" s="71">
        <f t="shared" si="31"/>
        <v>1</v>
      </c>
      <c r="K304" s="71"/>
      <c r="L304" s="72"/>
      <c r="M304" s="72"/>
      <c r="O304" s="11">
        <v>74000</v>
      </c>
      <c r="P304" s="11">
        <f t="shared" si="32"/>
        <v>0</v>
      </c>
      <c r="Q304" s="12"/>
      <c r="S304" s="11">
        <f t="shared" si="33"/>
        <v>74000</v>
      </c>
      <c r="T304" s="13">
        <f t="shared" si="34"/>
        <v>0</v>
      </c>
    </row>
    <row r="305" spans="1:20" ht="24.95" customHeight="1">
      <c r="A305" s="10">
        <v>5</v>
      </c>
      <c r="B305" s="66" t="s">
        <v>86</v>
      </c>
      <c r="C305" s="67" t="s">
        <v>86</v>
      </c>
      <c r="D305" s="68" t="s">
        <v>86</v>
      </c>
      <c r="E305" s="4" t="s">
        <v>93</v>
      </c>
      <c r="F305" s="69">
        <v>396</v>
      </c>
      <c r="G305" s="70"/>
      <c r="H305" s="69"/>
      <c r="I305" s="70"/>
      <c r="J305" s="71">
        <f t="shared" si="31"/>
        <v>350</v>
      </c>
      <c r="K305" s="71"/>
      <c r="L305" s="72"/>
      <c r="M305" s="72"/>
      <c r="O305" s="11">
        <v>200</v>
      </c>
      <c r="P305" s="11">
        <f t="shared" si="32"/>
        <v>0</v>
      </c>
      <c r="Q305" s="12"/>
      <c r="S305" s="11">
        <f t="shared" si="33"/>
        <v>70000</v>
      </c>
      <c r="T305" s="13">
        <f t="shared" si="34"/>
        <v>46</v>
      </c>
    </row>
    <row r="306" spans="1:20" ht="24.95" customHeight="1">
      <c r="A306" s="10">
        <v>6</v>
      </c>
      <c r="B306" s="66" t="s">
        <v>97</v>
      </c>
      <c r="C306" s="67" t="s">
        <v>87</v>
      </c>
      <c r="D306" s="68" t="s">
        <v>87</v>
      </c>
      <c r="E306" s="4" t="s">
        <v>35</v>
      </c>
      <c r="F306" s="69">
        <v>80</v>
      </c>
      <c r="G306" s="70">
        <v>183.6</v>
      </c>
      <c r="H306" s="69"/>
      <c r="I306" s="70"/>
      <c r="J306" s="71">
        <f t="shared" si="31"/>
        <v>78</v>
      </c>
      <c r="K306" s="71"/>
      <c r="L306" s="54"/>
      <c r="M306" s="59"/>
      <c r="O306" s="11">
        <v>1463</v>
      </c>
      <c r="P306" s="11">
        <f t="shared" si="32"/>
        <v>0</v>
      </c>
      <c r="S306" s="11">
        <f t="shared" si="33"/>
        <v>114114</v>
      </c>
      <c r="T306" s="13">
        <f t="shared" si="34"/>
        <v>2</v>
      </c>
    </row>
    <row r="307" spans="1:20" ht="24.95" customHeight="1">
      <c r="A307" s="10">
        <v>7</v>
      </c>
      <c r="B307" s="66" t="s">
        <v>88</v>
      </c>
      <c r="C307" s="67" t="s">
        <v>88</v>
      </c>
      <c r="D307" s="68" t="s">
        <v>88</v>
      </c>
      <c r="E307" s="4" t="s">
        <v>94</v>
      </c>
      <c r="F307" s="69">
        <v>126</v>
      </c>
      <c r="G307" s="70">
        <v>19</v>
      </c>
      <c r="H307" s="69"/>
      <c r="I307" s="70"/>
      <c r="J307" s="71">
        <f t="shared" si="31"/>
        <v>0</v>
      </c>
      <c r="K307" s="71"/>
      <c r="L307" s="54"/>
      <c r="M307" s="59"/>
      <c r="O307" s="11">
        <v>6350</v>
      </c>
      <c r="P307" s="11">
        <f t="shared" si="32"/>
        <v>0</v>
      </c>
      <c r="S307" s="11">
        <f t="shared" si="33"/>
        <v>0</v>
      </c>
      <c r="T307" s="13">
        <f t="shared" si="34"/>
        <v>126</v>
      </c>
    </row>
    <row r="308" spans="1:20" ht="24.95" customHeight="1">
      <c r="A308" s="10">
        <v>8</v>
      </c>
      <c r="B308" s="66" t="s">
        <v>89</v>
      </c>
      <c r="C308" s="67" t="s">
        <v>89</v>
      </c>
      <c r="D308" s="68" t="s">
        <v>89</v>
      </c>
      <c r="E308" s="4" t="s">
        <v>95</v>
      </c>
      <c r="F308" s="69">
        <v>1</v>
      </c>
      <c r="G308" s="70">
        <v>1192</v>
      </c>
      <c r="H308" s="69"/>
      <c r="I308" s="70"/>
      <c r="J308" s="71">
        <f t="shared" si="31"/>
        <v>0.3</v>
      </c>
      <c r="K308" s="71"/>
      <c r="L308" s="54"/>
      <c r="M308" s="59"/>
      <c r="O308" s="11">
        <v>47600</v>
      </c>
      <c r="P308" s="11">
        <f t="shared" si="32"/>
        <v>0</v>
      </c>
      <c r="S308" s="11">
        <f t="shared" si="33"/>
        <v>14280</v>
      </c>
      <c r="T308" s="13">
        <f t="shared" si="34"/>
        <v>0.7</v>
      </c>
    </row>
    <row r="309" spans="1:20" ht="24.95" customHeight="1">
      <c r="A309" s="10">
        <v>9</v>
      </c>
      <c r="B309" s="66" t="s">
        <v>90</v>
      </c>
      <c r="C309" s="67" t="s">
        <v>90</v>
      </c>
      <c r="D309" s="68" t="s">
        <v>90</v>
      </c>
      <c r="E309" s="4" t="s">
        <v>96</v>
      </c>
      <c r="F309" s="69">
        <v>1</v>
      </c>
      <c r="G309" s="70">
        <v>1261</v>
      </c>
      <c r="H309" s="69"/>
      <c r="I309" s="70"/>
      <c r="J309" s="71">
        <f t="shared" si="31"/>
        <v>0</v>
      </c>
      <c r="K309" s="71"/>
      <c r="L309" s="54"/>
      <c r="M309" s="59"/>
      <c r="O309" s="11">
        <v>10000</v>
      </c>
      <c r="P309" s="11">
        <f t="shared" si="32"/>
        <v>0</v>
      </c>
      <c r="S309" s="11">
        <f t="shared" si="33"/>
        <v>0</v>
      </c>
      <c r="T309" s="13">
        <f t="shared" si="34"/>
        <v>1</v>
      </c>
    </row>
    <row r="310" spans="1:20" ht="24.95" customHeight="1">
      <c r="A310" s="14"/>
      <c r="B310" s="15"/>
      <c r="C310" s="16"/>
      <c r="D310" s="17"/>
      <c r="E310" s="4"/>
      <c r="F310" s="18"/>
      <c r="G310" s="19"/>
      <c r="H310" s="105"/>
      <c r="I310" s="106"/>
      <c r="J310" s="105"/>
      <c r="K310" s="106"/>
      <c r="L310" s="54"/>
      <c r="M310" s="59"/>
      <c r="N310" s="20"/>
      <c r="P310" s="21" t="s">
        <v>37</v>
      </c>
      <c r="Q310" s="22">
        <f>SUM(P301:P309)</f>
        <v>0</v>
      </c>
      <c r="R310" s="23"/>
      <c r="S310" s="24">
        <f>SUM(S301:S309)</f>
        <v>294228</v>
      </c>
      <c r="T310" s="13"/>
    </row>
    <row r="311" spans="1:20" ht="24.95" customHeight="1">
      <c r="A311" s="107"/>
      <c r="B311" s="108"/>
      <c r="C311" s="108"/>
      <c r="D311" s="109"/>
      <c r="E311" s="4"/>
      <c r="F311" s="54"/>
      <c r="G311" s="59"/>
      <c r="H311" s="72"/>
      <c r="I311" s="72"/>
      <c r="J311" s="72"/>
      <c r="K311" s="72"/>
      <c r="L311" s="72"/>
      <c r="M311" s="72"/>
      <c r="O311" t="s">
        <v>38</v>
      </c>
      <c r="P311" s="24">
        <f>Q310</f>
        <v>0</v>
      </c>
      <c r="T311" s="13"/>
    </row>
    <row r="312" spans="1:20" ht="24.95" customHeight="1">
      <c r="A312" s="97"/>
      <c r="B312" s="98"/>
      <c r="C312" s="98"/>
      <c r="D312" s="99"/>
      <c r="E312" s="4"/>
      <c r="F312" s="54"/>
      <c r="G312" s="59"/>
      <c r="H312" s="72"/>
      <c r="I312" s="72"/>
      <c r="J312" s="72"/>
      <c r="K312" s="72"/>
      <c r="L312" s="72"/>
      <c r="M312" s="72"/>
      <c r="O312" t="s">
        <v>39</v>
      </c>
      <c r="P312" s="23">
        <f>ROUND(P311/1153274,4)*100</f>
        <v>0</v>
      </c>
      <c r="T312" s="13"/>
    </row>
    <row r="313" spans="1:20" ht="24.95" customHeight="1">
      <c r="A313" s="25"/>
      <c r="B313" s="63" t="s">
        <v>40</v>
      </c>
      <c r="C313" s="63"/>
      <c r="D313" s="59"/>
      <c r="E313" s="26"/>
      <c r="F313" s="100"/>
      <c r="G313" s="101"/>
      <c r="H313" s="100"/>
      <c r="I313" s="101"/>
      <c r="J313" s="102"/>
      <c r="K313" s="102"/>
      <c r="L313" s="103">
        <f>P311</f>
        <v>0</v>
      </c>
      <c r="M313" s="104"/>
      <c r="T313" s="13"/>
    </row>
    <row r="314" spans="1:20" ht="24.95" customHeight="1" thickBot="1">
      <c r="A314" s="27"/>
      <c r="B314" s="85" t="s">
        <v>41</v>
      </c>
      <c r="C314" s="85"/>
      <c r="D314" s="86"/>
      <c r="E314" s="28"/>
      <c r="F314" s="87"/>
      <c r="G314" s="88"/>
      <c r="H314" s="87"/>
      <c r="I314" s="88"/>
      <c r="J314" s="87"/>
      <c r="K314" s="88"/>
      <c r="L314" s="89">
        <f>L313+L256</f>
        <v>294228</v>
      </c>
      <c r="M314" s="90"/>
      <c r="T314" s="13"/>
    </row>
    <row r="315" spans="1:20" ht="24.95" customHeight="1">
      <c r="A315" s="29"/>
      <c r="B315" s="91" t="s">
        <v>42</v>
      </c>
      <c r="C315" s="91"/>
      <c r="D315" s="92"/>
      <c r="E315" s="30"/>
      <c r="F315" s="93"/>
      <c r="G315" s="94"/>
      <c r="H315" s="95"/>
      <c r="I315" s="95"/>
      <c r="J315" s="95"/>
      <c r="K315" s="95"/>
      <c r="L315" s="95"/>
      <c r="M315" s="96"/>
      <c r="T315" s="13"/>
    </row>
    <row r="316" spans="1:20" ht="24.95" customHeight="1">
      <c r="A316" s="31"/>
      <c r="B316" s="76" t="s">
        <v>43</v>
      </c>
      <c r="C316" s="76"/>
      <c r="D316" s="77"/>
      <c r="E316" s="4"/>
      <c r="F316" s="54"/>
      <c r="G316" s="59"/>
      <c r="H316" s="72"/>
      <c r="I316" s="72"/>
      <c r="J316" s="72"/>
      <c r="K316" s="72"/>
      <c r="L316" s="72"/>
      <c r="M316" s="78"/>
      <c r="T316" s="13"/>
    </row>
    <row r="317" spans="1:20" ht="24.95" customHeight="1" thickBot="1">
      <c r="A317" s="32"/>
      <c r="B317" s="79" t="s">
        <v>44</v>
      </c>
      <c r="C317" s="79"/>
      <c r="D317" s="80"/>
      <c r="E317" s="33"/>
      <c r="F317" s="81"/>
      <c r="G317" s="82"/>
      <c r="H317" s="83"/>
      <c r="I317" s="83"/>
      <c r="J317" s="83"/>
      <c r="K317" s="83"/>
      <c r="L317" s="83"/>
      <c r="M317" s="84"/>
      <c r="T317" s="13"/>
    </row>
    <row r="318" spans="1:20" ht="24.95" customHeight="1">
      <c r="A318" s="73" t="s">
        <v>45</v>
      </c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T318" s="13"/>
    </row>
    <row r="319" spans="1:20" ht="24.95" customHeight="1">
      <c r="A319" s="72" t="s">
        <v>46</v>
      </c>
      <c r="B319" s="75"/>
      <c r="C319" s="75"/>
      <c r="D319" s="75"/>
      <c r="E319" s="4" t="s">
        <v>22</v>
      </c>
      <c r="F319" s="72" t="s">
        <v>47</v>
      </c>
      <c r="G319" s="72"/>
      <c r="H319" s="72" t="s">
        <v>48</v>
      </c>
      <c r="I319" s="72"/>
      <c r="J319" s="72" t="s">
        <v>49</v>
      </c>
      <c r="K319" s="72"/>
      <c r="L319" s="72" t="s">
        <v>50</v>
      </c>
      <c r="M319" s="72"/>
      <c r="T319" s="13"/>
    </row>
    <row r="320" spans="1:20" ht="24.95" customHeight="1">
      <c r="A320" s="10">
        <v>6</v>
      </c>
      <c r="B320" s="66" t="s">
        <v>97</v>
      </c>
      <c r="C320" s="67" t="s">
        <v>51</v>
      </c>
      <c r="D320" s="68" t="s">
        <v>51</v>
      </c>
      <c r="E320" s="4" t="s">
        <v>35</v>
      </c>
      <c r="F320" s="69">
        <v>80</v>
      </c>
      <c r="G320" s="70">
        <v>1261</v>
      </c>
      <c r="H320" s="71">
        <f>H306</f>
        <v>0</v>
      </c>
      <c r="I320" s="71"/>
      <c r="J320" s="71">
        <f>H320+J262</f>
        <v>78</v>
      </c>
      <c r="K320" s="71"/>
      <c r="L320" s="72"/>
      <c r="M320" s="72"/>
      <c r="T320" s="13"/>
    </row>
    <row r="321" spans="1:20" ht="24.95" customHeight="1">
      <c r="A321" s="10">
        <v>7</v>
      </c>
      <c r="B321" s="66" t="s">
        <v>88</v>
      </c>
      <c r="C321" s="67" t="s">
        <v>88</v>
      </c>
      <c r="D321" s="68" t="s">
        <v>88</v>
      </c>
      <c r="E321" s="4" t="s">
        <v>98</v>
      </c>
      <c r="F321" s="69">
        <v>126</v>
      </c>
      <c r="G321" s="70"/>
      <c r="H321" s="71">
        <f>H307</f>
        <v>0</v>
      </c>
      <c r="I321" s="71"/>
      <c r="J321" s="71">
        <f t="shared" ref="J321:J322" si="35">H321+J263</f>
        <v>0</v>
      </c>
      <c r="K321" s="71"/>
      <c r="L321" s="72"/>
      <c r="M321" s="72"/>
      <c r="T321" s="13"/>
    </row>
    <row r="322" spans="1:20" ht="24.95" customHeight="1">
      <c r="A322" s="10">
        <v>8</v>
      </c>
      <c r="B322" s="66" t="s">
        <v>89</v>
      </c>
      <c r="C322" s="67" t="s">
        <v>89</v>
      </c>
      <c r="D322" s="68" t="s">
        <v>89</v>
      </c>
      <c r="E322" s="4" t="s">
        <v>36</v>
      </c>
      <c r="F322" s="69">
        <v>1</v>
      </c>
      <c r="G322" s="70"/>
      <c r="H322" s="71">
        <f>H308</f>
        <v>0</v>
      </c>
      <c r="I322" s="71"/>
      <c r="J322" s="71">
        <f t="shared" si="35"/>
        <v>0.3</v>
      </c>
      <c r="K322" s="71"/>
      <c r="L322" s="72"/>
      <c r="M322" s="72"/>
      <c r="T322" s="13"/>
    </row>
    <row r="323" spans="1:20" ht="24.95" customHeight="1">
      <c r="A323" s="51" t="s">
        <v>52</v>
      </c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3"/>
      <c r="T323" s="13"/>
    </row>
    <row r="324" spans="1:20" ht="24.95" customHeight="1">
      <c r="A324" s="54" t="s">
        <v>53</v>
      </c>
      <c r="B324" s="63"/>
      <c r="C324" s="63"/>
      <c r="D324" s="59"/>
      <c r="E324" s="4" t="s">
        <v>54</v>
      </c>
      <c r="F324" s="54" t="s">
        <v>55</v>
      </c>
      <c r="G324" s="59"/>
      <c r="H324" s="54" t="s">
        <v>56</v>
      </c>
      <c r="I324" s="59"/>
      <c r="J324" s="54" t="s">
        <v>48</v>
      </c>
      <c r="K324" s="59"/>
      <c r="L324" s="64" t="s">
        <v>49</v>
      </c>
      <c r="M324" s="65"/>
      <c r="T324" s="13"/>
    </row>
    <row r="325" spans="1:20" ht="24.95" customHeight="1">
      <c r="A325" s="54" t="s">
        <v>57</v>
      </c>
      <c r="B325" s="55"/>
      <c r="C325" s="55"/>
      <c r="D325" s="56"/>
      <c r="E325" s="4"/>
      <c r="F325" s="57">
        <f>E325+F267</f>
        <v>28</v>
      </c>
      <c r="G325" s="58"/>
      <c r="H325" s="54" t="s">
        <v>58</v>
      </c>
      <c r="I325" s="59"/>
      <c r="J325" s="54"/>
      <c r="K325" s="59"/>
      <c r="L325" s="57">
        <f>J325+L267</f>
        <v>15</v>
      </c>
      <c r="M325" s="58"/>
      <c r="T325" s="13"/>
    </row>
    <row r="326" spans="1:20" ht="24.95" customHeight="1">
      <c r="A326" s="54" t="s">
        <v>59</v>
      </c>
      <c r="B326" s="55"/>
      <c r="C326" s="55"/>
      <c r="D326" s="56"/>
      <c r="E326" s="4"/>
      <c r="F326" s="57">
        <f t="shared" ref="F326:F328" si="36">E326+F268</f>
        <v>0</v>
      </c>
      <c r="G326" s="58"/>
      <c r="H326" s="54" t="s">
        <v>60</v>
      </c>
      <c r="I326" s="59"/>
      <c r="J326" s="54"/>
      <c r="K326" s="59"/>
      <c r="L326" s="57">
        <f t="shared" ref="L326:L328" si="37">J326+L268</f>
        <v>0</v>
      </c>
      <c r="M326" s="58"/>
      <c r="T326" s="13"/>
    </row>
    <row r="327" spans="1:20" ht="24.95" customHeight="1">
      <c r="A327" s="54" t="s">
        <v>61</v>
      </c>
      <c r="B327" s="55"/>
      <c r="C327" s="55"/>
      <c r="D327" s="56"/>
      <c r="E327" s="4"/>
      <c r="F327" s="57">
        <f t="shared" si="36"/>
        <v>2</v>
      </c>
      <c r="G327" s="58"/>
      <c r="H327" s="54" t="s">
        <v>62</v>
      </c>
      <c r="I327" s="59"/>
      <c r="J327" s="54"/>
      <c r="K327" s="59"/>
      <c r="L327" s="57">
        <f t="shared" si="37"/>
        <v>5</v>
      </c>
      <c r="M327" s="58"/>
      <c r="T327" s="13"/>
    </row>
    <row r="328" spans="1:20" ht="24.95" customHeight="1">
      <c r="A328" s="54" t="s">
        <v>63</v>
      </c>
      <c r="B328" s="55"/>
      <c r="C328" s="55"/>
      <c r="D328" s="56"/>
      <c r="E328" s="4"/>
      <c r="F328" s="57">
        <f t="shared" si="36"/>
        <v>4</v>
      </c>
      <c r="G328" s="58"/>
      <c r="H328" s="54" t="s">
        <v>64</v>
      </c>
      <c r="I328" s="59"/>
      <c r="J328" s="54"/>
      <c r="K328" s="59"/>
      <c r="L328" s="57">
        <f t="shared" si="37"/>
        <v>1</v>
      </c>
      <c r="M328" s="58"/>
      <c r="T328" s="13"/>
    </row>
    <row r="329" spans="1:20" ht="64.5" customHeight="1">
      <c r="A329" s="60" t="s">
        <v>65</v>
      </c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2"/>
      <c r="T329" s="13"/>
    </row>
    <row r="330" spans="1:20" ht="24.95" customHeight="1">
      <c r="A330" s="46" t="s">
        <v>66</v>
      </c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8"/>
      <c r="T330" s="13"/>
    </row>
    <row r="331" spans="1:20" ht="24.95" customHeight="1">
      <c r="A331" s="27"/>
      <c r="B331" s="34" t="s">
        <v>67</v>
      </c>
      <c r="C331" s="34"/>
      <c r="D331" s="34"/>
      <c r="E331" s="34"/>
      <c r="F331" s="34"/>
      <c r="G331" s="35"/>
      <c r="H331" s="34"/>
      <c r="I331" s="34"/>
      <c r="J331" s="34"/>
      <c r="K331" s="34"/>
      <c r="L331" s="34"/>
      <c r="M331" s="36"/>
      <c r="T331" s="13"/>
    </row>
    <row r="332" spans="1:20" ht="24.95" customHeight="1">
      <c r="A332" s="27"/>
      <c r="B332" s="34" t="s">
        <v>81</v>
      </c>
      <c r="C332" s="34"/>
      <c r="D332" s="34"/>
      <c r="E332" s="34"/>
      <c r="F332" s="34"/>
      <c r="G332" s="35"/>
      <c r="H332" s="34"/>
      <c r="I332" s="34"/>
      <c r="J332" s="34"/>
      <c r="K332" s="34"/>
      <c r="L332" s="34"/>
      <c r="M332" s="36"/>
      <c r="T332" s="13"/>
    </row>
    <row r="333" spans="1:20" ht="24.95" customHeight="1">
      <c r="A333" s="27"/>
      <c r="B333" s="34" t="s">
        <v>68</v>
      </c>
      <c r="C333" s="34"/>
      <c r="D333" s="34"/>
      <c r="E333" s="34"/>
      <c r="F333" s="34"/>
      <c r="G333" s="35"/>
      <c r="H333" s="34"/>
      <c r="I333" s="34"/>
      <c r="J333" s="34"/>
      <c r="K333" s="34"/>
      <c r="L333" s="34"/>
      <c r="M333" s="36"/>
      <c r="T333" s="13"/>
    </row>
    <row r="334" spans="1:20" ht="24.95" customHeight="1">
      <c r="A334" s="27"/>
      <c r="B334" s="34" t="s">
        <v>82</v>
      </c>
      <c r="C334" s="34"/>
      <c r="D334" s="34"/>
      <c r="E334" s="34"/>
      <c r="F334" s="34"/>
      <c r="G334" s="35"/>
      <c r="H334" s="34"/>
      <c r="I334" s="34"/>
      <c r="J334" s="34"/>
      <c r="K334" s="34"/>
      <c r="L334" s="34"/>
      <c r="M334" s="36"/>
      <c r="T334" s="13"/>
    </row>
    <row r="335" spans="1:20" ht="24.95" customHeight="1">
      <c r="A335" s="27"/>
      <c r="B335" s="34" t="s">
        <v>99</v>
      </c>
      <c r="C335" s="34"/>
      <c r="D335" s="34"/>
      <c r="E335" s="34"/>
      <c r="F335" s="34"/>
      <c r="G335" s="35"/>
      <c r="H335" s="34"/>
      <c r="I335" s="34"/>
      <c r="J335" s="34"/>
      <c r="K335" s="34"/>
      <c r="L335" s="34"/>
      <c r="M335" s="36"/>
      <c r="T335" s="13"/>
    </row>
    <row r="336" spans="1:20" ht="24.95" customHeight="1">
      <c r="A336" s="37"/>
      <c r="B336" s="49" t="s">
        <v>69</v>
      </c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50"/>
      <c r="T336" s="13"/>
    </row>
    <row r="337" spans="1:20" ht="44.25" customHeight="1">
      <c r="A337" s="51" t="s">
        <v>70</v>
      </c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3"/>
      <c r="T337" s="13"/>
    </row>
    <row r="338" spans="1:20" ht="48" customHeight="1">
      <c r="A338" s="51" t="s">
        <v>71</v>
      </c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3"/>
      <c r="T338" s="13"/>
    </row>
    <row r="339" spans="1:20" ht="81" customHeight="1">
      <c r="A339" s="51" t="s">
        <v>80</v>
      </c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3"/>
      <c r="T339" s="13"/>
    </row>
    <row r="340" spans="1:20" ht="100.5" customHeight="1">
      <c r="A340" s="51" t="s">
        <v>72</v>
      </c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3"/>
      <c r="T340" s="13"/>
    </row>
    <row r="341" spans="1:20" ht="12" customHeight="1">
      <c r="A341" s="41" t="s">
        <v>73</v>
      </c>
      <c r="B341" s="41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38"/>
      <c r="T341" s="13"/>
    </row>
    <row r="342" spans="1:20" ht="12" customHeight="1">
      <c r="A342" s="43" t="s">
        <v>74</v>
      </c>
      <c r="B342" s="43"/>
      <c r="C342" s="40"/>
      <c r="D342" s="40"/>
      <c r="E342" s="40"/>
      <c r="F342" s="40"/>
      <c r="G342" s="40"/>
      <c r="H342" s="40"/>
      <c r="I342" s="40"/>
      <c r="J342" s="40"/>
      <c r="K342" s="40"/>
      <c r="L342" s="38"/>
      <c r="M342" s="38"/>
      <c r="T342" s="13"/>
    </row>
    <row r="343" spans="1:20" ht="12" customHeight="1">
      <c r="A343" s="44" t="s">
        <v>75</v>
      </c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T343" s="13"/>
    </row>
    <row r="344" spans="1:20" ht="12" customHeight="1">
      <c r="A344" s="39" t="s">
        <v>76</v>
      </c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T344" s="13"/>
    </row>
    <row r="345" spans="1:20" ht="12" customHeight="1">
      <c r="A345" s="39" t="s">
        <v>77</v>
      </c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T345" s="13"/>
    </row>
    <row r="346" spans="1:20" ht="12" customHeight="1">
      <c r="A346" s="45" t="s">
        <v>78</v>
      </c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T346" s="13"/>
    </row>
    <row r="347" spans="1:20" ht="12" customHeight="1">
      <c r="A347" s="39" t="s">
        <v>79</v>
      </c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T347" s="13"/>
    </row>
    <row r="348" spans="1:20" ht="409.5" customHeight="1"/>
    <row r="349" spans="1:20" s="2" customFormat="1" ht="35.1" customHeight="1">
      <c r="A349" s="126" t="s">
        <v>0</v>
      </c>
      <c r="B349" s="126"/>
      <c r="C349" s="1">
        <f>C291+1</f>
        <v>42</v>
      </c>
      <c r="G349" s="3"/>
    </row>
    <row r="350" spans="1:20" s="2" customFormat="1" ht="35.1" customHeight="1">
      <c r="A350" s="126" t="s">
        <v>1</v>
      </c>
      <c r="B350" s="126"/>
      <c r="C350" s="2" t="s">
        <v>2</v>
      </c>
      <c r="E350" s="2" t="s">
        <v>3</v>
      </c>
      <c r="G350" s="3"/>
      <c r="H350" s="127" t="s">
        <v>4</v>
      </c>
      <c r="I350" s="128"/>
      <c r="J350" s="129">
        <f>J292+1</f>
        <v>46029</v>
      </c>
      <c r="K350" s="130"/>
      <c r="L350" s="131">
        <f>J350</f>
        <v>46029</v>
      </c>
      <c r="M350" s="132"/>
    </row>
    <row r="351" spans="1:20" s="2" customFormat="1" ht="30" customHeight="1">
      <c r="A351" s="72" t="s">
        <v>5</v>
      </c>
      <c r="B351" s="114"/>
      <c r="C351" s="119" t="s">
        <v>83</v>
      </c>
      <c r="D351" s="119"/>
      <c r="E351" s="119"/>
      <c r="F351" s="119"/>
      <c r="G351" s="119"/>
      <c r="H351" s="54" t="s">
        <v>6</v>
      </c>
      <c r="I351" s="59"/>
      <c r="J351" s="120"/>
      <c r="K351" s="120"/>
      <c r="L351" s="120"/>
      <c r="M351" s="120"/>
    </row>
    <row r="352" spans="1:20" s="1" customFormat="1" ht="30" customHeight="1">
      <c r="A352" s="72" t="s">
        <v>7</v>
      </c>
      <c r="B352" s="114"/>
      <c r="C352" s="4">
        <v>50</v>
      </c>
      <c r="D352" s="4" t="s">
        <v>8</v>
      </c>
      <c r="E352" s="4" t="s">
        <v>9</v>
      </c>
      <c r="F352" s="4">
        <f>F294+1</f>
        <v>42</v>
      </c>
      <c r="G352" s="5" t="s">
        <v>8</v>
      </c>
      <c r="H352" s="4" t="s">
        <v>10</v>
      </c>
      <c r="I352" s="4">
        <f>C352-F352+L352</f>
        <v>8</v>
      </c>
      <c r="J352" s="4" t="s">
        <v>11</v>
      </c>
      <c r="K352" s="6" t="s">
        <v>12</v>
      </c>
      <c r="L352" s="7">
        <f>L294</f>
        <v>0</v>
      </c>
      <c r="M352" s="4" t="s">
        <v>8</v>
      </c>
    </row>
    <row r="353" spans="1:20" s="2" customFormat="1" ht="30" customHeight="1">
      <c r="A353" s="72" t="s">
        <v>13</v>
      </c>
      <c r="B353" s="75"/>
      <c r="C353" s="75"/>
      <c r="D353" s="121">
        <f>D295</f>
        <v>45988</v>
      </c>
      <c r="E353" s="122"/>
      <c r="F353" s="122"/>
      <c r="G353" s="123"/>
      <c r="H353" s="124" t="s">
        <v>14</v>
      </c>
      <c r="I353" s="125"/>
      <c r="J353" s="121">
        <f>J295</f>
        <v>46037</v>
      </c>
      <c r="K353" s="122"/>
      <c r="L353" s="122"/>
      <c r="M353" s="123"/>
    </row>
    <row r="354" spans="1:20" s="2" customFormat="1" ht="30" customHeight="1">
      <c r="A354" s="72" t="s">
        <v>15</v>
      </c>
      <c r="B354" s="114"/>
      <c r="C354" s="114"/>
      <c r="D354" s="72">
        <v>6.9379999999999997</v>
      </c>
      <c r="E354" s="72"/>
      <c r="F354" s="72"/>
      <c r="G354" s="72"/>
      <c r="H354" s="64" t="s">
        <v>16</v>
      </c>
      <c r="I354" s="115"/>
      <c r="J354" s="116">
        <f>P370</f>
        <v>0</v>
      </c>
      <c r="K354" s="117"/>
      <c r="L354" s="117"/>
      <c r="M354" s="118"/>
    </row>
    <row r="355" spans="1:20" s="2" customFormat="1" ht="30" customHeight="1">
      <c r="A355" s="72" t="s">
        <v>17</v>
      </c>
      <c r="B355" s="114"/>
      <c r="C355" s="114"/>
      <c r="D355" s="72">
        <f>D354+D297</f>
        <v>43.445000000000007</v>
      </c>
      <c r="E355" s="72"/>
      <c r="F355" s="72"/>
      <c r="G355" s="72"/>
      <c r="H355" s="64" t="s">
        <v>18</v>
      </c>
      <c r="I355" s="115"/>
      <c r="J355" s="116">
        <f>J354+J297</f>
        <v>25.469999999999992</v>
      </c>
      <c r="K355" s="117"/>
      <c r="L355" s="117"/>
      <c r="M355" s="118"/>
    </row>
    <row r="356" spans="1:20" s="2" customFormat="1" ht="30" customHeight="1">
      <c r="A356" s="111" t="s">
        <v>19</v>
      </c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3"/>
    </row>
    <row r="357" spans="1:20" s="2" customFormat="1" ht="30" customHeight="1">
      <c r="A357" s="8" t="s">
        <v>20</v>
      </c>
      <c r="B357" s="72" t="s">
        <v>21</v>
      </c>
      <c r="C357" s="72"/>
      <c r="D357" s="72"/>
      <c r="E357" s="4" t="s">
        <v>22</v>
      </c>
      <c r="F357" s="54" t="s">
        <v>23</v>
      </c>
      <c r="G357" s="59"/>
      <c r="H357" s="72" t="s">
        <v>24</v>
      </c>
      <c r="I357" s="72"/>
      <c r="J357" s="72" t="s">
        <v>25</v>
      </c>
      <c r="K357" s="72"/>
      <c r="L357" s="72" t="s">
        <v>26</v>
      </c>
      <c r="M357" s="72"/>
      <c r="O357" s="1" t="s">
        <v>27</v>
      </c>
      <c r="P357" s="1" t="s">
        <v>28</v>
      </c>
      <c r="T357" s="2" t="s">
        <v>29</v>
      </c>
    </row>
    <row r="358" spans="1:20" s="2" customFormat="1" ht="24.95" customHeight="1">
      <c r="A358" s="9" t="s">
        <v>30</v>
      </c>
      <c r="B358" s="110" t="s">
        <v>31</v>
      </c>
      <c r="C358" s="110"/>
      <c r="D358" s="110"/>
      <c r="E358" s="4"/>
      <c r="F358" s="54"/>
      <c r="G358" s="59"/>
      <c r="H358" s="72"/>
      <c r="I358" s="72"/>
      <c r="J358" s="72"/>
      <c r="K358" s="72"/>
      <c r="L358" s="72"/>
      <c r="M358" s="72"/>
    </row>
    <row r="359" spans="1:20" ht="24.95" customHeight="1">
      <c r="A359" s="10">
        <v>1</v>
      </c>
      <c r="B359" s="66" t="s">
        <v>91</v>
      </c>
      <c r="C359" s="67" t="s">
        <v>91</v>
      </c>
      <c r="D359" s="68" t="s">
        <v>91</v>
      </c>
      <c r="E359" s="4" t="s">
        <v>32</v>
      </c>
      <c r="F359" s="69">
        <v>1</v>
      </c>
      <c r="G359" s="70"/>
      <c r="H359" s="69"/>
      <c r="I359" s="70"/>
      <c r="J359" s="71">
        <f>H359+J301</f>
        <v>1</v>
      </c>
      <c r="K359" s="71"/>
      <c r="L359" s="72"/>
      <c r="M359" s="72"/>
      <c r="O359" s="11">
        <v>4000</v>
      </c>
      <c r="P359" s="11">
        <f>ROUND(H359*O359,0)</f>
        <v>0</v>
      </c>
      <c r="Q359" s="12"/>
      <c r="S359" s="11">
        <f>ROUND(J359*O359,0)</f>
        <v>4000</v>
      </c>
      <c r="T359" s="13">
        <f>F359-J359</f>
        <v>0</v>
      </c>
    </row>
    <row r="360" spans="1:20" ht="24.95" customHeight="1">
      <c r="A360" s="10">
        <v>2</v>
      </c>
      <c r="B360" s="66" t="s">
        <v>92</v>
      </c>
      <c r="C360" s="67" t="s">
        <v>92</v>
      </c>
      <c r="D360" s="68" t="s">
        <v>92</v>
      </c>
      <c r="E360" s="4" t="s">
        <v>32</v>
      </c>
      <c r="F360" s="69">
        <v>1</v>
      </c>
      <c r="G360" s="70"/>
      <c r="H360" s="69"/>
      <c r="I360" s="70"/>
      <c r="J360" s="71">
        <f t="shared" ref="J360:J367" si="38">H360+J302</f>
        <v>1</v>
      </c>
      <c r="K360" s="71"/>
      <c r="L360" s="72"/>
      <c r="M360" s="72"/>
      <c r="O360" s="11">
        <v>14334</v>
      </c>
      <c r="P360" s="11">
        <f t="shared" ref="P360:P367" si="39">ROUND(H360*O360,0)</f>
        <v>0</v>
      </c>
      <c r="Q360" s="12"/>
      <c r="S360" s="11">
        <f t="shared" ref="S360:S367" si="40">ROUND(J360*O360,0)</f>
        <v>14334</v>
      </c>
      <c r="T360" s="13">
        <f t="shared" ref="T360:T367" si="41">F360-J360</f>
        <v>0</v>
      </c>
    </row>
    <row r="361" spans="1:20" ht="24.95" customHeight="1">
      <c r="A361" s="10">
        <v>3</v>
      </c>
      <c r="B361" s="66" t="s">
        <v>84</v>
      </c>
      <c r="C361" s="67" t="s">
        <v>84</v>
      </c>
      <c r="D361" s="68" t="s">
        <v>84</v>
      </c>
      <c r="E361" s="4" t="s">
        <v>33</v>
      </c>
      <c r="F361" s="69">
        <v>1</v>
      </c>
      <c r="G361" s="70"/>
      <c r="H361" s="69"/>
      <c r="I361" s="70"/>
      <c r="J361" s="71">
        <f t="shared" si="38"/>
        <v>0.5</v>
      </c>
      <c r="K361" s="71"/>
      <c r="L361" s="72"/>
      <c r="M361" s="72"/>
      <c r="O361" s="11">
        <v>7000</v>
      </c>
      <c r="P361" s="11">
        <f t="shared" si="39"/>
        <v>0</v>
      </c>
      <c r="Q361" s="12"/>
      <c r="S361" s="11">
        <f t="shared" si="40"/>
        <v>3500</v>
      </c>
      <c r="T361" s="13">
        <f t="shared" si="41"/>
        <v>0.5</v>
      </c>
    </row>
    <row r="362" spans="1:20" ht="24.95" customHeight="1">
      <c r="A362" s="10">
        <v>4</v>
      </c>
      <c r="B362" s="66" t="s">
        <v>85</v>
      </c>
      <c r="C362" s="67" t="s">
        <v>85</v>
      </c>
      <c r="D362" s="68" t="s">
        <v>85</v>
      </c>
      <c r="E362" s="4" t="s">
        <v>34</v>
      </c>
      <c r="F362" s="69">
        <v>1</v>
      </c>
      <c r="G362" s="70"/>
      <c r="H362" s="69"/>
      <c r="I362" s="70"/>
      <c r="J362" s="71">
        <f t="shared" si="38"/>
        <v>1</v>
      </c>
      <c r="K362" s="71"/>
      <c r="L362" s="72"/>
      <c r="M362" s="72"/>
      <c r="O362" s="11">
        <v>74000</v>
      </c>
      <c r="P362" s="11">
        <f t="shared" si="39"/>
        <v>0</v>
      </c>
      <c r="Q362" s="12"/>
      <c r="S362" s="11">
        <f t="shared" si="40"/>
        <v>74000</v>
      </c>
      <c r="T362" s="13">
        <f t="shared" si="41"/>
        <v>0</v>
      </c>
    </row>
    <row r="363" spans="1:20" ht="24.95" customHeight="1">
      <c r="A363" s="10">
        <v>5</v>
      </c>
      <c r="B363" s="66" t="s">
        <v>86</v>
      </c>
      <c r="C363" s="67" t="s">
        <v>86</v>
      </c>
      <c r="D363" s="68" t="s">
        <v>86</v>
      </c>
      <c r="E363" s="4" t="s">
        <v>93</v>
      </c>
      <c r="F363" s="69">
        <v>396</v>
      </c>
      <c r="G363" s="70"/>
      <c r="H363" s="69"/>
      <c r="I363" s="70"/>
      <c r="J363" s="71">
        <f t="shared" si="38"/>
        <v>350</v>
      </c>
      <c r="K363" s="71"/>
      <c r="L363" s="72"/>
      <c r="M363" s="72"/>
      <c r="O363" s="11">
        <v>200</v>
      </c>
      <c r="P363" s="11">
        <f t="shared" si="39"/>
        <v>0</v>
      </c>
      <c r="Q363" s="12"/>
      <c r="S363" s="11">
        <f t="shared" si="40"/>
        <v>70000</v>
      </c>
      <c r="T363" s="13">
        <f t="shared" si="41"/>
        <v>46</v>
      </c>
    </row>
    <row r="364" spans="1:20" ht="24.95" customHeight="1">
      <c r="A364" s="10">
        <v>6</v>
      </c>
      <c r="B364" s="66" t="s">
        <v>97</v>
      </c>
      <c r="C364" s="67" t="s">
        <v>87</v>
      </c>
      <c r="D364" s="68" t="s">
        <v>87</v>
      </c>
      <c r="E364" s="4" t="s">
        <v>35</v>
      </c>
      <c r="F364" s="69">
        <v>80</v>
      </c>
      <c r="G364" s="70">
        <v>183.6</v>
      </c>
      <c r="H364" s="69"/>
      <c r="I364" s="70"/>
      <c r="J364" s="71">
        <f t="shared" si="38"/>
        <v>78</v>
      </c>
      <c r="K364" s="71"/>
      <c r="L364" s="54"/>
      <c r="M364" s="59"/>
      <c r="O364" s="11">
        <v>1463</v>
      </c>
      <c r="P364" s="11">
        <f t="shared" si="39"/>
        <v>0</v>
      </c>
      <c r="S364" s="11">
        <f t="shared" si="40"/>
        <v>114114</v>
      </c>
      <c r="T364" s="13">
        <f t="shared" si="41"/>
        <v>2</v>
      </c>
    </row>
    <row r="365" spans="1:20" ht="24.95" customHeight="1">
      <c r="A365" s="10">
        <v>7</v>
      </c>
      <c r="B365" s="66" t="s">
        <v>88</v>
      </c>
      <c r="C365" s="67" t="s">
        <v>88</v>
      </c>
      <c r="D365" s="68" t="s">
        <v>88</v>
      </c>
      <c r="E365" s="4" t="s">
        <v>94</v>
      </c>
      <c r="F365" s="69">
        <v>126</v>
      </c>
      <c r="G365" s="70">
        <v>19</v>
      </c>
      <c r="H365" s="69"/>
      <c r="I365" s="70"/>
      <c r="J365" s="71">
        <f t="shared" si="38"/>
        <v>0</v>
      </c>
      <c r="K365" s="71"/>
      <c r="L365" s="54"/>
      <c r="M365" s="59"/>
      <c r="O365" s="11">
        <v>6350</v>
      </c>
      <c r="P365" s="11">
        <f t="shared" si="39"/>
        <v>0</v>
      </c>
      <c r="S365" s="11">
        <f t="shared" si="40"/>
        <v>0</v>
      </c>
      <c r="T365" s="13">
        <f t="shared" si="41"/>
        <v>126</v>
      </c>
    </row>
    <row r="366" spans="1:20" ht="24.95" customHeight="1">
      <c r="A366" s="10">
        <v>8</v>
      </c>
      <c r="B366" s="66" t="s">
        <v>89</v>
      </c>
      <c r="C366" s="67" t="s">
        <v>89</v>
      </c>
      <c r="D366" s="68" t="s">
        <v>89</v>
      </c>
      <c r="E366" s="4" t="s">
        <v>95</v>
      </c>
      <c r="F366" s="69">
        <v>1</v>
      </c>
      <c r="G366" s="70">
        <v>1192</v>
      </c>
      <c r="H366" s="69"/>
      <c r="I366" s="70"/>
      <c r="J366" s="71">
        <f t="shared" si="38"/>
        <v>0.3</v>
      </c>
      <c r="K366" s="71"/>
      <c r="L366" s="54"/>
      <c r="M366" s="59"/>
      <c r="O366" s="11">
        <v>47600</v>
      </c>
      <c r="P366" s="11">
        <f t="shared" si="39"/>
        <v>0</v>
      </c>
      <c r="S366" s="11">
        <f t="shared" si="40"/>
        <v>14280</v>
      </c>
      <c r="T366" s="13">
        <f t="shared" si="41"/>
        <v>0.7</v>
      </c>
    </row>
    <row r="367" spans="1:20" ht="24.95" customHeight="1">
      <c r="A367" s="10">
        <v>9</v>
      </c>
      <c r="B367" s="66" t="s">
        <v>90</v>
      </c>
      <c r="C367" s="67" t="s">
        <v>90</v>
      </c>
      <c r="D367" s="68" t="s">
        <v>90</v>
      </c>
      <c r="E367" s="4" t="s">
        <v>96</v>
      </c>
      <c r="F367" s="69">
        <v>1</v>
      </c>
      <c r="G367" s="70">
        <v>1261</v>
      </c>
      <c r="H367" s="69"/>
      <c r="I367" s="70"/>
      <c r="J367" s="71">
        <f t="shared" si="38"/>
        <v>0</v>
      </c>
      <c r="K367" s="71"/>
      <c r="L367" s="54"/>
      <c r="M367" s="59"/>
      <c r="O367" s="11">
        <v>10000</v>
      </c>
      <c r="P367" s="11">
        <f t="shared" si="39"/>
        <v>0</v>
      </c>
      <c r="S367" s="11">
        <f t="shared" si="40"/>
        <v>0</v>
      </c>
      <c r="T367" s="13">
        <f t="shared" si="41"/>
        <v>1</v>
      </c>
    </row>
    <row r="368" spans="1:20" ht="24.95" customHeight="1">
      <c r="A368" s="14"/>
      <c r="B368" s="15"/>
      <c r="C368" s="16"/>
      <c r="D368" s="17"/>
      <c r="E368" s="4"/>
      <c r="F368" s="18"/>
      <c r="G368" s="19"/>
      <c r="H368" s="105"/>
      <c r="I368" s="106"/>
      <c r="J368" s="105"/>
      <c r="K368" s="106"/>
      <c r="L368" s="54"/>
      <c r="M368" s="59"/>
      <c r="N368" s="20"/>
      <c r="P368" s="21" t="s">
        <v>37</v>
      </c>
      <c r="Q368" s="22">
        <f>SUM(P359:P367)</f>
        <v>0</v>
      </c>
      <c r="R368" s="23"/>
      <c r="S368" s="24">
        <f>SUM(S359:S367)</f>
        <v>294228</v>
      </c>
      <c r="T368" s="13"/>
    </row>
    <row r="369" spans="1:20" ht="24.95" customHeight="1">
      <c r="A369" s="107"/>
      <c r="B369" s="108"/>
      <c r="C369" s="108"/>
      <c r="D369" s="109"/>
      <c r="E369" s="4"/>
      <c r="F369" s="54"/>
      <c r="G369" s="59"/>
      <c r="H369" s="72"/>
      <c r="I369" s="72"/>
      <c r="J369" s="72"/>
      <c r="K369" s="72"/>
      <c r="L369" s="72"/>
      <c r="M369" s="72"/>
      <c r="O369" t="s">
        <v>38</v>
      </c>
      <c r="P369" s="24">
        <f>Q368</f>
        <v>0</v>
      </c>
      <c r="T369" s="13"/>
    </row>
    <row r="370" spans="1:20" ht="24.95" customHeight="1">
      <c r="A370" s="97"/>
      <c r="B370" s="98"/>
      <c r="C370" s="98"/>
      <c r="D370" s="99"/>
      <c r="E370" s="4"/>
      <c r="F370" s="54"/>
      <c r="G370" s="59"/>
      <c r="H370" s="72"/>
      <c r="I370" s="72"/>
      <c r="J370" s="72"/>
      <c r="K370" s="72"/>
      <c r="L370" s="72"/>
      <c r="M370" s="72"/>
      <c r="O370" t="s">
        <v>39</v>
      </c>
      <c r="P370" s="23">
        <f>ROUND(P369/1153274,4)*100</f>
        <v>0</v>
      </c>
      <c r="T370" s="13"/>
    </row>
    <row r="371" spans="1:20" ht="24.95" customHeight="1">
      <c r="A371" s="25"/>
      <c r="B371" s="63" t="s">
        <v>40</v>
      </c>
      <c r="C371" s="63"/>
      <c r="D371" s="59"/>
      <c r="E371" s="26"/>
      <c r="F371" s="100"/>
      <c r="G371" s="101"/>
      <c r="H371" s="100"/>
      <c r="I371" s="101"/>
      <c r="J371" s="102"/>
      <c r="K371" s="102"/>
      <c r="L371" s="103">
        <f>P369</f>
        <v>0</v>
      </c>
      <c r="M371" s="104"/>
      <c r="T371" s="13"/>
    </row>
    <row r="372" spans="1:20" ht="24.95" customHeight="1" thickBot="1">
      <c r="A372" s="27"/>
      <c r="B372" s="85" t="s">
        <v>41</v>
      </c>
      <c r="C372" s="85"/>
      <c r="D372" s="86"/>
      <c r="E372" s="28"/>
      <c r="F372" s="87"/>
      <c r="G372" s="88"/>
      <c r="H372" s="87"/>
      <c r="I372" s="88"/>
      <c r="J372" s="87"/>
      <c r="K372" s="88"/>
      <c r="L372" s="89">
        <f>L371+L314</f>
        <v>294228</v>
      </c>
      <c r="M372" s="90"/>
      <c r="T372" s="13"/>
    </row>
    <row r="373" spans="1:20" ht="24.95" customHeight="1">
      <c r="A373" s="29"/>
      <c r="B373" s="91" t="s">
        <v>42</v>
      </c>
      <c r="C373" s="91"/>
      <c r="D373" s="92"/>
      <c r="E373" s="30"/>
      <c r="F373" s="93"/>
      <c r="G373" s="94"/>
      <c r="H373" s="95"/>
      <c r="I373" s="95"/>
      <c r="J373" s="95"/>
      <c r="K373" s="95"/>
      <c r="L373" s="95"/>
      <c r="M373" s="96"/>
      <c r="T373" s="13"/>
    </row>
    <row r="374" spans="1:20" ht="24.95" customHeight="1">
      <c r="A374" s="31"/>
      <c r="B374" s="76" t="s">
        <v>43</v>
      </c>
      <c r="C374" s="76"/>
      <c r="D374" s="77"/>
      <c r="E374" s="4"/>
      <c r="F374" s="54"/>
      <c r="G374" s="59"/>
      <c r="H374" s="72"/>
      <c r="I374" s="72"/>
      <c r="J374" s="72"/>
      <c r="K374" s="72"/>
      <c r="L374" s="72"/>
      <c r="M374" s="78"/>
      <c r="T374" s="13"/>
    </row>
    <row r="375" spans="1:20" ht="24.95" customHeight="1" thickBot="1">
      <c r="A375" s="32"/>
      <c r="B375" s="79" t="s">
        <v>44</v>
      </c>
      <c r="C375" s="79"/>
      <c r="D375" s="80"/>
      <c r="E375" s="33"/>
      <c r="F375" s="81"/>
      <c r="G375" s="82"/>
      <c r="H375" s="83"/>
      <c r="I375" s="83"/>
      <c r="J375" s="83"/>
      <c r="K375" s="83"/>
      <c r="L375" s="83"/>
      <c r="M375" s="84"/>
      <c r="T375" s="13"/>
    </row>
    <row r="376" spans="1:20" ht="24.95" customHeight="1">
      <c r="A376" s="73" t="s">
        <v>45</v>
      </c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T376" s="13"/>
    </row>
    <row r="377" spans="1:20" ht="24.95" customHeight="1">
      <c r="A377" s="72" t="s">
        <v>46</v>
      </c>
      <c r="B377" s="75"/>
      <c r="C377" s="75"/>
      <c r="D377" s="75"/>
      <c r="E377" s="4" t="s">
        <v>22</v>
      </c>
      <c r="F377" s="72" t="s">
        <v>47</v>
      </c>
      <c r="G377" s="72"/>
      <c r="H377" s="72" t="s">
        <v>48</v>
      </c>
      <c r="I377" s="72"/>
      <c r="J377" s="72" t="s">
        <v>49</v>
      </c>
      <c r="K377" s="72"/>
      <c r="L377" s="72" t="s">
        <v>50</v>
      </c>
      <c r="M377" s="72"/>
      <c r="T377" s="13"/>
    </row>
    <row r="378" spans="1:20" ht="24.95" customHeight="1">
      <c r="A378" s="10">
        <v>6</v>
      </c>
      <c r="B378" s="66" t="s">
        <v>97</v>
      </c>
      <c r="C378" s="67" t="s">
        <v>51</v>
      </c>
      <c r="D378" s="68" t="s">
        <v>51</v>
      </c>
      <c r="E378" s="4" t="s">
        <v>35</v>
      </c>
      <c r="F378" s="69">
        <v>80</v>
      </c>
      <c r="G378" s="70">
        <v>1261</v>
      </c>
      <c r="H378" s="71">
        <f>H364</f>
        <v>0</v>
      </c>
      <c r="I378" s="71"/>
      <c r="J378" s="71">
        <f>H378+J320</f>
        <v>78</v>
      </c>
      <c r="K378" s="71"/>
      <c r="L378" s="72"/>
      <c r="M378" s="72"/>
      <c r="T378" s="13"/>
    </row>
    <row r="379" spans="1:20" ht="24.95" customHeight="1">
      <c r="A379" s="10">
        <v>7</v>
      </c>
      <c r="B379" s="66" t="s">
        <v>88</v>
      </c>
      <c r="C379" s="67" t="s">
        <v>88</v>
      </c>
      <c r="D379" s="68" t="s">
        <v>88</v>
      </c>
      <c r="E379" s="4" t="s">
        <v>98</v>
      </c>
      <c r="F379" s="69">
        <v>126</v>
      </c>
      <c r="G379" s="70"/>
      <c r="H379" s="71">
        <f>H365</f>
        <v>0</v>
      </c>
      <c r="I379" s="71"/>
      <c r="J379" s="71">
        <f t="shared" ref="J379:J380" si="42">H379+J321</f>
        <v>0</v>
      </c>
      <c r="K379" s="71"/>
      <c r="L379" s="72"/>
      <c r="M379" s="72"/>
      <c r="T379" s="13"/>
    </row>
    <row r="380" spans="1:20" ht="24.95" customHeight="1">
      <c r="A380" s="10">
        <v>8</v>
      </c>
      <c r="B380" s="66" t="s">
        <v>89</v>
      </c>
      <c r="C380" s="67" t="s">
        <v>89</v>
      </c>
      <c r="D380" s="68" t="s">
        <v>89</v>
      </c>
      <c r="E380" s="4" t="s">
        <v>36</v>
      </c>
      <c r="F380" s="69">
        <v>1</v>
      </c>
      <c r="G380" s="70"/>
      <c r="H380" s="71">
        <f>H366</f>
        <v>0</v>
      </c>
      <c r="I380" s="71"/>
      <c r="J380" s="71">
        <f t="shared" si="42"/>
        <v>0.3</v>
      </c>
      <c r="K380" s="71"/>
      <c r="L380" s="72"/>
      <c r="M380" s="72"/>
      <c r="T380" s="13"/>
    </row>
    <row r="381" spans="1:20" ht="24.95" customHeight="1">
      <c r="A381" s="51" t="s">
        <v>52</v>
      </c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3"/>
      <c r="T381" s="13"/>
    </row>
    <row r="382" spans="1:20" ht="24.95" customHeight="1">
      <c r="A382" s="54" t="s">
        <v>53</v>
      </c>
      <c r="B382" s="63"/>
      <c r="C382" s="63"/>
      <c r="D382" s="59"/>
      <c r="E382" s="4" t="s">
        <v>54</v>
      </c>
      <c r="F382" s="54" t="s">
        <v>55</v>
      </c>
      <c r="G382" s="59"/>
      <c r="H382" s="54" t="s">
        <v>56</v>
      </c>
      <c r="I382" s="59"/>
      <c r="J382" s="54" t="s">
        <v>48</v>
      </c>
      <c r="K382" s="59"/>
      <c r="L382" s="64" t="s">
        <v>49</v>
      </c>
      <c r="M382" s="65"/>
      <c r="T382" s="13"/>
    </row>
    <row r="383" spans="1:20" ht="24.95" customHeight="1">
      <c r="A383" s="54" t="s">
        <v>57</v>
      </c>
      <c r="B383" s="55"/>
      <c r="C383" s="55"/>
      <c r="D383" s="56"/>
      <c r="E383" s="4"/>
      <c r="F383" s="57">
        <f>E383+F325</f>
        <v>28</v>
      </c>
      <c r="G383" s="58"/>
      <c r="H383" s="54" t="s">
        <v>58</v>
      </c>
      <c r="I383" s="59"/>
      <c r="J383" s="54"/>
      <c r="K383" s="59"/>
      <c r="L383" s="57">
        <f>J383+L325</f>
        <v>15</v>
      </c>
      <c r="M383" s="58"/>
      <c r="T383" s="13"/>
    </row>
    <row r="384" spans="1:20" ht="24.95" customHeight="1">
      <c r="A384" s="54" t="s">
        <v>59</v>
      </c>
      <c r="B384" s="55"/>
      <c r="C384" s="55"/>
      <c r="D384" s="56"/>
      <c r="E384" s="4"/>
      <c r="F384" s="57">
        <f t="shared" ref="F384:F386" si="43">E384+F326</f>
        <v>0</v>
      </c>
      <c r="G384" s="58"/>
      <c r="H384" s="54" t="s">
        <v>60</v>
      </c>
      <c r="I384" s="59"/>
      <c r="J384" s="54"/>
      <c r="K384" s="59"/>
      <c r="L384" s="57">
        <f t="shared" ref="L384:L386" si="44">J384+L326</f>
        <v>0</v>
      </c>
      <c r="M384" s="58"/>
      <c r="T384" s="13"/>
    </row>
    <row r="385" spans="1:20" ht="24.95" customHeight="1">
      <c r="A385" s="54" t="s">
        <v>61</v>
      </c>
      <c r="B385" s="55"/>
      <c r="C385" s="55"/>
      <c r="D385" s="56"/>
      <c r="E385" s="4"/>
      <c r="F385" s="57">
        <f t="shared" si="43"/>
        <v>2</v>
      </c>
      <c r="G385" s="58"/>
      <c r="H385" s="54" t="s">
        <v>62</v>
      </c>
      <c r="I385" s="59"/>
      <c r="J385" s="54"/>
      <c r="K385" s="59"/>
      <c r="L385" s="57">
        <f t="shared" si="44"/>
        <v>5</v>
      </c>
      <c r="M385" s="58"/>
      <c r="T385" s="13"/>
    </row>
    <row r="386" spans="1:20" ht="24.95" customHeight="1">
      <c r="A386" s="54" t="s">
        <v>63</v>
      </c>
      <c r="B386" s="55"/>
      <c r="C386" s="55"/>
      <c r="D386" s="56"/>
      <c r="E386" s="4"/>
      <c r="F386" s="57">
        <f t="shared" si="43"/>
        <v>4</v>
      </c>
      <c r="G386" s="58"/>
      <c r="H386" s="54" t="s">
        <v>64</v>
      </c>
      <c r="I386" s="59"/>
      <c r="J386" s="54"/>
      <c r="K386" s="59"/>
      <c r="L386" s="57">
        <f t="shared" si="44"/>
        <v>1</v>
      </c>
      <c r="M386" s="58"/>
      <c r="T386" s="13"/>
    </row>
    <row r="387" spans="1:20" ht="64.5" customHeight="1">
      <c r="A387" s="60" t="s">
        <v>65</v>
      </c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2"/>
      <c r="T387" s="13"/>
    </row>
    <row r="388" spans="1:20" ht="24.95" customHeight="1">
      <c r="A388" s="46" t="s">
        <v>66</v>
      </c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8"/>
      <c r="T388" s="13"/>
    </row>
    <row r="389" spans="1:20" ht="24.95" customHeight="1">
      <c r="A389" s="27"/>
      <c r="B389" s="34" t="s">
        <v>67</v>
      </c>
      <c r="C389" s="34"/>
      <c r="D389" s="34"/>
      <c r="E389" s="34"/>
      <c r="F389" s="34"/>
      <c r="G389" s="35"/>
      <c r="H389" s="34"/>
      <c r="I389" s="34"/>
      <c r="J389" s="34"/>
      <c r="K389" s="34"/>
      <c r="L389" s="34"/>
      <c r="M389" s="36"/>
      <c r="T389" s="13"/>
    </row>
    <row r="390" spans="1:20" ht="24.95" customHeight="1">
      <c r="A390" s="27"/>
      <c r="B390" s="34" t="s">
        <v>81</v>
      </c>
      <c r="C390" s="34"/>
      <c r="D390" s="34"/>
      <c r="E390" s="34"/>
      <c r="F390" s="34"/>
      <c r="G390" s="35"/>
      <c r="H390" s="34"/>
      <c r="I390" s="34"/>
      <c r="J390" s="34"/>
      <c r="K390" s="34"/>
      <c r="L390" s="34"/>
      <c r="M390" s="36"/>
      <c r="T390" s="13"/>
    </row>
    <row r="391" spans="1:20" ht="24.95" customHeight="1">
      <c r="A391" s="27"/>
      <c r="B391" s="34" t="s">
        <v>68</v>
      </c>
      <c r="C391" s="34"/>
      <c r="D391" s="34"/>
      <c r="E391" s="34"/>
      <c r="F391" s="34"/>
      <c r="G391" s="35"/>
      <c r="H391" s="34"/>
      <c r="I391" s="34"/>
      <c r="J391" s="34"/>
      <c r="K391" s="34"/>
      <c r="L391" s="34"/>
      <c r="M391" s="36"/>
      <c r="T391" s="13"/>
    </row>
    <row r="392" spans="1:20" ht="24.95" customHeight="1">
      <c r="A392" s="27"/>
      <c r="B392" s="34" t="s">
        <v>82</v>
      </c>
      <c r="C392" s="34"/>
      <c r="D392" s="34"/>
      <c r="E392" s="34"/>
      <c r="F392" s="34"/>
      <c r="G392" s="35"/>
      <c r="H392" s="34"/>
      <c r="I392" s="34"/>
      <c r="J392" s="34"/>
      <c r="K392" s="34"/>
      <c r="L392" s="34"/>
      <c r="M392" s="36"/>
      <c r="T392" s="13"/>
    </row>
    <row r="393" spans="1:20" ht="24.95" customHeight="1">
      <c r="A393" s="27"/>
      <c r="B393" s="34" t="s">
        <v>99</v>
      </c>
      <c r="C393" s="34"/>
      <c r="D393" s="34"/>
      <c r="E393" s="34"/>
      <c r="F393" s="34"/>
      <c r="G393" s="35"/>
      <c r="H393" s="34"/>
      <c r="I393" s="34"/>
      <c r="J393" s="34"/>
      <c r="K393" s="34"/>
      <c r="L393" s="34"/>
      <c r="M393" s="36"/>
      <c r="T393" s="13"/>
    </row>
    <row r="394" spans="1:20" ht="24.95" customHeight="1">
      <c r="A394" s="37"/>
      <c r="B394" s="49" t="s">
        <v>69</v>
      </c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50"/>
      <c r="T394" s="13"/>
    </row>
    <row r="395" spans="1:20" ht="44.25" customHeight="1">
      <c r="A395" s="51" t="s">
        <v>70</v>
      </c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3"/>
      <c r="T395" s="13"/>
    </row>
    <row r="396" spans="1:20" ht="48" customHeight="1">
      <c r="A396" s="51" t="s">
        <v>71</v>
      </c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3"/>
      <c r="T396" s="13"/>
    </row>
    <row r="397" spans="1:20" ht="81" customHeight="1">
      <c r="A397" s="51" t="s">
        <v>80</v>
      </c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3"/>
      <c r="T397" s="13"/>
    </row>
    <row r="398" spans="1:20" ht="100.5" customHeight="1">
      <c r="A398" s="51" t="s">
        <v>72</v>
      </c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3"/>
      <c r="T398" s="13"/>
    </row>
    <row r="399" spans="1:20" ht="12" customHeight="1">
      <c r="A399" s="41" t="s">
        <v>73</v>
      </c>
      <c r="B399" s="41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38"/>
      <c r="T399" s="13"/>
    </row>
    <row r="400" spans="1:20" ht="12" customHeight="1">
      <c r="A400" s="43" t="s">
        <v>74</v>
      </c>
      <c r="B400" s="43"/>
      <c r="C400" s="40"/>
      <c r="D400" s="40"/>
      <c r="E400" s="40"/>
      <c r="F400" s="40"/>
      <c r="G400" s="40"/>
      <c r="H400" s="40"/>
      <c r="I400" s="40"/>
      <c r="J400" s="40"/>
      <c r="K400" s="40"/>
      <c r="L400" s="38"/>
      <c r="M400" s="38"/>
      <c r="T400" s="13"/>
    </row>
    <row r="401" spans="1:20" ht="12" customHeight="1">
      <c r="A401" s="44" t="s">
        <v>75</v>
      </c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T401" s="13"/>
    </row>
    <row r="402" spans="1:20" ht="12" customHeight="1">
      <c r="A402" s="39" t="s">
        <v>76</v>
      </c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T402" s="13"/>
    </row>
    <row r="403" spans="1:20" ht="12" customHeight="1">
      <c r="A403" s="39" t="s">
        <v>77</v>
      </c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T403" s="13"/>
    </row>
    <row r="404" spans="1:20" ht="12" customHeight="1">
      <c r="A404" s="45" t="s">
        <v>78</v>
      </c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T404" s="13"/>
    </row>
    <row r="405" spans="1:20" ht="12" customHeight="1">
      <c r="A405" s="39" t="s">
        <v>79</v>
      </c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T405" s="13"/>
    </row>
    <row r="406" spans="1:20" ht="409.5" customHeight="1"/>
    <row r="407" spans="1:20" s="2" customFormat="1" ht="35.1" customHeight="1">
      <c r="A407" s="126" t="s">
        <v>0</v>
      </c>
      <c r="B407" s="126"/>
      <c r="C407" s="1">
        <f>C349+1</f>
        <v>43</v>
      </c>
      <c r="G407" s="3"/>
    </row>
    <row r="408" spans="1:20" s="2" customFormat="1" ht="35.1" customHeight="1">
      <c r="A408" s="126" t="s">
        <v>1</v>
      </c>
      <c r="B408" s="126"/>
      <c r="C408" s="2" t="s">
        <v>2</v>
      </c>
      <c r="E408" s="2" t="s">
        <v>3</v>
      </c>
      <c r="G408" s="3"/>
      <c r="H408" s="127" t="s">
        <v>4</v>
      </c>
      <c r="I408" s="128"/>
      <c r="J408" s="129">
        <f>J350+1</f>
        <v>46030</v>
      </c>
      <c r="K408" s="130"/>
      <c r="L408" s="131">
        <f>J408</f>
        <v>46030</v>
      </c>
      <c r="M408" s="132"/>
    </row>
    <row r="409" spans="1:20" s="2" customFormat="1" ht="30" customHeight="1">
      <c r="A409" s="72" t="s">
        <v>5</v>
      </c>
      <c r="B409" s="114"/>
      <c r="C409" s="119" t="s">
        <v>83</v>
      </c>
      <c r="D409" s="119"/>
      <c r="E409" s="119"/>
      <c r="F409" s="119"/>
      <c r="G409" s="119"/>
      <c r="H409" s="54" t="s">
        <v>6</v>
      </c>
      <c r="I409" s="59"/>
      <c r="J409" s="120"/>
      <c r="K409" s="120"/>
      <c r="L409" s="120"/>
      <c r="M409" s="120"/>
    </row>
    <row r="410" spans="1:20" s="1" customFormat="1" ht="30" customHeight="1">
      <c r="A410" s="72" t="s">
        <v>7</v>
      </c>
      <c r="B410" s="114"/>
      <c r="C410" s="4">
        <v>50</v>
      </c>
      <c r="D410" s="4" t="s">
        <v>8</v>
      </c>
      <c r="E410" s="4" t="s">
        <v>9</v>
      </c>
      <c r="F410" s="4">
        <f>F352+1</f>
        <v>43</v>
      </c>
      <c r="G410" s="5" t="s">
        <v>8</v>
      </c>
      <c r="H410" s="4" t="s">
        <v>10</v>
      </c>
      <c r="I410" s="4">
        <f>C410-F410+L410</f>
        <v>7</v>
      </c>
      <c r="J410" s="4" t="s">
        <v>11</v>
      </c>
      <c r="K410" s="6" t="s">
        <v>12</v>
      </c>
      <c r="L410" s="7">
        <f>L352</f>
        <v>0</v>
      </c>
      <c r="M410" s="4" t="s">
        <v>8</v>
      </c>
    </row>
    <row r="411" spans="1:20" s="2" customFormat="1" ht="30" customHeight="1">
      <c r="A411" s="72" t="s">
        <v>13</v>
      </c>
      <c r="B411" s="75"/>
      <c r="C411" s="75"/>
      <c r="D411" s="121">
        <f>D353</f>
        <v>45988</v>
      </c>
      <c r="E411" s="122"/>
      <c r="F411" s="122"/>
      <c r="G411" s="123"/>
      <c r="H411" s="124" t="s">
        <v>14</v>
      </c>
      <c r="I411" s="125"/>
      <c r="J411" s="121">
        <f>J353</f>
        <v>46037</v>
      </c>
      <c r="K411" s="122"/>
      <c r="L411" s="122"/>
      <c r="M411" s="123"/>
    </row>
    <row r="412" spans="1:20" s="2" customFormat="1" ht="30" customHeight="1">
      <c r="A412" s="72" t="s">
        <v>15</v>
      </c>
      <c r="B412" s="114"/>
      <c r="C412" s="114"/>
      <c r="D412" s="72">
        <v>6.9379999999999997</v>
      </c>
      <c r="E412" s="72"/>
      <c r="F412" s="72"/>
      <c r="G412" s="72"/>
      <c r="H412" s="64" t="s">
        <v>16</v>
      </c>
      <c r="I412" s="115"/>
      <c r="J412" s="116">
        <f>P428</f>
        <v>0</v>
      </c>
      <c r="K412" s="117"/>
      <c r="L412" s="117"/>
      <c r="M412" s="118"/>
    </row>
    <row r="413" spans="1:20" s="2" customFormat="1" ht="30" customHeight="1">
      <c r="A413" s="72" t="s">
        <v>17</v>
      </c>
      <c r="B413" s="114"/>
      <c r="C413" s="114"/>
      <c r="D413" s="72">
        <f>D412+D355</f>
        <v>50.38300000000001</v>
      </c>
      <c r="E413" s="72"/>
      <c r="F413" s="72"/>
      <c r="G413" s="72"/>
      <c r="H413" s="64" t="s">
        <v>18</v>
      </c>
      <c r="I413" s="115"/>
      <c r="J413" s="116">
        <f>J412+J355</f>
        <v>25.469999999999992</v>
      </c>
      <c r="K413" s="117"/>
      <c r="L413" s="117"/>
      <c r="M413" s="118"/>
    </row>
    <row r="414" spans="1:20" s="2" customFormat="1" ht="30" customHeight="1">
      <c r="A414" s="111" t="s">
        <v>19</v>
      </c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3"/>
    </row>
    <row r="415" spans="1:20" s="2" customFormat="1" ht="30" customHeight="1">
      <c r="A415" s="8" t="s">
        <v>20</v>
      </c>
      <c r="B415" s="72" t="s">
        <v>21</v>
      </c>
      <c r="C415" s="72"/>
      <c r="D415" s="72"/>
      <c r="E415" s="4" t="s">
        <v>22</v>
      </c>
      <c r="F415" s="54" t="s">
        <v>23</v>
      </c>
      <c r="G415" s="59"/>
      <c r="H415" s="72" t="s">
        <v>24</v>
      </c>
      <c r="I415" s="72"/>
      <c r="J415" s="72" t="s">
        <v>25</v>
      </c>
      <c r="K415" s="72"/>
      <c r="L415" s="72" t="s">
        <v>26</v>
      </c>
      <c r="M415" s="72"/>
      <c r="O415" s="1" t="s">
        <v>27</v>
      </c>
      <c r="P415" s="1" t="s">
        <v>28</v>
      </c>
      <c r="T415" s="2" t="s">
        <v>29</v>
      </c>
    </row>
    <row r="416" spans="1:20" s="2" customFormat="1" ht="24.95" customHeight="1">
      <c r="A416" s="9" t="s">
        <v>30</v>
      </c>
      <c r="B416" s="110" t="s">
        <v>31</v>
      </c>
      <c r="C416" s="110"/>
      <c r="D416" s="110"/>
      <c r="E416" s="4"/>
      <c r="F416" s="54"/>
      <c r="G416" s="59"/>
      <c r="H416" s="72"/>
      <c r="I416" s="72"/>
      <c r="J416" s="72"/>
      <c r="K416" s="72"/>
      <c r="L416" s="72"/>
      <c r="M416" s="72"/>
    </row>
    <row r="417" spans="1:20" ht="24.95" customHeight="1">
      <c r="A417" s="10">
        <v>1</v>
      </c>
      <c r="B417" s="66" t="s">
        <v>91</v>
      </c>
      <c r="C417" s="67" t="s">
        <v>91</v>
      </c>
      <c r="D417" s="68" t="s">
        <v>91</v>
      </c>
      <c r="E417" s="4" t="s">
        <v>32</v>
      </c>
      <c r="F417" s="69">
        <v>1</v>
      </c>
      <c r="G417" s="70"/>
      <c r="H417" s="69"/>
      <c r="I417" s="70"/>
      <c r="J417" s="71">
        <f>H417+J359</f>
        <v>1</v>
      </c>
      <c r="K417" s="71"/>
      <c r="L417" s="72"/>
      <c r="M417" s="72"/>
      <c r="O417" s="11">
        <v>4000</v>
      </c>
      <c r="P417" s="11">
        <f>ROUND(H417*O417,0)</f>
        <v>0</v>
      </c>
      <c r="Q417" s="12"/>
      <c r="S417" s="11">
        <f>ROUND(J417*O417,0)</f>
        <v>4000</v>
      </c>
      <c r="T417" s="13">
        <f>F417-J417</f>
        <v>0</v>
      </c>
    </row>
    <row r="418" spans="1:20" ht="24.95" customHeight="1">
      <c r="A418" s="10">
        <v>2</v>
      </c>
      <c r="B418" s="66" t="s">
        <v>92</v>
      </c>
      <c r="C418" s="67" t="s">
        <v>92</v>
      </c>
      <c r="D418" s="68" t="s">
        <v>92</v>
      </c>
      <c r="E418" s="4" t="s">
        <v>32</v>
      </c>
      <c r="F418" s="69">
        <v>1</v>
      </c>
      <c r="G418" s="70"/>
      <c r="H418" s="69"/>
      <c r="I418" s="70"/>
      <c r="J418" s="71">
        <f t="shared" ref="J418:J425" si="45">H418+J360</f>
        <v>1</v>
      </c>
      <c r="K418" s="71"/>
      <c r="L418" s="72"/>
      <c r="M418" s="72"/>
      <c r="O418" s="11">
        <v>14334</v>
      </c>
      <c r="P418" s="11">
        <f t="shared" ref="P418:P425" si="46">ROUND(H418*O418,0)</f>
        <v>0</v>
      </c>
      <c r="Q418" s="12"/>
      <c r="S418" s="11">
        <f t="shared" ref="S418:S425" si="47">ROUND(J418*O418,0)</f>
        <v>14334</v>
      </c>
      <c r="T418" s="13">
        <f t="shared" ref="T418:T425" si="48">F418-J418</f>
        <v>0</v>
      </c>
    </row>
    <row r="419" spans="1:20" ht="24.95" customHeight="1">
      <c r="A419" s="10">
        <v>3</v>
      </c>
      <c r="B419" s="66" t="s">
        <v>84</v>
      </c>
      <c r="C419" s="67" t="s">
        <v>84</v>
      </c>
      <c r="D419" s="68" t="s">
        <v>84</v>
      </c>
      <c r="E419" s="4" t="s">
        <v>33</v>
      </c>
      <c r="F419" s="69">
        <v>1</v>
      </c>
      <c r="G419" s="70"/>
      <c r="H419" s="69"/>
      <c r="I419" s="70"/>
      <c r="J419" s="71">
        <f t="shared" si="45"/>
        <v>0.5</v>
      </c>
      <c r="K419" s="71"/>
      <c r="L419" s="72"/>
      <c r="M419" s="72"/>
      <c r="O419" s="11">
        <v>7000</v>
      </c>
      <c r="P419" s="11">
        <f t="shared" si="46"/>
        <v>0</v>
      </c>
      <c r="Q419" s="12"/>
      <c r="S419" s="11">
        <f t="shared" si="47"/>
        <v>3500</v>
      </c>
      <c r="T419" s="13">
        <f t="shared" si="48"/>
        <v>0.5</v>
      </c>
    </row>
    <row r="420" spans="1:20" ht="24.95" customHeight="1">
      <c r="A420" s="10">
        <v>4</v>
      </c>
      <c r="B420" s="66" t="s">
        <v>85</v>
      </c>
      <c r="C420" s="67" t="s">
        <v>85</v>
      </c>
      <c r="D420" s="68" t="s">
        <v>85</v>
      </c>
      <c r="E420" s="4" t="s">
        <v>34</v>
      </c>
      <c r="F420" s="69">
        <v>1</v>
      </c>
      <c r="G420" s="70"/>
      <c r="H420" s="69"/>
      <c r="I420" s="70"/>
      <c r="J420" s="71">
        <f t="shared" si="45"/>
        <v>1</v>
      </c>
      <c r="K420" s="71"/>
      <c r="L420" s="72"/>
      <c r="M420" s="72"/>
      <c r="O420" s="11">
        <v>74000</v>
      </c>
      <c r="P420" s="11">
        <f t="shared" si="46"/>
        <v>0</v>
      </c>
      <c r="Q420" s="12"/>
      <c r="S420" s="11">
        <f t="shared" si="47"/>
        <v>74000</v>
      </c>
      <c r="T420" s="13">
        <f t="shared" si="48"/>
        <v>0</v>
      </c>
    </row>
    <row r="421" spans="1:20" ht="24.95" customHeight="1">
      <c r="A421" s="10">
        <v>5</v>
      </c>
      <c r="B421" s="66" t="s">
        <v>86</v>
      </c>
      <c r="C421" s="67" t="s">
        <v>86</v>
      </c>
      <c r="D421" s="68" t="s">
        <v>86</v>
      </c>
      <c r="E421" s="4" t="s">
        <v>93</v>
      </c>
      <c r="F421" s="69">
        <v>396</v>
      </c>
      <c r="G421" s="70"/>
      <c r="H421" s="69"/>
      <c r="I421" s="70"/>
      <c r="J421" s="71">
        <f t="shared" si="45"/>
        <v>350</v>
      </c>
      <c r="K421" s="71"/>
      <c r="L421" s="72"/>
      <c r="M421" s="72"/>
      <c r="O421" s="11">
        <v>200</v>
      </c>
      <c r="P421" s="11">
        <f t="shared" si="46"/>
        <v>0</v>
      </c>
      <c r="Q421" s="12"/>
      <c r="S421" s="11">
        <f t="shared" si="47"/>
        <v>70000</v>
      </c>
      <c r="T421" s="13">
        <f t="shared" si="48"/>
        <v>46</v>
      </c>
    </row>
    <row r="422" spans="1:20" ht="24.95" customHeight="1">
      <c r="A422" s="10">
        <v>6</v>
      </c>
      <c r="B422" s="66" t="s">
        <v>97</v>
      </c>
      <c r="C422" s="67" t="s">
        <v>87</v>
      </c>
      <c r="D422" s="68" t="s">
        <v>87</v>
      </c>
      <c r="E422" s="4" t="s">
        <v>35</v>
      </c>
      <c r="F422" s="69">
        <v>80</v>
      </c>
      <c r="G422" s="70">
        <v>183.6</v>
      </c>
      <c r="H422" s="69"/>
      <c r="I422" s="70"/>
      <c r="J422" s="71">
        <f t="shared" si="45"/>
        <v>78</v>
      </c>
      <c r="K422" s="71"/>
      <c r="L422" s="54"/>
      <c r="M422" s="59"/>
      <c r="O422" s="11">
        <v>1463</v>
      </c>
      <c r="P422" s="11">
        <f t="shared" si="46"/>
        <v>0</v>
      </c>
      <c r="S422" s="11">
        <f t="shared" si="47"/>
        <v>114114</v>
      </c>
      <c r="T422" s="13">
        <f t="shared" si="48"/>
        <v>2</v>
      </c>
    </row>
    <row r="423" spans="1:20" ht="24.95" customHeight="1">
      <c r="A423" s="10">
        <v>7</v>
      </c>
      <c r="B423" s="66" t="s">
        <v>88</v>
      </c>
      <c r="C423" s="67" t="s">
        <v>88</v>
      </c>
      <c r="D423" s="68" t="s">
        <v>88</v>
      </c>
      <c r="E423" s="4" t="s">
        <v>94</v>
      </c>
      <c r="F423" s="69">
        <v>126</v>
      </c>
      <c r="G423" s="70">
        <v>19</v>
      </c>
      <c r="H423" s="69"/>
      <c r="I423" s="70"/>
      <c r="J423" s="71">
        <f t="shared" si="45"/>
        <v>0</v>
      </c>
      <c r="K423" s="71"/>
      <c r="L423" s="54"/>
      <c r="M423" s="59"/>
      <c r="O423" s="11">
        <v>6350</v>
      </c>
      <c r="P423" s="11">
        <f t="shared" si="46"/>
        <v>0</v>
      </c>
      <c r="S423" s="11">
        <f t="shared" si="47"/>
        <v>0</v>
      </c>
      <c r="T423" s="13">
        <f t="shared" si="48"/>
        <v>126</v>
      </c>
    </row>
    <row r="424" spans="1:20" ht="24.95" customHeight="1">
      <c r="A424" s="10">
        <v>8</v>
      </c>
      <c r="B424" s="66" t="s">
        <v>89</v>
      </c>
      <c r="C424" s="67" t="s">
        <v>89</v>
      </c>
      <c r="D424" s="68" t="s">
        <v>89</v>
      </c>
      <c r="E424" s="4" t="s">
        <v>95</v>
      </c>
      <c r="F424" s="69">
        <v>1</v>
      </c>
      <c r="G424" s="70">
        <v>1192</v>
      </c>
      <c r="H424" s="69"/>
      <c r="I424" s="70"/>
      <c r="J424" s="71">
        <f t="shared" si="45"/>
        <v>0.3</v>
      </c>
      <c r="K424" s="71"/>
      <c r="L424" s="54"/>
      <c r="M424" s="59"/>
      <c r="O424" s="11">
        <v>47600</v>
      </c>
      <c r="P424" s="11">
        <f t="shared" si="46"/>
        <v>0</v>
      </c>
      <c r="S424" s="11">
        <f t="shared" si="47"/>
        <v>14280</v>
      </c>
      <c r="T424" s="13">
        <f t="shared" si="48"/>
        <v>0.7</v>
      </c>
    </row>
    <row r="425" spans="1:20" ht="24.95" customHeight="1">
      <c r="A425" s="10">
        <v>9</v>
      </c>
      <c r="B425" s="66" t="s">
        <v>90</v>
      </c>
      <c r="C425" s="67" t="s">
        <v>90</v>
      </c>
      <c r="D425" s="68" t="s">
        <v>90</v>
      </c>
      <c r="E425" s="4" t="s">
        <v>96</v>
      </c>
      <c r="F425" s="69">
        <v>1</v>
      </c>
      <c r="G425" s="70">
        <v>1261</v>
      </c>
      <c r="H425" s="69"/>
      <c r="I425" s="70"/>
      <c r="J425" s="71">
        <f t="shared" si="45"/>
        <v>0</v>
      </c>
      <c r="K425" s="71"/>
      <c r="L425" s="54"/>
      <c r="M425" s="59"/>
      <c r="O425" s="11">
        <v>10000</v>
      </c>
      <c r="P425" s="11">
        <f t="shared" si="46"/>
        <v>0</v>
      </c>
      <c r="S425" s="11">
        <f t="shared" si="47"/>
        <v>0</v>
      </c>
      <c r="T425" s="13">
        <f t="shared" si="48"/>
        <v>1</v>
      </c>
    </row>
    <row r="426" spans="1:20" ht="24.95" customHeight="1">
      <c r="A426" s="14"/>
      <c r="B426" s="15"/>
      <c r="C426" s="16"/>
      <c r="D426" s="17"/>
      <c r="E426" s="4"/>
      <c r="F426" s="18"/>
      <c r="G426" s="19"/>
      <c r="H426" s="105"/>
      <c r="I426" s="106"/>
      <c r="J426" s="105"/>
      <c r="K426" s="106"/>
      <c r="L426" s="54"/>
      <c r="M426" s="59"/>
      <c r="N426" s="20"/>
      <c r="P426" s="21" t="s">
        <v>37</v>
      </c>
      <c r="Q426" s="22">
        <f>SUM(P417:P425)</f>
        <v>0</v>
      </c>
      <c r="R426" s="23"/>
      <c r="S426" s="24">
        <f>SUM(S417:S425)</f>
        <v>294228</v>
      </c>
      <c r="T426" s="13"/>
    </row>
    <row r="427" spans="1:20" ht="24.95" customHeight="1">
      <c r="A427" s="107"/>
      <c r="B427" s="108"/>
      <c r="C427" s="108"/>
      <c r="D427" s="109"/>
      <c r="E427" s="4"/>
      <c r="F427" s="54"/>
      <c r="G427" s="59"/>
      <c r="H427" s="72"/>
      <c r="I427" s="72"/>
      <c r="J427" s="72"/>
      <c r="K427" s="72"/>
      <c r="L427" s="72"/>
      <c r="M427" s="72"/>
      <c r="O427" t="s">
        <v>38</v>
      </c>
      <c r="P427" s="24">
        <f>Q426</f>
        <v>0</v>
      </c>
      <c r="T427" s="13"/>
    </row>
    <row r="428" spans="1:20" ht="24.95" customHeight="1">
      <c r="A428" s="97"/>
      <c r="B428" s="98"/>
      <c r="C428" s="98"/>
      <c r="D428" s="99"/>
      <c r="E428" s="4"/>
      <c r="F428" s="54"/>
      <c r="G428" s="59"/>
      <c r="H428" s="72"/>
      <c r="I428" s="72"/>
      <c r="J428" s="72"/>
      <c r="K428" s="72"/>
      <c r="L428" s="72"/>
      <c r="M428" s="72"/>
      <c r="O428" t="s">
        <v>39</v>
      </c>
      <c r="P428" s="23">
        <f>ROUND(P427/1153274,4)*100</f>
        <v>0</v>
      </c>
      <c r="T428" s="13"/>
    </row>
    <row r="429" spans="1:20" ht="24.95" customHeight="1">
      <c r="A429" s="25"/>
      <c r="B429" s="63" t="s">
        <v>40</v>
      </c>
      <c r="C429" s="63"/>
      <c r="D429" s="59"/>
      <c r="E429" s="26"/>
      <c r="F429" s="100"/>
      <c r="G429" s="101"/>
      <c r="H429" s="100"/>
      <c r="I429" s="101"/>
      <c r="J429" s="102"/>
      <c r="K429" s="102"/>
      <c r="L429" s="103">
        <f>P427</f>
        <v>0</v>
      </c>
      <c r="M429" s="104"/>
      <c r="T429" s="13"/>
    </row>
    <row r="430" spans="1:20" ht="24.95" customHeight="1" thickBot="1">
      <c r="A430" s="27"/>
      <c r="B430" s="85" t="s">
        <v>41</v>
      </c>
      <c r="C430" s="85"/>
      <c r="D430" s="86"/>
      <c r="E430" s="28"/>
      <c r="F430" s="87"/>
      <c r="G430" s="88"/>
      <c r="H430" s="87"/>
      <c r="I430" s="88"/>
      <c r="J430" s="87"/>
      <c r="K430" s="88"/>
      <c r="L430" s="89">
        <f>L429+L372</f>
        <v>294228</v>
      </c>
      <c r="M430" s="90"/>
      <c r="T430" s="13"/>
    </row>
    <row r="431" spans="1:20" ht="24.95" customHeight="1">
      <c r="A431" s="29"/>
      <c r="B431" s="91" t="s">
        <v>42</v>
      </c>
      <c r="C431" s="91"/>
      <c r="D431" s="92"/>
      <c r="E431" s="30"/>
      <c r="F431" s="93"/>
      <c r="G431" s="94"/>
      <c r="H431" s="95"/>
      <c r="I431" s="95"/>
      <c r="J431" s="95"/>
      <c r="K431" s="95"/>
      <c r="L431" s="95"/>
      <c r="M431" s="96"/>
      <c r="T431" s="13"/>
    </row>
    <row r="432" spans="1:20" ht="24.95" customHeight="1">
      <c r="A432" s="31"/>
      <c r="B432" s="76" t="s">
        <v>43</v>
      </c>
      <c r="C432" s="76"/>
      <c r="D432" s="77"/>
      <c r="E432" s="4"/>
      <c r="F432" s="54"/>
      <c r="G432" s="59"/>
      <c r="H432" s="72"/>
      <c r="I432" s="72"/>
      <c r="J432" s="72"/>
      <c r="K432" s="72"/>
      <c r="L432" s="72"/>
      <c r="M432" s="78"/>
      <c r="T432" s="13"/>
    </row>
    <row r="433" spans="1:20" ht="24.95" customHeight="1" thickBot="1">
      <c r="A433" s="32"/>
      <c r="B433" s="79" t="s">
        <v>44</v>
      </c>
      <c r="C433" s="79"/>
      <c r="D433" s="80"/>
      <c r="E433" s="33"/>
      <c r="F433" s="81"/>
      <c r="G433" s="82"/>
      <c r="H433" s="83"/>
      <c r="I433" s="83"/>
      <c r="J433" s="83"/>
      <c r="K433" s="83"/>
      <c r="L433" s="83"/>
      <c r="M433" s="84"/>
      <c r="T433" s="13"/>
    </row>
    <row r="434" spans="1:20" ht="24.95" customHeight="1">
      <c r="A434" s="73" t="s">
        <v>45</v>
      </c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T434" s="13"/>
    </row>
    <row r="435" spans="1:20" ht="24.95" customHeight="1">
      <c r="A435" s="72" t="s">
        <v>46</v>
      </c>
      <c r="B435" s="75"/>
      <c r="C435" s="75"/>
      <c r="D435" s="75"/>
      <c r="E435" s="4" t="s">
        <v>22</v>
      </c>
      <c r="F435" s="72" t="s">
        <v>47</v>
      </c>
      <c r="G435" s="72"/>
      <c r="H435" s="72" t="s">
        <v>48</v>
      </c>
      <c r="I435" s="72"/>
      <c r="J435" s="72" t="s">
        <v>49</v>
      </c>
      <c r="K435" s="72"/>
      <c r="L435" s="72" t="s">
        <v>50</v>
      </c>
      <c r="M435" s="72"/>
      <c r="T435" s="13"/>
    </row>
    <row r="436" spans="1:20" ht="24.95" customHeight="1">
      <c r="A436" s="10">
        <v>6</v>
      </c>
      <c r="B436" s="66" t="s">
        <v>97</v>
      </c>
      <c r="C436" s="67" t="s">
        <v>51</v>
      </c>
      <c r="D436" s="68" t="s">
        <v>51</v>
      </c>
      <c r="E436" s="4" t="s">
        <v>35</v>
      </c>
      <c r="F436" s="69">
        <v>80</v>
      </c>
      <c r="G436" s="70">
        <v>1261</v>
      </c>
      <c r="H436" s="71">
        <f>H422</f>
        <v>0</v>
      </c>
      <c r="I436" s="71"/>
      <c r="J436" s="71">
        <f>H436+J378</f>
        <v>78</v>
      </c>
      <c r="K436" s="71"/>
      <c r="L436" s="72"/>
      <c r="M436" s="72"/>
      <c r="T436" s="13"/>
    </row>
    <row r="437" spans="1:20" ht="24.95" customHeight="1">
      <c r="A437" s="10">
        <v>7</v>
      </c>
      <c r="B437" s="66" t="s">
        <v>88</v>
      </c>
      <c r="C437" s="67" t="s">
        <v>88</v>
      </c>
      <c r="D437" s="68" t="s">
        <v>88</v>
      </c>
      <c r="E437" s="4" t="s">
        <v>98</v>
      </c>
      <c r="F437" s="69">
        <v>126</v>
      </c>
      <c r="G437" s="70"/>
      <c r="H437" s="71">
        <f>H423</f>
        <v>0</v>
      </c>
      <c r="I437" s="71"/>
      <c r="J437" s="71">
        <f t="shared" ref="J437:J438" si="49">H437+J379</f>
        <v>0</v>
      </c>
      <c r="K437" s="71"/>
      <c r="L437" s="72"/>
      <c r="M437" s="72"/>
      <c r="T437" s="13"/>
    </row>
    <row r="438" spans="1:20" ht="24.95" customHeight="1">
      <c r="A438" s="10">
        <v>8</v>
      </c>
      <c r="B438" s="66" t="s">
        <v>89</v>
      </c>
      <c r="C438" s="67" t="s">
        <v>89</v>
      </c>
      <c r="D438" s="68" t="s">
        <v>89</v>
      </c>
      <c r="E438" s="4" t="s">
        <v>36</v>
      </c>
      <c r="F438" s="69">
        <v>1</v>
      </c>
      <c r="G438" s="70"/>
      <c r="H438" s="71">
        <f>H424</f>
        <v>0</v>
      </c>
      <c r="I438" s="71"/>
      <c r="J438" s="71">
        <f t="shared" si="49"/>
        <v>0.3</v>
      </c>
      <c r="K438" s="71"/>
      <c r="L438" s="72"/>
      <c r="M438" s="72"/>
      <c r="T438" s="13"/>
    </row>
    <row r="439" spans="1:20" ht="24.95" customHeight="1">
      <c r="A439" s="51" t="s">
        <v>52</v>
      </c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3"/>
      <c r="T439" s="13"/>
    </row>
    <row r="440" spans="1:20" ht="24.95" customHeight="1">
      <c r="A440" s="54" t="s">
        <v>53</v>
      </c>
      <c r="B440" s="63"/>
      <c r="C440" s="63"/>
      <c r="D440" s="59"/>
      <c r="E440" s="4" t="s">
        <v>54</v>
      </c>
      <c r="F440" s="54" t="s">
        <v>55</v>
      </c>
      <c r="G440" s="59"/>
      <c r="H440" s="54" t="s">
        <v>56</v>
      </c>
      <c r="I440" s="59"/>
      <c r="J440" s="54" t="s">
        <v>48</v>
      </c>
      <c r="K440" s="59"/>
      <c r="L440" s="64" t="s">
        <v>49</v>
      </c>
      <c r="M440" s="65"/>
      <c r="T440" s="13"/>
    </row>
    <row r="441" spans="1:20" ht="24.95" customHeight="1">
      <c r="A441" s="54" t="s">
        <v>57</v>
      </c>
      <c r="B441" s="55"/>
      <c r="C441" s="55"/>
      <c r="D441" s="56"/>
      <c r="E441" s="4"/>
      <c r="F441" s="57">
        <f>E441+F383</f>
        <v>28</v>
      </c>
      <c r="G441" s="58"/>
      <c r="H441" s="54" t="s">
        <v>58</v>
      </c>
      <c r="I441" s="59"/>
      <c r="J441" s="54"/>
      <c r="K441" s="59"/>
      <c r="L441" s="57">
        <f>J441+L383</f>
        <v>15</v>
      </c>
      <c r="M441" s="58"/>
      <c r="T441" s="13"/>
    </row>
    <row r="442" spans="1:20" ht="24.95" customHeight="1">
      <c r="A442" s="54" t="s">
        <v>59</v>
      </c>
      <c r="B442" s="55"/>
      <c r="C442" s="55"/>
      <c r="D442" s="56"/>
      <c r="E442" s="4"/>
      <c r="F442" s="57">
        <f t="shared" ref="F442:F444" si="50">E442+F384</f>
        <v>0</v>
      </c>
      <c r="G442" s="58"/>
      <c r="H442" s="54" t="s">
        <v>60</v>
      </c>
      <c r="I442" s="59"/>
      <c r="J442" s="54"/>
      <c r="K442" s="59"/>
      <c r="L442" s="57">
        <f t="shared" ref="L442:L444" si="51">J442+L384</f>
        <v>0</v>
      </c>
      <c r="M442" s="58"/>
      <c r="T442" s="13"/>
    </row>
    <row r="443" spans="1:20" ht="24.95" customHeight="1">
      <c r="A443" s="54" t="s">
        <v>61</v>
      </c>
      <c r="B443" s="55"/>
      <c r="C443" s="55"/>
      <c r="D443" s="56"/>
      <c r="E443" s="4"/>
      <c r="F443" s="57">
        <f t="shared" si="50"/>
        <v>2</v>
      </c>
      <c r="G443" s="58"/>
      <c r="H443" s="54" t="s">
        <v>62</v>
      </c>
      <c r="I443" s="59"/>
      <c r="J443" s="54"/>
      <c r="K443" s="59"/>
      <c r="L443" s="57">
        <f t="shared" si="51"/>
        <v>5</v>
      </c>
      <c r="M443" s="58"/>
      <c r="T443" s="13"/>
    </row>
    <row r="444" spans="1:20" ht="24.95" customHeight="1">
      <c r="A444" s="54" t="s">
        <v>63</v>
      </c>
      <c r="B444" s="55"/>
      <c r="C444" s="55"/>
      <c r="D444" s="56"/>
      <c r="E444" s="4"/>
      <c r="F444" s="57">
        <f t="shared" si="50"/>
        <v>4</v>
      </c>
      <c r="G444" s="58"/>
      <c r="H444" s="54" t="s">
        <v>64</v>
      </c>
      <c r="I444" s="59"/>
      <c r="J444" s="54"/>
      <c r="K444" s="59"/>
      <c r="L444" s="57">
        <f t="shared" si="51"/>
        <v>1</v>
      </c>
      <c r="M444" s="58"/>
      <c r="T444" s="13"/>
    </row>
    <row r="445" spans="1:20" ht="64.5" customHeight="1">
      <c r="A445" s="60" t="s">
        <v>65</v>
      </c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2"/>
      <c r="T445" s="13"/>
    </row>
    <row r="446" spans="1:20" ht="24.95" customHeight="1">
      <c r="A446" s="46" t="s">
        <v>66</v>
      </c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8"/>
      <c r="T446" s="13"/>
    </row>
    <row r="447" spans="1:20" ht="24.95" customHeight="1">
      <c r="A447" s="27"/>
      <c r="B447" s="34" t="s">
        <v>67</v>
      </c>
      <c r="C447" s="34"/>
      <c r="D447" s="34"/>
      <c r="E447" s="34"/>
      <c r="F447" s="34"/>
      <c r="G447" s="35"/>
      <c r="H447" s="34"/>
      <c r="I447" s="34"/>
      <c r="J447" s="34"/>
      <c r="K447" s="34"/>
      <c r="L447" s="34"/>
      <c r="M447" s="36"/>
      <c r="T447" s="13"/>
    </row>
    <row r="448" spans="1:20" ht="24.95" customHeight="1">
      <c r="A448" s="27"/>
      <c r="B448" s="34" t="s">
        <v>81</v>
      </c>
      <c r="C448" s="34"/>
      <c r="D448" s="34"/>
      <c r="E448" s="34"/>
      <c r="F448" s="34"/>
      <c r="G448" s="35"/>
      <c r="H448" s="34"/>
      <c r="I448" s="34"/>
      <c r="J448" s="34"/>
      <c r="K448" s="34"/>
      <c r="L448" s="34"/>
      <c r="M448" s="36"/>
      <c r="T448" s="13"/>
    </row>
    <row r="449" spans="1:20" ht="24.95" customHeight="1">
      <c r="A449" s="27"/>
      <c r="B449" s="34" t="s">
        <v>68</v>
      </c>
      <c r="C449" s="34"/>
      <c r="D449" s="34"/>
      <c r="E449" s="34"/>
      <c r="F449" s="34"/>
      <c r="G449" s="35"/>
      <c r="H449" s="34"/>
      <c r="I449" s="34"/>
      <c r="J449" s="34"/>
      <c r="K449" s="34"/>
      <c r="L449" s="34"/>
      <c r="M449" s="36"/>
      <c r="T449" s="13"/>
    </row>
    <row r="450" spans="1:20" ht="24.95" customHeight="1">
      <c r="A450" s="27"/>
      <c r="B450" s="34" t="s">
        <v>82</v>
      </c>
      <c r="C450" s="34"/>
      <c r="D450" s="34"/>
      <c r="E450" s="34"/>
      <c r="F450" s="34"/>
      <c r="G450" s="35"/>
      <c r="H450" s="34"/>
      <c r="I450" s="34"/>
      <c r="J450" s="34"/>
      <c r="K450" s="34"/>
      <c r="L450" s="34"/>
      <c r="M450" s="36"/>
      <c r="T450" s="13"/>
    </row>
    <row r="451" spans="1:20" ht="24.95" customHeight="1">
      <c r="A451" s="27"/>
      <c r="B451" s="34" t="s">
        <v>99</v>
      </c>
      <c r="C451" s="34"/>
      <c r="D451" s="34"/>
      <c r="E451" s="34"/>
      <c r="F451" s="34"/>
      <c r="G451" s="35"/>
      <c r="H451" s="34"/>
      <c r="I451" s="34"/>
      <c r="J451" s="34"/>
      <c r="K451" s="34"/>
      <c r="L451" s="34"/>
      <c r="M451" s="36"/>
      <c r="T451" s="13"/>
    </row>
    <row r="452" spans="1:20" ht="24.95" customHeight="1">
      <c r="A452" s="37"/>
      <c r="B452" s="49" t="s">
        <v>69</v>
      </c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50"/>
      <c r="T452" s="13"/>
    </row>
    <row r="453" spans="1:20" ht="44.25" customHeight="1">
      <c r="A453" s="51" t="s">
        <v>70</v>
      </c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3"/>
      <c r="T453" s="13"/>
    </row>
    <row r="454" spans="1:20" ht="48" customHeight="1">
      <c r="A454" s="51" t="s">
        <v>71</v>
      </c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3"/>
      <c r="T454" s="13"/>
    </row>
    <row r="455" spans="1:20" ht="81" customHeight="1">
      <c r="A455" s="51" t="s">
        <v>80</v>
      </c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3"/>
      <c r="T455" s="13"/>
    </row>
    <row r="456" spans="1:20" ht="100.5" customHeight="1">
      <c r="A456" s="51" t="s">
        <v>72</v>
      </c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3"/>
      <c r="T456" s="13"/>
    </row>
    <row r="457" spans="1:20" ht="12" customHeight="1">
      <c r="A457" s="41" t="s">
        <v>73</v>
      </c>
      <c r="B457" s="41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38"/>
      <c r="T457" s="13"/>
    </row>
    <row r="458" spans="1:20" ht="12" customHeight="1">
      <c r="A458" s="43" t="s">
        <v>74</v>
      </c>
      <c r="B458" s="43"/>
      <c r="C458" s="40"/>
      <c r="D458" s="40"/>
      <c r="E458" s="40"/>
      <c r="F458" s="40"/>
      <c r="G458" s="40"/>
      <c r="H458" s="40"/>
      <c r="I458" s="40"/>
      <c r="J458" s="40"/>
      <c r="K458" s="40"/>
      <c r="L458" s="38"/>
      <c r="M458" s="38"/>
      <c r="T458" s="13"/>
    </row>
    <row r="459" spans="1:20" ht="12" customHeight="1">
      <c r="A459" s="44" t="s">
        <v>75</v>
      </c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T459" s="13"/>
    </row>
    <row r="460" spans="1:20" ht="12" customHeight="1">
      <c r="A460" s="39" t="s">
        <v>76</v>
      </c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T460" s="13"/>
    </row>
    <row r="461" spans="1:20" ht="12" customHeight="1">
      <c r="A461" s="39" t="s">
        <v>77</v>
      </c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T461" s="13"/>
    </row>
    <row r="462" spans="1:20" ht="12" customHeight="1">
      <c r="A462" s="45" t="s">
        <v>78</v>
      </c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T462" s="13"/>
    </row>
    <row r="463" spans="1:20" ht="12" customHeight="1">
      <c r="A463" s="39" t="s">
        <v>79</v>
      </c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T463" s="13"/>
    </row>
    <row r="464" spans="1:20" ht="409.5" customHeight="1"/>
    <row r="465" spans="1:20" s="2" customFormat="1" ht="35.1" customHeight="1">
      <c r="A465" s="126" t="s">
        <v>0</v>
      </c>
      <c r="B465" s="126"/>
      <c r="C465" s="1">
        <f>C407+1</f>
        <v>44</v>
      </c>
      <c r="G465" s="3"/>
    </row>
    <row r="466" spans="1:20" s="2" customFormat="1" ht="35.1" customHeight="1">
      <c r="A466" s="126" t="s">
        <v>1</v>
      </c>
      <c r="B466" s="126"/>
      <c r="C466" s="2" t="s">
        <v>2</v>
      </c>
      <c r="E466" s="2" t="s">
        <v>3</v>
      </c>
      <c r="G466" s="3"/>
      <c r="H466" s="127" t="s">
        <v>4</v>
      </c>
      <c r="I466" s="128"/>
      <c r="J466" s="129">
        <f>J408+1</f>
        <v>46031</v>
      </c>
      <c r="K466" s="130"/>
      <c r="L466" s="131">
        <f>J466</f>
        <v>46031</v>
      </c>
      <c r="M466" s="132"/>
    </row>
    <row r="467" spans="1:20" s="2" customFormat="1" ht="30" customHeight="1">
      <c r="A467" s="72" t="s">
        <v>5</v>
      </c>
      <c r="B467" s="114"/>
      <c r="C467" s="119" t="s">
        <v>83</v>
      </c>
      <c r="D467" s="119"/>
      <c r="E467" s="119"/>
      <c r="F467" s="119"/>
      <c r="G467" s="119"/>
      <c r="H467" s="54" t="s">
        <v>6</v>
      </c>
      <c r="I467" s="59"/>
      <c r="J467" s="120"/>
      <c r="K467" s="120"/>
      <c r="L467" s="120"/>
      <c r="M467" s="120"/>
    </row>
    <row r="468" spans="1:20" s="1" customFormat="1" ht="30" customHeight="1">
      <c r="A468" s="72" t="s">
        <v>7</v>
      </c>
      <c r="B468" s="114"/>
      <c r="C468" s="4">
        <v>50</v>
      </c>
      <c r="D468" s="4" t="s">
        <v>8</v>
      </c>
      <c r="E468" s="4" t="s">
        <v>9</v>
      </c>
      <c r="F468" s="4">
        <f>F410+1</f>
        <v>44</v>
      </c>
      <c r="G468" s="5" t="s">
        <v>8</v>
      </c>
      <c r="H468" s="4" t="s">
        <v>10</v>
      </c>
      <c r="I468" s="4">
        <f>C468-F468+L468</f>
        <v>6</v>
      </c>
      <c r="J468" s="4" t="s">
        <v>11</v>
      </c>
      <c r="K468" s="6" t="s">
        <v>12</v>
      </c>
      <c r="L468" s="7">
        <f>L410</f>
        <v>0</v>
      </c>
      <c r="M468" s="4" t="s">
        <v>8</v>
      </c>
    </row>
    <row r="469" spans="1:20" s="2" customFormat="1" ht="30" customHeight="1">
      <c r="A469" s="72" t="s">
        <v>13</v>
      </c>
      <c r="B469" s="75"/>
      <c r="C469" s="75"/>
      <c r="D469" s="121">
        <f>D411</f>
        <v>45988</v>
      </c>
      <c r="E469" s="122"/>
      <c r="F469" s="122"/>
      <c r="G469" s="123"/>
      <c r="H469" s="124" t="s">
        <v>14</v>
      </c>
      <c r="I469" s="125"/>
      <c r="J469" s="121">
        <f>J411</f>
        <v>46037</v>
      </c>
      <c r="K469" s="122"/>
      <c r="L469" s="122"/>
      <c r="M469" s="123"/>
    </row>
    <row r="470" spans="1:20" s="2" customFormat="1" ht="30" customHeight="1">
      <c r="A470" s="72" t="s">
        <v>15</v>
      </c>
      <c r="B470" s="114"/>
      <c r="C470" s="114"/>
      <c r="D470" s="72">
        <v>6.9379999999999997</v>
      </c>
      <c r="E470" s="72"/>
      <c r="F470" s="72"/>
      <c r="G470" s="72"/>
      <c r="H470" s="64" t="s">
        <v>16</v>
      </c>
      <c r="I470" s="115"/>
      <c r="J470" s="116">
        <f>P486</f>
        <v>0</v>
      </c>
      <c r="K470" s="117"/>
      <c r="L470" s="117"/>
      <c r="M470" s="118"/>
    </row>
    <row r="471" spans="1:20" s="2" customFormat="1" ht="30" customHeight="1">
      <c r="A471" s="72" t="s">
        <v>17</v>
      </c>
      <c r="B471" s="114"/>
      <c r="C471" s="114"/>
      <c r="D471" s="72">
        <f>D470+D413</f>
        <v>57.321000000000012</v>
      </c>
      <c r="E471" s="72"/>
      <c r="F471" s="72"/>
      <c r="G471" s="72"/>
      <c r="H471" s="64" t="s">
        <v>18</v>
      </c>
      <c r="I471" s="115"/>
      <c r="J471" s="116">
        <f>J470+J413</f>
        <v>25.469999999999992</v>
      </c>
      <c r="K471" s="117"/>
      <c r="L471" s="117"/>
      <c r="M471" s="118"/>
    </row>
    <row r="472" spans="1:20" s="2" customFormat="1" ht="30" customHeight="1">
      <c r="A472" s="111" t="s">
        <v>19</v>
      </c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12"/>
      <c r="M472" s="113"/>
    </row>
    <row r="473" spans="1:20" s="2" customFormat="1" ht="30" customHeight="1">
      <c r="A473" s="8" t="s">
        <v>20</v>
      </c>
      <c r="B473" s="72" t="s">
        <v>21</v>
      </c>
      <c r="C473" s="72"/>
      <c r="D473" s="72"/>
      <c r="E473" s="4" t="s">
        <v>22</v>
      </c>
      <c r="F473" s="54" t="s">
        <v>23</v>
      </c>
      <c r="G473" s="59"/>
      <c r="H473" s="72" t="s">
        <v>24</v>
      </c>
      <c r="I473" s="72"/>
      <c r="J473" s="72" t="s">
        <v>25</v>
      </c>
      <c r="K473" s="72"/>
      <c r="L473" s="72" t="s">
        <v>26</v>
      </c>
      <c r="M473" s="72"/>
      <c r="O473" s="1" t="s">
        <v>27</v>
      </c>
      <c r="P473" s="1" t="s">
        <v>28</v>
      </c>
      <c r="T473" s="2" t="s">
        <v>29</v>
      </c>
    </row>
    <row r="474" spans="1:20" s="2" customFormat="1" ht="24.95" customHeight="1">
      <c r="A474" s="9" t="s">
        <v>30</v>
      </c>
      <c r="B474" s="110" t="s">
        <v>31</v>
      </c>
      <c r="C474" s="110"/>
      <c r="D474" s="110"/>
      <c r="E474" s="4"/>
      <c r="F474" s="54"/>
      <c r="G474" s="59"/>
      <c r="H474" s="72"/>
      <c r="I474" s="72"/>
      <c r="J474" s="72"/>
      <c r="K474" s="72"/>
      <c r="L474" s="72"/>
      <c r="M474" s="72"/>
    </row>
    <row r="475" spans="1:20" ht="24.95" customHeight="1">
      <c r="A475" s="10">
        <v>1</v>
      </c>
      <c r="B475" s="66" t="s">
        <v>91</v>
      </c>
      <c r="C475" s="67" t="s">
        <v>91</v>
      </c>
      <c r="D475" s="68" t="s">
        <v>91</v>
      </c>
      <c r="E475" s="4" t="s">
        <v>32</v>
      </c>
      <c r="F475" s="69">
        <v>1</v>
      </c>
      <c r="G475" s="70"/>
      <c r="H475" s="69"/>
      <c r="I475" s="70"/>
      <c r="J475" s="71">
        <f>H475+J417</f>
        <v>1</v>
      </c>
      <c r="K475" s="71"/>
      <c r="L475" s="72"/>
      <c r="M475" s="72"/>
      <c r="O475" s="11">
        <v>4000</v>
      </c>
      <c r="P475" s="11">
        <f>ROUND(H475*O475,0)</f>
        <v>0</v>
      </c>
      <c r="Q475" s="12"/>
      <c r="S475" s="11">
        <f>ROUND(J475*O475,0)</f>
        <v>4000</v>
      </c>
      <c r="T475" s="13">
        <f>F475-J475</f>
        <v>0</v>
      </c>
    </row>
    <row r="476" spans="1:20" ht="24.95" customHeight="1">
      <c r="A476" s="10">
        <v>2</v>
      </c>
      <c r="B476" s="66" t="s">
        <v>92</v>
      </c>
      <c r="C476" s="67" t="s">
        <v>92</v>
      </c>
      <c r="D476" s="68" t="s">
        <v>92</v>
      </c>
      <c r="E476" s="4" t="s">
        <v>32</v>
      </c>
      <c r="F476" s="69">
        <v>1</v>
      </c>
      <c r="G476" s="70"/>
      <c r="H476" s="69"/>
      <c r="I476" s="70"/>
      <c r="J476" s="71">
        <f t="shared" ref="J476:J483" si="52">H476+J418</f>
        <v>1</v>
      </c>
      <c r="K476" s="71"/>
      <c r="L476" s="72"/>
      <c r="M476" s="72"/>
      <c r="O476" s="11">
        <v>14334</v>
      </c>
      <c r="P476" s="11">
        <f t="shared" ref="P476:P483" si="53">ROUND(H476*O476,0)</f>
        <v>0</v>
      </c>
      <c r="Q476" s="12"/>
      <c r="S476" s="11">
        <f t="shared" ref="S476:S483" si="54">ROUND(J476*O476,0)</f>
        <v>14334</v>
      </c>
      <c r="T476" s="13">
        <f t="shared" ref="T476:T483" si="55">F476-J476</f>
        <v>0</v>
      </c>
    </row>
    <row r="477" spans="1:20" ht="24.95" customHeight="1">
      <c r="A477" s="10">
        <v>3</v>
      </c>
      <c r="B477" s="66" t="s">
        <v>84</v>
      </c>
      <c r="C477" s="67" t="s">
        <v>84</v>
      </c>
      <c r="D477" s="68" t="s">
        <v>84</v>
      </c>
      <c r="E477" s="4" t="s">
        <v>33</v>
      </c>
      <c r="F477" s="69">
        <v>1</v>
      </c>
      <c r="G477" s="70"/>
      <c r="H477" s="69"/>
      <c r="I477" s="70"/>
      <c r="J477" s="71">
        <f t="shared" si="52"/>
        <v>0.5</v>
      </c>
      <c r="K477" s="71"/>
      <c r="L477" s="72"/>
      <c r="M477" s="72"/>
      <c r="O477" s="11">
        <v>7000</v>
      </c>
      <c r="P477" s="11">
        <f t="shared" si="53"/>
        <v>0</v>
      </c>
      <c r="Q477" s="12"/>
      <c r="S477" s="11">
        <f t="shared" si="54"/>
        <v>3500</v>
      </c>
      <c r="T477" s="13">
        <f t="shared" si="55"/>
        <v>0.5</v>
      </c>
    </row>
    <row r="478" spans="1:20" ht="24.95" customHeight="1">
      <c r="A478" s="10">
        <v>4</v>
      </c>
      <c r="B478" s="66" t="s">
        <v>85</v>
      </c>
      <c r="C478" s="67" t="s">
        <v>85</v>
      </c>
      <c r="D478" s="68" t="s">
        <v>85</v>
      </c>
      <c r="E478" s="4" t="s">
        <v>34</v>
      </c>
      <c r="F478" s="69">
        <v>1</v>
      </c>
      <c r="G478" s="70"/>
      <c r="H478" s="69"/>
      <c r="I478" s="70"/>
      <c r="J478" s="71">
        <f t="shared" si="52"/>
        <v>1</v>
      </c>
      <c r="K478" s="71"/>
      <c r="L478" s="72"/>
      <c r="M478" s="72"/>
      <c r="O478" s="11">
        <v>74000</v>
      </c>
      <c r="P478" s="11">
        <f t="shared" si="53"/>
        <v>0</v>
      </c>
      <c r="Q478" s="12"/>
      <c r="S478" s="11">
        <f t="shared" si="54"/>
        <v>74000</v>
      </c>
      <c r="T478" s="13">
        <f t="shared" si="55"/>
        <v>0</v>
      </c>
    </row>
    <row r="479" spans="1:20" ht="24.95" customHeight="1">
      <c r="A479" s="10">
        <v>5</v>
      </c>
      <c r="B479" s="66" t="s">
        <v>86</v>
      </c>
      <c r="C479" s="67" t="s">
        <v>86</v>
      </c>
      <c r="D479" s="68" t="s">
        <v>86</v>
      </c>
      <c r="E479" s="4" t="s">
        <v>93</v>
      </c>
      <c r="F479" s="69">
        <v>396</v>
      </c>
      <c r="G479" s="70"/>
      <c r="H479" s="69"/>
      <c r="I479" s="70"/>
      <c r="J479" s="71">
        <f t="shared" si="52"/>
        <v>350</v>
      </c>
      <c r="K479" s="71"/>
      <c r="L479" s="72"/>
      <c r="M479" s="72"/>
      <c r="O479" s="11">
        <v>200</v>
      </c>
      <c r="P479" s="11">
        <f t="shared" si="53"/>
        <v>0</v>
      </c>
      <c r="Q479" s="12"/>
      <c r="S479" s="11">
        <f t="shared" si="54"/>
        <v>70000</v>
      </c>
      <c r="T479" s="13">
        <f t="shared" si="55"/>
        <v>46</v>
      </c>
    </row>
    <row r="480" spans="1:20" ht="24.95" customHeight="1">
      <c r="A480" s="10">
        <v>6</v>
      </c>
      <c r="B480" s="66" t="s">
        <v>97</v>
      </c>
      <c r="C480" s="67" t="s">
        <v>87</v>
      </c>
      <c r="D480" s="68" t="s">
        <v>87</v>
      </c>
      <c r="E480" s="4" t="s">
        <v>35</v>
      </c>
      <c r="F480" s="69">
        <v>80</v>
      </c>
      <c r="G480" s="70">
        <v>183.6</v>
      </c>
      <c r="H480" s="69"/>
      <c r="I480" s="70"/>
      <c r="J480" s="71">
        <f t="shared" si="52"/>
        <v>78</v>
      </c>
      <c r="K480" s="71"/>
      <c r="L480" s="54"/>
      <c r="M480" s="59"/>
      <c r="O480" s="11">
        <v>1463</v>
      </c>
      <c r="P480" s="11">
        <f t="shared" si="53"/>
        <v>0</v>
      </c>
      <c r="S480" s="11">
        <f t="shared" si="54"/>
        <v>114114</v>
      </c>
      <c r="T480" s="13">
        <f t="shared" si="55"/>
        <v>2</v>
      </c>
    </row>
    <row r="481" spans="1:20" ht="24.95" customHeight="1">
      <c r="A481" s="10">
        <v>7</v>
      </c>
      <c r="B481" s="66" t="s">
        <v>88</v>
      </c>
      <c r="C481" s="67" t="s">
        <v>88</v>
      </c>
      <c r="D481" s="68" t="s">
        <v>88</v>
      </c>
      <c r="E481" s="4" t="s">
        <v>94</v>
      </c>
      <c r="F481" s="69">
        <v>126</v>
      </c>
      <c r="G481" s="70">
        <v>19</v>
      </c>
      <c r="H481" s="69"/>
      <c r="I481" s="70"/>
      <c r="J481" s="71">
        <f t="shared" si="52"/>
        <v>0</v>
      </c>
      <c r="K481" s="71"/>
      <c r="L481" s="54"/>
      <c r="M481" s="59"/>
      <c r="O481" s="11">
        <v>6350</v>
      </c>
      <c r="P481" s="11">
        <f t="shared" si="53"/>
        <v>0</v>
      </c>
      <c r="S481" s="11">
        <f t="shared" si="54"/>
        <v>0</v>
      </c>
      <c r="T481" s="13">
        <f t="shared" si="55"/>
        <v>126</v>
      </c>
    </row>
    <row r="482" spans="1:20" ht="24.95" customHeight="1">
      <c r="A482" s="10">
        <v>8</v>
      </c>
      <c r="B482" s="66" t="s">
        <v>89</v>
      </c>
      <c r="C482" s="67" t="s">
        <v>89</v>
      </c>
      <c r="D482" s="68" t="s">
        <v>89</v>
      </c>
      <c r="E482" s="4" t="s">
        <v>95</v>
      </c>
      <c r="F482" s="69">
        <v>1</v>
      </c>
      <c r="G482" s="70">
        <v>1192</v>
      </c>
      <c r="H482" s="69"/>
      <c r="I482" s="70"/>
      <c r="J482" s="71">
        <f t="shared" si="52"/>
        <v>0.3</v>
      </c>
      <c r="K482" s="71"/>
      <c r="L482" s="54"/>
      <c r="M482" s="59"/>
      <c r="O482" s="11">
        <v>47600</v>
      </c>
      <c r="P482" s="11">
        <f t="shared" si="53"/>
        <v>0</v>
      </c>
      <c r="S482" s="11">
        <f t="shared" si="54"/>
        <v>14280</v>
      </c>
      <c r="T482" s="13">
        <f t="shared" si="55"/>
        <v>0.7</v>
      </c>
    </row>
    <row r="483" spans="1:20" ht="24.95" customHeight="1">
      <c r="A483" s="10">
        <v>9</v>
      </c>
      <c r="B483" s="66" t="s">
        <v>90</v>
      </c>
      <c r="C483" s="67" t="s">
        <v>90</v>
      </c>
      <c r="D483" s="68" t="s">
        <v>90</v>
      </c>
      <c r="E483" s="4" t="s">
        <v>96</v>
      </c>
      <c r="F483" s="69">
        <v>1</v>
      </c>
      <c r="G483" s="70">
        <v>1261</v>
      </c>
      <c r="H483" s="69"/>
      <c r="I483" s="70"/>
      <c r="J483" s="71">
        <f t="shared" si="52"/>
        <v>0</v>
      </c>
      <c r="K483" s="71"/>
      <c r="L483" s="54"/>
      <c r="M483" s="59"/>
      <c r="O483" s="11">
        <v>10000</v>
      </c>
      <c r="P483" s="11">
        <f t="shared" si="53"/>
        <v>0</v>
      </c>
      <c r="S483" s="11">
        <f t="shared" si="54"/>
        <v>0</v>
      </c>
      <c r="T483" s="13">
        <f t="shared" si="55"/>
        <v>1</v>
      </c>
    </row>
    <row r="484" spans="1:20" ht="24.95" customHeight="1">
      <c r="A484" s="14"/>
      <c r="B484" s="15"/>
      <c r="C484" s="16"/>
      <c r="D484" s="17"/>
      <c r="E484" s="4"/>
      <c r="F484" s="18"/>
      <c r="G484" s="19"/>
      <c r="H484" s="105"/>
      <c r="I484" s="106"/>
      <c r="J484" s="105"/>
      <c r="K484" s="106"/>
      <c r="L484" s="54"/>
      <c r="M484" s="59"/>
      <c r="N484" s="20"/>
      <c r="P484" s="21" t="s">
        <v>37</v>
      </c>
      <c r="Q484" s="22">
        <f>SUM(P475:P483)</f>
        <v>0</v>
      </c>
      <c r="R484" s="23"/>
      <c r="S484" s="24">
        <f>SUM(S475:S483)</f>
        <v>294228</v>
      </c>
      <c r="T484" s="13"/>
    </row>
    <row r="485" spans="1:20" ht="24.95" customHeight="1">
      <c r="A485" s="107"/>
      <c r="B485" s="108"/>
      <c r="C485" s="108"/>
      <c r="D485" s="109"/>
      <c r="E485" s="4"/>
      <c r="F485" s="54"/>
      <c r="G485" s="59"/>
      <c r="H485" s="72"/>
      <c r="I485" s="72"/>
      <c r="J485" s="72"/>
      <c r="K485" s="72"/>
      <c r="L485" s="72"/>
      <c r="M485" s="72"/>
      <c r="O485" t="s">
        <v>38</v>
      </c>
      <c r="P485" s="24">
        <f>Q484</f>
        <v>0</v>
      </c>
      <c r="T485" s="13"/>
    </row>
    <row r="486" spans="1:20" ht="24.95" customHeight="1">
      <c r="A486" s="97"/>
      <c r="B486" s="98"/>
      <c r="C486" s="98"/>
      <c r="D486" s="99"/>
      <c r="E486" s="4"/>
      <c r="F486" s="54"/>
      <c r="G486" s="59"/>
      <c r="H486" s="72"/>
      <c r="I486" s="72"/>
      <c r="J486" s="72"/>
      <c r="K486" s="72"/>
      <c r="L486" s="72"/>
      <c r="M486" s="72"/>
      <c r="O486" t="s">
        <v>39</v>
      </c>
      <c r="P486" s="23">
        <f>ROUND(P485/1153274,4)*100</f>
        <v>0</v>
      </c>
      <c r="T486" s="13"/>
    </row>
    <row r="487" spans="1:20" ht="24.95" customHeight="1">
      <c r="A487" s="25"/>
      <c r="B487" s="63" t="s">
        <v>40</v>
      </c>
      <c r="C487" s="63"/>
      <c r="D487" s="59"/>
      <c r="E487" s="26"/>
      <c r="F487" s="100"/>
      <c r="G487" s="101"/>
      <c r="H487" s="100"/>
      <c r="I487" s="101"/>
      <c r="J487" s="102"/>
      <c r="K487" s="102"/>
      <c r="L487" s="103">
        <f>P485</f>
        <v>0</v>
      </c>
      <c r="M487" s="104"/>
      <c r="T487" s="13"/>
    </row>
    <row r="488" spans="1:20" ht="24.95" customHeight="1" thickBot="1">
      <c r="A488" s="27"/>
      <c r="B488" s="85" t="s">
        <v>41</v>
      </c>
      <c r="C488" s="85"/>
      <c r="D488" s="86"/>
      <c r="E488" s="28"/>
      <c r="F488" s="87"/>
      <c r="G488" s="88"/>
      <c r="H488" s="87"/>
      <c r="I488" s="88"/>
      <c r="J488" s="87"/>
      <c r="K488" s="88"/>
      <c r="L488" s="89">
        <f>L487+L430</f>
        <v>294228</v>
      </c>
      <c r="M488" s="90"/>
      <c r="T488" s="13"/>
    </row>
    <row r="489" spans="1:20" ht="24.95" customHeight="1">
      <c r="A489" s="29"/>
      <c r="B489" s="91" t="s">
        <v>42</v>
      </c>
      <c r="C489" s="91"/>
      <c r="D489" s="92"/>
      <c r="E489" s="30"/>
      <c r="F489" s="93"/>
      <c r="G489" s="94"/>
      <c r="H489" s="95"/>
      <c r="I489" s="95"/>
      <c r="J489" s="95"/>
      <c r="K489" s="95"/>
      <c r="L489" s="95"/>
      <c r="M489" s="96"/>
      <c r="T489" s="13"/>
    </row>
    <row r="490" spans="1:20" ht="24.95" customHeight="1">
      <c r="A490" s="31"/>
      <c r="B490" s="76" t="s">
        <v>43</v>
      </c>
      <c r="C490" s="76"/>
      <c r="D490" s="77"/>
      <c r="E490" s="4"/>
      <c r="F490" s="54"/>
      <c r="G490" s="59"/>
      <c r="H490" s="72"/>
      <c r="I490" s="72"/>
      <c r="J490" s="72"/>
      <c r="K490" s="72"/>
      <c r="L490" s="72"/>
      <c r="M490" s="78"/>
      <c r="T490" s="13"/>
    </row>
    <row r="491" spans="1:20" ht="24.95" customHeight="1" thickBot="1">
      <c r="A491" s="32"/>
      <c r="B491" s="79" t="s">
        <v>44</v>
      </c>
      <c r="C491" s="79"/>
      <c r="D491" s="80"/>
      <c r="E491" s="33"/>
      <c r="F491" s="81"/>
      <c r="G491" s="82"/>
      <c r="H491" s="83"/>
      <c r="I491" s="83"/>
      <c r="J491" s="83"/>
      <c r="K491" s="83"/>
      <c r="L491" s="83"/>
      <c r="M491" s="84"/>
      <c r="T491" s="13"/>
    </row>
    <row r="492" spans="1:20" ht="24.95" customHeight="1">
      <c r="A492" s="73" t="s">
        <v>45</v>
      </c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T492" s="13"/>
    </row>
    <row r="493" spans="1:20" ht="24.95" customHeight="1">
      <c r="A493" s="72" t="s">
        <v>46</v>
      </c>
      <c r="B493" s="75"/>
      <c r="C493" s="75"/>
      <c r="D493" s="75"/>
      <c r="E493" s="4" t="s">
        <v>22</v>
      </c>
      <c r="F493" s="72" t="s">
        <v>47</v>
      </c>
      <c r="G493" s="72"/>
      <c r="H493" s="72" t="s">
        <v>48</v>
      </c>
      <c r="I493" s="72"/>
      <c r="J493" s="72" t="s">
        <v>49</v>
      </c>
      <c r="K493" s="72"/>
      <c r="L493" s="72" t="s">
        <v>50</v>
      </c>
      <c r="M493" s="72"/>
      <c r="T493" s="13"/>
    </row>
    <row r="494" spans="1:20" ht="24.95" customHeight="1">
      <c r="A494" s="10">
        <v>6</v>
      </c>
      <c r="B494" s="66" t="s">
        <v>97</v>
      </c>
      <c r="C494" s="67" t="s">
        <v>51</v>
      </c>
      <c r="D494" s="68" t="s">
        <v>51</v>
      </c>
      <c r="E494" s="4" t="s">
        <v>35</v>
      </c>
      <c r="F494" s="69">
        <v>80</v>
      </c>
      <c r="G494" s="70">
        <v>1261</v>
      </c>
      <c r="H494" s="71">
        <f>H480</f>
        <v>0</v>
      </c>
      <c r="I494" s="71"/>
      <c r="J494" s="71">
        <f>H494+J436</f>
        <v>78</v>
      </c>
      <c r="K494" s="71"/>
      <c r="L494" s="72"/>
      <c r="M494" s="72"/>
      <c r="T494" s="13"/>
    </row>
    <row r="495" spans="1:20" ht="24.95" customHeight="1">
      <c r="A495" s="10">
        <v>7</v>
      </c>
      <c r="B495" s="66" t="s">
        <v>88</v>
      </c>
      <c r="C495" s="67" t="s">
        <v>88</v>
      </c>
      <c r="D495" s="68" t="s">
        <v>88</v>
      </c>
      <c r="E495" s="4" t="s">
        <v>98</v>
      </c>
      <c r="F495" s="69">
        <v>126</v>
      </c>
      <c r="G495" s="70"/>
      <c r="H495" s="71">
        <f>H481</f>
        <v>0</v>
      </c>
      <c r="I495" s="71"/>
      <c r="J495" s="71">
        <f t="shared" ref="J495:J496" si="56">H495+J437</f>
        <v>0</v>
      </c>
      <c r="K495" s="71"/>
      <c r="L495" s="72"/>
      <c r="M495" s="72"/>
      <c r="T495" s="13"/>
    </row>
    <row r="496" spans="1:20" ht="24.95" customHeight="1">
      <c r="A496" s="10">
        <v>8</v>
      </c>
      <c r="B496" s="66" t="s">
        <v>89</v>
      </c>
      <c r="C496" s="67" t="s">
        <v>89</v>
      </c>
      <c r="D496" s="68" t="s">
        <v>89</v>
      </c>
      <c r="E496" s="4" t="s">
        <v>36</v>
      </c>
      <c r="F496" s="69">
        <v>1</v>
      </c>
      <c r="G496" s="70"/>
      <c r="H496" s="71">
        <f>H482</f>
        <v>0</v>
      </c>
      <c r="I496" s="71"/>
      <c r="J496" s="71">
        <f t="shared" si="56"/>
        <v>0.3</v>
      </c>
      <c r="K496" s="71"/>
      <c r="L496" s="72"/>
      <c r="M496" s="72"/>
      <c r="T496" s="13"/>
    </row>
    <row r="497" spans="1:20" ht="24.95" customHeight="1">
      <c r="A497" s="51" t="s">
        <v>52</v>
      </c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3"/>
      <c r="T497" s="13"/>
    </row>
    <row r="498" spans="1:20" ht="24.95" customHeight="1">
      <c r="A498" s="54" t="s">
        <v>53</v>
      </c>
      <c r="B498" s="63"/>
      <c r="C498" s="63"/>
      <c r="D498" s="59"/>
      <c r="E498" s="4" t="s">
        <v>54</v>
      </c>
      <c r="F498" s="54" t="s">
        <v>55</v>
      </c>
      <c r="G498" s="59"/>
      <c r="H498" s="54" t="s">
        <v>56</v>
      </c>
      <c r="I498" s="59"/>
      <c r="J498" s="54" t="s">
        <v>48</v>
      </c>
      <c r="K498" s="59"/>
      <c r="L498" s="64" t="s">
        <v>49</v>
      </c>
      <c r="M498" s="65"/>
      <c r="T498" s="13"/>
    </row>
    <row r="499" spans="1:20" ht="24.95" customHeight="1">
      <c r="A499" s="54" t="s">
        <v>57</v>
      </c>
      <c r="B499" s="55"/>
      <c r="C499" s="55"/>
      <c r="D499" s="56"/>
      <c r="E499" s="4"/>
      <c r="F499" s="57">
        <f>E499+F441</f>
        <v>28</v>
      </c>
      <c r="G499" s="58"/>
      <c r="H499" s="54" t="s">
        <v>58</v>
      </c>
      <c r="I499" s="59"/>
      <c r="J499" s="54"/>
      <c r="K499" s="59"/>
      <c r="L499" s="57">
        <f>J499+L441</f>
        <v>15</v>
      </c>
      <c r="M499" s="58"/>
      <c r="T499" s="13"/>
    </row>
    <row r="500" spans="1:20" ht="24.95" customHeight="1">
      <c r="A500" s="54" t="s">
        <v>59</v>
      </c>
      <c r="B500" s="55"/>
      <c r="C500" s="55"/>
      <c r="D500" s="56"/>
      <c r="E500" s="4"/>
      <c r="F500" s="57">
        <f t="shared" ref="F500:F502" si="57">E500+F442</f>
        <v>0</v>
      </c>
      <c r="G500" s="58"/>
      <c r="H500" s="54" t="s">
        <v>60</v>
      </c>
      <c r="I500" s="59"/>
      <c r="J500" s="54"/>
      <c r="K500" s="59"/>
      <c r="L500" s="57">
        <f t="shared" ref="L500:L502" si="58">J500+L442</f>
        <v>0</v>
      </c>
      <c r="M500" s="58"/>
      <c r="T500" s="13"/>
    </row>
    <row r="501" spans="1:20" ht="24.95" customHeight="1">
      <c r="A501" s="54" t="s">
        <v>61</v>
      </c>
      <c r="B501" s="55"/>
      <c r="C501" s="55"/>
      <c r="D501" s="56"/>
      <c r="E501" s="4"/>
      <c r="F501" s="57">
        <f t="shared" si="57"/>
        <v>2</v>
      </c>
      <c r="G501" s="58"/>
      <c r="H501" s="54" t="s">
        <v>62</v>
      </c>
      <c r="I501" s="59"/>
      <c r="J501" s="54"/>
      <c r="K501" s="59"/>
      <c r="L501" s="57">
        <f t="shared" si="58"/>
        <v>5</v>
      </c>
      <c r="M501" s="58"/>
      <c r="T501" s="13"/>
    </row>
    <row r="502" spans="1:20" ht="24.95" customHeight="1">
      <c r="A502" s="54" t="s">
        <v>63</v>
      </c>
      <c r="B502" s="55"/>
      <c r="C502" s="55"/>
      <c r="D502" s="56"/>
      <c r="E502" s="4"/>
      <c r="F502" s="57">
        <f t="shared" si="57"/>
        <v>4</v>
      </c>
      <c r="G502" s="58"/>
      <c r="H502" s="54" t="s">
        <v>64</v>
      </c>
      <c r="I502" s="59"/>
      <c r="J502" s="54"/>
      <c r="K502" s="59"/>
      <c r="L502" s="57">
        <f t="shared" si="58"/>
        <v>1</v>
      </c>
      <c r="M502" s="58"/>
      <c r="T502" s="13"/>
    </row>
    <row r="503" spans="1:20" ht="64.5" customHeight="1">
      <c r="A503" s="60" t="s">
        <v>65</v>
      </c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2"/>
      <c r="T503" s="13"/>
    </row>
    <row r="504" spans="1:20" ht="24.95" customHeight="1">
      <c r="A504" s="46" t="s">
        <v>66</v>
      </c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8"/>
      <c r="T504" s="13"/>
    </row>
    <row r="505" spans="1:20" ht="24.95" customHeight="1">
      <c r="A505" s="27"/>
      <c r="B505" s="34" t="s">
        <v>67</v>
      </c>
      <c r="C505" s="34"/>
      <c r="D505" s="34"/>
      <c r="E505" s="34"/>
      <c r="F505" s="34"/>
      <c r="G505" s="35"/>
      <c r="H505" s="34"/>
      <c r="I505" s="34"/>
      <c r="J505" s="34"/>
      <c r="K505" s="34"/>
      <c r="L505" s="34"/>
      <c r="M505" s="36"/>
      <c r="T505" s="13"/>
    </row>
    <row r="506" spans="1:20" ht="24.95" customHeight="1">
      <c r="A506" s="27"/>
      <c r="B506" s="34" t="s">
        <v>81</v>
      </c>
      <c r="C506" s="34"/>
      <c r="D506" s="34"/>
      <c r="E506" s="34"/>
      <c r="F506" s="34"/>
      <c r="G506" s="35"/>
      <c r="H506" s="34"/>
      <c r="I506" s="34"/>
      <c r="J506" s="34"/>
      <c r="K506" s="34"/>
      <c r="L506" s="34"/>
      <c r="M506" s="36"/>
      <c r="T506" s="13"/>
    </row>
    <row r="507" spans="1:20" ht="24.95" customHeight="1">
      <c r="A507" s="27"/>
      <c r="B507" s="34" t="s">
        <v>68</v>
      </c>
      <c r="C507" s="34"/>
      <c r="D507" s="34"/>
      <c r="E507" s="34"/>
      <c r="F507" s="34"/>
      <c r="G507" s="35"/>
      <c r="H507" s="34"/>
      <c r="I507" s="34"/>
      <c r="J507" s="34"/>
      <c r="K507" s="34"/>
      <c r="L507" s="34"/>
      <c r="M507" s="36"/>
      <c r="T507" s="13"/>
    </row>
    <row r="508" spans="1:20" ht="24.95" customHeight="1">
      <c r="A508" s="27"/>
      <c r="B508" s="34" t="s">
        <v>82</v>
      </c>
      <c r="C508" s="34"/>
      <c r="D508" s="34"/>
      <c r="E508" s="34"/>
      <c r="F508" s="34"/>
      <c r="G508" s="35"/>
      <c r="H508" s="34"/>
      <c r="I508" s="34"/>
      <c r="J508" s="34"/>
      <c r="K508" s="34"/>
      <c r="L508" s="34"/>
      <c r="M508" s="36"/>
      <c r="T508" s="13"/>
    </row>
    <row r="509" spans="1:20" ht="24.95" customHeight="1">
      <c r="A509" s="27"/>
      <c r="B509" s="34" t="s">
        <v>99</v>
      </c>
      <c r="C509" s="34"/>
      <c r="D509" s="34"/>
      <c r="E509" s="34"/>
      <c r="F509" s="34"/>
      <c r="G509" s="35"/>
      <c r="H509" s="34"/>
      <c r="I509" s="34"/>
      <c r="J509" s="34"/>
      <c r="K509" s="34"/>
      <c r="L509" s="34"/>
      <c r="M509" s="36"/>
      <c r="T509" s="13"/>
    </row>
    <row r="510" spans="1:20" ht="24.95" customHeight="1">
      <c r="A510" s="37"/>
      <c r="B510" s="49" t="s">
        <v>69</v>
      </c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50"/>
      <c r="T510" s="13"/>
    </row>
    <row r="511" spans="1:20" ht="44.25" customHeight="1">
      <c r="A511" s="51" t="s">
        <v>70</v>
      </c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3"/>
      <c r="T511" s="13"/>
    </row>
    <row r="512" spans="1:20" ht="48" customHeight="1">
      <c r="A512" s="51" t="s">
        <v>71</v>
      </c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3"/>
      <c r="T512" s="13"/>
    </row>
    <row r="513" spans="1:20" ht="81" customHeight="1">
      <c r="A513" s="51" t="s">
        <v>80</v>
      </c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3"/>
      <c r="T513" s="13"/>
    </row>
    <row r="514" spans="1:20" ht="100.5" customHeight="1">
      <c r="A514" s="51" t="s">
        <v>72</v>
      </c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3"/>
      <c r="T514" s="13"/>
    </row>
    <row r="515" spans="1:20" ht="12" customHeight="1">
      <c r="A515" s="41" t="s">
        <v>73</v>
      </c>
      <c r="B515" s="41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38"/>
      <c r="T515" s="13"/>
    </row>
    <row r="516" spans="1:20" ht="12" customHeight="1">
      <c r="A516" s="43" t="s">
        <v>74</v>
      </c>
      <c r="B516" s="43"/>
      <c r="C516" s="40"/>
      <c r="D516" s="40"/>
      <c r="E516" s="40"/>
      <c r="F516" s="40"/>
      <c r="G516" s="40"/>
      <c r="H516" s="40"/>
      <c r="I516" s="40"/>
      <c r="J516" s="40"/>
      <c r="K516" s="40"/>
      <c r="L516" s="38"/>
      <c r="M516" s="38"/>
      <c r="T516" s="13"/>
    </row>
    <row r="517" spans="1:20" ht="12" customHeight="1">
      <c r="A517" s="44" t="s">
        <v>75</v>
      </c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T517" s="13"/>
    </row>
    <row r="518" spans="1:20" ht="12" customHeight="1">
      <c r="A518" s="39" t="s">
        <v>76</v>
      </c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T518" s="13"/>
    </row>
    <row r="519" spans="1:20" ht="12" customHeight="1">
      <c r="A519" s="39" t="s">
        <v>77</v>
      </c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T519" s="13"/>
    </row>
    <row r="520" spans="1:20" ht="12" customHeight="1">
      <c r="A520" s="45" t="s">
        <v>78</v>
      </c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T520" s="13"/>
    </row>
    <row r="521" spans="1:20" ht="12" customHeight="1">
      <c r="A521" s="39" t="s">
        <v>79</v>
      </c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T521" s="13"/>
    </row>
    <row r="522" spans="1:20" ht="409.5" customHeight="1"/>
    <row r="523" spans="1:20" s="2" customFormat="1" ht="35.1" customHeight="1">
      <c r="A523" s="126" t="s">
        <v>0</v>
      </c>
      <c r="B523" s="126"/>
      <c r="C523" s="1">
        <f>C465+1</f>
        <v>45</v>
      </c>
      <c r="G523" s="3"/>
    </row>
    <row r="524" spans="1:20" s="2" customFormat="1" ht="35.1" customHeight="1">
      <c r="A524" s="126" t="s">
        <v>1</v>
      </c>
      <c r="B524" s="126"/>
      <c r="C524" s="2" t="s">
        <v>2</v>
      </c>
      <c r="E524" s="2" t="s">
        <v>3</v>
      </c>
      <c r="G524" s="3"/>
      <c r="H524" s="127" t="s">
        <v>4</v>
      </c>
      <c r="I524" s="128"/>
      <c r="J524" s="129">
        <f>J466+1</f>
        <v>46032</v>
      </c>
      <c r="K524" s="130"/>
      <c r="L524" s="131">
        <f>J524</f>
        <v>46032</v>
      </c>
      <c r="M524" s="132"/>
    </row>
    <row r="525" spans="1:20" s="2" customFormat="1" ht="30" customHeight="1">
      <c r="A525" s="72" t="s">
        <v>5</v>
      </c>
      <c r="B525" s="114"/>
      <c r="C525" s="119" t="s">
        <v>83</v>
      </c>
      <c r="D525" s="119"/>
      <c r="E525" s="119"/>
      <c r="F525" s="119"/>
      <c r="G525" s="119"/>
      <c r="H525" s="54" t="s">
        <v>6</v>
      </c>
      <c r="I525" s="59"/>
      <c r="J525" s="120"/>
      <c r="K525" s="120"/>
      <c r="L525" s="120"/>
      <c r="M525" s="120"/>
    </row>
    <row r="526" spans="1:20" s="1" customFormat="1" ht="30" customHeight="1">
      <c r="A526" s="72" t="s">
        <v>7</v>
      </c>
      <c r="B526" s="114"/>
      <c r="C526" s="4">
        <v>50</v>
      </c>
      <c r="D526" s="4" t="s">
        <v>8</v>
      </c>
      <c r="E526" s="4" t="s">
        <v>9</v>
      </c>
      <c r="F526" s="4">
        <f>F468+1</f>
        <v>45</v>
      </c>
      <c r="G526" s="5" t="s">
        <v>8</v>
      </c>
      <c r="H526" s="4" t="s">
        <v>10</v>
      </c>
      <c r="I526" s="4">
        <f>C526-F526+L526</f>
        <v>5</v>
      </c>
      <c r="J526" s="4" t="s">
        <v>11</v>
      </c>
      <c r="K526" s="6" t="s">
        <v>12</v>
      </c>
      <c r="L526" s="7">
        <f>L468</f>
        <v>0</v>
      </c>
      <c r="M526" s="4" t="s">
        <v>8</v>
      </c>
    </row>
    <row r="527" spans="1:20" s="2" customFormat="1" ht="30" customHeight="1">
      <c r="A527" s="72" t="s">
        <v>13</v>
      </c>
      <c r="B527" s="75"/>
      <c r="C527" s="75"/>
      <c r="D527" s="121">
        <f>D469</f>
        <v>45988</v>
      </c>
      <c r="E527" s="122"/>
      <c r="F527" s="122"/>
      <c r="G527" s="123"/>
      <c r="H527" s="124" t="s">
        <v>14</v>
      </c>
      <c r="I527" s="125"/>
      <c r="J527" s="121">
        <f>J469</f>
        <v>46037</v>
      </c>
      <c r="K527" s="122"/>
      <c r="L527" s="122"/>
      <c r="M527" s="123"/>
    </row>
    <row r="528" spans="1:20" s="2" customFormat="1" ht="30" customHeight="1">
      <c r="A528" s="72" t="s">
        <v>15</v>
      </c>
      <c r="B528" s="114"/>
      <c r="C528" s="114"/>
      <c r="D528" s="72">
        <v>6.9379999999999997</v>
      </c>
      <c r="E528" s="72"/>
      <c r="F528" s="72"/>
      <c r="G528" s="72"/>
      <c r="H528" s="64" t="s">
        <v>16</v>
      </c>
      <c r="I528" s="115"/>
      <c r="J528" s="116">
        <f>P544</f>
        <v>0</v>
      </c>
      <c r="K528" s="117"/>
      <c r="L528" s="117"/>
      <c r="M528" s="118"/>
    </row>
    <row r="529" spans="1:20" s="2" customFormat="1" ht="30" customHeight="1">
      <c r="A529" s="72" t="s">
        <v>17</v>
      </c>
      <c r="B529" s="114"/>
      <c r="C529" s="114"/>
      <c r="D529" s="72">
        <f>D528+D471</f>
        <v>64.259000000000015</v>
      </c>
      <c r="E529" s="72"/>
      <c r="F529" s="72"/>
      <c r="G529" s="72"/>
      <c r="H529" s="64" t="s">
        <v>18</v>
      </c>
      <c r="I529" s="115"/>
      <c r="J529" s="116">
        <f>J528+J471</f>
        <v>25.469999999999992</v>
      </c>
      <c r="K529" s="117"/>
      <c r="L529" s="117"/>
      <c r="M529" s="118"/>
    </row>
    <row r="530" spans="1:20" s="2" customFormat="1" ht="30" customHeight="1">
      <c r="A530" s="111" t="s">
        <v>19</v>
      </c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12"/>
      <c r="M530" s="113"/>
    </row>
    <row r="531" spans="1:20" s="2" customFormat="1" ht="30" customHeight="1">
      <c r="A531" s="8" t="s">
        <v>20</v>
      </c>
      <c r="B531" s="72" t="s">
        <v>21</v>
      </c>
      <c r="C531" s="72"/>
      <c r="D531" s="72"/>
      <c r="E531" s="4" t="s">
        <v>22</v>
      </c>
      <c r="F531" s="54" t="s">
        <v>23</v>
      </c>
      <c r="G531" s="59"/>
      <c r="H531" s="72" t="s">
        <v>24</v>
      </c>
      <c r="I531" s="72"/>
      <c r="J531" s="72" t="s">
        <v>25</v>
      </c>
      <c r="K531" s="72"/>
      <c r="L531" s="72" t="s">
        <v>26</v>
      </c>
      <c r="M531" s="72"/>
      <c r="O531" s="1" t="s">
        <v>27</v>
      </c>
      <c r="P531" s="1" t="s">
        <v>28</v>
      </c>
      <c r="T531" s="2" t="s">
        <v>29</v>
      </c>
    </row>
    <row r="532" spans="1:20" s="2" customFormat="1" ht="24.95" customHeight="1">
      <c r="A532" s="9" t="s">
        <v>30</v>
      </c>
      <c r="B532" s="110" t="s">
        <v>31</v>
      </c>
      <c r="C532" s="110"/>
      <c r="D532" s="110"/>
      <c r="E532" s="4"/>
      <c r="F532" s="54"/>
      <c r="G532" s="59"/>
      <c r="H532" s="72"/>
      <c r="I532" s="72"/>
      <c r="J532" s="72"/>
      <c r="K532" s="72"/>
      <c r="L532" s="72"/>
      <c r="M532" s="72"/>
    </row>
    <row r="533" spans="1:20" ht="24.95" customHeight="1">
      <c r="A533" s="10">
        <v>1</v>
      </c>
      <c r="B533" s="66" t="s">
        <v>91</v>
      </c>
      <c r="C533" s="67" t="s">
        <v>91</v>
      </c>
      <c r="D533" s="68" t="s">
        <v>91</v>
      </c>
      <c r="E533" s="4" t="s">
        <v>32</v>
      </c>
      <c r="F533" s="69">
        <v>1</v>
      </c>
      <c r="G533" s="70"/>
      <c r="H533" s="69"/>
      <c r="I533" s="70"/>
      <c r="J533" s="71">
        <f>H533+J475</f>
        <v>1</v>
      </c>
      <c r="K533" s="71"/>
      <c r="L533" s="72"/>
      <c r="M533" s="72"/>
      <c r="O533" s="11">
        <v>4000</v>
      </c>
      <c r="P533" s="11">
        <f>ROUND(H533*O533,0)</f>
        <v>0</v>
      </c>
      <c r="Q533" s="12"/>
      <c r="S533" s="11">
        <f>ROUND(J533*O533,0)</f>
        <v>4000</v>
      </c>
      <c r="T533" s="13">
        <f>F533-J533</f>
        <v>0</v>
      </c>
    </row>
    <row r="534" spans="1:20" ht="24.95" customHeight="1">
      <c r="A534" s="10">
        <v>2</v>
      </c>
      <c r="B534" s="66" t="s">
        <v>92</v>
      </c>
      <c r="C534" s="67" t="s">
        <v>92</v>
      </c>
      <c r="D534" s="68" t="s">
        <v>92</v>
      </c>
      <c r="E534" s="4" t="s">
        <v>32</v>
      </c>
      <c r="F534" s="69">
        <v>1</v>
      </c>
      <c r="G534" s="70"/>
      <c r="H534" s="69"/>
      <c r="I534" s="70"/>
      <c r="J534" s="71">
        <f t="shared" ref="J534:J541" si="59">H534+J476</f>
        <v>1</v>
      </c>
      <c r="K534" s="71"/>
      <c r="L534" s="72"/>
      <c r="M534" s="72"/>
      <c r="O534" s="11">
        <v>14334</v>
      </c>
      <c r="P534" s="11">
        <f t="shared" ref="P534:P541" si="60">ROUND(H534*O534,0)</f>
        <v>0</v>
      </c>
      <c r="Q534" s="12"/>
      <c r="S534" s="11">
        <f t="shared" ref="S534:S541" si="61">ROUND(J534*O534,0)</f>
        <v>14334</v>
      </c>
      <c r="T534" s="13">
        <f t="shared" ref="T534:T541" si="62">F534-J534</f>
        <v>0</v>
      </c>
    </row>
    <row r="535" spans="1:20" ht="24.95" customHeight="1">
      <c r="A535" s="10">
        <v>3</v>
      </c>
      <c r="B535" s="66" t="s">
        <v>84</v>
      </c>
      <c r="C535" s="67" t="s">
        <v>84</v>
      </c>
      <c r="D535" s="68" t="s">
        <v>84</v>
      </c>
      <c r="E535" s="4" t="s">
        <v>33</v>
      </c>
      <c r="F535" s="69">
        <v>1</v>
      </c>
      <c r="G535" s="70"/>
      <c r="H535" s="69"/>
      <c r="I535" s="70"/>
      <c r="J535" s="71">
        <f t="shared" si="59"/>
        <v>0.5</v>
      </c>
      <c r="K535" s="71"/>
      <c r="L535" s="72"/>
      <c r="M535" s="72"/>
      <c r="O535" s="11">
        <v>7000</v>
      </c>
      <c r="P535" s="11">
        <f t="shared" si="60"/>
        <v>0</v>
      </c>
      <c r="Q535" s="12"/>
      <c r="S535" s="11">
        <f t="shared" si="61"/>
        <v>3500</v>
      </c>
      <c r="T535" s="13">
        <f t="shared" si="62"/>
        <v>0.5</v>
      </c>
    </row>
    <row r="536" spans="1:20" ht="24.95" customHeight="1">
      <c r="A536" s="10">
        <v>4</v>
      </c>
      <c r="B536" s="66" t="s">
        <v>85</v>
      </c>
      <c r="C536" s="67" t="s">
        <v>85</v>
      </c>
      <c r="D536" s="68" t="s">
        <v>85</v>
      </c>
      <c r="E536" s="4" t="s">
        <v>34</v>
      </c>
      <c r="F536" s="69">
        <v>1</v>
      </c>
      <c r="G536" s="70"/>
      <c r="H536" s="69"/>
      <c r="I536" s="70"/>
      <c r="J536" s="71">
        <f t="shared" si="59"/>
        <v>1</v>
      </c>
      <c r="K536" s="71"/>
      <c r="L536" s="72"/>
      <c r="M536" s="72"/>
      <c r="O536" s="11">
        <v>74000</v>
      </c>
      <c r="P536" s="11">
        <f t="shared" si="60"/>
        <v>0</v>
      </c>
      <c r="Q536" s="12"/>
      <c r="S536" s="11">
        <f t="shared" si="61"/>
        <v>74000</v>
      </c>
      <c r="T536" s="13">
        <f t="shared" si="62"/>
        <v>0</v>
      </c>
    </row>
    <row r="537" spans="1:20" ht="24.95" customHeight="1">
      <c r="A537" s="10">
        <v>5</v>
      </c>
      <c r="B537" s="66" t="s">
        <v>86</v>
      </c>
      <c r="C537" s="67" t="s">
        <v>86</v>
      </c>
      <c r="D537" s="68" t="s">
        <v>86</v>
      </c>
      <c r="E537" s="4" t="s">
        <v>93</v>
      </c>
      <c r="F537" s="69">
        <v>396</v>
      </c>
      <c r="G537" s="70"/>
      <c r="H537" s="69"/>
      <c r="I537" s="70"/>
      <c r="J537" s="71">
        <f t="shared" si="59"/>
        <v>350</v>
      </c>
      <c r="K537" s="71"/>
      <c r="L537" s="72"/>
      <c r="M537" s="72"/>
      <c r="O537" s="11">
        <v>200</v>
      </c>
      <c r="P537" s="11">
        <f t="shared" si="60"/>
        <v>0</v>
      </c>
      <c r="Q537" s="12"/>
      <c r="S537" s="11">
        <f t="shared" si="61"/>
        <v>70000</v>
      </c>
      <c r="T537" s="13">
        <f t="shared" si="62"/>
        <v>46</v>
      </c>
    </row>
    <row r="538" spans="1:20" ht="24.95" customHeight="1">
      <c r="A538" s="10">
        <v>6</v>
      </c>
      <c r="B538" s="66" t="s">
        <v>97</v>
      </c>
      <c r="C538" s="67" t="s">
        <v>87</v>
      </c>
      <c r="D538" s="68" t="s">
        <v>87</v>
      </c>
      <c r="E538" s="4" t="s">
        <v>35</v>
      </c>
      <c r="F538" s="69">
        <v>80</v>
      </c>
      <c r="G538" s="70">
        <v>183.6</v>
      </c>
      <c r="H538" s="69"/>
      <c r="I538" s="70"/>
      <c r="J538" s="71">
        <f t="shared" si="59"/>
        <v>78</v>
      </c>
      <c r="K538" s="71"/>
      <c r="L538" s="54"/>
      <c r="M538" s="59"/>
      <c r="O538" s="11">
        <v>1463</v>
      </c>
      <c r="P538" s="11">
        <f t="shared" si="60"/>
        <v>0</v>
      </c>
      <c r="S538" s="11">
        <f t="shared" si="61"/>
        <v>114114</v>
      </c>
      <c r="T538" s="13">
        <f t="shared" si="62"/>
        <v>2</v>
      </c>
    </row>
    <row r="539" spans="1:20" ht="24.95" customHeight="1">
      <c r="A539" s="10">
        <v>7</v>
      </c>
      <c r="B539" s="66" t="s">
        <v>88</v>
      </c>
      <c r="C539" s="67" t="s">
        <v>88</v>
      </c>
      <c r="D539" s="68" t="s">
        <v>88</v>
      </c>
      <c r="E539" s="4" t="s">
        <v>94</v>
      </c>
      <c r="F539" s="69">
        <v>126</v>
      </c>
      <c r="G539" s="70">
        <v>19</v>
      </c>
      <c r="H539" s="69"/>
      <c r="I539" s="70"/>
      <c r="J539" s="71">
        <f t="shared" si="59"/>
        <v>0</v>
      </c>
      <c r="K539" s="71"/>
      <c r="L539" s="54"/>
      <c r="M539" s="59"/>
      <c r="O539" s="11">
        <v>6350</v>
      </c>
      <c r="P539" s="11">
        <f t="shared" si="60"/>
        <v>0</v>
      </c>
      <c r="S539" s="11">
        <f t="shared" si="61"/>
        <v>0</v>
      </c>
      <c r="T539" s="13">
        <f t="shared" si="62"/>
        <v>126</v>
      </c>
    </row>
    <row r="540" spans="1:20" ht="24.95" customHeight="1">
      <c r="A540" s="10">
        <v>8</v>
      </c>
      <c r="B540" s="66" t="s">
        <v>89</v>
      </c>
      <c r="C540" s="67" t="s">
        <v>89</v>
      </c>
      <c r="D540" s="68" t="s">
        <v>89</v>
      </c>
      <c r="E540" s="4" t="s">
        <v>95</v>
      </c>
      <c r="F540" s="69">
        <v>1</v>
      </c>
      <c r="G540" s="70">
        <v>1192</v>
      </c>
      <c r="H540" s="69"/>
      <c r="I540" s="70"/>
      <c r="J540" s="71">
        <f t="shared" si="59"/>
        <v>0.3</v>
      </c>
      <c r="K540" s="71"/>
      <c r="L540" s="54"/>
      <c r="M540" s="59"/>
      <c r="O540" s="11">
        <v>47600</v>
      </c>
      <c r="P540" s="11">
        <f t="shared" si="60"/>
        <v>0</v>
      </c>
      <c r="S540" s="11">
        <f t="shared" si="61"/>
        <v>14280</v>
      </c>
      <c r="T540" s="13">
        <f t="shared" si="62"/>
        <v>0.7</v>
      </c>
    </row>
    <row r="541" spans="1:20" ht="24.95" customHeight="1">
      <c r="A541" s="10">
        <v>9</v>
      </c>
      <c r="B541" s="66" t="s">
        <v>90</v>
      </c>
      <c r="C541" s="67" t="s">
        <v>90</v>
      </c>
      <c r="D541" s="68" t="s">
        <v>90</v>
      </c>
      <c r="E541" s="4" t="s">
        <v>96</v>
      </c>
      <c r="F541" s="69">
        <v>1</v>
      </c>
      <c r="G541" s="70">
        <v>1261</v>
      </c>
      <c r="H541" s="69"/>
      <c r="I541" s="70"/>
      <c r="J541" s="71">
        <f t="shared" si="59"/>
        <v>0</v>
      </c>
      <c r="K541" s="71"/>
      <c r="L541" s="54"/>
      <c r="M541" s="59"/>
      <c r="O541" s="11">
        <v>10000</v>
      </c>
      <c r="P541" s="11">
        <f t="shared" si="60"/>
        <v>0</v>
      </c>
      <c r="S541" s="11">
        <f t="shared" si="61"/>
        <v>0</v>
      </c>
      <c r="T541" s="13">
        <f t="shared" si="62"/>
        <v>1</v>
      </c>
    </row>
    <row r="542" spans="1:20" ht="24.95" customHeight="1">
      <c r="A542" s="14"/>
      <c r="B542" s="15"/>
      <c r="C542" s="16"/>
      <c r="D542" s="17"/>
      <c r="E542" s="4"/>
      <c r="F542" s="18"/>
      <c r="G542" s="19"/>
      <c r="H542" s="105"/>
      <c r="I542" s="106"/>
      <c r="J542" s="105"/>
      <c r="K542" s="106"/>
      <c r="L542" s="54"/>
      <c r="M542" s="59"/>
      <c r="N542" s="20"/>
      <c r="P542" s="21" t="s">
        <v>37</v>
      </c>
      <c r="Q542" s="22">
        <f>SUM(P533:P541)</f>
        <v>0</v>
      </c>
      <c r="R542" s="23"/>
      <c r="S542" s="24">
        <f>SUM(S533:S541)</f>
        <v>294228</v>
      </c>
      <c r="T542" s="13"/>
    </row>
    <row r="543" spans="1:20" ht="24.95" customHeight="1">
      <c r="A543" s="107"/>
      <c r="B543" s="108"/>
      <c r="C543" s="108"/>
      <c r="D543" s="109"/>
      <c r="E543" s="4"/>
      <c r="F543" s="54"/>
      <c r="G543" s="59"/>
      <c r="H543" s="72"/>
      <c r="I543" s="72"/>
      <c r="J543" s="72"/>
      <c r="K543" s="72"/>
      <c r="L543" s="72"/>
      <c r="M543" s="72"/>
      <c r="O543" t="s">
        <v>38</v>
      </c>
      <c r="P543" s="24">
        <f>Q542</f>
        <v>0</v>
      </c>
      <c r="T543" s="13"/>
    </row>
    <row r="544" spans="1:20" ht="24.95" customHeight="1">
      <c r="A544" s="97"/>
      <c r="B544" s="98"/>
      <c r="C544" s="98"/>
      <c r="D544" s="99"/>
      <c r="E544" s="4"/>
      <c r="F544" s="54"/>
      <c r="G544" s="59"/>
      <c r="H544" s="72"/>
      <c r="I544" s="72"/>
      <c r="J544" s="72"/>
      <c r="K544" s="72"/>
      <c r="L544" s="72"/>
      <c r="M544" s="72"/>
      <c r="O544" t="s">
        <v>39</v>
      </c>
      <c r="P544" s="23">
        <f>ROUND(P543/1153274,4)*100</f>
        <v>0</v>
      </c>
      <c r="T544" s="13"/>
    </row>
    <row r="545" spans="1:20" ht="24.95" customHeight="1">
      <c r="A545" s="25"/>
      <c r="B545" s="63" t="s">
        <v>40</v>
      </c>
      <c r="C545" s="63"/>
      <c r="D545" s="59"/>
      <c r="E545" s="26"/>
      <c r="F545" s="100"/>
      <c r="G545" s="101"/>
      <c r="H545" s="100"/>
      <c r="I545" s="101"/>
      <c r="J545" s="102"/>
      <c r="K545" s="102"/>
      <c r="L545" s="103">
        <f>P543</f>
        <v>0</v>
      </c>
      <c r="M545" s="104"/>
      <c r="T545" s="13"/>
    </row>
    <row r="546" spans="1:20" ht="24.95" customHeight="1" thickBot="1">
      <c r="A546" s="27"/>
      <c r="B546" s="85" t="s">
        <v>41</v>
      </c>
      <c r="C546" s="85"/>
      <c r="D546" s="86"/>
      <c r="E546" s="28"/>
      <c r="F546" s="87"/>
      <c r="G546" s="88"/>
      <c r="H546" s="87"/>
      <c r="I546" s="88"/>
      <c r="J546" s="87"/>
      <c r="K546" s="88"/>
      <c r="L546" s="89">
        <f>L545+L488</f>
        <v>294228</v>
      </c>
      <c r="M546" s="90"/>
      <c r="T546" s="13"/>
    </row>
    <row r="547" spans="1:20" ht="24.95" customHeight="1">
      <c r="A547" s="29"/>
      <c r="B547" s="91" t="s">
        <v>42</v>
      </c>
      <c r="C547" s="91"/>
      <c r="D547" s="92"/>
      <c r="E547" s="30"/>
      <c r="F547" s="93"/>
      <c r="G547" s="94"/>
      <c r="H547" s="95"/>
      <c r="I547" s="95"/>
      <c r="J547" s="95"/>
      <c r="K547" s="95"/>
      <c r="L547" s="95"/>
      <c r="M547" s="96"/>
      <c r="T547" s="13"/>
    </row>
    <row r="548" spans="1:20" ht="24.95" customHeight="1">
      <c r="A548" s="31"/>
      <c r="B548" s="76" t="s">
        <v>43</v>
      </c>
      <c r="C548" s="76"/>
      <c r="D548" s="77"/>
      <c r="E548" s="4"/>
      <c r="F548" s="54"/>
      <c r="G548" s="59"/>
      <c r="H548" s="72"/>
      <c r="I548" s="72"/>
      <c r="J548" s="72"/>
      <c r="K548" s="72"/>
      <c r="L548" s="72"/>
      <c r="M548" s="78"/>
      <c r="T548" s="13"/>
    </row>
    <row r="549" spans="1:20" ht="24.95" customHeight="1" thickBot="1">
      <c r="A549" s="32"/>
      <c r="B549" s="79" t="s">
        <v>44</v>
      </c>
      <c r="C549" s="79"/>
      <c r="D549" s="80"/>
      <c r="E549" s="33"/>
      <c r="F549" s="81"/>
      <c r="G549" s="82"/>
      <c r="H549" s="83"/>
      <c r="I549" s="83"/>
      <c r="J549" s="83"/>
      <c r="K549" s="83"/>
      <c r="L549" s="83"/>
      <c r="M549" s="84"/>
      <c r="T549" s="13"/>
    </row>
    <row r="550" spans="1:20" ht="24.95" customHeight="1">
      <c r="A550" s="73" t="s">
        <v>45</v>
      </c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T550" s="13"/>
    </row>
    <row r="551" spans="1:20" ht="24.95" customHeight="1">
      <c r="A551" s="72" t="s">
        <v>46</v>
      </c>
      <c r="B551" s="75"/>
      <c r="C551" s="75"/>
      <c r="D551" s="75"/>
      <c r="E551" s="4" t="s">
        <v>22</v>
      </c>
      <c r="F551" s="72" t="s">
        <v>47</v>
      </c>
      <c r="G551" s="72"/>
      <c r="H551" s="72" t="s">
        <v>48</v>
      </c>
      <c r="I551" s="72"/>
      <c r="J551" s="72" t="s">
        <v>49</v>
      </c>
      <c r="K551" s="72"/>
      <c r="L551" s="72" t="s">
        <v>50</v>
      </c>
      <c r="M551" s="72"/>
      <c r="T551" s="13"/>
    </row>
    <row r="552" spans="1:20" ht="24.95" customHeight="1">
      <c r="A552" s="10">
        <v>6</v>
      </c>
      <c r="B552" s="66" t="s">
        <v>97</v>
      </c>
      <c r="C552" s="67" t="s">
        <v>51</v>
      </c>
      <c r="D552" s="68" t="s">
        <v>51</v>
      </c>
      <c r="E552" s="4" t="s">
        <v>35</v>
      </c>
      <c r="F552" s="69">
        <v>80</v>
      </c>
      <c r="G552" s="70">
        <v>1261</v>
      </c>
      <c r="H552" s="71">
        <f>H538</f>
        <v>0</v>
      </c>
      <c r="I552" s="71"/>
      <c r="J552" s="71">
        <f>H552+J494</f>
        <v>78</v>
      </c>
      <c r="K552" s="71"/>
      <c r="L552" s="72"/>
      <c r="M552" s="72"/>
      <c r="T552" s="13"/>
    </row>
    <row r="553" spans="1:20" ht="24.95" customHeight="1">
      <c r="A553" s="10">
        <v>7</v>
      </c>
      <c r="B553" s="66" t="s">
        <v>88</v>
      </c>
      <c r="C553" s="67" t="s">
        <v>88</v>
      </c>
      <c r="D553" s="68" t="s">
        <v>88</v>
      </c>
      <c r="E553" s="4" t="s">
        <v>98</v>
      </c>
      <c r="F553" s="69">
        <v>126</v>
      </c>
      <c r="G553" s="70"/>
      <c r="H553" s="71">
        <f>H539</f>
        <v>0</v>
      </c>
      <c r="I553" s="71"/>
      <c r="J553" s="71">
        <f t="shared" ref="J553:J554" si="63">H553+J495</f>
        <v>0</v>
      </c>
      <c r="K553" s="71"/>
      <c r="L553" s="72"/>
      <c r="M553" s="72"/>
      <c r="T553" s="13"/>
    </row>
    <row r="554" spans="1:20" ht="24.95" customHeight="1">
      <c r="A554" s="10">
        <v>8</v>
      </c>
      <c r="B554" s="66" t="s">
        <v>89</v>
      </c>
      <c r="C554" s="67" t="s">
        <v>89</v>
      </c>
      <c r="D554" s="68" t="s">
        <v>89</v>
      </c>
      <c r="E554" s="4" t="s">
        <v>36</v>
      </c>
      <c r="F554" s="69">
        <v>1</v>
      </c>
      <c r="G554" s="70"/>
      <c r="H554" s="71">
        <f>H540</f>
        <v>0</v>
      </c>
      <c r="I554" s="71"/>
      <c r="J554" s="71">
        <f t="shared" si="63"/>
        <v>0.3</v>
      </c>
      <c r="K554" s="71"/>
      <c r="L554" s="72"/>
      <c r="M554" s="72"/>
      <c r="T554" s="13"/>
    </row>
    <row r="555" spans="1:20" ht="24.95" customHeight="1">
      <c r="A555" s="51" t="s">
        <v>52</v>
      </c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3"/>
      <c r="T555" s="13"/>
    </row>
    <row r="556" spans="1:20" ht="24.95" customHeight="1">
      <c r="A556" s="54" t="s">
        <v>53</v>
      </c>
      <c r="B556" s="63"/>
      <c r="C556" s="63"/>
      <c r="D556" s="59"/>
      <c r="E556" s="4" t="s">
        <v>54</v>
      </c>
      <c r="F556" s="54" t="s">
        <v>55</v>
      </c>
      <c r="G556" s="59"/>
      <c r="H556" s="54" t="s">
        <v>56</v>
      </c>
      <c r="I556" s="59"/>
      <c r="J556" s="54" t="s">
        <v>48</v>
      </c>
      <c r="K556" s="59"/>
      <c r="L556" s="64" t="s">
        <v>49</v>
      </c>
      <c r="M556" s="65"/>
      <c r="T556" s="13"/>
    </row>
    <row r="557" spans="1:20" ht="24.95" customHeight="1">
      <c r="A557" s="54" t="s">
        <v>57</v>
      </c>
      <c r="B557" s="55"/>
      <c r="C557" s="55"/>
      <c r="D557" s="56"/>
      <c r="E557" s="4"/>
      <c r="F557" s="57">
        <f>E557+F499</f>
        <v>28</v>
      </c>
      <c r="G557" s="58"/>
      <c r="H557" s="54" t="s">
        <v>58</v>
      </c>
      <c r="I557" s="59"/>
      <c r="J557" s="54"/>
      <c r="K557" s="59"/>
      <c r="L557" s="57">
        <f>J557+L499</f>
        <v>15</v>
      </c>
      <c r="M557" s="58"/>
      <c r="T557" s="13"/>
    </row>
    <row r="558" spans="1:20" ht="24.95" customHeight="1">
      <c r="A558" s="54" t="s">
        <v>59</v>
      </c>
      <c r="B558" s="55"/>
      <c r="C558" s="55"/>
      <c r="D558" s="56"/>
      <c r="E558" s="4"/>
      <c r="F558" s="57">
        <f t="shared" ref="F558:F560" si="64">E558+F500</f>
        <v>0</v>
      </c>
      <c r="G558" s="58"/>
      <c r="H558" s="54" t="s">
        <v>60</v>
      </c>
      <c r="I558" s="59"/>
      <c r="J558" s="54"/>
      <c r="K558" s="59"/>
      <c r="L558" s="57">
        <f t="shared" ref="L558:L560" si="65">J558+L500</f>
        <v>0</v>
      </c>
      <c r="M558" s="58"/>
      <c r="T558" s="13"/>
    </row>
    <row r="559" spans="1:20" ht="24.95" customHeight="1">
      <c r="A559" s="54" t="s">
        <v>61</v>
      </c>
      <c r="B559" s="55"/>
      <c r="C559" s="55"/>
      <c r="D559" s="56"/>
      <c r="E559" s="4"/>
      <c r="F559" s="57">
        <f t="shared" si="64"/>
        <v>2</v>
      </c>
      <c r="G559" s="58"/>
      <c r="H559" s="54" t="s">
        <v>62</v>
      </c>
      <c r="I559" s="59"/>
      <c r="J559" s="54"/>
      <c r="K559" s="59"/>
      <c r="L559" s="57">
        <f t="shared" si="65"/>
        <v>5</v>
      </c>
      <c r="M559" s="58"/>
      <c r="T559" s="13"/>
    </row>
    <row r="560" spans="1:20" ht="24.95" customHeight="1">
      <c r="A560" s="54" t="s">
        <v>63</v>
      </c>
      <c r="B560" s="55"/>
      <c r="C560" s="55"/>
      <c r="D560" s="56"/>
      <c r="E560" s="4"/>
      <c r="F560" s="57">
        <f t="shared" si="64"/>
        <v>4</v>
      </c>
      <c r="G560" s="58"/>
      <c r="H560" s="54" t="s">
        <v>64</v>
      </c>
      <c r="I560" s="59"/>
      <c r="J560" s="54"/>
      <c r="K560" s="59"/>
      <c r="L560" s="57">
        <f t="shared" si="65"/>
        <v>1</v>
      </c>
      <c r="M560" s="58"/>
      <c r="T560" s="13"/>
    </row>
    <row r="561" spans="1:20" ht="64.5" customHeight="1">
      <c r="A561" s="60" t="s">
        <v>65</v>
      </c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2"/>
      <c r="T561" s="13"/>
    </row>
    <row r="562" spans="1:20" ht="24.95" customHeight="1">
      <c r="A562" s="46" t="s">
        <v>66</v>
      </c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8"/>
      <c r="T562" s="13"/>
    </row>
    <row r="563" spans="1:20" ht="24.95" customHeight="1">
      <c r="A563" s="27"/>
      <c r="B563" s="34" t="s">
        <v>67</v>
      </c>
      <c r="C563" s="34"/>
      <c r="D563" s="34"/>
      <c r="E563" s="34"/>
      <c r="F563" s="34"/>
      <c r="G563" s="35"/>
      <c r="H563" s="34"/>
      <c r="I563" s="34"/>
      <c r="J563" s="34"/>
      <c r="K563" s="34"/>
      <c r="L563" s="34"/>
      <c r="M563" s="36"/>
      <c r="T563" s="13"/>
    </row>
    <row r="564" spans="1:20" ht="24.95" customHeight="1">
      <c r="A564" s="27"/>
      <c r="B564" s="34" t="s">
        <v>81</v>
      </c>
      <c r="C564" s="34"/>
      <c r="D564" s="34"/>
      <c r="E564" s="34"/>
      <c r="F564" s="34"/>
      <c r="G564" s="35"/>
      <c r="H564" s="34"/>
      <c r="I564" s="34"/>
      <c r="J564" s="34"/>
      <c r="K564" s="34"/>
      <c r="L564" s="34"/>
      <c r="M564" s="36"/>
      <c r="T564" s="13"/>
    </row>
    <row r="565" spans="1:20" ht="24.95" customHeight="1">
      <c r="A565" s="27"/>
      <c r="B565" s="34" t="s">
        <v>68</v>
      </c>
      <c r="C565" s="34"/>
      <c r="D565" s="34"/>
      <c r="E565" s="34"/>
      <c r="F565" s="34"/>
      <c r="G565" s="35"/>
      <c r="H565" s="34"/>
      <c r="I565" s="34"/>
      <c r="J565" s="34"/>
      <c r="K565" s="34"/>
      <c r="L565" s="34"/>
      <c r="M565" s="36"/>
      <c r="T565" s="13"/>
    </row>
    <row r="566" spans="1:20" ht="24.95" customHeight="1">
      <c r="A566" s="27"/>
      <c r="B566" s="34" t="s">
        <v>82</v>
      </c>
      <c r="C566" s="34"/>
      <c r="D566" s="34"/>
      <c r="E566" s="34"/>
      <c r="F566" s="34"/>
      <c r="G566" s="35"/>
      <c r="H566" s="34"/>
      <c r="I566" s="34"/>
      <c r="J566" s="34"/>
      <c r="K566" s="34"/>
      <c r="L566" s="34"/>
      <c r="M566" s="36"/>
      <c r="T566" s="13"/>
    </row>
    <row r="567" spans="1:20" ht="24.95" customHeight="1">
      <c r="A567" s="27"/>
      <c r="B567" s="34" t="s">
        <v>99</v>
      </c>
      <c r="C567" s="34"/>
      <c r="D567" s="34"/>
      <c r="E567" s="34"/>
      <c r="F567" s="34"/>
      <c r="G567" s="35"/>
      <c r="H567" s="34"/>
      <c r="I567" s="34"/>
      <c r="J567" s="34"/>
      <c r="K567" s="34"/>
      <c r="L567" s="34"/>
      <c r="M567" s="36"/>
      <c r="T567" s="13"/>
    </row>
    <row r="568" spans="1:20" ht="24.95" customHeight="1">
      <c r="A568" s="37"/>
      <c r="B568" s="49" t="s">
        <v>69</v>
      </c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50"/>
      <c r="T568" s="13"/>
    </row>
    <row r="569" spans="1:20" ht="44.25" customHeight="1">
      <c r="A569" s="51" t="s">
        <v>70</v>
      </c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3"/>
      <c r="T569" s="13"/>
    </row>
    <row r="570" spans="1:20" ht="48" customHeight="1">
      <c r="A570" s="51" t="s">
        <v>71</v>
      </c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3"/>
      <c r="T570" s="13"/>
    </row>
    <row r="571" spans="1:20" ht="81" customHeight="1">
      <c r="A571" s="51" t="s">
        <v>80</v>
      </c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3"/>
      <c r="T571" s="13"/>
    </row>
    <row r="572" spans="1:20" ht="100.5" customHeight="1">
      <c r="A572" s="51" t="s">
        <v>72</v>
      </c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3"/>
      <c r="T572" s="13"/>
    </row>
    <row r="573" spans="1:20" ht="12" customHeight="1">
      <c r="A573" s="41" t="s">
        <v>73</v>
      </c>
      <c r="B573" s="41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38"/>
      <c r="T573" s="13"/>
    </row>
    <row r="574" spans="1:20" ht="12" customHeight="1">
      <c r="A574" s="43" t="s">
        <v>74</v>
      </c>
      <c r="B574" s="43"/>
      <c r="C574" s="40"/>
      <c r="D574" s="40"/>
      <c r="E574" s="40"/>
      <c r="F574" s="40"/>
      <c r="G574" s="40"/>
      <c r="H574" s="40"/>
      <c r="I574" s="40"/>
      <c r="J574" s="40"/>
      <c r="K574" s="40"/>
      <c r="L574" s="38"/>
      <c r="M574" s="38"/>
      <c r="T574" s="13"/>
    </row>
    <row r="575" spans="1:20" ht="12" customHeight="1">
      <c r="A575" s="44" t="s">
        <v>75</v>
      </c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T575" s="13"/>
    </row>
    <row r="576" spans="1:20" ht="12" customHeight="1">
      <c r="A576" s="39" t="s">
        <v>76</v>
      </c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T576" s="13"/>
    </row>
    <row r="577" spans="1:20" ht="12" customHeight="1">
      <c r="A577" s="39" t="s">
        <v>77</v>
      </c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T577" s="13"/>
    </row>
    <row r="578" spans="1:20" ht="12" customHeight="1">
      <c r="A578" s="45" t="s">
        <v>78</v>
      </c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T578" s="13"/>
    </row>
    <row r="579" spans="1:20" ht="12" customHeight="1">
      <c r="A579" s="39" t="s">
        <v>79</v>
      </c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T579" s="13"/>
    </row>
    <row r="580" spans="1:20" ht="409.5" customHeight="1"/>
    <row r="581" spans="1:20" s="2" customFormat="1" ht="35.1" customHeight="1">
      <c r="A581" s="126" t="s">
        <v>0</v>
      </c>
      <c r="B581" s="126"/>
      <c r="C581" s="1">
        <f>C523+1</f>
        <v>46</v>
      </c>
      <c r="G581" s="3"/>
    </row>
    <row r="582" spans="1:20" s="2" customFormat="1" ht="35.1" customHeight="1">
      <c r="A582" s="126" t="s">
        <v>1</v>
      </c>
      <c r="B582" s="126"/>
      <c r="C582" s="2" t="s">
        <v>2</v>
      </c>
      <c r="E582" s="2" t="s">
        <v>3</v>
      </c>
      <c r="G582" s="3"/>
      <c r="H582" s="127" t="s">
        <v>4</v>
      </c>
      <c r="I582" s="128"/>
      <c r="J582" s="129">
        <f>J524+1</f>
        <v>46033</v>
      </c>
      <c r="K582" s="130"/>
      <c r="L582" s="131">
        <f>J582</f>
        <v>46033</v>
      </c>
      <c r="M582" s="132"/>
    </row>
    <row r="583" spans="1:20" s="2" customFormat="1" ht="30" customHeight="1">
      <c r="A583" s="72" t="s">
        <v>5</v>
      </c>
      <c r="B583" s="114"/>
      <c r="C583" s="119" t="s">
        <v>83</v>
      </c>
      <c r="D583" s="119"/>
      <c r="E583" s="119"/>
      <c r="F583" s="119"/>
      <c r="G583" s="119"/>
      <c r="H583" s="54" t="s">
        <v>6</v>
      </c>
      <c r="I583" s="59"/>
      <c r="J583" s="120"/>
      <c r="K583" s="120"/>
      <c r="L583" s="120"/>
      <c r="M583" s="120"/>
    </row>
    <row r="584" spans="1:20" s="1" customFormat="1" ht="30" customHeight="1">
      <c r="A584" s="72" t="s">
        <v>7</v>
      </c>
      <c r="B584" s="114"/>
      <c r="C584" s="4">
        <v>50</v>
      </c>
      <c r="D584" s="4" t="s">
        <v>8</v>
      </c>
      <c r="E584" s="4" t="s">
        <v>9</v>
      </c>
      <c r="F584" s="4">
        <f>F526+1</f>
        <v>46</v>
      </c>
      <c r="G584" s="5" t="s">
        <v>8</v>
      </c>
      <c r="H584" s="4" t="s">
        <v>10</v>
      </c>
      <c r="I584" s="4">
        <f>C584-F584+L584</f>
        <v>4</v>
      </c>
      <c r="J584" s="4" t="s">
        <v>11</v>
      </c>
      <c r="K584" s="6" t="s">
        <v>12</v>
      </c>
      <c r="L584" s="7">
        <f>L526</f>
        <v>0</v>
      </c>
      <c r="M584" s="4" t="s">
        <v>8</v>
      </c>
    </row>
    <row r="585" spans="1:20" s="2" customFormat="1" ht="30" customHeight="1">
      <c r="A585" s="72" t="s">
        <v>13</v>
      </c>
      <c r="B585" s="75"/>
      <c r="C585" s="75"/>
      <c r="D585" s="121">
        <f>D527</f>
        <v>45988</v>
      </c>
      <c r="E585" s="122"/>
      <c r="F585" s="122"/>
      <c r="G585" s="123"/>
      <c r="H585" s="124" t="s">
        <v>14</v>
      </c>
      <c r="I585" s="125"/>
      <c r="J585" s="121">
        <f>J527</f>
        <v>46037</v>
      </c>
      <c r="K585" s="122"/>
      <c r="L585" s="122"/>
      <c r="M585" s="123"/>
    </row>
    <row r="586" spans="1:20" s="2" customFormat="1" ht="30" customHeight="1">
      <c r="A586" s="72" t="s">
        <v>15</v>
      </c>
      <c r="B586" s="114"/>
      <c r="C586" s="114"/>
      <c r="D586" s="72">
        <v>7.1529999999999996</v>
      </c>
      <c r="E586" s="72"/>
      <c r="F586" s="72"/>
      <c r="G586" s="72"/>
      <c r="H586" s="64" t="s">
        <v>16</v>
      </c>
      <c r="I586" s="115"/>
      <c r="J586" s="116">
        <f>P602</f>
        <v>0</v>
      </c>
      <c r="K586" s="117"/>
      <c r="L586" s="117"/>
      <c r="M586" s="118"/>
    </row>
    <row r="587" spans="1:20" s="2" customFormat="1" ht="30" customHeight="1">
      <c r="A587" s="72" t="s">
        <v>17</v>
      </c>
      <c r="B587" s="114"/>
      <c r="C587" s="114"/>
      <c r="D587" s="72">
        <f>D586+D529</f>
        <v>71.41200000000002</v>
      </c>
      <c r="E587" s="72"/>
      <c r="F587" s="72"/>
      <c r="G587" s="72"/>
      <c r="H587" s="64" t="s">
        <v>18</v>
      </c>
      <c r="I587" s="115"/>
      <c r="J587" s="116">
        <f>J586+J529</f>
        <v>25.469999999999992</v>
      </c>
      <c r="K587" s="117"/>
      <c r="L587" s="117"/>
      <c r="M587" s="118"/>
    </row>
    <row r="588" spans="1:20" s="2" customFormat="1" ht="30" customHeight="1">
      <c r="A588" s="111" t="s">
        <v>19</v>
      </c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12"/>
      <c r="M588" s="113"/>
    </row>
    <row r="589" spans="1:20" s="2" customFormat="1" ht="30" customHeight="1">
      <c r="A589" s="8" t="s">
        <v>20</v>
      </c>
      <c r="B589" s="72" t="s">
        <v>21</v>
      </c>
      <c r="C589" s="72"/>
      <c r="D589" s="72"/>
      <c r="E589" s="4" t="s">
        <v>22</v>
      </c>
      <c r="F589" s="54" t="s">
        <v>23</v>
      </c>
      <c r="G589" s="59"/>
      <c r="H589" s="72" t="s">
        <v>24</v>
      </c>
      <c r="I589" s="72"/>
      <c r="J589" s="72" t="s">
        <v>25</v>
      </c>
      <c r="K589" s="72"/>
      <c r="L589" s="72" t="s">
        <v>26</v>
      </c>
      <c r="M589" s="72"/>
      <c r="O589" s="1" t="s">
        <v>27</v>
      </c>
      <c r="P589" s="1" t="s">
        <v>28</v>
      </c>
      <c r="T589" s="2" t="s">
        <v>29</v>
      </c>
    </row>
    <row r="590" spans="1:20" s="2" customFormat="1" ht="24.95" customHeight="1">
      <c r="A590" s="9" t="s">
        <v>30</v>
      </c>
      <c r="B590" s="110" t="s">
        <v>31</v>
      </c>
      <c r="C590" s="110"/>
      <c r="D590" s="110"/>
      <c r="E590" s="4"/>
      <c r="F590" s="54"/>
      <c r="G590" s="59"/>
      <c r="H590" s="72"/>
      <c r="I590" s="72"/>
      <c r="J590" s="72"/>
      <c r="K590" s="72"/>
      <c r="L590" s="72"/>
      <c r="M590" s="72"/>
    </row>
    <row r="591" spans="1:20" ht="24.95" customHeight="1">
      <c r="A591" s="10">
        <v>1</v>
      </c>
      <c r="B591" s="66" t="s">
        <v>91</v>
      </c>
      <c r="C591" s="67" t="s">
        <v>91</v>
      </c>
      <c r="D591" s="68" t="s">
        <v>91</v>
      </c>
      <c r="E591" s="4" t="s">
        <v>32</v>
      </c>
      <c r="F591" s="69">
        <v>1</v>
      </c>
      <c r="G591" s="70"/>
      <c r="H591" s="69"/>
      <c r="I591" s="70"/>
      <c r="J591" s="71">
        <f>H591+J533</f>
        <v>1</v>
      </c>
      <c r="K591" s="71"/>
      <c r="L591" s="72"/>
      <c r="M591" s="72"/>
      <c r="O591" s="11">
        <v>4000</v>
      </c>
      <c r="P591" s="11">
        <f>ROUND(H591*O591,0)</f>
        <v>0</v>
      </c>
      <c r="Q591" s="12"/>
      <c r="S591" s="11">
        <f>ROUND(J591*O591,0)</f>
        <v>4000</v>
      </c>
      <c r="T591" s="13">
        <f>F591-J591</f>
        <v>0</v>
      </c>
    </row>
    <row r="592" spans="1:20" ht="24.95" customHeight="1">
      <c r="A592" s="10">
        <v>2</v>
      </c>
      <c r="B592" s="66" t="s">
        <v>92</v>
      </c>
      <c r="C592" s="67" t="s">
        <v>92</v>
      </c>
      <c r="D592" s="68" t="s">
        <v>92</v>
      </c>
      <c r="E592" s="4" t="s">
        <v>32</v>
      </c>
      <c r="F592" s="69">
        <v>1</v>
      </c>
      <c r="G592" s="70"/>
      <c r="H592" s="69"/>
      <c r="I592" s="70"/>
      <c r="J592" s="71">
        <f t="shared" ref="J592:J599" si="66">H592+J534</f>
        <v>1</v>
      </c>
      <c r="K592" s="71"/>
      <c r="L592" s="72"/>
      <c r="M592" s="72"/>
      <c r="O592" s="11">
        <v>14334</v>
      </c>
      <c r="P592" s="11">
        <f t="shared" ref="P592:P599" si="67">ROUND(H592*O592,0)</f>
        <v>0</v>
      </c>
      <c r="Q592" s="12"/>
      <c r="S592" s="11">
        <f t="shared" ref="S592:S599" si="68">ROUND(J592*O592,0)</f>
        <v>14334</v>
      </c>
      <c r="T592" s="13">
        <f t="shared" ref="T592:T599" si="69">F592-J592</f>
        <v>0</v>
      </c>
    </row>
    <row r="593" spans="1:20" ht="24.95" customHeight="1">
      <c r="A593" s="10">
        <v>3</v>
      </c>
      <c r="B593" s="66" t="s">
        <v>84</v>
      </c>
      <c r="C593" s="67" t="s">
        <v>84</v>
      </c>
      <c r="D593" s="68" t="s">
        <v>84</v>
      </c>
      <c r="E593" s="4" t="s">
        <v>33</v>
      </c>
      <c r="F593" s="69">
        <v>1</v>
      </c>
      <c r="G593" s="70"/>
      <c r="H593" s="69"/>
      <c r="I593" s="70"/>
      <c r="J593" s="71">
        <f t="shared" si="66"/>
        <v>0.5</v>
      </c>
      <c r="K593" s="71"/>
      <c r="L593" s="72"/>
      <c r="M593" s="72"/>
      <c r="O593" s="11">
        <v>7000</v>
      </c>
      <c r="P593" s="11">
        <f t="shared" si="67"/>
        <v>0</v>
      </c>
      <c r="Q593" s="12"/>
      <c r="S593" s="11">
        <f t="shared" si="68"/>
        <v>3500</v>
      </c>
      <c r="T593" s="13">
        <f t="shared" si="69"/>
        <v>0.5</v>
      </c>
    </row>
    <row r="594" spans="1:20" ht="24.95" customHeight="1">
      <c r="A594" s="10">
        <v>4</v>
      </c>
      <c r="B594" s="66" t="s">
        <v>85</v>
      </c>
      <c r="C594" s="67" t="s">
        <v>85</v>
      </c>
      <c r="D594" s="68" t="s">
        <v>85</v>
      </c>
      <c r="E594" s="4" t="s">
        <v>34</v>
      </c>
      <c r="F594" s="69">
        <v>1</v>
      </c>
      <c r="G594" s="70"/>
      <c r="H594" s="69"/>
      <c r="I594" s="70"/>
      <c r="J594" s="71">
        <f t="shared" si="66"/>
        <v>1</v>
      </c>
      <c r="K594" s="71"/>
      <c r="L594" s="72"/>
      <c r="M594" s="72"/>
      <c r="O594" s="11">
        <v>74000</v>
      </c>
      <c r="P594" s="11">
        <f t="shared" si="67"/>
        <v>0</v>
      </c>
      <c r="Q594" s="12"/>
      <c r="S594" s="11">
        <f t="shared" si="68"/>
        <v>74000</v>
      </c>
      <c r="T594" s="13">
        <f t="shared" si="69"/>
        <v>0</v>
      </c>
    </row>
    <row r="595" spans="1:20" ht="24.95" customHeight="1">
      <c r="A595" s="10">
        <v>5</v>
      </c>
      <c r="B595" s="66" t="s">
        <v>86</v>
      </c>
      <c r="C595" s="67" t="s">
        <v>86</v>
      </c>
      <c r="D595" s="68" t="s">
        <v>86</v>
      </c>
      <c r="E595" s="4" t="s">
        <v>93</v>
      </c>
      <c r="F595" s="69">
        <v>396</v>
      </c>
      <c r="G595" s="70"/>
      <c r="H595" s="69"/>
      <c r="I595" s="70"/>
      <c r="J595" s="71">
        <f t="shared" si="66"/>
        <v>350</v>
      </c>
      <c r="K595" s="71"/>
      <c r="L595" s="72"/>
      <c r="M595" s="72"/>
      <c r="O595" s="11">
        <v>200</v>
      </c>
      <c r="P595" s="11">
        <f t="shared" si="67"/>
        <v>0</v>
      </c>
      <c r="Q595" s="12"/>
      <c r="S595" s="11">
        <f t="shared" si="68"/>
        <v>70000</v>
      </c>
      <c r="T595" s="13">
        <f t="shared" si="69"/>
        <v>46</v>
      </c>
    </row>
    <row r="596" spans="1:20" ht="24.95" customHeight="1">
      <c r="A596" s="10">
        <v>6</v>
      </c>
      <c r="B596" s="66" t="s">
        <v>97</v>
      </c>
      <c r="C596" s="67" t="s">
        <v>87</v>
      </c>
      <c r="D596" s="68" t="s">
        <v>87</v>
      </c>
      <c r="E596" s="4" t="s">
        <v>35</v>
      </c>
      <c r="F596" s="69">
        <v>80</v>
      </c>
      <c r="G596" s="70">
        <v>183.6</v>
      </c>
      <c r="H596" s="69"/>
      <c r="I596" s="70"/>
      <c r="J596" s="71">
        <f t="shared" si="66"/>
        <v>78</v>
      </c>
      <c r="K596" s="71"/>
      <c r="L596" s="54"/>
      <c r="M596" s="59"/>
      <c r="O596" s="11">
        <v>1463</v>
      </c>
      <c r="P596" s="11">
        <f t="shared" si="67"/>
        <v>0</v>
      </c>
      <c r="S596" s="11">
        <f t="shared" si="68"/>
        <v>114114</v>
      </c>
      <c r="T596" s="13">
        <f t="shared" si="69"/>
        <v>2</v>
      </c>
    </row>
    <row r="597" spans="1:20" ht="24.95" customHeight="1">
      <c r="A597" s="10">
        <v>7</v>
      </c>
      <c r="B597" s="66" t="s">
        <v>88</v>
      </c>
      <c r="C597" s="67" t="s">
        <v>88</v>
      </c>
      <c r="D597" s="68" t="s">
        <v>88</v>
      </c>
      <c r="E597" s="4" t="s">
        <v>94</v>
      </c>
      <c r="F597" s="69">
        <v>126</v>
      </c>
      <c r="G597" s="70">
        <v>19</v>
      </c>
      <c r="H597" s="69"/>
      <c r="I597" s="70"/>
      <c r="J597" s="71">
        <f t="shared" si="66"/>
        <v>0</v>
      </c>
      <c r="K597" s="71"/>
      <c r="L597" s="54"/>
      <c r="M597" s="59"/>
      <c r="O597" s="11">
        <v>6350</v>
      </c>
      <c r="P597" s="11">
        <f t="shared" si="67"/>
        <v>0</v>
      </c>
      <c r="S597" s="11">
        <f t="shared" si="68"/>
        <v>0</v>
      </c>
      <c r="T597" s="13">
        <f t="shared" si="69"/>
        <v>126</v>
      </c>
    </row>
    <row r="598" spans="1:20" ht="24.95" customHeight="1">
      <c r="A598" s="10">
        <v>8</v>
      </c>
      <c r="B598" s="66" t="s">
        <v>89</v>
      </c>
      <c r="C598" s="67" t="s">
        <v>89</v>
      </c>
      <c r="D598" s="68" t="s">
        <v>89</v>
      </c>
      <c r="E598" s="4" t="s">
        <v>95</v>
      </c>
      <c r="F598" s="69">
        <v>1</v>
      </c>
      <c r="G598" s="70">
        <v>1192</v>
      </c>
      <c r="H598" s="69"/>
      <c r="I598" s="70"/>
      <c r="J598" s="71">
        <f t="shared" si="66"/>
        <v>0.3</v>
      </c>
      <c r="K598" s="71"/>
      <c r="L598" s="54"/>
      <c r="M598" s="59"/>
      <c r="O598" s="11">
        <v>47600</v>
      </c>
      <c r="P598" s="11">
        <f t="shared" si="67"/>
        <v>0</v>
      </c>
      <c r="S598" s="11">
        <f t="shared" si="68"/>
        <v>14280</v>
      </c>
      <c r="T598" s="13">
        <f t="shared" si="69"/>
        <v>0.7</v>
      </c>
    </row>
    <row r="599" spans="1:20" ht="24.95" customHeight="1">
      <c r="A599" s="10">
        <v>9</v>
      </c>
      <c r="B599" s="66" t="s">
        <v>90</v>
      </c>
      <c r="C599" s="67" t="s">
        <v>90</v>
      </c>
      <c r="D599" s="68" t="s">
        <v>90</v>
      </c>
      <c r="E599" s="4" t="s">
        <v>96</v>
      </c>
      <c r="F599" s="69">
        <v>1</v>
      </c>
      <c r="G599" s="70">
        <v>1261</v>
      </c>
      <c r="H599" s="69"/>
      <c r="I599" s="70"/>
      <c r="J599" s="71">
        <f t="shared" si="66"/>
        <v>0</v>
      </c>
      <c r="K599" s="71"/>
      <c r="L599" s="54"/>
      <c r="M599" s="59"/>
      <c r="O599" s="11">
        <v>10000</v>
      </c>
      <c r="P599" s="11">
        <f t="shared" si="67"/>
        <v>0</v>
      </c>
      <c r="S599" s="11">
        <f t="shared" si="68"/>
        <v>0</v>
      </c>
      <c r="T599" s="13">
        <f t="shared" si="69"/>
        <v>1</v>
      </c>
    </row>
    <row r="600" spans="1:20" ht="24.95" customHeight="1">
      <c r="A600" s="14"/>
      <c r="B600" s="15"/>
      <c r="C600" s="16"/>
      <c r="D600" s="17"/>
      <c r="E600" s="4"/>
      <c r="F600" s="18"/>
      <c r="G600" s="19"/>
      <c r="H600" s="105"/>
      <c r="I600" s="106"/>
      <c r="J600" s="105"/>
      <c r="K600" s="106"/>
      <c r="L600" s="54"/>
      <c r="M600" s="59"/>
      <c r="N600" s="20"/>
      <c r="P600" s="21" t="s">
        <v>37</v>
      </c>
      <c r="Q600" s="22">
        <f>SUM(P591:P599)</f>
        <v>0</v>
      </c>
      <c r="R600" s="23"/>
      <c r="S600" s="24">
        <f>SUM(S591:S599)</f>
        <v>294228</v>
      </c>
      <c r="T600" s="13"/>
    </row>
    <row r="601" spans="1:20" ht="24.95" customHeight="1">
      <c r="A601" s="107"/>
      <c r="B601" s="108"/>
      <c r="C601" s="108"/>
      <c r="D601" s="109"/>
      <c r="E601" s="4"/>
      <c r="F601" s="54"/>
      <c r="G601" s="59"/>
      <c r="H601" s="72"/>
      <c r="I601" s="72"/>
      <c r="J601" s="72"/>
      <c r="K601" s="72"/>
      <c r="L601" s="72"/>
      <c r="M601" s="72"/>
      <c r="O601" t="s">
        <v>38</v>
      </c>
      <c r="P601" s="24">
        <f>Q600</f>
        <v>0</v>
      </c>
      <c r="T601" s="13"/>
    </row>
    <row r="602" spans="1:20" ht="24.95" customHeight="1">
      <c r="A602" s="97"/>
      <c r="B602" s="98"/>
      <c r="C602" s="98"/>
      <c r="D602" s="99"/>
      <c r="E602" s="4"/>
      <c r="F602" s="54"/>
      <c r="G602" s="59"/>
      <c r="H602" s="72"/>
      <c r="I602" s="72"/>
      <c r="J602" s="72"/>
      <c r="K602" s="72"/>
      <c r="L602" s="72"/>
      <c r="M602" s="72"/>
      <c r="O602" t="s">
        <v>39</v>
      </c>
      <c r="P602" s="23">
        <f>ROUND(P601/1153274,4)*100</f>
        <v>0</v>
      </c>
      <c r="T602" s="13"/>
    </row>
    <row r="603" spans="1:20" ht="24.95" customHeight="1">
      <c r="A603" s="25"/>
      <c r="B603" s="63" t="s">
        <v>40</v>
      </c>
      <c r="C603" s="63"/>
      <c r="D603" s="59"/>
      <c r="E603" s="26"/>
      <c r="F603" s="100"/>
      <c r="G603" s="101"/>
      <c r="H603" s="100"/>
      <c r="I603" s="101"/>
      <c r="J603" s="102"/>
      <c r="K603" s="102"/>
      <c r="L603" s="103">
        <f>P601</f>
        <v>0</v>
      </c>
      <c r="M603" s="104"/>
      <c r="T603" s="13"/>
    </row>
    <row r="604" spans="1:20" ht="24.95" customHeight="1" thickBot="1">
      <c r="A604" s="27"/>
      <c r="B604" s="85" t="s">
        <v>41</v>
      </c>
      <c r="C604" s="85"/>
      <c r="D604" s="86"/>
      <c r="E604" s="28"/>
      <c r="F604" s="87"/>
      <c r="G604" s="88"/>
      <c r="H604" s="87"/>
      <c r="I604" s="88"/>
      <c r="J604" s="87"/>
      <c r="K604" s="88"/>
      <c r="L604" s="89">
        <f>L603+L546</f>
        <v>294228</v>
      </c>
      <c r="M604" s="90"/>
      <c r="T604" s="13"/>
    </row>
    <row r="605" spans="1:20" ht="24.95" customHeight="1">
      <c r="A605" s="29"/>
      <c r="B605" s="91" t="s">
        <v>42</v>
      </c>
      <c r="C605" s="91"/>
      <c r="D605" s="92"/>
      <c r="E605" s="30"/>
      <c r="F605" s="93"/>
      <c r="G605" s="94"/>
      <c r="H605" s="95"/>
      <c r="I605" s="95"/>
      <c r="J605" s="95"/>
      <c r="K605" s="95"/>
      <c r="L605" s="95"/>
      <c r="M605" s="96"/>
      <c r="T605" s="13"/>
    </row>
    <row r="606" spans="1:20" ht="24.95" customHeight="1">
      <c r="A606" s="31"/>
      <c r="B606" s="76" t="s">
        <v>43</v>
      </c>
      <c r="C606" s="76"/>
      <c r="D606" s="77"/>
      <c r="E606" s="4"/>
      <c r="F606" s="54"/>
      <c r="G606" s="59"/>
      <c r="H606" s="72"/>
      <c r="I606" s="72"/>
      <c r="J606" s="72"/>
      <c r="K606" s="72"/>
      <c r="L606" s="72"/>
      <c r="M606" s="78"/>
      <c r="T606" s="13"/>
    </row>
    <row r="607" spans="1:20" ht="24.95" customHeight="1" thickBot="1">
      <c r="A607" s="32"/>
      <c r="B607" s="79" t="s">
        <v>44</v>
      </c>
      <c r="C607" s="79"/>
      <c r="D607" s="80"/>
      <c r="E607" s="33"/>
      <c r="F607" s="81"/>
      <c r="G607" s="82"/>
      <c r="H607" s="83"/>
      <c r="I607" s="83"/>
      <c r="J607" s="83"/>
      <c r="K607" s="83"/>
      <c r="L607" s="83"/>
      <c r="M607" s="84"/>
      <c r="T607" s="13"/>
    </row>
    <row r="608" spans="1:20" ht="24.95" customHeight="1">
      <c r="A608" s="73" t="s">
        <v>45</v>
      </c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T608" s="13"/>
    </row>
    <row r="609" spans="1:20" ht="24.95" customHeight="1">
      <c r="A609" s="72" t="s">
        <v>46</v>
      </c>
      <c r="B609" s="75"/>
      <c r="C609" s="75"/>
      <c r="D609" s="75"/>
      <c r="E609" s="4" t="s">
        <v>22</v>
      </c>
      <c r="F609" s="72" t="s">
        <v>47</v>
      </c>
      <c r="G609" s="72"/>
      <c r="H609" s="72" t="s">
        <v>48</v>
      </c>
      <c r="I609" s="72"/>
      <c r="J609" s="72" t="s">
        <v>49</v>
      </c>
      <c r="K609" s="72"/>
      <c r="L609" s="72" t="s">
        <v>50</v>
      </c>
      <c r="M609" s="72"/>
      <c r="T609" s="13"/>
    </row>
    <row r="610" spans="1:20" ht="24.95" customHeight="1">
      <c r="A610" s="10">
        <v>6</v>
      </c>
      <c r="B610" s="66" t="s">
        <v>97</v>
      </c>
      <c r="C610" s="67" t="s">
        <v>51</v>
      </c>
      <c r="D610" s="68" t="s">
        <v>51</v>
      </c>
      <c r="E610" s="4" t="s">
        <v>35</v>
      </c>
      <c r="F610" s="69">
        <v>80</v>
      </c>
      <c r="G610" s="70">
        <v>1261</v>
      </c>
      <c r="H610" s="71">
        <f>H596</f>
        <v>0</v>
      </c>
      <c r="I610" s="71"/>
      <c r="J610" s="71">
        <f>H610+J552</f>
        <v>78</v>
      </c>
      <c r="K610" s="71"/>
      <c r="L610" s="72"/>
      <c r="M610" s="72"/>
      <c r="T610" s="13"/>
    </row>
    <row r="611" spans="1:20" ht="24.95" customHeight="1">
      <c r="A611" s="10">
        <v>7</v>
      </c>
      <c r="B611" s="66" t="s">
        <v>88</v>
      </c>
      <c r="C611" s="67" t="s">
        <v>88</v>
      </c>
      <c r="D611" s="68" t="s">
        <v>88</v>
      </c>
      <c r="E611" s="4" t="s">
        <v>98</v>
      </c>
      <c r="F611" s="69">
        <v>126</v>
      </c>
      <c r="G611" s="70"/>
      <c r="H611" s="71">
        <f>H597</f>
        <v>0</v>
      </c>
      <c r="I611" s="71"/>
      <c r="J611" s="71">
        <f t="shared" ref="J611:J612" si="70">H611+J553</f>
        <v>0</v>
      </c>
      <c r="K611" s="71"/>
      <c r="L611" s="72"/>
      <c r="M611" s="72"/>
      <c r="T611" s="13"/>
    </row>
    <row r="612" spans="1:20" ht="24.95" customHeight="1">
      <c r="A612" s="10">
        <v>8</v>
      </c>
      <c r="B612" s="66" t="s">
        <v>89</v>
      </c>
      <c r="C612" s="67" t="s">
        <v>89</v>
      </c>
      <c r="D612" s="68" t="s">
        <v>89</v>
      </c>
      <c r="E612" s="4" t="s">
        <v>36</v>
      </c>
      <c r="F612" s="69">
        <v>1</v>
      </c>
      <c r="G612" s="70"/>
      <c r="H612" s="71">
        <f>H598</f>
        <v>0</v>
      </c>
      <c r="I612" s="71"/>
      <c r="J612" s="71">
        <f t="shared" si="70"/>
        <v>0.3</v>
      </c>
      <c r="K612" s="71"/>
      <c r="L612" s="72"/>
      <c r="M612" s="72"/>
      <c r="T612" s="13"/>
    </row>
    <row r="613" spans="1:20" ht="24.95" customHeight="1">
      <c r="A613" s="51" t="s">
        <v>52</v>
      </c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3"/>
      <c r="T613" s="13"/>
    </row>
    <row r="614" spans="1:20" ht="24.95" customHeight="1">
      <c r="A614" s="54" t="s">
        <v>53</v>
      </c>
      <c r="B614" s="63"/>
      <c r="C614" s="63"/>
      <c r="D614" s="59"/>
      <c r="E614" s="4" t="s">
        <v>54</v>
      </c>
      <c r="F614" s="54" t="s">
        <v>55</v>
      </c>
      <c r="G614" s="59"/>
      <c r="H614" s="54" t="s">
        <v>56</v>
      </c>
      <c r="I614" s="59"/>
      <c r="J614" s="54" t="s">
        <v>48</v>
      </c>
      <c r="K614" s="59"/>
      <c r="L614" s="64" t="s">
        <v>49</v>
      </c>
      <c r="M614" s="65"/>
      <c r="T614" s="13"/>
    </row>
    <row r="615" spans="1:20" ht="24.95" customHeight="1">
      <c r="A615" s="54" t="s">
        <v>57</v>
      </c>
      <c r="B615" s="55"/>
      <c r="C615" s="55"/>
      <c r="D615" s="56"/>
      <c r="E615" s="4"/>
      <c r="F615" s="57">
        <f>E615+F557</f>
        <v>28</v>
      </c>
      <c r="G615" s="58"/>
      <c r="H615" s="54" t="s">
        <v>58</v>
      </c>
      <c r="I615" s="59"/>
      <c r="J615" s="54"/>
      <c r="K615" s="59"/>
      <c r="L615" s="57">
        <f>J615+L557</f>
        <v>15</v>
      </c>
      <c r="M615" s="58"/>
      <c r="T615" s="13"/>
    </row>
    <row r="616" spans="1:20" ht="24.95" customHeight="1">
      <c r="A616" s="54" t="s">
        <v>59</v>
      </c>
      <c r="B616" s="55"/>
      <c r="C616" s="55"/>
      <c r="D616" s="56"/>
      <c r="E616" s="4"/>
      <c r="F616" s="57">
        <f t="shared" ref="F616:F618" si="71">E616+F558</f>
        <v>0</v>
      </c>
      <c r="G616" s="58"/>
      <c r="H616" s="54" t="s">
        <v>60</v>
      </c>
      <c r="I616" s="59"/>
      <c r="J616" s="54"/>
      <c r="K616" s="59"/>
      <c r="L616" s="57">
        <f t="shared" ref="L616:L618" si="72">J616+L558</f>
        <v>0</v>
      </c>
      <c r="M616" s="58"/>
      <c r="T616" s="13"/>
    </row>
    <row r="617" spans="1:20" ht="24.95" customHeight="1">
      <c r="A617" s="54" t="s">
        <v>61</v>
      </c>
      <c r="B617" s="55"/>
      <c r="C617" s="55"/>
      <c r="D617" s="56"/>
      <c r="E617" s="4"/>
      <c r="F617" s="57">
        <f t="shared" si="71"/>
        <v>2</v>
      </c>
      <c r="G617" s="58"/>
      <c r="H617" s="54" t="s">
        <v>62</v>
      </c>
      <c r="I617" s="59"/>
      <c r="J617" s="54"/>
      <c r="K617" s="59"/>
      <c r="L617" s="57">
        <f t="shared" si="72"/>
        <v>5</v>
      </c>
      <c r="M617" s="58"/>
      <c r="T617" s="13"/>
    </row>
    <row r="618" spans="1:20" ht="24.95" customHeight="1">
      <c r="A618" s="54" t="s">
        <v>63</v>
      </c>
      <c r="B618" s="55"/>
      <c r="C618" s="55"/>
      <c r="D618" s="56"/>
      <c r="E618" s="4"/>
      <c r="F618" s="57">
        <f t="shared" si="71"/>
        <v>4</v>
      </c>
      <c r="G618" s="58"/>
      <c r="H618" s="54" t="s">
        <v>64</v>
      </c>
      <c r="I618" s="59"/>
      <c r="J618" s="54"/>
      <c r="K618" s="59"/>
      <c r="L618" s="57">
        <f t="shared" si="72"/>
        <v>1</v>
      </c>
      <c r="M618" s="58"/>
      <c r="T618" s="13"/>
    </row>
    <row r="619" spans="1:20" ht="64.5" customHeight="1">
      <c r="A619" s="60" t="s">
        <v>65</v>
      </c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2"/>
      <c r="T619" s="13"/>
    </row>
    <row r="620" spans="1:20" ht="24.95" customHeight="1">
      <c r="A620" s="46" t="s">
        <v>66</v>
      </c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8"/>
      <c r="T620" s="13"/>
    </row>
    <row r="621" spans="1:20" ht="24.95" customHeight="1">
      <c r="A621" s="27"/>
      <c r="B621" s="34" t="s">
        <v>67</v>
      </c>
      <c r="C621" s="34"/>
      <c r="D621" s="34"/>
      <c r="E621" s="34"/>
      <c r="F621" s="34"/>
      <c r="G621" s="35"/>
      <c r="H621" s="34"/>
      <c r="I621" s="34"/>
      <c r="J621" s="34"/>
      <c r="K621" s="34"/>
      <c r="L621" s="34"/>
      <c r="M621" s="36"/>
      <c r="T621" s="13"/>
    </row>
    <row r="622" spans="1:20" ht="24.95" customHeight="1">
      <c r="A622" s="27"/>
      <c r="B622" s="34" t="s">
        <v>81</v>
      </c>
      <c r="C622" s="34"/>
      <c r="D622" s="34"/>
      <c r="E622" s="34"/>
      <c r="F622" s="34"/>
      <c r="G622" s="35"/>
      <c r="H622" s="34"/>
      <c r="I622" s="34"/>
      <c r="J622" s="34"/>
      <c r="K622" s="34"/>
      <c r="L622" s="34"/>
      <c r="M622" s="36"/>
      <c r="T622" s="13"/>
    </row>
    <row r="623" spans="1:20" ht="24.95" customHeight="1">
      <c r="A623" s="27"/>
      <c r="B623" s="34" t="s">
        <v>68</v>
      </c>
      <c r="C623" s="34"/>
      <c r="D623" s="34"/>
      <c r="E623" s="34"/>
      <c r="F623" s="34"/>
      <c r="G623" s="35"/>
      <c r="H623" s="34"/>
      <c r="I623" s="34"/>
      <c r="J623" s="34"/>
      <c r="K623" s="34"/>
      <c r="L623" s="34"/>
      <c r="M623" s="36"/>
      <c r="T623" s="13"/>
    </row>
    <row r="624" spans="1:20" ht="24.95" customHeight="1">
      <c r="A624" s="27"/>
      <c r="B624" s="34" t="s">
        <v>82</v>
      </c>
      <c r="C624" s="34"/>
      <c r="D624" s="34"/>
      <c r="E624" s="34"/>
      <c r="F624" s="34"/>
      <c r="G624" s="35"/>
      <c r="H624" s="34"/>
      <c r="I624" s="34"/>
      <c r="J624" s="34"/>
      <c r="K624" s="34"/>
      <c r="L624" s="34"/>
      <c r="M624" s="36"/>
      <c r="T624" s="13"/>
    </row>
    <row r="625" spans="1:20" ht="24.95" customHeight="1">
      <c r="A625" s="27"/>
      <c r="B625" s="34" t="s">
        <v>99</v>
      </c>
      <c r="C625" s="34"/>
      <c r="D625" s="34"/>
      <c r="E625" s="34"/>
      <c r="F625" s="34"/>
      <c r="G625" s="35"/>
      <c r="H625" s="34"/>
      <c r="I625" s="34"/>
      <c r="J625" s="34"/>
      <c r="K625" s="34"/>
      <c r="L625" s="34"/>
      <c r="M625" s="36"/>
      <c r="T625" s="13"/>
    </row>
    <row r="626" spans="1:20" ht="24.95" customHeight="1">
      <c r="A626" s="37"/>
      <c r="B626" s="49" t="s">
        <v>69</v>
      </c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50"/>
      <c r="T626" s="13"/>
    </row>
    <row r="627" spans="1:20" ht="44.25" customHeight="1">
      <c r="A627" s="51" t="s">
        <v>70</v>
      </c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3"/>
      <c r="T627" s="13"/>
    </row>
    <row r="628" spans="1:20" ht="48" customHeight="1">
      <c r="A628" s="51" t="s">
        <v>71</v>
      </c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3"/>
      <c r="T628" s="13"/>
    </row>
    <row r="629" spans="1:20" ht="81" customHeight="1">
      <c r="A629" s="51" t="s">
        <v>80</v>
      </c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3"/>
      <c r="T629" s="13"/>
    </row>
    <row r="630" spans="1:20" ht="100.5" customHeight="1">
      <c r="A630" s="51" t="s">
        <v>72</v>
      </c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3"/>
      <c r="T630" s="13"/>
    </row>
    <row r="631" spans="1:20" ht="12" customHeight="1">
      <c r="A631" s="41" t="s">
        <v>73</v>
      </c>
      <c r="B631" s="41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38"/>
      <c r="T631" s="13"/>
    </row>
    <row r="632" spans="1:20" ht="12" customHeight="1">
      <c r="A632" s="43" t="s">
        <v>74</v>
      </c>
      <c r="B632" s="43"/>
      <c r="C632" s="40"/>
      <c r="D632" s="40"/>
      <c r="E632" s="40"/>
      <c r="F632" s="40"/>
      <c r="G632" s="40"/>
      <c r="H632" s="40"/>
      <c r="I632" s="40"/>
      <c r="J632" s="40"/>
      <c r="K632" s="40"/>
      <c r="L632" s="38"/>
      <c r="M632" s="38"/>
      <c r="T632" s="13"/>
    </row>
    <row r="633" spans="1:20" ht="12" customHeight="1">
      <c r="A633" s="44" t="s">
        <v>75</v>
      </c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T633" s="13"/>
    </row>
    <row r="634" spans="1:20" ht="12" customHeight="1">
      <c r="A634" s="39" t="s">
        <v>76</v>
      </c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T634" s="13"/>
    </row>
    <row r="635" spans="1:20" ht="12" customHeight="1">
      <c r="A635" s="39" t="s">
        <v>77</v>
      </c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T635" s="13"/>
    </row>
    <row r="636" spans="1:20" ht="12" customHeight="1">
      <c r="A636" s="45" t="s">
        <v>78</v>
      </c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T636" s="13"/>
    </row>
    <row r="637" spans="1:20" ht="12" customHeight="1">
      <c r="A637" s="39" t="s">
        <v>79</v>
      </c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T637" s="13"/>
    </row>
    <row r="638" spans="1:20" ht="409.5" customHeight="1"/>
    <row r="639" spans="1:20" s="2" customFormat="1" ht="35.1" customHeight="1">
      <c r="A639" s="126" t="s">
        <v>0</v>
      </c>
      <c r="B639" s="126"/>
      <c r="C639" s="1">
        <f>C581+1</f>
        <v>47</v>
      </c>
      <c r="G639" s="3"/>
    </row>
    <row r="640" spans="1:20" s="2" customFormat="1" ht="35.1" customHeight="1">
      <c r="A640" s="126" t="s">
        <v>1</v>
      </c>
      <c r="B640" s="126"/>
      <c r="C640" s="2" t="s">
        <v>2</v>
      </c>
      <c r="E640" s="2" t="s">
        <v>3</v>
      </c>
      <c r="G640" s="3"/>
      <c r="H640" s="127" t="s">
        <v>4</v>
      </c>
      <c r="I640" s="128"/>
      <c r="J640" s="129">
        <f>J582+1</f>
        <v>46034</v>
      </c>
      <c r="K640" s="130"/>
      <c r="L640" s="131">
        <f>J640</f>
        <v>46034</v>
      </c>
      <c r="M640" s="132"/>
    </row>
    <row r="641" spans="1:20" s="2" customFormat="1" ht="30" customHeight="1">
      <c r="A641" s="72" t="s">
        <v>5</v>
      </c>
      <c r="B641" s="114"/>
      <c r="C641" s="119" t="s">
        <v>83</v>
      </c>
      <c r="D641" s="119"/>
      <c r="E641" s="119"/>
      <c r="F641" s="119"/>
      <c r="G641" s="119"/>
      <c r="H641" s="54" t="s">
        <v>6</v>
      </c>
      <c r="I641" s="59"/>
      <c r="J641" s="120"/>
      <c r="K641" s="120"/>
      <c r="L641" s="120"/>
      <c r="M641" s="120"/>
    </row>
    <row r="642" spans="1:20" s="1" customFormat="1" ht="30" customHeight="1">
      <c r="A642" s="72" t="s">
        <v>7</v>
      </c>
      <c r="B642" s="114"/>
      <c r="C642" s="4">
        <v>50</v>
      </c>
      <c r="D642" s="4" t="s">
        <v>8</v>
      </c>
      <c r="E642" s="4" t="s">
        <v>9</v>
      </c>
      <c r="F642" s="4">
        <f>F584+1</f>
        <v>47</v>
      </c>
      <c r="G642" s="5" t="s">
        <v>8</v>
      </c>
      <c r="H642" s="4" t="s">
        <v>10</v>
      </c>
      <c r="I642" s="4">
        <f>C642-F642+L642</f>
        <v>3</v>
      </c>
      <c r="J642" s="4" t="s">
        <v>11</v>
      </c>
      <c r="K642" s="6" t="s">
        <v>12</v>
      </c>
      <c r="L642" s="7">
        <f>L584</f>
        <v>0</v>
      </c>
      <c r="M642" s="4" t="s">
        <v>8</v>
      </c>
    </row>
    <row r="643" spans="1:20" s="2" customFormat="1" ht="30" customHeight="1">
      <c r="A643" s="72" t="s">
        <v>13</v>
      </c>
      <c r="B643" s="75"/>
      <c r="C643" s="75"/>
      <c r="D643" s="121">
        <f>D585</f>
        <v>45988</v>
      </c>
      <c r="E643" s="122"/>
      <c r="F643" s="122"/>
      <c r="G643" s="123"/>
      <c r="H643" s="124" t="s">
        <v>14</v>
      </c>
      <c r="I643" s="125"/>
      <c r="J643" s="121">
        <f>J585</f>
        <v>46037</v>
      </c>
      <c r="K643" s="122"/>
      <c r="L643" s="122"/>
      <c r="M643" s="123"/>
    </row>
    <row r="644" spans="1:20" s="2" customFormat="1" ht="30" customHeight="1">
      <c r="A644" s="72" t="s">
        <v>15</v>
      </c>
      <c r="B644" s="114"/>
      <c r="C644" s="114"/>
      <c r="D644" s="72">
        <v>7.1529999999999996</v>
      </c>
      <c r="E644" s="72"/>
      <c r="F644" s="72"/>
      <c r="G644" s="72"/>
      <c r="H644" s="64" t="s">
        <v>16</v>
      </c>
      <c r="I644" s="115"/>
      <c r="J644" s="116">
        <f>P660</f>
        <v>0</v>
      </c>
      <c r="K644" s="117"/>
      <c r="L644" s="117"/>
      <c r="M644" s="118"/>
    </row>
    <row r="645" spans="1:20" s="2" customFormat="1" ht="30" customHeight="1">
      <c r="A645" s="72" t="s">
        <v>17</v>
      </c>
      <c r="B645" s="114"/>
      <c r="C645" s="114"/>
      <c r="D645" s="72">
        <f>D644+D587</f>
        <v>78.565000000000026</v>
      </c>
      <c r="E645" s="72"/>
      <c r="F645" s="72"/>
      <c r="G645" s="72"/>
      <c r="H645" s="64" t="s">
        <v>18</v>
      </c>
      <c r="I645" s="115"/>
      <c r="J645" s="116">
        <f>J644+J587</f>
        <v>25.469999999999992</v>
      </c>
      <c r="K645" s="117"/>
      <c r="L645" s="117"/>
      <c r="M645" s="118"/>
    </row>
    <row r="646" spans="1:20" s="2" customFormat="1" ht="30" customHeight="1">
      <c r="A646" s="111" t="s">
        <v>19</v>
      </c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12"/>
      <c r="M646" s="113"/>
    </row>
    <row r="647" spans="1:20" s="2" customFormat="1" ht="30" customHeight="1">
      <c r="A647" s="8" t="s">
        <v>20</v>
      </c>
      <c r="B647" s="72" t="s">
        <v>21</v>
      </c>
      <c r="C647" s="72"/>
      <c r="D647" s="72"/>
      <c r="E647" s="4" t="s">
        <v>22</v>
      </c>
      <c r="F647" s="54" t="s">
        <v>23</v>
      </c>
      <c r="G647" s="59"/>
      <c r="H647" s="72" t="s">
        <v>24</v>
      </c>
      <c r="I647" s="72"/>
      <c r="J647" s="72" t="s">
        <v>25</v>
      </c>
      <c r="K647" s="72"/>
      <c r="L647" s="72" t="s">
        <v>26</v>
      </c>
      <c r="M647" s="72"/>
      <c r="O647" s="1" t="s">
        <v>27</v>
      </c>
      <c r="P647" s="1" t="s">
        <v>28</v>
      </c>
      <c r="T647" s="2" t="s">
        <v>29</v>
      </c>
    </row>
    <row r="648" spans="1:20" s="2" customFormat="1" ht="24.95" customHeight="1">
      <c r="A648" s="9" t="s">
        <v>30</v>
      </c>
      <c r="B648" s="110" t="s">
        <v>31</v>
      </c>
      <c r="C648" s="110"/>
      <c r="D648" s="110"/>
      <c r="E648" s="4"/>
      <c r="F648" s="54"/>
      <c r="G648" s="59"/>
      <c r="H648" s="72"/>
      <c r="I648" s="72"/>
      <c r="J648" s="72"/>
      <c r="K648" s="72"/>
      <c r="L648" s="72"/>
      <c r="M648" s="72"/>
    </row>
    <row r="649" spans="1:20" ht="24.95" customHeight="1">
      <c r="A649" s="10">
        <v>1</v>
      </c>
      <c r="B649" s="66" t="s">
        <v>91</v>
      </c>
      <c r="C649" s="67" t="s">
        <v>91</v>
      </c>
      <c r="D649" s="68" t="s">
        <v>91</v>
      </c>
      <c r="E649" s="4" t="s">
        <v>32</v>
      </c>
      <c r="F649" s="69">
        <v>1</v>
      </c>
      <c r="G649" s="70"/>
      <c r="H649" s="69"/>
      <c r="I649" s="70"/>
      <c r="J649" s="71">
        <f>H649+J591</f>
        <v>1</v>
      </c>
      <c r="K649" s="71"/>
      <c r="L649" s="72"/>
      <c r="M649" s="72"/>
      <c r="O649" s="11">
        <v>4000</v>
      </c>
      <c r="P649" s="11">
        <f>ROUND(H649*O649,0)</f>
        <v>0</v>
      </c>
      <c r="Q649" s="12"/>
      <c r="S649" s="11">
        <f>ROUND(J649*O649,0)</f>
        <v>4000</v>
      </c>
      <c r="T649" s="13">
        <f>F649-J649</f>
        <v>0</v>
      </c>
    </row>
    <row r="650" spans="1:20" ht="24.95" customHeight="1">
      <c r="A650" s="10">
        <v>2</v>
      </c>
      <c r="B650" s="66" t="s">
        <v>92</v>
      </c>
      <c r="C650" s="67" t="s">
        <v>92</v>
      </c>
      <c r="D650" s="68" t="s">
        <v>92</v>
      </c>
      <c r="E650" s="4" t="s">
        <v>32</v>
      </c>
      <c r="F650" s="69">
        <v>1</v>
      </c>
      <c r="G650" s="70"/>
      <c r="H650" s="69"/>
      <c r="I650" s="70"/>
      <c r="J650" s="71">
        <f t="shared" ref="J650:J657" si="73">H650+J592</f>
        <v>1</v>
      </c>
      <c r="K650" s="71"/>
      <c r="L650" s="72"/>
      <c r="M650" s="72"/>
      <c r="O650" s="11">
        <v>14334</v>
      </c>
      <c r="P650" s="11">
        <f t="shared" ref="P650:P657" si="74">ROUND(H650*O650,0)</f>
        <v>0</v>
      </c>
      <c r="Q650" s="12"/>
      <c r="S650" s="11">
        <f t="shared" ref="S650:S657" si="75">ROUND(J650*O650,0)</f>
        <v>14334</v>
      </c>
      <c r="T650" s="13">
        <f t="shared" ref="T650:T657" si="76">F650-J650</f>
        <v>0</v>
      </c>
    </row>
    <row r="651" spans="1:20" ht="24.95" customHeight="1">
      <c r="A651" s="10">
        <v>3</v>
      </c>
      <c r="B651" s="66" t="s">
        <v>84</v>
      </c>
      <c r="C651" s="67" t="s">
        <v>84</v>
      </c>
      <c r="D651" s="68" t="s">
        <v>84</v>
      </c>
      <c r="E651" s="4" t="s">
        <v>33</v>
      </c>
      <c r="F651" s="69">
        <v>1</v>
      </c>
      <c r="G651" s="70"/>
      <c r="H651" s="69"/>
      <c r="I651" s="70"/>
      <c r="J651" s="71">
        <f t="shared" si="73"/>
        <v>0.5</v>
      </c>
      <c r="K651" s="71"/>
      <c r="L651" s="72"/>
      <c r="M651" s="72"/>
      <c r="O651" s="11">
        <v>7000</v>
      </c>
      <c r="P651" s="11">
        <f t="shared" si="74"/>
        <v>0</v>
      </c>
      <c r="Q651" s="12"/>
      <c r="S651" s="11">
        <f t="shared" si="75"/>
        <v>3500</v>
      </c>
      <c r="T651" s="13">
        <f t="shared" si="76"/>
        <v>0.5</v>
      </c>
    </row>
    <row r="652" spans="1:20" ht="24.95" customHeight="1">
      <c r="A652" s="10">
        <v>4</v>
      </c>
      <c r="B652" s="66" t="s">
        <v>85</v>
      </c>
      <c r="C652" s="67" t="s">
        <v>85</v>
      </c>
      <c r="D652" s="68" t="s">
        <v>85</v>
      </c>
      <c r="E652" s="4" t="s">
        <v>34</v>
      </c>
      <c r="F652" s="69">
        <v>1</v>
      </c>
      <c r="G652" s="70"/>
      <c r="H652" s="69"/>
      <c r="I652" s="70"/>
      <c r="J652" s="71">
        <f t="shared" si="73"/>
        <v>1</v>
      </c>
      <c r="K652" s="71"/>
      <c r="L652" s="72"/>
      <c r="M652" s="72"/>
      <c r="O652" s="11">
        <v>74000</v>
      </c>
      <c r="P652" s="11">
        <f t="shared" si="74"/>
        <v>0</v>
      </c>
      <c r="Q652" s="12"/>
      <c r="S652" s="11">
        <f t="shared" si="75"/>
        <v>74000</v>
      </c>
      <c r="T652" s="13">
        <f t="shared" si="76"/>
        <v>0</v>
      </c>
    </row>
    <row r="653" spans="1:20" ht="24.95" customHeight="1">
      <c r="A653" s="10">
        <v>5</v>
      </c>
      <c r="B653" s="66" t="s">
        <v>86</v>
      </c>
      <c r="C653" s="67" t="s">
        <v>86</v>
      </c>
      <c r="D653" s="68" t="s">
        <v>86</v>
      </c>
      <c r="E653" s="4" t="s">
        <v>93</v>
      </c>
      <c r="F653" s="69">
        <v>396</v>
      </c>
      <c r="G653" s="70"/>
      <c r="H653" s="69"/>
      <c r="I653" s="70"/>
      <c r="J653" s="71">
        <f t="shared" si="73"/>
        <v>350</v>
      </c>
      <c r="K653" s="71"/>
      <c r="L653" s="72"/>
      <c r="M653" s="72"/>
      <c r="O653" s="11">
        <v>200</v>
      </c>
      <c r="P653" s="11">
        <f t="shared" si="74"/>
        <v>0</v>
      </c>
      <c r="Q653" s="12"/>
      <c r="S653" s="11">
        <f t="shared" si="75"/>
        <v>70000</v>
      </c>
      <c r="T653" s="13">
        <f t="shared" si="76"/>
        <v>46</v>
      </c>
    </row>
    <row r="654" spans="1:20" ht="24.95" customHeight="1">
      <c r="A654" s="10">
        <v>6</v>
      </c>
      <c r="B654" s="66" t="s">
        <v>97</v>
      </c>
      <c r="C654" s="67" t="s">
        <v>87</v>
      </c>
      <c r="D654" s="68" t="s">
        <v>87</v>
      </c>
      <c r="E654" s="4" t="s">
        <v>35</v>
      </c>
      <c r="F654" s="69">
        <v>80</v>
      </c>
      <c r="G654" s="70">
        <v>183.6</v>
      </c>
      <c r="H654" s="69"/>
      <c r="I654" s="70"/>
      <c r="J654" s="71">
        <f t="shared" si="73"/>
        <v>78</v>
      </c>
      <c r="K654" s="71"/>
      <c r="L654" s="54"/>
      <c r="M654" s="59"/>
      <c r="O654" s="11">
        <v>1463</v>
      </c>
      <c r="P654" s="11">
        <f t="shared" si="74"/>
        <v>0</v>
      </c>
      <c r="S654" s="11">
        <f t="shared" si="75"/>
        <v>114114</v>
      </c>
      <c r="T654" s="13">
        <f t="shared" si="76"/>
        <v>2</v>
      </c>
    </row>
    <row r="655" spans="1:20" ht="24.95" customHeight="1">
      <c r="A655" s="10">
        <v>7</v>
      </c>
      <c r="B655" s="66" t="s">
        <v>88</v>
      </c>
      <c r="C655" s="67" t="s">
        <v>88</v>
      </c>
      <c r="D655" s="68" t="s">
        <v>88</v>
      </c>
      <c r="E655" s="4" t="s">
        <v>94</v>
      </c>
      <c r="F655" s="69">
        <v>126</v>
      </c>
      <c r="G655" s="70">
        <v>19</v>
      </c>
      <c r="H655" s="69"/>
      <c r="I655" s="70"/>
      <c r="J655" s="71">
        <f t="shared" si="73"/>
        <v>0</v>
      </c>
      <c r="K655" s="71"/>
      <c r="L655" s="54"/>
      <c r="M655" s="59"/>
      <c r="O655" s="11">
        <v>6350</v>
      </c>
      <c r="P655" s="11">
        <f t="shared" si="74"/>
        <v>0</v>
      </c>
      <c r="S655" s="11">
        <f t="shared" si="75"/>
        <v>0</v>
      </c>
      <c r="T655" s="13">
        <f t="shared" si="76"/>
        <v>126</v>
      </c>
    </row>
    <row r="656" spans="1:20" ht="24.95" customHeight="1">
      <c r="A656" s="10">
        <v>8</v>
      </c>
      <c r="B656" s="66" t="s">
        <v>89</v>
      </c>
      <c r="C656" s="67" t="s">
        <v>89</v>
      </c>
      <c r="D656" s="68" t="s">
        <v>89</v>
      </c>
      <c r="E656" s="4" t="s">
        <v>95</v>
      </c>
      <c r="F656" s="69">
        <v>1</v>
      </c>
      <c r="G656" s="70">
        <v>1192</v>
      </c>
      <c r="H656" s="69"/>
      <c r="I656" s="70"/>
      <c r="J656" s="71">
        <f t="shared" si="73"/>
        <v>0.3</v>
      </c>
      <c r="K656" s="71"/>
      <c r="L656" s="54"/>
      <c r="M656" s="59"/>
      <c r="O656" s="11">
        <v>47600</v>
      </c>
      <c r="P656" s="11">
        <f t="shared" si="74"/>
        <v>0</v>
      </c>
      <c r="S656" s="11">
        <f t="shared" si="75"/>
        <v>14280</v>
      </c>
      <c r="T656" s="13">
        <f t="shared" si="76"/>
        <v>0.7</v>
      </c>
    </row>
    <row r="657" spans="1:20" ht="24.95" customHeight="1">
      <c r="A657" s="10">
        <v>9</v>
      </c>
      <c r="B657" s="66" t="s">
        <v>90</v>
      </c>
      <c r="C657" s="67" t="s">
        <v>90</v>
      </c>
      <c r="D657" s="68" t="s">
        <v>90</v>
      </c>
      <c r="E657" s="4" t="s">
        <v>96</v>
      </c>
      <c r="F657" s="69">
        <v>1</v>
      </c>
      <c r="G657" s="70">
        <v>1261</v>
      </c>
      <c r="H657" s="69"/>
      <c r="I657" s="70"/>
      <c r="J657" s="71">
        <f t="shared" si="73"/>
        <v>0</v>
      </c>
      <c r="K657" s="71"/>
      <c r="L657" s="54"/>
      <c r="M657" s="59"/>
      <c r="O657" s="11">
        <v>10000</v>
      </c>
      <c r="P657" s="11">
        <f t="shared" si="74"/>
        <v>0</v>
      </c>
      <c r="S657" s="11">
        <f t="shared" si="75"/>
        <v>0</v>
      </c>
      <c r="T657" s="13">
        <f t="shared" si="76"/>
        <v>1</v>
      </c>
    </row>
    <row r="658" spans="1:20" ht="24.95" customHeight="1">
      <c r="A658" s="14"/>
      <c r="B658" s="15"/>
      <c r="C658" s="16"/>
      <c r="D658" s="17"/>
      <c r="E658" s="4"/>
      <c r="F658" s="18"/>
      <c r="G658" s="19"/>
      <c r="H658" s="105"/>
      <c r="I658" s="106"/>
      <c r="J658" s="105"/>
      <c r="K658" s="106"/>
      <c r="L658" s="54"/>
      <c r="M658" s="59"/>
      <c r="N658" s="20"/>
      <c r="P658" s="21" t="s">
        <v>37</v>
      </c>
      <c r="Q658" s="22">
        <f>SUM(P649:P657)</f>
        <v>0</v>
      </c>
      <c r="R658" s="23"/>
      <c r="S658" s="24">
        <f>SUM(S649:S657)</f>
        <v>294228</v>
      </c>
      <c r="T658" s="13"/>
    </row>
    <row r="659" spans="1:20" ht="24.95" customHeight="1">
      <c r="A659" s="107"/>
      <c r="B659" s="108"/>
      <c r="C659" s="108"/>
      <c r="D659" s="109"/>
      <c r="E659" s="4"/>
      <c r="F659" s="54"/>
      <c r="G659" s="59"/>
      <c r="H659" s="72"/>
      <c r="I659" s="72"/>
      <c r="J659" s="72"/>
      <c r="K659" s="72"/>
      <c r="L659" s="72"/>
      <c r="M659" s="72"/>
      <c r="O659" t="s">
        <v>38</v>
      </c>
      <c r="P659" s="24">
        <f>Q658</f>
        <v>0</v>
      </c>
      <c r="T659" s="13"/>
    </row>
    <row r="660" spans="1:20" ht="24.95" customHeight="1">
      <c r="A660" s="97"/>
      <c r="B660" s="98"/>
      <c r="C660" s="98"/>
      <c r="D660" s="99"/>
      <c r="E660" s="4"/>
      <c r="F660" s="54"/>
      <c r="G660" s="59"/>
      <c r="H660" s="72"/>
      <c r="I660" s="72"/>
      <c r="J660" s="72"/>
      <c r="K660" s="72"/>
      <c r="L660" s="72"/>
      <c r="M660" s="72"/>
      <c r="O660" t="s">
        <v>39</v>
      </c>
      <c r="P660" s="23">
        <f>ROUND(P659/1153274,4)*100</f>
        <v>0</v>
      </c>
      <c r="T660" s="13"/>
    </row>
    <row r="661" spans="1:20" ht="24.95" customHeight="1">
      <c r="A661" s="25"/>
      <c r="B661" s="63" t="s">
        <v>40</v>
      </c>
      <c r="C661" s="63"/>
      <c r="D661" s="59"/>
      <c r="E661" s="26"/>
      <c r="F661" s="100"/>
      <c r="G661" s="101"/>
      <c r="H661" s="100"/>
      <c r="I661" s="101"/>
      <c r="J661" s="102"/>
      <c r="K661" s="102"/>
      <c r="L661" s="103">
        <f>P659</f>
        <v>0</v>
      </c>
      <c r="M661" s="104"/>
      <c r="T661" s="13"/>
    </row>
    <row r="662" spans="1:20" ht="24.95" customHeight="1" thickBot="1">
      <c r="A662" s="27"/>
      <c r="B662" s="85" t="s">
        <v>41</v>
      </c>
      <c r="C662" s="85"/>
      <c r="D662" s="86"/>
      <c r="E662" s="28"/>
      <c r="F662" s="87"/>
      <c r="G662" s="88"/>
      <c r="H662" s="87"/>
      <c r="I662" s="88"/>
      <c r="J662" s="87"/>
      <c r="K662" s="88"/>
      <c r="L662" s="89">
        <f>L661+L604</f>
        <v>294228</v>
      </c>
      <c r="M662" s="90"/>
      <c r="T662" s="13"/>
    </row>
    <row r="663" spans="1:20" ht="24.95" customHeight="1">
      <c r="A663" s="29"/>
      <c r="B663" s="91" t="s">
        <v>42</v>
      </c>
      <c r="C663" s="91"/>
      <c r="D663" s="92"/>
      <c r="E663" s="30"/>
      <c r="F663" s="93"/>
      <c r="G663" s="94"/>
      <c r="H663" s="95"/>
      <c r="I663" s="95"/>
      <c r="J663" s="95"/>
      <c r="K663" s="95"/>
      <c r="L663" s="95"/>
      <c r="M663" s="96"/>
      <c r="T663" s="13"/>
    </row>
    <row r="664" spans="1:20" ht="24.95" customHeight="1">
      <c r="A664" s="31"/>
      <c r="B664" s="76" t="s">
        <v>43</v>
      </c>
      <c r="C664" s="76"/>
      <c r="D664" s="77"/>
      <c r="E664" s="4"/>
      <c r="F664" s="54"/>
      <c r="G664" s="59"/>
      <c r="H664" s="72"/>
      <c r="I664" s="72"/>
      <c r="J664" s="72"/>
      <c r="K664" s="72"/>
      <c r="L664" s="72"/>
      <c r="M664" s="78"/>
      <c r="T664" s="13"/>
    </row>
    <row r="665" spans="1:20" ht="24.95" customHeight="1" thickBot="1">
      <c r="A665" s="32"/>
      <c r="B665" s="79" t="s">
        <v>44</v>
      </c>
      <c r="C665" s="79"/>
      <c r="D665" s="80"/>
      <c r="E665" s="33"/>
      <c r="F665" s="81"/>
      <c r="G665" s="82"/>
      <c r="H665" s="83"/>
      <c r="I665" s="83"/>
      <c r="J665" s="83"/>
      <c r="K665" s="83"/>
      <c r="L665" s="83"/>
      <c r="M665" s="84"/>
      <c r="T665" s="13"/>
    </row>
    <row r="666" spans="1:20" ht="24.95" customHeight="1">
      <c r="A666" s="73" t="s">
        <v>45</v>
      </c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T666" s="13"/>
    </row>
    <row r="667" spans="1:20" ht="24.95" customHeight="1">
      <c r="A667" s="72" t="s">
        <v>46</v>
      </c>
      <c r="B667" s="75"/>
      <c r="C667" s="75"/>
      <c r="D667" s="75"/>
      <c r="E667" s="4" t="s">
        <v>22</v>
      </c>
      <c r="F667" s="72" t="s">
        <v>47</v>
      </c>
      <c r="G667" s="72"/>
      <c r="H667" s="72" t="s">
        <v>48</v>
      </c>
      <c r="I667" s="72"/>
      <c r="J667" s="72" t="s">
        <v>49</v>
      </c>
      <c r="K667" s="72"/>
      <c r="L667" s="72" t="s">
        <v>50</v>
      </c>
      <c r="M667" s="72"/>
      <c r="T667" s="13"/>
    </row>
    <row r="668" spans="1:20" ht="24.95" customHeight="1">
      <c r="A668" s="10">
        <v>6</v>
      </c>
      <c r="B668" s="66" t="s">
        <v>97</v>
      </c>
      <c r="C668" s="67" t="s">
        <v>51</v>
      </c>
      <c r="D668" s="68" t="s">
        <v>51</v>
      </c>
      <c r="E668" s="4" t="s">
        <v>35</v>
      </c>
      <c r="F668" s="69">
        <v>80</v>
      </c>
      <c r="G668" s="70">
        <v>1261</v>
      </c>
      <c r="H668" s="71">
        <f>H654</f>
        <v>0</v>
      </c>
      <c r="I668" s="71"/>
      <c r="J668" s="71">
        <f>H668+J610</f>
        <v>78</v>
      </c>
      <c r="K668" s="71"/>
      <c r="L668" s="72"/>
      <c r="M668" s="72"/>
      <c r="T668" s="13"/>
    </row>
    <row r="669" spans="1:20" ht="24.95" customHeight="1">
      <c r="A669" s="10">
        <v>7</v>
      </c>
      <c r="B669" s="66" t="s">
        <v>88</v>
      </c>
      <c r="C669" s="67" t="s">
        <v>88</v>
      </c>
      <c r="D669" s="68" t="s">
        <v>88</v>
      </c>
      <c r="E669" s="4" t="s">
        <v>98</v>
      </c>
      <c r="F669" s="69">
        <v>126</v>
      </c>
      <c r="G669" s="70"/>
      <c r="H669" s="71">
        <f>H655</f>
        <v>0</v>
      </c>
      <c r="I669" s="71"/>
      <c r="J669" s="71">
        <f t="shared" ref="J669:J670" si="77">H669+J611</f>
        <v>0</v>
      </c>
      <c r="K669" s="71"/>
      <c r="L669" s="72"/>
      <c r="M669" s="72"/>
      <c r="T669" s="13"/>
    </row>
    <row r="670" spans="1:20" ht="24.95" customHeight="1">
      <c r="A670" s="10">
        <v>8</v>
      </c>
      <c r="B670" s="66" t="s">
        <v>89</v>
      </c>
      <c r="C670" s="67" t="s">
        <v>89</v>
      </c>
      <c r="D670" s="68" t="s">
        <v>89</v>
      </c>
      <c r="E670" s="4" t="s">
        <v>36</v>
      </c>
      <c r="F670" s="69">
        <v>1</v>
      </c>
      <c r="G670" s="70"/>
      <c r="H670" s="71">
        <f>H656</f>
        <v>0</v>
      </c>
      <c r="I670" s="71"/>
      <c r="J670" s="71">
        <f t="shared" si="77"/>
        <v>0.3</v>
      </c>
      <c r="K670" s="71"/>
      <c r="L670" s="72"/>
      <c r="M670" s="72"/>
      <c r="T670" s="13"/>
    </row>
    <row r="671" spans="1:20" ht="24.95" customHeight="1">
      <c r="A671" s="51" t="s">
        <v>52</v>
      </c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3"/>
      <c r="T671" s="13"/>
    </row>
    <row r="672" spans="1:20" ht="24.95" customHeight="1">
      <c r="A672" s="54" t="s">
        <v>53</v>
      </c>
      <c r="B672" s="63"/>
      <c r="C672" s="63"/>
      <c r="D672" s="59"/>
      <c r="E672" s="4" t="s">
        <v>54</v>
      </c>
      <c r="F672" s="54" t="s">
        <v>55</v>
      </c>
      <c r="G672" s="59"/>
      <c r="H672" s="54" t="s">
        <v>56</v>
      </c>
      <c r="I672" s="59"/>
      <c r="J672" s="54" t="s">
        <v>48</v>
      </c>
      <c r="K672" s="59"/>
      <c r="L672" s="64" t="s">
        <v>49</v>
      </c>
      <c r="M672" s="65"/>
      <c r="T672" s="13"/>
    </row>
    <row r="673" spans="1:20" ht="24.95" customHeight="1">
      <c r="A673" s="54" t="s">
        <v>57</v>
      </c>
      <c r="B673" s="55"/>
      <c r="C673" s="55"/>
      <c r="D673" s="56"/>
      <c r="E673" s="4"/>
      <c r="F673" s="57">
        <f>E673+F615</f>
        <v>28</v>
      </c>
      <c r="G673" s="58"/>
      <c r="H673" s="54" t="s">
        <v>58</v>
      </c>
      <c r="I673" s="59"/>
      <c r="J673" s="54"/>
      <c r="K673" s="59"/>
      <c r="L673" s="57">
        <f>J673+L615</f>
        <v>15</v>
      </c>
      <c r="M673" s="58"/>
      <c r="T673" s="13"/>
    </row>
    <row r="674" spans="1:20" ht="24.95" customHeight="1">
      <c r="A674" s="54" t="s">
        <v>59</v>
      </c>
      <c r="B674" s="55"/>
      <c r="C674" s="55"/>
      <c r="D674" s="56"/>
      <c r="E674" s="4"/>
      <c r="F674" s="57">
        <f t="shared" ref="F674:F676" si="78">E674+F616</f>
        <v>0</v>
      </c>
      <c r="G674" s="58"/>
      <c r="H674" s="54" t="s">
        <v>60</v>
      </c>
      <c r="I674" s="59"/>
      <c r="J674" s="54"/>
      <c r="K674" s="59"/>
      <c r="L674" s="57">
        <f t="shared" ref="L674:L676" si="79">J674+L616</f>
        <v>0</v>
      </c>
      <c r="M674" s="58"/>
      <c r="T674" s="13"/>
    </row>
    <row r="675" spans="1:20" ht="24.95" customHeight="1">
      <c r="A675" s="54" t="s">
        <v>61</v>
      </c>
      <c r="B675" s="55"/>
      <c r="C675" s="55"/>
      <c r="D675" s="56"/>
      <c r="E675" s="4"/>
      <c r="F675" s="57">
        <f t="shared" si="78"/>
        <v>2</v>
      </c>
      <c r="G675" s="58"/>
      <c r="H675" s="54" t="s">
        <v>62</v>
      </c>
      <c r="I675" s="59"/>
      <c r="J675" s="54"/>
      <c r="K675" s="59"/>
      <c r="L675" s="57">
        <f t="shared" si="79"/>
        <v>5</v>
      </c>
      <c r="M675" s="58"/>
      <c r="T675" s="13"/>
    </row>
    <row r="676" spans="1:20" ht="24.95" customHeight="1">
      <c r="A676" s="54" t="s">
        <v>63</v>
      </c>
      <c r="B676" s="55"/>
      <c r="C676" s="55"/>
      <c r="D676" s="56"/>
      <c r="E676" s="4"/>
      <c r="F676" s="57">
        <f t="shared" si="78"/>
        <v>4</v>
      </c>
      <c r="G676" s="58"/>
      <c r="H676" s="54" t="s">
        <v>64</v>
      </c>
      <c r="I676" s="59"/>
      <c r="J676" s="54"/>
      <c r="K676" s="59"/>
      <c r="L676" s="57">
        <f t="shared" si="79"/>
        <v>1</v>
      </c>
      <c r="M676" s="58"/>
      <c r="T676" s="13"/>
    </row>
    <row r="677" spans="1:20" ht="64.5" customHeight="1">
      <c r="A677" s="60" t="s">
        <v>65</v>
      </c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2"/>
      <c r="T677" s="13"/>
    </row>
    <row r="678" spans="1:20" ht="24.95" customHeight="1">
      <c r="A678" s="46" t="s">
        <v>66</v>
      </c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8"/>
      <c r="T678" s="13"/>
    </row>
    <row r="679" spans="1:20" ht="24.95" customHeight="1">
      <c r="A679" s="27"/>
      <c r="B679" s="34" t="s">
        <v>67</v>
      </c>
      <c r="C679" s="34"/>
      <c r="D679" s="34"/>
      <c r="E679" s="34"/>
      <c r="F679" s="34"/>
      <c r="G679" s="35"/>
      <c r="H679" s="34"/>
      <c r="I679" s="34"/>
      <c r="J679" s="34"/>
      <c r="K679" s="34"/>
      <c r="L679" s="34"/>
      <c r="M679" s="36"/>
      <c r="T679" s="13"/>
    </row>
    <row r="680" spans="1:20" ht="24.95" customHeight="1">
      <c r="A680" s="27"/>
      <c r="B680" s="34" t="s">
        <v>81</v>
      </c>
      <c r="C680" s="34"/>
      <c r="D680" s="34"/>
      <c r="E680" s="34"/>
      <c r="F680" s="34"/>
      <c r="G680" s="35"/>
      <c r="H680" s="34"/>
      <c r="I680" s="34"/>
      <c r="J680" s="34"/>
      <c r="K680" s="34"/>
      <c r="L680" s="34"/>
      <c r="M680" s="36"/>
      <c r="T680" s="13"/>
    </row>
    <row r="681" spans="1:20" ht="24.95" customHeight="1">
      <c r="A681" s="27"/>
      <c r="B681" s="34" t="s">
        <v>68</v>
      </c>
      <c r="C681" s="34"/>
      <c r="D681" s="34"/>
      <c r="E681" s="34"/>
      <c r="F681" s="34"/>
      <c r="G681" s="35"/>
      <c r="H681" s="34"/>
      <c r="I681" s="34"/>
      <c r="J681" s="34"/>
      <c r="K681" s="34"/>
      <c r="L681" s="34"/>
      <c r="M681" s="36"/>
      <c r="T681" s="13"/>
    </row>
    <row r="682" spans="1:20" ht="24.95" customHeight="1">
      <c r="A682" s="27"/>
      <c r="B682" s="34" t="s">
        <v>82</v>
      </c>
      <c r="C682" s="34"/>
      <c r="D682" s="34"/>
      <c r="E682" s="34"/>
      <c r="F682" s="34"/>
      <c r="G682" s="35"/>
      <c r="H682" s="34"/>
      <c r="I682" s="34"/>
      <c r="J682" s="34"/>
      <c r="K682" s="34"/>
      <c r="L682" s="34"/>
      <c r="M682" s="36"/>
      <c r="T682" s="13"/>
    </row>
    <row r="683" spans="1:20" ht="24.95" customHeight="1">
      <c r="A683" s="27"/>
      <c r="B683" s="34" t="s">
        <v>99</v>
      </c>
      <c r="C683" s="34"/>
      <c r="D683" s="34"/>
      <c r="E683" s="34"/>
      <c r="F683" s="34"/>
      <c r="G683" s="35"/>
      <c r="H683" s="34"/>
      <c r="I683" s="34"/>
      <c r="J683" s="34"/>
      <c r="K683" s="34"/>
      <c r="L683" s="34"/>
      <c r="M683" s="36"/>
      <c r="T683" s="13"/>
    </row>
    <row r="684" spans="1:20" ht="24.95" customHeight="1">
      <c r="A684" s="37"/>
      <c r="B684" s="49" t="s">
        <v>69</v>
      </c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50"/>
      <c r="T684" s="13"/>
    </row>
    <row r="685" spans="1:20" ht="44.25" customHeight="1">
      <c r="A685" s="51" t="s">
        <v>70</v>
      </c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3"/>
      <c r="T685" s="13"/>
    </row>
    <row r="686" spans="1:20" ht="48" customHeight="1">
      <c r="A686" s="51" t="s">
        <v>71</v>
      </c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3"/>
      <c r="T686" s="13"/>
    </row>
    <row r="687" spans="1:20" ht="81" customHeight="1">
      <c r="A687" s="51" t="s">
        <v>80</v>
      </c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3"/>
      <c r="T687" s="13"/>
    </row>
    <row r="688" spans="1:20" ht="100.5" customHeight="1">
      <c r="A688" s="51" t="s">
        <v>72</v>
      </c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3"/>
      <c r="T688" s="13"/>
    </row>
    <row r="689" spans="1:20" ht="12" customHeight="1">
      <c r="A689" s="41" t="s">
        <v>73</v>
      </c>
      <c r="B689" s="41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38"/>
      <c r="T689" s="13"/>
    </row>
    <row r="690" spans="1:20" ht="12" customHeight="1">
      <c r="A690" s="43" t="s">
        <v>74</v>
      </c>
      <c r="B690" s="43"/>
      <c r="C690" s="40"/>
      <c r="D690" s="40"/>
      <c r="E690" s="40"/>
      <c r="F690" s="40"/>
      <c r="G690" s="40"/>
      <c r="H690" s="40"/>
      <c r="I690" s="40"/>
      <c r="J690" s="40"/>
      <c r="K690" s="40"/>
      <c r="L690" s="38"/>
      <c r="M690" s="38"/>
      <c r="T690" s="13"/>
    </row>
    <row r="691" spans="1:20" ht="12" customHeight="1">
      <c r="A691" s="44" t="s">
        <v>75</v>
      </c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T691" s="13"/>
    </row>
    <row r="692" spans="1:20" ht="12" customHeight="1">
      <c r="A692" s="39" t="s">
        <v>76</v>
      </c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T692" s="13"/>
    </row>
    <row r="693" spans="1:20" ht="12" customHeight="1">
      <c r="A693" s="39" t="s">
        <v>77</v>
      </c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T693" s="13"/>
    </row>
    <row r="694" spans="1:20" ht="12" customHeight="1">
      <c r="A694" s="45" t="s">
        <v>78</v>
      </c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T694" s="13"/>
    </row>
    <row r="695" spans="1:20" ht="12" customHeight="1">
      <c r="A695" s="39" t="s">
        <v>79</v>
      </c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T695" s="13"/>
    </row>
    <row r="696" spans="1:20" ht="409.5" customHeight="1"/>
    <row r="697" spans="1:20" s="2" customFormat="1" ht="35.1" customHeight="1">
      <c r="A697" s="126" t="s">
        <v>0</v>
      </c>
      <c r="B697" s="126"/>
      <c r="C697" s="1">
        <f>C639+1</f>
        <v>48</v>
      </c>
      <c r="G697" s="3"/>
    </row>
    <row r="698" spans="1:20" s="2" customFormat="1" ht="35.1" customHeight="1">
      <c r="A698" s="126" t="s">
        <v>1</v>
      </c>
      <c r="B698" s="126"/>
      <c r="C698" s="2" t="s">
        <v>2</v>
      </c>
      <c r="E698" s="2" t="s">
        <v>3</v>
      </c>
      <c r="G698" s="3"/>
      <c r="H698" s="127" t="s">
        <v>4</v>
      </c>
      <c r="I698" s="128"/>
      <c r="J698" s="129">
        <f>J640+1</f>
        <v>46035</v>
      </c>
      <c r="K698" s="130"/>
      <c r="L698" s="131">
        <f>J698</f>
        <v>46035</v>
      </c>
      <c r="M698" s="132"/>
    </row>
    <row r="699" spans="1:20" s="2" customFormat="1" ht="30" customHeight="1">
      <c r="A699" s="72" t="s">
        <v>5</v>
      </c>
      <c r="B699" s="114"/>
      <c r="C699" s="119" t="s">
        <v>83</v>
      </c>
      <c r="D699" s="119"/>
      <c r="E699" s="119"/>
      <c r="F699" s="119"/>
      <c r="G699" s="119"/>
      <c r="H699" s="54" t="s">
        <v>6</v>
      </c>
      <c r="I699" s="59"/>
      <c r="J699" s="120"/>
      <c r="K699" s="120"/>
      <c r="L699" s="120"/>
      <c r="M699" s="120"/>
    </row>
    <row r="700" spans="1:20" s="1" customFormat="1" ht="30" customHeight="1">
      <c r="A700" s="72" t="s">
        <v>7</v>
      </c>
      <c r="B700" s="114"/>
      <c r="C700" s="4">
        <v>50</v>
      </c>
      <c r="D700" s="4" t="s">
        <v>8</v>
      </c>
      <c r="E700" s="4" t="s">
        <v>9</v>
      </c>
      <c r="F700" s="4">
        <f>F642+1</f>
        <v>48</v>
      </c>
      <c r="G700" s="5" t="s">
        <v>8</v>
      </c>
      <c r="H700" s="4" t="s">
        <v>10</v>
      </c>
      <c r="I700" s="4">
        <f>C700-F700+L700</f>
        <v>2</v>
      </c>
      <c r="J700" s="4" t="s">
        <v>11</v>
      </c>
      <c r="K700" s="6" t="s">
        <v>12</v>
      </c>
      <c r="L700" s="7">
        <f>L642</f>
        <v>0</v>
      </c>
      <c r="M700" s="4" t="s">
        <v>8</v>
      </c>
    </row>
    <row r="701" spans="1:20" s="2" customFormat="1" ht="30" customHeight="1">
      <c r="A701" s="72" t="s">
        <v>13</v>
      </c>
      <c r="B701" s="75"/>
      <c r="C701" s="75"/>
      <c r="D701" s="121">
        <f>D643</f>
        <v>45988</v>
      </c>
      <c r="E701" s="122"/>
      <c r="F701" s="122"/>
      <c r="G701" s="123"/>
      <c r="H701" s="124" t="s">
        <v>14</v>
      </c>
      <c r="I701" s="125"/>
      <c r="J701" s="121">
        <f>J643</f>
        <v>46037</v>
      </c>
      <c r="K701" s="122"/>
      <c r="L701" s="122"/>
      <c r="M701" s="123"/>
    </row>
    <row r="702" spans="1:20" s="2" customFormat="1" ht="30" customHeight="1">
      <c r="A702" s="72" t="s">
        <v>15</v>
      </c>
      <c r="B702" s="114"/>
      <c r="C702" s="114"/>
      <c r="D702" s="72">
        <v>7.1529999999999996</v>
      </c>
      <c r="E702" s="72"/>
      <c r="F702" s="72"/>
      <c r="G702" s="72"/>
      <c r="H702" s="64" t="s">
        <v>16</v>
      </c>
      <c r="I702" s="115"/>
      <c r="J702" s="116">
        <f>P718</f>
        <v>0</v>
      </c>
      <c r="K702" s="117"/>
      <c r="L702" s="117"/>
      <c r="M702" s="118"/>
    </row>
    <row r="703" spans="1:20" s="2" customFormat="1" ht="30" customHeight="1">
      <c r="A703" s="72" t="s">
        <v>17</v>
      </c>
      <c r="B703" s="114"/>
      <c r="C703" s="114"/>
      <c r="D703" s="72">
        <f>D702+D645</f>
        <v>85.718000000000032</v>
      </c>
      <c r="E703" s="72"/>
      <c r="F703" s="72"/>
      <c r="G703" s="72"/>
      <c r="H703" s="64" t="s">
        <v>18</v>
      </c>
      <c r="I703" s="115"/>
      <c r="J703" s="116">
        <f>J702+J645</f>
        <v>25.469999999999992</v>
      </c>
      <c r="K703" s="117"/>
      <c r="L703" s="117"/>
      <c r="M703" s="118"/>
    </row>
    <row r="704" spans="1:20" s="2" customFormat="1" ht="30" customHeight="1">
      <c r="A704" s="111" t="s">
        <v>19</v>
      </c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12"/>
      <c r="M704" s="113"/>
    </row>
    <row r="705" spans="1:20" s="2" customFormat="1" ht="30" customHeight="1">
      <c r="A705" s="8" t="s">
        <v>20</v>
      </c>
      <c r="B705" s="72" t="s">
        <v>21</v>
      </c>
      <c r="C705" s="72"/>
      <c r="D705" s="72"/>
      <c r="E705" s="4" t="s">
        <v>22</v>
      </c>
      <c r="F705" s="54" t="s">
        <v>23</v>
      </c>
      <c r="G705" s="59"/>
      <c r="H705" s="72" t="s">
        <v>24</v>
      </c>
      <c r="I705" s="72"/>
      <c r="J705" s="72" t="s">
        <v>25</v>
      </c>
      <c r="K705" s="72"/>
      <c r="L705" s="72" t="s">
        <v>26</v>
      </c>
      <c r="M705" s="72"/>
      <c r="O705" s="1" t="s">
        <v>27</v>
      </c>
      <c r="P705" s="1" t="s">
        <v>28</v>
      </c>
      <c r="T705" s="2" t="s">
        <v>29</v>
      </c>
    </row>
    <row r="706" spans="1:20" s="2" customFormat="1" ht="24.95" customHeight="1">
      <c r="A706" s="9" t="s">
        <v>30</v>
      </c>
      <c r="B706" s="110" t="s">
        <v>31</v>
      </c>
      <c r="C706" s="110"/>
      <c r="D706" s="110"/>
      <c r="E706" s="4"/>
      <c r="F706" s="54"/>
      <c r="G706" s="59"/>
      <c r="H706" s="72"/>
      <c r="I706" s="72"/>
      <c r="J706" s="72"/>
      <c r="K706" s="72"/>
      <c r="L706" s="72"/>
      <c r="M706" s="72"/>
    </row>
    <row r="707" spans="1:20" ht="24.95" customHeight="1">
      <c r="A707" s="10">
        <v>1</v>
      </c>
      <c r="B707" s="66" t="s">
        <v>91</v>
      </c>
      <c r="C707" s="67" t="s">
        <v>91</v>
      </c>
      <c r="D707" s="68" t="s">
        <v>91</v>
      </c>
      <c r="E707" s="4" t="s">
        <v>32</v>
      </c>
      <c r="F707" s="69">
        <v>1</v>
      </c>
      <c r="G707" s="70"/>
      <c r="H707" s="69"/>
      <c r="I707" s="70"/>
      <c r="J707" s="71">
        <f>H707+J649</f>
        <v>1</v>
      </c>
      <c r="K707" s="71"/>
      <c r="L707" s="72"/>
      <c r="M707" s="72"/>
      <c r="O707" s="11">
        <v>4000</v>
      </c>
      <c r="P707" s="11">
        <f>ROUND(H707*O707,0)</f>
        <v>0</v>
      </c>
      <c r="Q707" s="12"/>
      <c r="S707" s="11">
        <f>ROUND(J707*O707,0)</f>
        <v>4000</v>
      </c>
      <c r="T707" s="13">
        <f>F707-J707</f>
        <v>0</v>
      </c>
    </row>
    <row r="708" spans="1:20" ht="24.95" customHeight="1">
      <c r="A708" s="10">
        <v>2</v>
      </c>
      <c r="B708" s="66" t="s">
        <v>92</v>
      </c>
      <c r="C708" s="67" t="s">
        <v>92</v>
      </c>
      <c r="D708" s="68" t="s">
        <v>92</v>
      </c>
      <c r="E708" s="4" t="s">
        <v>32</v>
      </c>
      <c r="F708" s="69">
        <v>1</v>
      </c>
      <c r="G708" s="70"/>
      <c r="H708" s="69"/>
      <c r="I708" s="70"/>
      <c r="J708" s="71">
        <f t="shared" ref="J708:J715" si="80">H708+J650</f>
        <v>1</v>
      </c>
      <c r="K708" s="71"/>
      <c r="L708" s="72"/>
      <c r="M708" s="72"/>
      <c r="O708" s="11">
        <v>14334</v>
      </c>
      <c r="P708" s="11">
        <f t="shared" ref="P708:P715" si="81">ROUND(H708*O708,0)</f>
        <v>0</v>
      </c>
      <c r="Q708" s="12"/>
      <c r="S708" s="11">
        <f t="shared" ref="S708:S715" si="82">ROUND(J708*O708,0)</f>
        <v>14334</v>
      </c>
      <c r="T708" s="13">
        <f t="shared" ref="T708:T715" si="83">F708-J708</f>
        <v>0</v>
      </c>
    </row>
    <row r="709" spans="1:20" ht="24.95" customHeight="1">
      <c r="A709" s="10">
        <v>3</v>
      </c>
      <c r="B709" s="66" t="s">
        <v>84</v>
      </c>
      <c r="C709" s="67" t="s">
        <v>84</v>
      </c>
      <c r="D709" s="68" t="s">
        <v>84</v>
      </c>
      <c r="E709" s="4" t="s">
        <v>33</v>
      </c>
      <c r="F709" s="69">
        <v>1</v>
      </c>
      <c r="G709" s="70"/>
      <c r="H709" s="69"/>
      <c r="I709" s="70"/>
      <c r="J709" s="71">
        <f t="shared" si="80"/>
        <v>0.5</v>
      </c>
      <c r="K709" s="71"/>
      <c r="L709" s="72"/>
      <c r="M709" s="72"/>
      <c r="O709" s="11">
        <v>7000</v>
      </c>
      <c r="P709" s="11">
        <f t="shared" si="81"/>
        <v>0</v>
      </c>
      <c r="Q709" s="12"/>
      <c r="S709" s="11">
        <f t="shared" si="82"/>
        <v>3500</v>
      </c>
      <c r="T709" s="13">
        <f t="shared" si="83"/>
        <v>0.5</v>
      </c>
    </row>
    <row r="710" spans="1:20" ht="24.95" customHeight="1">
      <c r="A710" s="10">
        <v>4</v>
      </c>
      <c r="B710" s="66" t="s">
        <v>85</v>
      </c>
      <c r="C710" s="67" t="s">
        <v>85</v>
      </c>
      <c r="D710" s="68" t="s">
        <v>85</v>
      </c>
      <c r="E710" s="4" t="s">
        <v>34</v>
      </c>
      <c r="F710" s="69">
        <v>1</v>
      </c>
      <c r="G710" s="70"/>
      <c r="H710" s="69"/>
      <c r="I710" s="70"/>
      <c r="J710" s="71">
        <f t="shared" si="80"/>
        <v>1</v>
      </c>
      <c r="K710" s="71"/>
      <c r="L710" s="72"/>
      <c r="M710" s="72"/>
      <c r="O710" s="11">
        <v>74000</v>
      </c>
      <c r="P710" s="11">
        <f t="shared" si="81"/>
        <v>0</v>
      </c>
      <c r="Q710" s="12"/>
      <c r="S710" s="11">
        <f t="shared" si="82"/>
        <v>74000</v>
      </c>
      <c r="T710" s="13">
        <f t="shared" si="83"/>
        <v>0</v>
      </c>
    </row>
    <row r="711" spans="1:20" ht="24.95" customHeight="1">
      <c r="A711" s="10">
        <v>5</v>
      </c>
      <c r="B711" s="66" t="s">
        <v>86</v>
      </c>
      <c r="C711" s="67" t="s">
        <v>86</v>
      </c>
      <c r="D711" s="68" t="s">
        <v>86</v>
      </c>
      <c r="E711" s="4" t="s">
        <v>93</v>
      </c>
      <c r="F711" s="69">
        <v>396</v>
      </c>
      <c r="G711" s="70"/>
      <c r="H711" s="69"/>
      <c r="I711" s="70"/>
      <c r="J711" s="71">
        <f t="shared" si="80"/>
        <v>350</v>
      </c>
      <c r="K711" s="71"/>
      <c r="L711" s="72"/>
      <c r="M711" s="72"/>
      <c r="O711" s="11">
        <v>200</v>
      </c>
      <c r="P711" s="11">
        <f t="shared" si="81"/>
        <v>0</v>
      </c>
      <c r="Q711" s="12"/>
      <c r="S711" s="11">
        <f t="shared" si="82"/>
        <v>70000</v>
      </c>
      <c r="T711" s="13">
        <f t="shared" si="83"/>
        <v>46</v>
      </c>
    </row>
    <row r="712" spans="1:20" ht="24.95" customHeight="1">
      <c r="A712" s="10">
        <v>6</v>
      </c>
      <c r="B712" s="66" t="s">
        <v>97</v>
      </c>
      <c r="C712" s="67" t="s">
        <v>87</v>
      </c>
      <c r="D712" s="68" t="s">
        <v>87</v>
      </c>
      <c r="E712" s="4" t="s">
        <v>35</v>
      </c>
      <c r="F712" s="69">
        <v>80</v>
      </c>
      <c r="G712" s="70">
        <v>183.6</v>
      </c>
      <c r="H712" s="69"/>
      <c r="I712" s="70"/>
      <c r="J712" s="71">
        <f t="shared" si="80"/>
        <v>78</v>
      </c>
      <c r="K712" s="71"/>
      <c r="L712" s="54"/>
      <c r="M712" s="59"/>
      <c r="O712" s="11">
        <v>1463</v>
      </c>
      <c r="P712" s="11">
        <f t="shared" si="81"/>
        <v>0</v>
      </c>
      <c r="S712" s="11">
        <f t="shared" si="82"/>
        <v>114114</v>
      </c>
      <c r="T712" s="13">
        <f t="shared" si="83"/>
        <v>2</v>
      </c>
    </row>
    <row r="713" spans="1:20" ht="24.95" customHeight="1">
      <c r="A713" s="10">
        <v>7</v>
      </c>
      <c r="B713" s="66" t="s">
        <v>88</v>
      </c>
      <c r="C713" s="67" t="s">
        <v>88</v>
      </c>
      <c r="D713" s="68" t="s">
        <v>88</v>
      </c>
      <c r="E713" s="4" t="s">
        <v>94</v>
      </c>
      <c r="F713" s="69">
        <v>126</v>
      </c>
      <c r="G713" s="70">
        <v>19</v>
      </c>
      <c r="H713" s="69"/>
      <c r="I713" s="70"/>
      <c r="J713" s="71">
        <f t="shared" si="80"/>
        <v>0</v>
      </c>
      <c r="K713" s="71"/>
      <c r="L713" s="54"/>
      <c r="M713" s="59"/>
      <c r="O713" s="11">
        <v>6350</v>
      </c>
      <c r="P713" s="11">
        <f t="shared" si="81"/>
        <v>0</v>
      </c>
      <c r="S713" s="11">
        <f t="shared" si="82"/>
        <v>0</v>
      </c>
      <c r="T713" s="13">
        <f t="shared" si="83"/>
        <v>126</v>
      </c>
    </row>
    <row r="714" spans="1:20" ht="24.95" customHeight="1">
      <c r="A714" s="10">
        <v>8</v>
      </c>
      <c r="B714" s="66" t="s">
        <v>89</v>
      </c>
      <c r="C714" s="67" t="s">
        <v>89</v>
      </c>
      <c r="D714" s="68" t="s">
        <v>89</v>
      </c>
      <c r="E714" s="4" t="s">
        <v>95</v>
      </c>
      <c r="F714" s="69">
        <v>1</v>
      </c>
      <c r="G714" s="70">
        <v>1192</v>
      </c>
      <c r="H714" s="69"/>
      <c r="I714" s="70"/>
      <c r="J714" s="71">
        <f t="shared" si="80"/>
        <v>0.3</v>
      </c>
      <c r="K714" s="71"/>
      <c r="L714" s="54"/>
      <c r="M714" s="59"/>
      <c r="O714" s="11">
        <v>47600</v>
      </c>
      <c r="P714" s="11">
        <f t="shared" si="81"/>
        <v>0</v>
      </c>
      <c r="S714" s="11">
        <f t="shared" si="82"/>
        <v>14280</v>
      </c>
      <c r="T714" s="13">
        <f t="shared" si="83"/>
        <v>0.7</v>
      </c>
    </row>
    <row r="715" spans="1:20" ht="24.95" customHeight="1">
      <c r="A715" s="10">
        <v>9</v>
      </c>
      <c r="B715" s="66" t="s">
        <v>90</v>
      </c>
      <c r="C715" s="67" t="s">
        <v>90</v>
      </c>
      <c r="D715" s="68" t="s">
        <v>90</v>
      </c>
      <c r="E715" s="4" t="s">
        <v>96</v>
      </c>
      <c r="F715" s="69">
        <v>1</v>
      </c>
      <c r="G715" s="70">
        <v>1261</v>
      </c>
      <c r="H715" s="69"/>
      <c r="I715" s="70"/>
      <c r="J715" s="71">
        <f t="shared" si="80"/>
        <v>0</v>
      </c>
      <c r="K715" s="71"/>
      <c r="L715" s="54"/>
      <c r="M715" s="59"/>
      <c r="O715" s="11">
        <v>10000</v>
      </c>
      <c r="P715" s="11">
        <f t="shared" si="81"/>
        <v>0</v>
      </c>
      <c r="S715" s="11">
        <f t="shared" si="82"/>
        <v>0</v>
      </c>
      <c r="T715" s="13">
        <f t="shared" si="83"/>
        <v>1</v>
      </c>
    </row>
    <row r="716" spans="1:20" ht="24.95" customHeight="1">
      <c r="A716" s="14"/>
      <c r="B716" s="15"/>
      <c r="C716" s="16"/>
      <c r="D716" s="17"/>
      <c r="E716" s="4"/>
      <c r="F716" s="18"/>
      <c r="G716" s="19"/>
      <c r="H716" s="105"/>
      <c r="I716" s="106"/>
      <c r="J716" s="105"/>
      <c r="K716" s="106"/>
      <c r="L716" s="54"/>
      <c r="M716" s="59"/>
      <c r="N716" s="20"/>
      <c r="P716" s="21" t="s">
        <v>37</v>
      </c>
      <c r="Q716" s="22">
        <f>SUM(P707:P715)</f>
        <v>0</v>
      </c>
      <c r="R716" s="23"/>
      <c r="S716" s="24">
        <f>SUM(S707:S715)</f>
        <v>294228</v>
      </c>
      <c r="T716" s="13"/>
    </row>
    <row r="717" spans="1:20" ht="24.95" customHeight="1">
      <c r="A717" s="107"/>
      <c r="B717" s="108"/>
      <c r="C717" s="108"/>
      <c r="D717" s="109"/>
      <c r="E717" s="4"/>
      <c r="F717" s="54"/>
      <c r="G717" s="59"/>
      <c r="H717" s="72"/>
      <c r="I717" s="72"/>
      <c r="J717" s="72"/>
      <c r="K717" s="72"/>
      <c r="L717" s="72"/>
      <c r="M717" s="72"/>
      <c r="O717" t="s">
        <v>38</v>
      </c>
      <c r="P717" s="24">
        <f>Q716</f>
        <v>0</v>
      </c>
      <c r="T717" s="13"/>
    </row>
    <row r="718" spans="1:20" ht="24.95" customHeight="1">
      <c r="A718" s="97"/>
      <c r="B718" s="98"/>
      <c r="C718" s="98"/>
      <c r="D718" s="99"/>
      <c r="E718" s="4"/>
      <c r="F718" s="54"/>
      <c r="G718" s="59"/>
      <c r="H718" s="72"/>
      <c r="I718" s="72"/>
      <c r="J718" s="72"/>
      <c r="K718" s="72"/>
      <c r="L718" s="72"/>
      <c r="M718" s="72"/>
      <c r="O718" t="s">
        <v>39</v>
      </c>
      <c r="P718" s="23">
        <f>ROUND(P717/1153274,4)*100</f>
        <v>0</v>
      </c>
      <c r="T718" s="13"/>
    </row>
    <row r="719" spans="1:20" ht="24.95" customHeight="1">
      <c r="A719" s="25"/>
      <c r="B719" s="63" t="s">
        <v>40</v>
      </c>
      <c r="C719" s="63"/>
      <c r="D719" s="59"/>
      <c r="E719" s="26"/>
      <c r="F719" s="100"/>
      <c r="G719" s="101"/>
      <c r="H719" s="100"/>
      <c r="I719" s="101"/>
      <c r="J719" s="102"/>
      <c r="K719" s="102"/>
      <c r="L719" s="103">
        <f>P717</f>
        <v>0</v>
      </c>
      <c r="M719" s="104"/>
      <c r="T719" s="13"/>
    </row>
    <row r="720" spans="1:20" ht="24.95" customHeight="1" thickBot="1">
      <c r="A720" s="27"/>
      <c r="B720" s="85" t="s">
        <v>41</v>
      </c>
      <c r="C720" s="85"/>
      <c r="D720" s="86"/>
      <c r="E720" s="28"/>
      <c r="F720" s="87"/>
      <c r="G720" s="88"/>
      <c r="H720" s="87"/>
      <c r="I720" s="88"/>
      <c r="J720" s="87"/>
      <c r="K720" s="88"/>
      <c r="L720" s="89">
        <f>L719+L662</f>
        <v>294228</v>
      </c>
      <c r="M720" s="90"/>
      <c r="T720" s="13"/>
    </row>
    <row r="721" spans="1:20" ht="24.95" customHeight="1">
      <c r="A721" s="29"/>
      <c r="B721" s="91" t="s">
        <v>42</v>
      </c>
      <c r="C721" s="91"/>
      <c r="D721" s="92"/>
      <c r="E721" s="30"/>
      <c r="F721" s="93"/>
      <c r="G721" s="94"/>
      <c r="H721" s="95"/>
      <c r="I721" s="95"/>
      <c r="J721" s="95"/>
      <c r="K721" s="95"/>
      <c r="L721" s="95"/>
      <c r="M721" s="96"/>
      <c r="T721" s="13"/>
    </row>
    <row r="722" spans="1:20" ht="24.95" customHeight="1">
      <c r="A722" s="31"/>
      <c r="B722" s="76" t="s">
        <v>43</v>
      </c>
      <c r="C722" s="76"/>
      <c r="D722" s="77"/>
      <c r="E722" s="4"/>
      <c r="F722" s="54"/>
      <c r="G722" s="59"/>
      <c r="H722" s="72"/>
      <c r="I722" s="72"/>
      <c r="J722" s="72"/>
      <c r="K722" s="72"/>
      <c r="L722" s="72"/>
      <c r="M722" s="78"/>
      <c r="T722" s="13"/>
    </row>
    <row r="723" spans="1:20" ht="24.95" customHeight="1" thickBot="1">
      <c r="A723" s="32"/>
      <c r="B723" s="79" t="s">
        <v>44</v>
      </c>
      <c r="C723" s="79"/>
      <c r="D723" s="80"/>
      <c r="E723" s="33"/>
      <c r="F723" s="81"/>
      <c r="G723" s="82"/>
      <c r="H723" s="83"/>
      <c r="I723" s="83"/>
      <c r="J723" s="83"/>
      <c r="K723" s="83"/>
      <c r="L723" s="83"/>
      <c r="M723" s="84"/>
      <c r="T723" s="13"/>
    </row>
    <row r="724" spans="1:20" ht="24.95" customHeight="1">
      <c r="A724" s="73" t="s">
        <v>45</v>
      </c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T724" s="13"/>
    </row>
    <row r="725" spans="1:20" ht="24.95" customHeight="1">
      <c r="A725" s="72" t="s">
        <v>46</v>
      </c>
      <c r="B725" s="75"/>
      <c r="C725" s="75"/>
      <c r="D725" s="75"/>
      <c r="E725" s="4" t="s">
        <v>22</v>
      </c>
      <c r="F725" s="72" t="s">
        <v>47</v>
      </c>
      <c r="G725" s="72"/>
      <c r="H725" s="72" t="s">
        <v>48</v>
      </c>
      <c r="I725" s="72"/>
      <c r="J725" s="72" t="s">
        <v>49</v>
      </c>
      <c r="K725" s="72"/>
      <c r="L725" s="72" t="s">
        <v>50</v>
      </c>
      <c r="M725" s="72"/>
      <c r="T725" s="13"/>
    </row>
    <row r="726" spans="1:20" ht="24.95" customHeight="1">
      <c r="A726" s="10">
        <v>6</v>
      </c>
      <c r="B726" s="66" t="s">
        <v>97</v>
      </c>
      <c r="C726" s="67" t="s">
        <v>51</v>
      </c>
      <c r="D726" s="68" t="s">
        <v>51</v>
      </c>
      <c r="E726" s="4" t="s">
        <v>35</v>
      </c>
      <c r="F726" s="69">
        <v>80</v>
      </c>
      <c r="G726" s="70">
        <v>1261</v>
      </c>
      <c r="H726" s="71">
        <f>H712</f>
        <v>0</v>
      </c>
      <c r="I726" s="71"/>
      <c r="J726" s="71">
        <f>H726+J668</f>
        <v>78</v>
      </c>
      <c r="K726" s="71"/>
      <c r="L726" s="72"/>
      <c r="M726" s="72"/>
      <c r="T726" s="13"/>
    </row>
    <row r="727" spans="1:20" ht="24.95" customHeight="1">
      <c r="A727" s="10">
        <v>7</v>
      </c>
      <c r="B727" s="66" t="s">
        <v>88</v>
      </c>
      <c r="C727" s="67" t="s">
        <v>88</v>
      </c>
      <c r="D727" s="68" t="s">
        <v>88</v>
      </c>
      <c r="E727" s="4" t="s">
        <v>98</v>
      </c>
      <c r="F727" s="69">
        <v>126</v>
      </c>
      <c r="G727" s="70"/>
      <c r="H727" s="71">
        <f>H713</f>
        <v>0</v>
      </c>
      <c r="I727" s="71"/>
      <c r="J727" s="71">
        <f t="shared" ref="J727:J728" si="84">H727+J669</f>
        <v>0</v>
      </c>
      <c r="K727" s="71"/>
      <c r="L727" s="72"/>
      <c r="M727" s="72"/>
      <c r="T727" s="13"/>
    </row>
    <row r="728" spans="1:20" ht="24.95" customHeight="1">
      <c r="A728" s="10">
        <v>8</v>
      </c>
      <c r="B728" s="66" t="s">
        <v>89</v>
      </c>
      <c r="C728" s="67" t="s">
        <v>89</v>
      </c>
      <c r="D728" s="68" t="s">
        <v>89</v>
      </c>
      <c r="E728" s="4" t="s">
        <v>36</v>
      </c>
      <c r="F728" s="69">
        <v>1</v>
      </c>
      <c r="G728" s="70"/>
      <c r="H728" s="71">
        <f>H714</f>
        <v>0</v>
      </c>
      <c r="I728" s="71"/>
      <c r="J728" s="71">
        <f t="shared" si="84"/>
        <v>0.3</v>
      </c>
      <c r="K728" s="71"/>
      <c r="L728" s="72"/>
      <c r="M728" s="72"/>
      <c r="T728" s="13"/>
    </row>
    <row r="729" spans="1:20" ht="24.95" customHeight="1">
      <c r="A729" s="51" t="s">
        <v>52</v>
      </c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3"/>
      <c r="T729" s="13"/>
    </row>
    <row r="730" spans="1:20" ht="24.95" customHeight="1">
      <c r="A730" s="54" t="s">
        <v>53</v>
      </c>
      <c r="B730" s="63"/>
      <c r="C730" s="63"/>
      <c r="D730" s="59"/>
      <c r="E730" s="4" t="s">
        <v>54</v>
      </c>
      <c r="F730" s="54" t="s">
        <v>55</v>
      </c>
      <c r="G730" s="59"/>
      <c r="H730" s="54" t="s">
        <v>56</v>
      </c>
      <c r="I730" s="59"/>
      <c r="J730" s="54" t="s">
        <v>48</v>
      </c>
      <c r="K730" s="59"/>
      <c r="L730" s="64" t="s">
        <v>49</v>
      </c>
      <c r="M730" s="65"/>
      <c r="T730" s="13"/>
    </row>
    <row r="731" spans="1:20" ht="24.95" customHeight="1">
      <c r="A731" s="54" t="s">
        <v>57</v>
      </c>
      <c r="B731" s="55"/>
      <c r="C731" s="55"/>
      <c r="D731" s="56"/>
      <c r="E731" s="4"/>
      <c r="F731" s="57">
        <f>E731+F673</f>
        <v>28</v>
      </c>
      <c r="G731" s="58"/>
      <c r="H731" s="54" t="s">
        <v>58</v>
      </c>
      <c r="I731" s="59"/>
      <c r="J731" s="54"/>
      <c r="K731" s="59"/>
      <c r="L731" s="57">
        <f>J731+L673</f>
        <v>15</v>
      </c>
      <c r="M731" s="58"/>
      <c r="T731" s="13"/>
    </row>
    <row r="732" spans="1:20" ht="24.95" customHeight="1">
      <c r="A732" s="54" t="s">
        <v>59</v>
      </c>
      <c r="B732" s="55"/>
      <c r="C732" s="55"/>
      <c r="D732" s="56"/>
      <c r="E732" s="4"/>
      <c r="F732" s="57">
        <f t="shared" ref="F732:F734" si="85">E732+F674</f>
        <v>0</v>
      </c>
      <c r="G732" s="58"/>
      <c r="H732" s="54" t="s">
        <v>60</v>
      </c>
      <c r="I732" s="59"/>
      <c r="J732" s="54"/>
      <c r="K732" s="59"/>
      <c r="L732" s="57">
        <f t="shared" ref="L732:L734" si="86">J732+L674</f>
        <v>0</v>
      </c>
      <c r="M732" s="58"/>
      <c r="T732" s="13"/>
    </row>
    <row r="733" spans="1:20" ht="24.95" customHeight="1">
      <c r="A733" s="54" t="s">
        <v>61</v>
      </c>
      <c r="B733" s="55"/>
      <c r="C733" s="55"/>
      <c r="D733" s="56"/>
      <c r="E733" s="4"/>
      <c r="F733" s="57">
        <f t="shared" si="85"/>
        <v>2</v>
      </c>
      <c r="G733" s="58"/>
      <c r="H733" s="54" t="s">
        <v>62</v>
      </c>
      <c r="I733" s="59"/>
      <c r="J733" s="54"/>
      <c r="K733" s="59"/>
      <c r="L733" s="57">
        <f t="shared" si="86"/>
        <v>5</v>
      </c>
      <c r="M733" s="58"/>
      <c r="T733" s="13"/>
    </row>
    <row r="734" spans="1:20" ht="24.95" customHeight="1">
      <c r="A734" s="54" t="s">
        <v>63</v>
      </c>
      <c r="B734" s="55"/>
      <c r="C734" s="55"/>
      <c r="D734" s="56"/>
      <c r="E734" s="4"/>
      <c r="F734" s="57">
        <f t="shared" si="85"/>
        <v>4</v>
      </c>
      <c r="G734" s="58"/>
      <c r="H734" s="54" t="s">
        <v>64</v>
      </c>
      <c r="I734" s="59"/>
      <c r="J734" s="54"/>
      <c r="K734" s="59"/>
      <c r="L734" s="57">
        <f t="shared" si="86"/>
        <v>1</v>
      </c>
      <c r="M734" s="58"/>
      <c r="T734" s="13"/>
    </row>
    <row r="735" spans="1:20" ht="64.5" customHeight="1">
      <c r="A735" s="60" t="s">
        <v>65</v>
      </c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2"/>
      <c r="T735" s="13"/>
    </row>
    <row r="736" spans="1:20" ht="24.95" customHeight="1">
      <c r="A736" s="46" t="s">
        <v>66</v>
      </c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8"/>
      <c r="T736" s="13"/>
    </row>
    <row r="737" spans="1:20" ht="24.95" customHeight="1">
      <c r="A737" s="27"/>
      <c r="B737" s="34" t="s">
        <v>67</v>
      </c>
      <c r="C737" s="34"/>
      <c r="D737" s="34"/>
      <c r="E737" s="34"/>
      <c r="F737" s="34"/>
      <c r="G737" s="35"/>
      <c r="H737" s="34"/>
      <c r="I737" s="34"/>
      <c r="J737" s="34"/>
      <c r="K737" s="34"/>
      <c r="L737" s="34"/>
      <c r="M737" s="36"/>
      <c r="T737" s="13"/>
    </row>
    <row r="738" spans="1:20" ht="24.95" customHeight="1">
      <c r="A738" s="27"/>
      <c r="B738" s="34" t="s">
        <v>81</v>
      </c>
      <c r="C738" s="34"/>
      <c r="D738" s="34"/>
      <c r="E738" s="34"/>
      <c r="F738" s="34"/>
      <c r="G738" s="35"/>
      <c r="H738" s="34"/>
      <c r="I738" s="34"/>
      <c r="J738" s="34"/>
      <c r="K738" s="34"/>
      <c r="L738" s="34"/>
      <c r="M738" s="36"/>
      <c r="T738" s="13"/>
    </row>
    <row r="739" spans="1:20" ht="24.95" customHeight="1">
      <c r="A739" s="27"/>
      <c r="B739" s="34" t="s">
        <v>68</v>
      </c>
      <c r="C739" s="34"/>
      <c r="D739" s="34"/>
      <c r="E739" s="34"/>
      <c r="F739" s="34"/>
      <c r="G739" s="35"/>
      <c r="H739" s="34"/>
      <c r="I739" s="34"/>
      <c r="J739" s="34"/>
      <c r="K739" s="34"/>
      <c r="L739" s="34"/>
      <c r="M739" s="36"/>
      <c r="T739" s="13"/>
    </row>
    <row r="740" spans="1:20" ht="24.95" customHeight="1">
      <c r="A740" s="27"/>
      <c r="B740" s="34" t="s">
        <v>82</v>
      </c>
      <c r="C740" s="34"/>
      <c r="D740" s="34"/>
      <c r="E740" s="34"/>
      <c r="F740" s="34"/>
      <c r="G740" s="35"/>
      <c r="H740" s="34"/>
      <c r="I740" s="34"/>
      <c r="J740" s="34"/>
      <c r="K740" s="34"/>
      <c r="L740" s="34"/>
      <c r="M740" s="36"/>
      <c r="T740" s="13"/>
    </row>
    <row r="741" spans="1:20" ht="24.95" customHeight="1">
      <c r="A741" s="27"/>
      <c r="B741" s="34" t="s">
        <v>99</v>
      </c>
      <c r="C741" s="34"/>
      <c r="D741" s="34"/>
      <c r="E741" s="34"/>
      <c r="F741" s="34"/>
      <c r="G741" s="35"/>
      <c r="H741" s="34"/>
      <c r="I741" s="34"/>
      <c r="J741" s="34"/>
      <c r="K741" s="34"/>
      <c r="L741" s="34"/>
      <c r="M741" s="36"/>
      <c r="T741" s="13"/>
    </row>
    <row r="742" spans="1:20" ht="24.95" customHeight="1">
      <c r="A742" s="37"/>
      <c r="B742" s="49" t="s">
        <v>69</v>
      </c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50"/>
      <c r="T742" s="13"/>
    </row>
    <row r="743" spans="1:20" ht="44.25" customHeight="1">
      <c r="A743" s="51" t="s">
        <v>70</v>
      </c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3"/>
      <c r="T743" s="13"/>
    </row>
    <row r="744" spans="1:20" ht="48" customHeight="1">
      <c r="A744" s="51" t="s">
        <v>71</v>
      </c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3"/>
      <c r="T744" s="13"/>
    </row>
    <row r="745" spans="1:20" ht="81" customHeight="1">
      <c r="A745" s="51" t="s">
        <v>80</v>
      </c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3"/>
      <c r="T745" s="13"/>
    </row>
    <row r="746" spans="1:20" ht="100.5" customHeight="1">
      <c r="A746" s="51" t="s">
        <v>72</v>
      </c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3"/>
      <c r="T746" s="13"/>
    </row>
    <row r="747" spans="1:20" ht="12" customHeight="1">
      <c r="A747" s="41" t="s">
        <v>73</v>
      </c>
      <c r="B747" s="41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38"/>
      <c r="T747" s="13"/>
    </row>
    <row r="748" spans="1:20" ht="12" customHeight="1">
      <c r="A748" s="43" t="s">
        <v>74</v>
      </c>
      <c r="B748" s="43"/>
      <c r="C748" s="40"/>
      <c r="D748" s="40"/>
      <c r="E748" s="40"/>
      <c r="F748" s="40"/>
      <c r="G748" s="40"/>
      <c r="H748" s="40"/>
      <c r="I748" s="40"/>
      <c r="J748" s="40"/>
      <c r="K748" s="40"/>
      <c r="L748" s="38"/>
      <c r="M748" s="38"/>
      <c r="T748" s="13"/>
    </row>
    <row r="749" spans="1:20" ht="12" customHeight="1">
      <c r="A749" s="44" t="s">
        <v>75</v>
      </c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T749" s="13"/>
    </row>
    <row r="750" spans="1:20" ht="12" customHeight="1">
      <c r="A750" s="39" t="s">
        <v>76</v>
      </c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T750" s="13"/>
    </row>
    <row r="751" spans="1:20" ht="12" customHeight="1">
      <c r="A751" s="39" t="s">
        <v>77</v>
      </c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T751" s="13"/>
    </row>
    <row r="752" spans="1:20" ht="12" customHeight="1">
      <c r="A752" s="45" t="s">
        <v>78</v>
      </c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T752" s="13"/>
    </row>
    <row r="753" spans="1:20" ht="12" customHeight="1">
      <c r="A753" s="39" t="s">
        <v>79</v>
      </c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T753" s="13"/>
    </row>
    <row r="754" spans="1:20" ht="409.5" customHeight="1"/>
    <row r="755" spans="1:20" s="2" customFormat="1" ht="35.1" customHeight="1">
      <c r="A755" s="126" t="s">
        <v>0</v>
      </c>
      <c r="B755" s="126"/>
      <c r="C755" s="1">
        <f>C697+1</f>
        <v>49</v>
      </c>
      <c r="G755" s="3"/>
    </row>
    <row r="756" spans="1:20" s="2" customFormat="1" ht="35.1" customHeight="1">
      <c r="A756" s="126" t="s">
        <v>1</v>
      </c>
      <c r="B756" s="126"/>
      <c r="C756" s="2" t="s">
        <v>2</v>
      </c>
      <c r="E756" s="2" t="s">
        <v>3</v>
      </c>
      <c r="G756" s="3"/>
      <c r="H756" s="127" t="s">
        <v>4</v>
      </c>
      <c r="I756" s="128"/>
      <c r="J756" s="129">
        <f>J698+1</f>
        <v>46036</v>
      </c>
      <c r="K756" s="130"/>
      <c r="L756" s="131">
        <f>J756</f>
        <v>46036</v>
      </c>
      <c r="M756" s="132"/>
    </row>
    <row r="757" spans="1:20" s="2" customFormat="1" ht="30" customHeight="1">
      <c r="A757" s="72" t="s">
        <v>5</v>
      </c>
      <c r="B757" s="114"/>
      <c r="C757" s="119" t="s">
        <v>83</v>
      </c>
      <c r="D757" s="119"/>
      <c r="E757" s="119"/>
      <c r="F757" s="119"/>
      <c r="G757" s="119"/>
      <c r="H757" s="54" t="s">
        <v>6</v>
      </c>
      <c r="I757" s="59"/>
      <c r="J757" s="120"/>
      <c r="K757" s="120"/>
      <c r="L757" s="120"/>
      <c r="M757" s="120"/>
    </row>
    <row r="758" spans="1:20" s="1" customFormat="1" ht="30" customHeight="1">
      <c r="A758" s="72" t="s">
        <v>7</v>
      </c>
      <c r="B758" s="114"/>
      <c r="C758" s="4">
        <v>50</v>
      </c>
      <c r="D758" s="4" t="s">
        <v>8</v>
      </c>
      <c r="E758" s="4" t="s">
        <v>9</v>
      </c>
      <c r="F758" s="4">
        <f>F700+1</f>
        <v>49</v>
      </c>
      <c r="G758" s="5" t="s">
        <v>8</v>
      </c>
      <c r="H758" s="4" t="s">
        <v>10</v>
      </c>
      <c r="I758" s="4">
        <f>C758-F758+L758</f>
        <v>1</v>
      </c>
      <c r="J758" s="4" t="s">
        <v>11</v>
      </c>
      <c r="K758" s="6" t="s">
        <v>12</v>
      </c>
      <c r="L758" s="7">
        <f>L700</f>
        <v>0</v>
      </c>
      <c r="M758" s="4" t="s">
        <v>8</v>
      </c>
    </row>
    <row r="759" spans="1:20" s="2" customFormat="1" ht="30" customHeight="1">
      <c r="A759" s="72" t="s">
        <v>13</v>
      </c>
      <c r="B759" s="75"/>
      <c r="C759" s="75"/>
      <c r="D759" s="121">
        <f>D701</f>
        <v>45988</v>
      </c>
      <c r="E759" s="122"/>
      <c r="F759" s="122"/>
      <c r="G759" s="123"/>
      <c r="H759" s="124" t="s">
        <v>14</v>
      </c>
      <c r="I759" s="125"/>
      <c r="J759" s="121">
        <f>J701</f>
        <v>46037</v>
      </c>
      <c r="K759" s="122"/>
      <c r="L759" s="122"/>
      <c r="M759" s="123"/>
    </row>
    <row r="760" spans="1:20" s="2" customFormat="1" ht="30" customHeight="1">
      <c r="A760" s="72" t="s">
        <v>15</v>
      </c>
      <c r="B760" s="114"/>
      <c r="C760" s="114"/>
      <c r="D760" s="72">
        <v>7.1529999999999996</v>
      </c>
      <c r="E760" s="72"/>
      <c r="F760" s="72"/>
      <c r="G760" s="72"/>
      <c r="H760" s="64" t="s">
        <v>16</v>
      </c>
      <c r="I760" s="115"/>
      <c r="J760" s="116">
        <f>P776</f>
        <v>0</v>
      </c>
      <c r="K760" s="117"/>
      <c r="L760" s="117"/>
      <c r="M760" s="118"/>
    </row>
    <row r="761" spans="1:20" s="2" customFormat="1" ht="30" customHeight="1">
      <c r="A761" s="72" t="s">
        <v>17</v>
      </c>
      <c r="B761" s="114"/>
      <c r="C761" s="114"/>
      <c r="D761" s="72">
        <f>D760+D703</f>
        <v>92.871000000000038</v>
      </c>
      <c r="E761" s="72"/>
      <c r="F761" s="72"/>
      <c r="G761" s="72"/>
      <c r="H761" s="64" t="s">
        <v>18</v>
      </c>
      <c r="I761" s="115"/>
      <c r="J761" s="116">
        <f>J760+J703</f>
        <v>25.469999999999992</v>
      </c>
      <c r="K761" s="117"/>
      <c r="L761" s="117"/>
      <c r="M761" s="118"/>
    </row>
    <row r="762" spans="1:20" s="2" customFormat="1" ht="30" customHeight="1">
      <c r="A762" s="111" t="s">
        <v>19</v>
      </c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12"/>
      <c r="M762" s="113"/>
    </row>
    <row r="763" spans="1:20" s="2" customFormat="1" ht="30" customHeight="1">
      <c r="A763" s="8" t="s">
        <v>20</v>
      </c>
      <c r="B763" s="72" t="s">
        <v>21</v>
      </c>
      <c r="C763" s="72"/>
      <c r="D763" s="72"/>
      <c r="E763" s="4" t="s">
        <v>22</v>
      </c>
      <c r="F763" s="54" t="s">
        <v>23</v>
      </c>
      <c r="G763" s="59"/>
      <c r="H763" s="72" t="s">
        <v>24</v>
      </c>
      <c r="I763" s="72"/>
      <c r="J763" s="72" t="s">
        <v>25</v>
      </c>
      <c r="K763" s="72"/>
      <c r="L763" s="72" t="s">
        <v>26</v>
      </c>
      <c r="M763" s="72"/>
      <c r="O763" s="1" t="s">
        <v>27</v>
      </c>
      <c r="P763" s="1" t="s">
        <v>28</v>
      </c>
      <c r="T763" s="2" t="s">
        <v>29</v>
      </c>
    </row>
    <row r="764" spans="1:20" s="2" customFormat="1" ht="24.95" customHeight="1">
      <c r="A764" s="9" t="s">
        <v>30</v>
      </c>
      <c r="B764" s="110" t="s">
        <v>31</v>
      </c>
      <c r="C764" s="110"/>
      <c r="D764" s="110"/>
      <c r="E764" s="4"/>
      <c r="F764" s="54"/>
      <c r="G764" s="59"/>
      <c r="H764" s="72"/>
      <c r="I764" s="72"/>
      <c r="J764" s="72"/>
      <c r="K764" s="72"/>
      <c r="L764" s="72"/>
      <c r="M764" s="72"/>
    </row>
    <row r="765" spans="1:20" ht="24.95" customHeight="1">
      <c r="A765" s="10">
        <v>1</v>
      </c>
      <c r="B765" s="66" t="s">
        <v>91</v>
      </c>
      <c r="C765" s="67" t="s">
        <v>91</v>
      </c>
      <c r="D765" s="68" t="s">
        <v>91</v>
      </c>
      <c r="E765" s="4" t="s">
        <v>32</v>
      </c>
      <c r="F765" s="69">
        <v>1</v>
      </c>
      <c r="G765" s="70"/>
      <c r="H765" s="69"/>
      <c r="I765" s="70"/>
      <c r="J765" s="71">
        <f>H765+J707</f>
        <v>1</v>
      </c>
      <c r="K765" s="71"/>
      <c r="L765" s="72"/>
      <c r="M765" s="72"/>
      <c r="O765" s="11">
        <v>4000</v>
      </c>
      <c r="P765" s="11">
        <f>ROUND(H765*O765,0)</f>
        <v>0</v>
      </c>
      <c r="Q765" s="12"/>
      <c r="S765" s="11">
        <f>ROUND(J765*O765,0)</f>
        <v>4000</v>
      </c>
      <c r="T765" s="13">
        <f>F765-J765</f>
        <v>0</v>
      </c>
    </row>
    <row r="766" spans="1:20" ht="24.95" customHeight="1">
      <c r="A766" s="10">
        <v>2</v>
      </c>
      <c r="B766" s="66" t="s">
        <v>92</v>
      </c>
      <c r="C766" s="67" t="s">
        <v>92</v>
      </c>
      <c r="D766" s="68" t="s">
        <v>92</v>
      </c>
      <c r="E766" s="4" t="s">
        <v>32</v>
      </c>
      <c r="F766" s="69">
        <v>1</v>
      </c>
      <c r="G766" s="70"/>
      <c r="H766" s="69"/>
      <c r="I766" s="70"/>
      <c r="J766" s="71">
        <f t="shared" ref="J766:J773" si="87">H766+J708</f>
        <v>1</v>
      </c>
      <c r="K766" s="71"/>
      <c r="L766" s="72"/>
      <c r="M766" s="72"/>
      <c r="O766" s="11">
        <v>14334</v>
      </c>
      <c r="P766" s="11">
        <f t="shared" ref="P766:P773" si="88">ROUND(H766*O766,0)</f>
        <v>0</v>
      </c>
      <c r="Q766" s="12"/>
      <c r="S766" s="11">
        <f t="shared" ref="S766:S773" si="89">ROUND(J766*O766,0)</f>
        <v>14334</v>
      </c>
      <c r="T766" s="13">
        <f t="shared" ref="T766:T773" si="90">F766-J766</f>
        <v>0</v>
      </c>
    </row>
    <row r="767" spans="1:20" ht="24.95" customHeight="1">
      <c r="A767" s="10">
        <v>3</v>
      </c>
      <c r="B767" s="66" t="s">
        <v>84</v>
      </c>
      <c r="C767" s="67" t="s">
        <v>84</v>
      </c>
      <c r="D767" s="68" t="s">
        <v>84</v>
      </c>
      <c r="E767" s="4" t="s">
        <v>33</v>
      </c>
      <c r="F767" s="69">
        <v>1</v>
      </c>
      <c r="G767" s="70"/>
      <c r="H767" s="69"/>
      <c r="I767" s="70"/>
      <c r="J767" s="71">
        <f t="shared" si="87"/>
        <v>0.5</v>
      </c>
      <c r="K767" s="71"/>
      <c r="L767" s="72"/>
      <c r="M767" s="72"/>
      <c r="O767" s="11">
        <v>7000</v>
      </c>
      <c r="P767" s="11">
        <f t="shared" si="88"/>
        <v>0</v>
      </c>
      <c r="Q767" s="12"/>
      <c r="S767" s="11">
        <f t="shared" si="89"/>
        <v>3500</v>
      </c>
      <c r="T767" s="13">
        <f t="shared" si="90"/>
        <v>0.5</v>
      </c>
    </row>
    <row r="768" spans="1:20" ht="24.95" customHeight="1">
      <c r="A768" s="10">
        <v>4</v>
      </c>
      <c r="B768" s="66" t="s">
        <v>85</v>
      </c>
      <c r="C768" s="67" t="s">
        <v>85</v>
      </c>
      <c r="D768" s="68" t="s">
        <v>85</v>
      </c>
      <c r="E768" s="4" t="s">
        <v>34</v>
      </c>
      <c r="F768" s="69">
        <v>1</v>
      </c>
      <c r="G768" s="70"/>
      <c r="H768" s="69"/>
      <c r="I768" s="70"/>
      <c r="J768" s="71">
        <f t="shared" si="87"/>
        <v>1</v>
      </c>
      <c r="K768" s="71"/>
      <c r="L768" s="72"/>
      <c r="M768" s="72"/>
      <c r="O768" s="11">
        <v>74000</v>
      </c>
      <c r="P768" s="11">
        <f t="shared" si="88"/>
        <v>0</v>
      </c>
      <c r="Q768" s="12"/>
      <c r="S768" s="11">
        <f t="shared" si="89"/>
        <v>74000</v>
      </c>
      <c r="T768" s="13">
        <f t="shared" si="90"/>
        <v>0</v>
      </c>
    </row>
    <row r="769" spans="1:20" ht="24.95" customHeight="1">
      <c r="A769" s="10">
        <v>5</v>
      </c>
      <c r="B769" s="66" t="s">
        <v>86</v>
      </c>
      <c r="C769" s="67" t="s">
        <v>86</v>
      </c>
      <c r="D769" s="68" t="s">
        <v>86</v>
      </c>
      <c r="E769" s="4" t="s">
        <v>93</v>
      </c>
      <c r="F769" s="69">
        <v>396</v>
      </c>
      <c r="G769" s="70"/>
      <c r="H769" s="69"/>
      <c r="I769" s="70"/>
      <c r="J769" s="71">
        <f t="shared" si="87"/>
        <v>350</v>
      </c>
      <c r="K769" s="71"/>
      <c r="L769" s="72"/>
      <c r="M769" s="72"/>
      <c r="O769" s="11">
        <v>200</v>
      </c>
      <c r="P769" s="11">
        <f t="shared" si="88"/>
        <v>0</v>
      </c>
      <c r="Q769" s="12"/>
      <c r="S769" s="11">
        <f t="shared" si="89"/>
        <v>70000</v>
      </c>
      <c r="T769" s="13">
        <f t="shared" si="90"/>
        <v>46</v>
      </c>
    </row>
    <row r="770" spans="1:20" ht="24.95" customHeight="1">
      <c r="A770" s="10">
        <v>6</v>
      </c>
      <c r="B770" s="66" t="s">
        <v>97</v>
      </c>
      <c r="C770" s="67" t="s">
        <v>87</v>
      </c>
      <c r="D770" s="68" t="s">
        <v>87</v>
      </c>
      <c r="E770" s="4" t="s">
        <v>35</v>
      </c>
      <c r="F770" s="69">
        <v>80</v>
      </c>
      <c r="G770" s="70">
        <v>183.6</v>
      </c>
      <c r="H770" s="69"/>
      <c r="I770" s="70"/>
      <c r="J770" s="71">
        <f t="shared" si="87"/>
        <v>78</v>
      </c>
      <c r="K770" s="71"/>
      <c r="L770" s="54"/>
      <c r="M770" s="59"/>
      <c r="O770" s="11">
        <v>1463</v>
      </c>
      <c r="P770" s="11">
        <f t="shared" si="88"/>
        <v>0</v>
      </c>
      <c r="S770" s="11">
        <f t="shared" si="89"/>
        <v>114114</v>
      </c>
      <c r="T770" s="13">
        <f t="shared" si="90"/>
        <v>2</v>
      </c>
    </row>
    <row r="771" spans="1:20" ht="24.95" customHeight="1">
      <c r="A771" s="10">
        <v>7</v>
      </c>
      <c r="B771" s="66" t="s">
        <v>88</v>
      </c>
      <c r="C771" s="67" t="s">
        <v>88</v>
      </c>
      <c r="D771" s="68" t="s">
        <v>88</v>
      </c>
      <c r="E771" s="4" t="s">
        <v>94</v>
      </c>
      <c r="F771" s="69">
        <v>126</v>
      </c>
      <c r="G771" s="70">
        <v>19</v>
      </c>
      <c r="H771" s="69"/>
      <c r="I771" s="70"/>
      <c r="J771" s="71">
        <f t="shared" si="87"/>
        <v>0</v>
      </c>
      <c r="K771" s="71"/>
      <c r="L771" s="54"/>
      <c r="M771" s="59"/>
      <c r="O771" s="11">
        <v>6350</v>
      </c>
      <c r="P771" s="11">
        <f t="shared" si="88"/>
        <v>0</v>
      </c>
      <c r="S771" s="11">
        <f t="shared" si="89"/>
        <v>0</v>
      </c>
      <c r="T771" s="13">
        <f t="shared" si="90"/>
        <v>126</v>
      </c>
    </row>
    <row r="772" spans="1:20" ht="24.95" customHeight="1">
      <c r="A772" s="10">
        <v>8</v>
      </c>
      <c r="B772" s="66" t="s">
        <v>89</v>
      </c>
      <c r="C772" s="67" t="s">
        <v>89</v>
      </c>
      <c r="D772" s="68" t="s">
        <v>89</v>
      </c>
      <c r="E772" s="4" t="s">
        <v>95</v>
      </c>
      <c r="F772" s="69">
        <v>1</v>
      </c>
      <c r="G772" s="70">
        <v>1192</v>
      </c>
      <c r="H772" s="69"/>
      <c r="I772" s="70"/>
      <c r="J772" s="71">
        <f t="shared" si="87"/>
        <v>0.3</v>
      </c>
      <c r="K772" s="71"/>
      <c r="L772" s="54"/>
      <c r="M772" s="59"/>
      <c r="O772" s="11">
        <v>47600</v>
      </c>
      <c r="P772" s="11">
        <f t="shared" si="88"/>
        <v>0</v>
      </c>
      <c r="S772" s="11">
        <f t="shared" si="89"/>
        <v>14280</v>
      </c>
      <c r="T772" s="13">
        <f t="shared" si="90"/>
        <v>0.7</v>
      </c>
    </row>
    <row r="773" spans="1:20" ht="24.95" customHeight="1">
      <c r="A773" s="10">
        <v>9</v>
      </c>
      <c r="B773" s="66" t="s">
        <v>90</v>
      </c>
      <c r="C773" s="67" t="s">
        <v>90</v>
      </c>
      <c r="D773" s="68" t="s">
        <v>90</v>
      </c>
      <c r="E773" s="4" t="s">
        <v>96</v>
      </c>
      <c r="F773" s="69">
        <v>1</v>
      </c>
      <c r="G773" s="70">
        <v>1261</v>
      </c>
      <c r="H773" s="69"/>
      <c r="I773" s="70"/>
      <c r="J773" s="71">
        <f t="shared" si="87"/>
        <v>0</v>
      </c>
      <c r="K773" s="71"/>
      <c r="L773" s="54"/>
      <c r="M773" s="59"/>
      <c r="O773" s="11">
        <v>10000</v>
      </c>
      <c r="P773" s="11">
        <f t="shared" si="88"/>
        <v>0</v>
      </c>
      <c r="S773" s="11">
        <f t="shared" si="89"/>
        <v>0</v>
      </c>
      <c r="T773" s="13">
        <f t="shared" si="90"/>
        <v>1</v>
      </c>
    </row>
    <row r="774" spans="1:20" ht="24.95" customHeight="1">
      <c r="A774" s="14"/>
      <c r="B774" s="15"/>
      <c r="C774" s="16"/>
      <c r="D774" s="17"/>
      <c r="E774" s="4"/>
      <c r="F774" s="18"/>
      <c r="G774" s="19"/>
      <c r="H774" s="105"/>
      <c r="I774" s="106"/>
      <c r="J774" s="105"/>
      <c r="K774" s="106"/>
      <c r="L774" s="54"/>
      <c r="M774" s="59"/>
      <c r="N774" s="20"/>
      <c r="P774" s="21" t="s">
        <v>37</v>
      </c>
      <c r="Q774" s="22">
        <f>SUM(P765:P773)</f>
        <v>0</v>
      </c>
      <c r="R774" s="23"/>
      <c r="S774" s="24">
        <f>SUM(S765:S773)</f>
        <v>294228</v>
      </c>
      <c r="T774" s="13"/>
    </row>
    <row r="775" spans="1:20" ht="24.95" customHeight="1">
      <c r="A775" s="107"/>
      <c r="B775" s="108"/>
      <c r="C775" s="108"/>
      <c r="D775" s="109"/>
      <c r="E775" s="4"/>
      <c r="F775" s="54"/>
      <c r="G775" s="59"/>
      <c r="H775" s="72"/>
      <c r="I775" s="72"/>
      <c r="J775" s="72"/>
      <c r="K775" s="72"/>
      <c r="L775" s="72"/>
      <c r="M775" s="72"/>
      <c r="O775" t="s">
        <v>38</v>
      </c>
      <c r="P775" s="24">
        <f>Q774</f>
        <v>0</v>
      </c>
      <c r="T775" s="13"/>
    </row>
    <row r="776" spans="1:20" ht="24.95" customHeight="1">
      <c r="A776" s="97"/>
      <c r="B776" s="98"/>
      <c r="C776" s="98"/>
      <c r="D776" s="99"/>
      <c r="E776" s="4"/>
      <c r="F776" s="54"/>
      <c r="G776" s="59"/>
      <c r="H776" s="72"/>
      <c r="I776" s="72"/>
      <c r="J776" s="72"/>
      <c r="K776" s="72"/>
      <c r="L776" s="72"/>
      <c r="M776" s="72"/>
      <c r="O776" t="s">
        <v>39</v>
      </c>
      <c r="P776" s="23">
        <f>ROUND(P775/1153274,4)*100</f>
        <v>0</v>
      </c>
      <c r="T776" s="13"/>
    </row>
    <row r="777" spans="1:20" ht="24.95" customHeight="1">
      <c r="A777" s="25"/>
      <c r="B777" s="63" t="s">
        <v>40</v>
      </c>
      <c r="C777" s="63"/>
      <c r="D777" s="59"/>
      <c r="E777" s="26"/>
      <c r="F777" s="100"/>
      <c r="G777" s="101"/>
      <c r="H777" s="100"/>
      <c r="I777" s="101"/>
      <c r="J777" s="102"/>
      <c r="K777" s="102"/>
      <c r="L777" s="103">
        <f>P775</f>
        <v>0</v>
      </c>
      <c r="M777" s="104"/>
      <c r="T777" s="13"/>
    </row>
    <row r="778" spans="1:20" ht="24.95" customHeight="1" thickBot="1">
      <c r="A778" s="27"/>
      <c r="B778" s="85" t="s">
        <v>41</v>
      </c>
      <c r="C778" s="85"/>
      <c r="D778" s="86"/>
      <c r="E778" s="28"/>
      <c r="F778" s="87"/>
      <c r="G778" s="88"/>
      <c r="H778" s="87"/>
      <c r="I778" s="88"/>
      <c r="J778" s="87"/>
      <c r="K778" s="88"/>
      <c r="L778" s="89">
        <f>L777+L720</f>
        <v>294228</v>
      </c>
      <c r="M778" s="90"/>
      <c r="T778" s="13"/>
    </row>
    <row r="779" spans="1:20" ht="24.95" customHeight="1">
      <c r="A779" s="29"/>
      <c r="B779" s="91" t="s">
        <v>42</v>
      </c>
      <c r="C779" s="91"/>
      <c r="D779" s="92"/>
      <c r="E779" s="30"/>
      <c r="F779" s="93"/>
      <c r="G779" s="94"/>
      <c r="H779" s="95"/>
      <c r="I779" s="95"/>
      <c r="J779" s="95"/>
      <c r="K779" s="95"/>
      <c r="L779" s="95"/>
      <c r="M779" s="96"/>
      <c r="T779" s="13"/>
    </row>
    <row r="780" spans="1:20" ht="24.95" customHeight="1">
      <c r="A780" s="31"/>
      <c r="B780" s="76" t="s">
        <v>43</v>
      </c>
      <c r="C780" s="76"/>
      <c r="D780" s="77"/>
      <c r="E780" s="4"/>
      <c r="F780" s="54"/>
      <c r="G780" s="59"/>
      <c r="H780" s="72"/>
      <c r="I780" s="72"/>
      <c r="J780" s="72"/>
      <c r="K780" s="72"/>
      <c r="L780" s="72"/>
      <c r="M780" s="78"/>
      <c r="T780" s="13"/>
    </row>
    <row r="781" spans="1:20" ht="24.95" customHeight="1" thickBot="1">
      <c r="A781" s="32"/>
      <c r="B781" s="79" t="s">
        <v>44</v>
      </c>
      <c r="C781" s="79"/>
      <c r="D781" s="80"/>
      <c r="E781" s="33"/>
      <c r="F781" s="81"/>
      <c r="G781" s="82"/>
      <c r="H781" s="83"/>
      <c r="I781" s="83"/>
      <c r="J781" s="83"/>
      <c r="K781" s="83"/>
      <c r="L781" s="83"/>
      <c r="M781" s="84"/>
      <c r="T781" s="13"/>
    </row>
    <row r="782" spans="1:20" ht="24.95" customHeight="1">
      <c r="A782" s="73" t="s">
        <v>45</v>
      </c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T782" s="13"/>
    </row>
    <row r="783" spans="1:20" ht="24.95" customHeight="1">
      <c r="A783" s="72" t="s">
        <v>46</v>
      </c>
      <c r="B783" s="75"/>
      <c r="C783" s="75"/>
      <c r="D783" s="75"/>
      <c r="E783" s="4" t="s">
        <v>22</v>
      </c>
      <c r="F783" s="72" t="s">
        <v>47</v>
      </c>
      <c r="G783" s="72"/>
      <c r="H783" s="72" t="s">
        <v>48</v>
      </c>
      <c r="I783" s="72"/>
      <c r="J783" s="72" t="s">
        <v>49</v>
      </c>
      <c r="K783" s="72"/>
      <c r="L783" s="72" t="s">
        <v>50</v>
      </c>
      <c r="M783" s="72"/>
      <c r="T783" s="13"/>
    </row>
    <row r="784" spans="1:20" ht="24.95" customHeight="1">
      <c r="A784" s="10">
        <v>6</v>
      </c>
      <c r="B784" s="66" t="s">
        <v>97</v>
      </c>
      <c r="C784" s="67" t="s">
        <v>51</v>
      </c>
      <c r="D784" s="68" t="s">
        <v>51</v>
      </c>
      <c r="E784" s="4" t="s">
        <v>35</v>
      </c>
      <c r="F784" s="69">
        <v>80</v>
      </c>
      <c r="G784" s="70">
        <v>1261</v>
      </c>
      <c r="H784" s="71">
        <f>H770</f>
        <v>0</v>
      </c>
      <c r="I784" s="71"/>
      <c r="J784" s="71">
        <f>H784+J726</f>
        <v>78</v>
      </c>
      <c r="K784" s="71"/>
      <c r="L784" s="72"/>
      <c r="M784" s="72"/>
      <c r="T784" s="13"/>
    </row>
    <row r="785" spans="1:20" ht="24.95" customHeight="1">
      <c r="A785" s="10">
        <v>7</v>
      </c>
      <c r="B785" s="66" t="s">
        <v>88</v>
      </c>
      <c r="C785" s="67" t="s">
        <v>88</v>
      </c>
      <c r="D785" s="68" t="s">
        <v>88</v>
      </c>
      <c r="E785" s="4" t="s">
        <v>98</v>
      </c>
      <c r="F785" s="69">
        <v>126</v>
      </c>
      <c r="G785" s="70"/>
      <c r="H785" s="71">
        <f>H771</f>
        <v>0</v>
      </c>
      <c r="I785" s="71"/>
      <c r="J785" s="71">
        <f t="shared" ref="J785:J786" si="91">H785+J727</f>
        <v>0</v>
      </c>
      <c r="K785" s="71"/>
      <c r="L785" s="72"/>
      <c r="M785" s="72"/>
      <c r="T785" s="13"/>
    </row>
    <row r="786" spans="1:20" ht="24.95" customHeight="1">
      <c r="A786" s="10">
        <v>8</v>
      </c>
      <c r="B786" s="66" t="s">
        <v>89</v>
      </c>
      <c r="C786" s="67" t="s">
        <v>89</v>
      </c>
      <c r="D786" s="68" t="s">
        <v>89</v>
      </c>
      <c r="E786" s="4" t="s">
        <v>36</v>
      </c>
      <c r="F786" s="69">
        <v>1</v>
      </c>
      <c r="G786" s="70"/>
      <c r="H786" s="71">
        <f>H772</f>
        <v>0</v>
      </c>
      <c r="I786" s="71"/>
      <c r="J786" s="71">
        <f t="shared" si="91"/>
        <v>0.3</v>
      </c>
      <c r="K786" s="71"/>
      <c r="L786" s="72"/>
      <c r="M786" s="72"/>
      <c r="T786" s="13"/>
    </row>
    <row r="787" spans="1:20" ht="24.95" customHeight="1">
      <c r="A787" s="51" t="s">
        <v>52</v>
      </c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3"/>
      <c r="T787" s="13"/>
    </row>
    <row r="788" spans="1:20" ht="24.95" customHeight="1">
      <c r="A788" s="54" t="s">
        <v>53</v>
      </c>
      <c r="B788" s="63"/>
      <c r="C788" s="63"/>
      <c r="D788" s="59"/>
      <c r="E788" s="4" t="s">
        <v>54</v>
      </c>
      <c r="F788" s="54" t="s">
        <v>55</v>
      </c>
      <c r="G788" s="59"/>
      <c r="H788" s="54" t="s">
        <v>56</v>
      </c>
      <c r="I788" s="59"/>
      <c r="J788" s="54" t="s">
        <v>48</v>
      </c>
      <c r="K788" s="59"/>
      <c r="L788" s="64" t="s">
        <v>49</v>
      </c>
      <c r="M788" s="65"/>
      <c r="T788" s="13"/>
    </row>
    <row r="789" spans="1:20" ht="24.95" customHeight="1">
      <c r="A789" s="54" t="s">
        <v>57</v>
      </c>
      <c r="B789" s="55"/>
      <c r="C789" s="55"/>
      <c r="D789" s="56"/>
      <c r="E789" s="4"/>
      <c r="F789" s="57">
        <f>E789+F731</f>
        <v>28</v>
      </c>
      <c r="G789" s="58"/>
      <c r="H789" s="54" t="s">
        <v>58</v>
      </c>
      <c r="I789" s="59"/>
      <c r="J789" s="54"/>
      <c r="K789" s="59"/>
      <c r="L789" s="57">
        <f>J789+L731</f>
        <v>15</v>
      </c>
      <c r="M789" s="58"/>
      <c r="T789" s="13"/>
    </row>
    <row r="790" spans="1:20" ht="24.95" customHeight="1">
      <c r="A790" s="54" t="s">
        <v>59</v>
      </c>
      <c r="B790" s="55"/>
      <c r="C790" s="55"/>
      <c r="D790" s="56"/>
      <c r="E790" s="4"/>
      <c r="F790" s="57">
        <f t="shared" ref="F790:F792" si="92">E790+F732</f>
        <v>0</v>
      </c>
      <c r="G790" s="58"/>
      <c r="H790" s="54" t="s">
        <v>60</v>
      </c>
      <c r="I790" s="59"/>
      <c r="J790" s="54"/>
      <c r="K790" s="59"/>
      <c r="L790" s="57">
        <f t="shared" ref="L790:L792" si="93">J790+L732</f>
        <v>0</v>
      </c>
      <c r="M790" s="58"/>
      <c r="T790" s="13"/>
    </row>
    <row r="791" spans="1:20" ht="24.95" customHeight="1">
      <c r="A791" s="54" t="s">
        <v>61</v>
      </c>
      <c r="B791" s="55"/>
      <c r="C791" s="55"/>
      <c r="D791" s="56"/>
      <c r="E791" s="4"/>
      <c r="F791" s="57">
        <f t="shared" si="92"/>
        <v>2</v>
      </c>
      <c r="G791" s="58"/>
      <c r="H791" s="54" t="s">
        <v>62</v>
      </c>
      <c r="I791" s="59"/>
      <c r="J791" s="54"/>
      <c r="K791" s="59"/>
      <c r="L791" s="57">
        <f t="shared" si="93"/>
        <v>5</v>
      </c>
      <c r="M791" s="58"/>
      <c r="T791" s="13"/>
    </row>
    <row r="792" spans="1:20" ht="24.95" customHeight="1">
      <c r="A792" s="54" t="s">
        <v>63</v>
      </c>
      <c r="B792" s="55"/>
      <c r="C792" s="55"/>
      <c r="D792" s="56"/>
      <c r="E792" s="4"/>
      <c r="F792" s="57">
        <f t="shared" si="92"/>
        <v>4</v>
      </c>
      <c r="G792" s="58"/>
      <c r="H792" s="54" t="s">
        <v>64</v>
      </c>
      <c r="I792" s="59"/>
      <c r="J792" s="54"/>
      <c r="K792" s="59"/>
      <c r="L792" s="57">
        <f t="shared" si="93"/>
        <v>1</v>
      </c>
      <c r="M792" s="58"/>
      <c r="T792" s="13"/>
    </row>
    <row r="793" spans="1:20" ht="64.5" customHeight="1">
      <c r="A793" s="60" t="s">
        <v>65</v>
      </c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2"/>
      <c r="T793" s="13"/>
    </row>
    <row r="794" spans="1:20" ht="24.95" customHeight="1">
      <c r="A794" s="46" t="s">
        <v>66</v>
      </c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8"/>
      <c r="T794" s="13"/>
    </row>
    <row r="795" spans="1:20" ht="24.95" customHeight="1">
      <c r="A795" s="27"/>
      <c r="B795" s="34" t="s">
        <v>67</v>
      </c>
      <c r="C795" s="34"/>
      <c r="D795" s="34"/>
      <c r="E795" s="34"/>
      <c r="F795" s="34"/>
      <c r="G795" s="35"/>
      <c r="H795" s="34"/>
      <c r="I795" s="34"/>
      <c r="J795" s="34"/>
      <c r="K795" s="34"/>
      <c r="L795" s="34"/>
      <c r="M795" s="36"/>
      <c r="T795" s="13"/>
    </row>
    <row r="796" spans="1:20" ht="24.95" customHeight="1">
      <c r="A796" s="27"/>
      <c r="B796" s="34" t="s">
        <v>81</v>
      </c>
      <c r="C796" s="34"/>
      <c r="D796" s="34"/>
      <c r="E796" s="34"/>
      <c r="F796" s="34"/>
      <c r="G796" s="35"/>
      <c r="H796" s="34"/>
      <c r="I796" s="34"/>
      <c r="J796" s="34"/>
      <c r="K796" s="34"/>
      <c r="L796" s="34"/>
      <c r="M796" s="36"/>
      <c r="T796" s="13"/>
    </row>
    <row r="797" spans="1:20" ht="24.95" customHeight="1">
      <c r="A797" s="27"/>
      <c r="B797" s="34" t="s">
        <v>68</v>
      </c>
      <c r="C797" s="34"/>
      <c r="D797" s="34"/>
      <c r="E797" s="34"/>
      <c r="F797" s="34"/>
      <c r="G797" s="35"/>
      <c r="H797" s="34"/>
      <c r="I797" s="34"/>
      <c r="J797" s="34"/>
      <c r="K797" s="34"/>
      <c r="L797" s="34"/>
      <c r="M797" s="36"/>
      <c r="T797" s="13"/>
    </row>
    <row r="798" spans="1:20" ht="24.95" customHeight="1">
      <c r="A798" s="27"/>
      <c r="B798" s="34" t="s">
        <v>82</v>
      </c>
      <c r="C798" s="34"/>
      <c r="D798" s="34"/>
      <c r="E798" s="34"/>
      <c r="F798" s="34"/>
      <c r="G798" s="35"/>
      <c r="H798" s="34"/>
      <c r="I798" s="34"/>
      <c r="J798" s="34"/>
      <c r="K798" s="34"/>
      <c r="L798" s="34"/>
      <c r="M798" s="36"/>
      <c r="T798" s="13"/>
    </row>
    <row r="799" spans="1:20" ht="24.95" customHeight="1">
      <c r="A799" s="27"/>
      <c r="B799" s="34" t="s">
        <v>99</v>
      </c>
      <c r="C799" s="34"/>
      <c r="D799" s="34"/>
      <c r="E799" s="34"/>
      <c r="F799" s="34"/>
      <c r="G799" s="35"/>
      <c r="H799" s="34"/>
      <c r="I799" s="34"/>
      <c r="J799" s="34"/>
      <c r="K799" s="34"/>
      <c r="L799" s="34"/>
      <c r="M799" s="36"/>
      <c r="T799" s="13"/>
    </row>
    <row r="800" spans="1:20" ht="24.95" customHeight="1">
      <c r="A800" s="37"/>
      <c r="B800" s="49" t="s">
        <v>69</v>
      </c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50"/>
      <c r="T800" s="13"/>
    </row>
    <row r="801" spans="1:20" ht="44.25" customHeight="1">
      <c r="A801" s="51" t="s">
        <v>70</v>
      </c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3"/>
      <c r="T801" s="13"/>
    </row>
    <row r="802" spans="1:20" ht="48" customHeight="1">
      <c r="A802" s="51" t="s">
        <v>71</v>
      </c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3"/>
      <c r="T802" s="13"/>
    </row>
    <row r="803" spans="1:20" ht="81" customHeight="1">
      <c r="A803" s="51" t="s">
        <v>80</v>
      </c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3"/>
      <c r="T803" s="13"/>
    </row>
    <row r="804" spans="1:20" ht="100.5" customHeight="1">
      <c r="A804" s="51" t="s">
        <v>72</v>
      </c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3"/>
      <c r="T804" s="13"/>
    </row>
    <row r="805" spans="1:20" ht="12" customHeight="1">
      <c r="A805" s="41" t="s">
        <v>73</v>
      </c>
      <c r="B805" s="41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38"/>
      <c r="T805" s="13"/>
    </row>
    <row r="806" spans="1:20" ht="12" customHeight="1">
      <c r="A806" s="43" t="s">
        <v>74</v>
      </c>
      <c r="B806" s="43"/>
      <c r="C806" s="40"/>
      <c r="D806" s="40"/>
      <c r="E806" s="40"/>
      <c r="F806" s="40"/>
      <c r="G806" s="40"/>
      <c r="H806" s="40"/>
      <c r="I806" s="40"/>
      <c r="J806" s="40"/>
      <c r="K806" s="40"/>
      <c r="L806" s="38"/>
      <c r="M806" s="38"/>
      <c r="T806" s="13"/>
    </row>
    <row r="807" spans="1:20" ht="12" customHeight="1">
      <c r="A807" s="44" t="s">
        <v>75</v>
      </c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T807" s="13"/>
    </row>
    <row r="808" spans="1:20" ht="12" customHeight="1">
      <c r="A808" s="39" t="s">
        <v>76</v>
      </c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T808" s="13"/>
    </row>
    <row r="809" spans="1:20" ht="12" customHeight="1">
      <c r="A809" s="39" t="s">
        <v>77</v>
      </c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T809" s="13"/>
    </row>
    <row r="810" spans="1:20" ht="12" customHeight="1">
      <c r="A810" s="45" t="s">
        <v>78</v>
      </c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T810" s="13"/>
    </row>
    <row r="811" spans="1:20" ht="12" customHeight="1">
      <c r="A811" s="39" t="s">
        <v>79</v>
      </c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T811" s="13"/>
    </row>
    <row r="812" spans="1:20" ht="409.5" customHeight="1"/>
    <row r="813" spans="1:20" s="2" customFormat="1" ht="35.1" customHeight="1">
      <c r="A813" s="126" t="s">
        <v>0</v>
      </c>
      <c r="B813" s="126"/>
      <c r="C813" s="1">
        <f>C755+1</f>
        <v>50</v>
      </c>
      <c r="G813" s="3"/>
    </row>
    <row r="814" spans="1:20" s="2" customFormat="1" ht="35.1" customHeight="1">
      <c r="A814" s="126" t="s">
        <v>1</v>
      </c>
      <c r="B814" s="126"/>
      <c r="C814" s="2" t="s">
        <v>2</v>
      </c>
      <c r="E814" s="2" t="s">
        <v>3</v>
      </c>
      <c r="G814" s="3"/>
      <c r="H814" s="127" t="s">
        <v>4</v>
      </c>
      <c r="I814" s="128"/>
      <c r="J814" s="129">
        <f>J756+1</f>
        <v>46037</v>
      </c>
      <c r="K814" s="130"/>
      <c r="L814" s="131">
        <f>J814</f>
        <v>46037</v>
      </c>
      <c r="M814" s="132"/>
    </row>
    <row r="815" spans="1:20" s="2" customFormat="1" ht="30" customHeight="1">
      <c r="A815" s="72" t="s">
        <v>5</v>
      </c>
      <c r="B815" s="114"/>
      <c r="C815" s="119" t="s">
        <v>83</v>
      </c>
      <c r="D815" s="119"/>
      <c r="E815" s="119"/>
      <c r="F815" s="119"/>
      <c r="G815" s="119"/>
      <c r="H815" s="54" t="s">
        <v>6</v>
      </c>
      <c r="I815" s="59"/>
      <c r="J815" s="120"/>
      <c r="K815" s="120"/>
      <c r="L815" s="120"/>
      <c r="M815" s="120"/>
    </row>
    <row r="816" spans="1:20" s="1" customFormat="1" ht="30" customHeight="1">
      <c r="A816" s="72" t="s">
        <v>7</v>
      </c>
      <c r="B816" s="114"/>
      <c r="C816" s="4">
        <v>50</v>
      </c>
      <c r="D816" s="4" t="s">
        <v>8</v>
      </c>
      <c r="E816" s="4" t="s">
        <v>9</v>
      </c>
      <c r="F816" s="4">
        <f>F758+1</f>
        <v>50</v>
      </c>
      <c r="G816" s="5" t="s">
        <v>8</v>
      </c>
      <c r="H816" s="4" t="s">
        <v>10</v>
      </c>
      <c r="I816" s="4">
        <f>C816-F816+L816</f>
        <v>0</v>
      </c>
      <c r="J816" s="4" t="s">
        <v>11</v>
      </c>
      <c r="K816" s="6" t="s">
        <v>12</v>
      </c>
      <c r="L816" s="7">
        <f>L758</f>
        <v>0</v>
      </c>
      <c r="M816" s="4" t="s">
        <v>8</v>
      </c>
    </row>
    <row r="817" spans="1:20" s="2" customFormat="1" ht="30" customHeight="1">
      <c r="A817" s="72" t="s">
        <v>13</v>
      </c>
      <c r="B817" s="75"/>
      <c r="C817" s="75"/>
      <c r="D817" s="121">
        <f>D759</f>
        <v>45988</v>
      </c>
      <c r="E817" s="122"/>
      <c r="F817" s="122"/>
      <c r="G817" s="123"/>
      <c r="H817" s="124" t="s">
        <v>14</v>
      </c>
      <c r="I817" s="125"/>
      <c r="J817" s="121">
        <f>J759</f>
        <v>46037</v>
      </c>
      <c r="K817" s="122"/>
      <c r="L817" s="122"/>
      <c r="M817" s="123"/>
    </row>
    <row r="818" spans="1:20" s="2" customFormat="1" ht="30" customHeight="1">
      <c r="A818" s="72" t="s">
        <v>15</v>
      </c>
      <c r="B818" s="114"/>
      <c r="C818" s="114"/>
      <c r="D818" s="72">
        <v>7.1289999999999996</v>
      </c>
      <c r="E818" s="72"/>
      <c r="F818" s="72"/>
      <c r="G818" s="72"/>
      <c r="H818" s="64" t="s">
        <v>16</v>
      </c>
      <c r="I818" s="115"/>
      <c r="J818" s="116">
        <f>P834</f>
        <v>0</v>
      </c>
      <c r="K818" s="117"/>
      <c r="L818" s="117"/>
      <c r="M818" s="118"/>
    </row>
    <row r="819" spans="1:20" s="2" customFormat="1" ht="30" customHeight="1">
      <c r="A819" s="72" t="s">
        <v>17</v>
      </c>
      <c r="B819" s="114"/>
      <c r="C819" s="114"/>
      <c r="D819" s="72">
        <f>D818+D761</f>
        <v>100.00000000000004</v>
      </c>
      <c r="E819" s="72"/>
      <c r="F819" s="72"/>
      <c r="G819" s="72"/>
      <c r="H819" s="64" t="s">
        <v>18</v>
      </c>
      <c r="I819" s="115"/>
      <c r="J819" s="116">
        <f>J818+J761</f>
        <v>25.469999999999992</v>
      </c>
      <c r="K819" s="117"/>
      <c r="L819" s="117"/>
      <c r="M819" s="118"/>
    </row>
    <row r="820" spans="1:20" s="2" customFormat="1" ht="30" customHeight="1">
      <c r="A820" s="111" t="s">
        <v>19</v>
      </c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12"/>
      <c r="M820" s="113"/>
    </row>
    <row r="821" spans="1:20" s="2" customFormat="1" ht="30" customHeight="1">
      <c r="A821" s="8" t="s">
        <v>20</v>
      </c>
      <c r="B821" s="72" t="s">
        <v>21</v>
      </c>
      <c r="C821" s="72"/>
      <c r="D821" s="72"/>
      <c r="E821" s="4" t="s">
        <v>22</v>
      </c>
      <c r="F821" s="54" t="s">
        <v>23</v>
      </c>
      <c r="G821" s="59"/>
      <c r="H821" s="72" t="s">
        <v>24</v>
      </c>
      <c r="I821" s="72"/>
      <c r="J821" s="72" t="s">
        <v>25</v>
      </c>
      <c r="K821" s="72"/>
      <c r="L821" s="72" t="s">
        <v>26</v>
      </c>
      <c r="M821" s="72"/>
      <c r="O821" s="1" t="s">
        <v>27</v>
      </c>
      <c r="P821" s="1" t="s">
        <v>28</v>
      </c>
      <c r="T821" s="2" t="s">
        <v>29</v>
      </c>
    </row>
    <row r="822" spans="1:20" s="2" customFormat="1" ht="24.95" customHeight="1">
      <c r="A822" s="9" t="s">
        <v>30</v>
      </c>
      <c r="B822" s="110" t="s">
        <v>31</v>
      </c>
      <c r="C822" s="110"/>
      <c r="D822" s="110"/>
      <c r="E822" s="4"/>
      <c r="F822" s="54"/>
      <c r="G822" s="59"/>
      <c r="H822" s="72"/>
      <c r="I822" s="72"/>
      <c r="J822" s="72"/>
      <c r="K822" s="72"/>
      <c r="L822" s="72"/>
      <c r="M822" s="72"/>
    </row>
    <row r="823" spans="1:20" ht="24.95" customHeight="1">
      <c r="A823" s="10">
        <v>1</v>
      </c>
      <c r="B823" s="66" t="s">
        <v>91</v>
      </c>
      <c r="C823" s="67" t="s">
        <v>91</v>
      </c>
      <c r="D823" s="68" t="s">
        <v>91</v>
      </c>
      <c r="E823" s="4" t="s">
        <v>32</v>
      </c>
      <c r="F823" s="69">
        <v>1</v>
      </c>
      <c r="G823" s="70"/>
      <c r="H823" s="69"/>
      <c r="I823" s="70"/>
      <c r="J823" s="71">
        <f>H823+J765</f>
        <v>1</v>
      </c>
      <c r="K823" s="71"/>
      <c r="L823" s="72"/>
      <c r="M823" s="72"/>
      <c r="O823" s="11">
        <v>4000</v>
      </c>
      <c r="P823" s="11">
        <f>ROUND(H823*O823,0)</f>
        <v>0</v>
      </c>
      <c r="Q823" s="12"/>
      <c r="S823" s="11">
        <f>ROUND(J823*O823,0)</f>
        <v>4000</v>
      </c>
      <c r="T823" s="13">
        <f>F823-J823</f>
        <v>0</v>
      </c>
    </row>
    <row r="824" spans="1:20" ht="24.95" customHeight="1">
      <c r="A824" s="10">
        <v>2</v>
      </c>
      <c r="B824" s="66" t="s">
        <v>92</v>
      </c>
      <c r="C824" s="67" t="s">
        <v>92</v>
      </c>
      <c r="D824" s="68" t="s">
        <v>92</v>
      </c>
      <c r="E824" s="4" t="s">
        <v>32</v>
      </c>
      <c r="F824" s="69">
        <v>1</v>
      </c>
      <c r="G824" s="70"/>
      <c r="H824" s="69"/>
      <c r="I824" s="70"/>
      <c r="J824" s="71">
        <f t="shared" ref="J824:J831" si="94">H824+J766</f>
        <v>1</v>
      </c>
      <c r="K824" s="71"/>
      <c r="L824" s="72"/>
      <c r="M824" s="72"/>
      <c r="O824" s="11">
        <v>14334</v>
      </c>
      <c r="P824" s="11">
        <f t="shared" ref="P824:P831" si="95">ROUND(H824*O824,0)</f>
        <v>0</v>
      </c>
      <c r="Q824" s="12"/>
      <c r="S824" s="11">
        <f t="shared" ref="S824:S831" si="96">ROUND(J824*O824,0)</f>
        <v>14334</v>
      </c>
      <c r="T824" s="13">
        <f t="shared" ref="T824:T831" si="97">F824-J824</f>
        <v>0</v>
      </c>
    </row>
    <row r="825" spans="1:20" ht="24.95" customHeight="1">
      <c r="A825" s="10">
        <v>3</v>
      </c>
      <c r="B825" s="66" t="s">
        <v>84</v>
      </c>
      <c r="C825" s="67" t="s">
        <v>84</v>
      </c>
      <c r="D825" s="68" t="s">
        <v>84</v>
      </c>
      <c r="E825" s="4" t="s">
        <v>33</v>
      </c>
      <c r="F825" s="69">
        <v>1</v>
      </c>
      <c r="G825" s="70"/>
      <c r="H825" s="69"/>
      <c r="I825" s="70"/>
      <c r="J825" s="71">
        <f t="shared" si="94"/>
        <v>0.5</v>
      </c>
      <c r="K825" s="71"/>
      <c r="L825" s="72"/>
      <c r="M825" s="72"/>
      <c r="O825" s="11">
        <v>7000</v>
      </c>
      <c r="P825" s="11">
        <f t="shared" si="95"/>
        <v>0</v>
      </c>
      <c r="Q825" s="12"/>
      <c r="S825" s="11">
        <f t="shared" si="96"/>
        <v>3500</v>
      </c>
      <c r="T825" s="13">
        <f t="shared" si="97"/>
        <v>0.5</v>
      </c>
    </row>
    <row r="826" spans="1:20" ht="24.95" customHeight="1">
      <c r="A826" s="10">
        <v>4</v>
      </c>
      <c r="B826" s="66" t="s">
        <v>85</v>
      </c>
      <c r="C826" s="67" t="s">
        <v>85</v>
      </c>
      <c r="D826" s="68" t="s">
        <v>85</v>
      </c>
      <c r="E826" s="4" t="s">
        <v>34</v>
      </c>
      <c r="F826" s="69">
        <v>1</v>
      </c>
      <c r="G826" s="70"/>
      <c r="H826" s="69"/>
      <c r="I826" s="70"/>
      <c r="J826" s="71">
        <f t="shared" si="94"/>
        <v>1</v>
      </c>
      <c r="K826" s="71"/>
      <c r="L826" s="72"/>
      <c r="M826" s="72"/>
      <c r="O826" s="11">
        <v>74000</v>
      </c>
      <c r="P826" s="11">
        <f t="shared" si="95"/>
        <v>0</v>
      </c>
      <c r="Q826" s="12"/>
      <c r="S826" s="11">
        <f t="shared" si="96"/>
        <v>74000</v>
      </c>
      <c r="T826" s="13">
        <f t="shared" si="97"/>
        <v>0</v>
      </c>
    </row>
    <row r="827" spans="1:20" ht="24.95" customHeight="1">
      <c r="A827" s="10">
        <v>5</v>
      </c>
      <c r="B827" s="66" t="s">
        <v>86</v>
      </c>
      <c r="C827" s="67" t="s">
        <v>86</v>
      </c>
      <c r="D827" s="68" t="s">
        <v>86</v>
      </c>
      <c r="E827" s="4" t="s">
        <v>93</v>
      </c>
      <c r="F827" s="69">
        <v>396</v>
      </c>
      <c r="G827" s="70"/>
      <c r="H827" s="69"/>
      <c r="I827" s="70"/>
      <c r="J827" s="71">
        <f t="shared" si="94"/>
        <v>350</v>
      </c>
      <c r="K827" s="71"/>
      <c r="L827" s="72"/>
      <c r="M827" s="72"/>
      <c r="O827" s="11">
        <v>200</v>
      </c>
      <c r="P827" s="11">
        <f t="shared" si="95"/>
        <v>0</v>
      </c>
      <c r="Q827" s="12"/>
      <c r="S827" s="11">
        <f t="shared" si="96"/>
        <v>70000</v>
      </c>
      <c r="T827" s="13">
        <f t="shared" si="97"/>
        <v>46</v>
      </c>
    </row>
    <row r="828" spans="1:20" ht="24.95" customHeight="1">
      <c r="A828" s="10">
        <v>6</v>
      </c>
      <c r="B828" s="66" t="s">
        <v>97</v>
      </c>
      <c r="C828" s="67" t="s">
        <v>87</v>
      </c>
      <c r="D828" s="68" t="s">
        <v>87</v>
      </c>
      <c r="E828" s="4" t="s">
        <v>35</v>
      </c>
      <c r="F828" s="69">
        <v>80</v>
      </c>
      <c r="G828" s="70">
        <v>183.6</v>
      </c>
      <c r="H828" s="69"/>
      <c r="I828" s="70"/>
      <c r="J828" s="71">
        <f t="shared" si="94"/>
        <v>78</v>
      </c>
      <c r="K828" s="71"/>
      <c r="L828" s="54"/>
      <c r="M828" s="59"/>
      <c r="O828" s="11">
        <v>1463</v>
      </c>
      <c r="P828" s="11">
        <f t="shared" si="95"/>
        <v>0</v>
      </c>
      <c r="S828" s="11">
        <f t="shared" si="96"/>
        <v>114114</v>
      </c>
      <c r="T828" s="13">
        <f t="shared" si="97"/>
        <v>2</v>
      </c>
    </row>
    <row r="829" spans="1:20" ht="24.95" customHeight="1">
      <c r="A829" s="10">
        <v>7</v>
      </c>
      <c r="B829" s="66" t="s">
        <v>88</v>
      </c>
      <c r="C829" s="67" t="s">
        <v>88</v>
      </c>
      <c r="D829" s="68" t="s">
        <v>88</v>
      </c>
      <c r="E829" s="4" t="s">
        <v>94</v>
      </c>
      <c r="F829" s="69">
        <v>126</v>
      </c>
      <c r="G829" s="70">
        <v>19</v>
      </c>
      <c r="H829" s="69"/>
      <c r="I829" s="70"/>
      <c r="J829" s="71">
        <f t="shared" si="94"/>
        <v>0</v>
      </c>
      <c r="K829" s="71"/>
      <c r="L829" s="54"/>
      <c r="M829" s="59"/>
      <c r="O829" s="11">
        <v>6350</v>
      </c>
      <c r="P829" s="11">
        <f t="shared" si="95"/>
        <v>0</v>
      </c>
      <c r="S829" s="11">
        <f t="shared" si="96"/>
        <v>0</v>
      </c>
      <c r="T829" s="13">
        <f t="shared" si="97"/>
        <v>126</v>
      </c>
    </row>
    <row r="830" spans="1:20" ht="24.95" customHeight="1">
      <c r="A830" s="10">
        <v>8</v>
      </c>
      <c r="B830" s="66" t="s">
        <v>89</v>
      </c>
      <c r="C830" s="67" t="s">
        <v>89</v>
      </c>
      <c r="D830" s="68" t="s">
        <v>89</v>
      </c>
      <c r="E830" s="4" t="s">
        <v>95</v>
      </c>
      <c r="F830" s="69">
        <v>1</v>
      </c>
      <c r="G830" s="70">
        <v>1192</v>
      </c>
      <c r="H830" s="69"/>
      <c r="I830" s="70"/>
      <c r="J830" s="71">
        <f t="shared" si="94"/>
        <v>0.3</v>
      </c>
      <c r="K830" s="71"/>
      <c r="L830" s="54"/>
      <c r="M830" s="59"/>
      <c r="O830" s="11">
        <v>47600</v>
      </c>
      <c r="P830" s="11">
        <f t="shared" si="95"/>
        <v>0</v>
      </c>
      <c r="S830" s="11">
        <f t="shared" si="96"/>
        <v>14280</v>
      </c>
      <c r="T830" s="13">
        <f t="shared" si="97"/>
        <v>0.7</v>
      </c>
    </row>
    <row r="831" spans="1:20" ht="24.95" customHeight="1">
      <c r="A831" s="10">
        <v>9</v>
      </c>
      <c r="B831" s="66" t="s">
        <v>90</v>
      </c>
      <c r="C831" s="67" t="s">
        <v>90</v>
      </c>
      <c r="D831" s="68" t="s">
        <v>90</v>
      </c>
      <c r="E831" s="4" t="s">
        <v>96</v>
      </c>
      <c r="F831" s="69">
        <v>1</v>
      </c>
      <c r="G831" s="70">
        <v>1261</v>
      </c>
      <c r="H831" s="69"/>
      <c r="I831" s="70"/>
      <c r="J831" s="71">
        <f t="shared" si="94"/>
        <v>0</v>
      </c>
      <c r="K831" s="71"/>
      <c r="L831" s="54"/>
      <c r="M831" s="59"/>
      <c r="O831" s="11">
        <v>10000</v>
      </c>
      <c r="P831" s="11">
        <f t="shared" si="95"/>
        <v>0</v>
      </c>
      <c r="S831" s="11">
        <f t="shared" si="96"/>
        <v>0</v>
      </c>
      <c r="T831" s="13">
        <f t="shared" si="97"/>
        <v>1</v>
      </c>
    </row>
    <row r="832" spans="1:20" ht="24.95" customHeight="1">
      <c r="A832" s="14"/>
      <c r="B832" s="15"/>
      <c r="C832" s="16"/>
      <c r="D832" s="17"/>
      <c r="E832" s="4"/>
      <c r="F832" s="18"/>
      <c r="G832" s="19"/>
      <c r="H832" s="105"/>
      <c r="I832" s="106"/>
      <c r="J832" s="105"/>
      <c r="K832" s="106"/>
      <c r="L832" s="54"/>
      <c r="M832" s="59"/>
      <c r="N832" s="20"/>
      <c r="P832" s="21" t="s">
        <v>37</v>
      </c>
      <c r="Q832" s="22">
        <f>SUM(P823:P831)</f>
        <v>0</v>
      </c>
      <c r="R832" s="23"/>
      <c r="S832" s="24">
        <f>SUM(S823:S831)</f>
        <v>294228</v>
      </c>
      <c r="T832" s="13"/>
    </row>
    <row r="833" spans="1:20" ht="24.95" customHeight="1">
      <c r="A833" s="107"/>
      <c r="B833" s="108"/>
      <c r="C833" s="108"/>
      <c r="D833" s="109"/>
      <c r="E833" s="4"/>
      <c r="F833" s="54"/>
      <c r="G833" s="59"/>
      <c r="H833" s="72"/>
      <c r="I833" s="72"/>
      <c r="J833" s="72"/>
      <c r="K833" s="72"/>
      <c r="L833" s="72"/>
      <c r="M833" s="72"/>
      <c r="O833" t="s">
        <v>38</v>
      </c>
      <c r="P833" s="24">
        <f>Q832</f>
        <v>0</v>
      </c>
      <c r="T833" s="13"/>
    </row>
    <row r="834" spans="1:20" ht="24.95" customHeight="1">
      <c r="A834" s="97"/>
      <c r="B834" s="98"/>
      <c r="C834" s="98"/>
      <c r="D834" s="99"/>
      <c r="E834" s="4"/>
      <c r="F834" s="54"/>
      <c r="G834" s="59"/>
      <c r="H834" s="72"/>
      <c r="I834" s="72"/>
      <c r="J834" s="72"/>
      <c r="K834" s="72"/>
      <c r="L834" s="72"/>
      <c r="M834" s="72"/>
      <c r="O834" t="s">
        <v>39</v>
      </c>
      <c r="P834" s="23">
        <f>ROUND(P833/1153274,4)*100</f>
        <v>0</v>
      </c>
      <c r="T834" s="13"/>
    </row>
    <row r="835" spans="1:20" ht="24.95" customHeight="1">
      <c r="A835" s="25"/>
      <c r="B835" s="63" t="s">
        <v>40</v>
      </c>
      <c r="C835" s="63"/>
      <c r="D835" s="59"/>
      <c r="E835" s="26"/>
      <c r="F835" s="100"/>
      <c r="G835" s="101"/>
      <c r="H835" s="100"/>
      <c r="I835" s="101"/>
      <c r="J835" s="102"/>
      <c r="K835" s="102"/>
      <c r="L835" s="103">
        <f>P833</f>
        <v>0</v>
      </c>
      <c r="M835" s="104"/>
      <c r="T835" s="13"/>
    </row>
    <row r="836" spans="1:20" ht="24.95" customHeight="1" thickBot="1">
      <c r="A836" s="27"/>
      <c r="B836" s="85" t="s">
        <v>41</v>
      </c>
      <c r="C836" s="85"/>
      <c r="D836" s="86"/>
      <c r="E836" s="28"/>
      <c r="F836" s="87"/>
      <c r="G836" s="88"/>
      <c r="H836" s="87"/>
      <c r="I836" s="88"/>
      <c r="J836" s="87"/>
      <c r="K836" s="88"/>
      <c r="L836" s="89">
        <f>L835+L778</f>
        <v>294228</v>
      </c>
      <c r="M836" s="90"/>
      <c r="T836" s="13"/>
    </row>
    <row r="837" spans="1:20" ht="24.95" customHeight="1">
      <c r="A837" s="29"/>
      <c r="B837" s="91" t="s">
        <v>42</v>
      </c>
      <c r="C837" s="91"/>
      <c r="D837" s="92"/>
      <c r="E837" s="30"/>
      <c r="F837" s="93"/>
      <c r="G837" s="94"/>
      <c r="H837" s="95"/>
      <c r="I837" s="95"/>
      <c r="J837" s="95"/>
      <c r="K837" s="95"/>
      <c r="L837" s="95"/>
      <c r="M837" s="96"/>
      <c r="T837" s="13"/>
    </row>
    <row r="838" spans="1:20" ht="24.95" customHeight="1">
      <c r="A838" s="31"/>
      <c r="B838" s="76" t="s">
        <v>43</v>
      </c>
      <c r="C838" s="76"/>
      <c r="D838" s="77"/>
      <c r="E838" s="4"/>
      <c r="F838" s="54"/>
      <c r="G838" s="59"/>
      <c r="H838" s="72"/>
      <c r="I838" s="72"/>
      <c r="J838" s="72"/>
      <c r="K838" s="72"/>
      <c r="L838" s="72"/>
      <c r="M838" s="78"/>
      <c r="T838" s="13"/>
    </row>
    <row r="839" spans="1:20" ht="24.95" customHeight="1" thickBot="1">
      <c r="A839" s="32"/>
      <c r="B839" s="79" t="s">
        <v>44</v>
      </c>
      <c r="C839" s="79"/>
      <c r="D839" s="80"/>
      <c r="E839" s="33"/>
      <c r="F839" s="81"/>
      <c r="G839" s="82"/>
      <c r="H839" s="83"/>
      <c r="I839" s="83"/>
      <c r="J839" s="83"/>
      <c r="K839" s="83"/>
      <c r="L839" s="83"/>
      <c r="M839" s="84"/>
      <c r="T839" s="13"/>
    </row>
    <row r="840" spans="1:20" ht="24.95" customHeight="1">
      <c r="A840" s="73" t="s">
        <v>45</v>
      </c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T840" s="13"/>
    </row>
    <row r="841" spans="1:20" ht="24.95" customHeight="1">
      <c r="A841" s="72" t="s">
        <v>46</v>
      </c>
      <c r="B841" s="75"/>
      <c r="C841" s="75"/>
      <c r="D841" s="75"/>
      <c r="E841" s="4" t="s">
        <v>22</v>
      </c>
      <c r="F841" s="72" t="s">
        <v>47</v>
      </c>
      <c r="G841" s="72"/>
      <c r="H841" s="72" t="s">
        <v>48</v>
      </c>
      <c r="I841" s="72"/>
      <c r="J841" s="72" t="s">
        <v>49</v>
      </c>
      <c r="K841" s="72"/>
      <c r="L841" s="72" t="s">
        <v>50</v>
      </c>
      <c r="M841" s="72"/>
      <c r="T841" s="13"/>
    </row>
    <row r="842" spans="1:20" ht="24.95" customHeight="1">
      <c r="A842" s="10">
        <v>6</v>
      </c>
      <c r="B842" s="66" t="s">
        <v>97</v>
      </c>
      <c r="C842" s="67" t="s">
        <v>51</v>
      </c>
      <c r="D842" s="68" t="s">
        <v>51</v>
      </c>
      <c r="E842" s="4" t="s">
        <v>35</v>
      </c>
      <c r="F842" s="69">
        <v>80</v>
      </c>
      <c r="G842" s="70">
        <v>1261</v>
      </c>
      <c r="H842" s="71">
        <f>H828</f>
        <v>0</v>
      </c>
      <c r="I842" s="71"/>
      <c r="J842" s="71">
        <f>H842+J784</f>
        <v>78</v>
      </c>
      <c r="K842" s="71"/>
      <c r="L842" s="72"/>
      <c r="M842" s="72"/>
      <c r="T842" s="13"/>
    </row>
    <row r="843" spans="1:20" ht="24.95" customHeight="1">
      <c r="A843" s="10">
        <v>7</v>
      </c>
      <c r="B843" s="66" t="s">
        <v>88</v>
      </c>
      <c r="C843" s="67" t="s">
        <v>88</v>
      </c>
      <c r="D843" s="68" t="s">
        <v>88</v>
      </c>
      <c r="E843" s="4" t="s">
        <v>98</v>
      </c>
      <c r="F843" s="69">
        <v>126</v>
      </c>
      <c r="G843" s="70"/>
      <c r="H843" s="71">
        <f>H829</f>
        <v>0</v>
      </c>
      <c r="I843" s="71"/>
      <c r="J843" s="71">
        <f t="shared" ref="J843:J844" si="98">H843+J785</f>
        <v>0</v>
      </c>
      <c r="K843" s="71"/>
      <c r="L843" s="72"/>
      <c r="M843" s="72"/>
      <c r="T843" s="13"/>
    </row>
    <row r="844" spans="1:20" ht="24.95" customHeight="1">
      <c r="A844" s="10">
        <v>8</v>
      </c>
      <c r="B844" s="66" t="s">
        <v>89</v>
      </c>
      <c r="C844" s="67" t="s">
        <v>89</v>
      </c>
      <c r="D844" s="68" t="s">
        <v>89</v>
      </c>
      <c r="E844" s="4" t="s">
        <v>36</v>
      </c>
      <c r="F844" s="69">
        <v>1</v>
      </c>
      <c r="G844" s="70"/>
      <c r="H844" s="71">
        <f>H830</f>
        <v>0</v>
      </c>
      <c r="I844" s="71"/>
      <c r="J844" s="71">
        <f t="shared" si="98"/>
        <v>0.3</v>
      </c>
      <c r="K844" s="71"/>
      <c r="L844" s="72"/>
      <c r="M844" s="72"/>
      <c r="T844" s="13"/>
    </row>
    <row r="845" spans="1:20" ht="24.95" customHeight="1">
      <c r="A845" s="51" t="s">
        <v>52</v>
      </c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3"/>
      <c r="T845" s="13"/>
    </row>
    <row r="846" spans="1:20" ht="24.95" customHeight="1">
      <c r="A846" s="54" t="s">
        <v>53</v>
      </c>
      <c r="B846" s="63"/>
      <c r="C846" s="63"/>
      <c r="D846" s="59"/>
      <c r="E846" s="4" t="s">
        <v>54</v>
      </c>
      <c r="F846" s="54" t="s">
        <v>55</v>
      </c>
      <c r="G846" s="59"/>
      <c r="H846" s="54" t="s">
        <v>56</v>
      </c>
      <c r="I846" s="59"/>
      <c r="J846" s="54" t="s">
        <v>48</v>
      </c>
      <c r="K846" s="59"/>
      <c r="L846" s="64" t="s">
        <v>49</v>
      </c>
      <c r="M846" s="65"/>
      <c r="T846" s="13"/>
    </row>
    <row r="847" spans="1:20" ht="24.95" customHeight="1">
      <c r="A847" s="54" t="s">
        <v>57</v>
      </c>
      <c r="B847" s="55"/>
      <c r="C847" s="55"/>
      <c r="D847" s="56"/>
      <c r="E847" s="4"/>
      <c r="F847" s="57">
        <f>E847+F789</f>
        <v>28</v>
      </c>
      <c r="G847" s="58"/>
      <c r="H847" s="54" t="s">
        <v>58</v>
      </c>
      <c r="I847" s="59"/>
      <c r="J847" s="54"/>
      <c r="K847" s="59"/>
      <c r="L847" s="57">
        <f>J847+L789</f>
        <v>15</v>
      </c>
      <c r="M847" s="58"/>
      <c r="T847" s="13"/>
    </row>
    <row r="848" spans="1:20" ht="24.95" customHeight="1">
      <c r="A848" s="54" t="s">
        <v>59</v>
      </c>
      <c r="B848" s="55"/>
      <c r="C848" s="55"/>
      <c r="D848" s="56"/>
      <c r="E848" s="4"/>
      <c r="F848" s="57">
        <f t="shared" ref="F848:F850" si="99">E848+F790</f>
        <v>0</v>
      </c>
      <c r="G848" s="58"/>
      <c r="H848" s="54" t="s">
        <v>60</v>
      </c>
      <c r="I848" s="59"/>
      <c r="J848" s="54"/>
      <c r="K848" s="59"/>
      <c r="L848" s="57">
        <f t="shared" ref="L848:L850" si="100">J848+L790</f>
        <v>0</v>
      </c>
      <c r="M848" s="58"/>
      <c r="T848" s="13"/>
    </row>
    <row r="849" spans="1:20" ht="24.95" customHeight="1">
      <c r="A849" s="54" t="s">
        <v>61</v>
      </c>
      <c r="B849" s="55"/>
      <c r="C849" s="55"/>
      <c r="D849" s="56"/>
      <c r="E849" s="4"/>
      <c r="F849" s="57">
        <f t="shared" si="99"/>
        <v>2</v>
      </c>
      <c r="G849" s="58"/>
      <c r="H849" s="54" t="s">
        <v>62</v>
      </c>
      <c r="I849" s="59"/>
      <c r="J849" s="54"/>
      <c r="K849" s="59"/>
      <c r="L849" s="57">
        <f t="shared" si="100"/>
        <v>5</v>
      </c>
      <c r="M849" s="58"/>
      <c r="T849" s="13"/>
    </row>
    <row r="850" spans="1:20" ht="24.95" customHeight="1">
      <c r="A850" s="54" t="s">
        <v>63</v>
      </c>
      <c r="B850" s="55"/>
      <c r="C850" s="55"/>
      <c r="D850" s="56"/>
      <c r="E850" s="4"/>
      <c r="F850" s="57">
        <f t="shared" si="99"/>
        <v>4</v>
      </c>
      <c r="G850" s="58"/>
      <c r="H850" s="54" t="s">
        <v>64</v>
      </c>
      <c r="I850" s="59"/>
      <c r="J850" s="54"/>
      <c r="K850" s="59"/>
      <c r="L850" s="57">
        <f t="shared" si="100"/>
        <v>1</v>
      </c>
      <c r="M850" s="58"/>
      <c r="T850" s="13"/>
    </row>
    <row r="851" spans="1:20" ht="64.5" customHeight="1">
      <c r="A851" s="60" t="s">
        <v>65</v>
      </c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2"/>
      <c r="T851" s="13"/>
    </row>
    <row r="852" spans="1:20" ht="24.95" customHeight="1">
      <c r="A852" s="46" t="s">
        <v>66</v>
      </c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8"/>
      <c r="T852" s="13"/>
    </row>
    <row r="853" spans="1:20" ht="24.95" customHeight="1">
      <c r="A853" s="27"/>
      <c r="B853" s="34" t="s">
        <v>67</v>
      </c>
      <c r="C853" s="34"/>
      <c r="D853" s="34"/>
      <c r="E853" s="34"/>
      <c r="F853" s="34"/>
      <c r="G853" s="35"/>
      <c r="H853" s="34"/>
      <c r="I853" s="34"/>
      <c r="J853" s="34"/>
      <c r="K853" s="34"/>
      <c r="L853" s="34"/>
      <c r="M853" s="36"/>
      <c r="T853" s="13"/>
    </row>
    <row r="854" spans="1:20" ht="24.95" customHeight="1">
      <c r="A854" s="27"/>
      <c r="B854" s="34" t="s">
        <v>81</v>
      </c>
      <c r="C854" s="34"/>
      <c r="D854" s="34"/>
      <c r="E854" s="34"/>
      <c r="F854" s="34"/>
      <c r="G854" s="35"/>
      <c r="H854" s="34"/>
      <c r="I854" s="34"/>
      <c r="J854" s="34"/>
      <c r="K854" s="34"/>
      <c r="L854" s="34"/>
      <c r="M854" s="36"/>
      <c r="T854" s="13"/>
    </row>
    <row r="855" spans="1:20" ht="24.95" customHeight="1">
      <c r="A855" s="27"/>
      <c r="B855" s="34" t="s">
        <v>68</v>
      </c>
      <c r="C855" s="34"/>
      <c r="D855" s="34"/>
      <c r="E855" s="34"/>
      <c r="F855" s="34"/>
      <c r="G855" s="35"/>
      <c r="H855" s="34"/>
      <c r="I855" s="34"/>
      <c r="J855" s="34"/>
      <c r="K855" s="34"/>
      <c r="L855" s="34"/>
      <c r="M855" s="36"/>
      <c r="T855" s="13"/>
    </row>
    <row r="856" spans="1:20" ht="24.95" customHeight="1">
      <c r="A856" s="27"/>
      <c r="B856" s="34" t="s">
        <v>82</v>
      </c>
      <c r="C856" s="34"/>
      <c r="D856" s="34"/>
      <c r="E856" s="34"/>
      <c r="F856" s="34"/>
      <c r="G856" s="35"/>
      <c r="H856" s="34"/>
      <c r="I856" s="34"/>
      <c r="J856" s="34"/>
      <c r="K856" s="34"/>
      <c r="L856" s="34"/>
      <c r="M856" s="36"/>
      <c r="T856" s="13"/>
    </row>
    <row r="857" spans="1:20" ht="24.95" customHeight="1">
      <c r="A857" s="27"/>
      <c r="B857" s="34" t="s">
        <v>99</v>
      </c>
      <c r="C857" s="34"/>
      <c r="D857" s="34"/>
      <c r="E857" s="34"/>
      <c r="F857" s="34"/>
      <c r="G857" s="35"/>
      <c r="H857" s="34"/>
      <c r="I857" s="34"/>
      <c r="J857" s="34"/>
      <c r="K857" s="34"/>
      <c r="L857" s="34"/>
      <c r="M857" s="36"/>
      <c r="T857" s="13"/>
    </row>
    <row r="858" spans="1:20" ht="24.95" customHeight="1">
      <c r="A858" s="37"/>
      <c r="B858" s="49" t="s">
        <v>69</v>
      </c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50"/>
      <c r="T858" s="13"/>
    </row>
    <row r="859" spans="1:20" ht="44.25" customHeight="1">
      <c r="A859" s="51" t="s">
        <v>70</v>
      </c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3"/>
      <c r="T859" s="13"/>
    </row>
    <row r="860" spans="1:20" ht="48" customHeight="1">
      <c r="A860" s="51" t="s">
        <v>71</v>
      </c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3"/>
      <c r="T860" s="13"/>
    </row>
    <row r="861" spans="1:20" ht="81" customHeight="1">
      <c r="A861" s="51" t="s">
        <v>80</v>
      </c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3"/>
      <c r="T861" s="13"/>
    </row>
    <row r="862" spans="1:20" ht="100.5" customHeight="1">
      <c r="A862" s="51" t="s">
        <v>72</v>
      </c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3"/>
      <c r="T862" s="13"/>
    </row>
    <row r="863" spans="1:20" ht="12" customHeight="1">
      <c r="A863" s="41" t="s">
        <v>73</v>
      </c>
      <c r="B863" s="41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38"/>
      <c r="T863" s="13"/>
    </row>
    <row r="864" spans="1:20" ht="12" customHeight="1">
      <c r="A864" s="43" t="s">
        <v>74</v>
      </c>
      <c r="B864" s="43"/>
      <c r="C864" s="40"/>
      <c r="D864" s="40"/>
      <c r="E864" s="40"/>
      <c r="F864" s="40"/>
      <c r="G864" s="40"/>
      <c r="H864" s="40"/>
      <c r="I864" s="40"/>
      <c r="J864" s="40"/>
      <c r="K864" s="40"/>
      <c r="L864" s="38"/>
      <c r="M864" s="38"/>
      <c r="T864" s="13"/>
    </row>
    <row r="865" spans="1:20" ht="12" customHeight="1">
      <c r="A865" s="44" t="s">
        <v>75</v>
      </c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T865" s="13"/>
    </row>
    <row r="866" spans="1:20" ht="12" customHeight="1">
      <c r="A866" s="39" t="s">
        <v>76</v>
      </c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T866" s="13"/>
    </row>
    <row r="867" spans="1:20" ht="12" customHeight="1">
      <c r="A867" s="39" t="s">
        <v>77</v>
      </c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T867" s="13"/>
    </row>
    <row r="868" spans="1:20" ht="12" customHeight="1">
      <c r="A868" s="45" t="s">
        <v>78</v>
      </c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T868" s="13"/>
    </row>
    <row r="869" spans="1:20" ht="12" customHeight="1">
      <c r="A869" s="39" t="s">
        <v>79</v>
      </c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T869" s="13"/>
    </row>
    <row r="870" spans="1:20" ht="409.5" customHeight="1"/>
    <row r="871" spans="1:20" s="2" customFormat="1" ht="35.1" customHeight="1">
      <c r="A871" s="126" t="s">
        <v>0</v>
      </c>
      <c r="B871" s="126"/>
      <c r="C871" s="1">
        <f>C813+1</f>
        <v>51</v>
      </c>
      <c r="G871" s="3"/>
    </row>
    <row r="872" spans="1:20" s="2" customFormat="1" ht="35.1" customHeight="1">
      <c r="A872" s="126" t="s">
        <v>1</v>
      </c>
      <c r="B872" s="126"/>
      <c r="C872" s="2" t="s">
        <v>2</v>
      </c>
      <c r="E872" s="2" t="s">
        <v>3</v>
      </c>
      <c r="G872" s="3"/>
      <c r="H872" s="127" t="s">
        <v>4</v>
      </c>
      <c r="I872" s="128"/>
      <c r="J872" s="129">
        <f>J814+1</f>
        <v>46038</v>
      </c>
      <c r="K872" s="130"/>
      <c r="L872" s="131">
        <f>J872</f>
        <v>46038</v>
      </c>
      <c r="M872" s="132"/>
    </row>
    <row r="873" spans="1:20" s="2" customFormat="1" ht="30" customHeight="1">
      <c r="A873" s="72" t="s">
        <v>5</v>
      </c>
      <c r="B873" s="114"/>
      <c r="C873" s="119" t="s">
        <v>83</v>
      </c>
      <c r="D873" s="119"/>
      <c r="E873" s="119"/>
      <c r="F873" s="119"/>
      <c r="G873" s="119"/>
      <c r="H873" s="54" t="s">
        <v>6</v>
      </c>
      <c r="I873" s="59"/>
      <c r="J873" s="120"/>
      <c r="K873" s="120"/>
      <c r="L873" s="120"/>
      <c r="M873" s="120"/>
    </row>
    <row r="874" spans="1:20" s="1" customFormat="1" ht="30" customHeight="1">
      <c r="A874" s="72" t="s">
        <v>7</v>
      </c>
      <c r="B874" s="114"/>
      <c r="C874" s="4">
        <v>50</v>
      </c>
      <c r="D874" s="4" t="s">
        <v>8</v>
      </c>
      <c r="E874" s="4" t="s">
        <v>9</v>
      </c>
      <c r="F874" s="4">
        <f>F816+1</f>
        <v>51</v>
      </c>
      <c r="G874" s="5" t="s">
        <v>8</v>
      </c>
      <c r="H874" s="4" t="s">
        <v>10</v>
      </c>
      <c r="I874" s="4">
        <f>C874-F874+L874</f>
        <v>-1</v>
      </c>
      <c r="J874" s="4" t="s">
        <v>11</v>
      </c>
      <c r="K874" s="6" t="s">
        <v>12</v>
      </c>
      <c r="L874" s="7">
        <f>L816</f>
        <v>0</v>
      </c>
      <c r="M874" s="4" t="s">
        <v>8</v>
      </c>
    </row>
    <row r="875" spans="1:20" s="2" customFormat="1" ht="30" customHeight="1">
      <c r="A875" s="72" t="s">
        <v>13</v>
      </c>
      <c r="B875" s="75"/>
      <c r="C875" s="75"/>
      <c r="D875" s="121">
        <f>D817</f>
        <v>45988</v>
      </c>
      <c r="E875" s="122"/>
      <c r="F875" s="122"/>
      <c r="G875" s="123"/>
      <c r="H875" s="124" t="s">
        <v>14</v>
      </c>
      <c r="I875" s="125"/>
      <c r="J875" s="121">
        <f>J817</f>
        <v>46037</v>
      </c>
      <c r="K875" s="122"/>
      <c r="L875" s="122"/>
      <c r="M875" s="123"/>
    </row>
    <row r="876" spans="1:20" s="2" customFormat="1" ht="30" customHeight="1">
      <c r="A876" s="72" t="s">
        <v>15</v>
      </c>
      <c r="B876" s="114"/>
      <c r="C876" s="114"/>
      <c r="D876" s="72"/>
      <c r="E876" s="72"/>
      <c r="F876" s="72"/>
      <c r="G876" s="72"/>
      <c r="H876" s="64" t="s">
        <v>16</v>
      </c>
      <c r="I876" s="115"/>
      <c r="J876" s="116">
        <f>P892</f>
        <v>0</v>
      </c>
      <c r="K876" s="117"/>
      <c r="L876" s="117"/>
      <c r="M876" s="118"/>
    </row>
    <row r="877" spans="1:20" s="2" customFormat="1" ht="30" customHeight="1">
      <c r="A877" s="72" t="s">
        <v>17</v>
      </c>
      <c r="B877" s="114"/>
      <c r="C877" s="114"/>
      <c r="D877" s="72">
        <f>D876+D819</f>
        <v>100.00000000000004</v>
      </c>
      <c r="E877" s="72"/>
      <c r="F877" s="72"/>
      <c r="G877" s="72"/>
      <c r="H877" s="64" t="s">
        <v>18</v>
      </c>
      <c r="I877" s="115"/>
      <c r="J877" s="116">
        <f>J876+J819</f>
        <v>25.469999999999992</v>
      </c>
      <c r="K877" s="117"/>
      <c r="L877" s="117"/>
      <c r="M877" s="118"/>
    </row>
    <row r="878" spans="1:20" s="2" customFormat="1" ht="30" customHeight="1">
      <c r="A878" s="111" t="s">
        <v>19</v>
      </c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12"/>
      <c r="M878" s="113"/>
    </row>
    <row r="879" spans="1:20" s="2" customFormat="1" ht="30" customHeight="1">
      <c r="A879" s="8" t="s">
        <v>20</v>
      </c>
      <c r="B879" s="72" t="s">
        <v>21</v>
      </c>
      <c r="C879" s="72"/>
      <c r="D879" s="72"/>
      <c r="E879" s="4" t="s">
        <v>22</v>
      </c>
      <c r="F879" s="54" t="s">
        <v>23</v>
      </c>
      <c r="G879" s="59"/>
      <c r="H879" s="72" t="s">
        <v>24</v>
      </c>
      <c r="I879" s="72"/>
      <c r="J879" s="72" t="s">
        <v>25</v>
      </c>
      <c r="K879" s="72"/>
      <c r="L879" s="72" t="s">
        <v>26</v>
      </c>
      <c r="M879" s="72"/>
      <c r="O879" s="1" t="s">
        <v>27</v>
      </c>
      <c r="P879" s="1" t="s">
        <v>28</v>
      </c>
      <c r="T879" s="2" t="s">
        <v>29</v>
      </c>
    </row>
    <row r="880" spans="1:20" s="2" customFormat="1" ht="24.95" customHeight="1">
      <c r="A880" s="9" t="s">
        <v>30</v>
      </c>
      <c r="B880" s="110" t="s">
        <v>31</v>
      </c>
      <c r="C880" s="110"/>
      <c r="D880" s="110"/>
      <c r="E880" s="4"/>
      <c r="F880" s="54"/>
      <c r="G880" s="59"/>
      <c r="H880" s="72"/>
      <c r="I880" s="72"/>
      <c r="J880" s="72"/>
      <c r="K880" s="72"/>
      <c r="L880" s="72"/>
      <c r="M880" s="72"/>
    </row>
    <row r="881" spans="1:20" ht="24.95" customHeight="1">
      <c r="A881" s="10">
        <v>1</v>
      </c>
      <c r="B881" s="66" t="s">
        <v>91</v>
      </c>
      <c r="C881" s="67" t="s">
        <v>91</v>
      </c>
      <c r="D881" s="68" t="s">
        <v>91</v>
      </c>
      <c r="E881" s="4" t="s">
        <v>32</v>
      </c>
      <c r="F881" s="69">
        <v>1</v>
      </c>
      <c r="G881" s="70"/>
      <c r="H881" s="69"/>
      <c r="I881" s="70"/>
      <c r="J881" s="71">
        <f>H881+J823</f>
        <v>1</v>
      </c>
      <c r="K881" s="71"/>
      <c r="L881" s="72"/>
      <c r="M881" s="72"/>
      <c r="O881" s="11">
        <v>4000</v>
      </c>
      <c r="P881" s="11">
        <f>ROUND(H881*O881,0)</f>
        <v>0</v>
      </c>
      <c r="Q881" s="12"/>
      <c r="S881" s="11">
        <f>ROUND(J881*O881,0)</f>
        <v>4000</v>
      </c>
      <c r="T881" s="13">
        <f>F881-J881</f>
        <v>0</v>
      </c>
    </row>
    <row r="882" spans="1:20" ht="24.95" customHeight="1">
      <c r="A882" s="10">
        <v>2</v>
      </c>
      <c r="B882" s="66" t="s">
        <v>92</v>
      </c>
      <c r="C882" s="67" t="s">
        <v>92</v>
      </c>
      <c r="D882" s="68" t="s">
        <v>92</v>
      </c>
      <c r="E882" s="4" t="s">
        <v>32</v>
      </c>
      <c r="F882" s="69">
        <v>1</v>
      </c>
      <c r="G882" s="70"/>
      <c r="H882" s="69"/>
      <c r="I882" s="70"/>
      <c r="J882" s="71">
        <f t="shared" ref="J882:J889" si="101">H882+J824</f>
        <v>1</v>
      </c>
      <c r="K882" s="71"/>
      <c r="L882" s="72"/>
      <c r="M882" s="72"/>
      <c r="O882" s="11">
        <v>14334</v>
      </c>
      <c r="P882" s="11">
        <f t="shared" ref="P882:P889" si="102">ROUND(H882*O882,0)</f>
        <v>0</v>
      </c>
      <c r="Q882" s="12"/>
      <c r="S882" s="11">
        <f t="shared" ref="S882:S889" si="103">ROUND(J882*O882,0)</f>
        <v>14334</v>
      </c>
      <c r="T882" s="13">
        <f t="shared" ref="T882:T889" si="104">F882-J882</f>
        <v>0</v>
      </c>
    </row>
    <row r="883" spans="1:20" ht="24.95" customHeight="1">
      <c r="A883" s="10">
        <v>3</v>
      </c>
      <c r="B883" s="66" t="s">
        <v>84</v>
      </c>
      <c r="C883" s="67" t="s">
        <v>84</v>
      </c>
      <c r="D883" s="68" t="s">
        <v>84</v>
      </c>
      <c r="E883" s="4" t="s">
        <v>33</v>
      </c>
      <c r="F883" s="69">
        <v>1</v>
      </c>
      <c r="G883" s="70"/>
      <c r="H883" s="69"/>
      <c r="I883" s="70"/>
      <c r="J883" s="71">
        <f t="shared" si="101"/>
        <v>0.5</v>
      </c>
      <c r="K883" s="71"/>
      <c r="L883" s="72"/>
      <c r="M883" s="72"/>
      <c r="O883" s="11">
        <v>7000</v>
      </c>
      <c r="P883" s="11">
        <f t="shared" si="102"/>
        <v>0</v>
      </c>
      <c r="Q883" s="12"/>
      <c r="S883" s="11">
        <f t="shared" si="103"/>
        <v>3500</v>
      </c>
      <c r="T883" s="13">
        <f t="shared" si="104"/>
        <v>0.5</v>
      </c>
    </row>
    <row r="884" spans="1:20" ht="24.95" customHeight="1">
      <c r="A884" s="10">
        <v>4</v>
      </c>
      <c r="B884" s="66" t="s">
        <v>85</v>
      </c>
      <c r="C884" s="67" t="s">
        <v>85</v>
      </c>
      <c r="D884" s="68" t="s">
        <v>85</v>
      </c>
      <c r="E884" s="4" t="s">
        <v>34</v>
      </c>
      <c r="F884" s="69">
        <v>1</v>
      </c>
      <c r="G884" s="70"/>
      <c r="H884" s="69"/>
      <c r="I884" s="70"/>
      <c r="J884" s="71">
        <f t="shared" si="101"/>
        <v>1</v>
      </c>
      <c r="K884" s="71"/>
      <c r="L884" s="72"/>
      <c r="M884" s="72"/>
      <c r="O884" s="11">
        <v>74000</v>
      </c>
      <c r="P884" s="11">
        <f t="shared" si="102"/>
        <v>0</v>
      </c>
      <c r="Q884" s="12"/>
      <c r="S884" s="11">
        <f t="shared" si="103"/>
        <v>74000</v>
      </c>
      <c r="T884" s="13">
        <f t="shared" si="104"/>
        <v>0</v>
      </c>
    </row>
    <row r="885" spans="1:20" ht="24.95" customHeight="1">
      <c r="A885" s="10">
        <v>5</v>
      </c>
      <c r="B885" s="66" t="s">
        <v>86</v>
      </c>
      <c r="C885" s="67" t="s">
        <v>86</v>
      </c>
      <c r="D885" s="68" t="s">
        <v>86</v>
      </c>
      <c r="E885" s="4" t="s">
        <v>93</v>
      </c>
      <c r="F885" s="69">
        <v>396</v>
      </c>
      <c r="G885" s="70"/>
      <c r="H885" s="69"/>
      <c r="I885" s="70"/>
      <c r="J885" s="71">
        <f t="shared" si="101"/>
        <v>350</v>
      </c>
      <c r="K885" s="71"/>
      <c r="L885" s="72"/>
      <c r="M885" s="72"/>
      <c r="O885" s="11">
        <v>200</v>
      </c>
      <c r="P885" s="11">
        <f t="shared" si="102"/>
        <v>0</v>
      </c>
      <c r="Q885" s="12"/>
      <c r="S885" s="11">
        <f t="shared" si="103"/>
        <v>70000</v>
      </c>
      <c r="T885" s="13">
        <f t="shared" si="104"/>
        <v>46</v>
      </c>
    </row>
    <row r="886" spans="1:20" ht="24.95" customHeight="1">
      <c r="A886" s="10">
        <v>6</v>
      </c>
      <c r="B886" s="66" t="s">
        <v>97</v>
      </c>
      <c r="C886" s="67" t="s">
        <v>87</v>
      </c>
      <c r="D886" s="68" t="s">
        <v>87</v>
      </c>
      <c r="E886" s="4" t="s">
        <v>35</v>
      </c>
      <c r="F886" s="69">
        <v>80</v>
      </c>
      <c r="G886" s="70">
        <v>183.6</v>
      </c>
      <c r="H886" s="69"/>
      <c r="I886" s="70"/>
      <c r="J886" s="71">
        <f t="shared" si="101"/>
        <v>78</v>
      </c>
      <c r="K886" s="71"/>
      <c r="L886" s="54"/>
      <c r="M886" s="59"/>
      <c r="O886" s="11">
        <v>1463</v>
      </c>
      <c r="P886" s="11">
        <f t="shared" si="102"/>
        <v>0</v>
      </c>
      <c r="S886" s="11">
        <f t="shared" si="103"/>
        <v>114114</v>
      </c>
      <c r="T886" s="13">
        <f t="shared" si="104"/>
        <v>2</v>
      </c>
    </row>
    <row r="887" spans="1:20" ht="24.95" customHeight="1">
      <c r="A887" s="10">
        <v>7</v>
      </c>
      <c r="B887" s="66" t="s">
        <v>88</v>
      </c>
      <c r="C887" s="67" t="s">
        <v>88</v>
      </c>
      <c r="D887" s="68" t="s">
        <v>88</v>
      </c>
      <c r="E887" s="4" t="s">
        <v>94</v>
      </c>
      <c r="F887" s="69">
        <v>126</v>
      </c>
      <c r="G887" s="70">
        <v>19</v>
      </c>
      <c r="H887" s="69"/>
      <c r="I887" s="70"/>
      <c r="J887" s="71">
        <f t="shared" si="101"/>
        <v>0</v>
      </c>
      <c r="K887" s="71"/>
      <c r="L887" s="54"/>
      <c r="M887" s="59"/>
      <c r="O887" s="11">
        <v>6350</v>
      </c>
      <c r="P887" s="11">
        <f t="shared" si="102"/>
        <v>0</v>
      </c>
      <c r="S887" s="11">
        <f t="shared" si="103"/>
        <v>0</v>
      </c>
      <c r="T887" s="13">
        <f t="shared" si="104"/>
        <v>126</v>
      </c>
    </row>
    <row r="888" spans="1:20" ht="24.95" customHeight="1">
      <c r="A888" s="10">
        <v>8</v>
      </c>
      <c r="B888" s="66" t="s">
        <v>89</v>
      </c>
      <c r="C888" s="67" t="s">
        <v>89</v>
      </c>
      <c r="D888" s="68" t="s">
        <v>89</v>
      </c>
      <c r="E888" s="4" t="s">
        <v>95</v>
      </c>
      <c r="F888" s="69">
        <v>1</v>
      </c>
      <c r="G888" s="70">
        <v>1192</v>
      </c>
      <c r="H888" s="69"/>
      <c r="I888" s="70"/>
      <c r="J888" s="71">
        <f t="shared" si="101"/>
        <v>0.3</v>
      </c>
      <c r="K888" s="71"/>
      <c r="L888" s="54"/>
      <c r="M888" s="59"/>
      <c r="O888" s="11">
        <v>47600</v>
      </c>
      <c r="P888" s="11">
        <f t="shared" si="102"/>
        <v>0</v>
      </c>
      <c r="S888" s="11">
        <f t="shared" si="103"/>
        <v>14280</v>
      </c>
      <c r="T888" s="13">
        <f t="shared" si="104"/>
        <v>0.7</v>
      </c>
    </row>
    <row r="889" spans="1:20" ht="24.95" customHeight="1">
      <c r="A889" s="10">
        <v>9</v>
      </c>
      <c r="B889" s="66" t="s">
        <v>90</v>
      </c>
      <c r="C889" s="67" t="s">
        <v>90</v>
      </c>
      <c r="D889" s="68" t="s">
        <v>90</v>
      </c>
      <c r="E889" s="4" t="s">
        <v>96</v>
      </c>
      <c r="F889" s="69">
        <v>1</v>
      </c>
      <c r="G889" s="70">
        <v>1261</v>
      </c>
      <c r="H889" s="69"/>
      <c r="I889" s="70"/>
      <c r="J889" s="71">
        <f t="shared" si="101"/>
        <v>0</v>
      </c>
      <c r="K889" s="71"/>
      <c r="L889" s="54"/>
      <c r="M889" s="59"/>
      <c r="O889" s="11">
        <v>10000</v>
      </c>
      <c r="P889" s="11">
        <f t="shared" si="102"/>
        <v>0</v>
      </c>
      <c r="S889" s="11">
        <f t="shared" si="103"/>
        <v>0</v>
      </c>
      <c r="T889" s="13">
        <f t="shared" si="104"/>
        <v>1</v>
      </c>
    </row>
    <row r="890" spans="1:20" ht="24.95" customHeight="1">
      <c r="A890" s="14"/>
      <c r="B890" s="15"/>
      <c r="C890" s="16"/>
      <c r="D890" s="17"/>
      <c r="E890" s="4"/>
      <c r="F890" s="18"/>
      <c r="G890" s="19"/>
      <c r="H890" s="105"/>
      <c r="I890" s="106"/>
      <c r="J890" s="105"/>
      <c r="K890" s="106"/>
      <c r="L890" s="54"/>
      <c r="M890" s="59"/>
      <c r="N890" s="20"/>
      <c r="P890" s="21" t="s">
        <v>37</v>
      </c>
      <c r="Q890" s="22">
        <f>SUM(P881:P889)</f>
        <v>0</v>
      </c>
      <c r="R890" s="23"/>
      <c r="S890" s="24">
        <f>SUM(S881:S889)</f>
        <v>294228</v>
      </c>
      <c r="T890" s="13"/>
    </row>
    <row r="891" spans="1:20" ht="24.95" customHeight="1">
      <c r="A891" s="107"/>
      <c r="B891" s="108"/>
      <c r="C891" s="108"/>
      <c r="D891" s="109"/>
      <c r="E891" s="4"/>
      <c r="F891" s="54"/>
      <c r="G891" s="59"/>
      <c r="H891" s="72"/>
      <c r="I891" s="72"/>
      <c r="J891" s="72"/>
      <c r="K891" s="72"/>
      <c r="L891" s="72"/>
      <c r="M891" s="72"/>
      <c r="O891" t="s">
        <v>38</v>
      </c>
      <c r="P891" s="24">
        <f>Q890</f>
        <v>0</v>
      </c>
      <c r="T891" s="13"/>
    </row>
    <row r="892" spans="1:20" ht="24.95" customHeight="1">
      <c r="A892" s="97"/>
      <c r="B892" s="98"/>
      <c r="C892" s="98"/>
      <c r="D892" s="99"/>
      <c r="E892" s="4"/>
      <c r="F892" s="54"/>
      <c r="G892" s="59"/>
      <c r="H892" s="72"/>
      <c r="I892" s="72"/>
      <c r="J892" s="72"/>
      <c r="K892" s="72"/>
      <c r="L892" s="72"/>
      <c r="M892" s="72"/>
      <c r="O892" t="s">
        <v>39</v>
      </c>
      <c r="P892" s="23">
        <f>ROUND(P891/1153274,4)*100</f>
        <v>0</v>
      </c>
      <c r="T892" s="13"/>
    </row>
    <row r="893" spans="1:20" ht="24.95" customHeight="1">
      <c r="A893" s="25"/>
      <c r="B893" s="63" t="s">
        <v>40</v>
      </c>
      <c r="C893" s="63"/>
      <c r="D893" s="59"/>
      <c r="E893" s="26"/>
      <c r="F893" s="100"/>
      <c r="G893" s="101"/>
      <c r="H893" s="100"/>
      <c r="I893" s="101"/>
      <c r="J893" s="102"/>
      <c r="K893" s="102"/>
      <c r="L893" s="103">
        <f>P891</f>
        <v>0</v>
      </c>
      <c r="M893" s="104"/>
      <c r="T893" s="13"/>
    </row>
    <row r="894" spans="1:20" ht="24.95" customHeight="1" thickBot="1">
      <c r="A894" s="27"/>
      <c r="B894" s="85" t="s">
        <v>41</v>
      </c>
      <c r="C894" s="85"/>
      <c r="D894" s="86"/>
      <c r="E894" s="28"/>
      <c r="F894" s="87"/>
      <c r="G894" s="88"/>
      <c r="H894" s="87"/>
      <c r="I894" s="88"/>
      <c r="J894" s="87"/>
      <c r="K894" s="88"/>
      <c r="L894" s="89">
        <f>L893+L836</f>
        <v>294228</v>
      </c>
      <c r="M894" s="90"/>
      <c r="T894" s="13"/>
    </row>
    <row r="895" spans="1:20" ht="24.95" customHeight="1">
      <c r="A895" s="29"/>
      <c r="B895" s="91" t="s">
        <v>42</v>
      </c>
      <c r="C895" s="91"/>
      <c r="D895" s="92"/>
      <c r="E895" s="30"/>
      <c r="F895" s="93"/>
      <c r="G895" s="94"/>
      <c r="H895" s="95"/>
      <c r="I895" s="95"/>
      <c r="J895" s="95"/>
      <c r="K895" s="95"/>
      <c r="L895" s="95"/>
      <c r="M895" s="96"/>
      <c r="T895" s="13"/>
    </row>
    <row r="896" spans="1:20" ht="24.95" customHeight="1">
      <c r="A896" s="31"/>
      <c r="B896" s="76" t="s">
        <v>43</v>
      </c>
      <c r="C896" s="76"/>
      <c r="D896" s="77"/>
      <c r="E896" s="4"/>
      <c r="F896" s="54"/>
      <c r="G896" s="59"/>
      <c r="H896" s="72"/>
      <c r="I896" s="72"/>
      <c r="J896" s="72"/>
      <c r="K896" s="72"/>
      <c r="L896" s="72"/>
      <c r="M896" s="78"/>
      <c r="T896" s="13"/>
    </row>
    <row r="897" spans="1:20" ht="24.95" customHeight="1" thickBot="1">
      <c r="A897" s="32"/>
      <c r="B897" s="79" t="s">
        <v>44</v>
      </c>
      <c r="C897" s="79"/>
      <c r="D897" s="80"/>
      <c r="E897" s="33"/>
      <c r="F897" s="81"/>
      <c r="G897" s="82"/>
      <c r="H897" s="83"/>
      <c r="I897" s="83"/>
      <c r="J897" s="83"/>
      <c r="K897" s="83"/>
      <c r="L897" s="83"/>
      <c r="M897" s="84"/>
      <c r="T897" s="13"/>
    </row>
    <row r="898" spans="1:20" ht="24.95" customHeight="1">
      <c r="A898" s="73" t="s">
        <v>45</v>
      </c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T898" s="13"/>
    </row>
    <row r="899" spans="1:20" ht="24.95" customHeight="1">
      <c r="A899" s="72" t="s">
        <v>46</v>
      </c>
      <c r="B899" s="75"/>
      <c r="C899" s="75"/>
      <c r="D899" s="75"/>
      <c r="E899" s="4" t="s">
        <v>22</v>
      </c>
      <c r="F899" s="72" t="s">
        <v>47</v>
      </c>
      <c r="G899" s="72"/>
      <c r="H899" s="72" t="s">
        <v>48</v>
      </c>
      <c r="I899" s="72"/>
      <c r="J899" s="72" t="s">
        <v>49</v>
      </c>
      <c r="K899" s="72"/>
      <c r="L899" s="72" t="s">
        <v>50</v>
      </c>
      <c r="M899" s="72"/>
      <c r="T899" s="13"/>
    </row>
    <row r="900" spans="1:20" ht="24.95" customHeight="1">
      <c r="A900" s="10">
        <v>6</v>
      </c>
      <c r="B900" s="66" t="s">
        <v>97</v>
      </c>
      <c r="C900" s="67" t="s">
        <v>51</v>
      </c>
      <c r="D900" s="68" t="s">
        <v>51</v>
      </c>
      <c r="E900" s="4" t="s">
        <v>35</v>
      </c>
      <c r="F900" s="69">
        <v>80</v>
      </c>
      <c r="G900" s="70">
        <v>1261</v>
      </c>
      <c r="H900" s="71">
        <f>H886</f>
        <v>0</v>
      </c>
      <c r="I900" s="71"/>
      <c r="J900" s="71">
        <f>H900+J842</f>
        <v>78</v>
      </c>
      <c r="K900" s="71"/>
      <c r="L900" s="72"/>
      <c r="M900" s="72"/>
      <c r="T900" s="13"/>
    </row>
    <row r="901" spans="1:20" ht="24.95" customHeight="1">
      <c r="A901" s="10">
        <v>7</v>
      </c>
      <c r="B901" s="66" t="s">
        <v>88</v>
      </c>
      <c r="C901" s="67" t="s">
        <v>88</v>
      </c>
      <c r="D901" s="68" t="s">
        <v>88</v>
      </c>
      <c r="E901" s="4" t="s">
        <v>98</v>
      </c>
      <c r="F901" s="69">
        <v>126</v>
      </c>
      <c r="G901" s="70"/>
      <c r="H901" s="71">
        <f>H887</f>
        <v>0</v>
      </c>
      <c r="I901" s="71"/>
      <c r="J901" s="71">
        <f t="shared" ref="J901:J902" si="105">H901+J843</f>
        <v>0</v>
      </c>
      <c r="K901" s="71"/>
      <c r="L901" s="72"/>
      <c r="M901" s="72"/>
      <c r="T901" s="13"/>
    </row>
    <row r="902" spans="1:20" ht="24.95" customHeight="1">
      <c r="A902" s="10">
        <v>8</v>
      </c>
      <c r="B902" s="66" t="s">
        <v>89</v>
      </c>
      <c r="C902" s="67" t="s">
        <v>89</v>
      </c>
      <c r="D902" s="68" t="s">
        <v>89</v>
      </c>
      <c r="E902" s="4" t="s">
        <v>36</v>
      </c>
      <c r="F902" s="69">
        <v>1</v>
      </c>
      <c r="G902" s="70"/>
      <c r="H902" s="71">
        <f>H888</f>
        <v>0</v>
      </c>
      <c r="I902" s="71"/>
      <c r="J902" s="71">
        <f t="shared" si="105"/>
        <v>0.3</v>
      </c>
      <c r="K902" s="71"/>
      <c r="L902" s="72"/>
      <c r="M902" s="72"/>
      <c r="T902" s="13"/>
    </row>
    <row r="903" spans="1:20" ht="24.95" customHeight="1">
      <c r="A903" s="51" t="s">
        <v>52</v>
      </c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3"/>
      <c r="T903" s="13"/>
    </row>
    <row r="904" spans="1:20" ht="24.95" customHeight="1">
      <c r="A904" s="54" t="s">
        <v>53</v>
      </c>
      <c r="B904" s="63"/>
      <c r="C904" s="63"/>
      <c r="D904" s="59"/>
      <c r="E904" s="4" t="s">
        <v>54</v>
      </c>
      <c r="F904" s="54" t="s">
        <v>55</v>
      </c>
      <c r="G904" s="59"/>
      <c r="H904" s="54" t="s">
        <v>56</v>
      </c>
      <c r="I904" s="59"/>
      <c r="J904" s="54" t="s">
        <v>48</v>
      </c>
      <c r="K904" s="59"/>
      <c r="L904" s="64" t="s">
        <v>49</v>
      </c>
      <c r="M904" s="65"/>
      <c r="T904" s="13"/>
    </row>
    <row r="905" spans="1:20" ht="24.95" customHeight="1">
      <c r="A905" s="54" t="s">
        <v>57</v>
      </c>
      <c r="B905" s="55"/>
      <c r="C905" s="55"/>
      <c r="D905" s="56"/>
      <c r="E905" s="4"/>
      <c r="F905" s="57">
        <f>E905+F847</f>
        <v>28</v>
      </c>
      <c r="G905" s="58"/>
      <c r="H905" s="54" t="s">
        <v>58</v>
      </c>
      <c r="I905" s="59"/>
      <c r="J905" s="54"/>
      <c r="K905" s="59"/>
      <c r="L905" s="57">
        <f>J905+L847</f>
        <v>15</v>
      </c>
      <c r="M905" s="58"/>
      <c r="T905" s="13"/>
    </row>
    <row r="906" spans="1:20" ht="24.95" customHeight="1">
      <c r="A906" s="54" t="s">
        <v>59</v>
      </c>
      <c r="B906" s="55"/>
      <c r="C906" s="55"/>
      <c r="D906" s="56"/>
      <c r="E906" s="4"/>
      <c r="F906" s="57">
        <f t="shared" ref="F906:F908" si="106">E906+F848</f>
        <v>0</v>
      </c>
      <c r="G906" s="58"/>
      <c r="H906" s="54" t="s">
        <v>60</v>
      </c>
      <c r="I906" s="59"/>
      <c r="J906" s="54"/>
      <c r="K906" s="59"/>
      <c r="L906" s="57">
        <f t="shared" ref="L906:L908" si="107">J906+L848</f>
        <v>0</v>
      </c>
      <c r="M906" s="58"/>
      <c r="T906" s="13"/>
    </row>
    <row r="907" spans="1:20" ht="24.95" customHeight="1">
      <c r="A907" s="54" t="s">
        <v>61</v>
      </c>
      <c r="B907" s="55"/>
      <c r="C907" s="55"/>
      <c r="D907" s="56"/>
      <c r="E907" s="4"/>
      <c r="F907" s="57">
        <f t="shared" si="106"/>
        <v>2</v>
      </c>
      <c r="G907" s="58"/>
      <c r="H907" s="54" t="s">
        <v>62</v>
      </c>
      <c r="I907" s="59"/>
      <c r="J907" s="54"/>
      <c r="K907" s="59"/>
      <c r="L907" s="57">
        <f t="shared" si="107"/>
        <v>5</v>
      </c>
      <c r="M907" s="58"/>
      <c r="T907" s="13"/>
    </row>
    <row r="908" spans="1:20" ht="24.95" customHeight="1">
      <c r="A908" s="54" t="s">
        <v>63</v>
      </c>
      <c r="B908" s="55"/>
      <c r="C908" s="55"/>
      <c r="D908" s="56"/>
      <c r="E908" s="4"/>
      <c r="F908" s="57">
        <f t="shared" si="106"/>
        <v>4</v>
      </c>
      <c r="G908" s="58"/>
      <c r="H908" s="54" t="s">
        <v>64</v>
      </c>
      <c r="I908" s="59"/>
      <c r="J908" s="54"/>
      <c r="K908" s="59"/>
      <c r="L908" s="57">
        <f t="shared" si="107"/>
        <v>1</v>
      </c>
      <c r="M908" s="58"/>
      <c r="T908" s="13"/>
    </row>
    <row r="909" spans="1:20" ht="64.5" customHeight="1">
      <c r="A909" s="60" t="s">
        <v>65</v>
      </c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2"/>
      <c r="T909" s="13"/>
    </row>
    <row r="910" spans="1:20" ht="24.95" customHeight="1">
      <c r="A910" s="46" t="s">
        <v>66</v>
      </c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8"/>
      <c r="T910" s="13"/>
    </row>
    <row r="911" spans="1:20" ht="24.95" customHeight="1">
      <c r="A911" s="27"/>
      <c r="B911" s="34" t="s">
        <v>67</v>
      </c>
      <c r="C911" s="34"/>
      <c r="D911" s="34"/>
      <c r="E911" s="34"/>
      <c r="F911" s="34"/>
      <c r="G911" s="35"/>
      <c r="H911" s="34"/>
      <c r="I911" s="34"/>
      <c r="J911" s="34"/>
      <c r="K911" s="34"/>
      <c r="L911" s="34"/>
      <c r="M911" s="36"/>
      <c r="T911" s="13"/>
    </row>
    <row r="912" spans="1:20" ht="24.95" customHeight="1">
      <c r="A912" s="27"/>
      <c r="B912" s="34" t="s">
        <v>81</v>
      </c>
      <c r="C912" s="34"/>
      <c r="D912" s="34"/>
      <c r="E912" s="34"/>
      <c r="F912" s="34"/>
      <c r="G912" s="35"/>
      <c r="H912" s="34"/>
      <c r="I912" s="34"/>
      <c r="J912" s="34"/>
      <c r="K912" s="34"/>
      <c r="L912" s="34"/>
      <c r="M912" s="36"/>
      <c r="T912" s="13"/>
    </row>
    <row r="913" spans="1:20" ht="24.95" customHeight="1">
      <c r="A913" s="27"/>
      <c r="B913" s="34" t="s">
        <v>68</v>
      </c>
      <c r="C913" s="34"/>
      <c r="D913" s="34"/>
      <c r="E913" s="34"/>
      <c r="F913" s="34"/>
      <c r="G913" s="35"/>
      <c r="H913" s="34"/>
      <c r="I913" s="34"/>
      <c r="J913" s="34"/>
      <c r="K913" s="34"/>
      <c r="L913" s="34"/>
      <c r="M913" s="36"/>
      <c r="T913" s="13"/>
    </row>
    <row r="914" spans="1:20" ht="24.95" customHeight="1">
      <c r="A914" s="27"/>
      <c r="B914" s="34" t="s">
        <v>82</v>
      </c>
      <c r="C914" s="34"/>
      <c r="D914" s="34"/>
      <c r="E914" s="34"/>
      <c r="F914" s="34"/>
      <c r="G914" s="35"/>
      <c r="H914" s="34"/>
      <c r="I914" s="34"/>
      <c r="J914" s="34"/>
      <c r="K914" s="34"/>
      <c r="L914" s="34"/>
      <c r="M914" s="36"/>
      <c r="T914" s="13"/>
    </row>
    <row r="915" spans="1:20" ht="24.95" customHeight="1">
      <c r="A915" s="27"/>
      <c r="B915" s="34" t="s">
        <v>99</v>
      </c>
      <c r="C915" s="34"/>
      <c r="D915" s="34"/>
      <c r="E915" s="34"/>
      <c r="F915" s="34"/>
      <c r="G915" s="35"/>
      <c r="H915" s="34"/>
      <c r="I915" s="34"/>
      <c r="J915" s="34"/>
      <c r="K915" s="34"/>
      <c r="L915" s="34"/>
      <c r="M915" s="36"/>
      <c r="T915" s="13"/>
    </row>
    <row r="916" spans="1:20" ht="24.95" customHeight="1">
      <c r="A916" s="37"/>
      <c r="B916" s="49" t="s">
        <v>69</v>
      </c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50"/>
      <c r="T916" s="13"/>
    </row>
    <row r="917" spans="1:20" ht="44.25" customHeight="1">
      <c r="A917" s="51" t="s">
        <v>70</v>
      </c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3"/>
      <c r="T917" s="13"/>
    </row>
    <row r="918" spans="1:20" ht="48" customHeight="1">
      <c r="A918" s="51" t="s">
        <v>71</v>
      </c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3"/>
      <c r="T918" s="13"/>
    </row>
    <row r="919" spans="1:20" ht="81" customHeight="1">
      <c r="A919" s="51" t="s">
        <v>80</v>
      </c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3"/>
      <c r="T919" s="13"/>
    </row>
    <row r="920" spans="1:20" ht="100.5" customHeight="1">
      <c r="A920" s="51" t="s">
        <v>72</v>
      </c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3"/>
      <c r="T920" s="13"/>
    </row>
    <row r="921" spans="1:20" ht="12" customHeight="1">
      <c r="A921" s="41" t="s">
        <v>73</v>
      </c>
      <c r="B921" s="41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38"/>
      <c r="T921" s="13"/>
    </row>
    <row r="922" spans="1:20" ht="12" customHeight="1">
      <c r="A922" s="43" t="s">
        <v>74</v>
      </c>
      <c r="B922" s="43"/>
      <c r="C922" s="40"/>
      <c r="D922" s="40"/>
      <c r="E922" s="40"/>
      <c r="F922" s="40"/>
      <c r="G922" s="40"/>
      <c r="H922" s="40"/>
      <c r="I922" s="40"/>
      <c r="J922" s="40"/>
      <c r="K922" s="40"/>
      <c r="L922" s="38"/>
      <c r="M922" s="38"/>
      <c r="T922" s="13"/>
    </row>
    <row r="923" spans="1:20" ht="12" customHeight="1">
      <c r="A923" s="44" t="s">
        <v>75</v>
      </c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T923" s="13"/>
    </row>
    <row r="924" spans="1:20" ht="12" customHeight="1">
      <c r="A924" s="39" t="s">
        <v>76</v>
      </c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T924" s="13"/>
    </row>
    <row r="925" spans="1:20" ht="12" customHeight="1">
      <c r="A925" s="39" t="s">
        <v>77</v>
      </c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T925" s="13"/>
    </row>
    <row r="926" spans="1:20" ht="12" customHeight="1">
      <c r="A926" s="45" t="s">
        <v>78</v>
      </c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T926" s="13"/>
    </row>
    <row r="927" spans="1:20" ht="12" customHeight="1">
      <c r="A927" s="39" t="s">
        <v>79</v>
      </c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T927" s="13"/>
    </row>
    <row r="928" spans="1:20" ht="409.5" customHeight="1"/>
    <row r="929" spans="1:20" s="2" customFormat="1" ht="35.1" customHeight="1">
      <c r="A929" s="126" t="s">
        <v>0</v>
      </c>
      <c r="B929" s="126"/>
      <c r="C929" s="1">
        <f>C871+1</f>
        <v>52</v>
      </c>
      <c r="G929" s="3"/>
    </row>
    <row r="930" spans="1:20" s="2" customFormat="1" ht="35.1" customHeight="1">
      <c r="A930" s="126" t="s">
        <v>1</v>
      </c>
      <c r="B930" s="126"/>
      <c r="C930" s="2" t="s">
        <v>2</v>
      </c>
      <c r="E930" s="2" t="s">
        <v>3</v>
      </c>
      <c r="G930" s="3"/>
      <c r="H930" s="127" t="s">
        <v>4</v>
      </c>
      <c r="I930" s="128"/>
      <c r="J930" s="129">
        <f>J872+1</f>
        <v>46039</v>
      </c>
      <c r="K930" s="130"/>
      <c r="L930" s="131">
        <f>J930</f>
        <v>46039</v>
      </c>
      <c r="M930" s="132"/>
    </row>
    <row r="931" spans="1:20" s="2" customFormat="1" ht="30" customHeight="1">
      <c r="A931" s="72" t="s">
        <v>5</v>
      </c>
      <c r="B931" s="114"/>
      <c r="C931" s="119" t="s">
        <v>83</v>
      </c>
      <c r="D931" s="119"/>
      <c r="E931" s="119"/>
      <c r="F931" s="119"/>
      <c r="G931" s="119"/>
      <c r="H931" s="54" t="s">
        <v>6</v>
      </c>
      <c r="I931" s="59"/>
      <c r="J931" s="120"/>
      <c r="K931" s="120"/>
      <c r="L931" s="120"/>
      <c r="M931" s="120"/>
    </row>
    <row r="932" spans="1:20" s="1" customFormat="1" ht="30" customHeight="1">
      <c r="A932" s="72" t="s">
        <v>7</v>
      </c>
      <c r="B932" s="114"/>
      <c r="C932" s="4">
        <v>50</v>
      </c>
      <c r="D932" s="4" t="s">
        <v>8</v>
      </c>
      <c r="E932" s="4" t="s">
        <v>9</v>
      </c>
      <c r="F932" s="4">
        <f>F874+1</f>
        <v>52</v>
      </c>
      <c r="G932" s="5" t="s">
        <v>8</v>
      </c>
      <c r="H932" s="4" t="s">
        <v>10</v>
      </c>
      <c r="I932" s="4">
        <f>C932-F932+L932</f>
        <v>-2</v>
      </c>
      <c r="J932" s="4" t="s">
        <v>11</v>
      </c>
      <c r="K932" s="6" t="s">
        <v>12</v>
      </c>
      <c r="L932" s="7">
        <f>L874</f>
        <v>0</v>
      </c>
      <c r="M932" s="4" t="s">
        <v>8</v>
      </c>
    </row>
    <row r="933" spans="1:20" s="2" customFormat="1" ht="30" customHeight="1">
      <c r="A933" s="72" t="s">
        <v>13</v>
      </c>
      <c r="B933" s="75"/>
      <c r="C933" s="75"/>
      <c r="D933" s="121">
        <f>D875</f>
        <v>45988</v>
      </c>
      <c r="E933" s="122"/>
      <c r="F933" s="122"/>
      <c r="G933" s="123"/>
      <c r="H933" s="124" t="s">
        <v>14</v>
      </c>
      <c r="I933" s="125"/>
      <c r="J933" s="121">
        <f>J875</f>
        <v>46037</v>
      </c>
      <c r="K933" s="122"/>
      <c r="L933" s="122"/>
      <c r="M933" s="123"/>
    </row>
    <row r="934" spans="1:20" s="2" customFormat="1" ht="30" customHeight="1">
      <c r="A934" s="72" t="s">
        <v>15</v>
      </c>
      <c r="B934" s="114"/>
      <c r="C934" s="114"/>
      <c r="D934" s="72"/>
      <c r="E934" s="72"/>
      <c r="F934" s="72"/>
      <c r="G934" s="72"/>
      <c r="H934" s="64" t="s">
        <v>16</v>
      </c>
      <c r="I934" s="115"/>
      <c r="J934" s="116">
        <f>P950</f>
        <v>0</v>
      </c>
      <c r="K934" s="117"/>
      <c r="L934" s="117"/>
      <c r="M934" s="118"/>
    </row>
    <row r="935" spans="1:20" s="2" customFormat="1" ht="30" customHeight="1">
      <c r="A935" s="72" t="s">
        <v>17</v>
      </c>
      <c r="B935" s="114"/>
      <c r="C935" s="114"/>
      <c r="D935" s="72">
        <f>D934+D877</f>
        <v>100.00000000000004</v>
      </c>
      <c r="E935" s="72"/>
      <c r="F935" s="72"/>
      <c r="G935" s="72"/>
      <c r="H935" s="64" t="s">
        <v>18</v>
      </c>
      <c r="I935" s="115"/>
      <c r="J935" s="116">
        <f>J934+J877</f>
        <v>25.469999999999992</v>
      </c>
      <c r="K935" s="117"/>
      <c r="L935" s="117"/>
      <c r="M935" s="118"/>
    </row>
    <row r="936" spans="1:20" s="2" customFormat="1" ht="30" customHeight="1">
      <c r="A936" s="111" t="s">
        <v>19</v>
      </c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12"/>
      <c r="M936" s="113"/>
    </row>
    <row r="937" spans="1:20" s="2" customFormat="1" ht="30" customHeight="1">
      <c r="A937" s="8" t="s">
        <v>20</v>
      </c>
      <c r="B937" s="72" t="s">
        <v>21</v>
      </c>
      <c r="C937" s="72"/>
      <c r="D937" s="72"/>
      <c r="E937" s="4" t="s">
        <v>22</v>
      </c>
      <c r="F937" s="54" t="s">
        <v>23</v>
      </c>
      <c r="G937" s="59"/>
      <c r="H937" s="72" t="s">
        <v>24</v>
      </c>
      <c r="I937" s="72"/>
      <c r="J937" s="72" t="s">
        <v>25</v>
      </c>
      <c r="K937" s="72"/>
      <c r="L937" s="72" t="s">
        <v>26</v>
      </c>
      <c r="M937" s="72"/>
      <c r="O937" s="1" t="s">
        <v>27</v>
      </c>
      <c r="P937" s="1" t="s">
        <v>28</v>
      </c>
      <c r="T937" s="2" t="s">
        <v>29</v>
      </c>
    </row>
    <row r="938" spans="1:20" s="2" customFormat="1" ht="24.95" customHeight="1">
      <c r="A938" s="9" t="s">
        <v>30</v>
      </c>
      <c r="B938" s="110" t="s">
        <v>31</v>
      </c>
      <c r="C938" s="110"/>
      <c r="D938" s="110"/>
      <c r="E938" s="4"/>
      <c r="F938" s="54"/>
      <c r="G938" s="59"/>
      <c r="H938" s="72"/>
      <c r="I938" s="72"/>
      <c r="J938" s="72"/>
      <c r="K938" s="72"/>
      <c r="L938" s="72"/>
      <c r="M938" s="72"/>
    </row>
    <row r="939" spans="1:20" ht="24.95" customHeight="1">
      <c r="A939" s="10">
        <v>1</v>
      </c>
      <c r="B939" s="66" t="s">
        <v>91</v>
      </c>
      <c r="C939" s="67" t="s">
        <v>91</v>
      </c>
      <c r="D939" s="68" t="s">
        <v>91</v>
      </c>
      <c r="E939" s="4" t="s">
        <v>32</v>
      </c>
      <c r="F939" s="69">
        <v>1</v>
      </c>
      <c r="G939" s="70"/>
      <c r="H939" s="69"/>
      <c r="I939" s="70"/>
      <c r="J939" s="71">
        <f>H939+J881</f>
        <v>1</v>
      </c>
      <c r="K939" s="71"/>
      <c r="L939" s="72"/>
      <c r="M939" s="72"/>
      <c r="O939" s="11">
        <v>4000</v>
      </c>
      <c r="P939" s="11">
        <f>ROUND(H939*O939,0)</f>
        <v>0</v>
      </c>
      <c r="Q939" s="12"/>
      <c r="S939" s="11">
        <f>ROUND(J939*O939,0)</f>
        <v>4000</v>
      </c>
      <c r="T939" s="13">
        <f>F939-J939</f>
        <v>0</v>
      </c>
    </row>
    <row r="940" spans="1:20" ht="24.95" customHeight="1">
      <c r="A940" s="10">
        <v>2</v>
      </c>
      <c r="B940" s="66" t="s">
        <v>92</v>
      </c>
      <c r="C940" s="67" t="s">
        <v>92</v>
      </c>
      <c r="D940" s="68" t="s">
        <v>92</v>
      </c>
      <c r="E940" s="4" t="s">
        <v>32</v>
      </c>
      <c r="F940" s="69">
        <v>1</v>
      </c>
      <c r="G940" s="70"/>
      <c r="H940" s="69"/>
      <c r="I940" s="70"/>
      <c r="J940" s="71">
        <f t="shared" ref="J940:J947" si="108">H940+J882</f>
        <v>1</v>
      </c>
      <c r="K940" s="71"/>
      <c r="L940" s="72"/>
      <c r="M940" s="72"/>
      <c r="O940" s="11">
        <v>14334</v>
      </c>
      <c r="P940" s="11">
        <f t="shared" ref="P940:P947" si="109">ROUND(H940*O940,0)</f>
        <v>0</v>
      </c>
      <c r="Q940" s="12"/>
      <c r="S940" s="11">
        <f t="shared" ref="S940:S947" si="110">ROUND(J940*O940,0)</f>
        <v>14334</v>
      </c>
      <c r="T940" s="13">
        <f t="shared" ref="T940:T947" si="111">F940-J940</f>
        <v>0</v>
      </c>
    </row>
    <row r="941" spans="1:20" ht="24.95" customHeight="1">
      <c r="A941" s="10">
        <v>3</v>
      </c>
      <c r="B941" s="66" t="s">
        <v>84</v>
      </c>
      <c r="C941" s="67" t="s">
        <v>84</v>
      </c>
      <c r="D941" s="68" t="s">
        <v>84</v>
      </c>
      <c r="E941" s="4" t="s">
        <v>33</v>
      </c>
      <c r="F941" s="69">
        <v>1</v>
      </c>
      <c r="G941" s="70"/>
      <c r="H941" s="69"/>
      <c r="I941" s="70"/>
      <c r="J941" s="71">
        <f t="shared" si="108"/>
        <v>0.5</v>
      </c>
      <c r="K941" s="71"/>
      <c r="L941" s="72"/>
      <c r="M941" s="72"/>
      <c r="O941" s="11">
        <v>7000</v>
      </c>
      <c r="P941" s="11">
        <f t="shared" si="109"/>
        <v>0</v>
      </c>
      <c r="Q941" s="12"/>
      <c r="S941" s="11">
        <f t="shared" si="110"/>
        <v>3500</v>
      </c>
      <c r="T941" s="13">
        <f t="shared" si="111"/>
        <v>0.5</v>
      </c>
    </row>
    <row r="942" spans="1:20" ht="24.95" customHeight="1">
      <c r="A942" s="10">
        <v>4</v>
      </c>
      <c r="B942" s="66" t="s">
        <v>85</v>
      </c>
      <c r="C942" s="67" t="s">
        <v>85</v>
      </c>
      <c r="D942" s="68" t="s">
        <v>85</v>
      </c>
      <c r="E942" s="4" t="s">
        <v>34</v>
      </c>
      <c r="F942" s="69">
        <v>1</v>
      </c>
      <c r="G942" s="70"/>
      <c r="H942" s="69"/>
      <c r="I942" s="70"/>
      <c r="J942" s="71">
        <f t="shared" si="108"/>
        <v>1</v>
      </c>
      <c r="K942" s="71"/>
      <c r="L942" s="72"/>
      <c r="M942" s="72"/>
      <c r="O942" s="11">
        <v>74000</v>
      </c>
      <c r="P942" s="11">
        <f t="shared" si="109"/>
        <v>0</v>
      </c>
      <c r="Q942" s="12"/>
      <c r="S942" s="11">
        <f t="shared" si="110"/>
        <v>74000</v>
      </c>
      <c r="T942" s="13">
        <f t="shared" si="111"/>
        <v>0</v>
      </c>
    </row>
    <row r="943" spans="1:20" ht="24.95" customHeight="1">
      <c r="A943" s="10">
        <v>5</v>
      </c>
      <c r="B943" s="66" t="s">
        <v>86</v>
      </c>
      <c r="C943" s="67" t="s">
        <v>86</v>
      </c>
      <c r="D943" s="68" t="s">
        <v>86</v>
      </c>
      <c r="E943" s="4" t="s">
        <v>93</v>
      </c>
      <c r="F943" s="69">
        <v>396</v>
      </c>
      <c r="G943" s="70"/>
      <c r="H943" s="69"/>
      <c r="I943" s="70"/>
      <c r="J943" s="71">
        <f t="shared" si="108"/>
        <v>350</v>
      </c>
      <c r="K943" s="71"/>
      <c r="L943" s="72"/>
      <c r="M943" s="72"/>
      <c r="O943" s="11">
        <v>200</v>
      </c>
      <c r="P943" s="11">
        <f t="shared" si="109"/>
        <v>0</v>
      </c>
      <c r="Q943" s="12"/>
      <c r="S943" s="11">
        <f t="shared" si="110"/>
        <v>70000</v>
      </c>
      <c r="T943" s="13">
        <f t="shared" si="111"/>
        <v>46</v>
      </c>
    </row>
    <row r="944" spans="1:20" ht="24.95" customHeight="1">
      <c r="A944" s="10">
        <v>6</v>
      </c>
      <c r="B944" s="66" t="s">
        <v>97</v>
      </c>
      <c r="C944" s="67" t="s">
        <v>87</v>
      </c>
      <c r="D944" s="68" t="s">
        <v>87</v>
      </c>
      <c r="E944" s="4" t="s">
        <v>35</v>
      </c>
      <c r="F944" s="69">
        <v>80</v>
      </c>
      <c r="G944" s="70">
        <v>183.6</v>
      </c>
      <c r="H944" s="69"/>
      <c r="I944" s="70"/>
      <c r="J944" s="71">
        <f t="shared" si="108"/>
        <v>78</v>
      </c>
      <c r="K944" s="71"/>
      <c r="L944" s="54"/>
      <c r="M944" s="59"/>
      <c r="O944" s="11">
        <v>1463</v>
      </c>
      <c r="P944" s="11">
        <f t="shared" si="109"/>
        <v>0</v>
      </c>
      <c r="S944" s="11">
        <f t="shared" si="110"/>
        <v>114114</v>
      </c>
      <c r="T944" s="13">
        <f t="shared" si="111"/>
        <v>2</v>
      </c>
    </row>
    <row r="945" spans="1:20" ht="24.95" customHeight="1">
      <c r="A945" s="10">
        <v>7</v>
      </c>
      <c r="B945" s="66" t="s">
        <v>88</v>
      </c>
      <c r="C945" s="67" t="s">
        <v>88</v>
      </c>
      <c r="D945" s="68" t="s">
        <v>88</v>
      </c>
      <c r="E945" s="4" t="s">
        <v>94</v>
      </c>
      <c r="F945" s="69">
        <v>126</v>
      </c>
      <c r="G945" s="70">
        <v>19</v>
      </c>
      <c r="H945" s="69"/>
      <c r="I945" s="70"/>
      <c r="J945" s="71">
        <f t="shared" si="108"/>
        <v>0</v>
      </c>
      <c r="K945" s="71"/>
      <c r="L945" s="54"/>
      <c r="M945" s="59"/>
      <c r="O945" s="11">
        <v>6350</v>
      </c>
      <c r="P945" s="11">
        <f t="shared" si="109"/>
        <v>0</v>
      </c>
      <c r="S945" s="11">
        <f t="shared" si="110"/>
        <v>0</v>
      </c>
      <c r="T945" s="13">
        <f t="shared" si="111"/>
        <v>126</v>
      </c>
    </row>
    <row r="946" spans="1:20" ht="24.95" customHeight="1">
      <c r="A946" s="10">
        <v>8</v>
      </c>
      <c r="B946" s="66" t="s">
        <v>89</v>
      </c>
      <c r="C946" s="67" t="s">
        <v>89</v>
      </c>
      <c r="D946" s="68" t="s">
        <v>89</v>
      </c>
      <c r="E946" s="4" t="s">
        <v>95</v>
      </c>
      <c r="F946" s="69">
        <v>1</v>
      </c>
      <c r="G946" s="70">
        <v>1192</v>
      </c>
      <c r="H946" s="69"/>
      <c r="I946" s="70"/>
      <c r="J946" s="71">
        <f t="shared" si="108"/>
        <v>0.3</v>
      </c>
      <c r="K946" s="71"/>
      <c r="L946" s="54"/>
      <c r="M946" s="59"/>
      <c r="O946" s="11">
        <v>47600</v>
      </c>
      <c r="P946" s="11">
        <f t="shared" si="109"/>
        <v>0</v>
      </c>
      <c r="S946" s="11">
        <f t="shared" si="110"/>
        <v>14280</v>
      </c>
      <c r="T946" s="13">
        <f t="shared" si="111"/>
        <v>0.7</v>
      </c>
    </row>
    <row r="947" spans="1:20" ht="24.95" customHeight="1">
      <c r="A947" s="10">
        <v>9</v>
      </c>
      <c r="B947" s="66" t="s">
        <v>90</v>
      </c>
      <c r="C947" s="67" t="s">
        <v>90</v>
      </c>
      <c r="D947" s="68" t="s">
        <v>90</v>
      </c>
      <c r="E947" s="4" t="s">
        <v>96</v>
      </c>
      <c r="F947" s="69">
        <v>1</v>
      </c>
      <c r="G947" s="70">
        <v>1261</v>
      </c>
      <c r="H947" s="69"/>
      <c r="I947" s="70"/>
      <c r="J947" s="71">
        <f t="shared" si="108"/>
        <v>0</v>
      </c>
      <c r="K947" s="71"/>
      <c r="L947" s="54"/>
      <c r="M947" s="59"/>
      <c r="O947" s="11">
        <v>10000</v>
      </c>
      <c r="P947" s="11">
        <f t="shared" si="109"/>
        <v>0</v>
      </c>
      <c r="S947" s="11">
        <f t="shared" si="110"/>
        <v>0</v>
      </c>
      <c r="T947" s="13">
        <f t="shared" si="111"/>
        <v>1</v>
      </c>
    </row>
    <row r="948" spans="1:20" ht="24.95" customHeight="1">
      <c r="A948" s="14"/>
      <c r="B948" s="15"/>
      <c r="C948" s="16"/>
      <c r="D948" s="17"/>
      <c r="E948" s="4"/>
      <c r="F948" s="18"/>
      <c r="G948" s="19"/>
      <c r="H948" s="105"/>
      <c r="I948" s="106"/>
      <c r="J948" s="105"/>
      <c r="K948" s="106"/>
      <c r="L948" s="54"/>
      <c r="M948" s="59"/>
      <c r="N948" s="20"/>
      <c r="P948" s="21" t="s">
        <v>37</v>
      </c>
      <c r="Q948" s="22">
        <f>SUM(P939:P947)</f>
        <v>0</v>
      </c>
      <c r="R948" s="23"/>
      <c r="S948" s="24">
        <f>SUM(S939:S947)</f>
        <v>294228</v>
      </c>
      <c r="T948" s="13"/>
    </row>
    <row r="949" spans="1:20" ht="24.95" customHeight="1">
      <c r="A949" s="107"/>
      <c r="B949" s="108"/>
      <c r="C949" s="108"/>
      <c r="D949" s="109"/>
      <c r="E949" s="4"/>
      <c r="F949" s="54"/>
      <c r="G949" s="59"/>
      <c r="H949" s="72"/>
      <c r="I949" s="72"/>
      <c r="J949" s="72"/>
      <c r="K949" s="72"/>
      <c r="L949" s="72"/>
      <c r="M949" s="72"/>
      <c r="O949" t="s">
        <v>38</v>
      </c>
      <c r="P949" s="24">
        <f>Q948</f>
        <v>0</v>
      </c>
      <c r="T949" s="13"/>
    </row>
    <row r="950" spans="1:20" ht="24.95" customHeight="1">
      <c r="A950" s="97"/>
      <c r="B950" s="98"/>
      <c r="C950" s="98"/>
      <c r="D950" s="99"/>
      <c r="E950" s="4"/>
      <c r="F950" s="54"/>
      <c r="G950" s="59"/>
      <c r="H950" s="72"/>
      <c r="I950" s="72"/>
      <c r="J950" s="72"/>
      <c r="K950" s="72"/>
      <c r="L950" s="72"/>
      <c r="M950" s="72"/>
      <c r="O950" t="s">
        <v>39</v>
      </c>
      <c r="P950" s="23">
        <f>ROUND(P949/1153274,4)*100</f>
        <v>0</v>
      </c>
      <c r="T950" s="13"/>
    </row>
    <row r="951" spans="1:20" ht="24.95" customHeight="1">
      <c r="A951" s="25"/>
      <c r="B951" s="63" t="s">
        <v>40</v>
      </c>
      <c r="C951" s="63"/>
      <c r="D951" s="59"/>
      <c r="E951" s="26"/>
      <c r="F951" s="100"/>
      <c r="G951" s="101"/>
      <c r="H951" s="100"/>
      <c r="I951" s="101"/>
      <c r="J951" s="102"/>
      <c r="K951" s="102"/>
      <c r="L951" s="103">
        <f>P949</f>
        <v>0</v>
      </c>
      <c r="M951" s="104"/>
      <c r="T951" s="13"/>
    </row>
    <row r="952" spans="1:20" ht="24.95" customHeight="1" thickBot="1">
      <c r="A952" s="27"/>
      <c r="B952" s="85" t="s">
        <v>41</v>
      </c>
      <c r="C952" s="85"/>
      <c r="D952" s="86"/>
      <c r="E952" s="28"/>
      <c r="F952" s="87"/>
      <c r="G952" s="88"/>
      <c r="H952" s="87"/>
      <c r="I952" s="88"/>
      <c r="J952" s="87"/>
      <c r="K952" s="88"/>
      <c r="L952" s="89">
        <f>L951+L894</f>
        <v>294228</v>
      </c>
      <c r="M952" s="90"/>
      <c r="T952" s="13"/>
    </row>
    <row r="953" spans="1:20" ht="24.95" customHeight="1">
      <c r="A953" s="29"/>
      <c r="B953" s="91" t="s">
        <v>42</v>
      </c>
      <c r="C953" s="91"/>
      <c r="D953" s="92"/>
      <c r="E953" s="30"/>
      <c r="F953" s="93"/>
      <c r="G953" s="94"/>
      <c r="H953" s="95"/>
      <c r="I953" s="95"/>
      <c r="J953" s="95"/>
      <c r="K953" s="95"/>
      <c r="L953" s="95"/>
      <c r="M953" s="96"/>
      <c r="T953" s="13"/>
    </row>
    <row r="954" spans="1:20" ht="24.95" customHeight="1">
      <c r="A954" s="31"/>
      <c r="B954" s="76" t="s">
        <v>43</v>
      </c>
      <c r="C954" s="76"/>
      <c r="D954" s="77"/>
      <c r="E954" s="4"/>
      <c r="F954" s="54"/>
      <c r="G954" s="59"/>
      <c r="H954" s="72"/>
      <c r="I954" s="72"/>
      <c r="J954" s="72"/>
      <c r="K954" s="72"/>
      <c r="L954" s="72"/>
      <c r="M954" s="78"/>
      <c r="T954" s="13"/>
    </row>
    <row r="955" spans="1:20" ht="24.95" customHeight="1" thickBot="1">
      <c r="A955" s="32"/>
      <c r="B955" s="79" t="s">
        <v>44</v>
      </c>
      <c r="C955" s="79"/>
      <c r="D955" s="80"/>
      <c r="E955" s="33"/>
      <c r="F955" s="81"/>
      <c r="G955" s="82"/>
      <c r="H955" s="83"/>
      <c r="I955" s="83"/>
      <c r="J955" s="83"/>
      <c r="K955" s="83"/>
      <c r="L955" s="83"/>
      <c r="M955" s="84"/>
      <c r="T955" s="13"/>
    </row>
    <row r="956" spans="1:20" ht="24.95" customHeight="1">
      <c r="A956" s="73" t="s">
        <v>45</v>
      </c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T956" s="13"/>
    </row>
    <row r="957" spans="1:20" ht="24.95" customHeight="1">
      <c r="A957" s="72" t="s">
        <v>46</v>
      </c>
      <c r="B957" s="75"/>
      <c r="C957" s="75"/>
      <c r="D957" s="75"/>
      <c r="E957" s="4" t="s">
        <v>22</v>
      </c>
      <c r="F957" s="72" t="s">
        <v>47</v>
      </c>
      <c r="G957" s="72"/>
      <c r="H957" s="72" t="s">
        <v>48</v>
      </c>
      <c r="I957" s="72"/>
      <c r="J957" s="72" t="s">
        <v>49</v>
      </c>
      <c r="K957" s="72"/>
      <c r="L957" s="72" t="s">
        <v>50</v>
      </c>
      <c r="M957" s="72"/>
      <c r="T957" s="13"/>
    </row>
    <row r="958" spans="1:20" ht="24.95" customHeight="1">
      <c r="A958" s="10">
        <v>6</v>
      </c>
      <c r="B958" s="66" t="s">
        <v>97</v>
      </c>
      <c r="C958" s="67" t="s">
        <v>51</v>
      </c>
      <c r="D958" s="68" t="s">
        <v>51</v>
      </c>
      <c r="E958" s="4" t="s">
        <v>35</v>
      </c>
      <c r="F958" s="69">
        <v>80</v>
      </c>
      <c r="G958" s="70">
        <v>1261</v>
      </c>
      <c r="H958" s="71">
        <f>H944</f>
        <v>0</v>
      </c>
      <c r="I958" s="71"/>
      <c r="J958" s="71">
        <f>H958+J900</f>
        <v>78</v>
      </c>
      <c r="K958" s="71"/>
      <c r="L958" s="72"/>
      <c r="M958" s="72"/>
      <c r="T958" s="13"/>
    </row>
    <row r="959" spans="1:20" ht="24.95" customHeight="1">
      <c r="A959" s="10">
        <v>7</v>
      </c>
      <c r="B959" s="66" t="s">
        <v>88</v>
      </c>
      <c r="C959" s="67" t="s">
        <v>88</v>
      </c>
      <c r="D959" s="68" t="s">
        <v>88</v>
      </c>
      <c r="E959" s="4" t="s">
        <v>98</v>
      </c>
      <c r="F959" s="69">
        <v>126</v>
      </c>
      <c r="G959" s="70"/>
      <c r="H959" s="71">
        <f>H945</f>
        <v>0</v>
      </c>
      <c r="I959" s="71"/>
      <c r="J959" s="71">
        <f t="shared" ref="J959:J960" si="112">H959+J901</f>
        <v>0</v>
      </c>
      <c r="K959" s="71"/>
      <c r="L959" s="72"/>
      <c r="M959" s="72"/>
      <c r="T959" s="13"/>
    </row>
    <row r="960" spans="1:20" ht="24.95" customHeight="1">
      <c r="A960" s="10">
        <v>8</v>
      </c>
      <c r="B960" s="66" t="s">
        <v>89</v>
      </c>
      <c r="C960" s="67" t="s">
        <v>89</v>
      </c>
      <c r="D960" s="68" t="s">
        <v>89</v>
      </c>
      <c r="E960" s="4" t="s">
        <v>36</v>
      </c>
      <c r="F960" s="69">
        <v>1</v>
      </c>
      <c r="G960" s="70"/>
      <c r="H960" s="71">
        <f>H946</f>
        <v>0</v>
      </c>
      <c r="I960" s="71"/>
      <c r="J960" s="71">
        <f t="shared" si="112"/>
        <v>0.3</v>
      </c>
      <c r="K960" s="71"/>
      <c r="L960" s="72"/>
      <c r="M960" s="72"/>
      <c r="T960" s="13"/>
    </row>
    <row r="961" spans="1:20" ht="24.95" customHeight="1">
      <c r="A961" s="51" t="s">
        <v>52</v>
      </c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3"/>
      <c r="T961" s="13"/>
    </row>
    <row r="962" spans="1:20" ht="24.95" customHeight="1">
      <c r="A962" s="54" t="s">
        <v>53</v>
      </c>
      <c r="B962" s="63"/>
      <c r="C962" s="63"/>
      <c r="D962" s="59"/>
      <c r="E962" s="4" t="s">
        <v>54</v>
      </c>
      <c r="F962" s="54" t="s">
        <v>55</v>
      </c>
      <c r="G962" s="59"/>
      <c r="H962" s="54" t="s">
        <v>56</v>
      </c>
      <c r="I962" s="59"/>
      <c r="J962" s="54" t="s">
        <v>48</v>
      </c>
      <c r="K962" s="59"/>
      <c r="L962" s="64" t="s">
        <v>49</v>
      </c>
      <c r="M962" s="65"/>
      <c r="T962" s="13"/>
    </row>
    <row r="963" spans="1:20" ht="24.95" customHeight="1">
      <c r="A963" s="54" t="s">
        <v>57</v>
      </c>
      <c r="B963" s="55"/>
      <c r="C963" s="55"/>
      <c r="D963" s="56"/>
      <c r="E963" s="4"/>
      <c r="F963" s="57">
        <f>E963+F905</f>
        <v>28</v>
      </c>
      <c r="G963" s="58"/>
      <c r="H963" s="54" t="s">
        <v>58</v>
      </c>
      <c r="I963" s="59"/>
      <c r="J963" s="54"/>
      <c r="K963" s="59"/>
      <c r="L963" s="57">
        <f>J963+L905</f>
        <v>15</v>
      </c>
      <c r="M963" s="58"/>
      <c r="T963" s="13"/>
    </row>
    <row r="964" spans="1:20" ht="24.95" customHeight="1">
      <c r="A964" s="54" t="s">
        <v>59</v>
      </c>
      <c r="B964" s="55"/>
      <c r="C964" s="55"/>
      <c r="D964" s="56"/>
      <c r="E964" s="4"/>
      <c r="F964" s="57">
        <f t="shared" ref="F964:F966" si="113">E964+F906</f>
        <v>0</v>
      </c>
      <c r="G964" s="58"/>
      <c r="H964" s="54" t="s">
        <v>60</v>
      </c>
      <c r="I964" s="59"/>
      <c r="J964" s="54"/>
      <c r="K964" s="59"/>
      <c r="L964" s="57">
        <f t="shared" ref="L964:L966" si="114">J964+L906</f>
        <v>0</v>
      </c>
      <c r="M964" s="58"/>
      <c r="T964" s="13"/>
    </row>
    <row r="965" spans="1:20" ht="24.95" customHeight="1">
      <c r="A965" s="54" t="s">
        <v>61</v>
      </c>
      <c r="B965" s="55"/>
      <c r="C965" s="55"/>
      <c r="D965" s="56"/>
      <c r="E965" s="4"/>
      <c r="F965" s="57">
        <f t="shared" si="113"/>
        <v>2</v>
      </c>
      <c r="G965" s="58"/>
      <c r="H965" s="54" t="s">
        <v>62</v>
      </c>
      <c r="I965" s="59"/>
      <c r="J965" s="54"/>
      <c r="K965" s="59"/>
      <c r="L965" s="57">
        <f t="shared" si="114"/>
        <v>5</v>
      </c>
      <c r="M965" s="58"/>
      <c r="T965" s="13"/>
    </row>
    <row r="966" spans="1:20" ht="24.95" customHeight="1">
      <c r="A966" s="54" t="s">
        <v>63</v>
      </c>
      <c r="B966" s="55"/>
      <c r="C966" s="55"/>
      <c r="D966" s="56"/>
      <c r="E966" s="4"/>
      <c r="F966" s="57">
        <f t="shared" si="113"/>
        <v>4</v>
      </c>
      <c r="G966" s="58"/>
      <c r="H966" s="54" t="s">
        <v>64</v>
      </c>
      <c r="I966" s="59"/>
      <c r="J966" s="54"/>
      <c r="K966" s="59"/>
      <c r="L966" s="57">
        <f t="shared" si="114"/>
        <v>1</v>
      </c>
      <c r="M966" s="58"/>
      <c r="T966" s="13"/>
    </row>
    <row r="967" spans="1:20" ht="64.5" customHeight="1">
      <c r="A967" s="60" t="s">
        <v>65</v>
      </c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2"/>
      <c r="T967" s="13"/>
    </row>
    <row r="968" spans="1:20" ht="24.95" customHeight="1">
      <c r="A968" s="46" t="s">
        <v>66</v>
      </c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8"/>
      <c r="T968" s="13"/>
    </row>
    <row r="969" spans="1:20" ht="24.95" customHeight="1">
      <c r="A969" s="27"/>
      <c r="B969" s="34" t="s">
        <v>67</v>
      </c>
      <c r="C969" s="34"/>
      <c r="D969" s="34"/>
      <c r="E969" s="34"/>
      <c r="F969" s="34"/>
      <c r="G969" s="35"/>
      <c r="H969" s="34"/>
      <c r="I969" s="34"/>
      <c r="J969" s="34"/>
      <c r="K969" s="34"/>
      <c r="L969" s="34"/>
      <c r="M969" s="36"/>
      <c r="T969" s="13"/>
    </row>
    <row r="970" spans="1:20" ht="24.95" customHeight="1">
      <c r="A970" s="27"/>
      <c r="B970" s="34" t="s">
        <v>81</v>
      </c>
      <c r="C970" s="34"/>
      <c r="D970" s="34"/>
      <c r="E970" s="34"/>
      <c r="F970" s="34"/>
      <c r="G970" s="35"/>
      <c r="H970" s="34"/>
      <c r="I970" s="34"/>
      <c r="J970" s="34"/>
      <c r="K970" s="34"/>
      <c r="L970" s="34"/>
      <c r="M970" s="36"/>
      <c r="T970" s="13"/>
    </row>
    <row r="971" spans="1:20" ht="24.95" customHeight="1">
      <c r="A971" s="27"/>
      <c r="B971" s="34" t="s">
        <v>68</v>
      </c>
      <c r="C971" s="34"/>
      <c r="D971" s="34"/>
      <c r="E971" s="34"/>
      <c r="F971" s="34"/>
      <c r="G971" s="35"/>
      <c r="H971" s="34"/>
      <c r="I971" s="34"/>
      <c r="J971" s="34"/>
      <c r="K971" s="34"/>
      <c r="L971" s="34"/>
      <c r="M971" s="36"/>
      <c r="T971" s="13"/>
    </row>
    <row r="972" spans="1:20" ht="24.95" customHeight="1">
      <c r="A972" s="27"/>
      <c r="B972" s="34" t="s">
        <v>82</v>
      </c>
      <c r="C972" s="34"/>
      <c r="D972" s="34"/>
      <c r="E972" s="34"/>
      <c r="F972" s="34"/>
      <c r="G972" s="35"/>
      <c r="H972" s="34"/>
      <c r="I972" s="34"/>
      <c r="J972" s="34"/>
      <c r="K972" s="34"/>
      <c r="L972" s="34"/>
      <c r="M972" s="36"/>
      <c r="T972" s="13"/>
    </row>
    <row r="973" spans="1:20" ht="24.95" customHeight="1">
      <c r="A973" s="27"/>
      <c r="B973" s="34" t="s">
        <v>99</v>
      </c>
      <c r="C973" s="34"/>
      <c r="D973" s="34"/>
      <c r="E973" s="34"/>
      <c r="F973" s="34"/>
      <c r="G973" s="35"/>
      <c r="H973" s="34"/>
      <c r="I973" s="34"/>
      <c r="J973" s="34"/>
      <c r="K973" s="34"/>
      <c r="L973" s="34"/>
      <c r="M973" s="36"/>
      <c r="T973" s="13"/>
    </row>
    <row r="974" spans="1:20" ht="24.95" customHeight="1">
      <c r="A974" s="37"/>
      <c r="B974" s="49" t="s">
        <v>69</v>
      </c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50"/>
      <c r="T974" s="13"/>
    </row>
    <row r="975" spans="1:20" ht="44.25" customHeight="1">
      <c r="A975" s="51" t="s">
        <v>70</v>
      </c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3"/>
      <c r="T975" s="13"/>
    </row>
    <row r="976" spans="1:20" ht="48" customHeight="1">
      <c r="A976" s="51" t="s">
        <v>71</v>
      </c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3"/>
      <c r="T976" s="13"/>
    </row>
    <row r="977" spans="1:20" ht="81" customHeight="1">
      <c r="A977" s="51" t="s">
        <v>80</v>
      </c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3"/>
      <c r="T977" s="13"/>
    </row>
    <row r="978" spans="1:20" ht="100.5" customHeight="1">
      <c r="A978" s="51" t="s">
        <v>72</v>
      </c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3"/>
      <c r="T978" s="13"/>
    </row>
    <row r="979" spans="1:20" ht="12" customHeight="1">
      <c r="A979" s="41" t="s">
        <v>73</v>
      </c>
      <c r="B979" s="41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38"/>
      <c r="T979" s="13"/>
    </row>
    <row r="980" spans="1:20" ht="12" customHeight="1">
      <c r="A980" s="43" t="s">
        <v>74</v>
      </c>
      <c r="B980" s="43"/>
      <c r="C980" s="40"/>
      <c r="D980" s="40"/>
      <c r="E980" s="40"/>
      <c r="F980" s="40"/>
      <c r="G980" s="40"/>
      <c r="H980" s="40"/>
      <c r="I980" s="40"/>
      <c r="J980" s="40"/>
      <c r="K980" s="40"/>
      <c r="L980" s="38"/>
      <c r="M980" s="38"/>
      <c r="T980" s="13"/>
    </row>
    <row r="981" spans="1:20" ht="12" customHeight="1">
      <c r="A981" s="44" t="s">
        <v>75</v>
      </c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T981" s="13"/>
    </row>
    <row r="982" spans="1:20" ht="12" customHeight="1">
      <c r="A982" s="39" t="s">
        <v>76</v>
      </c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T982" s="13"/>
    </row>
    <row r="983" spans="1:20" ht="12" customHeight="1">
      <c r="A983" s="39" t="s">
        <v>77</v>
      </c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T983" s="13"/>
    </row>
    <row r="984" spans="1:20" ht="12" customHeight="1">
      <c r="A984" s="45" t="s">
        <v>78</v>
      </c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T984" s="13"/>
    </row>
    <row r="985" spans="1:20" ht="12" customHeight="1">
      <c r="A985" s="39" t="s">
        <v>79</v>
      </c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T985" s="13"/>
    </row>
    <row r="986" spans="1:20" ht="409.5" customHeight="1"/>
    <row r="987" spans="1:20" s="2" customFormat="1" ht="35.1" customHeight="1">
      <c r="A987" s="126" t="s">
        <v>0</v>
      </c>
      <c r="B987" s="126"/>
      <c r="C987" s="1">
        <f>C929+1</f>
        <v>53</v>
      </c>
      <c r="G987" s="3"/>
    </row>
    <row r="988" spans="1:20" s="2" customFormat="1" ht="35.1" customHeight="1">
      <c r="A988" s="126" t="s">
        <v>1</v>
      </c>
      <c r="B988" s="126"/>
      <c r="C988" s="2" t="s">
        <v>2</v>
      </c>
      <c r="E988" s="2" t="s">
        <v>3</v>
      </c>
      <c r="G988" s="3"/>
      <c r="H988" s="127" t="s">
        <v>4</v>
      </c>
      <c r="I988" s="128"/>
      <c r="J988" s="129">
        <f>J930+1</f>
        <v>46040</v>
      </c>
      <c r="K988" s="130"/>
      <c r="L988" s="131">
        <f>J988</f>
        <v>46040</v>
      </c>
      <c r="M988" s="132"/>
    </row>
    <row r="989" spans="1:20" s="2" customFormat="1" ht="30" customHeight="1">
      <c r="A989" s="72" t="s">
        <v>5</v>
      </c>
      <c r="B989" s="114"/>
      <c r="C989" s="119" t="s">
        <v>83</v>
      </c>
      <c r="D989" s="119"/>
      <c r="E989" s="119"/>
      <c r="F989" s="119"/>
      <c r="G989" s="119"/>
      <c r="H989" s="54" t="s">
        <v>6</v>
      </c>
      <c r="I989" s="59"/>
      <c r="J989" s="120"/>
      <c r="K989" s="120"/>
      <c r="L989" s="120"/>
      <c r="M989" s="120"/>
    </row>
    <row r="990" spans="1:20" s="1" customFormat="1" ht="30" customHeight="1">
      <c r="A990" s="72" t="s">
        <v>7</v>
      </c>
      <c r="B990" s="114"/>
      <c r="C990" s="4">
        <v>50</v>
      </c>
      <c r="D990" s="4" t="s">
        <v>8</v>
      </c>
      <c r="E990" s="4" t="s">
        <v>9</v>
      </c>
      <c r="F990" s="4">
        <f>F932+1</f>
        <v>53</v>
      </c>
      <c r="G990" s="5" t="s">
        <v>8</v>
      </c>
      <c r="H990" s="4" t="s">
        <v>10</v>
      </c>
      <c r="I990" s="4">
        <f>C990-F990+L990</f>
        <v>-3</v>
      </c>
      <c r="J990" s="4" t="s">
        <v>11</v>
      </c>
      <c r="K990" s="6" t="s">
        <v>12</v>
      </c>
      <c r="L990" s="7">
        <f>L932</f>
        <v>0</v>
      </c>
      <c r="M990" s="4" t="s">
        <v>8</v>
      </c>
    </row>
    <row r="991" spans="1:20" s="2" customFormat="1" ht="30" customHeight="1">
      <c r="A991" s="72" t="s">
        <v>13</v>
      </c>
      <c r="B991" s="75"/>
      <c r="C991" s="75"/>
      <c r="D991" s="121">
        <f>D933</f>
        <v>45988</v>
      </c>
      <c r="E991" s="122"/>
      <c r="F991" s="122"/>
      <c r="G991" s="123"/>
      <c r="H991" s="124" t="s">
        <v>14</v>
      </c>
      <c r="I991" s="125"/>
      <c r="J991" s="121">
        <f>J933</f>
        <v>46037</v>
      </c>
      <c r="K991" s="122"/>
      <c r="L991" s="122"/>
      <c r="M991" s="123"/>
    </row>
    <row r="992" spans="1:20" s="2" customFormat="1" ht="30" customHeight="1">
      <c r="A992" s="72" t="s">
        <v>15</v>
      </c>
      <c r="B992" s="114"/>
      <c r="C992" s="114"/>
      <c r="D992" s="72"/>
      <c r="E992" s="72"/>
      <c r="F992" s="72"/>
      <c r="G992" s="72"/>
      <c r="H992" s="64" t="s">
        <v>16</v>
      </c>
      <c r="I992" s="115"/>
      <c r="J992" s="116">
        <f>P1008</f>
        <v>0</v>
      </c>
      <c r="K992" s="117"/>
      <c r="L992" s="117"/>
      <c r="M992" s="118"/>
    </row>
    <row r="993" spans="1:20" s="2" customFormat="1" ht="30" customHeight="1">
      <c r="A993" s="72" t="s">
        <v>17</v>
      </c>
      <c r="B993" s="114"/>
      <c r="C993" s="114"/>
      <c r="D993" s="72">
        <f>D992+D935</f>
        <v>100.00000000000004</v>
      </c>
      <c r="E993" s="72"/>
      <c r="F993" s="72"/>
      <c r="G993" s="72"/>
      <c r="H993" s="64" t="s">
        <v>18</v>
      </c>
      <c r="I993" s="115"/>
      <c r="J993" s="116">
        <f>J992+J935</f>
        <v>25.469999999999992</v>
      </c>
      <c r="K993" s="117"/>
      <c r="L993" s="117"/>
      <c r="M993" s="118"/>
    </row>
    <row r="994" spans="1:20" s="2" customFormat="1" ht="30" customHeight="1">
      <c r="A994" s="111" t="s">
        <v>19</v>
      </c>
      <c r="B994" s="112"/>
      <c r="C994" s="112"/>
      <c r="D994" s="112"/>
      <c r="E994" s="112"/>
      <c r="F994" s="112"/>
      <c r="G994" s="112"/>
      <c r="H994" s="112"/>
      <c r="I994" s="112"/>
      <c r="J994" s="112"/>
      <c r="K994" s="112"/>
      <c r="L994" s="112"/>
      <c r="M994" s="113"/>
    </row>
    <row r="995" spans="1:20" s="2" customFormat="1" ht="30" customHeight="1">
      <c r="A995" s="8" t="s">
        <v>20</v>
      </c>
      <c r="B995" s="72" t="s">
        <v>21</v>
      </c>
      <c r="C995" s="72"/>
      <c r="D995" s="72"/>
      <c r="E995" s="4" t="s">
        <v>22</v>
      </c>
      <c r="F995" s="54" t="s">
        <v>23</v>
      </c>
      <c r="G995" s="59"/>
      <c r="H995" s="72" t="s">
        <v>24</v>
      </c>
      <c r="I995" s="72"/>
      <c r="J995" s="72" t="s">
        <v>25</v>
      </c>
      <c r="K995" s="72"/>
      <c r="L995" s="72" t="s">
        <v>26</v>
      </c>
      <c r="M995" s="72"/>
      <c r="O995" s="1" t="s">
        <v>27</v>
      </c>
      <c r="P995" s="1" t="s">
        <v>28</v>
      </c>
      <c r="T995" s="2" t="s">
        <v>29</v>
      </c>
    </row>
    <row r="996" spans="1:20" s="2" customFormat="1" ht="24.95" customHeight="1">
      <c r="A996" s="9" t="s">
        <v>30</v>
      </c>
      <c r="B996" s="110" t="s">
        <v>31</v>
      </c>
      <c r="C996" s="110"/>
      <c r="D996" s="110"/>
      <c r="E996" s="4"/>
      <c r="F996" s="54"/>
      <c r="G996" s="59"/>
      <c r="H996" s="72"/>
      <c r="I996" s="72"/>
      <c r="J996" s="72"/>
      <c r="K996" s="72"/>
      <c r="L996" s="72"/>
      <c r="M996" s="72"/>
    </row>
    <row r="997" spans="1:20" ht="24.95" customHeight="1">
      <c r="A997" s="10">
        <v>1</v>
      </c>
      <c r="B997" s="66" t="s">
        <v>91</v>
      </c>
      <c r="C997" s="67" t="s">
        <v>91</v>
      </c>
      <c r="D997" s="68" t="s">
        <v>91</v>
      </c>
      <c r="E997" s="4" t="s">
        <v>32</v>
      </c>
      <c r="F997" s="69">
        <v>1</v>
      </c>
      <c r="G997" s="70"/>
      <c r="H997" s="69"/>
      <c r="I997" s="70"/>
      <c r="J997" s="71">
        <f>H997+J939</f>
        <v>1</v>
      </c>
      <c r="K997" s="71"/>
      <c r="L997" s="72"/>
      <c r="M997" s="72"/>
      <c r="O997" s="11">
        <v>4000</v>
      </c>
      <c r="P997" s="11">
        <f>ROUND(H997*O997,0)</f>
        <v>0</v>
      </c>
      <c r="Q997" s="12"/>
      <c r="S997" s="11">
        <f>ROUND(J997*O997,0)</f>
        <v>4000</v>
      </c>
      <c r="T997" s="13">
        <f>F997-J997</f>
        <v>0</v>
      </c>
    </row>
    <row r="998" spans="1:20" ht="24.95" customHeight="1">
      <c r="A998" s="10">
        <v>2</v>
      </c>
      <c r="B998" s="66" t="s">
        <v>92</v>
      </c>
      <c r="C998" s="67" t="s">
        <v>92</v>
      </c>
      <c r="D998" s="68" t="s">
        <v>92</v>
      </c>
      <c r="E998" s="4" t="s">
        <v>32</v>
      </c>
      <c r="F998" s="69">
        <v>1</v>
      </c>
      <c r="G998" s="70"/>
      <c r="H998" s="69"/>
      <c r="I998" s="70"/>
      <c r="J998" s="71">
        <f t="shared" ref="J998:J1005" si="115">H998+J940</f>
        <v>1</v>
      </c>
      <c r="K998" s="71"/>
      <c r="L998" s="72"/>
      <c r="M998" s="72"/>
      <c r="O998" s="11">
        <v>14334</v>
      </c>
      <c r="P998" s="11">
        <f t="shared" ref="P998:P1005" si="116">ROUND(H998*O998,0)</f>
        <v>0</v>
      </c>
      <c r="Q998" s="12"/>
      <c r="S998" s="11">
        <f t="shared" ref="S998:S1005" si="117">ROUND(J998*O998,0)</f>
        <v>14334</v>
      </c>
      <c r="T998" s="13">
        <f t="shared" ref="T998:T1005" si="118">F998-J998</f>
        <v>0</v>
      </c>
    </row>
    <row r="999" spans="1:20" ht="24.95" customHeight="1">
      <c r="A999" s="10">
        <v>3</v>
      </c>
      <c r="B999" s="66" t="s">
        <v>84</v>
      </c>
      <c r="C999" s="67" t="s">
        <v>84</v>
      </c>
      <c r="D999" s="68" t="s">
        <v>84</v>
      </c>
      <c r="E999" s="4" t="s">
        <v>33</v>
      </c>
      <c r="F999" s="69">
        <v>1</v>
      </c>
      <c r="G999" s="70"/>
      <c r="H999" s="69"/>
      <c r="I999" s="70"/>
      <c r="J999" s="71">
        <f t="shared" si="115"/>
        <v>0.5</v>
      </c>
      <c r="K999" s="71"/>
      <c r="L999" s="72"/>
      <c r="M999" s="72"/>
      <c r="O999" s="11">
        <v>7000</v>
      </c>
      <c r="P999" s="11">
        <f t="shared" si="116"/>
        <v>0</v>
      </c>
      <c r="Q999" s="12"/>
      <c r="S999" s="11">
        <f t="shared" si="117"/>
        <v>3500</v>
      </c>
      <c r="T999" s="13">
        <f t="shared" si="118"/>
        <v>0.5</v>
      </c>
    </row>
    <row r="1000" spans="1:20" ht="24.95" customHeight="1">
      <c r="A1000" s="10">
        <v>4</v>
      </c>
      <c r="B1000" s="66" t="s">
        <v>85</v>
      </c>
      <c r="C1000" s="67" t="s">
        <v>85</v>
      </c>
      <c r="D1000" s="68" t="s">
        <v>85</v>
      </c>
      <c r="E1000" s="4" t="s">
        <v>34</v>
      </c>
      <c r="F1000" s="69">
        <v>1</v>
      </c>
      <c r="G1000" s="70"/>
      <c r="H1000" s="69"/>
      <c r="I1000" s="70"/>
      <c r="J1000" s="71">
        <f t="shared" si="115"/>
        <v>1</v>
      </c>
      <c r="K1000" s="71"/>
      <c r="L1000" s="72"/>
      <c r="M1000" s="72"/>
      <c r="O1000" s="11">
        <v>74000</v>
      </c>
      <c r="P1000" s="11">
        <f t="shared" si="116"/>
        <v>0</v>
      </c>
      <c r="Q1000" s="12"/>
      <c r="S1000" s="11">
        <f t="shared" si="117"/>
        <v>74000</v>
      </c>
      <c r="T1000" s="13">
        <f t="shared" si="118"/>
        <v>0</v>
      </c>
    </row>
    <row r="1001" spans="1:20" ht="24.95" customHeight="1">
      <c r="A1001" s="10">
        <v>5</v>
      </c>
      <c r="B1001" s="66" t="s">
        <v>86</v>
      </c>
      <c r="C1001" s="67" t="s">
        <v>86</v>
      </c>
      <c r="D1001" s="68" t="s">
        <v>86</v>
      </c>
      <c r="E1001" s="4" t="s">
        <v>93</v>
      </c>
      <c r="F1001" s="69">
        <v>396</v>
      </c>
      <c r="G1001" s="70"/>
      <c r="H1001" s="69"/>
      <c r="I1001" s="70"/>
      <c r="J1001" s="71">
        <f t="shared" si="115"/>
        <v>350</v>
      </c>
      <c r="K1001" s="71"/>
      <c r="L1001" s="72"/>
      <c r="M1001" s="72"/>
      <c r="O1001" s="11">
        <v>200</v>
      </c>
      <c r="P1001" s="11">
        <f t="shared" si="116"/>
        <v>0</v>
      </c>
      <c r="Q1001" s="12"/>
      <c r="S1001" s="11">
        <f t="shared" si="117"/>
        <v>70000</v>
      </c>
      <c r="T1001" s="13">
        <f t="shared" si="118"/>
        <v>46</v>
      </c>
    </row>
    <row r="1002" spans="1:20" ht="24.95" customHeight="1">
      <c r="A1002" s="10">
        <v>6</v>
      </c>
      <c r="B1002" s="66" t="s">
        <v>97</v>
      </c>
      <c r="C1002" s="67" t="s">
        <v>87</v>
      </c>
      <c r="D1002" s="68" t="s">
        <v>87</v>
      </c>
      <c r="E1002" s="4" t="s">
        <v>35</v>
      </c>
      <c r="F1002" s="69">
        <v>80</v>
      </c>
      <c r="G1002" s="70">
        <v>183.6</v>
      </c>
      <c r="H1002" s="69"/>
      <c r="I1002" s="70"/>
      <c r="J1002" s="71">
        <f t="shared" si="115"/>
        <v>78</v>
      </c>
      <c r="K1002" s="71"/>
      <c r="L1002" s="54"/>
      <c r="M1002" s="59"/>
      <c r="O1002" s="11">
        <v>1463</v>
      </c>
      <c r="P1002" s="11">
        <f t="shared" si="116"/>
        <v>0</v>
      </c>
      <c r="S1002" s="11">
        <f t="shared" si="117"/>
        <v>114114</v>
      </c>
      <c r="T1002" s="13">
        <f t="shared" si="118"/>
        <v>2</v>
      </c>
    </row>
    <row r="1003" spans="1:20" ht="24.95" customHeight="1">
      <c r="A1003" s="10">
        <v>7</v>
      </c>
      <c r="B1003" s="66" t="s">
        <v>88</v>
      </c>
      <c r="C1003" s="67" t="s">
        <v>88</v>
      </c>
      <c r="D1003" s="68" t="s">
        <v>88</v>
      </c>
      <c r="E1003" s="4" t="s">
        <v>94</v>
      </c>
      <c r="F1003" s="69">
        <v>126</v>
      </c>
      <c r="G1003" s="70">
        <v>19</v>
      </c>
      <c r="H1003" s="69"/>
      <c r="I1003" s="70"/>
      <c r="J1003" s="71">
        <f t="shared" si="115"/>
        <v>0</v>
      </c>
      <c r="K1003" s="71"/>
      <c r="L1003" s="54"/>
      <c r="M1003" s="59"/>
      <c r="O1003" s="11">
        <v>6350</v>
      </c>
      <c r="P1003" s="11">
        <f t="shared" si="116"/>
        <v>0</v>
      </c>
      <c r="S1003" s="11">
        <f t="shared" si="117"/>
        <v>0</v>
      </c>
      <c r="T1003" s="13">
        <f t="shared" si="118"/>
        <v>126</v>
      </c>
    </row>
    <row r="1004" spans="1:20" ht="24.95" customHeight="1">
      <c r="A1004" s="10">
        <v>8</v>
      </c>
      <c r="B1004" s="66" t="s">
        <v>89</v>
      </c>
      <c r="C1004" s="67" t="s">
        <v>89</v>
      </c>
      <c r="D1004" s="68" t="s">
        <v>89</v>
      </c>
      <c r="E1004" s="4" t="s">
        <v>95</v>
      </c>
      <c r="F1004" s="69">
        <v>1</v>
      </c>
      <c r="G1004" s="70">
        <v>1192</v>
      </c>
      <c r="H1004" s="69"/>
      <c r="I1004" s="70"/>
      <c r="J1004" s="71">
        <f t="shared" si="115"/>
        <v>0.3</v>
      </c>
      <c r="K1004" s="71"/>
      <c r="L1004" s="54"/>
      <c r="M1004" s="59"/>
      <c r="O1004" s="11">
        <v>47600</v>
      </c>
      <c r="P1004" s="11">
        <f t="shared" si="116"/>
        <v>0</v>
      </c>
      <c r="S1004" s="11">
        <f t="shared" si="117"/>
        <v>14280</v>
      </c>
      <c r="T1004" s="13">
        <f t="shared" si="118"/>
        <v>0.7</v>
      </c>
    </row>
    <row r="1005" spans="1:20" ht="24.95" customHeight="1">
      <c r="A1005" s="10">
        <v>9</v>
      </c>
      <c r="B1005" s="66" t="s">
        <v>90</v>
      </c>
      <c r="C1005" s="67" t="s">
        <v>90</v>
      </c>
      <c r="D1005" s="68" t="s">
        <v>90</v>
      </c>
      <c r="E1005" s="4" t="s">
        <v>96</v>
      </c>
      <c r="F1005" s="69">
        <v>1</v>
      </c>
      <c r="G1005" s="70">
        <v>1261</v>
      </c>
      <c r="H1005" s="69"/>
      <c r="I1005" s="70"/>
      <c r="J1005" s="71">
        <f t="shared" si="115"/>
        <v>0</v>
      </c>
      <c r="K1005" s="71"/>
      <c r="L1005" s="54"/>
      <c r="M1005" s="59"/>
      <c r="O1005" s="11">
        <v>10000</v>
      </c>
      <c r="P1005" s="11">
        <f t="shared" si="116"/>
        <v>0</v>
      </c>
      <c r="S1005" s="11">
        <f t="shared" si="117"/>
        <v>0</v>
      </c>
      <c r="T1005" s="13">
        <f t="shared" si="118"/>
        <v>1</v>
      </c>
    </row>
    <row r="1006" spans="1:20" ht="24.95" customHeight="1">
      <c r="A1006" s="14"/>
      <c r="B1006" s="15"/>
      <c r="C1006" s="16"/>
      <c r="D1006" s="17"/>
      <c r="E1006" s="4"/>
      <c r="F1006" s="18"/>
      <c r="G1006" s="19"/>
      <c r="H1006" s="105"/>
      <c r="I1006" s="106"/>
      <c r="J1006" s="105"/>
      <c r="K1006" s="106"/>
      <c r="L1006" s="54"/>
      <c r="M1006" s="59"/>
      <c r="N1006" s="20"/>
      <c r="P1006" s="21" t="s">
        <v>37</v>
      </c>
      <c r="Q1006" s="22">
        <f>SUM(P997:P1005)</f>
        <v>0</v>
      </c>
      <c r="R1006" s="23"/>
      <c r="S1006" s="24">
        <f>SUM(S997:S1005)</f>
        <v>294228</v>
      </c>
      <c r="T1006" s="13"/>
    </row>
    <row r="1007" spans="1:20" ht="24.95" customHeight="1">
      <c r="A1007" s="107"/>
      <c r="B1007" s="108"/>
      <c r="C1007" s="108"/>
      <c r="D1007" s="109"/>
      <c r="E1007" s="4"/>
      <c r="F1007" s="54"/>
      <c r="G1007" s="59"/>
      <c r="H1007" s="72"/>
      <c r="I1007" s="72"/>
      <c r="J1007" s="72"/>
      <c r="K1007" s="72"/>
      <c r="L1007" s="72"/>
      <c r="M1007" s="72"/>
      <c r="O1007" t="s">
        <v>38</v>
      </c>
      <c r="P1007" s="24">
        <f>Q1006</f>
        <v>0</v>
      </c>
      <c r="T1007" s="13"/>
    </row>
    <row r="1008" spans="1:20" ht="24.95" customHeight="1">
      <c r="A1008" s="97"/>
      <c r="B1008" s="98"/>
      <c r="C1008" s="98"/>
      <c r="D1008" s="99"/>
      <c r="E1008" s="4"/>
      <c r="F1008" s="54"/>
      <c r="G1008" s="59"/>
      <c r="H1008" s="72"/>
      <c r="I1008" s="72"/>
      <c r="J1008" s="72"/>
      <c r="K1008" s="72"/>
      <c r="L1008" s="72"/>
      <c r="M1008" s="72"/>
      <c r="O1008" t="s">
        <v>39</v>
      </c>
      <c r="P1008" s="23">
        <f>ROUND(P1007/1153274,4)*100</f>
        <v>0</v>
      </c>
      <c r="T1008" s="13"/>
    </row>
    <row r="1009" spans="1:20" ht="24.95" customHeight="1">
      <c r="A1009" s="25"/>
      <c r="B1009" s="63" t="s">
        <v>40</v>
      </c>
      <c r="C1009" s="63"/>
      <c r="D1009" s="59"/>
      <c r="E1009" s="26"/>
      <c r="F1009" s="100"/>
      <c r="G1009" s="101"/>
      <c r="H1009" s="100"/>
      <c r="I1009" s="101"/>
      <c r="J1009" s="102"/>
      <c r="K1009" s="102"/>
      <c r="L1009" s="103">
        <f>P1007</f>
        <v>0</v>
      </c>
      <c r="M1009" s="104"/>
      <c r="T1009" s="13"/>
    </row>
    <row r="1010" spans="1:20" ht="24.95" customHeight="1" thickBot="1">
      <c r="A1010" s="27"/>
      <c r="B1010" s="85" t="s">
        <v>41</v>
      </c>
      <c r="C1010" s="85"/>
      <c r="D1010" s="86"/>
      <c r="E1010" s="28"/>
      <c r="F1010" s="87"/>
      <c r="G1010" s="88"/>
      <c r="H1010" s="87"/>
      <c r="I1010" s="88"/>
      <c r="J1010" s="87"/>
      <c r="K1010" s="88"/>
      <c r="L1010" s="89">
        <f>L1009+L952</f>
        <v>294228</v>
      </c>
      <c r="M1010" s="90"/>
      <c r="T1010" s="13"/>
    </row>
    <row r="1011" spans="1:20" ht="24.95" customHeight="1">
      <c r="A1011" s="29"/>
      <c r="B1011" s="91" t="s">
        <v>42</v>
      </c>
      <c r="C1011" s="91"/>
      <c r="D1011" s="92"/>
      <c r="E1011" s="30"/>
      <c r="F1011" s="93"/>
      <c r="G1011" s="94"/>
      <c r="H1011" s="95"/>
      <c r="I1011" s="95"/>
      <c r="J1011" s="95"/>
      <c r="K1011" s="95"/>
      <c r="L1011" s="95"/>
      <c r="M1011" s="96"/>
      <c r="T1011" s="13"/>
    </row>
    <row r="1012" spans="1:20" ht="24.95" customHeight="1">
      <c r="A1012" s="31"/>
      <c r="B1012" s="76" t="s">
        <v>43</v>
      </c>
      <c r="C1012" s="76"/>
      <c r="D1012" s="77"/>
      <c r="E1012" s="4"/>
      <c r="F1012" s="54"/>
      <c r="G1012" s="59"/>
      <c r="H1012" s="72"/>
      <c r="I1012" s="72"/>
      <c r="J1012" s="72"/>
      <c r="K1012" s="72"/>
      <c r="L1012" s="72"/>
      <c r="M1012" s="78"/>
      <c r="T1012" s="13"/>
    </row>
    <row r="1013" spans="1:20" ht="24.95" customHeight="1" thickBot="1">
      <c r="A1013" s="32"/>
      <c r="B1013" s="79" t="s">
        <v>44</v>
      </c>
      <c r="C1013" s="79"/>
      <c r="D1013" s="80"/>
      <c r="E1013" s="33"/>
      <c r="F1013" s="81"/>
      <c r="G1013" s="82"/>
      <c r="H1013" s="83"/>
      <c r="I1013" s="83"/>
      <c r="J1013" s="83"/>
      <c r="K1013" s="83"/>
      <c r="L1013" s="83"/>
      <c r="M1013" s="84"/>
      <c r="T1013" s="13"/>
    </row>
    <row r="1014" spans="1:20" ht="24.95" customHeight="1">
      <c r="A1014" s="73" t="s">
        <v>45</v>
      </c>
      <c r="B1014" s="74"/>
      <c r="C1014" s="74"/>
      <c r="D1014" s="74"/>
      <c r="E1014" s="74"/>
      <c r="F1014" s="74"/>
      <c r="G1014" s="74"/>
      <c r="H1014" s="74"/>
      <c r="I1014" s="74"/>
      <c r="J1014" s="74"/>
      <c r="K1014" s="74"/>
      <c r="L1014" s="74"/>
      <c r="M1014" s="74"/>
      <c r="T1014" s="13"/>
    </row>
    <row r="1015" spans="1:20" ht="24.95" customHeight="1">
      <c r="A1015" s="72" t="s">
        <v>46</v>
      </c>
      <c r="B1015" s="75"/>
      <c r="C1015" s="75"/>
      <c r="D1015" s="75"/>
      <c r="E1015" s="4" t="s">
        <v>22</v>
      </c>
      <c r="F1015" s="72" t="s">
        <v>47</v>
      </c>
      <c r="G1015" s="72"/>
      <c r="H1015" s="72" t="s">
        <v>48</v>
      </c>
      <c r="I1015" s="72"/>
      <c r="J1015" s="72" t="s">
        <v>49</v>
      </c>
      <c r="K1015" s="72"/>
      <c r="L1015" s="72" t="s">
        <v>50</v>
      </c>
      <c r="M1015" s="72"/>
      <c r="T1015" s="13"/>
    </row>
    <row r="1016" spans="1:20" ht="24.95" customHeight="1">
      <c r="A1016" s="10">
        <v>6</v>
      </c>
      <c r="B1016" s="66" t="s">
        <v>97</v>
      </c>
      <c r="C1016" s="67" t="s">
        <v>51</v>
      </c>
      <c r="D1016" s="68" t="s">
        <v>51</v>
      </c>
      <c r="E1016" s="4" t="s">
        <v>35</v>
      </c>
      <c r="F1016" s="69">
        <v>80</v>
      </c>
      <c r="G1016" s="70">
        <v>1261</v>
      </c>
      <c r="H1016" s="71">
        <f>H1002</f>
        <v>0</v>
      </c>
      <c r="I1016" s="71"/>
      <c r="J1016" s="71">
        <f>H1016+J958</f>
        <v>78</v>
      </c>
      <c r="K1016" s="71"/>
      <c r="L1016" s="72"/>
      <c r="M1016" s="72"/>
      <c r="T1016" s="13"/>
    </row>
    <row r="1017" spans="1:20" ht="24.95" customHeight="1">
      <c r="A1017" s="10">
        <v>7</v>
      </c>
      <c r="B1017" s="66" t="s">
        <v>88</v>
      </c>
      <c r="C1017" s="67" t="s">
        <v>88</v>
      </c>
      <c r="D1017" s="68" t="s">
        <v>88</v>
      </c>
      <c r="E1017" s="4" t="s">
        <v>98</v>
      </c>
      <c r="F1017" s="69">
        <v>126</v>
      </c>
      <c r="G1017" s="70"/>
      <c r="H1017" s="71">
        <f>H1003</f>
        <v>0</v>
      </c>
      <c r="I1017" s="71"/>
      <c r="J1017" s="71">
        <f t="shared" ref="J1017:J1018" si="119">H1017+J959</f>
        <v>0</v>
      </c>
      <c r="K1017" s="71"/>
      <c r="L1017" s="72"/>
      <c r="M1017" s="72"/>
      <c r="T1017" s="13"/>
    </row>
    <row r="1018" spans="1:20" ht="24.95" customHeight="1">
      <c r="A1018" s="10">
        <v>8</v>
      </c>
      <c r="B1018" s="66" t="s">
        <v>89</v>
      </c>
      <c r="C1018" s="67" t="s">
        <v>89</v>
      </c>
      <c r="D1018" s="68" t="s">
        <v>89</v>
      </c>
      <c r="E1018" s="4" t="s">
        <v>36</v>
      </c>
      <c r="F1018" s="69">
        <v>1</v>
      </c>
      <c r="G1018" s="70"/>
      <c r="H1018" s="71">
        <f>H1004</f>
        <v>0</v>
      </c>
      <c r="I1018" s="71"/>
      <c r="J1018" s="71">
        <f t="shared" si="119"/>
        <v>0.3</v>
      </c>
      <c r="K1018" s="71"/>
      <c r="L1018" s="72"/>
      <c r="M1018" s="72"/>
      <c r="T1018" s="13"/>
    </row>
    <row r="1019" spans="1:20" ht="24.95" customHeight="1">
      <c r="A1019" s="51" t="s">
        <v>52</v>
      </c>
      <c r="B1019" s="52"/>
      <c r="C1019" s="52"/>
      <c r="D1019" s="52"/>
      <c r="E1019" s="52"/>
      <c r="F1019" s="52"/>
      <c r="G1019" s="52"/>
      <c r="H1019" s="52"/>
      <c r="I1019" s="52"/>
      <c r="J1019" s="52"/>
      <c r="K1019" s="52"/>
      <c r="L1019" s="52"/>
      <c r="M1019" s="53"/>
      <c r="T1019" s="13"/>
    </row>
    <row r="1020" spans="1:20" ht="24.95" customHeight="1">
      <c r="A1020" s="54" t="s">
        <v>53</v>
      </c>
      <c r="B1020" s="63"/>
      <c r="C1020" s="63"/>
      <c r="D1020" s="59"/>
      <c r="E1020" s="4" t="s">
        <v>54</v>
      </c>
      <c r="F1020" s="54" t="s">
        <v>55</v>
      </c>
      <c r="G1020" s="59"/>
      <c r="H1020" s="54" t="s">
        <v>56</v>
      </c>
      <c r="I1020" s="59"/>
      <c r="J1020" s="54" t="s">
        <v>48</v>
      </c>
      <c r="K1020" s="59"/>
      <c r="L1020" s="64" t="s">
        <v>49</v>
      </c>
      <c r="M1020" s="65"/>
      <c r="T1020" s="13"/>
    </row>
    <row r="1021" spans="1:20" ht="24.95" customHeight="1">
      <c r="A1021" s="54" t="s">
        <v>57</v>
      </c>
      <c r="B1021" s="55"/>
      <c r="C1021" s="55"/>
      <c r="D1021" s="56"/>
      <c r="E1021" s="4"/>
      <c r="F1021" s="57">
        <f>E1021+F963</f>
        <v>28</v>
      </c>
      <c r="G1021" s="58"/>
      <c r="H1021" s="54" t="s">
        <v>58</v>
      </c>
      <c r="I1021" s="59"/>
      <c r="J1021" s="54"/>
      <c r="K1021" s="59"/>
      <c r="L1021" s="57">
        <f>J1021+L963</f>
        <v>15</v>
      </c>
      <c r="M1021" s="58"/>
      <c r="T1021" s="13"/>
    </row>
    <row r="1022" spans="1:20" ht="24.95" customHeight="1">
      <c r="A1022" s="54" t="s">
        <v>59</v>
      </c>
      <c r="B1022" s="55"/>
      <c r="C1022" s="55"/>
      <c r="D1022" s="56"/>
      <c r="E1022" s="4"/>
      <c r="F1022" s="57">
        <f t="shared" ref="F1022:F1024" si="120">E1022+F964</f>
        <v>0</v>
      </c>
      <c r="G1022" s="58"/>
      <c r="H1022" s="54" t="s">
        <v>60</v>
      </c>
      <c r="I1022" s="59"/>
      <c r="J1022" s="54"/>
      <c r="K1022" s="59"/>
      <c r="L1022" s="57">
        <f t="shared" ref="L1022:L1024" si="121">J1022+L964</f>
        <v>0</v>
      </c>
      <c r="M1022" s="58"/>
      <c r="T1022" s="13"/>
    </row>
    <row r="1023" spans="1:20" ht="24.95" customHeight="1">
      <c r="A1023" s="54" t="s">
        <v>61</v>
      </c>
      <c r="B1023" s="55"/>
      <c r="C1023" s="55"/>
      <c r="D1023" s="56"/>
      <c r="E1023" s="4"/>
      <c r="F1023" s="57">
        <f t="shared" si="120"/>
        <v>2</v>
      </c>
      <c r="G1023" s="58"/>
      <c r="H1023" s="54" t="s">
        <v>62</v>
      </c>
      <c r="I1023" s="59"/>
      <c r="J1023" s="54"/>
      <c r="K1023" s="59"/>
      <c r="L1023" s="57">
        <f t="shared" si="121"/>
        <v>5</v>
      </c>
      <c r="M1023" s="58"/>
      <c r="T1023" s="13"/>
    </row>
    <row r="1024" spans="1:20" ht="24.95" customHeight="1">
      <c r="A1024" s="54" t="s">
        <v>63</v>
      </c>
      <c r="B1024" s="55"/>
      <c r="C1024" s="55"/>
      <c r="D1024" s="56"/>
      <c r="E1024" s="4"/>
      <c r="F1024" s="57">
        <f t="shared" si="120"/>
        <v>4</v>
      </c>
      <c r="G1024" s="58"/>
      <c r="H1024" s="54" t="s">
        <v>64</v>
      </c>
      <c r="I1024" s="59"/>
      <c r="J1024" s="54"/>
      <c r="K1024" s="59"/>
      <c r="L1024" s="57">
        <f t="shared" si="121"/>
        <v>1</v>
      </c>
      <c r="M1024" s="58"/>
      <c r="T1024" s="13"/>
    </row>
    <row r="1025" spans="1:20" ht="64.5" customHeight="1">
      <c r="A1025" s="60" t="s">
        <v>65</v>
      </c>
      <c r="B1025" s="61"/>
      <c r="C1025" s="61"/>
      <c r="D1025" s="61"/>
      <c r="E1025" s="61"/>
      <c r="F1025" s="61"/>
      <c r="G1025" s="61"/>
      <c r="H1025" s="61"/>
      <c r="I1025" s="61"/>
      <c r="J1025" s="61"/>
      <c r="K1025" s="61"/>
      <c r="L1025" s="61"/>
      <c r="M1025" s="62"/>
      <c r="T1025" s="13"/>
    </row>
    <row r="1026" spans="1:20" ht="24.95" customHeight="1">
      <c r="A1026" s="46" t="s">
        <v>66</v>
      </c>
      <c r="B1026" s="47"/>
      <c r="C1026" s="47"/>
      <c r="D1026" s="47"/>
      <c r="E1026" s="47"/>
      <c r="F1026" s="47"/>
      <c r="G1026" s="47"/>
      <c r="H1026" s="47"/>
      <c r="I1026" s="47"/>
      <c r="J1026" s="47"/>
      <c r="K1026" s="47"/>
      <c r="L1026" s="47"/>
      <c r="M1026" s="48"/>
      <c r="T1026" s="13"/>
    </row>
    <row r="1027" spans="1:20" ht="24.95" customHeight="1">
      <c r="A1027" s="27"/>
      <c r="B1027" s="34" t="s">
        <v>67</v>
      </c>
      <c r="C1027" s="34"/>
      <c r="D1027" s="34"/>
      <c r="E1027" s="34"/>
      <c r="F1027" s="34"/>
      <c r="G1027" s="35"/>
      <c r="H1027" s="34"/>
      <c r="I1027" s="34"/>
      <c r="J1027" s="34"/>
      <c r="K1027" s="34"/>
      <c r="L1027" s="34"/>
      <c r="M1027" s="36"/>
      <c r="T1027" s="13"/>
    </row>
    <row r="1028" spans="1:20" ht="24.95" customHeight="1">
      <c r="A1028" s="27"/>
      <c r="B1028" s="34" t="s">
        <v>81</v>
      </c>
      <c r="C1028" s="34"/>
      <c r="D1028" s="34"/>
      <c r="E1028" s="34"/>
      <c r="F1028" s="34"/>
      <c r="G1028" s="35"/>
      <c r="H1028" s="34"/>
      <c r="I1028" s="34"/>
      <c r="J1028" s="34"/>
      <c r="K1028" s="34"/>
      <c r="L1028" s="34"/>
      <c r="M1028" s="36"/>
      <c r="T1028" s="13"/>
    </row>
    <row r="1029" spans="1:20" ht="24.95" customHeight="1">
      <c r="A1029" s="27"/>
      <c r="B1029" s="34" t="s">
        <v>68</v>
      </c>
      <c r="C1029" s="34"/>
      <c r="D1029" s="34"/>
      <c r="E1029" s="34"/>
      <c r="F1029" s="34"/>
      <c r="G1029" s="35"/>
      <c r="H1029" s="34"/>
      <c r="I1029" s="34"/>
      <c r="J1029" s="34"/>
      <c r="K1029" s="34"/>
      <c r="L1029" s="34"/>
      <c r="M1029" s="36"/>
      <c r="T1029" s="13"/>
    </row>
    <row r="1030" spans="1:20" ht="24.95" customHeight="1">
      <c r="A1030" s="27"/>
      <c r="B1030" s="34" t="s">
        <v>82</v>
      </c>
      <c r="C1030" s="34"/>
      <c r="D1030" s="34"/>
      <c r="E1030" s="34"/>
      <c r="F1030" s="34"/>
      <c r="G1030" s="35"/>
      <c r="H1030" s="34"/>
      <c r="I1030" s="34"/>
      <c r="J1030" s="34"/>
      <c r="K1030" s="34"/>
      <c r="L1030" s="34"/>
      <c r="M1030" s="36"/>
      <c r="T1030" s="13"/>
    </row>
    <row r="1031" spans="1:20" ht="24.95" customHeight="1">
      <c r="A1031" s="27"/>
      <c r="B1031" s="34" t="s">
        <v>99</v>
      </c>
      <c r="C1031" s="34"/>
      <c r="D1031" s="34"/>
      <c r="E1031" s="34"/>
      <c r="F1031" s="34"/>
      <c r="G1031" s="35"/>
      <c r="H1031" s="34"/>
      <c r="I1031" s="34"/>
      <c r="J1031" s="34"/>
      <c r="K1031" s="34"/>
      <c r="L1031" s="34"/>
      <c r="M1031" s="36"/>
      <c r="T1031" s="13"/>
    </row>
    <row r="1032" spans="1:20" ht="24.95" customHeight="1">
      <c r="A1032" s="37"/>
      <c r="B1032" s="49" t="s">
        <v>69</v>
      </c>
      <c r="C1032" s="49"/>
      <c r="D1032" s="49"/>
      <c r="E1032" s="49"/>
      <c r="F1032" s="49"/>
      <c r="G1032" s="49"/>
      <c r="H1032" s="49"/>
      <c r="I1032" s="49"/>
      <c r="J1032" s="49"/>
      <c r="K1032" s="49"/>
      <c r="L1032" s="49"/>
      <c r="M1032" s="50"/>
      <c r="T1032" s="13"/>
    </row>
    <row r="1033" spans="1:20" ht="44.25" customHeight="1">
      <c r="A1033" s="51" t="s">
        <v>70</v>
      </c>
      <c r="B1033" s="52"/>
      <c r="C1033" s="52"/>
      <c r="D1033" s="52"/>
      <c r="E1033" s="52"/>
      <c r="F1033" s="52"/>
      <c r="G1033" s="52"/>
      <c r="H1033" s="52"/>
      <c r="I1033" s="52"/>
      <c r="J1033" s="52"/>
      <c r="K1033" s="52"/>
      <c r="L1033" s="52"/>
      <c r="M1033" s="53"/>
      <c r="T1033" s="13"/>
    </row>
    <row r="1034" spans="1:20" ht="48" customHeight="1">
      <c r="A1034" s="51" t="s">
        <v>71</v>
      </c>
      <c r="B1034" s="52"/>
      <c r="C1034" s="52"/>
      <c r="D1034" s="52"/>
      <c r="E1034" s="52"/>
      <c r="F1034" s="52"/>
      <c r="G1034" s="52"/>
      <c r="H1034" s="52"/>
      <c r="I1034" s="52"/>
      <c r="J1034" s="52"/>
      <c r="K1034" s="52"/>
      <c r="L1034" s="52"/>
      <c r="M1034" s="53"/>
      <c r="T1034" s="13"/>
    </row>
    <row r="1035" spans="1:20" ht="81" customHeight="1">
      <c r="A1035" s="51" t="s">
        <v>80</v>
      </c>
      <c r="B1035" s="52"/>
      <c r="C1035" s="52"/>
      <c r="D1035" s="52"/>
      <c r="E1035" s="52"/>
      <c r="F1035" s="52"/>
      <c r="G1035" s="52"/>
      <c r="H1035" s="52"/>
      <c r="I1035" s="52"/>
      <c r="J1035" s="52"/>
      <c r="K1035" s="52"/>
      <c r="L1035" s="52"/>
      <c r="M1035" s="53"/>
      <c r="T1035" s="13"/>
    </row>
    <row r="1036" spans="1:20" ht="100.5" customHeight="1">
      <c r="A1036" s="51" t="s">
        <v>72</v>
      </c>
      <c r="B1036" s="52"/>
      <c r="C1036" s="52"/>
      <c r="D1036" s="52"/>
      <c r="E1036" s="52"/>
      <c r="F1036" s="52"/>
      <c r="G1036" s="52"/>
      <c r="H1036" s="52"/>
      <c r="I1036" s="52"/>
      <c r="J1036" s="52"/>
      <c r="K1036" s="52"/>
      <c r="L1036" s="52"/>
      <c r="M1036" s="53"/>
      <c r="T1036" s="13"/>
    </row>
    <row r="1037" spans="1:20" ht="12" customHeight="1">
      <c r="A1037" s="41" t="s">
        <v>73</v>
      </c>
      <c r="B1037" s="41"/>
      <c r="C1037" s="42"/>
      <c r="D1037" s="42"/>
      <c r="E1037" s="42"/>
      <c r="F1037" s="42"/>
      <c r="G1037" s="42"/>
      <c r="H1037" s="42"/>
      <c r="I1037" s="42"/>
      <c r="J1037" s="42"/>
      <c r="K1037" s="42"/>
      <c r="L1037" s="42"/>
      <c r="M1037" s="38"/>
      <c r="T1037" s="13"/>
    </row>
    <row r="1038" spans="1:20" ht="12" customHeight="1">
      <c r="A1038" s="43" t="s">
        <v>74</v>
      </c>
      <c r="B1038" s="43"/>
      <c r="C1038" s="40"/>
      <c r="D1038" s="40"/>
      <c r="E1038" s="40"/>
      <c r="F1038" s="40"/>
      <c r="G1038" s="40"/>
      <c r="H1038" s="40"/>
      <c r="I1038" s="40"/>
      <c r="J1038" s="40"/>
      <c r="K1038" s="40"/>
      <c r="L1038" s="38"/>
      <c r="M1038" s="38"/>
      <c r="T1038" s="13"/>
    </row>
    <row r="1039" spans="1:20" ht="12" customHeight="1">
      <c r="A1039" s="44" t="s">
        <v>75</v>
      </c>
      <c r="B1039" s="44"/>
      <c r="C1039" s="44"/>
      <c r="D1039" s="44"/>
      <c r="E1039" s="44"/>
      <c r="F1039" s="44"/>
      <c r="G1039" s="44"/>
      <c r="H1039" s="44"/>
      <c r="I1039" s="44"/>
      <c r="J1039" s="44"/>
      <c r="K1039" s="44"/>
      <c r="L1039" s="44"/>
      <c r="M1039" s="44"/>
      <c r="T1039" s="13"/>
    </row>
    <row r="1040" spans="1:20" ht="12" customHeight="1">
      <c r="A1040" s="39" t="s">
        <v>76</v>
      </c>
      <c r="B1040" s="39"/>
      <c r="C1040" s="39"/>
      <c r="D1040" s="39"/>
      <c r="E1040" s="39"/>
      <c r="F1040" s="39"/>
      <c r="G1040" s="39"/>
      <c r="H1040" s="39"/>
      <c r="I1040" s="39"/>
      <c r="J1040" s="39"/>
      <c r="K1040" s="39"/>
      <c r="L1040" s="39"/>
      <c r="M1040" s="39"/>
      <c r="T1040" s="13"/>
    </row>
    <row r="1041" spans="1:20" ht="12" customHeight="1">
      <c r="A1041" s="39" t="s">
        <v>77</v>
      </c>
      <c r="B1041" s="40"/>
      <c r="C1041" s="40"/>
      <c r="D1041" s="40"/>
      <c r="E1041" s="40"/>
      <c r="F1041" s="40"/>
      <c r="G1041" s="40"/>
      <c r="H1041" s="40"/>
      <c r="I1041" s="40"/>
      <c r="J1041" s="40"/>
      <c r="K1041" s="40"/>
      <c r="L1041" s="40"/>
      <c r="M1041" s="40"/>
      <c r="T1041" s="13"/>
    </row>
    <row r="1042" spans="1:20" ht="12" customHeight="1">
      <c r="A1042" s="45" t="s">
        <v>78</v>
      </c>
      <c r="B1042" s="40"/>
      <c r="C1042" s="40"/>
      <c r="D1042" s="40"/>
      <c r="E1042" s="40"/>
      <c r="F1042" s="40"/>
      <c r="G1042" s="40"/>
      <c r="H1042" s="40"/>
      <c r="I1042" s="40"/>
      <c r="J1042" s="40"/>
      <c r="K1042" s="40"/>
      <c r="L1042" s="40"/>
      <c r="M1042" s="40"/>
      <c r="T1042" s="13"/>
    </row>
    <row r="1043" spans="1:20" ht="12" customHeight="1">
      <c r="A1043" s="39" t="s">
        <v>79</v>
      </c>
      <c r="B1043" s="40"/>
      <c r="C1043" s="40"/>
      <c r="D1043" s="40"/>
      <c r="E1043" s="40"/>
      <c r="F1043" s="40"/>
      <c r="G1043" s="40"/>
      <c r="H1043" s="40"/>
      <c r="I1043" s="40"/>
      <c r="J1043" s="40"/>
      <c r="K1043" s="40"/>
      <c r="L1043" s="40"/>
      <c r="M1043" s="40"/>
      <c r="T1043" s="13"/>
    </row>
    <row r="1044" spans="1:20" ht="409.5" customHeight="1"/>
    <row r="1045" spans="1:20" s="2" customFormat="1" ht="35.1" customHeight="1">
      <c r="A1045" s="126" t="s">
        <v>0</v>
      </c>
      <c r="B1045" s="126"/>
      <c r="C1045" s="1">
        <f>C987+1</f>
        <v>54</v>
      </c>
      <c r="G1045" s="3"/>
    </row>
    <row r="1046" spans="1:20" s="2" customFormat="1" ht="35.1" customHeight="1">
      <c r="A1046" s="126" t="s">
        <v>1</v>
      </c>
      <c r="B1046" s="126"/>
      <c r="C1046" s="2" t="s">
        <v>2</v>
      </c>
      <c r="E1046" s="2" t="s">
        <v>3</v>
      </c>
      <c r="G1046" s="3"/>
      <c r="H1046" s="127" t="s">
        <v>4</v>
      </c>
      <c r="I1046" s="128"/>
      <c r="J1046" s="129">
        <f>J988+1</f>
        <v>46041</v>
      </c>
      <c r="K1046" s="130"/>
      <c r="L1046" s="131">
        <f>J1046</f>
        <v>46041</v>
      </c>
      <c r="M1046" s="132"/>
    </row>
    <row r="1047" spans="1:20" s="2" customFormat="1" ht="30" customHeight="1">
      <c r="A1047" s="72" t="s">
        <v>5</v>
      </c>
      <c r="B1047" s="114"/>
      <c r="C1047" s="119" t="s">
        <v>83</v>
      </c>
      <c r="D1047" s="119"/>
      <c r="E1047" s="119"/>
      <c r="F1047" s="119"/>
      <c r="G1047" s="119"/>
      <c r="H1047" s="54" t="s">
        <v>6</v>
      </c>
      <c r="I1047" s="59"/>
      <c r="J1047" s="120"/>
      <c r="K1047" s="120"/>
      <c r="L1047" s="120"/>
      <c r="M1047" s="120"/>
    </row>
    <row r="1048" spans="1:20" s="1" customFormat="1" ht="30" customHeight="1">
      <c r="A1048" s="72" t="s">
        <v>7</v>
      </c>
      <c r="B1048" s="114"/>
      <c r="C1048" s="4">
        <v>50</v>
      </c>
      <c r="D1048" s="4" t="s">
        <v>8</v>
      </c>
      <c r="E1048" s="4" t="s">
        <v>9</v>
      </c>
      <c r="F1048" s="4">
        <f>F990+1</f>
        <v>54</v>
      </c>
      <c r="G1048" s="5" t="s">
        <v>8</v>
      </c>
      <c r="H1048" s="4" t="s">
        <v>10</v>
      </c>
      <c r="I1048" s="4">
        <f>C1048-F1048+L1048</f>
        <v>-4</v>
      </c>
      <c r="J1048" s="4" t="s">
        <v>11</v>
      </c>
      <c r="K1048" s="6" t="s">
        <v>12</v>
      </c>
      <c r="L1048" s="7">
        <f>L990</f>
        <v>0</v>
      </c>
      <c r="M1048" s="4" t="s">
        <v>8</v>
      </c>
    </row>
    <row r="1049" spans="1:20" s="2" customFormat="1" ht="30" customHeight="1">
      <c r="A1049" s="72" t="s">
        <v>13</v>
      </c>
      <c r="B1049" s="75"/>
      <c r="C1049" s="75"/>
      <c r="D1049" s="121">
        <f>D991</f>
        <v>45988</v>
      </c>
      <c r="E1049" s="122"/>
      <c r="F1049" s="122"/>
      <c r="G1049" s="123"/>
      <c r="H1049" s="124" t="s">
        <v>14</v>
      </c>
      <c r="I1049" s="125"/>
      <c r="J1049" s="121">
        <f>J991</f>
        <v>46037</v>
      </c>
      <c r="K1049" s="122"/>
      <c r="L1049" s="122"/>
      <c r="M1049" s="123"/>
    </row>
    <row r="1050" spans="1:20" s="2" customFormat="1" ht="30" customHeight="1">
      <c r="A1050" s="72" t="s">
        <v>15</v>
      </c>
      <c r="B1050" s="114"/>
      <c r="C1050" s="114"/>
      <c r="D1050" s="72"/>
      <c r="E1050" s="72"/>
      <c r="F1050" s="72"/>
      <c r="G1050" s="72"/>
      <c r="H1050" s="64" t="s">
        <v>16</v>
      </c>
      <c r="I1050" s="115"/>
      <c r="J1050" s="116">
        <f>P1066</f>
        <v>0</v>
      </c>
      <c r="K1050" s="117"/>
      <c r="L1050" s="117"/>
      <c r="M1050" s="118"/>
    </row>
    <row r="1051" spans="1:20" s="2" customFormat="1" ht="30" customHeight="1">
      <c r="A1051" s="72" t="s">
        <v>17</v>
      </c>
      <c r="B1051" s="114"/>
      <c r="C1051" s="114"/>
      <c r="D1051" s="72">
        <f>D1050+D993</f>
        <v>100.00000000000004</v>
      </c>
      <c r="E1051" s="72"/>
      <c r="F1051" s="72"/>
      <c r="G1051" s="72"/>
      <c r="H1051" s="64" t="s">
        <v>18</v>
      </c>
      <c r="I1051" s="115"/>
      <c r="J1051" s="116">
        <f>J1050+J993</f>
        <v>25.469999999999992</v>
      </c>
      <c r="K1051" s="117"/>
      <c r="L1051" s="117"/>
      <c r="M1051" s="118"/>
    </row>
    <row r="1052" spans="1:20" s="2" customFormat="1" ht="30" customHeight="1">
      <c r="A1052" s="111" t="s">
        <v>19</v>
      </c>
      <c r="B1052" s="112"/>
      <c r="C1052" s="112"/>
      <c r="D1052" s="112"/>
      <c r="E1052" s="112"/>
      <c r="F1052" s="112"/>
      <c r="G1052" s="112"/>
      <c r="H1052" s="112"/>
      <c r="I1052" s="112"/>
      <c r="J1052" s="112"/>
      <c r="K1052" s="112"/>
      <c r="L1052" s="112"/>
      <c r="M1052" s="113"/>
    </row>
    <row r="1053" spans="1:20" s="2" customFormat="1" ht="30" customHeight="1">
      <c r="A1053" s="8" t="s">
        <v>20</v>
      </c>
      <c r="B1053" s="72" t="s">
        <v>21</v>
      </c>
      <c r="C1053" s="72"/>
      <c r="D1053" s="72"/>
      <c r="E1053" s="4" t="s">
        <v>22</v>
      </c>
      <c r="F1053" s="54" t="s">
        <v>23</v>
      </c>
      <c r="G1053" s="59"/>
      <c r="H1053" s="72" t="s">
        <v>24</v>
      </c>
      <c r="I1053" s="72"/>
      <c r="J1053" s="72" t="s">
        <v>25</v>
      </c>
      <c r="K1053" s="72"/>
      <c r="L1053" s="72" t="s">
        <v>26</v>
      </c>
      <c r="M1053" s="72"/>
      <c r="O1053" s="1" t="s">
        <v>27</v>
      </c>
      <c r="P1053" s="1" t="s">
        <v>28</v>
      </c>
      <c r="T1053" s="2" t="s">
        <v>29</v>
      </c>
    </row>
    <row r="1054" spans="1:20" s="2" customFormat="1" ht="24.95" customHeight="1">
      <c r="A1054" s="9" t="s">
        <v>30</v>
      </c>
      <c r="B1054" s="110" t="s">
        <v>31</v>
      </c>
      <c r="C1054" s="110"/>
      <c r="D1054" s="110"/>
      <c r="E1054" s="4"/>
      <c r="F1054" s="54"/>
      <c r="G1054" s="59"/>
      <c r="H1054" s="72"/>
      <c r="I1054" s="72"/>
      <c r="J1054" s="72"/>
      <c r="K1054" s="72"/>
      <c r="L1054" s="72"/>
      <c r="M1054" s="72"/>
    </row>
    <row r="1055" spans="1:20" ht="24.95" customHeight="1">
      <c r="A1055" s="10">
        <v>1</v>
      </c>
      <c r="B1055" s="66" t="s">
        <v>91</v>
      </c>
      <c r="C1055" s="67" t="s">
        <v>91</v>
      </c>
      <c r="D1055" s="68" t="s">
        <v>91</v>
      </c>
      <c r="E1055" s="4" t="s">
        <v>32</v>
      </c>
      <c r="F1055" s="69">
        <v>1</v>
      </c>
      <c r="G1055" s="70"/>
      <c r="H1055" s="69"/>
      <c r="I1055" s="70"/>
      <c r="J1055" s="71">
        <f>H1055+J997</f>
        <v>1</v>
      </c>
      <c r="K1055" s="71"/>
      <c r="L1055" s="72"/>
      <c r="M1055" s="72"/>
      <c r="O1055" s="11">
        <v>4000</v>
      </c>
      <c r="P1055" s="11">
        <f>ROUND(H1055*O1055,0)</f>
        <v>0</v>
      </c>
      <c r="Q1055" s="12"/>
      <c r="S1055" s="11">
        <f>ROUND(J1055*O1055,0)</f>
        <v>4000</v>
      </c>
      <c r="T1055" s="13">
        <f>F1055-J1055</f>
        <v>0</v>
      </c>
    </row>
    <row r="1056" spans="1:20" ht="24.95" customHeight="1">
      <c r="A1056" s="10">
        <v>2</v>
      </c>
      <c r="B1056" s="66" t="s">
        <v>92</v>
      </c>
      <c r="C1056" s="67" t="s">
        <v>92</v>
      </c>
      <c r="D1056" s="68" t="s">
        <v>92</v>
      </c>
      <c r="E1056" s="4" t="s">
        <v>32</v>
      </c>
      <c r="F1056" s="69">
        <v>1</v>
      </c>
      <c r="G1056" s="70"/>
      <c r="H1056" s="69"/>
      <c r="I1056" s="70"/>
      <c r="J1056" s="71">
        <f t="shared" ref="J1056:J1063" si="122">H1056+J998</f>
        <v>1</v>
      </c>
      <c r="K1056" s="71"/>
      <c r="L1056" s="72"/>
      <c r="M1056" s="72"/>
      <c r="O1056" s="11">
        <v>14334</v>
      </c>
      <c r="P1056" s="11">
        <f t="shared" ref="P1056:P1063" si="123">ROUND(H1056*O1056,0)</f>
        <v>0</v>
      </c>
      <c r="Q1056" s="12"/>
      <c r="S1056" s="11">
        <f t="shared" ref="S1056:S1063" si="124">ROUND(J1056*O1056,0)</f>
        <v>14334</v>
      </c>
      <c r="T1056" s="13">
        <f t="shared" ref="T1056:T1063" si="125">F1056-J1056</f>
        <v>0</v>
      </c>
    </row>
    <row r="1057" spans="1:20" ht="24.95" customHeight="1">
      <c r="A1057" s="10">
        <v>3</v>
      </c>
      <c r="B1057" s="66" t="s">
        <v>84</v>
      </c>
      <c r="C1057" s="67" t="s">
        <v>84</v>
      </c>
      <c r="D1057" s="68" t="s">
        <v>84</v>
      </c>
      <c r="E1057" s="4" t="s">
        <v>33</v>
      </c>
      <c r="F1057" s="69">
        <v>1</v>
      </c>
      <c r="G1057" s="70"/>
      <c r="H1057" s="69"/>
      <c r="I1057" s="70"/>
      <c r="J1057" s="71">
        <f t="shared" si="122"/>
        <v>0.5</v>
      </c>
      <c r="K1057" s="71"/>
      <c r="L1057" s="72"/>
      <c r="M1057" s="72"/>
      <c r="O1057" s="11">
        <v>7000</v>
      </c>
      <c r="P1057" s="11">
        <f t="shared" si="123"/>
        <v>0</v>
      </c>
      <c r="Q1057" s="12"/>
      <c r="S1057" s="11">
        <f t="shared" si="124"/>
        <v>3500</v>
      </c>
      <c r="T1057" s="13">
        <f t="shared" si="125"/>
        <v>0.5</v>
      </c>
    </row>
    <row r="1058" spans="1:20" ht="24.95" customHeight="1">
      <c r="A1058" s="10">
        <v>4</v>
      </c>
      <c r="B1058" s="66" t="s">
        <v>85</v>
      </c>
      <c r="C1058" s="67" t="s">
        <v>85</v>
      </c>
      <c r="D1058" s="68" t="s">
        <v>85</v>
      </c>
      <c r="E1058" s="4" t="s">
        <v>34</v>
      </c>
      <c r="F1058" s="69">
        <v>1</v>
      </c>
      <c r="G1058" s="70"/>
      <c r="H1058" s="69"/>
      <c r="I1058" s="70"/>
      <c r="J1058" s="71">
        <f t="shared" si="122"/>
        <v>1</v>
      </c>
      <c r="K1058" s="71"/>
      <c r="L1058" s="72"/>
      <c r="M1058" s="72"/>
      <c r="O1058" s="11">
        <v>74000</v>
      </c>
      <c r="P1058" s="11">
        <f t="shared" si="123"/>
        <v>0</v>
      </c>
      <c r="Q1058" s="12"/>
      <c r="S1058" s="11">
        <f t="shared" si="124"/>
        <v>74000</v>
      </c>
      <c r="T1058" s="13">
        <f t="shared" si="125"/>
        <v>0</v>
      </c>
    </row>
    <row r="1059" spans="1:20" ht="24.95" customHeight="1">
      <c r="A1059" s="10">
        <v>5</v>
      </c>
      <c r="B1059" s="66" t="s">
        <v>86</v>
      </c>
      <c r="C1059" s="67" t="s">
        <v>86</v>
      </c>
      <c r="D1059" s="68" t="s">
        <v>86</v>
      </c>
      <c r="E1059" s="4" t="s">
        <v>93</v>
      </c>
      <c r="F1059" s="69">
        <v>396</v>
      </c>
      <c r="G1059" s="70"/>
      <c r="H1059" s="69"/>
      <c r="I1059" s="70"/>
      <c r="J1059" s="71">
        <f t="shared" si="122"/>
        <v>350</v>
      </c>
      <c r="K1059" s="71"/>
      <c r="L1059" s="72"/>
      <c r="M1059" s="72"/>
      <c r="O1059" s="11">
        <v>200</v>
      </c>
      <c r="P1059" s="11">
        <f t="shared" si="123"/>
        <v>0</v>
      </c>
      <c r="Q1059" s="12"/>
      <c r="S1059" s="11">
        <f t="shared" si="124"/>
        <v>70000</v>
      </c>
      <c r="T1059" s="13">
        <f t="shared" si="125"/>
        <v>46</v>
      </c>
    </row>
    <row r="1060" spans="1:20" ht="24.95" customHeight="1">
      <c r="A1060" s="10">
        <v>6</v>
      </c>
      <c r="B1060" s="66" t="s">
        <v>97</v>
      </c>
      <c r="C1060" s="67" t="s">
        <v>87</v>
      </c>
      <c r="D1060" s="68" t="s">
        <v>87</v>
      </c>
      <c r="E1060" s="4" t="s">
        <v>35</v>
      </c>
      <c r="F1060" s="69">
        <v>80</v>
      </c>
      <c r="G1060" s="70">
        <v>183.6</v>
      </c>
      <c r="H1060" s="69"/>
      <c r="I1060" s="70"/>
      <c r="J1060" s="71">
        <f t="shared" si="122"/>
        <v>78</v>
      </c>
      <c r="K1060" s="71"/>
      <c r="L1060" s="54"/>
      <c r="M1060" s="59"/>
      <c r="O1060" s="11">
        <v>1463</v>
      </c>
      <c r="P1060" s="11">
        <f t="shared" si="123"/>
        <v>0</v>
      </c>
      <c r="S1060" s="11">
        <f t="shared" si="124"/>
        <v>114114</v>
      </c>
      <c r="T1060" s="13">
        <f t="shared" si="125"/>
        <v>2</v>
      </c>
    </row>
    <row r="1061" spans="1:20" ht="24.95" customHeight="1">
      <c r="A1061" s="10">
        <v>7</v>
      </c>
      <c r="B1061" s="66" t="s">
        <v>88</v>
      </c>
      <c r="C1061" s="67" t="s">
        <v>88</v>
      </c>
      <c r="D1061" s="68" t="s">
        <v>88</v>
      </c>
      <c r="E1061" s="4" t="s">
        <v>94</v>
      </c>
      <c r="F1061" s="69">
        <v>126</v>
      </c>
      <c r="G1061" s="70">
        <v>19</v>
      </c>
      <c r="H1061" s="69"/>
      <c r="I1061" s="70"/>
      <c r="J1061" s="71">
        <f t="shared" si="122"/>
        <v>0</v>
      </c>
      <c r="K1061" s="71"/>
      <c r="L1061" s="54"/>
      <c r="M1061" s="59"/>
      <c r="O1061" s="11">
        <v>6350</v>
      </c>
      <c r="P1061" s="11">
        <f t="shared" si="123"/>
        <v>0</v>
      </c>
      <c r="S1061" s="11">
        <f t="shared" si="124"/>
        <v>0</v>
      </c>
      <c r="T1061" s="13">
        <f t="shared" si="125"/>
        <v>126</v>
      </c>
    </row>
    <row r="1062" spans="1:20" ht="24.95" customHeight="1">
      <c r="A1062" s="10">
        <v>8</v>
      </c>
      <c r="B1062" s="66" t="s">
        <v>89</v>
      </c>
      <c r="C1062" s="67" t="s">
        <v>89</v>
      </c>
      <c r="D1062" s="68" t="s">
        <v>89</v>
      </c>
      <c r="E1062" s="4" t="s">
        <v>95</v>
      </c>
      <c r="F1062" s="69">
        <v>1</v>
      </c>
      <c r="G1062" s="70">
        <v>1192</v>
      </c>
      <c r="H1062" s="69"/>
      <c r="I1062" s="70"/>
      <c r="J1062" s="71">
        <f t="shared" si="122"/>
        <v>0.3</v>
      </c>
      <c r="K1062" s="71"/>
      <c r="L1062" s="54"/>
      <c r="M1062" s="59"/>
      <c r="O1062" s="11">
        <v>47600</v>
      </c>
      <c r="P1062" s="11">
        <f t="shared" si="123"/>
        <v>0</v>
      </c>
      <c r="S1062" s="11">
        <f t="shared" si="124"/>
        <v>14280</v>
      </c>
      <c r="T1062" s="13">
        <f t="shared" si="125"/>
        <v>0.7</v>
      </c>
    </row>
    <row r="1063" spans="1:20" ht="24.95" customHeight="1">
      <c r="A1063" s="10">
        <v>9</v>
      </c>
      <c r="B1063" s="66" t="s">
        <v>90</v>
      </c>
      <c r="C1063" s="67" t="s">
        <v>90</v>
      </c>
      <c r="D1063" s="68" t="s">
        <v>90</v>
      </c>
      <c r="E1063" s="4" t="s">
        <v>96</v>
      </c>
      <c r="F1063" s="69">
        <v>1</v>
      </c>
      <c r="G1063" s="70">
        <v>1261</v>
      </c>
      <c r="H1063" s="69"/>
      <c r="I1063" s="70"/>
      <c r="J1063" s="71">
        <f t="shared" si="122"/>
        <v>0</v>
      </c>
      <c r="K1063" s="71"/>
      <c r="L1063" s="54"/>
      <c r="M1063" s="59"/>
      <c r="O1063" s="11">
        <v>10000</v>
      </c>
      <c r="P1063" s="11">
        <f t="shared" si="123"/>
        <v>0</v>
      </c>
      <c r="S1063" s="11">
        <f t="shared" si="124"/>
        <v>0</v>
      </c>
      <c r="T1063" s="13">
        <f t="shared" si="125"/>
        <v>1</v>
      </c>
    </row>
    <row r="1064" spans="1:20" ht="24.95" customHeight="1">
      <c r="A1064" s="14"/>
      <c r="B1064" s="15"/>
      <c r="C1064" s="16"/>
      <c r="D1064" s="17"/>
      <c r="E1064" s="4"/>
      <c r="F1064" s="18"/>
      <c r="G1064" s="19"/>
      <c r="H1064" s="105"/>
      <c r="I1064" s="106"/>
      <c r="J1064" s="105"/>
      <c r="K1064" s="106"/>
      <c r="L1064" s="54"/>
      <c r="M1064" s="59"/>
      <c r="N1064" s="20"/>
      <c r="P1064" s="21" t="s">
        <v>37</v>
      </c>
      <c r="Q1064" s="22">
        <f>SUM(P1055:P1063)</f>
        <v>0</v>
      </c>
      <c r="R1064" s="23"/>
      <c r="S1064" s="24">
        <f>SUM(S1055:S1063)</f>
        <v>294228</v>
      </c>
      <c r="T1064" s="13"/>
    </row>
    <row r="1065" spans="1:20" ht="24.95" customHeight="1">
      <c r="A1065" s="107"/>
      <c r="B1065" s="108"/>
      <c r="C1065" s="108"/>
      <c r="D1065" s="109"/>
      <c r="E1065" s="4"/>
      <c r="F1065" s="54"/>
      <c r="G1065" s="59"/>
      <c r="H1065" s="72"/>
      <c r="I1065" s="72"/>
      <c r="J1065" s="72"/>
      <c r="K1065" s="72"/>
      <c r="L1065" s="72"/>
      <c r="M1065" s="72"/>
      <c r="O1065" t="s">
        <v>38</v>
      </c>
      <c r="P1065" s="24">
        <f>Q1064</f>
        <v>0</v>
      </c>
      <c r="T1065" s="13"/>
    </row>
    <row r="1066" spans="1:20" ht="24.95" customHeight="1">
      <c r="A1066" s="97"/>
      <c r="B1066" s="98"/>
      <c r="C1066" s="98"/>
      <c r="D1066" s="99"/>
      <c r="E1066" s="4"/>
      <c r="F1066" s="54"/>
      <c r="G1066" s="59"/>
      <c r="H1066" s="72"/>
      <c r="I1066" s="72"/>
      <c r="J1066" s="72"/>
      <c r="K1066" s="72"/>
      <c r="L1066" s="72"/>
      <c r="M1066" s="72"/>
      <c r="O1066" t="s">
        <v>39</v>
      </c>
      <c r="P1066" s="23">
        <f>ROUND(P1065/1153274,4)*100</f>
        <v>0</v>
      </c>
      <c r="T1066" s="13"/>
    </row>
    <row r="1067" spans="1:20" ht="24.95" customHeight="1">
      <c r="A1067" s="25"/>
      <c r="B1067" s="63" t="s">
        <v>40</v>
      </c>
      <c r="C1067" s="63"/>
      <c r="D1067" s="59"/>
      <c r="E1067" s="26"/>
      <c r="F1067" s="100"/>
      <c r="G1067" s="101"/>
      <c r="H1067" s="100"/>
      <c r="I1067" s="101"/>
      <c r="J1067" s="102"/>
      <c r="K1067" s="102"/>
      <c r="L1067" s="103">
        <f>P1065</f>
        <v>0</v>
      </c>
      <c r="M1067" s="104"/>
      <c r="T1067" s="13"/>
    </row>
    <row r="1068" spans="1:20" ht="24.95" customHeight="1" thickBot="1">
      <c r="A1068" s="27"/>
      <c r="B1068" s="85" t="s">
        <v>41</v>
      </c>
      <c r="C1068" s="85"/>
      <c r="D1068" s="86"/>
      <c r="E1068" s="28"/>
      <c r="F1068" s="87"/>
      <c r="G1068" s="88"/>
      <c r="H1068" s="87"/>
      <c r="I1068" s="88"/>
      <c r="J1068" s="87"/>
      <c r="K1068" s="88"/>
      <c r="L1068" s="89">
        <f>L1067+L1010</f>
        <v>294228</v>
      </c>
      <c r="M1068" s="90"/>
      <c r="T1068" s="13"/>
    </row>
    <row r="1069" spans="1:20" ht="24.95" customHeight="1">
      <c r="A1069" s="29"/>
      <c r="B1069" s="91" t="s">
        <v>42</v>
      </c>
      <c r="C1069" s="91"/>
      <c r="D1069" s="92"/>
      <c r="E1069" s="30"/>
      <c r="F1069" s="93"/>
      <c r="G1069" s="94"/>
      <c r="H1069" s="95"/>
      <c r="I1069" s="95"/>
      <c r="J1069" s="95"/>
      <c r="K1069" s="95"/>
      <c r="L1069" s="95"/>
      <c r="M1069" s="96"/>
      <c r="T1069" s="13"/>
    </row>
    <row r="1070" spans="1:20" ht="24.95" customHeight="1">
      <c r="A1070" s="31"/>
      <c r="B1070" s="76" t="s">
        <v>43</v>
      </c>
      <c r="C1070" s="76"/>
      <c r="D1070" s="77"/>
      <c r="E1070" s="4"/>
      <c r="F1070" s="54"/>
      <c r="G1070" s="59"/>
      <c r="H1070" s="72"/>
      <c r="I1070" s="72"/>
      <c r="J1070" s="72"/>
      <c r="K1070" s="72"/>
      <c r="L1070" s="72"/>
      <c r="M1070" s="78"/>
      <c r="T1070" s="13"/>
    </row>
    <row r="1071" spans="1:20" ht="24.95" customHeight="1" thickBot="1">
      <c r="A1071" s="32"/>
      <c r="B1071" s="79" t="s">
        <v>44</v>
      </c>
      <c r="C1071" s="79"/>
      <c r="D1071" s="80"/>
      <c r="E1071" s="33"/>
      <c r="F1071" s="81"/>
      <c r="G1071" s="82"/>
      <c r="H1071" s="83"/>
      <c r="I1071" s="83"/>
      <c r="J1071" s="83"/>
      <c r="K1071" s="83"/>
      <c r="L1071" s="83"/>
      <c r="M1071" s="84"/>
      <c r="T1071" s="13"/>
    </row>
    <row r="1072" spans="1:20" ht="24.95" customHeight="1">
      <c r="A1072" s="73" t="s">
        <v>45</v>
      </c>
      <c r="B1072" s="74"/>
      <c r="C1072" s="74"/>
      <c r="D1072" s="74"/>
      <c r="E1072" s="74"/>
      <c r="F1072" s="74"/>
      <c r="G1072" s="74"/>
      <c r="H1072" s="74"/>
      <c r="I1072" s="74"/>
      <c r="J1072" s="74"/>
      <c r="K1072" s="74"/>
      <c r="L1072" s="74"/>
      <c r="M1072" s="74"/>
      <c r="T1072" s="13"/>
    </row>
    <row r="1073" spans="1:20" ht="24.95" customHeight="1">
      <c r="A1073" s="72" t="s">
        <v>46</v>
      </c>
      <c r="B1073" s="75"/>
      <c r="C1073" s="75"/>
      <c r="D1073" s="75"/>
      <c r="E1073" s="4" t="s">
        <v>22</v>
      </c>
      <c r="F1073" s="72" t="s">
        <v>47</v>
      </c>
      <c r="G1073" s="72"/>
      <c r="H1073" s="72" t="s">
        <v>48</v>
      </c>
      <c r="I1073" s="72"/>
      <c r="J1073" s="72" t="s">
        <v>49</v>
      </c>
      <c r="K1073" s="72"/>
      <c r="L1073" s="72" t="s">
        <v>50</v>
      </c>
      <c r="M1073" s="72"/>
      <c r="T1073" s="13"/>
    </row>
    <row r="1074" spans="1:20" ht="24.95" customHeight="1">
      <c r="A1074" s="10">
        <v>6</v>
      </c>
      <c r="B1074" s="66" t="s">
        <v>97</v>
      </c>
      <c r="C1074" s="67" t="s">
        <v>51</v>
      </c>
      <c r="D1074" s="68" t="s">
        <v>51</v>
      </c>
      <c r="E1074" s="4" t="s">
        <v>35</v>
      </c>
      <c r="F1074" s="69">
        <v>80</v>
      </c>
      <c r="G1074" s="70">
        <v>1261</v>
      </c>
      <c r="H1074" s="71">
        <f>H1060</f>
        <v>0</v>
      </c>
      <c r="I1074" s="71"/>
      <c r="J1074" s="71">
        <f>H1074+J1016</f>
        <v>78</v>
      </c>
      <c r="K1074" s="71"/>
      <c r="L1074" s="72"/>
      <c r="M1074" s="72"/>
      <c r="T1074" s="13"/>
    </row>
    <row r="1075" spans="1:20" ht="24.95" customHeight="1">
      <c r="A1075" s="10">
        <v>7</v>
      </c>
      <c r="B1075" s="66" t="s">
        <v>88</v>
      </c>
      <c r="C1075" s="67" t="s">
        <v>88</v>
      </c>
      <c r="D1075" s="68" t="s">
        <v>88</v>
      </c>
      <c r="E1075" s="4" t="s">
        <v>98</v>
      </c>
      <c r="F1075" s="69">
        <v>126</v>
      </c>
      <c r="G1075" s="70"/>
      <c r="H1075" s="71">
        <f>H1061</f>
        <v>0</v>
      </c>
      <c r="I1075" s="71"/>
      <c r="J1075" s="71">
        <f t="shared" ref="J1075:J1076" si="126">H1075+J1017</f>
        <v>0</v>
      </c>
      <c r="K1075" s="71"/>
      <c r="L1075" s="72"/>
      <c r="M1075" s="72"/>
      <c r="T1075" s="13"/>
    </row>
    <row r="1076" spans="1:20" ht="24.95" customHeight="1">
      <c r="A1076" s="10">
        <v>8</v>
      </c>
      <c r="B1076" s="66" t="s">
        <v>89</v>
      </c>
      <c r="C1076" s="67" t="s">
        <v>89</v>
      </c>
      <c r="D1076" s="68" t="s">
        <v>89</v>
      </c>
      <c r="E1076" s="4" t="s">
        <v>36</v>
      </c>
      <c r="F1076" s="69">
        <v>1</v>
      </c>
      <c r="G1076" s="70"/>
      <c r="H1076" s="71">
        <f>H1062</f>
        <v>0</v>
      </c>
      <c r="I1076" s="71"/>
      <c r="J1076" s="71">
        <f t="shared" si="126"/>
        <v>0.3</v>
      </c>
      <c r="K1076" s="71"/>
      <c r="L1076" s="72"/>
      <c r="M1076" s="72"/>
      <c r="T1076" s="13"/>
    </row>
    <row r="1077" spans="1:20" ht="24.95" customHeight="1">
      <c r="A1077" s="51" t="s">
        <v>52</v>
      </c>
      <c r="B1077" s="52"/>
      <c r="C1077" s="52"/>
      <c r="D1077" s="52"/>
      <c r="E1077" s="52"/>
      <c r="F1077" s="52"/>
      <c r="G1077" s="52"/>
      <c r="H1077" s="52"/>
      <c r="I1077" s="52"/>
      <c r="J1077" s="52"/>
      <c r="K1077" s="52"/>
      <c r="L1077" s="52"/>
      <c r="M1077" s="53"/>
      <c r="T1077" s="13"/>
    </row>
    <row r="1078" spans="1:20" ht="24.95" customHeight="1">
      <c r="A1078" s="54" t="s">
        <v>53</v>
      </c>
      <c r="B1078" s="63"/>
      <c r="C1078" s="63"/>
      <c r="D1078" s="59"/>
      <c r="E1078" s="4" t="s">
        <v>54</v>
      </c>
      <c r="F1078" s="54" t="s">
        <v>55</v>
      </c>
      <c r="G1078" s="59"/>
      <c r="H1078" s="54" t="s">
        <v>56</v>
      </c>
      <c r="I1078" s="59"/>
      <c r="J1078" s="54" t="s">
        <v>48</v>
      </c>
      <c r="K1078" s="59"/>
      <c r="L1078" s="64" t="s">
        <v>49</v>
      </c>
      <c r="M1078" s="65"/>
      <c r="T1078" s="13"/>
    </row>
    <row r="1079" spans="1:20" ht="24.95" customHeight="1">
      <c r="A1079" s="54" t="s">
        <v>57</v>
      </c>
      <c r="B1079" s="55"/>
      <c r="C1079" s="55"/>
      <c r="D1079" s="56"/>
      <c r="E1079" s="4"/>
      <c r="F1079" s="57">
        <f>E1079+F1021</f>
        <v>28</v>
      </c>
      <c r="G1079" s="58"/>
      <c r="H1079" s="54" t="s">
        <v>58</v>
      </c>
      <c r="I1079" s="59"/>
      <c r="J1079" s="54"/>
      <c r="K1079" s="59"/>
      <c r="L1079" s="57">
        <f>J1079+L1021</f>
        <v>15</v>
      </c>
      <c r="M1079" s="58"/>
      <c r="T1079" s="13"/>
    </row>
    <row r="1080" spans="1:20" ht="24.95" customHeight="1">
      <c r="A1080" s="54" t="s">
        <v>59</v>
      </c>
      <c r="B1080" s="55"/>
      <c r="C1080" s="55"/>
      <c r="D1080" s="56"/>
      <c r="E1080" s="4"/>
      <c r="F1080" s="57">
        <f t="shared" ref="F1080:F1082" si="127">E1080+F1022</f>
        <v>0</v>
      </c>
      <c r="G1080" s="58"/>
      <c r="H1080" s="54" t="s">
        <v>60</v>
      </c>
      <c r="I1080" s="59"/>
      <c r="J1080" s="54"/>
      <c r="K1080" s="59"/>
      <c r="L1080" s="57">
        <f t="shared" ref="L1080:L1082" si="128">J1080+L1022</f>
        <v>0</v>
      </c>
      <c r="M1080" s="58"/>
      <c r="T1080" s="13"/>
    </row>
    <row r="1081" spans="1:20" ht="24.95" customHeight="1">
      <c r="A1081" s="54" t="s">
        <v>61</v>
      </c>
      <c r="B1081" s="55"/>
      <c r="C1081" s="55"/>
      <c r="D1081" s="56"/>
      <c r="E1081" s="4"/>
      <c r="F1081" s="57">
        <f t="shared" si="127"/>
        <v>2</v>
      </c>
      <c r="G1081" s="58"/>
      <c r="H1081" s="54" t="s">
        <v>62</v>
      </c>
      <c r="I1081" s="59"/>
      <c r="J1081" s="54"/>
      <c r="K1081" s="59"/>
      <c r="L1081" s="57">
        <f t="shared" si="128"/>
        <v>5</v>
      </c>
      <c r="M1081" s="58"/>
      <c r="T1081" s="13"/>
    </row>
    <row r="1082" spans="1:20" ht="24.95" customHeight="1">
      <c r="A1082" s="54" t="s">
        <v>63</v>
      </c>
      <c r="B1082" s="55"/>
      <c r="C1082" s="55"/>
      <c r="D1082" s="56"/>
      <c r="E1082" s="4"/>
      <c r="F1082" s="57">
        <f t="shared" si="127"/>
        <v>4</v>
      </c>
      <c r="G1082" s="58"/>
      <c r="H1082" s="54" t="s">
        <v>64</v>
      </c>
      <c r="I1082" s="59"/>
      <c r="J1082" s="54"/>
      <c r="K1082" s="59"/>
      <c r="L1082" s="57">
        <f t="shared" si="128"/>
        <v>1</v>
      </c>
      <c r="M1082" s="58"/>
      <c r="T1082" s="13"/>
    </row>
    <row r="1083" spans="1:20" ht="64.5" customHeight="1">
      <c r="A1083" s="60" t="s">
        <v>65</v>
      </c>
      <c r="B1083" s="61"/>
      <c r="C1083" s="61"/>
      <c r="D1083" s="61"/>
      <c r="E1083" s="61"/>
      <c r="F1083" s="61"/>
      <c r="G1083" s="61"/>
      <c r="H1083" s="61"/>
      <c r="I1083" s="61"/>
      <c r="J1083" s="61"/>
      <c r="K1083" s="61"/>
      <c r="L1083" s="61"/>
      <c r="M1083" s="62"/>
      <c r="T1083" s="13"/>
    </row>
    <row r="1084" spans="1:20" ht="24.95" customHeight="1">
      <c r="A1084" s="46" t="s">
        <v>66</v>
      </c>
      <c r="B1084" s="47"/>
      <c r="C1084" s="47"/>
      <c r="D1084" s="47"/>
      <c r="E1084" s="47"/>
      <c r="F1084" s="47"/>
      <c r="G1084" s="47"/>
      <c r="H1084" s="47"/>
      <c r="I1084" s="47"/>
      <c r="J1084" s="47"/>
      <c r="K1084" s="47"/>
      <c r="L1084" s="47"/>
      <c r="M1084" s="48"/>
      <c r="T1084" s="13"/>
    </row>
    <row r="1085" spans="1:20" ht="24.95" customHeight="1">
      <c r="A1085" s="27"/>
      <c r="B1085" s="34" t="s">
        <v>67</v>
      </c>
      <c r="C1085" s="34"/>
      <c r="D1085" s="34"/>
      <c r="E1085" s="34"/>
      <c r="F1085" s="34"/>
      <c r="G1085" s="35"/>
      <c r="H1085" s="34"/>
      <c r="I1085" s="34"/>
      <c r="J1085" s="34"/>
      <c r="K1085" s="34"/>
      <c r="L1085" s="34"/>
      <c r="M1085" s="36"/>
      <c r="T1085" s="13"/>
    </row>
    <row r="1086" spans="1:20" ht="24.95" customHeight="1">
      <c r="A1086" s="27"/>
      <c r="B1086" s="34" t="s">
        <v>81</v>
      </c>
      <c r="C1086" s="34"/>
      <c r="D1086" s="34"/>
      <c r="E1086" s="34"/>
      <c r="F1086" s="34"/>
      <c r="G1086" s="35"/>
      <c r="H1086" s="34"/>
      <c r="I1086" s="34"/>
      <c r="J1086" s="34"/>
      <c r="K1086" s="34"/>
      <c r="L1086" s="34"/>
      <c r="M1086" s="36"/>
      <c r="T1086" s="13"/>
    </row>
    <row r="1087" spans="1:20" ht="24.95" customHeight="1">
      <c r="A1087" s="27"/>
      <c r="B1087" s="34" t="s">
        <v>68</v>
      </c>
      <c r="C1087" s="34"/>
      <c r="D1087" s="34"/>
      <c r="E1087" s="34"/>
      <c r="F1087" s="34"/>
      <c r="G1087" s="35"/>
      <c r="H1087" s="34"/>
      <c r="I1087" s="34"/>
      <c r="J1087" s="34"/>
      <c r="K1087" s="34"/>
      <c r="L1087" s="34"/>
      <c r="M1087" s="36"/>
      <c r="T1087" s="13"/>
    </row>
    <row r="1088" spans="1:20" ht="24.95" customHeight="1">
      <c r="A1088" s="27"/>
      <c r="B1088" s="34" t="s">
        <v>82</v>
      </c>
      <c r="C1088" s="34"/>
      <c r="D1088" s="34"/>
      <c r="E1088" s="34"/>
      <c r="F1088" s="34"/>
      <c r="G1088" s="35"/>
      <c r="H1088" s="34"/>
      <c r="I1088" s="34"/>
      <c r="J1088" s="34"/>
      <c r="K1088" s="34"/>
      <c r="L1088" s="34"/>
      <c r="M1088" s="36"/>
      <c r="T1088" s="13"/>
    </row>
    <row r="1089" spans="1:20" ht="24.95" customHeight="1">
      <c r="A1089" s="27"/>
      <c r="B1089" s="34" t="s">
        <v>99</v>
      </c>
      <c r="C1089" s="34"/>
      <c r="D1089" s="34"/>
      <c r="E1089" s="34"/>
      <c r="F1089" s="34"/>
      <c r="G1089" s="35"/>
      <c r="H1089" s="34"/>
      <c r="I1089" s="34"/>
      <c r="J1089" s="34"/>
      <c r="K1089" s="34"/>
      <c r="L1089" s="34"/>
      <c r="M1089" s="36"/>
      <c r="T1089" s="13"/>
    </row>
    <row r="1090" spans="1:20" ht="24.95" customHeight="1">
      <c r="A1090" s="37"/>
      <c r="B1090" s="49" t="s">
        <v>69</v>
      </c>
      <c r="C1090" s="49"/>
      <c r="D1090" s="49"/>
      <c r="E1090" s="49"/>
      <c r="F1090" s="49"/>
      <c r="G1090" s="49"/>
      <c r="H1090" s="49"/>
      <c r="I1090" s="49"/>
      <c r="J1090" s="49"/>
      <c r="K1090" s="49"/>
      <c r="L1090" s="49"/>
      <c r="M1090" s="50"/>
      <c r="T1090" s="13"/>
    </row>
    <row r="1091" spans="1:20" ht="44.25" customHeight="1">
      <c r="A1091" s="51" t="s">
        <v>70</v>
      </c>
      <c r="B1091" s="52"/>
      <c r="C1091" s="52"/>
      <c r="D1091" s="52"/>
      <c r="E1091" s="52"/>
      <c r="F1091" s="52"/>
      <c r="G1091" s="52"/>
      <c r="H1091" s="52"/>
      <c r="I1091" s="52"/>
      <c r="J1091" s="52"/>
      <c r="K1091" s="52"/>
      <c r="L1091" s="52"/>
      <c r="M1091" s="53"/>
      <c r="T1091" s="13"/>
    </row>
    <row r="1092" spans="1:20" ht="48" customHeight="1">
      <c r="A1092" s="51" t="s">
        <v>71</v>
      </c>
      <c r="B1092" s="52"/>
      <c r="C1092" s="52"/>
      <c r="D1092" s="52"/>
      <c r="E1092" s="52"/>
      <c r="F1092" s="52"/>
      <c r="G1092" s="52"/>
      <c r="H1092" s="52"/>
      <c r="I1092" s="52"/>
      <c r="J1092" s="52"/>
      <c r="K1092" s="52"/>
      <c r="L1092" s="52"/>
      <c r="M1092" s="53"/>
      <c r="T1092" s="13"/>
    </row>
    <row r="1093" spans="1:20" ht="81" customHeight="1">
      <c r="A1093" s="51" t="s">
        <v>80</v>
      </c>
      <c r="B1093" s="52"/>
      <c r="C1093" s="52"/>
      <c r="D1093" s="52"/>
      <c r="E1093" s="52"/>
      <c r="F1093" s="52"/>
      <c r="G1093" s="52"/>
      <c r="H1093" s="52"/>
      <c r="I1093" s="52"/>
      <c r="J1093" s="52"/>
      <c r="K1093" s="52"/>
      <c r="L1093" s="52"/>
      <c r="M1093" s="53"/>
      <c r="T1093" s="13"/>
    </row>
    <row r="1094" spans="1:20" ht="100.5" customHeight="1">
      <c r="A1094" s="51" t="s">
        <v>72</v>
      </c>
      <c r="B1094" s="52"/>
      <c r="C1094" s="52"/>
      <c r="D1094" s="52"/>
      <c r="E1094" s="52"/>
      <c r="F1094" s="52"/>
      <c r="G1094" s="52"/>
      <c r="H1094" s="52"/>
      <c r="I1094" s="52"/>
      <c r="J1094" s="52"/>
      <c r="K1094" s="52"/>
      <c r="L1094" s="52"/>
      <c r="M1094" s="53"/>
      <c r="T1094" s="13"/>
    </row>
    <row r="1095" spans="1:20" ht="12" customHeight="1">
      <c r="A1095" s="41" t="s">
        <v>73</v>
      </c>
      <c r="B1095" s="41"/>
      <c r="C1095" s="42"/>
      <c r="D1095" s="42"/>
      <c r="E1095" s="42"/>
      <c r="F1095" s="42"/>
      <c r="G1095" s="42"/>
      <c r="H1095" s="42"/>
      <c r="I1095" s="42"/>
      <c r="J1095" s="42"/>
      <c r="K1095" s="42"/>
      <c r="L1095" s="42"/>
      <c r="M1095" s="38"/>
      <c r="T1095" s="13"/>
    </row>
    <row r="1096" spans="1:20" ht="12" customHeight="1">
      <c r="A1096" s="43" t="s">
        <v>74</v>
      </c>
      <c r="B1096" s="43"/>
      <c r="C1096" s="40"/>
      <c r="D1096" s="40"/>
      <c r="E1096" s="40"/>
      <c r="F1096" s="40"/>
      <c r="G1096" s="40"/>
      <c r="H1096" s="40"/>
      <c r="I1096" s="40"/>
      <c r="J1096" s="40"/>
      <c r="K1096" s="40"/>
      <c r="L1096" s="38"/>
      <c r="M1096" s="38"/>
      <c r="T1096" s="13"/>
    </row>
    <row r="1097" spans="1:20" ht="12" customHeight="1">
      <c r="A1097" s="44" t="s">
        <v>75</v>
      </c>
      <c r="B1097" s="44"/>
      <c r="C1097" s="44"/>
      <c r="D1097" s="44"/>
      <c r="E1097" s="44"/>
      <c r="F1097" s="44"/>
      <c r="G1097" s="44"/>
      <c r="H1097" s="44"/>
      <c r="I1097" s="44"/>
      <c r="J1097" s="44"/>
      <c r="K1097" s="44"/>
      <c r="L1097" s="44"/>
      <c r="M1097" s="44"/>
      <c r="T1097" s="13"/>
    </row>
    <row r="1098" spans="1:20" ht="12" customHeight="1">
      <c r="A1098" s="39" t="s">
        <v>76</v>
      </c>
      <c r="B1098" s="39"/>
      <c r="C1098" s="39"/>
      <c r="D1098" s="39"/>
      <c r="E1098" s="39"/>
      <c r="F1098" s="39"/>
      <c r="G1098" s="39"/>
      <c r="H1098" s="39"/>
      <c r="I1098" s="39"/>
      <c r="J1098" s="39"/>
      <c r="K1098" s="39"/>
      <c r="L1098" s="39"/>
      <c r="M1098" s="39"/>
      <c r="T1098" s="13"/>
    </row>
    <row r="1099" spans="1:20" ht="12" customHeight="1">
      <c r="A1099" s="39" t="s">
        <v>77</v>
      </c>
      <c r="B1099" s="40"/>
      <c r="C1099" s="40"/>
      <c r="D1099" s="40"/>
      <c r="E1099" s="40"/>
      <c r="F1099" s="40"/>
      <c r="G1099" s="40"/>
      <c r="H1099" s="40"/>
      <c r="I1099" s="40"/>
      <c r="J1099" s="40"/>
      <c r="K1099" s="40"/>
      <c r="L1099" s="40"/>
      <c r="M1099" s="40"/>
      <c r="T1099" s="13"/>
    </row>
    <row r="1100" spans="1:20" ht="12" customHeight="1">
      <c r="A1100" s="45" t="s">
        <v>78</v>
      </c>
      <c r="B1100" s="40"/>
      <c r="C1100" s="40"/>
      <c r="D1100" s="40"/>
      <c r="E1100" s="40"/>
      <c r="F1100" s="40"/>
      <c r="G1100" s="40"/>
      <c r="H1100" s="40"/>
      <c r="I1100" s="40"/>
      <c r="J1100" s="40"/>
      <c r="K1100" s="40"/>
      <c r="L1100" s="40"/>
      <c r="M1100" s="40"/>
      <c r="T1100" s="13"/>
    </row>
    <row r="1101" spans="1:20" ht="12" customHeight="1">
      <c r="A1101" s="39" t="s">
        <v>79</v>
      </c>
      <c r="B1101" s="40"/>
      <c r="C1101" s="40"/>
      <c r="D1101" s="40"/>
      <c r="E1101" s="40"/>
      <c r="F1101" s="40"/>
      <c r="G1101" s="40"/>
      <c r="H1101" s="40"/>
      <c r="I1101" s="40"/>
      <c r="J1101" s="40"/>
      <c r="K1101" s="40"/>
      <c r="L1101" s="40"/>
      <c r="M1101" s="40"/>
      <c r="T1101" s="13"/>
    </row>
    <row r="1102" spans="1:20" ht="409.5" customHeight="1"/>
    <row r="1103" spans="1:20" s="2" customFormat="1" ht="35.1" customHeight="1">
      <c r="A1103" s="126" t="s">
        <v>0</v>
      </c>
      <c r="B1103" s="126"/>
      <c r="C1103" s="1">
        <f>C1045+1</f>
        <v>55</v>
      </c>
      <c r="G1103" s="3"/>
    </row>
    <row r="1104" spans="1:20" s="2" customFormat="1" ht="35.1" customHeight="1">
      <c r="A1104" s="126" t="s">
        <v>1</v>
      </c>
      <c r="B1104" s="126"/>
      <c r="C1104" s="2" t="s">
        <v>2</v>
      </c>
      <c r="E1104" s="2" t="s">
        <v>3</v>
      </c>
      <c r="G1104" s="3"/>
      <c r="H1104" s="127" t="s">
        <v>4</v>
      </c>
      <c r="I1104" s="128"/>
      <c r="J1104" s="129">
        <f>J1046+1</f>
        <v>46042</v>
      </c>
      <c r="K1104" s="130"/>
      <c r="L1104" s="131">
        <f>J1104</f>
        <v>46042</v>
      </c>
      <c r="M1104" s="132"/>
    </row>
    <row r="1105" spans="1:20" s="2" customFormat="1" ht="30" customHeight="1">
      <c r="A1105" s="72" t="s">
        <v>5</v>
      </c>
      <c r="B1105" s="114"/>
      <c r="C1105" s="119" t="s">
        <v>83</v>
      </c>
      <c r="D1105" s="119"/>
      <c r="E1105" s="119"/>
      <c r="F1105" s="119"/>
      <c r="G1105" s="119"/>
      <c r="H1105" s="54" t="s">
        <v>6</v>
      </c>
      <c r="I1105" s="59"/>
      <c r="J1105" s="120"/>
      <c r="K1105" s="120"/>
      <c r="L1105" s="120"/>
      <c r="M1105" s="120"/>
    </row>
    <row r="1106" spans="1:20" s="1" customFormat="1" ht="30" customHeight="1">
      <c r="A1106" s="72" t="s">
        <v>7</v>
      </c>
      <c r="B1106" s="114"/>
      <c r="C1106" s="4">
        <v>50</v>
      </c>
      <c r="D1106" s="4" t="s">
        <v>8</v>
      </c>
      <c r="E1106" s="4" t="s">
        <v>9</v>
      </c>
      <c r="F1106" s="4">
        <f>F1048+1</f>
        <v>55</v>
      </c>
      <c r="G1106" s="5" t="s">
        <v>8</v>
      </c>
      <c r="H1106" s="4" t="s">
        <v>10</v>
      </c>
      <c r="I1106" s="4">
        <f>C1106-F1106+L1106</f>
        <v>-5</v>
      </c>
      <c r="J1106" s="4" t="s">
        <v>11</v>
      </c>
      <c r="K1106" s="6" t="s">
        <v>12</v>
      </c>
      <c r="L1106" s="7">
        <f>L1048</f>
        <v>0</v>
      </c>
      <c r="M1106" s="4" t="s">
        <v>8</v>
      </c>
    </row>
    <row r="1107" spans="1:20" s="2" customFormat="1" ht="30" customHeight="1">
      <c r="A1107" s="72" t="s">
        <v>13</v>
      </c>
      <c r="B1107" s="75"/>
      <c r="C1107" s="75"/>
      <c r="D1107" s="121">
        <f>D1049</f>
        <v>45988</v>
      </c>
      <c r="E1107" s="122"/>
      <c r="F1107" s="122"/>
      <c r="G1107" s="123"/>
      <c r="H1107" s="124" t="s">
        <v>14</v>
      </c>
      <c r="I1107" s="125"/>
      <c r="J1107" s="121">
        <f>J1049</f>
        <v>46037</v>
      </c>
      <c r="K1107" s="122"/>
      <c r="L1107" s="122"/>
      <c r="M1107" s="123"/>
    </row>
    <row r="1108" spans="1:20" s="2" customFormat="1" ht="30" customHeight="1">
      <c r="A1108" s="72" t="s">
        <v>15</v>
      </c>
      <c r="B1108" s="114"/>
      <c r="C1108" s="114"/>
      <c r="D1108" s="72"/>
      <c r="E1108" s="72"/>
      <c r="F1108" s="72"/>
      <c r="G1108" s="72"/>
      <c r="H1108" s="64" t="s">
        <v>16</v>
      </c>
      <c r="I1108" s="115"/>
      <c r="J1108" s="116">
        <f>P1124</f>
        <v>0</v>
      </c>
      <c r="K1108" s="117"/>
      <c r="L1108" s="117"/>
      <c r="M1108" s="118"/>
    </row>
    <row r="1109" spans="1:20" s="2" customFormat="1" ht="30" customHeight="1">
      <c r="A1109" s="72" t="s">
        <v>17</v>
      </c>
      <c r="B1109" s="114"/>
      <c r="C1109" s="114"/>
      <c r="D1109" s="72">
        <f>D1108+D1051</f>
        <v>100.00000000000004</v>
      </c>
      <c r="E1109" s="72"/>
      <c r="F1109" s="72"/>
      <c r="G1109" s="72"/>
      <c r="H1109" s="64" t="s">
        <v>18</v>
      </c>
      <c r="I1109" s="115"/>
      <c r="J1109" s="116">
        <f>J1108+J1051</f>
        <v>25.469999999999992</v>
      </c>
      <c r="K1109" s="117"/>
      <c r="L1109" s="117"/>
      <c r="M1109" s="118"/>
    </row>
    <row r="1110" spans="1:20" s="2" customFormat="1" ht="30" customHeight="1">
      <c r="A1110" s="111" t="s">
        <v>19</v>
      </c>
      <c r="B1110" s="112"/>
      <c r="C1110" s="112"/>
      <c r="D1110" s="112"/>
      <c r="E1110" s="112"/>
      <c r="F1110" s="112"/>
      <c r="G1110" s="112"/>
      <c r="H1110" s="112"/>
      <c r="I1110" s="112"/>
      <c r="J1110" s="112"/>
      <c r="K1110" s="112"/>
      <c r="L1110" s="112"/>
      <c r="M1110" s="113"/>
    </row>
    <row r="1111" spans="1:20" s="2" customFormat="1" ht="30" customHeight="1">
      <c r="A1111" s="8" t="s">
        <v>20</v>
      </c>
      <c r="B1111" s="72" t="s">
        <v>21</v>
      </c>
      <c r="C1111" s="72"/>
      <c r="D1111" s="72"/>
      <c r="E1111" s="4" t="s">
        <v>22</v>
      </c>
      <c r="F1111" s="54" t="s">
        <v>23</v>
      </c>
      <c r="G1111" s="59"/>
      <c r="H1111" s="72" t="s">
        <v>24</v>
      </c>
      <c r="I1111" s="72"/>
      <c r="J1111" s="72" t="s">
        <v>25</v>
      </c>
      <c r="K1111" s="72"/>
      <c r="L1111" s="72" t="s">
        <v>26</v>
      </c>
      <c r="M1111" s="72"/>
      <c r="O1111" s="1" t="s">
        <v>27</v>
      </c>
      <c r="P1111" s="1" t="s">
        <v>28</v>
      </c>
      <c r="T1111" s="2" t="s">
        <v>29</v>
      </c>
    </row>
    <row r="1112" spans="1:20" s="2" customFormat="1" ht="24.95" customHeight="1">
      <c r="A1112" s="9" t="s">
        <v>30</v>
      </c>
      <c r="B1112" s="110" t="s">
        <v>31</v>
      </c>
      <c r="C1112" s="110"/>
      <c r="D1112" s="110"/>
      <c r="E1112" s="4"/>
      <c r="F1112" s="54"/>
      <c r="G1112" s="59"/>
      <c r="H1112" s="72"/>
      <c r="I1112" s="72"/>
      <c r="J1112" s="72"/>
      <c r="K1112" s="72"/>
      <c r="L1112" s="72"/>
      <c r="M1112" s="72"/>
    </row>
    <row r="1113" spans="1:20" ht="24.95" customHeight="1">
      <c r="A1113" s="10">
        <v>1</v>
      </c>
      <c r="B1113" s="66" t="s">
        <v>91</v>
      </c>
      <c r="C1113" s="67" t="s">
        <v>91</v>
      </c>
      <c r="D1113" s="68" t="s">
        <v>91</v>
      </c>
      <c r="E1113" s="4" t="s">
        <v>32</v>
      </c>
      <c r="F1113" s="69">
        <v>1</v>
      </c>
      <c r="G1113" s="70"/>
      <c r="H1113" s="69"/>
      <c r="I1113" s="70"/>
      <c r="J1113" s="71">
        <f>H1113+J1055</f>
        <v>1</v>
      </c>
      <c r="K1113" s="71"/>
      <c r="L1113" s="72"/>
      <c r="M1113" s="72"/>
      <c r="O1113" s="11">
        <v>4000</v>
      </c>
      <c r="P1113" s="11">
        <f>ROUND(H1113*O1113,0)</f>
        <v>0</v>
      </c>
      <c r="Q1113" s="12"/>
      <c r="S1113" s="11">
        <f>ROUND(J1113*O1113,0)</f>
        <v>4000</v>
      </c>
      <c r="T1113" s="13">
        <f>F1113-J1113</f>
        <v>0</v>
      </c>
    </row>
    <row r="1114" spans="1:20" ht="24.95" customHeight="1">
      <c r="A1114" s="10">
        <v>2</v>
      </c>
      <c r="B1114" s="66" t="s">
        <v>92</v>
      </c>
      <c r="C1114" s="67" t="s">
        <v>92</v>
      </c>
      <c r="D1114" s="68" t="s">
        <v>92</v>
      </c>
      <c r="E1114" s="4" t="s">
        <v>32</v>
      </c>
      <c r="F1114" s="69">
        <v>1</v>
      </c>
      <c r="G1114" s="70"/>
      <c r="H1114" s="69"/>
      <c r="I1114" s="70"/>
      <c r="J1114" s="71">
        <f t="shared" ref="J1114:J1121" si="129">H1114+J1056</f>
        <v>1</v>
      </c>
      <c r="K1114" s="71"/>
      <c r="L1114" s="72"/>
      <c r="M1114" s="72"/>
      <c r="O1114" s="11">
        <v>14334</v>
      </c>
      <c r="P1114" s="11">
        <f t="shared" ref="P1114:P1121" si="130">ROUND(H1114*O1114,0)</f>
        <v>0</v>
      </c>
      <c r="Q1114" s="12"/>
      <c r="S1114" s="11">
        <f t="shared" ref="S1114:S1121" si="131">ROUND(J1114*O1114,0)</f>
        <v>14334</v>
      </c>
      <c r="T1114" s="13">
        <f t="shared" ref="T1114:T1121" si="132">F1114-J1114</f>
        <v>0</v>
      </c>
    </row>
    <row r="1115" spans="1:20" ht="24.95" customHeight="1">
      <c r="A1115" s="10">
        <v>3</v>
      </c>
      <c r="B1115" s="66" t="s">
        <v>84</v>
      </c>
      <c r="C1115" s="67" t="s">
        <v>84</v>
      </c>
      <c r="D1115" s="68" t="s">
        <v>84</v>
      </c>
      <c r="E1115" s="4" t="s">
        <v>33</v>
      </c>
      <c r="F1115" s="69">
        <v>1</v>
      </c>
      <c r="G1115" s="70"/>
      <c r="H1115" s="69"/>
      <c r="I1115" s="70"/>
      <c r="J1115" s="71">
        <f t="shared" si="129"/>
        <v>0.5</v>
      </c>
      <c r="K1115" s="71"/>
      <c r="L1115" s="72"/>
      <c r="M1115" s="72"/>
      <c r="O1115" s="11">
        <v>7000</v>
      </c>
      <c r="P1115" s="11">
        <f t="shared" si="130"/>
        <v>0</v>
      </c>
      <c r="Q1115" s="12"/>
      <c r="S1115" s="11">
        <f t="shared" si="131"/>
        <v>3500</v>
      </c>
      <c r="T1115" s="13">
        <f t="shared" si="132"/>
        <v>0.5</v>
      </c>
    </row>
    <row r="1116" spans="1:20" ht="24.95" customHeight="1">
      <c r="A1116" s="10">
        <v>4</v>
      </c>
      <c r="B1116" s="66" t="s">
        <v>85</v>
      </c>
      <c r="C1116" s="67" t="s">
        <v>85</v>
      </c>
      <c r="D1116" s="68" t="s">
        <v>85</v>
      </c>
      <c r="E1116" s="4" t="s">
        <v>34</v>
      </c>
      <c r="F1116" s="69">
        <v>1</v>
      </c>
      <c r="G1116" s="70"/>
      <c r="H1116" s="69"/>
      <c r="I1116" s="70"/>
      <c r="J1116" s="71">
        <f t="shared" si="129"/>
        <v>1</v>
      </c>
      <c r="K1116" s="71"/>
      <c r="L1116" s="72"/>
      <c r="M1116" s="72"/>
      <c r="O1116" s="11">
        <v>74000</v>
      </c>
      <c r="P1116" s="11">
        <f t="shared" si="130"/>
        <v>0</v>
      </c>
      <c r="Q1116" s="12"/>
      <c r="S1116" s="11">
        <f t="shared" si="131"/>
        <v>74000</v>
      </c>
      <c r="T1116" s="13">
        <f t="shared" si="132"/>
        <v>0</v>
      </c>
    </row>
    <row r="1117" spans="1:20" ht="24.95" customHeight="1">
      <c r="A1117" s="10">
        <v>5</v>
      </c>
      <c r="B1117" s="66" t="s">
        <v>86</v>
      </c>
      <c r="C1117" s="67" t="s">
        <v>86</v>
      </c>
      <c r="D1117" s="68" t="s">
        <v>86</v>
      </c>
      <c r="E1117" s="4" t="s">
        <v>93</v>
      </c>
      <c r="F1117" s="69">
        <v>396</v>
      </c>
      <c r="G1117" s="70"/>
      <c r="H1117" s="69"/>
      <c r="I1117" s="70"/>
      <c r="J1117" s="71">
        <f t="shared" si="129"/>
        <v>350</v>
      </c>
      <c r="K1117" s="71"/>
      <c r="L1117" s="72"/>
      <c r="M1117" s="72"/>
      <c r="O1117" s="11">
        <v>200</v>
      </c>
      <c r="P1117" s="11">
        <f t="shared" si="130"/>
        <v>0</v>
      </c>
      <c r="Q1117" s="12"/>
      <c r="S1117" s="11">
        <f t="shared" si="131"/>
        <v>70000</v>
      </c>
      <c r="T1117" s="13">
        <f t="shared" si="132"/>
        <v>46</v>
      </c>
    </row>
    <row r="1118" spans="1:20" ht="24.95" customHeight="1">
      <c r="A1118" s="10">
        <v>6</v>
      </c>
      <c r="B1118" s="66" t="s">
        <v>97</v>
      </c>
      <c r="C1118" s="67" t="s">
        <v>87</v>
      </c>
      <c r="D1118" s="68" t="s">
        <v>87</v>
      </c>
      <c r="E1118" s="4" t="s">
        <v>35</v>
      </c>
      <c r="F1118" s="69">
        <v>80</v>
      </c>
      <c r="G1118" s="70">
        <v>183.6</v>
      </c>
      <c r="H1118" s="69"/>
      <c r="I1118" s="70"/>
      <c r="J1118" s="71">
        <f t="shared" si="129"/>
        <v>78</v>
      </c>
      <c r="K1118" s="71"/>
      <c r="L1118" s="54"/>
      <c r="M1118" s="59"/>
      <c r="O1118" s="11">
        <v>1463</v>
      </c>
      <c r="P1118" s="11">
        <f t="shared" si="130"/>
        <v>0</v>
      </c>
      <c r="S1118" s="11">
        <f t="shared" si="131"/>
        <v>114114</v>
      </c>
      <c r="T1118" s="13">
        <f t="shared" si="132"/>
        <v>2</v>
      </c>
    </row>
    <row r="1119" spans="1:20" ht="24.95" customHeight="1">
      <c r="A1119" s="10">
        <v>7</v>
      </c>
      <c r="B1119" s="66" t="s">
        <v>88</v>
      </c>
      <c r="C1119" s="67" t="s">
        <v>88</v>
      </c>
      <c r="D1119" s="68" t="s">
        <v>88</v>
      </c>
      <c r="E1119" s="4" t="s">
        <v>94</v>
      </c>
      <c r="F1119" s="69">
        <v>126</v>
      </c>
      <c r="G1119" s="70">
        <v>19</v>
      </c>
      <c r="H1119" s="69"/>
      <c r="I1119" s="70"/>
      <c r="J1119" s="71">
        <f t="shared" si="129"/>
        <v>0</v>
      </c>
      <c r="K1119" s="71"/>
      <c r="L1119" s="54"/>
      <c r="M1119" s="59"/>
      <c r="O1119" s="11">
        <v>6350</v>
      </c>
      <c r="P1119" s="11">
        <f t="shared" si="130"/>
        <v>0</v>
      </c>
      <c r="S1119" s="11">
        <f t="shared" si="131"/>
        <v>0</v>
      </c>
      <c r="T1119" s="13">
        <f t="shared" si="132"/>
        <v>126</v>
      </c>
    </row>
    <row r="1120" spans="1:20" ht="24.95" customHeight="1">
      <c r="A1120" s="10">
        <v>8</v>
      </c>
      <c r="B1120" s="66" t="s">
        <v>89</v>
      </c>
      <c r="C1120" s="67" t="s">
        <v>89</v>
      </c>
      <c r="D1120" s="68" t="s">
        <v>89</v>
      </c>
      <c r="E1120" s="4" t="s">
        <v>95</v>
      </c>
      <c r="F1120" s="69">
        <v>1</v>
      </c>
      <c r="G1120" s="70">
        <v>1192</v>
      </c>
      <c r="H1120" s="69"/>
      <c r="I1120" s="70"/>
      <c r="J1120" s="71">
        <f t="shared" si="129"/>
        <v>0.3</v>
      </c>
      <c r="K1120" s="71"/>
      <c r="L1120" s="54"/>
      <c r="M1120" s="59"/>
      <c r="O1120" s="11">
        <v>47600</v>
      </c>
      <c r="P1120" s="11">
        <f t="shared" si="130"/>
        <v>0</v>
      </c>
      <c r="S1120" s="11">
        <f t="shared" si="131"/>
        <v>14280</v>
      </c>
      <c r="T1120" s="13">
        <f t="shared" si="132"/>
        <v>0.7</v>
      </c>
    </row>
    <row r="1121" spans="1:20" ht="24.95" customHeight="1">
      <c r="A1121" s="10">
        <v>9</v>
      </c>
      <c r="B1121" s="66" t="s">
        <v>90</v>
      </c>
      <c r="C1121" s="67" t="s">
        <v>90</v>
      </c>
      <c r="D1121" s="68" t="s">
        <v>90</v>
      </c>
      <c r="E1121" s="4" t="s">
        <v>96</v>
      </c>
      <c r="F1121" s="69">
        <v>1</v>
      </c>
      <c r="G1121" s="70">
        <v>1261</v>
      </c>
      <c r="H1121" s="69"/>
      <c r="I1121" s="70"/>
      <c r="J1121" s="71">
        <f t="shared" si="129"/>
        <v>0</v>
      </c>
      <c r="K1121" s="71"/>
      <c r="L1121" s="54"/>
      <c r="M1121" s="59"/>
      <c r="O1121" s="11">
        <v>10000</v>
      </c>
      <c r="P1121" s="11">
        <f t="shared" si="130"/>
        <v>0</v>
      </c>
      <c r="S1121" s="11">
        <f t="shared" si="131"/>
        <v>0</v>
      </c>
      <c r="T1121" s="13">
        <f t="shared" si="132"/>
        <v>1</v>
      </c>
    </row>
    <row r="1122" spans="1:20" ht="24.95" customHeight="1">
      <c r="A1122" s="14"/>
      <c r="B1122" s="15"/>
      <c r="C1122" s="16"/>
      <c r="D1122" s="17"/>
      <c r="E1122" s="4"/>
      <c r="F1122" s="18"/>
      <c r="G1122" s="19"/>
      <c r="H1122" s="105"/>
      <c r="I1122" s="106"/>
      <c r="J1122" s="105"/>
      <c r="K1122" s="106"/>
      <c r="L1122" s="54"/>
      <c r="M1122" s="59"/>
      <c r="N1122" s="20"/>
      <c r="P1122" s="21" t="s">
        <v>37</v>
      </c>
      <c r="Q1122" s="22">
        <f>SUM(P1113:P1121)</f>
        <v>0</v>
      </c>
      <c r="R1122" s="23"/>
      <c r="S1122" s="24">
        <f>SUM(S1113:S1121)</f>
        <v>294228</v>
      </c>
      <c r="T1122" s="13"/>
    </row>
    <row r="1123" spans="1:20" ht="24.95" customHeight="1">
      <c r="A1123" s="107"/>
      <c r="B1123" s="108"/>
      <c r="C1123" s="108"/>
      <c r="D1123" s="109"/>
      <c r="E1123" s="4"/>
      <c r="F1123" s="54"/>
      <c r="G1123" s="59"/>
      <c r="H1123" s="72"/>
      <c r="I1123" s="72"/>
      <c r="J1123" s="72"/>
      <c r="K1123" s="72"/>
      <c r="L1123" s="72"/>
      <c r="M1123" s="72"/>
      <c r="O1123" t="s">
        <v>38</v>
      </c>
      <c r="P1123" s="24">
        <f>Q1122</f>
        <v>0</v>
      </c>
      <c r="T1123" s="13"/>
    </row>
    <row r="1124" spans="1:20" ht="24.95" customHeight="1">
      <c r="A1124" s="97"/>
      <c r="B1124" s="98"/>
      <c r="C1124" s="98"/>
      <c r="D1124" s="99"/>
      <c r="E1124" s="4"/>
      <c r="F1124" s="54"/>
      <c r="G1124" s="59"/>
      <c r="H1124" s="72"/>
      <c r="I1124" s="72"/>
      <c r="J1124" s="72"/>
      <c r="K1124" s="72"/>
      <c r="L1124" s="72"/>
      <c r="M1124" s="72"/>
      <c r="O1124" t="s">
        <v>39</v>
      </c>
      <c r="P1124" s="23">
        <f>ROUND(P1123/1153274,4)*100</f>
        <v>0</v>
      </c>
      <c r="T1124" s="13"/>
    </row>
    <row r="1125" spans="1:20" ht="24.95" customHeight="1">
      <c r="A1125" s="25"/>
      <c r="B1125" s="63" t="s">
        <v>40</v>
      </c>
      <c r="C1125" s="63"/>
      <c r="D1125" s="59"/>
      <c r="E1125" s="26"/>
      <c r="F1125" s="100"/>
      <c r="G1125" s="101"/>
      <c r="H1125" s="100"/>
      <c r="I1125" s="101"/>
      <c r="J1125" s="102"/>
      <c r="K1125" s="102"/>
      <c r="L1125" s="103">
        <f>P1123</f>
        <v>0</v>
      </c>
      <c r="M1125" s="104"/>
      <c r="T1125" s="13"/>
    </row>
    <row r="1126" spans="1:20" ht="24.95" customHeight="1" thickBot="1">
      <c r="A1126" s="27"/>
      <c r="B1126" s="85" t="s">
        <v>41</v>
      </c>
      <c r="C1126" s="85"/>
      <c r="D1126" s="86"/>
      <c r="E1126" s="28"/>
      <c r="F1126" s="87"/>
      <c r="G1126" s="88"/>
      <c r="H1126" s="87"/>
      <c r="I1126" s="88"/>
      <c r="J1126" s="87"/>
      <c r="K1126" s="88"/>
      <c r="L1126" s="89">
        <f>L1125+L1068</f>
        <v>294228</v>
      </c>
      <c r="M1126" s="90"/>
      <c r="T1126" s="13"/>
    </row>
    <row r="1127" spans="1:20" ht="24.95" customHeight="1">
      <c r="A1127" s="29"/>
      <c r="B1127" s="91" t="s">
        <v>42</v>
      </c>
      <c r="C1127" s="91"/>
      <c r="D1127" s="92"/>
      <c r="E1127" s="30"/>
      <c r="F1127" s="93"/>
      <c r="G1127" s="94"/>
      <c r="H1127" s="95"/>
      <c r="I1127" s="95"/>
      <c r="J1127" s="95"/>
      <c r="K1127" s="95"/>
      <c r="L1127" s="95"/>
      <c r="M1127" s="96"/>
      <c r="T1127" s="13"/>
    </row>
    <row r="1128" spans="1:20" ht="24.95" customHeight="1">
      <c r="A1128" s="31"/>
      <c r="B1128" s="76" t="s">
        <v>43</v>
      </c>
      <c r="C1128" s="76"/>
      <c r="D1128" s="77"/>
      <c r="E1128" s="4"/>
      <c r="F1128" s="54"/>
      <c r="G1128" s="59"/>
      <c r="H1128" s="72"/>
      <c r="I1128" s="72"/>
      <c r="J1128" s="72"/>
      <c r="K1128" s="72"/>
      <c r="L1128" s="72"/>
      <c r="M1128" s="78"/>
      <c r="T1128" s="13"/>
    </row>
    <row r="1129" spans="1:20" ht="24.95" customHeight="1" thickBot="1">
      <c r="A1129" s="32"/>
      <c r="B1129" s="79" t="s">
        <v>44</v>
      </c>
      <c r="C1129" s="79"/>
      <c r="D1129" s="80"/>
      <c r="E1129" s="33"/>
      <c r="F1129" s="81"/>
      <c r="G1129" s="82"/>
      <c r="H1129" s="83"/>
      <c r="I1129" s="83"/>
      <c r="J1129" s="83"/>
      <c r="K1129" s="83"/>
      <c r="L1129" s="83"/>
      <c r="M1129" s="84"/>
      <c r="T1129" s="13"/>
    </row>
    <row r="1130" spans="1:20" ht="24.95" customHeight="1">
      <c r="A1130" s="73" t="s">
        <v>45</v>
      </c>
      <c r="B1130" s="74"/>
      <c r="C1130" s="74"/>
      <c r="D1130" s="74"/>
      <c r="E1130" s="74"/>
      <c r="F1130" s="74"/>
      <c r="G1130" s="74"/>
      <c r="H1130" s="74"/>
      <c r="I1130" s="74"/>
      <c r="J1130" s="74"/>
      <c r="K1130" s="74"/>
      <c r="L1130" s="74"/>
      <c r="M1130" s="74"/>
      <c r="T1130" s="13"/>
    </row>
    <row r="1131" spans="1:20" ht="24.95" customHeight="1">
      <c r="A1131" s="72" t="s">
        <v>46</v>
      </c>
      <c r="B1131" s="75"/>
      <c r="C1131" s="75"/>
      <c r="D1131" s="75"/>
      <c r="E1131" s="4" t="s">
        <v>22</v>
      </c>
      <c r="F1131" s="72" t="s">
        <v>47</v>
      </c>
      <c r="G1131" s="72"/>
      <c r="H1131" s="72" t="s">
        <v>48</v>
      </c>
      <c r="I1131" s="72"/>
      <c r="J1131" s="72" t="s">
        <v>49</v>
      </c>
      <c r="K1131" s="72"/>
      <c r="L1131" s="72" t="s">
        <v>50</v>
      </c>
      <c r="M1131" s="72"/>
      <c r="T1131" s="13"/>
    </row>
    <row r="1132" spans="1:20" ht="24.95" customHeight="1">
      <c r="A1132" s="10">
        <v>6</v>
      </c>
      <c r="B1132" s="66" t="s">
        <v>97</v>
      </c>
      <c r="C1132" s="67" t="s">
        <v>51</v>
      </c>
      <c r="D1132" s="68" t="s">
        <v>51</v>
      </c>
      <c r="E1132" s="4" t="s">
        <v>35</v>
      </c>
      <c r="F1132" s="69">
        <v>80</v>
      </c>
      <c r="G1132" s="70">
        <v>1261</v>
      </c>
      <c r="H1132" s="71">
        <f>H1118</f>
        <v>0</v>
      </c>
      <c r="I1132" s="71"/>
      <c r="J1132" s="71">
        <f>H1132+J1074</f>
        <v>78</v>
      </c>
      <c r="K1132" s="71"/>
      <c r="L1132" s="72"/>
      <c r="M1132" s="72"/>
      <c r="T1132" s="13"/>
    </row>
    <row r="1133" spans="1:20" ht="24.95" customHeight="1">
      <c r="A1133" s="10">
        <v>7</v>
      </c>
      <c r="B1133" s="66" t="s">
        <v>88</v>
      </c>
      <c r="C1133" s="67" t="s">
        <v>88</v>
      </c>
      <c r="D1133" s="68" t="s">
        <v>88</v>
      </c>
      <c r="E1133" s="4" t="s">
        <v>98</v>
      </c>
      <c r="F1133" s="69">
        <v>126</v>
      </c>
      <c r="G1133" s="70"/>
      <c r="H1133" s="71">
        <f>H1119</f>
        <v>0</v>
      </c>
      <c r="I1133" s="71"/>
      <c r="J1133" s="71">
        <f t="shared" ref="J1133:J1134" si="133">H1133+J1075</f>
        <v>0</v>
      </c>
      <c r="K1133" s="71"/>
      <c r="L1133" s="72"/>
      <c r="M1133" s="72"/>
      <c r="T1133" s="13"/>
    </row>
    <row r="1134" spans="1:20" ht="24.95" customHeight="1">
      <c r="A1134" s="10">
        <v>8</v>
      </c>
      <c r="B1134" s="66" t="s">
        <v>89</v>
      </c>
      <c r="C1134" s="67" t="s">
        <v>89</v>
      </c>
      <c r="D1134" s="68" t="s">
        <v>89</v>
      </c>
      <c r="E1134" s="4" t="s">
        <v>36</v>
      </c>
      <c r="F1134" s="69">
        <v>1</v>
      </c>
      <c r="G1134" s="70"/>
      <c r="H1134" s="71">
        <f>H1120</f>
        <v>0</v>
      </c>
      <c r="I1134" s="71"/>
      <c r="J1134" s="71">
        <f t="shared" si="133"/>
        <v>0.3</v>
      </c>
      <c r="K1134" s="71"/>
      <c r="L1134" s="72"/>
      <c r="M1134" s="72"/>
      <c r="T1134" s="13"/>
    </row>
    <row r="1135" spans="1:20" ht="24.95" customHeight="1">
      <c r="A1135" s="51" t="s">
        <v>52</v>
      </c>
      <c r="B1135" s="52"/>
      <c r="C1135" s="52"/>
      <c r="D1135" s="52"/>
      <c r="E1135" s="52"/>
      <c r="F1135" s="52"/>
      <c r="G1135" s="52"/>
      <c r="H1135" s="52"/>
      <c r="I1135" s="52"/>
      <c r="J1135" s="52"/>
      <c r="K1135" s="52"/>
      <c r="L1135" s="52"/>
      <c r="M1135" s="53"/>
      <c r="T1135" s="13"/>
    </row>
    <row r="1136" spans="1:20" ht="24.95" customHeight="1">
      <c r="A1136" s="54" t="s">
        <v>53</v>
      </c>
      <c r="B1136" s="63"/>
      <c r="C1136" s="63"/>
      <c r="D1136" s="59"/>
      <c r="E1136" s="4" t="s">
        <v>54</v>
      </c>
      <c r="F1136" s="54" t="s">
        <v>55</v>
      </c>
      <c r="G1136" s="59"/>
      <c r="H1136" s="54" t="s">
        <v>56</v>
      </c>
      <c r="I1136" s="59"/>
      <c r="J1136" s="54" t="s">
        <v>48</v>
      </c>
      <c r="K1136" s="59"/>
      <c r="L1136" s="64" t="s">
        <v>49</v>
      </c>
      <c r="M1136" s="65"/>
      <c r="T1136" s="13"/>
    </row>
    <row r="1137" spans="1:20" ht="24.95" customHeight="1">
      <c r="A1137" s="54" t="s">
        <v>57</v>
      </c>
      <c r="B1137" s="55"/>
      <c r="C1137" s="55"/>
      <c r="D1137" s="56"/>
      <c r="E1137" s="4"/>
      <c r="F1137" s="57">
        <f>E1137+F1079</f>
        <v>28</v>
      </c>
      <c r="G1137" s="58"/>
      <c r="H1137" s="54" t="s">
        <v>58</v>
      </c>
      <c r="I1137" s="59"/>
      <c r="J1137" s="54"/>
      <c r="K1137" s="59"/>
      <c r="L1137" s="57">
        <f>J1137+L1079</f>
        <v>15</v>
      </c>
      <c r="M1137" s="58"/>
      <c r="T1137" s="13"/>
    </row>
    <row r="1138" spans="1:20" ht="24.95" customHeight="1">
      <c r="A1138" s="54" t="s">
        <v>59</v>
      </c>
      <c r="B1138" s="55"/>
      <c r="C1138" s="55"/>
      <c r="D1138" s="56"/>
      <c r="E1138" s="4"/>
      <c r="F1138" s="57">
        <f t="shared" ref="F1138:F1140" si="134">E1138+F1080</f>
        <v>0</v>
      </c>
      <c r="G1138" s="58"/>
      <c r="H1138" s="54" t="s">
        <v>60</v>
      </c>
      <c r="I1138" s="59"/>
      <c r="J1138" s="54"/>
      <c r="K1138" s="59"/>
      <c r="L1138" s="57">
        <f t="shared" ref="L1138:L1140" si="135">J1138+L1080</f>
        <v>0</v>
      </c>
      <c r="M1138" s="58"/>
      <c r="T1138" s="13"/>
    </row>
    <row r="1139" spans="1:20" ht="24.95" customHeight="1">
      <c r="A1139" s="54" t="s">
        <v>61</v>
      </c>
      <c r="B1139" s="55"/>
      <c r="C1139" s="55"/>
      <c r="D1139" s="56"/>
      <c r="E1139" s="4"/>
      <c r="F1139" s="57">
        <f t="shared" si="134"/>
        <v>2</v>
      </c>
      <c r="G1139" s="58"/>
      <c r="H1139" s="54" t="s">
        <v>62</v>
      </c>
      <c r="I1139" s="59"/>
      <c r="J1139" s="54"/>
      <c r="K1139" s="59"/>
      <c r="L1139" s="57">
        <f t="shared" si="135"/>
        <v>5</v>
      </c>
      <c r="M1139" s="58"/>
      <c r="T1139" s="13"/>
    </row>
    <row r="1140" spans="1:20" ht="24.95" customHeight="1">
      <c r="A1140" s="54" t="s">
        <v>63</v>
      </c>
      <c r="B1140" s="55"/>
      <c r="C1140" s="55"/>
      <c r="D1140" s="56"/>
      <c r="E1140" s="4"/>
      <c r="F1140" s="57">
        <f t="shared" si="134"/>
        <v>4</v>
      </c>
      <c r="G1140" s="58"/>
      <c r="H1140" s="54" t="s">
        <v>64</v>
      </c>
      <c r="I1140" s="59"/>
      <c r="J1140" s="54"/>
      <c r="K1140" s="59"/>
      <c r="L1140" s="57">
        <f t="shared" si="135"/>
        <v>1</v>
      </c>
      <c r="M1140" s="58"/>
      <c r="T1140" s="13"/>
    </row>
    <row r="1141" spans="1:20" ht="64.5" customHeight="1">
      <c r="A1141" s="60" t="s">
        <v>65</v>
      </c>
      <c r="B1141" s="61"/>
      <c r="C1141" s="61"/>
      <c r="D1141" s="61"/>
      <c r="E1141" s="61"/>
      <c r="F1141" s="61"/>
      <c r="G1141" s="61"/>
      <c r="H1141" s="61"/>
      <c r="I1141" s="61"/>
      <c r="J1141" s="61"/>
      <c r="K1141" s="61"/>
      <c r="L1141" s="61"/>
      <c r="M1141" s="62"/>
      <c r="T1141" s="13"/>
    </row>
    <row r="1142" spans="1:20" ht="24.95" customHeight="1">
      <c r="A1142" s="46" t="s">
        <v>66</v>
      </c>
      <c r="B1142" s="47"/>
      <c r="C1142" s="47"/>
      <c r="D1142" s="47"/>
      <c r="E1142" s="47"/>
      <c r="F1142" s="47"/>
      <c r="G1142" s="47"/>
      <c r="H1142" s="47"/>
      <c r="I1142" s="47"/>
      <c r="J1142" s="47"/>
      <c r="K1142" s="47"/>
      <c r="L1142" s="47"/>
      <c r="M1142" s="48"/>
      <c r="T1142" s="13"/>
    </row>
    <row r="1143" spans="1:20" ht="24.95" customHeight="1">
      <c r="A1143" s="27"/>
      <c r="B1143" s="34" t="s">
        <v>67</v>
      </c>
      <c r="C1143" s="34"/>
      <c r="D1143" s="34"/>
      <c r="E1143" s="34"/>
      <c r="F1143" s="34"/>
      <c r="G1143" s="35"/>
      <c r="H1143" s="34"/>
      <c r="I1143" s="34"/>
      <c r="J1143" s="34"/>
      <c r="K1143" s="34"/>
      <c r="L1143" s="34"/>
      <c r="M1143" s="36"/>
      <c r="T1143" s="13"/>
    </row>
    <row r="1144" spans="1:20" ht="24.95" customHeight="1">
      <c r="A1144" s="27"/>
      <c r="B1144" s="34" t="s">
        <v>81</v>
      </c>
      <c r="C1144" s="34"/>
      <c r="D1144" s="34"/>
      <c r="E1144" s="34"/>
      <c r="F1144" s="34"/>
      <c r="G1144" s="35"/>
      <c r="H1144" s="34"/>
      <c r="I1144" s="34"/>
      <c r="J1144" s="34"/>
      <c r="K1144" s="34"/>
      <c r="L1144" s="34"/>
      <c r="M1144" s="36"/>
      <c r="T1144" s="13"/>
    </row>
    <row r="1145" spans="1:20" ht="24.95" customHeight="1">
      <c r="A1145" s="27"/>
      <c r="B1145" s="34" t="s">
        <v>68</v>
      </c>
      <c r="C1145" s="34"/>
      <c r="D1145" s="34"/>
      <c r="E1145" s="34"/>
      <c r="F1145" s="34"/>
      <c r="G1145" s="35"/>
      <c r="H1145" s="34"/>
      <c r="I1145" s="34"/>
      <c r="J1145" s="34"/>
      <c r="K1145" s="34"/>
      <c r="L1145" s="34"/>
      <c r="M1145" s="36"/>
      <c r="T1145" s="13"/>
    </row>
    <row r="1146" spans="1:20" ht="24.95" customHeight="1">
      <c r="A1146" s="27"/>
      <c r="B1146" s="34" t="s">
        <v>82</v>
      </c>
      <c r="C1146" s="34"/>
      <c r="D1146" s="34"/>
      <c r="E1146" s="34"/>
      <c r="F1146" s="34"/>
      <c r="G1146" s="35"/>
      <c r="H1146" s="34"/>
      <c r="I1146" s="34"/>
      <c r="J1146" s="34"/>
      <c r="K1146" s="34"/>
      <c r="L1146" s="34"/>
      <c r="M1146" s="36"/>
      <c r="T1146" s="13"/>
    </row>
    <row r="1147" spans="1:20" ht="24.95" customHeight="1">
      <c r="A1147" s="27"/>
      <c r="B1147" s="34" t="s">
        <v>99</v>
      </c>
      <c r="C1147" s="34"/>
      <c r="D1147" s="34"/>
      <c r="E1147" s="34"/>
      <c r="F1147" s="34"/>
      <c r="G1147" s="35"/>
      <c r="H1147" s="34"/>
      <c r="I1147" s="34"/>
      <c r="J1147" s="34"/>
      <c r="K1147" s="34"/>
      <c r="L1147" s="34"/>
      <c r="M1147" s="36"/>
      <c r="T1147" s="13"/>
    </row>
    <row r="1148" spans="1:20" ht="24.95" customHeight="1">
      <c r="A1148" s="37"/>
      <c r="B1148" s="49" t="s">
        <v>69</v>
      </c>
      <c r="C1148" s="49"/>
      <c r="D1148" s="49"/>
      <c r="E1148" s="49"/>
      <c r="F1148" s="49"/>
      <c r="G1148" s="49"/>
      <c r="H1148" s="49"/>
      <c r="I1148" s="49"/>
      <c r="J1148" s="49"/>
      <c r="K1148" s="49"/>
      <c r="L1148" s="49"/>
      <c r="M1148" s="50"/>
      <c r="T1148" s="13"/>
    </row>
    <row r="1149" spans="1:20" ht="44.25" customHeight="1">
      <c r="A1149" s="51" t="s">
        <v>70</v>
      </c>
      <c r="B1149" s="52"/>
      <c r="C1149" s="52"/>
      <c r="D1149" s="52"/>
      <c r="E1149" s="52"/>
      <c r="F1149" s="52"/>
      <c r="G1149" s="52"/>
      <c r="H1149" s="52"/>
      <c r="I1149" s="52"/>
      <c r="J1149" s="52"/>
      <c r="K1149" s="52"/>
      <c r="L1149" s="52"/>
      <c r="M1149" s="53"/>
      <c r="T1149" s="13"/>
    </row>
    <row r="1150" spans="1:20" ht="48" customHeight="1">
      <c r="A1150" s="51" t="s">
        <v>71</v>
      </c>
      <c r="B1150" s="52"/>
      <c r="C1150" s="52"/>
      <c r="D1150" s="52"/>
      <c r="E1150" s="52"/>
      <c r="F1150" s="52"/>
      <c r="G1150" s="52"/>
      <c r="H1150" s="52"/>
      <c r="I1150" s="52"/>
      <c r="J1150" s="52"/>
      <c r="K1150" s="52"/>
      <c r="L1150" s="52"/>
      <c r="M1150" s="53"/>
      <c r="T1150" s="13"/>
    </row>
    <row r="1151" spans="1:20" ht="81" customHeight="1">
      <c r="A1151" s="51" t="s">
        <v>80</v>
      </c>
      <c r="B1151" s="52"/>
      <c r="C1151" s="52"/>
      <c r="D1151" s="52"/>
      <c r="E1151" s="52"/>
      <c r="F1151" s="52"/>
      <c r="G1151" s="52"/>
      <c r="H1151" s="52"/>
      <c r="I1151" s="52"/>
      <c r="J1151" s="52"/>
      <c r="K1151" s="52"/>
      <c r="L1151" s="52"/>
      <c r="M1151" s="53"/>
      <c r="T1151" s="13"/>
    </row>
    <row r="1152" spans="1:20" ht="100.5" customHeight="1">
      <c r="A1152" s="51" t="s">
        <v>72</v>
      </c>
      <c r="B1152" s="52"/>
      <c r="C1152" s="52"/>
      <c r="D1152" s="52"/>
      <c r="E1152" s="52"/>
      <c r="F1152" s="52"/>
      <c r="G1152" s="52"/>
      <c r="H1152" s="52"/>
      <c r="I1152" s="52"/>
      <c r="J1152" s="52"/>
      <c r="K1152" s="52"/>
      <c r="L1152" s="52"/>
      <c r="M1152" s="53"/>
      <c r="T1152" s="13"/>
    </row>
    <row r="1153" spans="1:20" ht="12" customHeight="1">
      <c r="A1153" s="41" t="s">
        <v>73</v>
      </c>
      <c r="B1153" s="41"/>
      <c r="C1153" s="42"/>
      <c r="D1153" s="42"/>
      <c r="E1153" s="42"/>
      <c r="F1153" s="42"/>
      <c r="G1153" s="42"/>
      <c r="H1153" s="42"/>
      <c r="I1153" s="42"/>
      <c r="J1153" s="42"/>
      <c r="K1153" s="42"/>
      <c r="L1153" s="42"/>
      <c r="M1153" s="38"/>
      <c r="T1153" s="13"/>
    </row>
    <row r="1154" spans="1:20" ht="12" customHeight="1">
      <c r="A1154" s="43" t="s">
        <v>74</v>
      </c>
      <c r="B1154" s="43"/>
      <c r="C1154" s="40"/>
      <c r="D1154" s="40"/>
      <c r="E1154" s="40"/>
      <c r="F1154" s="40"/>
      <c r="G1154" s="40"/>
      <c r="H1154" s="40"/>
      <c r="I1154" s="40"/>
      <c r="J1154" s="40"/>
      <c r="K1154" s="40"/>
      <c r="L1154" s="38"/>
      <c r="M1154" s="38"/>
      <c r="T1154" s="13"/>
    </row>
    <row r="1155" spans="1:20" ht="12" customHeight="1">
      <c r="A1155" s="44" t="s">
        <v>75</v>
      </c>
      <c r="B1155" s="44"/>
      <c r="C1155" s="44"/>
      <c r="D1155" s="44"/>
      <c r="E1155" s="44"/>
      <c r="F1155" s="44"/>
      <c r="G1155" s="44"/>
      <c r="H1155" s="44"/>
      <c r="I1155" s="44"/>
      <c r="J1155" s="44"/>
      <c r="K1155" s="44"/>
      <c r="L1155" s="44"/>
      <c r="M1155" s="44"/>
      <c r="T1155" s="13"/>
    </row>
    <row r="1156" spans="1:20" ht="12" customHeight="1">
      <c r="A1156" s="39" t="s">
        <v>76</v>
      </c>
      <c r="B1156" s="39"/>
      <c r="C1156" s="39"/>
      <c r="D1156" s="39"/>
      <c r="E1156" s="39"/>
      <c r="F1156" s="39"/>
      <c r="G1156" s="39"/>
      <c r="H1156" s="39"/>
      <c r="I1156" s="39"/>
      <c r="J1156" s="39"/>
      <c r="K1156" s="39"/>
      <c r="L1156" s="39"/>
      <c r="M1156" s="39"/>
      <c r="T1156" s="13"/>
    </row>
    <row r="1157" spans="1:20" ht="12" customHeight="1">
      <c r="A1157" s="39" t="s">
        <v>77</v>
      </c>
      <c r="B1157" s="40"/>
      <c r="C1157" s="40"/>
      <c r="D1157" s="40"/>
      <c r="E1157" s="40"/>
      <c r="F1157" s="40"/>
      <c r="G1157" s="40"/>
      <c r="H1157" s="40"/>
      <c r="I1157" s="40"/>
      <c r="J1157" s="40"/>
      <c r="K1157" s="40"/>
      <c r="L1157" s="40"/>
      <c r="M1157" s="40"/>
      <c r="T1157" s="13"/>
    </row>
    <row r="1158" spans="1:20" ht="12" customHeight="1">
      <c r="A1158" s="45" t="s">
        <v>78</v>
      </c>
      <c r="B1158" s="40"/>
      <c r="C1158" s="40"/>
      <c r="D1158" s="40"/>
      <c r="E1158" s="40"/>
      <c r="F1158" s="40"/>
      <c r="G1158" s="40"/>
      <c r="H1158" s="40"/>
      <c r="I1158" s="40"/>
      <c r="J1158" s="40"/>
      <c r="K1158" s="40"/>
      <c r="L1158" s="40"/>
      <c r="M1158" s="40"/>
      <c r="T1158" s="13"/>
    </row>
    <row r="1159" spans="1:20" ht="12" customHeight="1">
      <c r="A1159" s="39" t="s">
        <v>79</v>
      </c>
      <c r="B1159" s="40"/>
      <c r="C1159" s="40"/>
      <c r="D1159" s="40"/>
      <c r="E1159" s="40"/>
      <c r="F1159" s="40"/>
      <c r="G1159" s="40"/>
      <c r="H1159" s="40"/>
      <c r="I1159" s="40"/>
      <c r="J1159" s="40"/>
      <c r="K1159" s="40"/>
      <c r="L1159" s="40"/>
      <c r="M1159" s="40"/>
      <c r="T1159" s="13"/>
    </row>
    <row r="1160" spans="1:20" ht="409.5" customHeight="1"/>
    <row r="1161" spans="1:20" s="2" customFormat="1" ht="35.1" customHeight="1">
      <c r="A1161" s="126" t="s">
        <v>0</v>
      </c>
      <c r="B1161" s="126"/>
      <c r="C1161" s="1">
        <f>C1103+1</f>
        <v>56</v>
      </c>
      <c r="G1161" s="3"/>
    </row>
    <row r="1162" spans="1:20" s="2" customFormat="1" ht="35.1" customHeight="1">
      <c r="A1162" s="126" t="s">
        <v>1</v>
      </c>
      <c r="B1162" s="126"/>
      <c r="C1162" s="2" t="s">
        <v>2</v>
      </c>
      <c r="E1162" s="2" t="s">
        <v>3</v>
      </c>
      <c r="G1162" s="3"/>
      <c r="H1162" s="127" t="s">
        <v>4</v>
      </c>
      <c r="I1162" s="128"/>
      <c r="J1162" s="129">
        <f>J1104+1</f>
        <v>46043</v>
      </c>
      <c r="K1162" s="130"/>
      <c r="L1162" s="131">
        <f>J1162</f>
        <v>46043</v>
      </c>
      <c r="M1162" s="132"/>
    </row>
    <row r="1163" spans="1:20" s="2" customFormat="1" ht="30" customHeight="1">
      <c r="A1163" s="72" t="s">
        <v>5</v>
      </c>
      <c r="B1163" s="114"/>
      <c r="C1163" s="119" t="s">
        <v>83</v>
      </c>
      <c r="D1163" s="119"/>
      <c r="E1163" s="119"/>
      <c r="F1163" s="119"/>
      <c r="G1163" s="119"/>
      <c r="H1163" s="54" t="s">
        <v>6</v>
      </c>
      <c r="I1163" s="59"/>
      <c r="J1163" s="120"/>
      <c r="K1163" s="120"/>
      <c r="L1163" s="120"/>
      <c r="M1163" s="120"/>
    </row>
    <row r="1164" spans="1:20" s="1" customFormat="1" ht="30" customHeight="1">
      <c r="A1164" s="72" t="s">
        <v>7</v>
      </c>
      <c r="B1164" s="114"/>
      <c r="C1164" s="4">
        <v>50</v>
      </c>
      <c r="D1164" s="4" t="s">
        <v>8</v>
      </c>
      <c r="E1164" s="4" t="s">
        <v>9</v>
      </c>
      <c r="F1164" s="4">
        <f>F1106+1</f>
        <v>56</v>
      </c>
      <c r="G1164" s="5" t="s">
        <v>8</v>
      </c>
      <c r="H1164" s="4" t="s">
        <v>10</v>
      </c>
      <c r="I1164" s="4">
        <f>C1164-F1164+L1164</f>
        <v>-6</v>
      </c>
      <c r="J1164" s="4" t="s">
        <v>11</v>
      </c>
      <c r="K1164" s="6" t="s">
        <v>12</v>
      </c>
      <c r="L1164" s="7">
        <f>L1106</f>
        <v>0</v>
      </c>
      <c r="M1164" s="4" t="s">
        <v>8</v>
      </c>
    </row>
    <row r="1165" spans="1:20" s="2" customFormat="1" ht="30" customHeight="1">
      <c r="A1165" s="72" t="s">
        <v>13</v>
      </c>
      <c r="B1165" s="75"/>
      <c r="C1165" s="75"/>
      <c r="D1165" s="121">
        <f>D1107</f>
        <v>45988</v>
      </c>
      <c r="E1165" s="122"/>
      <c r="F1165" s="122"/>
      <c r="G1165" s="123"/>
      <c r="H1165" s="124" t="s">
        <v>14</v>
      </c>
      <c r="I1165" s="125"/>
      <c r="J1165" s="121">
        <f>J1107</f>
        <v>46037</v>
      </c>
      <c r="K1165" s="122"/>
      <c r="L1165" s="122"/>
      <c r="M1165" s="123"/>
    </row>
    <row r="1166" spans="1:20" s="2" customFormat="1" ht="30" customHeight="1">
      <c r="A1166" s="72" t="s">
        <v>15</v>
      </c>
      <c r="B1166" s="114"/>
      <c r="C1166" s="114"/>
      <c r="D1166" s="72"/>
      <c r="E1166" s="72"/>
      <c r="F1166" s="72"/>
      <c r="G1166" s="72"/>
      <c r="H1166" s="64" t="s">
        <v>16</v>
      </c>
      <c r="I1166" s="115"/>
      <c r="J1166" s="116">
        <f>P1182</f>
        <v>0</v>
      </c>
      <c r="K1166" s="117"/>
      <c r="L1166" s="117"/>
      <c r="M1166" s="118"/>
    </row>
    <row r="1167" spans="1:20" s="2" customFormat="1" ht="30" customHeight="1">
      <c r="A1167" s="72" t="s">
        <v>17</v>
      </c>
      <c r="B1167" s="114"/>
      <c r="C1167" s="114"/>
      <c r="D1167" s="72">
        <f>D1166+D1109</f>
        <v>100.00000000000004</v>
      </c>
      <c r="E1167" s="72"/>
      <c r="F1167" s="72"/>
      <c r="G1167" s="72"/>
      <c r="H1167" s="64" t="s">
        <v>18</v>
      </c>
      <c r="I1167" s="115"/>
      <c r="J1167" s="116">
        <f>J1166+J1109</f>
        <v>25.469999999999992</v>
      </c>
      <c r="K1167" s="117"/>
      <c r="L1167" s="117"/>
      <c r="M1167" s="118"/>
    </row>
    <row r="1168" spans="1:20" s="2" customFormat="1" ht="30" customHeight="1">
      <c r="A1168" s="111" t="s">
        <v>19</v>
      </c>
      <c r="B1168" s="112"/>
      <c r="C1168" s="112"/>
      <c r="D1168" s="112"/>
      <c r="E1168" s="112"/>
      <c r="F1168" s="112"/>
      <c r="G1168" s="112"/>
      <c r="H1168" s="112"/>
      <c r="I1168" s="112"/>
      <c r="J1168" s="112"/>
      <c r="K1168" s="112"/>
      <c r="L1168" s="112"/>
      <c r="M1168" s="113"/>
    </row>
    <row r="1169" spans="1:20" s="2" customFormat="1" ht="30" customHeight="1">
      <c r="A1169" s="8" t="s">
        <v>20</v>
      </c>
      <c r="B1169" s="72" t="s">
        <v>21</v>
      </c>
      <c r="C1169" s="72"/>
      <c r="D1169" s="72"/>
      <c r="E1169" s="4" t="s">
        <v>22</v>
      </c>
      <c r="F1169" s="54" t="s">
        <v>23</v>
      </c>
      <c r="G1169" s="59"/>
      <c r="H1169" s="72" t="s">
        <v>24</v>
      </c>
      <c r="I1169" s="72"/>
      <c r="J1169" s="72" t="s">
        <v>25</v>
      </c>
      <c r="K1169" s="72"/>
      <c r="L1169" s="72" t="s">
        <v>26</v>
      </c>
      <c r="M1169" s="72"/>
      <c r="O1169" s="1" t="s">
        <v>27</v>
      </c>
      <c r="P1169" s="1" t="s">
        <v>28</v>
      </c>
      <c r="T1169" s="2" t="s">
        <v>29</v>
      </c>
    </row>
    <row r="1170" spans="1:20" s="2" customFormat="1" ht="24.95" customHeight="1">
      <c r="A1170" s="9" t="s">
        <v>30</v>
      </c>
      <c r="B1170" s="110" t="s">
        <v>31</v>
      </c>
      <c r="C1170" s="110"/>
      <c r="D1170" s="110"/>
      <c r="E1170" s="4"/>
      <c r="F1170" s="54"/>
      <c r="G1170" s="59"/>
      <c r="H1170" s="72"/>
      <c r="I1170" s="72"/>
      <c r="J1170" s="72"/>
      <c r="K1170" s="72"/>
      <c r="L1170" s="72"/>
      <c r="M1170" s="72"/>
    </row>
    <row r="1171" spans="1:20" ht="24.95" customHeight="1">
      <c r="A1171" s="10">
        <v>1</v>
      </c>
      <c r="B1171" s="66" t="s">
        <v>91</v>
      </c>
      <c r="C1171" s="67" t="s">
        <v>91</v>
      </c>
      <c r="D1171" s="68" t="s">
        <v>91</v>
      </c>
      <c r="E1171" s="4" t="s">
        <v>32</v>
      </c>
      <c r="F1171" s="69">
        <v>1</v>
      </c>
      <c r="G1171" s="70"/>
      <c r="H1171" s="69"/>
      <c r="I1171" s="70"/>
      <c r="J1171" s="71">
        <f>H1171+J1113</f>
        <v>1</v>
      </c>
      <c r="K1171" s="71"/>
      <c r="L1171" s="72"/>
      <c r="M1171" s="72"/>
      <c r="O1171" s="11">
        <v>4000</v>
      </c>
      <c r="P1171" s="11">
        <f>ROUND(H1171*O1171,0)</f>
        <v>0</v>
      </c>
      <c r="Q1171" s="12"/>
      <c r="S1171" s="11">
        <f>ROUND(J1171*O1171,0)</f>
        <v>4000</v>
      </c>
      <c r="T1171" s="13">
        <f>F1171-J1171</f>
        <v>0</v>
      </c>
    </row>
    <row r="1172" spans="1:20" ht="24.95" customHeight="1">
      <c r="A1172" s="10">
        <v>2</v>
      </c>
      <c r="B1172" s="66" t="s">
        <v>92</v>
      </c>
      <c r="C1172" s="67" t="s">
        <v>92</v>
      </c>
      <c r="D1172" s="68" t="s">
        <v>92</v>
      </c>
      <c r="E1172" s="4" t="s">
        <v>32</v>
      </c>
      <c r="F1172" s="69">
        <v>1</v>
      </c>
      <c r="G1172" s="70"/>
      <c r="H1172" s="69"/>
      <c r="I1172" s="70"/>
      <c r="J1172" s="71">
        <f t="shared" ref="J1172:J1179" si="136">H1172+J1114</f>
        <v>1</v>
      </c>
      <c r="K1172" s="71"/>
      <c r="L1172" s="72"/>
      <c r="M1172" s="72"/>
      <c r="O1172" s="11">
        <v>14334</v>
      </c>
      <c r="P1172" s="11">
        <f t="shared" ref="P1172:P1179" si="137">ROUND(H1172*O1172,0)</f>
        <v>0</v>
      </c>
      <c r="Q1172" s="12"/>
      <c r="S1172" s="11">
        <f t="shared" ref="S1172:S1179" si="138">ROUND(J1172*O1172,0)</f>
        <v>14334</v>
      </c>
      <c r="T1172" s="13">
        <f t="shared" ref="T1172:T1179" si="139">F1172-J1172</f>
        <v>0</v>
      </c>
    </row>
    <row r="1173" spans="1:20" ht="24.95" customHeight="1">
      <c r="A1173" s="10">
        <v>3</v>
      </c>
      <c r="B1173" s="66" t="s">
        <v>84</v>
      </c>
      <c r="C1173" s="67" t="s">
        <v>84</v>
      </c>
      <c r="D1173" s="68" t="s">
        <v>84</v>
      </c>
      <c r="E1173" s="4" t="s">
        <v>33</v>
      </c>
      <c r="F1173" s="69">
        <v>1</v>
      </c>
      <c r="G1173" s="70"/>
      <c r="H1173" s="69"/>
      <c r="I1173" s="70"/>
      <c r="J1173" s="71">
        <f t="shared" si="136"/>
        <v>0.5</v>
      </c>
      <c r="K1173" s="71"/>
      <c r="L1173" s="72"/>
      <c r="M1173" s="72"/>
      <c r="O1173" s="11">
        <v>7000</v>
      </c>
      <c r="P1173" s="11">
        <f t="shared" si="137"/>
        <v>0</v>
      </c>
      <c r="Q1173" s="12"/>
      <c r="S1173" s="11">
        <f t="shared" si="138"/>
        <v>3500</v>
      </c>
      <c r="T1173" s="13">
        <f t="shared" si="139"/>
        <v>0.5</v>
      </c>
    </row>
    <row r="1174" spans="1:20" ht="24.95" customHeight="1">
      <c r="A1174" s="10">
        <v>4</v>
      </c>
      <c r="B1174" s="66" t="s">
        <v>85</v>
      </c>
      <c r="C1174" s="67" t="s">
        <v>85</v>
      </c>
      <c r="D1174" s="68" t="s">
        <v>85</v>
      </c>
      <c r="E1174" s="4" t="s">
        <v>34</v>
      </c>
      <c r="F1174" s="69">
        <v>1</v>
      </c>
      <c r="G1174" s="70"/>
      <c r="H1174" s="69"/>
      <c r="I1174" s="70"/>
      <c r="J1174" s="71">
        <f t="shared" si="136"/>
        <v>1</v>
      </c>
      <c r="K1174" s="71"/>
      <c r="L1174" s="72"/>
      <c r="M1174" s="72"/>
      <c r="O1174" s="11">
        <v>74000</v>
      </c>
      <c r="P1174" s="11">
        <f t="shared" si="137"/>
        <v>0</v>
      </c>
      <c r="Q1174" s="12"/>
      <c r="S1174" s="11">
        <f t="shared" si="138"/>
        <v>74000</v>
      </c>
      <c r="T1174" s="13">
        <f t="shared" si="139"/>
        <v>0</v>
      </c>
    </row>
    <row r="1175" spans="1:20" ht="24.95" customHeight="1">
      <c r="A1175" s="10">
        <v>5</v>
      </c>
      <c r="B1175" s="66" t="s">
        <v>86</v>
      </c>
      <c r="C1175" s="67" t="s">
        <v>86</v>
      </c>
      <c r="D1175" s="68" t="s">
        <v>86</v>
      </c>
      <c r="E1175" s="4" t="s">
        <v>93</v>
      </c>
      <c r="F1175" s="69">
        <v>396</v>
      </c>
      <c r="G1175" s="70"/>
      <c r="H1175" s="69"/>
      <c r="I1175" s="70"/>
      <c r="J1175" s="71">
        <f t="shared" si="136"/>
        <v>350</v>
      </c>
      <c r="K1175" s="71"/>
      <c r="L1175" s="72"/>
      <c r="M1175" s="72"/>
      <c r="O1175" s="11">
        <v>200</v>
      </c>
      <c r="P1175" s="11">
        <f t="shared" si="137"/>
        <v>0</v>
      </c>
      <c r="Q1175" s="12"/>
      <c r="S1175" s="11">
        <f t="shared" si="138"/>
        <v>70000</v>
      </c>
      <c r="T1175" s="13">
        <f t="shared" si="139"/>
        <v>46</v>
      </c>
    </row>
    <row r="1176" spans="1:20" ht="24.95" customHeight="1">
      <c r="A1176" s="10">
        <v>6</v>
      </c>
      <c r="B1176" s="66" t="s">
        <v>97</v>
      </c>
      <c r="C1176" s="67" t="s">
        <v>87</v>
      </c>
      <c r="D1176" s="68" t="s">
        <v>87</v>
      </c>
      <c r="E1176" s="4" t="s">
        <v>35</v>
      </c>
      <c r="F1176" s="69">
        <v>80</v>
      </c>
      <c r="G1176" s="70">
        <v>183.6</v>
      </c>
      <c r="H1176" s="69"/>
      <c r="I1176" s="70"/>
      <c r="J1176" s="71">
        <f t="shared" si="136"/>
        <v>78</v>
      </c>
      <c r="K1176" s="71"/>
      <c r="L1176" s="54"/>
      <c r="M1176" s="59"/>
      <c r="O1176" s="11">
        <v>1463</v>
      </c>
      <c r="P1176" s="11">
        <f t="shared" si="137"/>
        <v>0</v>
      </c>
      <c r="S1176" s="11">
        <f t="shared" si="138"/>
        <v>114114</v>
      </c>
      <c r="T1176" s="13">
        <f t="shared" si="139"/>
        <v>2</v>
      </c>
    </row>
    <row r="1177" spans="1:20" ht="24.95" customHeight="1">
      <c r="A1177" s="10">
        <v>7</v>
      </c>
      <c r="B1177" s="66" t="s">
        <v>88</v>
      </c>
      <c r="C1177" s="67" t="s">
        <v>88</v>
      </c>
      <c r="D1177" s="68" t="s">
        <v>88</v>
      </c>
      <c r="E1177" s="4" t="s">
        <v>94</v>
      </c>
      <c r="F1177" s="69">
        <v>126</v>
      </c>
      <c r="G1177" s="70">
        <v>19</v>
      </c>
      <c r="H1177" s="69"/>
      <c r="I1177" s="70"/>
      <c r="J1177" s="71">
        <f t="shared" si="136"/>
        <v>0</v>
      </c>
      <c r="K1177" s="71"/>
      <c r="L1177" s="54"/>
      <c r="M1177" s="59"/>
      <c r="O1177" s="11">
        <v>6350</v>
      </c>
      <c r="P1177" s="11">
        <f t="shared" si="137"/>
        <v>0</v>
      </c>
      <c r="S1177" s="11">
        <f t="shared" si="138"/>
        <v>0</v>
      </c>
      <c r="T1177" s="13">
        <f t="shared" si="139"/>
        <v>126</v>
      </c>
    </row>
    <row r="1178" spans="1:20" ht="24.95" customHeight="1">
      <c r="A1178" s="10">
        <v>8</v>
      </c>
      <c r="B1178" s="66" t="s">
        <v>89</v>
      </c>
      <c r="C1178" s="67" t="s">
        <v>89</v>
      </c>
      <c r="D1178" s="68" t="s">
        <v>89</v>
      </c>
      <c r="E1178" s="4" t="s">
        <v>95</v>
      </c>
      <c r="F1178" s="69">
        <v>1</v>
      </c>
      <c r="G1178" s="70">
        <v>1192</v>
      </c>
      <c r="H1178" s="69"/>
      <c r="I1178" s="70"/>
      <c r="J1178" s="71">
        <f t="shared" si="136"/>
        <v>0.3</v>
      </c>
      <c r="K1178" s="71"/>
      <c r="L1178" s="54"/>
      <c r="M1178" s="59"/>
      <c r="O1178" s="11">
        <v>47600</v>
      </c>
      <c r="P1178" s="11">
        <f t="shared" si="137"/>
        <v>0</v>
      </c>
      <c r="S1178" s="11">
        <f t="shared" si="138"/>
        <v>14280</v>
      </c>
      <c r="T1178" s="13">
        <f t="shared" si="139"/>
        <v>0.7</v>
      </c>
    </row>
    <row r="1179" spans="1:20" ht="24.95" customHeight="1">
      <c r="A1179" s="10">
        <v>9</v>
      </c>
      <c r="B1179" s="66" t="s">
        <v>90</v>
      </c>
      <c r="C1179" s="67" t="s">
        <v>90</v>
      </c>
      <c r="D1179" s="68" t="s">
        <v>90</v>
      </c>
      <c r="E1179" s="4" t="s">
        <v>96</v>
      </c>
      <c r="F1179" s="69">
        <v>1</v>
      </c>
      <c r="G1179" s="70">
        <v>1261</v>
      </c>
      <c r="H1179" s="69"/>
      <c r="I1179" s="70"/>
      <c r="J1179" s="71">
        <f t="shared" si="136"/>
        <v>0</v>
      </c>
      <c r="K1179" s="71"/>
      <c r="L1179" s="54"/>
      <c r="M1179" s="59"/>
      <c r="O1179" s="11">
        <v>10000</v>
      </c>
      <c r="P1179" s="11">
        <f t="shared" si="137"/>
        <v>0</v>
      </c>
      <c r="S1179" s="11">
        <f t="shared" si="138"/>
        <v>0</v>
      </c>
      <c r="T1179" s="13">
        <f t="shared" si="139"/>
        <v>1</v>
      </c>
    </row>
    <row r="1180" spans="1:20" ht="24.95" customHeight="1">
      <c r="A1180" s="14"/>
      <c r="B1180" s="15"/>
      <c r="C1180" s="16"/>
      <c r="D1180" s="17"/>
      <c r="E1180" s="4"/>
      <c r="F1180" s="18"/>
      <c r="G1180" s="19"/>
      <c r="H1180" s="105"/>
      <c r="I1180" s="106"/>
      <c r="J1180" s="105"/>
      <c r="K1180" s="106"/>
      <c r="L1180" s="54"/>
      <c r="M1180" s="59"/>
      <c r="N1180" s="20"/>
      <c r="P1180" s="21" t="s">
        <v>37</v>
      </c>
      <c r="Q1180" s="22">
        <f>SUM(P1171:P1179)</f>
        <v>0</v>
      </c>
      <c r="R1180" s="23"/>
      <c r="S1180" s="24">
        <f>SUM(S1171:S1179)</f>
        <v>294228</v>
      </c>
      <c r="T1180" s="13"/>
    </row>
    <row r="1181" spans="1:20" ht="24.95" customHeight="1">
      <c r="A1181" s="107"/>
      <c r="B1181" s="108"/>
      <c r="C1181" s="108"/>
      <c r="D1181" s="109"/>
      <c r="E1181" s="4"/>
      <c r="F1181" s="54"/>
      <c r="G1181" s="59"/>
      <c r="H1181" s="72"/>
      <c r="I1181" s="72"/>
      <c r="J1181" s="72"/>
      <c r="K1181" s="72"/>
      <c r="L1181" s="72"/>
      <c r="M1181" s="72"/>
      <c r="O1181" t="s">
        <v>38</v>
      </c>
      <c r="P1181" s="24">
        <f>Q1180</f>
        <v>0</v>
      </c>
      <c r="T1181" s="13"/>
    </row>
    <row r="1182" spans="1:20" ht="24.95" customHeight="1">
      <c r="A1182" s="97"/>
      <c r="B1182" s="98"/>
      <c r="C1182" s="98"/>
      <c r="D1182" s="99"/>
      <c r="E1182" s="4"/>
      <c r="F1182" s="54"/>
      <c r="G1182" s="59"/>
      <c r="H1182" s="72"/>
      <c r="I1182" s="72"/>
      <c r="J1182" s="72"/>
      <c r="K1182" s="72"/>
      <c r="L1182" s="72"/>
      <c r="M1182" s="72"/>
      <c r="O1182" t="s">
        <v>39</v>
      </c>
      <c r="P1182" s="23">
        <f>ROUND(P1181/1153274,4)*100</f>
        <v>0</v>
      </c>
      <c r="T1182" s="13"/>
    </row>
    <row r="1183" spans="1:20" ht="24.95" customHeight="1">
      <c r="A1183" s="25"/>
      <c r="B1183" s="63" t="s">
        <v>40</v>
      </c>
      <c r="C1183" s="63"/>
      <c r="D1183" s="59"/>
      <c r="E1183" s="26"/>
      <c r="F1183" s="100"/>
      <c r="G1183" s="101"/>
      <c r="H1183" s="100"/>
      <c r="I1183" s="101"/>
      <c r="J1183" s="102"/>
      <c r="K1183" s="102"/>
      <c r="L1183" s="103">
        <f>P1181</f>
        <v>0</v>
      </c>
      <c r="M1183" s="104"/>
      <c r="T1183" s="13"/>
    </row>
    <row r="1184" spans="1:20" ht="24.95" customHeight="1" thickBot="1">
      <c r="A1184" s="27"/>
      <c r="B1184" s="85" t="s">
        <v>41</v>
      </c>
      <c r="C1184" s="85"/>
      <c r="D1184" s="86"/>
      <c r="E1184" s="28"/>
      <c r="F1184" s="87"/>
      <c r="G1184" s="88"/>
      <c r="H1184" s="87"/>
      <c r="I1184" s="88"/>
      <c r="J1184" s="87"/>
      <c r="K1184" s="88"/>
      <c r="L1184" s="89">
        <f>L1183+L1126</f>
        <v>294228</v>
      </c>
      <c r="M1184" s="90"/>
      <c r="T1184" s="13"/>
    </row>
    <row r="1185" spans="1:20" ht="24.95" customHeight="1">
      <c r="A1185" s="29"/>
      <c r="B1185" s="91" t="s">
        <v>42</v>
      </c>
      <c r="C1185" s="91"/>
      <c r="D1185" s="92"/>
      <c r="E1185" s="30"/>
      <c r="F1185" s="93"/>
      <c r="G1185" s="94"/>
      <c r="H1185" s="95"/>
      <c r="I1185" s="95"/>
      <c r="J1185" s="95"/>
      <c r="K1185" s="95"/>
      <c r="L1185" s="95"/>
      <c r="M1185" s="96"/>
      <c r="T1185" s="13"/>
    </row>
    <row r="1186" spans="1:20" ht="24.95" customHeight="1">
      <c r="A1186" s="31"/>
      <c r="B1186" s="76" t="s">
        <v>43</v>
      </c>
      <c r="C1186" s="76"/>
      <c r="D1186" s="77"/>
      <c r="E1186" s="4"/>
      <c r="F1186" s="54"/>
      <c r="G1186" s="59"/>
      <c r="H1186" s="72"/>
      <c r="I1186" s="72"/>
      <c r="J1186" s="72"/>
      <c r="K1186" s="72"/>
      <c r="L1186" s="72"/>
      <c r="M1186" s="78"/>
      <c r="T1186" s="13"/>
    </row>
    <row r="1187" spans="1:20" ht="24.95" customHeight="1" thickBot="1">
      <c r="A1187" s="32"/>
      <c r="B1187" s="79" t="s">
        <v>44</v>
      </c>
      <c r="C1187" s="79"/>
      <c r="D1187" s="80"/>
      <c r="E1187" s="33"/>
      <c r="F1187" s="81"/>
      <c r="G1187" s="82"/>
      <c r="H1187" s="83"/>
      <c r="I1187" s="83"/>
      <c r="J1187" s="83"/>
      <c r="K1187" s="83"/>
      <c r="L1187" s="83"/>
      <c r="M1187" s="84"/>
      <c r="T1187" s="13"/>
    </row>
    <row r="1188" spans="1:20" ht="24.95" customHeight="1">
      <c r="A1188" s="73" t="s">
        <v>45</v>
      </c>
      <c r="B1188" s="74"/>
      <c r="C1188" s="74"/>
      <c r="D1188" s="74"/>
      <c r="E1188" s="74"/>
      <c r="F1188" s="74"/>
      <c r="G1188" s="74"/>
      <c r="H1188" s="74"/>
      <c r="I1188" s="74"/>
      <c r="J1188" s="74"/>
      <c r="K1188" s="74"/>
      <c r="L1188" s="74"/>
      <c r="M1188" s="74"/>
      <c r="T1188" s="13"/>
    </row>
    <row r="1189" spans="1:20" ht="24.95" customHeight="1">
      <c r="A1189" s="72" t="s">
        <v>46</v>
      </c>
      <c r="B1189" s="75"/>
      <c r="C1189" s="75"/>
      <c r="D1189" s="75"/>
      <c r="E1189" s="4" t="s">
        <v>22</v>
      </c>
      <c r="F1189" s="72" t="s">
        <v>47</v>
      </c>
      <c r="G1189" s="72"/>
      <c r="H1189" s="72" t="s">
        <v>48</v>
      </c>
      <c r="I1189" s="72"/>
      <c r="J1189" s="72" t="s">
        <v>49</v>
      </c>
      <c r="K1189" s="72"/>
      <c r="L1189" s="72" t="s">
        <v>50</v>
      </c>
      <c r="M1189" s="72"/>
      <c r="T1189" s="13"/>
    </row>
    <row r="1190" spans="1:20" ht="24.95" customHeight="1">
      <c r="A1190" s="10">
        <v>6</v>
      </c>
      <c r="B1190" s="66" t="s">
        <v>97</v>
      </c>
      <c r="C1190" s="67" t="s">
        <v>51</v>
      </c>
      <c r="D1190" s="68" t="s">
        <v>51</v>
      </c>
      <c r="E1190" s="4" t="s">
        <v>35</v>
      </c>
      <c r="F1190" s="69">
        <v>80</v>
      </c>
      <c r="G1190" s="70">
        <v>1261</v>
      </c>
      <c r="H1190" s="71">
        <f>H1176</f>
        <v>0</v>
      </c>
      <c r="I1190" s="71"/>
      <c r="J1190" s="71">
        <f>H1190+J1132</f>
        <v>78</v>
      </c>
      <c r="K1190" s="71"/>
      <c r="L1190" s="72"/>
      <c r="M1190" s="72"/>
      <c r="T1190" s="13"/>
    </row>
    <row r="1191" spans="1:20" ht="24.95" customHeight="1">
      <c r="A1191" s="10">
        <v>7</v>
      </c>
      <c r="B1191" s="66" t="s">
        <v>88</v>
      </c>
      <c r="C1191" s="67" t="s">
        <v>88</v>
      </c>
      <c r="D1191" s="68" t="s">
        <v>88</v>
      </c>
      <c r="E1191" s="4" t="s">
        <v>98</v>
      </c>
      <c r="F1191" s="69">
        <v>126</v>
      </c>
      <c r="G1191" s="70"/>
      <c r="H1191" s="71">
        <f>H1177</f>
        <v>0</v>
      </c>
      <c r="I1191" s="71"/>
      <c r="J1191" s="71">
        <f t="shared" ref="J1191:J1192" si="140">H1191+J1133</f>
        <v>0</v>
      </c>
      <c r="K1191" s="71"/>
      <c r="L1191" s="72"/>
      <c r="M1191" s="72"/>
      <c r="T1191" s="13"/>
    </row>
    <row r="1192" spans="1:20" ht="24.95" customHeight="1">
      <c r="A1192" s="10">
        <v>8</v>
      </c>
      <c r="B1192" s="66" t="s">
        <v>89</v>
      </c>
      <c r="C1192" s="67" t="s">
        <v>89</v>
      </c>
      <c r="D1192" s="68" t="s">
        <v>89</v>
      </c>
      <c r="E1192" s="4" t="s">
        <v>36</v>
      </c>
      <c r="F1192" s="69">
        <v>1</v>
      </c>
      <c r="G1192" s="70"/>
      <c r="H1192" s="71">
        <f>H1178</f>
        <v>0</v>
      </c>
      <c r="I1192" s="71"/>
      <c r="J1192" s="71">
        <f t="shared" si="140"/>
        <v>0.3</v>
      </c>
      <c r="K1192" s="71"/>
      <c r="L1192" s="72"/>
      <c r="M1192" s="72"/>
      <c r="T1192" s="13"/>
    </row>
    <row r="1193" spans="1:20" ht="24.95" customHeight="1">
      <c r="A1193" s="51" t="s">
        <v>52</v>
      </c>
      <c r="B1193" s="52"/>
      <c r="C1193" s="52"/>
      <c r="D1193" s="52"/>
      <c r="E1193" s="52"/>
      <c r="F1193" s="52"/>
      <c r="G1193" s="52"/>
      <c r="H1193" s="52"/>
      <c r="I1193" s="52"/>
      <c r="J1193" s="52"/>
      <c r="K1193" s="52"/>
      <c r="L1193" s="52"/>
      <c r="M1193" s="53"/>
      <c r="T1193" s="13"/>
    </row>
    <row r="1194" spans="1:20" ht="24.95" customHeight="1">
      <c r="A1194" s="54" t="s">
        <v>53</v>
      </c>
      <c r="B1194" s="63"/>
      <c r="C1194" s="63"/>
      <c r="D1194" s="59"/>
      <c r="E1194" s="4" t="s">
        <v>54</v>
      </c>
      <c r="F1194" s="54" t="s">
        <v>55</v>
      </c>
      <c r="G1194" s="59"/>
      <c r="H1194" s="54" t="s">
        <v>56</v>
      </c>
      <c r="I1194" s="59"/>
      <c r="J1194" s="54" t="s">
        <v>48</v>
      </c>
      <c r="K1194" s="59"/>
      <c r="L1194" s="64" t="s">
        <v>49</v>
      </c>
      <c r="M1194" s="65"/>
      <c r="T1194" s="13"/>
    </row>
    <row r="1195" spans="1:20" ht="24.95" customHeight="1">
      <c r="A1195" s="54" t="s">
        <v>57</v>
      </c>
      <c r="B1195" s="55"/>
      <c r="C1195" s="55"/>
      <c r="D1195" s="56"/>
      <c r="E1195" s="4"/>
      <c r="F1195" s="57">
        <f>E1195+F1137</f>
        <v>28</v>
      </c>
      <c r="G1195" s="58"/>
      <c r="H1195" s="54" t="s">
        <v>58</v>
      </c>
      <c r="I1195" s="59"/>
      <c r="J1195" s="54"/>
      <c r="K1195" s="59"/>
      <c r="L1195" s="57">
        <f>J1195+L1137</f>
        <v>15</v>
      </c>
      <c r="M1195" s="58"/>
      <c r="T1195" s="13"/>
    </row>
    <row r="1196" spans="1:20" ht="24.95" customHeight="1">
      <c r="A1196" s="54" t="s">
        <v>59</v>
      </c>
      <c r="B1196" s="55"/>
      <c r="C1196" s="55"/>
      <c r="D1196" s="56"/>
      <c r="E1196" s="4"/>
      <c r="F1196" s="57">
        <f t="shared" ref="F1196:F1198" si="141">E1196+F1138</f>
        <v>0</v>
      </c>
      <c r="G1196" s="58"/>
      <c r="H1196" s="54" t="s">
        <v>60</v>
      </c>
      <c r="I1196" s="59"/>
      <c r="J1196" s="54"/>
      <c r="K1196" s="59"/>
      <c r="L1196" s="57">
        <f t="shared" ref="L1196:L1198" si="142">J1196+L1138</f>
        <v>0</v>
      </c>
      <c r="M1196" s="58"/>
      <c r="T1196" s="13"/>
    </row>
    <row r="1197" spans="1:20" ht="24.95" customHeight="1">
      <c r="A1197" s="54" t="s">
        <v>61</v>
      </c>
      <c r="B1197" s="55"/>
      <c r="C1197" s="55"/>
      <c r="D1197" s="56"/>
      <c r="E1197" s="4"/>
      <c r="F1197" s="57">
        <f t="shared" si="141"/>
        <v>2</v>
      </c>
      <c r="G1197" s="58"/>
      <c r="H1197" s="54" t="s">
        <v>62</v>
      </c>
      <c r="I1197" s="59"/>
      <c r="J1197" s="54"/>
      <c r="K1197" s="59"/>
      <c r="L1197" s="57">
        <f t="shared" si="142"/>
        <v>5</v>
      </c>
      <c r="M1197" s="58"/>
      <c r="T1197" s="13"/>
    </row>
    <row r="1198" spans="1:20" ht="24.95" customHeight="1">
      <c r="A1198" s="54" t="s">
        <v>63</v>
      </c>
      <c r="B1198" s="55"/>
      <c r="C1198" s="55"/>
      <c r="D1198" s="56"/>
      <c r="E1198" s="4"/>
      <c r="F1198" s="57">
        <f t="shared" si="141"/>
        <v>4</v>
      </c>
      <c r="G1198" s="58"/>
      <c r="H1198" s="54" t="s">
        <v>64</v>
      </c>
      <c r="I1198" s="59"/>
      <c r="J1198" s="54"/>
      <c r="K1198" s="59"/>
      <c r="L1198" s="57">
        <f t="shared" si="142"/>
        <v>1</v>
      </c>
      <c r="M1198" s="58"/>
      <c r="T1198" s="13"/>
    </row>
    <row r="1199" spans="1:20" ht="64.5" customHeight="1">
      <c r="A1199" s="60" t="s">
        <v>65</v>
      </c>
      <c r="B1199" s="61"/>
      <c r="C1199" s="61"/>
      <c r="D1199" s="61"/>
      <c r="E1199" s="61"/>
      <c r="F1199" s="61"/>
      <c r="G1199" s="61"/>
      <c r="H1199" s="61"/>
      <c r="I1199" s="61"/>
      <c r="J1199" s="61"/>
      <c r="K1199" s="61"/>
      <c r="L1199" s="61"/>
      <c r="M1199" s="62"/>
      <c r="T1199" s="13"/>
    </row>
    <row r="1200" spans="1:20" ht="24.95" customHeight="1">
      <c r="A1200" s="46" t="s">
        <v>66</v>
      </c>
      <c r="B1200" s="47"/>
      <c r="C1200" s="47"/>
      <c r="D1200" s="47"/>
      <c r="E1200" s="47"/>
      <c r="F1200" s="47"/>
      <c r="G1200" s="47"/>
      <c r="H1200" s="47"/>
      <c r="I1200" s="47"/>
      <c r="J1200" s="47"/>
      <c r="K1200" s="47"/>
      <c r="L1200" s="47"/>
      <c r="M1200" s="48"/>
      <c r="T1200" s="13"/>
    </row>
    <row r="1201" spans="1:20" ht="24.95" customHeight="1">
      <c r="A1201" s="27"/>
      <c r="B1201" s="34" t="s">
        <v>67</v>
      </c>
      <c r="C1201" s="34"/>
      <c r="D1201" s="34"/>
      <c r="E1201" s="34"/>
      <c r="F1201" s="34"/>
      <c r="G1201" s="35"/>
      <c r="H1201" s="34"/>
      <c r="I1201" s="34"/>
      <c r="J1201" s="34"/>
      <c r="K1201" s="34"/>
      <c r="L1201" s="34"/>
      <c r="M1201" s="36"/>
      <c r="T1201" s="13"/>
    </row>
    <row r="1202" spans="1:20" ht="24.95" customHeight="1">
      <c r="A1202" s="27"/>
      <c r="B1202" s="34" t="s">
        <v>81</v>
      </c>
      <c r="C1202" s="34"/>
      <c r="D1202" s="34"/>
      <c r="E1202" s="34"/>
      <c r="F1202" s="34"/>
      <c r="G1202" s="35"/>
      <c r="H1202" s="34"/>
      <c r="I1202" s="34"/>
      <c r="J1202" s="34"/>
      <c r="K1202" s="34"/>
      <c r="L1202" s="34"/>
      <c r="M1202" s="36"/>
      <c r="T1202" s="13"/>
    </row>
    <row r="1203" spans="1:20" ht="24.95" customHeight="1">
      <c r="A1203" s="27"/>
      <c r="B1203" s="34" t="s">
        <v>68</v>
      </c>
      <c r="C1203" s="34"/>
      <c r="D1203" s="34"/>
      <c r="E1203" s="34"/>
      <c r="F1203" s="34"/>
      <c r="G1203" s="35"/>
      <c r="H1203" s="34"/>
      <c r="I1203" s="34"/>
      <c r="J1203" s="34"/>
      <c r="K1203" s="34"/>
      <c r="L1203" s="34"/>
      <c r="M1203" s="36"/>
      <c r="T1203" s="13"/>
    </row>
    <row r="1204" spans="1:20" ht="24.95" customHeight="1">
      <c r="A1204" s="27"/>
      <c r="B1204" s="34" t="s">
        <v>82</v>
      </c>
      <c r="C1204" s="34"/>
      <c r="D1204" s="34"/>
      <c r="E1204" s="34"/>
      <c r="F1204" s="34"/>
      <c r="G1204" s="35"/>
      <c r="H1204" s="34"/>
      <c r="I1204" s="34"/>
      <c r="J1204" s="34"/>
      <c r="K1204" s="34"/>
      <c r="L1204" s="34"/>
      <c r="M1204" s="36"/>
      <c r="T1204" s="13"/>
    </row>
    <row r="1205" spans="1:20" ht="24.95" customHeight="1">
      <c r="A1205" s="27"/>
      <c r="B1205" s="34" t="s">
        <v>99</v>
      </c>
      <c r="C1205" s="34"/>
      <c r="D1205" s="34"/>
      <c r="E1205" s="34"/>
      <c r="F1205" s="34"/>
      <c r="G1205" s="35"/>
      <c r="H1205" s="34"/>
      <c r="I1205" s="34"/>
      <c r="J1205" s="34"/>
      <c r="K1205" s="34"/>
      <c r="L1205" s="34"/>
      <c r="M1205" s="36"/>
      <c r="T1205" s="13"/>
    </row>
    <row r="1206" spans="1:20" ht="24.95" customHeight="1">
      <c r="A1206" s="37"/>
      <c r="B1206" s="49" t="s">
        <v>69</v>
      </c>
      <c r="C1206" s="49"/>
      <c r="D1206" s="49"/>
      <c r="E1206" s="49"/>
      <c r="F1206" s="49"/>
      <c r="G1206" s="49"/>
      <c r="H1206" s="49"/>
      <c r="I1206" s="49"/>
      <c r="J1206" s="49"/>
      <c r="K1206" s="49"/>
      <c r="L1206" s="49"/>
      <c r="M1206" s="50"/>
      <c r="T1206" s="13"/>
    </row>
    <row r="1207" spans="1:20" ht="44.25" customHeight="1">
      <c r="A1207" s="51" t="s">
        <v>70</v>
      </c>
      <c r="B1207" s="52"/>
      <c r="C1207" s="52"/>
      <c r="D1207" s="52"/>
      <c r="E1207" s="52"/>
      <c r="F1207" s="52"/>
      <c r="G1207" s="52"/>
      <c r="H1207" s="52"/>
      <c r="I1207" s="52"/>
      <c r="J1207" s="52"/>
      <c r="K1207" s="52"/>
      <c r="L1207" s="52"/>
      <c r="M1207" s="53"/>
      <c r="T1207" s="13"/>
    </row>
    <row r="1208" spans="1:20" ht="48" customHeight="1">
      <c r="A1208" s="51" t="s">
        <v>71</v>
      </c>
      <c r="B1208" s="52"/>
      <c r="C1208" s="52"/>
      <c r="D1208" s="52"/>
      <c r="E1208" s="52"/>
      <c r="F1208" s="52"/>
      <c r="G1208" s="52"/>
      <c r="H1208" s="52"/>
      <c r="I1208" s="52"/>
      <c r="J1208" s="52"/>
      <c r="K1208" s="52"/>
      <c r="L1208" s="52"/>
      <c r="M1208" s="53"/>
      <c r="T1208" s="13"/>
    </row>
    <row r="1209" spans="1:20" ht="81" customHeight="1">
      <c r="A1209" s="51" t="s">
        <v>80</v>
      </c>
      <c r="B1209" s="52"/>
      <c r="C1209" s="52"/>
      <c r="D1209" s="52"/>
      <c r="E1209" s="52"/>
      <c r="F1209" s="52"/>
      <c r="G1209" s="52"/>
      <c r="H1209" s="52"/>
      <c r="I1209" s="52"/>
      <c r="J1209" s="52"/>
      <c r="K1209" s="52"/>
      <c r="L1209" s="52"/>
      <c r="M1209" s="53"/>
      <c r="T1209" s="13"/>
    </row>
    <row r="1210" spans="1:20" ht="100.5" customHeight="1">
      <c r="A1210" s="51" t="s">
        <v>72</v>
      </c>
      <c r="B1210" s="52"/>
      <c r="C1210" s="52"/>
      <c r="D1210" s="52"/>
      <c r="E1210" s="52"/>
      <c r="F1210" s="52"/>
      <c r="G1210" s="52"/>
      <c r="H1210" s="52"/>
      <c r="I1210" s="52"/>
      <c r="J1210" s="52"/>
      <c r="K1210" s="52"/>
      <c r="L1210" s="52"/>
      <c r="M1210" s="53"/>
      <c r="T1210" s="13"/>
    </row>
    <row r="1211" spans="1:20" ht="12" customHeight="1">
      <c r="A1211" s="41" t="s">
        <v>73</v>
      </c>
      <c r="B1211" s="41"/>
      <c r="C1211" s="42"/>
      <c r="D1211" s="42"/>
      <c r="E1211" s="42"/>
      <c r="F1211" s="42"/>
      <c r="G1211" s="42"/>
      <c r="H1211" s="42"/>
      <c r="I1211" s="42"/>
      <c r="J1211" s="42"/>
      <c r="K1211" s="42"/>
      <c r="L1211" s="42"/>
      <c r="M1211" s="38"/>
      <c r="T1211" s="13"/>
    </row>
    <row r="1212" spans="1:20" ht="12" customHeight="1">
      <c r="A1212" s="43" t="s">
        <v>74</v>
      </c>
      <c r="B1212" s="43"/>
      <c r="C1212" s="40"/>
      <c r="D1212" s="40"/>
      <c r="E1212" s="40"/>
      <c r="F1212" s="40"/>
      <c r="G1212" s="40"/>
      <c r="H1212" s="40"/>
      <c r="I1212" s="40"/>
      <c r="J1212" s="40"/>
      <c r="K1212" s="40"/>
      <c r="L1212" s="38"/>
      <c r="M1212" s="38"/>
      <c r="T1212" s="13"/>
    </row>
    <row r="1213" spans="1:20" ht="12" customHeight="1">
      <c r="A1213" s="44" t="s">
        <v>75</v>
      </c>
      <c r="B1213" s="44"/>
      <c r="C1213" s="44"/>
      <c r="D1213" s="44"/>
      <c r="E1213" s="44"/>
      <c r="F1213" s="44"/>
      <c r="G1213" s="44"/>
      <c r="H1213" s="44"/>
      <c r="I1213" s="44"/>
      <c r="J1213" s="44"/>
      <c r="K1213" s="44"/>
      <c r="L1213" s="44"/>
      <c r="M1213" s="44"/>
      <c r="T1213" s="13"/>
    </row>
    <row r="1214" spans="1:20" ht="12" customHeight="1">
      <c r="A1214" s="39" t="s">
        <v>76</v>
      </c>
      <c r="B1214" s="39"/>
      <c r="C1214" s="39"/>
      <c r="D1214" s="39"/>
      <c r="E1214" s="39"/>
      <c r="F1214" s="39"/>
      <c r="G1214" s="39"/>
      <c r="H1214" s="39"/>
      <c r="I1214" s="39"/>
      <c r="J1214" s="39"/>
      <c r="K1214" s="39"/>
      <c r="L1214" s="39"/>
      <c r="M1214" s="39"/>
      <c r="T1214" s="13"/>
    </row>
    <row r="1215" spans="1:20" ht="12" customHeight="1">
      <c r="A1215" s="39" t="s">
        <v>77</v>
      </c>
      <c r="B1215" s="40"/>
      <c r="C1215" s="40"/>
      <c r="D1215" s="40"/>
      <c r="E1215" s="40"/>
      <c r="F1215" s="40"/>
      <c r="G1215" s="40"/>
      <c r="H1215" s="40"/>
      <c r="I1215" s="40"/>
      <c r="J1215" s="40"/>
      <c r="K1215" s="40"/>
      <c r="L1215" s="40"/>
      <c r="M1215" s="40"/>
      <c r="T1215" s="13"/>
    </row>
    <row r="1216" spans="1:20" ht="12" customHeight="1">
      <c r="A1216" s="45" t="s">
        <v>78</v>
      </c>
      <c r="B1216" s="40"/>
      <c r="C1216" s="40"/>
      <c r="D1216" s="40"/>
      <c r="E1216" s="40"/>
      <c r="F1216" s="40"/>
      <c r="G1216" s="40"/>
      <c r="H1216" s="40"/>
      <c r="I1216" s="40"/>
      <c r="J1216" s="40"/>
      <c r="K1216" s="40"/>
      <c r="L1216" s="40"/>
      <c r="M1216" s="40"/>
      <c r="T1216" s="13"/>
    </row>
    <row r="1217" spans="1:20" ht="12" customHeight="1">
      <c r="A1217" s="39" t="s">
        <v>79</v>
      </c>
      <c r="B1217" s="40"/>
      <c r="C1217" s="40"/>
      <c r="D1217" s="40"/>
      <c r="E1217" s="40"/>
      <c r="F1217" s="40"/>
      <c r="G1217" s="40"/>
      <c r="H1217" s="40"/>
      <c r="I1217" s="40"/>
      <c r="J1217" s="40"/>
      <c r="K1217" s="40"/>
      <c r="L1217" s="40"/>
      <c r="M1217" s="40"/>
      <c r="T1217" s="13"/>
    </row>
    <row r="1218" spans="1:20" ht="409.5" customHeight="1"/>
    <row r="1219" spans="1:20" s="2" customFormat="1" ht="35.1" customHeight="1">
      <c r="A1219" s="126" t="s">
        <v>0</v>
      </c>
      <c r="B1219" s="126"/>
      <c r="C1219" s="1">
        <f>C1161+1</f>
        <v>57</v>
      </c>
      <c r="G1219" s="3"/>
    </row>
    <row r="1220" spans="1:20" s="2" customFormat="1" ht="35.1" customHeight="1">
      <c r="A1220" s="126" t="s">
        <v>1</v>
      </c>
      <c r="B1220" s="126"/>
      <c r="C1220" s="2" t="s">
        <v>2</v>
      </c>
      <c r="E1220" s="2" t="s">
        <v>3</v>
      </c>
      <c r="G1220" s="3"/>
      <c r="H1220" s="127" t="s">
        <v>4</v>
      </c>
      <c r="I1220" s="128"/>
      <c r="J1220" s="129">
        <f>J1162+1</f>
        <v>46044</v>
      </c>
      <c r="K1220" s="130"/>
      <c r="L1220" s="131">
        <f>J1220</f>
        <v>46044</v>
      </c>
      <c r="M1220" s="132"/>
    </row>
    <row r="1221" spans="1:20" s="2" customFormat="1" ht="30" customHeight="1">
      <c r="A1221" s="72" t="s">
        <v>5</v>
      </c>
      <c r="B1221" s="114"/>
      <c r="C1221" s="119" t="s">
        <v>83</v>
      </c>
      <c r="D1221" s="119"/>
      <c r="E1221" s="119"/>
      <c r="F1221" s="119"/>
      <c r="G1221" s="119"/>
      <c r="H1221" s="54" t="s">
        <v>6</v>
      </c>
      <c r="I1221" s="59"/>
      <c r="J1221" s="120"/>
      <c r="K1221" s="120"/>
      <c r="L1221" s="120"/>
      <c r="M1221" s="120"/>
    </row>
    <row r="1222" spans="1:20" s="1" customFormat="1" ht="30" customHeight="1">
      <c r="A1222" s="72" t="s">
        <v>7</v>
      </c>
      <c r="B1222" s="114"/>
      <c r="C1222" s="4">
        <v>50</v>
      </c>
      <c r="D1222" s="4" t="s">
        <v>8</v>
      </c>
      <c r="E1222" s="4" t="s">
        <v>9</v>
      </c>
      <c r="F1222" s="4">
        <f>F1164+1</f>
        <v>57</v>
      </c>
      <c r="G1222" s="5" t="s">
        <v>8</v>
      </c>
      <c r="H1222" s="4" t="s">
        <v>10</v>
      </c>
      <c r="I1222" s="4">
        <f>C1222-F1222+L1222</f>
        <v>-7</v>
      </c>
      <c r="J1222" s="4" t="s">
        <v>11</v>
      </c>
      <c r="K1222" s="6" t="s">
        <v>12</v>
      </c>
      <c r="L1222" s="7">
        <f>L1164</f>
        <v>0</v>
      </c>
      <c r="M1222" s="4" t="s">
        <v>8</v>
      </c>
    </row>
    <row r="1223" spans="1:20" s="2" customFormat="1" ht="30" customHeight="1">
      <c r="A1223" s="72" t="s">
        <v>13</v>
      </c>
      <c r="B1223" s="75"/>
      <c r="C1223" s="75"/>
      <c r="D1223" s="121">
        <f>D1165</f>
        <v>45988</v>
      </c>
      <c r="E1223" s="122"/>
      <c r="F1223" s="122"/>
      <c r="G1223" s="123"/>
      <c r="H1223" s="124" t="s">
        <v>14</v>
      </c>
      <c r="I1223" s="125"/>
      <c r="J1223" s="121">
        <f>J1165</f>
        <v>46037</v>
      </c>
      <c r="K1223" s="122"/>
      <c r="L1223" s="122"/>
      <c r="M1223" s="123"/>
    </row>
    <row r="1224" spans="1:20" s="2" customFormat="1" ht="30" customHeight="1">
      <c r="A1224" s="72" t="s">
        <v>15</v>
      </c>
      <c r="B1224" s="114"/>
      <c r="C1224" s="114"/>
      <c r="D1224" s="72"/>
      <c r="E1224" s="72"/>
      <c r="F1224" s="72"/>
      <c r="G1224" s="72"/>
      <c r="H1224" s="64" t="s">
        <v>16</v>
      </c>
      <c r="I1224" s="115"/>
      <c r="J1224" s="116">
        <f>P1240</f>
        <v>0</v>
      </c>
      <c r="K1224" s="117"/>
      <c r="L1224" s="117"/>
      <c r="M1224" s="118"/>
    </row>
    <row r="1225" spans="1:20" s="2" customFormat="1" ht="30" customHeight="1">
      <c r="A1225" s="72" t="s">
        <v>17</v>
      </c>
      <c r="B1225" s="114"/>
      <c r="C1225" s="114"/>
      <c r="D1225" s="72">
        <f>D1224+D1167</f>
        <v>100.00000000000004</v>
      </c>
      <c r="E1225" s="72"/>
      <c r="F1225" s="72"/>
      <c r="G1225" s="72"/>
      <c r="H1225" s="64" t="s">
        <v>18</v>
      </c>
      <c r="I1225" s="115"/>
      <c r="J1225" s="116">
        <f>J1224+J1167</f>
        <v>25.469999999999992</v>
      </c>
      <c r="K1225" s="117"/>
      <c r="L1225" s="117"/>
      <c r="M1225" s="118"/>
    </row>
    <row r="1226" spans="1:20" s="2" customFormat="1" ht="30" customHeight="1">
      <c r="A1226" s="111" t="s">
        <v>19</v>
      </c>
      <c r="B1226" s="112"/>
      <c r="C1226" s="112"/>
      <c r="D1226" s="112"/>
      <c r="E1226" s="112"/>
      <c r="F1226" s="112"/>
      <c r="G1226" s="112"/>
      <c r="H1226" s="112"/>
      <c r="I1226" s="112"/>
      <c r="J1226" s="112"/>
      <c r="K1226" s="112"/>
      <c r="L1226" s="112"/>
      <c r="M1226" s="113"/>
    </row>
    <row r="1227" spans="1:20" s="2" customFormat="1" ht="30" customHeight="1">
      <c r="A1227" s="8" t="s">
        <v>20</v>
      </c>
      <c r="B1227" s="72" t="s">
        <v>21</v>
      </c>
      <c r="C1227" s="72"/>
      <c r="D1227" s="72"/>
      <c r="E1227" s="4" t="s">
        <v>22</v>
      </c>
      <c r="F1227" s="54" t="s">
        <v>23</v>
      </c>
      <c r="G1227" s="59"/>
      <c r="H1227" s="72" t="s">
        <v>24</v>
      </c>
      <c r="I1227" s="72"/>
      <c r="J1227" s="72" t="s">
        <v>25</v>
      </c>
      <c r="K1227" s="72"/>
      <c r="L1227" s="72" t="s">
        <v>26</v>
      </c>
      <c r="M1227" s="72"/>
      <c r="O1227" s="1" t="s">
        <v>27</v>
      </c>
      <c r="P1227" s="1" t="s">
        <v>28</v>
      </c>
      <c r="T1227" s="2" t="s">
        <v>29</v>
      </c>
    </row>
    <row r="1228" spans="1:20" s="2" customFormat="1" ht="24.95" customHeight="1">
      <c r="A1228" s="9" t="s">
        <v>30</v>
      </c>
      <c r="B1228" s="110" t="s">
        <v>31</v>
      </c>
      <c r="C1228" s="110"/>
      <c r="D1228" s="110"/>
      <c r="E1228" s="4"/>
      <c r="F1228" s="54"/>
      <c r="G1228" s="59"/>
      <c r="H1228" s="72"/>
      <c r="I1228" s="72"/>
      <c r="J1228" s="72"/>
      <c r="K1228" s="72"/>
      <c r="L1228" s="72"/>
      <c r="M1228" s="72"/>
    </row>
    <row r="1229" spans="1:20" ht="24.95" customHeight="1">
      <c r="A1229" s="10">
        <v>1</v>
      </c>
      <c r="B1229" s="66" t="s">
        <v>91</v>
      </c>
      <c r="C1229" s="67" t="s">
        <v>91</v>
      </c>
      <c r="D1229" s="68" t="s">
        <v>91</v>
      </c>
      <c r="E1229" s="4" t="s">
        <v>32</v>
      </c>
      <c r="F1229" s="69">
        <v>1</v>
      </c>
      <c r="G1229" s="70"/>
      <c r="H1229" s="69"/>
      <c r="I1229" s="70"/>
      <c r="J1229" s="71">
        <f>H1229+J1171</f>
        <v>1</v>
      </c>
      <c r="K1229" s="71"/>
      <c r="L1229" s="72"/>
      <c r="M1229" s="72"/>
      <c r="O1229" s="11">
        <v>4000</v>
      </c>
      <c r="P1229" s="11">
        <f>ROUND(H1229*O1229,0)</f>
        <v>0</v>
      </c>
      <c r="Q1229" s="12"/>
      <c r="S1229" s="11">
        <f>ROUND(J1229*O1229,0)</f>
        <v>4000</v>
      </c>
      <c r="T1229" s="13">
        <f>F1229-J1229</f>
        <v>0</v>
      </c>
    </row>
    <row r="1230" spans="1:20" ht="24.95" customHeight="1">
      <c r="A1230" s="10">
        <v>2</v>
      </c>
      <c r="B1230" s="66" t="s">
        <v>92</v>
      </c>
      <c r="C1230" s="67" t="s">
        <v>92</v>
      </c>
      <c r="D1230" s="68" t="s">
        <v>92</v>
      </c>
      <c r="E1230" s="4" t="s">
        <v>32</v>
      </c>
      <c r="F1230" s="69">
        <v>1</v>
      </c>
      <c r="G1230" s="70"/>
      <c r="H1230" s="69"/>
      <c r="I1230" s="70"/>
      <c r="J1230" s="71">
        <f t="shared" ref="J1230:J1237" si="143">H1230+J1172</f>
        <v>1</v>
      </c>
      <c r="K1230" s="71"/>
      <c r="L1230" s="72"/>
      <c r="M1230" s="72"/>
      <c r="O1230" s="11">
        <v>14334</v>
      </c>
      <c r="P1230" s="11">
        <f t="shared" ref="P1230:P1237" si="144">ROUND(H1230*O1230,0)</f>
        <v>0</v>
      </c>
      <c r="Q1230" s="12"/>
      <c r="S1230" s="11">
        <f t="shared" ref="S1230:S1237" si="145">ROUND(J1230*O1230,0)</f>
        <v>14334</v>
      </c>
      <c r="T1230" s="13">
        <f t="shared" ref="T1230:T1237" si="146">F1230-J1230</f>
        <v>0</v>
      </c>
    </row>
    <row r="1231" spans="1:20" ht="24.95" customHeight="1">
      <c r="A1231" s="10">
        <v>3</v>
      </c>
      <c r="B1231" s="66" t="s">
        <v>84</v>
      </c>
      <c r="C1231" s="67" t="s">
        <v>84</v>
      </c>
      <c r="D1231" s="68" t="s">
        <v>84</v>
      </c>
      <c r="E1231" s="4" t="s">
        <v>33</v>
      </c>
      <c r="F1231" s="69">
        <v>1</v>
      </c>
      <c r="G1231" s="70"/>
      <c r="H1231" s="69"/>
      <c r="I1231" s="70"/>
      <c r="J1231" s="71">
        <f t="shared" si="143"/>
        <v>0.5</v>
      </c>
      <c r="K1231" s="71"/>
      <c r="L1231" s="72"/>
      <c r="M1231" s="72"/>
      <c r="O1231" s="11">
        <v>7000</v>
      </c>
      <c r="P1231" s="11">
        <f t="shared" si="144"/>
        <v>0</v>
      </c>
      <c r="Q1231" s="12"/>
      <c r="S1231" s="11">
        <f t="shared" si="145"/>
        <v>3500</v>
      </c>
      <c r="T1231" s="13">
        <f t="shared" si="146"/>
        <v>0.5</v>
      </c>
    </row>
    <row r="1232" spans="1:20" ht="24.95" customHeight="1">
      <c r="A1232" s="10">
        <v>4</v>
      </c>
      <c r="B1232" s="66" t="s">
        <v>85</v>
      </c>
      <c r="C1232" s="67" t="s">
        <v>85</v>
      </c>
      <c r="D1232" s="68" t="s">
        <v>85</v>
      </c>
      <c r="E1232" s="4" t="s">
        <v>34</v>
      </c>
      <c r="F1232" s="69">
        <v>1</v>
      </c>
      <c r="G1232" s="70"/>
      <c r="H1232" s="69"/>
      <c r="I1232" s="70"/>
      <c r="J1232" s="71">
        <f t="shared" si="143"/>
        <v>1</v>
      </c>
      <c r="K1232" s="71"/>
      <c r="L1232" s="72"/>
      <c r="M1232" s="72"/>
      <c r="O1232" s="11">
        <v>74000</v>
      </c>
      <c r="P1232" s="11">
        <f t="shared" si="144"/>
        <v>0</v>
      </c>
      <c r="Q1232" s="12"/>
      <c r="S1232" s="11">
        <f t="shared" si="145"/>
        <v>74000</v>
      </c>
      <c r="T1232" s="13">
        <f t="shared" si="146"/>
        <v>0</v>
      </c>
    </row>
    <row r="1233" spans="1:20" ht="24.95" customHeight="1">
      <c r="A1233" s="10">
        <v>5</v>
      </c>
      <c r="B1233" s="66" t="s">
        <v>86</v>
      </c>
      <c r="C1233" s="67" t="s">
        <v>86</v>
      </c>
      <c r="D1233" s="68" t="s">
        <v>86</v>
      </c>
      <c r="E1233" s="4" t="s">
        <v>93</v>
      </c>
      <c r="F1233" s="69">
        <v>396</v>
      </c>
      <c r="G1233" s="70"/>
      <c r="H1233" s="69"/>
      <c r="I1233" s="70"/>
      <c r="J1233" s="71">
        <f t="shared" si="143"/>
        <v>350</v>
      </c>
      <c r="K1233" s="71"/>
      <c r="L1233" s="72"/>
      <c r="M1233" s="72"/>
      <c r="O1233" s="11">
        <v>200</v>
      </c>
      <c r="P1233" s="11">
        <f t="shared" si="144"/>
        <v>0</v>
      </c>
      <c r="Q1233" s="12"/>
      <c r="S1233" s="11">
        <f t="shared" si="145"/>
        <v>70000</v>
      </c>
      <c r="T1233" s="13">
        <f t="shared" si="146"/>
        <v>46</v>
      </c>
    </row>
    <row r="1234" spans="1:20" ht="24.95" customHeight="1">
      <c r="A1234" s="10">
        <v>6</v>
      </c>
      <c r="B1234" s="66" t="s">
        <v>97</v>
      </c>
      <c r="C1234" s="67" t="s">
        <v>87</v>
      </c>
      <c r="D1234" s="68" t="s">
        <v>87</v>
      </c>
      <c r="E1234" s="4" t="s">
        <v>35</v>
      </c>
      <c r="F1234" s="69">
        <v>80</v>
      </c>
      <c r="G1234" s="70">
        <v>183.6</v>
      </c>
      <c r="H1234" s="69"/>
      <c r="I1234" s="70"/>
      <c r="J1234" s="71">
        <f t="shared" si="143"/>
        <v>78</v>
      </c>
      <c r="K1234" s="71"/>
      <c r="L1234" s="54"/>
      <c r="M1234" s="59"/>
      <c r="O1234" s="11">
        <v>1463</v>
      </c>
      <c r="P1234" s="11">
        <f t="shared" si="144"/>
        <v>0</v>
      </c>
      <c r="S1234" s="11">
        <f t="shared" si="145"/>
        <v>114114</v>
      </c>
      <c r="T1234" s="13">
        <f t="shared" si="146"/>
        <v>2</v>
      </c>
    </row>
    <row r="1235" spans="1:20" ht="24.95" customHeight="1">
      <c r="A1235" s="10">
        <v>7</v>
      </c>
      <c r="B1235" s="66" t="s">
        <v>88</v>
      </c>
      <c r="C1235" s="67" t="s">
        <v>88</v>
      </c>
      <c r="D1235" s="68" t="s">
        <v>88</v>
      </c>
      <c r="E1235" s="4" t="s">
        <v>94</v>
      </c>
      <c r="F1235" s="69">
        <v>126</v>
      </c>
      <c r="G1235" s="70">
        <v>19</v>
      </c>
      <c r="H1235" s="69"/>
      <c r="I1235" s="70"/>
      <c r="J1235" s="71">
        <f t="shared" si="143"/>
        <v>0</v>
      </c>
      <c r="K1235" s="71"/>
      <c r="L1235" s="54"/>
      <c r="M1235" s="59"/>
      <c r="O1235" s="11">
        <v>6350</v>
      </c>
      <c r="P1235" s="11">
        <f t="shared" si="144"/>
        <v>0</v>
      </c>
      <c r="S1235" s="11">
        <f t="shared" si="145"/>
        <v>0</v>
      </c>
      <c r="T1235" s="13">
        <f t="shared" si="146"/>
        <v>126</v>
      </c>
    </row>
    <row r="1236" spans="1:20" ht="24.95" customHeight="1">
      <c r="A1236" s="10">
        <v>8</v>
      </c>
      <c r="B1236" s="66" t="s">
        <v>89</v>
      </c>
      <c r="C1236" s="67" t="s">
        <v>89</v>
      </c>
      <c r="D1236" s="68" t="s">
        <v>89</v>
      </c>
      <c r="E1236" s="4" t="s">
        <v>95</v>
      </c>
      <c r="F1236" s="69">
        <v>1</v>
      </c>
      <c r="G1236" s="70">
        <v>1192</v>
      </c>
      <c r="H1236" s="69"/>
      <c r="I1236" s="70"/>
      <c r="J1236" s="71">
        <f t="shared" si="143"/>
        <v>0.3</v>
      </c>
      <c r="K1236" s="71"/>
      <c r="L1236" s="54"/>
      <c r="M1236" s="59"/>
      <c r="O1236" s="11">
        <v>47600</v>
      </c>
      <c r="P1236" s="11">
        <f t="shared" si="144"/>
        <v>0</v>
      </c>
      <c r="S1236" s="11">
        <f t="shared" si="145"/>
        <v>14280</v>
      </c>
      <c r="T1236" s="13">
        <f t="shared" si="146"/>
        <v>0.7</v>
      </c>
    </row>
    <row r="1237" spans="1:20" ht="24.95" customHeight="1">
      <c r="A1237" s="10">
        <v>9</v>
      </c>
      <c r="B1237" s="66" t="s">
        <v>90</v>
      </c>
      <c r="C1237" s="67" t="s">
        <v>90</v>
      </c>
      <c r="D1237" s="68" t="s">
        <v>90</v>
      </c>
      <c r="E1237" s="4" t="s">
        <v>96</v>
      </c>
      <c r="F1237" s="69">
        <v>1</v>
      </c>
      <c r="G1237" s="70">
        <v>1261</v>
      </c>
      <c r="H1237" s="69"/>
      <c r="I1237" s="70"/>
      <c r="J1237" s="71">
        <f t="shared" si="143"/>
        <v>0</v>
      </c>
      <c r="K1237" s="71"/>
      <c r="L1237" s="54"/>
      <c r="M1237" s="59"/>
      <c r="O1237" s="11">
        <v>10000</v>
      </c>
      <c r="P1237" s="11">
        <f t="shared" si="144"/>
        <v>0</v>
      </c>
      <c r="S1237" s="11">
        <f t="shared" si="145"/>
        <v>0</v>
      </c>
      <c r="T1237" s="13">
        <f t="shared" si="146"/>
        <v>1</v>
      </c>
    </row>
    <row r="1238" spans="1:20" ht="24.95" customHeight="1">
      <c r="A1238" s="14"/>
      <c r="B1238" s="15"/>
      <c r="C1238" s="16"/>
      <c r="D1238" s="17"/>
      <c r="E1238" s="4"/>
      <c r="F1238" s="18"/>
      <c r="G1238" s="19"/>
      <c r="H1238" s="105"/>
      <c r="I1238" s="106"/>
      <c r="J1238" s="105"/>
      <c r="K1238" s="106"/>
      <c r="L1238" s="54"/>
      <c r="M1238" s="59"/>
      <c r="N1238" s="20"/>
      <c r="P1238" s="21" t="s">
        <v>37</v>
      </c>
      <c r="Q1238" s="22">
        <f>SUM(P1229:P1237)</f>
        <v>0</v>
      </c>
      <c r="R1238" s="23"/>
      <c r="S1238" s="24">
        <f>SUM(S1229:S1237)</f>
        <v>294228</v>
      </c>
      <c r="T1238" s="13"/>
    </row>
    <row r="1239" spans="1:20" ht="24.95" customHeight="1">
      <c r="A1239" s="107"/>
      <c r="B1239" s="108"/>
      <c r="C1239" s="108"/>
      <c r="D1239" s="109"/>
      <c r="E1239" s="4"/>
      <c r="F1239" s="54"/>
      <c r="G1239" s="59"/>
      <c r="H1239" s="72"/>
      <c r="I1239" s="72"/>
      <c r="J1239" s="72"/>
      <c r="K1239" s="72"/>
      <c r="L1239" s="72"/>
      <c r="M1239" s="72"/>
      <c r="O1239" t="s">
        <v>38</v>
      </c>
      <c r="P1239" s="24">
        <f>Q1238</f>
        <v>0</v>
      </c>
      <c r="T1239" s="13"/>
    </row>
    <row r="1240" spans="1:20" ht="24.95" customHeight="1">
      <c r="A1240" s="97"/>
      <c r="B1240" s="98"/>
      <c r="C1240" s="98"/>
      <c r="D1240" s="99"/>
      <c r="E1240" s="4"/>
      <c r="F1240" s="54"/>
      <c r="G1240" s="59"/>
      <c r="H1240" s="72"/>
      <c r="I1240" s="72"/>
      <c r="J1240" s="72"/>
      <c r="K1240" s="72"/>
      <c r="L1240" s="72"/>
      <c r="M1240" s="72"/>
      <c r="O1240" t="s">
        <v>39</v>
      </c>
      <c r="P1240" s="23">
        <f>ROUND(P1239/1153274,4)*100</f>
        <v>0</v>
      </c>
      <c r="T1240" s="13"/>
    </row>
    <row r="1241" spans="1:20" ht="24.95" customHeight="1">
      <c r="A1241" s="25"/>
      <c r="B1241" s="63" t="s">
        <v>40</v>
      </c>
      <c r="C1241" s="63"/>
      <c r="D1241" s="59"/>
      <c r="E1241" s="26"/>
      <c r="F1241" s="100"/>
      <c r="G1241" s="101"/>
      <c r="H1241" s="100"/>
      <c r="I1241" s="101"/>
      <c r="J1241" s="102"/>
      <c r="K1241" s="102"/>
      <c r="L1241" s="103">
        <f>P1239</f>
        <v>0</v>
      </c>
      <c r="M1241" s="104"/>
      <c r="T1241" s="13"/>
    </row>
    <row r="1242" spans="1:20" ht="24.95" customHeight="1" thickBot="1">
      <c r="A1242" s="27"/>
      <c r="B1242" s="85" t="s">
        <v>41</v>
      </c>
      <c r="C1242" s="85"/>
      <c r="D1242" s="86"/>
      <c r="E1242" s="28"/>
      <c r="F1242" s="87"/>
      <c r="G1242" s="88"/>
      <c r="H1242" s="87"/>
      <c r="I1242" s="88"/>
      <c r="J1242" s="87"/>
      <c r="K1242" s="88"/>
      <c r="L1242" s="89">
        <f>L1241+L1184</f>
        <v>294228</v>
      </c>
      <c r="M1242" s="90"/>
      <c r="T1242" s="13"/>
    </row>
    <row r="1243" spans="1:20" ht="24.95" customHeight="1">
      <c r="A1243" s="29"/>
      <c r="B1243" s="91" t="s">
        <v>42</v>
      </c>
      <c r="C1243" s="91"/>
      <c r="D1243" s="92"/>
      <c r="E1243" s="30"/>
      <c r="F1243" s="93"/>
      <c r="G1243" s="94"/>
      <c r="H1243" s="95"/>
      <c r="I1243" s="95"/>
      <c r="J1243" s="95"/>
      <c r="K1243" s="95"/>
      <c r="L1243" s="95"/>
      <c r="M1243" s="96"/>
      <c r="T1243" s="13"/>
    </row>
    <row r="1244" spans="1:20" ht="24.95" customHeight="1">
      <c r="A1244" s="31"/>
      <c r="B1244" s="76" t="s">
        <v>43</v>
      </c>
      <c r="C1244" s="76"/>
      <c r="D1244" s="77"/>
      <c r="E1244" s="4"/>
      <c r="F1244" s="54"/>
      <c r="G1244" s="59"/>
      <c r="H1244" s="72"/>
      <c r="I1244" s="72"/>
      <c r="J1244" s="72"/>
      <c r="K1244" s="72"/>
      <c r="L1244" s="72"/>
      <c r="M1244" s="78"/>
      <c r="T1244" s="13"/>
    </row>
    <row r="1245" spans="1:20" ht="24.95" customHeight="1" thickBot="1">
      <c r="A1245" s="32"/>
      <c r="B1245" s="79" t="s">
        <v>44</v>
      </c>
      <c r="C1245" s="79"/>
      <c r="D1245" s="80"/>
      <c r="E1245" s="33"/>
      <c r="F1245" s="81"/>
      <c r="G1245" s="82"/>
      <c r="H1245" s="83"/>
      <c r="I1245" s="83"/>
      <c r="J1245" s="83"/>
      <c r="K1245" s="83"/>
      <c r="L1245" s="83"/>
      <c r="M1245" s="84"/>
      <c r="T1245" s="13"/>
    </row>
    <row r="1246" spans="1:20" ht="24.95" customHeight="1">
      <c r="A1246" s="73" t="s">
        <v>45</v>
      </c>
      <c r="B1246" s="74"/>
      <c r="C1246" s="74"/>
      <c r="D1246" s="74"/>
      <c r="E1246" s="74"/>
      <c r="F1246" s="74"/>
      <c r="G1246" s="74"/>
      <c r="H1246" s="74"/>
      <c r="I1246" s="74"/>
      <c r="J1246" s="74"/>
      <c r="K1246" s="74"/>
      <c r="L1246" s="74"/>
      <c r="M1246" s="74"/>
      <c r="T1246" s="13"/>
    </row>
    <row r="1247" spans="1:20" ht="24.95" customHeight="1">
      <c r="A1247" s="72" t="s">
        <v>46</v>
      </c>
      <c r="B1247" s="75"/>
      <c r="C1247" s="75"/>
      <c r="D1247" s="75"/>
      <c r="E1247" s="4" t="s">
        <v>22</v>
      </c>
      <c r="F1247" s="72" t="s">
        <v>47</v>
      </c>
      <c r="G1247" s="72"/>
      <c r="H1247" s="72" t="s">
        <v>48</v>
      </c>
      <c r="I1247" s="72"/>
      <c r="J1247" s="72" t="s">
        <v>49</v>
      </c>
      <c r="K1247" s="72"/>
      <c r="L1247" s="72" t="s">
        <v>50</v>
      </c>
      <c r="M1247" s="72"/>
      <c r="T1247" s="13"/>
    </row>
    <row r="1248" spans="1:20" ht="24.95" customHeight="1">
      <c r="A1248" s="10">
        <v>6</v>
      </c>
      <c r="B1248" s="66" t="s">
        <v>97</v>
      </c>
      <c r="C1248" s="67" t="s">
        <v>51</v>
      </c>
      <c r="D1248" s="68" t="s">
        <v>51</v>
      </c>
      <c r="E1248" s="4" t="s">
        <v>35</v>
      </c>
      <c r="F1248" s="69">
        <v>80</v>
      </c>
      <c r="G1248" s="70">
        <v>1261</v>
      </c>
      <c r="H1248" s="71">
        <f>H1234</f>
        <v>0</v>
      </c>
      <c r="I1248" s="71"/>
      <c r="J1248" s="71">
        <f>H1248+J1190</f>
        <v>78</v>
      </c>
      <c r="K1248" s="71"/>
      <c r="L1248" s="72"/>
      <c r="M1248" s="72"/>
      <c r="T1248" s="13"/>
    </row>
    <row r="1249" spans="1:20" ht="24.95" customHeight="1">
      <c r="A1249" s="10">
        <v>7</v>
      </c>
      <c r="B1249" s="66" t="s">
        <v>88</v>
      </c>
      <c r="C1249" s="67" t="s">
        <v>88</v>
      </c>
      <c r="D1249" s="68" t="s">
        <v>88</v>
      </c>
      <c r="E1249" s="4" t="s">
        <v>98</v>
      </c>
      <c r="F1249" s="69">
        <v>126</v>
      </c>
      <c r="G1249" s="70"/>
      <c r="H1249" s="71">
        <f>H1235</f>
        <v>0</v>
      </c>
      <c r="I1249" s="71"/>
      <c r="J1249" s="71">
        <f t="shared" ref="J1249:J1250" si="147">H1249+J1191</f>
        <v>0</v>
      </c>
      <c r="K1249" s="71"/>
      <c r="L1249" s="72"/>
      <c r="M1249" s="72"/>
      <c r="T1249" s="13"/>
    </row>
    <row r="1250" spans="1:20" ht="24.95" customHeight="1">
      <c r="A1250" s="10">
        <v>8</v>
      </c>
      <c r="B1250" s="66" t="s">
        <v>89</v>
      </c>
      <c r="C1250" s="67" t="s">
        <v>89</v>
      </c>
      <c r="D1250" s="68" t="s">
        <v>89</v>
      </c>
      <c r="E1250" s="4" t="s">
        <v>36</v>
      </c>
      <c r="F1250" s="69">
        <v>1</v>
      </c>
      <c r="G1250" s="70"/>
      <c r="H1250" s="71">
        <f>H1236</f>
        <v>0</v>
      </c>
      <c r="I1250" s="71"/>
      <c r="J1250" s="71">
        <f t="shared" si="147"/>
        <v>0.3</v>
      </c>
      <c r="K1250" s="71"/>
      <c r="L1250" s="72"/>
      <c r="M1250" s="72"/>
      <c r="T1250" s="13"/>
    </row>
    <row r="1251" spans="1:20" ht="24.95" customHeight="1">
      <c r="A1251" s="51" t="s">
        <v>52</v>
      </c>
      <c r="B1251" s="52"/>
      <c r="C1251" s="52"/>
      <c r="D1251" s="52"/>
      <c r="E1251" s="52"/>
      <c r="F1251" s="52"/>
      <c r="G1251" s="52"/>
      <c r="H1251" s="52"/>
      <c r="I1251" s="52"/>
      <c r="J1251" s="52"/>
      <c r="K1251" s="52"/>
      <c r="L1251" s="52"/>
      <c r="M1251" s="53"/>
      <c r="T1251" s="13"/>
    </row>
    <row r="1252" spans="1:20" ht="24.95" customHeight="1">
      <c r="A1252" s="54" t="s">
        <v>53</v>
      </c>
      <c r="B1252" s="63"/>
      <c r="C1252" s="63"/>
      <c r="D1252" s="59"/>
      <c r="E1252" s="4" t="s">
        <v>54</v>
      </c>
      <c r="F1252" s="54" t="s">
        <v>55</v>
      </c>
      <c r="G1252" s="59"/>
      <c r="H1252" s="54" t="s">
        <v>56</v>
      </c>
      <c r="I1252" s="59"/>
      <c r="J1252" s="54" t="s">
        <v>48</v>
      </c>
      <c r="K1252" s="59"/>
      <c r="L1252" s="64" t="s">
        <v>49</v>
      </c>
      <c r="M1252" s="65"/>
      <c r="T1252" s="13"/>
    </row>
    <row r="1253" spans="1:20" ht="24.95" customHeight="1">
      <c r="A1253" s="54" t="s">
        <v>57</v>
      </c>
      <c r="B1253" s="55"/>
      <c r="C1253" s="55"/>
      <c r="D1253" s="56"/>
      <c r="E1253" s="4"/>
      <c r="F1253" s="57">
        <f>E1253+F1195</f>
        <v>28</v>
      </c>
      <c r="G1253" s="58"/>
      <c r="H1253" s="54" t="s">
        <v>58</v>
      </c>
      <c r="I1253" s="59"/>
      <c r="J1253" s="54"/>
      <c r="K1253" s="59"/>
      <c r="L1253" s="57">
        <f>J1253+L1195</f>
        <v>15</v>
      </c>
      <c r="M1253" s="58"/>
      <c r="T1253" s="13"/>
    </row>
    <row r="1254" spans="1:20" ht="24.95" customHeight="1">
      <c r="A1254" s="54" t="s">
        <v>59</v>
      </c>
      <c r="B1254" s="55"/>
      <c r="C1254" s="55"/>
      <c r="D1254" s="56"/>
      <c r="E1254" s="4"/>
      <c r="F1254" s="57">
        <f t="shared" ref="F1254:F1256" si="148">E1254+F1196</f>
        <v>0</v>
      </c>
      <c r="G1254" s="58"/>
      <c r="H1254" s="54" t="s">
        <v>60</v>
      </c>
      <c r="I1254" s="59"/>
      <c r="J1254" s="54"/>
      <c r="K1254" s="59"/>
      <c r="L1254" s="57">
        <f t="shared" ref="L1254:L1256" si="149">J1254+L1196</f>
        <v>0</v>
      </c>
      <c r="M1254" s="58"/>
      <c r="T1254" s="13"/>
    </row>
    <row r="1255" spans="1:20" ht="24.95" customHeight="1">
      <c r="A1255" s="54" t="s">
        <v>61</v>
      </c>
      <c r="B1255" s="55"/>
      <c r="C1255" s="55"/>
      <c r="D1255" s="56"/>
      <c r="E1255" s="4"/>
      <c r="F1255" s="57">
        <f t="shared" si="148"/>
        <v>2</v>
      </c>
      <c r="G1255" s="58"/>
      <c r="H1255" s="54" t="s">
        <v>62</v>
      </c>
      <c r="I1255" s="59"/>
      <c r="J1255" s="54"/>
      <c r="K1255" s="59"/>
      <c r="L1255" s="57">
        <f t="shared" si="149"/>
        <v>5</v>
      </c>
      <c r="M1255" s="58"/>
      <c r="T1255" s="13"/>
    </row>
    <row r="1256" spans="1:20" ht="24.95" customHeight="1">
      <c r="A1256" s="54" t="s">
        <v>63</v>
      </c>
      <c r="B1256" s="55"/>
      <c r="C1256" s="55"/>
      <c r="D1256" s="56"/>
      <c r="E1256" s="4"/>
      <c r="F1256" s="57">
        <f t="shared" si="148"/>
        <v>4</v>
      </c>
      <c r="G1256" s="58"/>
      <c r="H1256" s="54" t="s">
        <v>64</v>
      </c>
      <c r="I1256" s="59"/>
      <c r="J1256" s="54"/>
      <c r="K1256" s="59"/>
      <c r="L1256" s="57">
        <f t="shared" si="149"/>
        <v>1</v>
      </c>
      <c r="M1256" s="58"/>
      <c r="T1256" s="13"/>
    </row>
    <row r="1257" spans="1:20" ht="64.5" customHeight="1">
      <c r="A1257" s="60" t="s">
        <v>65</v>
      </c>
      <c r="B1257" s="61"/>
      <c r="C1257" s="61"/>
      <c r="D1257" s="61"/>
      <c r="E1257" s="61"/>
      <c r="F1257" s="61"/>
      <c r="G1257" s="61"/>
      <c r="H1257" s="61"/>
      <c r="I1257" s="61"/>
      <c r="J1257" s="61"/>
      <c r="K1257" s="61"/>
      <c r="L1257" s="61"/>
      <c r="M1257" s="62"/>
      <c r="T1257" s="13"/>
    </row>
    <row r="1258" spans="1:20" ht="24.95" customHeight="1">
      <c r="A1258" s="46" t="s">
        <v>66</v>
      </c>
      <c r="B1258" s="47"/>
      <c r="C1258" s="47"/>
      <c r="D1258" s="47"/>
      <c r="E1258" s="47"/>
      <c r="F1258" s="47"/>
      <c r="G1258" s="47"/>
      <c r="H1258" s="47"/>
      <c r="I1258" s="47"/>
      <c r="J1258" s="47"/>
      <c r="K1258" s="47"/>
      <c r="L1258" s="47"/>
      <c r="M1258" s="48"/>
      <c r="T1258" s="13"/>
    </row>
    <row r="1259" spans="1:20" ht="24.95" customHeight="1">
      <c r="A1259" s="27"/>
      <c r="B1259" s="34" t="s">
        <v>67</v>
      </c>
      <c r="C1259" s="34"/>
      <c r="D1259" s="34"/>
      <c r="E1259" s="34"/>
      <c r="F1259" s="34"/>
      <c r="G1259" s="35"/>
      <c r="H1259" s="34"/>
      <c r="I1259" s="34"/>
      <c r="J1259" s="34"/>
      <c r="K1259" s="34"/>
      <c r="L1259" s="34"/>
      <c r="M1259" s="36"/>
      <c r="T1259" s="13"/>
    </row>
    <row r="1260" spans="1:20" ht="24.95" customHeight="1">
      <c r="A1260" s="27"/>
      <c r="B1260" s="34" t="s">
        <v>81</v>
      </c>
      <c r="C1260" s="34"/>
      <c r="D1260" s="34"/>
      <c r="E1260" s="34"/>
      <c r="F1260" s="34"/>
      <c r="G1260" s="35"/>
      <c r="H1260" s="34"/>
      <c r="I1260" s="34"/>
      <c r="J1260" s="34"/>
      <c r="K1260" s="34"/>
      <c r="L1260" s="34"/>
      <c r="M1260" s="36"/>
      <c r="T1260" s="13"/>
    </row>
    <row r="1261" spans="1:20" ht="24.95" customHeight="1">
      <c r="A1261" s="27"/>
      <c r="B1261" s="34" t="s">
        <v>68</v>
      </c>
      <c r="C1261" s="34"/>
      <c r="D1261" s="34"/>
      <c r="E1261" s="34"/>
      <c r="F1261" s="34"/>
      <c r="G1261" s="35"/>
      <c r="H1261" s="34"/>
      <c r="I1261" s="34"/>
      <c r="J1261" s="34"/>
      <c r="K1261" s="34"/>
      <c r="L1261" s="34"/>
      <c r="M1261" s="36"/>
      <c r="T1261" s="13"/>
    </row>
    <row r="1262" spans="1:20" ht="24.95" customHeight="1">
      <c r="A1262" s="27"/>
      <c r="B1262" s="34" t="s">
        <v>82</v>
      </c>
      <c r="C1262" s="34"/>
      <c r="D1262" s="34"/>
      <c r="E1262" s="34"/>
      <c r="F1262" s="34"/>
      <c r="G1262" s="35"/>
      <c r="H1262" s="34"/>
      <c r="I1262" s="34"/>
      <c r="J1262" s="34"/>
      <c r="K1262" s="34"/>
      <c r="L1262" s="34"/>
      <c r="M1262" s="36"/>
      <c r="T1262" s="13"/>
    </row>
    <row r="1263" spans="1:20" ht="24.95" customHeight="1">
      <c r="A1263" s="27"/>
      <c r="B1263" s="34" t="s">
        <v>99</v>
      </c>
      <c r="C1263" s="34"/>
      <c r="D1263" s="34"/>
      <c r="E1263" s="34"/>
      <c r="F1263" s="34"/>
      <c r="G1263" s="35"/>
      <c r="H1263" s="34"/>
      <c r="I1263" s="34"/>
      <c r="J1263" s="34"/>
      <c r="K1263" s="34"/>
      <c r="L1263" s="34"/>
      <c r="M1263" s="36"/>
      <c r="T1263" s="13"/>
    </row>
    <row r="1264" spans="1:20" ht="24.95" customHeight="1">
      <c r="A1264" s="37"/>
      <c r="B1264" s="49" t="s">
        <v>69</v>
      </c>
      <c r="C1264" s="49"/>
      <c r="D1264" s="49"/>
      <c r="E1264" s="49"/>
      <c r="F1264" s="49"/>
      <c r="G1264" s="49"/>
      <c r="H1264" s="49"/>
      <c r="I1264" s="49"/>
      <c r="J1264" s="49"/>
      <c r="K1264" s="49"/>
      <c r="L1264" s="49"/>
      <c r="M1264" s="50"/>
      <c r="T1264" s="13"/>
    </row>
    <row r="1265" spans="1:20" ht="44.25" customHeight="1">
      <c r="A1265" s="51" t="s">
        <v>70</v>
      </c>
      <c r="B1265" s="52"/>
      <c r="C1265" s="52"/>
      <c r="D1265" s="52"/>
      <c r="E1265" s="52"/>
      <c r="F1265" s="52"/>
      <c r="G1265" s="52"/>
      <c r="H1265" s="52"/>
      <c r="I1265" s="52"/>
      <c r="J1265" s="52"/>
      <c r="K1265" s="52"/>
      <c r="L1265" s="52"/>
      <c r="M1265" s="53"/>
      <c r="T1265" s="13"/>
    </row>
    <row r="1266" spans="1:20" ht="48" customHeight="1">
      <c r="A1266" s="51" t="s">
        <v>71</v>
      </c>
      <c r="B1266" s="52"/>
      <c r="C1266" s="52"/>
      <c r="D1266" s="52"/>
      <c r="E1266" s="52"/>
      <c r="F1266" s="52"/>
      <c r="G1266" s="52"/>
      <c r="H1266" s="52"/>
      <c r="I1266" s="52"/>
      <c r="J1266" s="52"/>
      <c r="K1266" s="52"/>
      <c r="L1266" s="52"/>
      <c r="M1266" s="53"/>
      <c r="T1266" s="13"/>
    </row>
    <row r="1267" spans="1:20" ht="81" customHeight="1">
      <c r="A1267" s="51" t="s">
        <v>80</v>
      </c>
      <c r="B1267" s="52"/>
      <c r="C1267" s="52"/>
      <c r="D1267" s="52"/>
      <c r="E1267" s="52"/>
      <c r="F1267" s="52"/>
      <c r="G1267" s="52"/>
      <c r="H1267" s="52"/>
      <c r="I1267" s="52"/>
      <c r="J1267" s="52"/>
      <c r="K1267" s="52"/>
      <c r="L1267" s="52"/>
      <c r="M1267" s="53"/>
      <c r="T1267" s="13"/>
    </row>
    <row r="1268" spans="1:20" ht="100.5" customHeight="1">
      <c r="A1268" s="51" t="s">
        <v>72</v>
      </c>
      <c r="B1268" s="52"/>
      <c r="C1268" s="52"/>
      <c r="D1268" s="52"/>
      <c r="E1268" s="52"/>
      <c r="F1268" s="52"/>
      <c r="G1268" s="52"/>
      <c r="H1268" s="52"/>
      <c r="I1268" s="52"/>
      <c r="J1268" s="52"/>
      <c r="K1268" s="52"/>
      <c r="L1268" s="52"/>
      <c r="M1268" s="53"/>
      <c r="T1268" s="13"/>
    </row>
    <row r="1269" spans="1:20" ht="12" customHeight="1">
      <c r="A1269" s="41" t="s">
        <v>73</v>
      </c>
      <c r="B1269" s="41"/>
      <c r="C1269" s="42"/>
      <c r="D1269" s="42"/>
      <c r="E1269" s="42"/>
      <c r="F1269" s="42"/>
      <c r="G1269" s="42"/>
      <c r="H1269" s="42"/>
      <c r="I1269" s="42"/>
      <c r="J1269" s="42"/>
      <c r="K1269" s="42"/>
      <c r="L1269" s="42"/>
      <c r="M1269" s="38"/>
      <c r="T1269" s="13"/>
    </row>
    <row r="1270" spans="1:20" ht="12" customHeight="1">
      <c r="A1270" s="43" t="s">
        <v>74</v>
      </c>
      <c r="B1270" s="43"/>
      <c r="C1270" s="40"/>
      <c r="D1270" s="40"/>
      <c r="E1270" s="40"/>
      <c r="F1270" s="40"/>
      <c r="G1270" s="40"/>
      <c r="H1270" s="40"/>
      <c r="I1270" s="40"/>
      <c r="J1270" s="40"/>
      <c r="K1270" s="40"/>
      <c r="L1270" s="38"/>
      <c r="M1270" s="38"/>
      <c r="T1270" s="13"/>
    </row>
    <row r="1271" spans="1:20" ht="12" customHeight="1">
      <c r="A1271" s="44" t="s">
        <v>75</v>
      </c>
      <c r="B1271" s="44"/>
      <c r="C1271" s="44"/>
      <c r="D1271" s="44"/>
      <c r="E1271" s="44"/>
      <c r="F1271" s="44"/>
      <c r="G1271" s="44"/>
      <c r="H1271" s="44"/>
      <c r="I1271" s="44"/>
      <c r="J1271" s="44"/>
      <c r="K1271" s="44"/>
      <c r="L1271" s="44"/>
      <c r="M1271" s="44"/>
      <c r="T1271" s="13"/>
    </row>
    <row r="1272" spans="1:20" ht="12" customHeight="1">
      <c r="A1272" s="39" t="s">
        <v>76</v>
      </c>
      <c r="B1272" s="39"/>
      <c r="C1272" s="39"/>
      <c r="D1272" s="39"/>
      <c r="E1272" s="39"/>
      <c r="F1272" s="39"/>
      <c r="G1272" s="39"/>
      <c r="H1272" s="39"/>
      <c r="I1272" s="39"/>
      <c r="J1272" s="39"/>
      <c r="K1272" s="39"/>
      <c r="L1272" s="39"/>
      <c r="M1272" s="39"/>
      <c r="T1272" s="13"/>
    </row>
    <row r="1273" spans="1:20" ht="12" customHeight="1">
      <c r="A1273" s="39" t="s">
        <v>77</v>
      </c>
      <c r="B1273" s="40"/>
      <c r="C1273" s="40"/>
      <c r="D1273" s="40"/>
      <c r="E1273" s="40"/>
      <c r="F1273" s="40"/>
      <c r="G1273" s="40"/>
      <c r="H1273" s="40"/>
      <c r="I1273" s="40"/>
      <c r="J1273" s="40"/>
      <c r="K1273" s="40"/>
      <c r="L1273" s="40"/>
      <c r="M1273" s="40"/>
      <c r="T1273" s="13"/>
    </row>
    <row r="1274" spans="1:20" ht="12" customHeight="1">
      <c r="A1274" s="45" t="s">
        <v>78</v>
      </c>
      <c r="B1274" s="40"/>
      <c r="C1274" s="40"/>
      <c r="D1274" s="40"/>
      <c r="E1274" s="40"/>
      <c r="F1274" s="40"/>
      <c r="G1274" s="40"/>
      <c r="H1274" s="40"/>
      <c r="I1274" s="40"/>
      <c r="J1274" s="40"/>
      <c r="K1274" s="40"/>
      <c r="L1274" s="40"/>
      <c r="M1274" s="40"/>
      <c r="T1274" s="13"/>
    </row>
    <row r="1275" spans="1:20" ht="12" customHeight="1">
      <c r="A1275" s="39" t="s">
        <v>79</v>
      </c>
      <c r="B1275" s="40"/>
      <c r="C1275" s="40"/>
      <c r="D1275" s="40"/>
      <c r="E1275" s="40"/>
      <c r="F1275" s="40"/>
      <c r="G1275" s="40"/>
      <c r="H1275" s="40"/>
      <c r="I1275" s="40"/>
      <c r="J1275" s="40"/>
      <c r="K1275" s="40"/>
      <c r="L1275" s="40"/>
      <c r="M1275" s="40"/>
      <c r="T1275" s="13"/>
    </row>
    <row r="1276" spans="1:20" ht="409.5" customHeight="1"/>
    <row r="1277" spans="1:20" s="2" customFormat="1" ht="35.1" customHeight="1">
      <c r="A1277" s="126" t="s">
        <v>0</v>
      </c>
      <c r="B1277" s="126"/>
      <c r="C1277" s="1">
        <f>C1219+1</f>
        <v>58</v>
      </c>
      <c r="G1277" s="3"/>
    </row>
    <row r="1278" spans="1:20" s="2" customFormat="1" ht="35.1" customHeight="1">
      <c r="A1278" s="126" t="s">
        <v>1</v>
      </c>
      <c r="B1278" s="126"/>
      <c r="C1278" s="2" t="s">
        <v>2</v>
      </c>
      <c r="E1278" s="2" t="s">
        <v>3</v>
      </c>
      <c r="G1278" s="3"/>
      <c r="H1278" s="127" t="s">
        <v>4</v>
      </c>
      <c r="I1278" s="128"/>
      <c r="J1278" s="129">
        <f>J1220+1</f>
        <v>46045</v>
      </c>
      <c r="K1278" s="130"/>
      <c r="L1278" s="131">
        <f>J1278</f>
        <v>46045</v>
      </c>
      <c r="M1278" s="132"/>
    </row>
    <row r="1279" spans="1:20" s="2" customFormat="1" ht="30" customHeight="1">
      <c r="A1279" s="72" t="s">
        <v>5</v>
      </c>
      <c r="B1279" s="114"/>
      <c r="C1279" s="119" t="s">
        <v>83</v>
      </c>
      <c r="D1279" s="119"/>
      <c r="E1279" s="119"/>
      <c r="F1279" s="119"/>
      <c r="G1279" s="119"/>
      <c r="H1279" s="54" t="s">
        <v>6</v>
      </c>
      <c r="I1279" s="59"/>
      <c r="J1279" s="120"/>
      <c r="K1279" s="120"/>
      <c r="L1279" s="120"/>
      <c r="M1279" s="120"/>
    </row>
    <row r="1280" spans="1:20" s="1" customFormat="1" ht="30" customHeight="1">
      <c r="A1280" s="72" t="s">
        <v>7</v>
      </c>
      <c r="B1280" s="114"/>
      <c r="C1280" s="4">
        <v>50</v>
      </c>
      <c r="D1280" s="4" t="s">
        <v>8</v>
      </c>
      <c r="E1280" s="4" t="s">
        <v>9</v>
      </c>
      <c r="F1280" s="4">
        <f>F1222+1</f>
        <v>58</v>
      </c>
      <c r="G1280" s="5" t="s">
        <v>8</v>
      </c>
      <c r="H1280" s="4" t="s">
        <v>10</v>
      </c>
      <c r="I1280" s="4">
        <f>C1280-F1280+L1280</f>
        <v>-8</v>
      </c>
      <c r="J1280" s="4" t="s">
        <v>11</v>
      </c>
      <c r="K1280" s="6" t="s">
        <v>12</v>
      </c>
      <c r="L1280" s="7">
        <f>L1222</f>
        <v>0</v>
      </c>
      <c r="M1280" s="4" t="s">
        <v>8</v>
      </c>
    </row>
    <row r="1281" spans="1:20" s="2" customFormat="1" ht="30" customHeight="1">
      <c r="A1281" s="72" t="s">
        <v>13</v>
      </c>
      <c r="B1281" s="75"/>
      <c r="C1281" s="75"/>
      <c r="D1281" s="121">
        <f>D1223</f>
        <v>45988</v>
      </c>
      <c r="E1281" s="122"/>
      <c r="F1281" s="122"/>
      <c r="G1281" s="123"/>
      <c r="H1281" s="124" t="s">
        <v>14</v>
      </c>
      <c r="I1281" s="125"/>
      <c r="J1281" s="121">
        <f>J1223</f>
        <v>46037</v>
      </c>
      <c r="K1281" s="122"/>
      <c r="L1281" s="122"/>
      <c r="M1281" s="123"/>
    </row>
    <row r="1282" spans="1:20" s="2" customFormat="1" ht="30" customHeight="1">
      <c r="A1282" s="72" t="s">
        <v>15</v>
      </c>
      <c r="B1282" s="114"/>
      <c r="C1282" s="114"/>
      <c r="D1282" s="72"/>
      <c r="E1282" s="72"/>
      <c r="F1282" s="72"/>
      <c r="G1282" s="72"/>
      <c r="H1282" s="64" t="s">
        <v>16</v>
      </c>
      <c r="I1282" s="115"/>
      <c r="J1282" s="116">
        <f>P1298</f>
        <v>0</v>
      </c>
      <c r="K1282" s="117"/>
      <c r="L1282" s="117"/>
      <c r="M1282" s="118"/>
    </row>
    <row r="1283" spans="1:20" s="2" customFormat="1" ht="30" customHeight="1">
      <c r="A1283" s="72" t="s">
        <v>17</v>
      </c>
      <c r="B1283" s="114"/>
      <c r="C1283" s="114"/>
      <c r="D1283" s="72">
        <f>D1282+D1225</f>
        <v>100.00000000000004</v>
      </c>
      <c r="E1283" s="72"/>
      <c r="F1283" s="72"/>
      <c r="G1283" s="72"/>
      <c r="H1283" s="64" t="s">
        <v>18</v>
      </c>
      <c r="I1283" s="115"/>
      <c r="J1283" s="116">
        <f>J1282+J1225</f>
        <v>25.469999999999992</v>
      </c>
      <c r="K1283" s="117"/>
      <c r="L1283" s="117"/>
      <c r="M1283" s="118"/>
    </row>
    <row r="1284" spans="1:20" s="2" customFormat="1" ht="30" customHeight="1">
      <c r="A1284" s="111" t="s">
        <v>19</v>
      </c>
      <c r="B1284" s="112"/>
      <c r="C1284" s="112"/>
      <c r="D1284" s="112"/>
      <c r="E1284" s="112"/>
      <c r="F1284" s="112"/>
      <c r="G1284" s="112"/>
      <c r="H1284" s="112"/>
      <c r="I1284" s="112"/>
      <c r="J1284" s="112"/>
      <c r="K1284" s="112"/>
      <c r="L1284" s="112"/>
      <c r="M1284" s="113"/>
    </row>
    <row r="1285" spans="1:20" s="2" customFormat="1" ht="30" customHeight="1">
      <c r="A1285" s="8" t="s">
        <v>20</v>
      </c>
      <c r="B1285" s="72" t="s">
        <v>21</v>
      </c>
      <c r="C1285" s="72"/>
      <c r="D1285" s="72"/>
      <c r="E1285" s="4" t="s">
        <v>22</v>
      </c>
      <c r="F1285" s="54" t="s">
        <v>23</v>
      </c>
      <c r="G1285" s="59"/>
      <c r="H1285" s="72" t="s">
        <v>24</v>
      </c>
      <c r="I1285" s="72"/>
      <c r="J1285" s="72" t="s">
        <v>25</v>
      </c>
      <c r="K1285" s="72"/>
      <c r="L1285" s="72" t="s">
        <v>26</v>
      </c>
      <c r="M1285" s="72"/>
      <c r="O1285" s="1" t="s">
        <v>27</v>
      </c>
      <c r="P1285" s="1" t="s">
        <v>28</v>
      </c>
      <c r="T1285" s="2" t="s">
        <v>29</v>
      </c>
    </row>
    <row r="1286" spans="1:20" s="2" customFormat="1" ht="24.95" customHeight="1">
      <c r="A1286" s="9" t="s">
        <v>30</v>
      </c>
      <c r="B1286" s="110" t="s">
        <v>31</v>
      </c>
      <c r="C1286" s="110"/>
      <c r="D1286" s="110"/>
      <c r="E1286" s="4"/>
      <c r="F1286" s="54"/>
      <c r="G1286" s="59"/>
      <c r="H1286" s="72"/>
      <c r="I1286" s="72"/>
      <c r="J1286" s="72"/>
      <c r="K1286" s="72"/>
      <c r="L1286" s="72"/>
      <c r="M1286" s="72"/>
    </row>
    <row r="1287" spans="1:20" ht="24.95" customHeight="1">
      <c r="A1287" s="10">
        <v>1</v>
      </c>
      <c r="B1287" s="66" t="s">
        <v>91</v>
      </c>
      <c r="C1287" s="67" t="s">
        <v>91</v>
      </c>
      <c r="D1287" s="68" t="s">
        <v>91</v>
      </c>
      <c r="E1287" s="4" t="s">
        <v>32</v>
      </c>
      <c r="F1287" s="69">
        <v>1</v>
      </c>
      <c r="G1287" s="70"/>
      <c r="H1287" s="69"/>
      <c r="I1287" s="70"/>
      <c r="J1287" s="71">
        <f>H1287+J1229</f>
        <v>1</v>
      </c>
      <c r="K1287" s="71"/>
      <c r="L1287" s="72"/>
      <c r="M1287" s="72"/>
      <c r="O1287" s="11">
        <v>4000</v>
      </c>
      <c r="P1287" s="11">
        <f>ROUND(H1287*O1287,0)</f>
        <v>0</v>
      </c>
      <c r="Q1287" s="12"/>
      <c r="S1287" s="11">
        <f>ROUND(J1287*O1287,0)</f>
        <v>4000</v>
      </c>
      <c r="T1287" s="13">
        <f>F1287-J1287</f>
        <v>0</v>
      </c>
    </row>
    <row r="1288" spans="1:20" ht="24.95" customHeight="1">
      <c r="A1288" s="10">
        <v>2</v>
      </c>
      <c r="B1288" s="66" t="s">
        <v>92</v>
      </c>
      <c r="C1288" s="67" t="s">
        <v>92</v>
      </c>
      <c r="D1288" s="68" t="s">
        <v>92</v>
      </c>
      <c r="E1288" s="4" t="s">
        <v>32</v>
      </c>
      <c r="F1288" s="69">
        <v>1</v>
      </c>
      <c r="G1288" s="70"/>
      <c r="H1288" s="69"/>
      <c r="I1288" s="70"/>
      <c r="J1288" s="71">
        <f t="shared" ref="J1288:J1295" si="150">H1288+J1230</f>
        <v>1</v>
      </c>
      <c r="K1288" s="71"/>
      <c r="L1288" s="72"/>
      <c r="M1288" s="72"/>
      <c r="O1288" s="11">
        <v>14334</v>
      </c>
      <c r="P1288" s="11">
        <f t="shared" ref="P1288:P1295" si="151">ROUND(H1288*O1288,0)</f>
        <v>0</v>
      </c>
      <c r="Q1288" s="12"/>
      <c r="S1288" s="11">
        <f t="shared" ref="S1288:S1295" si="152">ROUND(J1288*O1288,0)</f>
        <v>14334</v>
      </c>
      <c r="T1288" s="13">
        <f t="shared" ref="T1288:T1295" si="153">F1288-J1288</f>
        <v>0</v>
      </c>
    </row>
    <row r="1289" spans="1:20" ht="24.95" customHeight="1">
      <c r="A1289" s="10">
        <v>3</v>
      </c>
      <c r="B1289" s="66" t="s">
        <v>84</v>
      </c>
      <c r="C1289" s="67" t="s">
        <v>84</v>
      </c>
      <c r="D1289" s="68" t="s">
        <v>84</v>
      </c>
      <c r="E1289" s="4" t="s">
        <v>33</v>
      </c>
      <c r="F1289" s="69">
        <v>1</v>
      </c>
      <c r="G1289" s="70"/>
      <c r="H1289" s="69"/>
      <c r="I1289" s="70"/>
      <c r="J1289" s="71">
        <f t="shared" si="150"/>
        <v>0.5</v>
      </c>
      <c r="K1289" s="71"/>
      <c r="L1289" s="72"/>
      <c r="M1289" s="72"/>
      <c r="O1289" s="11">
        <v>7000</v>
      </c>
      <c r="P1289" s="11">
        <f t="shared" si="151"/>
        <v>0</v>
      </c>
      <c r="Q1289" s="12"/>
      <c r="S1289" s="11">
        <f t="shared" si="152"/>
        <v>3500</v>
      </c>
      <c r="T1289" s="13">
        <f t="shared" si="153"/>
        <v>0.5</v>
      </c>
    </row>
    <row r="1290" spans="1:20" ht="24.95" customHeight="1">
      <c r="A1290" s="10">
        <v>4</v>
      </c>
      <c r="B1290" s="66" t="s">
        <v>85</v>
      </c>
      <c r="C1290" s="67" t="s">
        <v>85</v>
      </c>
      <c r="D1290" s="68" t="s">
        <v>85</v>
      </c>
      <c r="E1290" s="4" t="s">
        <v>34</v>
      </c>
      <c r="F1290" s="69">
        <v>1</v>
      </c>
      <c r="G1290" s="70"/>
      <c r="H1290" s="69"/>
      <c r="I1290" s="70"/>
      <c r="J1290" s="71">
        <f t="shared" si="150"/>
        <v>1</v>
      </c>
      <c r="K1290" s="71"/>
      <c r="L1290" s="72"/>
      <c r="M1290" s="72"/>
      <c r="O1290" s="11">
        <v>74000</v>
      </c>
      <c r="P1290" s="11">
        <f t="shared" si="151"/>
        <v>0</v>
      </c>
      <c r="Q1290" s="12"/>
      <c r="S1290" s="11">
        <f t="shared" si="152"/>
        <v>74000</v>
      </c>
      <c r="T1290" s="13">
        <f t="shared" si="153"/>
        <v>0</v>
      </c>
    </row>
    <row r="1291" spans="1:20" ht="24.95" customHeight="1">
      <c r="A1291" s="10">
        <v>5</v>
      </c>
      <c r="B1291" s="66" t="s">
        <v>86</v>
      </c>
      <c r="C1291" s="67" t="s">
        <v>86</v>
      </c>
      <c r="D1291" s="68" t="s">
        <v>86</v>
      </c>
      <c r="E1291" s="4" t="s">
        <v>93</v>
      </c>
      <c r="F1291" s="69">
        <v>396</v>
      </c>
      <c r="G1291" s="70"/>
      <c r="H1291" s="69"/>
      <c r="I1291" s="70"/>
      <c r="J1291" s="71">
        <f t="shared" si="150"/>
        <v>350</v>
      </c>
      <c r="K1291" s="71"/>
      <c r="L1291" s="72"/>
      <c r="M1291" s="72"/>
      <c r="O1291" s="11">
        <v>200</v>
      </c>
      <c r="P1291" s="11">
        <f t="shared" si="151"/>
        <v>0</v>
      </c>
      <c r="Q1291" s="12"/>
      <c r="S1291" s="11">
        <f t="shared" si="152"/>
        <v>70000</v>
      </c>
      <c r="T1291" s="13">
        <f t="shared" si="153"/>
        <v>46</v>
      </c>
    </row>
    <row r="1292" spans="1:20" ht="24.95" customHeight="1">
      <c r="A1292" s="10">
        <v>6</v>
      </c>
      <c r="B1292" s="66" t="s">
        <v>97</v>
      </c>
      <c r="C1292" s="67" t="s">
        <v>87</v>
      </c>
      <c r="D1292" s="68" t="s">
        <v>87</v>
      </c>
      <c r="E1292" s="4" t="s">
        <v>35</v>
      </c>
      <c r="F1292" s="69">
        <v>80</v>
      </c>
      <c r="G1292" s="70">
        <v>183.6</v>
      </c>
      <c r="H1292" s="69"/>
      <c r="I1292" s="70"/>
      <c r="J1292" s="71">
        <f t="shared" si="150"/>
        <v>78</v>
      </c>
      <c r="K1292" s="71"/>
      <c r="L1292" s="54"/>
      <c r="M1292" s="59"/>
      <c r="O1292" s="11">
        <v>1463</v>
      </c>
      <c r="P1292" s="11">
        <f t="shared" si="151"/>
        <v>0</v>
      </c>
      <c r="S1292" s="11">
        <f t="shared" si="152"/>
        <v>114114</v>
      </c>
      <c r="T1292" s="13">
        <f t="shared" si="153"/>
        <v>2</v>
      </c>
    </row>
    <row r="1293" spans="1:20" ht="24.95" customHeight="1">
      <c r="A1293" s="10">
        <v>7</v>
      </c>
      <c r="B1293" s="66" t="s">
        <v>88</v>
      </c>
      <c r="C1293" s="67" t="s">
        <v>88</v>
      </c>
      <c r="D1293" s="68" t="s">
        <v>88</v>
      </c>
      <c r="E1293" s="4" t="s">
        <v>94</v>
      </c>
      <c r="F1293" s="69">
        <v>126</v>
      </c>
      <c r="G1293" s="70">
        <v>19</v>
      </c>
      <c r="H1293" s="69"/>
      <c r="I1293" s="70"/>
      <c r="J1293" s="71">
        <f t="shared" si="150"/>
        <v>0</v>
      </c>
      <c r="K1293" s="71"/>
      <c r="L1293" s="54"/>
      <c r="M1293" s="59"/>
      <c r="O1293" s="11">
        <v>6350</v>
      </c>
      <c r="P1293" s="11">
        <f t="shared" si="151"/>
        <v>0</v>
      </c>
      <c r="S1293" s="11">
        <f t="shared" si="152"/>
        <v>0</v>
      </c>
      <c r="T1293" s="13">
        <f t="shared" si="153"/>
        <v>126</v>
      </c>
    </row>
    <row r="1294" spans="1:20" ht="24.95" customHeight="1">
      <c r="A1294" s="10">
        <v>8</v>
      </c>
      <c r="B1294" s="66" t="s">
        <v>89</v>
      </c>
      <c r="C1294" s="67" t="s">
        <v>89</v>
      </c>
      <c r="D1294" s="68" t="s">
        <v>89</v>
      </c>
      <c r="E1294" s="4" t="s">
        <v>95</v>
      </c>
      <c r="F1294" s="69">
        <v>1</v>
      </c>
      <c r="G1294" s="70">
        <v>1192</v>
      </c>
      <c r="H1294" s="69"/>
      <c r="I1294" s="70"/>
      <c r="J1294" s="71">
        <f t="shared" si="150"/>
        <v>0.3</v>
      </c>
      <c r="K1294" s="71"/>
      <c r="L1294" s="54"/>
      <c r="M1294" s="59"/>
      <c r="O1294" s="11">
        <v>47600</v>
      </c>
      <c r="P1294" s="11">
        <f t="shared" si="151"/>
        <v>0</v>
      </c>
      <c r="S1294" s="11">
        <f t="shared" si="152"/>
        <v>14280</v>
      </c>
      <c r="T1294" s="13">
        <f t="shared" si="153"/>
        <v>0.7</v>
      </c>
    </row>
    <row r="1295" spans="1:20" ht="24.95" customHeight="1">
      <c r="A1295" s="10">
        <v>9</v>
      </c>
      <c r="B1295" s="66" t="s">
        <v>90</v>
      </c>
      <c r="C1295" s="67" t="s">
        <v>90</v>
      </c>
      <c r="D1295" s="68" t="s">
        <v>90</v>
      </c>
      <c r="E1295" s="4" t="s">
        <v>96</v>
      </c>
      <c r="F1295" s="69">
        <v>1</v>
      </c>
      <c r="G1295" s="70">
        <v>1261</v>
      </c>
      <c r="H1295" s="69"/>
      <c r="I1295" s="70"/>
      <c r="J1295" s="71">
        <f t="shared" si="150"/>
        <v>0</v>
      </c>
      <c r="K1295" s="71"/>
      <c r="L1295" s="54"/>
      <c r="M1295" s="59"/>
      <c r="O1295" s="11">
        <v>10000</v>
      </c>
      <c r="P1295" s="11">
        <f t="shared" si="151"/>
        <v>0</v>
      </c>
      <c r="S1295" s="11">
        <f t="shared" si="152"/>
        <v>0</v>
      </c>
      <c r="T1295" s="13">
        <f t="shared" si="153"/>
        <v>1</v>
      </c>
    </row>
    <row r="1296" spans="1:20" ht="24.95" customHeight="1">
      <c r="A1296" s="14"/>
      <c r="B1296" s="15"/>
      <c r="C1296" s="16"/>
      <c r="D1296" s="17"/>
      <c r="E1296" s="4"/>
      <c r="F1296" s="18"/>
      <c r="G1296" s="19"/>
      <c r="H1296" s="105"/>
      <c r="I1296" s="106"/>
      <c r="J1296" s="105"/>
      <c r="K1296" s="106"/>
      <c r="L1296" s="54"/>
      <c r="M1296" s="59"/>
      <c r="N1296" s="20"/>
      <c r="P1296" s="21" t="s">
        <v>37</v>
      </c>
      <c r="Q1296" s="22">
        <f>SUM(P1287:P1295)</f>
        <v>0</v>
      </c>
      <c r="R1296" s="23"/>
      <c r="S1296" s="24">
        <f>SUM(S1287:S1295)</f>
        <v>294228</v>
      </c>
      <c r="T1296" s="13"/>
    </row>
    <row r="1297" spans="1:20" ht="24.95" customHeight="1">
      <c r="A1297" s="107"/>
      <c r="B1297" s="108"/>
      <c r="C1297" s="108"/>
      <c r="D1297" s="109"/>
      <c r="E1297" s="4"/>
      <c r="F1297" s="54"/>
      <c r="G1297" s="59"/>
      <c r="H1297" s="72"/>
      <c r="I1297" s="72"/>
      <c r="J1297" s="72"/>
      <c r="K1297" s="72"/>
      <c r="L1297" s="72"/>
      <c r="M1297" s="72"/>
      <c r="O1297" t="s">
        <v>38</v>
      </c>
      <c r="P1297" s="24">
        <f>Q1296</f>
        <v>0</v>
      </c>
      <c r="T1297" s="13"/>
    </row>
    <row r="1298" spans="1:20" ht="24.95" customHeight="1">
      <c r="A1298" s="97"/>
      <c r="B1298" s="98"/>
      <c r="C1298" s="98"/>
      <c r="D1298" s="99"/>
      <c r="E1298" s="4"/>
      <c r="F1298" s="54"/>
      <c r="G1298" s="59"/>
      <c r="H1298" s="72"/>
      <c r="I1298" s="72"/>
      <c r="J1298" s="72"/>
      <c r="K1298" s="72"/>
      <c r="L1298" s="72"/>
      <c r="M1298" s="72"/>
      <c r="O1298" t="s">
        <v>39</v>
      </c>
      <c r="P1298" s="23">
        <f>ROUND(P1297/1153274,4)*100</f>
        <v>0</v>
      </c>
      <c r="T1298" s="13"/>
    </row>
    <row r="1299" spans="1:20" ht="24.95" customHeight="1">
      <c r="A1299" s="25"/>
      <c r="B1299" s="63" t="s">
        <v>40</v>
      </c>
      <c r="C1299" s="63"/>
      <c r="D1299" s="59"/>
      <c r="E1299" s="26"/>
      <c r="F1299" s="100"/>
      <c r="G1299" s="101"/>
      <c r="H1299" s="100"/>
      <c r="I1299" s="101"/>
      <c r="J1299" s="102"/>
      <c r="K1299" s="102"/>
      <c r="L1299" s="103">
        <f>P1297</f>
        <v>0</v>
      </c>
      <c r="M1299" s="104"/>
      <c r="T1299" s="13"/>
    </row>
    <row r="1300" spans="1:20" ht="24.95" customHeight="1" thickBot="1">
      <c r="A1300" s="27"/>
      <c r="B1300" s="85" t="s">
        <v>41</v>
      </c>
      <c r="C1300" s="85"/>
      <c r="D1300" s="86"/>
      <c r="E1300" s="28"/>
      <c r="F1300" s="87"/>
      <c r="G1300" s="88"/>
      <c r="H1300" s="87"/>
      <c r="I1300" s="88"/>
      <c r="J1300" s="87"/>
      <c r="K1300" s="88"/>
      <c r="L1300" s="89">
        <f>L1299+L1242</f>
        <v>294228</v>
      </c>
      <c r="M1300" s="90"/>
      <c r="T1300" s="13"/>
    </row>
    <row r="1301" spans="1:20" ht="24.95" customHeight="1">
      <c r="A1301" s="29"/>
      <c r="B1301" s="91" t="s">
        <v>42</v>
      </c>
      <c r="C1301" s="91"/>
      <c r="D1301" s="92"/>
      <c r="E1301" s="30"/>
      <c r="F1301" s="93"/>
      <c r="G1301" s="94"/>
      <c r="H1301" s="95"/>
      <c r="I1301" s="95"/>
      <c r="J1301" s="95"/>
      <c r="K1301" s="95"/>
      <c r="L1301" s="95"/>
      <c r="M1301" s="96"/>
      <c r="T1301" s="13"/>
    </row>
    <row r="1302" spans="1:20" ht="24.95" customHeight="1">
      <c r="A1302" s="31"/>
      <c r="B1302" s="76" t="s">
        <v>43</v>
      </c>
      <c r="C1302" s="76"/>
      <c r="D1302" s="77"/>
      <c r="E1302" s="4"/>
      <c r="F1302" s="54"/>
      <c r="G1302" s="59"/>
      <c r="H1302" s="72"/>
      <c r="I1302" s="72"/>
      <c r="J1302" s="72"/>
      <c r="K1302" s="72"/>
      <c r="L1302" s="72"/>
      <c r="M1302" s="78"/>
      <c r="T1302" s="13"/>
    </row>
    <row r="1303" spans="1:20" ht="24.95" customHeight="1" thickBot="1">
      <c r="A1303" s="32"/>
      <c r="B1303" s="79" t="s">
        <v>44</v>
      </c>
      <c r="C1303" s="79"/>
      <c r="D1303" s="80"/>
      <c r="E1303" s="33"/>
      <c r="F1303" s="81"/>
      <c r="G1303" s="82"/>
      <c r="H1303" s="83"/>
      <c r="I1303" s="83"/>
      <c r="J1303" s="83"/>
      <c r="K1303" s="83"/>
      <c r="L1303" s="83"/>
      <c r="M1303" s="84"/>
      <c r="T1303" s="13"/>
    </row>
    <row r="1304" spans="1:20" ht="24.95" customHeight="1">
      <c r="A1304" s="73" t="s">
        <v>45</v>
      </c>
      <c r="B1304" s="74"/>
      <c r="C1304" s="74"/>
      <c r="D1304" s="74"/>
      <c r="E1304" s="74"/>
      <c r="F1304" s="74"/>
      <c r="G1304" s="74"/>
      <c r="H1304" s="74"/>
      <c r="I1304" s="74"/>
      <c r="J1304" s="74"/>
      <c r="K1304" s="74"/>
      <c r="L1304" s="74"/>
      <c r="M1304" s="74"/>
      <c r="T1304" s="13"/>
    </row>
    <row r="1305" spans="1:20" ht="24.95" customHeight="1">
      <c r="A1305" s="72" t="s">
        <v>46</v>
      </c>
      <c r="B1305" s="75"/>
      <c r="C1305" s="75"/>
      <c r="D1305" s="75"/>
      <c r="E1305" s="4" t="s">
        <v>22</v>
      </c>
      <c r="F1305" s="72" t="s">
        <v>47</v>
      </c>
      <c r="G1305" s="72"/>
      <c r="H1305" s="72" t="s">
        <v>48</v>
      </c>
      <c r="I1305" s="72"/>
      <c r="J1305" s="72" t="s">
        <v>49</v>
      </c>
      <c r="K1305" s="72"/>
      <c r="L1305" s="72" t="s">
        <v>50</v>
      </c>
      <c r="M1305" s="72"/>
      <c r="T1305" s="13"/>
    </row>
    <row r="1306" spans="1:20" ht="24.95" customHeight="1">
      <c r="A1306" s="10">
        <v>6</v>
      </c>
      <c r="B1306" s="66" t="s">
        <v>97</v>
      </c>
      <c r="C1306" s="67" t="s">
        <v>51</v>
      </c>
      <c r="D1306" s="68" t="s">
        <v>51</v>
      </c>
      <c r="E1306" s="4" t="s">
        <v>35</v>
      </c>
      <c r="F1306" s="69">
        <v>80</v>
      </c>
      <c r="G1306" s="70">
        <v>1261</v>
      </c>
      <c r="H1306" s="71">
        <f>H1292</f>
        <v>0</v>
      </c>
      <c r="I1306" s="71"/>
      <c r="J1306" s="71">
        <f>H1306+J1248</f>
        <v>78</v>
      </c>
      <c r="K1306" s="71"/>
      <c r="L1306" s="72"/>
      <c r="M1306" s="72"/>
      <c r="T1306" s="13"/>
    </row>
    <row r="1307" spans="1:20" ht="24.95" customHeight="1">
      <c r="A1307" s="10">
        <v>7</v>
      </c>
      <c r="B1307" s="66" t="s">
        <v>88</v>
      </c>
      <c r="C1307" s="67" t="s">
        <v>88</v>
      </c>
      <c r="D1307" s="68" t="s">
        <v>88</v>
      </c>
      <c r="E1307" s="4" t="s">
        <v>98</v>
      </c>
      <c r="F1307" s="69">
        <v>126</v>
      </c>
      <c r="G1307" s="70"/>
      <c r="H1307" s="71">
        <f>H1293</f>
        <v>0</v>
      </c>
      <c r="I1307" s="71"/>
      <c r="J1307" s="71">
        <f t="shared" ref="J1307:J1308" si="154">H1307+J1249</f>
        <v>0</v>
      </c>
      <c r="K1307" s="71"/>
      <c r="L1307" s="72"/>
      <c r="M1307" s="72"/>
      <c r="T1307" s="13"/>
    </row>
    <row r="1308" spans="1:20" ht="24.95" customHeight="1">
      <c r="A1308" s="10">
        <v>8</v>
      </c>
      <c r="B1308" s="66" t="s">
        <v>89</v>
      </c>
      <c r="C1308" s="67" t="s">
        <v>89</v>
      </c>
      <c r="D1308" s="68" t="s">
        <v>89</v>
      </c>
      <c r="E1308" s="4" t="s">
        <v>36</v>
      </c>
      <c r="F1308" s="69">
        <v>1</v>
      </c>
      <c r="G1308" s="70"/>
      <c r="H1308" s="71">
        <f>H1294</f>
        <v>0</v>
      </c>
      <c r="I1308" s="71"/>
      <c r="J1308" s="71">
        <f t="shared" si="154"/>
        <v>0.3</v>
      </c>
      <c r="K1308" s="71"/>
      <c r="L1308" s="72"/>
      <c r="M1308" s="72"/>
      <c r="T1308" s="13"/>
    </row>
    <row r="1309" spans="1:20" ht="24.95" customHeight="1">
      <c r="A1309" s="51" t="s">
        <v>52</v>
      </c>
      <c r="B1309" s="52"/>
      <c r="C1309" s="52"/>
      <c r="D1309" s="52"/>
      <c r="E1309" s="52"/>
      <c r="F1309" s="52"/>
      <c r="G1309" s="52"/>
      <c r="H1309" s="52"/>
      <c r="I1309" s="52"/>
      <c r="J1309" s="52"/>
      <c r="K1309" s="52"/>
      <c r="L1309" s="52"/>
      <c r="M1309" s="53"/>
      <c r="T1309" s="13"/>
    </row>
    <row r="1310" spans="1:20" ht="24.95" customHeight="1">
      <c r="A1310" s="54" t="s">
        <v>53</v>
      </c>
      <c r="B1310" s="63"/>
      <c r="C1310" s="63"/>
      <c r="D1310" s="59"/>
      <c r="E1310" s="4" t="s">
        <v>54</v>
      </c>
      <c r="F1310" s="54" t="s">
        <v>55</v>
      </c>
      <c r="G1310" s="59"/>
      <c r="H1310" s="54" t="s">
        <v>56</v>
      </c>
      <c r="I1310" s="59"/>
      <c r="J1310" s="54" t="s">
        <v>48</v>
      </c>
      <c r="K1310" s="59"/>
      <c r="L1310" s="64" t="s">
        <v>49</v>
      </c>
      <c r="M1310" s="65"/>
      <c r="T1310" s="13"/>
    </row>
    <row r="1311" spans="1:20" ht="24.95" customHeight="1">
      <c r="A1311" s="54" t="s">
        <v>57</v>
      </c>
      <c r="B1311" s="55"/>
      <c r="C1311" s="55"/>
      <c r="D1311" s="56"/>
      <c r="E1311" s="4"/>
      <c r="F1311" s="57">
        <f>E1311+F1253</f>
        <v>28</v>
      </c>
      <c r="G1311" s="58"/>
      <c r="H1311" s="54" t="s">
        <v>58</v>
      </c>
      <c r="I1311" s="59"/>
      <c r="J1311" s="54"/>
      <c r="K1311" s="59"/>
      <c r="L1311" s="57">
        <f>J1311+L1253</f>
        <v>15</v>
      </c>
      <c r="M1311" s="58"/>
      <c r="T1311" s="13"/>
    </row>
    <row r="1312" spans="1:20" ht="24.95" customHeight="1">
      <c r="A1312" s="54" t="s">
        <v>59</v>
      </c>
      <c r="B1312" s="55"/>
      <c r="C1312" s="55"/>
      <c r="D1312" s="56"/>
      <c r="E1312" s="4"/>
      <c r="F1312" s="57">
        <f t="shared" ref="F1312:F1314" si="155">E1312+F1254</f>
        <v>0</v>
      </c>
      <c r="G1312" s="58"/>
      <c r="H1312" s="54" t="s">
        <v>60</v>
      </c>
      <c r="I1312" s="59"/>
      <c r="J1312" s="54"/>
      <c r="K1312" s="59"/>
      <c r="L1312" s="57">
        <f t="shared" ref="L1312:L1314" si="156">J1312+L1254</f>
        <v>0</v>
      </c>
      <c r="M1312" s="58"/>
      <c r="T1312" s="13"/>
    </row>
    <row r="1313" spans="1:20" ht="24.95" customHeight="1">
      <c r="A1313" s="54" t="s">
        <v>61</v>
      </c>
      <c r="B1313" s="55"/>
      <c r="C1313" s="55"/>
      <c r="D1313" s="56"/>
      <c r="E1313" s="4"/>
      <c r="F1313" s="57">
        <f t="shared" si="155"/>
        <v>2</v>
      </c>
      <c r="G1313" s="58"/>
      <c r="H1313" s="54" t="s">
        <v>62</v>
      </c>
      <c r="I1313" s="59"/>
      <c r="J1313" s="54"/>
      <c r="K1313" s="59"/>
      <c r="L1313" s="57">
        <f t="shared" si="156"/>
        <v>5</v>
      </c>
      <c r="M1313" s="58"/>
      <c r="T1313" s="13"/>
    </row>
    <row r="1314" spans="1:20" ht="24.95" customHeight="1">
      <c r="A1314" s="54" t="s">
        <v>63</v>
      </c>
      <c r="B1314" s="55"/>
      <c r="C1314" s="55"/>
      <c r="D1314" s="56"/>
      <c r="E1314" s="4"/>
      <c r="F1314" s="57">
        <f t="shared" si="155"/>
        <v>4</v>
      </c>
      <c r="G1314" s="58"/>
      <c r="H1314" s="54" t="s">
        <v>64</v>
      </c>
      <c r="I1314" s="59"/>
      <c r="J1314" s="54"/>
      <c r="K1314" s="59"/>
      <c r="L1314" s="57">
        <f t="shared" si="156"/>
        <v>1</v>
      </c>
      <c r="M1314" s="58"/>
      <c r="T1314" s="13"/>
    </row>
    <row r="1315" spans="1:20" ht="64.5" customHeight="1">
      <c r="A1315" s="60" t="s">
        <v>65</v>
      </c>
      <c r="B1315" s="61"/>
      <c r="C1315" s="61"/>
      <c r="D1315" s="61"/>
      <c r="E1315" s="61"/>
      <c r="F1315" s="61"/>
      <c r="G1315" s="61"/>
      <c r="H1315" s="61"/>
      <c r="I1315" s="61"/>
      <c r="J1315" s="61"/>
      <c r="K1315" s="61"/>
      <c r="L1315" s="61"/>
      <c r="M1315" s="62"/>
      <c r="T1315" s="13"/>
    </row>
    <row r="1316" spans="1:20" ht="24.95" customHeight="1">
      <c r="A1316" s="46" t="s">
        <v>66</v>
      </c>
      <c r="B1316" s="47"/>
      <c r="C1316" s="47"/>
      <c r="D1316" s="47"/>
      <c r="E1316" s="47"/>
      <c r="F1316" s="47"/>
      <c r="G1316" s="47"/>
      <c r="H1316" s="47"/>
      <c r="I1316" s="47"/>
      <c r="J1316" s="47"/>
      <c r="K1316" s="47"/>
      <c r="L1316" s="47"/>
      <c r="M1316" s="48"/>
      <c r="T1316" s="13"/>
    </row>
    <row r="1317" spans="1:20" ht="24.95" customHeight="1">
      <c r="A1317" s="27"/>
      <c r="B1317" s="34" t="s">
        <v>67</v>
      </c>
      <c r="C1317" s="34"/>
      <c r="D1317" s="34"/>
      <c r="E1317" s="34"/>
      <c r="F1317" s="34"/>
      <c r="G1317" s="35"/>
      <c r="H1317" s="34"/>
      <c r="I1317" s="34"/>
      <c r="J1317" s="34"/>
      <c r="K1317" s="34"/>
      <c r="L1317" s="34"/>
      <c r="M1317" s="36"/>
      <c r="T1317" s="13"/>
    </row>
    <row r="1318" spans="1:20" ht="24.95" customHeight="1">
      <c r="A1318" s="27"/>
      <c r="B1318" s="34" t="s">
        <v>81</v>
      </c>
      <c r="C1318" s="34"/>
      <c r="D1318" s="34"/>
      <c r="E1318" s="34"/>
      <c r="F1318" s="34"/>
      <c r="G1318" s="35"/>
      <c r="H1318" s="34"/>
      <c r="I1318" s="34"/>
      <c r="J1318" s="34"/>
      <c r="K1318" s="34"/>
      <c r="L1318" s="34"/>
      <c r="M1318" s="36"/>
      <c r="T1318" s="13"/>
    </row>
    <row r="1319" spans="1:20" ht="24.95" customHeight="1">
      <c r="A1319" s="27"/>
      <c r="B1319" s="34" t="s">
        <v>68</v>
      </c>
      <c r="C1319" s="34"/>
      <c r="D1319" s="34"/>
      <c r="E1319" s="34"/>
      <c r="F1319" s="34"/>
      <c r="G1319" s="35"/>
      <c r="H1319" s="34"/>
      <c r="I1319" s="34"/>
      <c r="J1319" s="34"/>
      <c r="K1319" s="34"/>
      <c r="L1319" s="34"/>
      <c r="M1319" s="36"/>
      <c r="T1319" s="13"/>
    </row>
    <row r="1320" spans="1:20" ht="24.95" customHeight="1">
      <c r="A1320" s="27"/>
      <c r="B1320" s="34" t="s">
        <v>82</v>
      </c>
      <c r="C1320" s="34"/>
      <c r="D1320" s="34"/>
      <c r="E1320" s="34"/>
      <c r="F1320" s="34"/>
      <c r="G1320" s="35"/>
      <c r="H1320" s="34"/>
      <c r="I1320" s="34"/>
      <c r="J1320" s="34"/>
      <c r="K1320" s="34"/>
      <c r="L1320" s="34"/>
      <c r="M1320" s="36"/>
      <c r="T1320" s="13"/>
    </row>
    <row r="1321" spans="1:20" ht="24.95" customHeight="1">
      <c r="A1321" s="27"/>
      <c r="B1321" s="34" t="s">
        <v>99</v>
      </c>
      <c r="C1321" s="34"/>
      <c r="D1321" s="34"/>
      <c r="E1321" s="34"/>
      <c r="F1321" s="34"/>
      <c r="G1321" s="35"/>
      <c r="H1321" s="34"/>
      <c r="I1321" s="34"/>
      <c r="J1321" s="34"/>
      <c r="K1321" s="34"/>
      <c r="L1321" s="34"/>
      <c r="M1321" s="36"/>
      <c r="T1321" s="13"/>
    </row>
    <row r="1322" spans="1:20" ht="24.95" customHeight="1">
      <c r="A1322" s="37"/>
      <c r="B1322" s="49" t="s">
        <v>69</v>
      </c>
      <c r="C1322" s="49"/>
      <c r="D1322" s="49"/>
      <c r="E1322" s="49"/>
      <c r="F1322" s="49"/>
      <c r="G1322" s="49"/>
      <c r="H1322" s="49"/>
      <c r="I1322" s="49"/>
      <c r="J1322" s="49"/>
      <c r="K1322" s="49"/>
      <c r="L1322" s="49"/>
      <c r="M1322" s="50"/>
      <c r="T1322" s="13"/>
    </row>
    <row r="1323" spans="1:20" ht="44.25" customHeight="1">
      <c r="A1323" s="51" t="s">
        <v>70</v>
      </c>
      <c r="B1323" s="52"/>
      <c r="C1323" s="52"/>
      <c r="D1323" s="52"/>
      <c r="E1323" s="52"/>
      <c r="F1323" s="52"/>
      <c r="G1323" s="52"/>
      <c r="H1323" s="52"/>
      <c r="I1323" s="52"/>
      <c r="J1323" s="52"/>
      <c r="K1323" s="52"/>
      <c r="L1323" s="52"/>
      <c r="M1323" s="53"/>
      <c r="T1323" s="13"/>
    </row>
    <row r="1324" spans="1:20" ht="48" customHeight="1">
      <c r="A1324" s="51" t="s">
        <v>71</v>
      </c>
      <c r="B1324" s="52"/>
      <c r="C1324" s="52"/>
      <c r="D1324" s="52"/>
      <c r="E1324" s="52"/>
      <c r="F1324" s="52"/>
      <c r="G1324" s="52"/>
      <c r="H1324" s="52"/>
      <c r="I1324" s="52"/>
      <c r="J1324" s="52"/>
      <c r="K1324" s="52"/>
      <c r="L1324" s="52"/>
      <c r="M1324" s="53"/>
      <c r="T1324" s="13"/>
    </row>
    <row r="1325" spans="1:20" ht="81" customHeight="1">
      <c r="A1325" s="51" t="s">
        <v>80</v>
      </c>
      <c r="B1325" s="52"/>
      <c r="C1325" s="52"/>
      <c r="D1325" s="52"/>
      <c r="E1325" s="52"/>
      <c r="F1325" s="52"/>
      <c r="G1325" s="52"/>
      <c r="H1325" s="52"/>
      <c r="I1325" s="52"/>
      <c r="J1325" s="52"/>
      <c r="K1325" s="52"/>
      <c r="L1325" s="52"/>
      <c r="M1325" s="53"/>
      <c r="T1325" s="13"/>
    </row>
    <row r="1326" spans="1:20" ht="100.5" customHeight="1">
      <c r="A1326" s="51" t="s">
        <v>72</v>
      </c>
      <c r="B1326" s="52"/>
      <c r="C1326" s="52"/>
      <c r="D1326" s="52"/>
      <c r="E1326" s="52"/>
      <c r="F1326" s="52"/>
      <c r="G1326" s="52"/>
      <c r="H1326" s="52"/>
      <c r="I1326" s="52"/>
      <c r="J1326" s="52"/>
      <c r="K1326" s="52"/>
      <c r="L1326" s="52"/>
      <c r="M1326" s="53"/>
      <c r="T1326" s="13"/>
    </row>
    <row r="1327" spans="1:20" ht="12" customHeight="1">
      <c r="A1327" s="41" t="s">
        <v>73</v>
      </c>
      <c r="B1327" s="41"/>
      <c r="C1327" s="42"/>
      <c r="D1327" s="42"/>
      <c r="E1327" s="42"/>
      <c r="F1327" s="42"/>
      <c r="G1327" s="42"/>
      <c r="H1327" s="42"/>
      <c r="I1327" s="42"/>
      <c r="J1327" s="42"/>
      <c r="K1327" s="42"/>
      <c r="L1327" s="42"/>
      <c r="M1327" s="38"/>
      <c r="T1327" s="13"/>
    </row>
    <row r="1328" spans="1:20" ht="12" customHeight="1">
      <c r="A1328" s="43" t="s">
        <v>74</v>
      </c>
      <c r="B1328" s="43"/>
      <c r="C1328" s="40"/>
      <c r="D1328" s="40"/>
      <c r="E1328" s="40"/>
      <c r="F1328" s="40"/>
      <c r="G1328" s="40"/>
      <c r="H1328" s="40"/>
      <c r="I1328" s="40"/>
      <c r="J1328" s="40"/>
      <c r="K1328" s="40"/>
      <c r="L1328" s="38"/>
      <c r="M1328" s="38"/>
      <c r="T1328" s="13"/>
    </row>
    <row r="1329" spans="1:20" ht="12" customHeight="1">
      <c r="A1329" s="44" t="s">
        <v>75</v>
      </c>
      <c r="B1329" s="44"/>
      <c r="C1329" s="44"/>
      <c r="D1329" s="44"/>
      <c r="E1329" s="44"/>
      <c r="F1329" s="44"/>
      <c r="G1329" s="44"/>
      <c r="H1329" s="44"/>
      <c r="I1329" s="44"/>
      <c r="J1329" s="44"/>
      <c r="K1329" s="44"/>
      <c r="L1329" s="44"/>
      <c r="M1329" s="44"/>
      <c r="T1329" s="13"/>
    </row>
    <row r="1330" spans="1:20" ht="12" customHeight="1">
      <c r="A1330" s="39" t="s">
        <v>76</v>
      </c>
      <c r="B1330" s="39"/>
      <c r="C1330" s="39"/>
      <c r="D1330" s="39"/>
      <c r="E1330" s="39"/>
      <c r="F1330" s="39"/>
      <c r="G1330" s="39"/>
      <c r="H1330" s="39"/>
      <c r="I1330" s="39"/>
      <c r="J1330" s="39"/>
      <c r="K1330" s="39"/>
      <c r="L1330" s="39"/>
      <c r="M1330" s="39"/>
      <c r="T1330" s="13"/>
    </row>
    <row r="1331" spans="1:20" ht="12" customHeight="1">
      <c r="A1331" s="39" t="s">
        <v>77</v>
      </c>
      <c r="B1331" s="40"/>
      <c r="C1331" s="40"/>
      <c r="D1331" s="40"/>
      <c r="E1331" s="40"/>
      <c r="F1331" s="40"/>
      <c r="G1331" s="40"/>
      <c r="H1331" s="40"/>
      <c r="I1331" s="40"/>
      <c r="J1331" s="40"/>
      <c r="K1331" s="40"/>
      <c r="L1331" s="40"/>
      <c r="M1331" s="40"/>
      <c r="T1331" s="13"/>
    </row>
    <row r="1332" spans="1:20" ht="12" customHeight="1">
      <c r="A1332" s="45" t="s">
        <v>78</v>
      </c>
      <c r="B1332" s="40"/>
      <c r="C1332" s="40"/>
      <c r="D1332" s="40"/>
      <c r="E1332" s="40"/>
      <c r="F1332" s="40"/>
      <c r="G1332" s="40"/>
      <c r="H1332" s="40"/>
      <c r="I1332" s="40"/>
      <c r="J1332" s="40"/>
      <c r="K1332" s="40"/>
      <c r="L1332" s="40"/>
      <c r="M1332" s="40"/>
      <c r="T1332" s="13"/>
    </row>
    <row r="1333" spans="1:20" ht="12" customHeight="1">
      <c r="A1333" s="39" t="s">
        <v>79</v>
      </c>
      <c r="B1333" s="40"/>
      <c r="C1333" s="40"/>
      <c r="D1333" s="40"/>
      <c r="E1333" s="40"/>
      <c r="F1333" s="40"/>
      <c r="G1333" s="40"/>
      <c r="H1333" s="40"/>
      <c r="I1333" s="40"/>
      <c r="J1333" s="40"/>
      <c r="K1333" s="40"/>
      <c r="L1333" s="40"/>
      <c r="M1333" s="40"/>
      <c r="T1333" s="13"/>
    </row>
    <row r="1334" spans="1:20" ht="409.5" customHeight="1"/>
    <row r="1335" spans="1:20" s="2" customFormat="1" ht="35.1" customHeight="1">
      <c r="A1335" s="126" t="s">
        <v>0</v>
      </c>
      <c r="B1335" s="126"/>
      <c r="C1335" s="1">
        <f>C1277+1</f>
        <v>59</v>
      </c>
      <c r="G1335" s="3"/>
    </row>
    <row r="1336" spans="1:20" s="2" customFormat="1" ht="35.1" customHeight="1">
      <c r="A1336" s="126" t="s">
        <v>1</v>
      </c>
      <c r="B1336" s="126"/>
      <c r="C1336" s="2" t="s">
        <v>2</v>
      </c>
      <c r="E1336" s="2" t="s">
        <v>3</v>
      </c>
      <c r="G1336" s="3"/>
      <c r="H1336" s="127" t="s">
        <v>4</v>
      </c>
      <c r="I1336" s="128"/>
      <c r="J1336" s="129">
        <f>J1278+1</f>
        <v>46046</v>
      </c>
      <c r="K1336" s="130"/>
      <c r="L1336" s="131">
        <f>J1336</f>
        <v>46046</v>
      </c>
      <c r="M1336" s="132"/>
    </row>
    <row r="1337" spans="1:20" s="2" customFormat="1" ht="30" customHeight="1">
      <c r="A1337" s="72" t="s">
        <v>5</v>
      </c>
      <c r="B1337" s="114"/>
      <c r="C1337" s="119" t="s">
        <v>83</v>
      </c>
      <c r="D1337" s="119"/>
      <c r="E1337" s="119"/>
      <c r="F1337" s="119"/>
      <c r="G1337" s="119"/>
      <c r="H1337" s="54" t="s">
        <v>6</v>
      </c>
      <c r="I1337" s="59"/>
      <c r="J1337" s="120"/>
      <c r="K1337" s="120"/>
      <c r="L1337" s="120"/>
      <c r="M1337" s="120"/>
    </row>
    <row r="1338" spans="1:20" s="1" customFormat="1" ht="30" customHeight="1">
      <c r="A1338" s="72" t="s">
        <v>7</v>
      </c>
      <c r="B1338" s="114"/>
      <c r="C1338" s="4">
        <v>50</v>
      </c>
      <c r="D1338" s="4" t="s">
        <v>8</v>
      </c>
      <c r="E1338" s="4" t="s">
        <v>9</v>
      </c>
      <c r="F1338" s="4">
        <f>F1280+1</f>
        <v>59</v>
      </c>
      <c r="G1338" s="5" t="s">
        <v>8</v>
      </c>
      <c r="H1338" s="4" t="s">
        <v>10</v>
      </c>
      <c r="I1338" s="4">
        <f>C1338-F1338+L1338</f>
        <v>-9</v>
      </c>
      <c r="J1338" s="4" t="s">
        <v>11</v>
      </c>
      <c r="K1338" s="6" t="s">
        <v>12</v>
      </c>
      <c r="L1338" s="7">
        <f>L1280</f>
        <v>0</v>
      </c>
      <c r="M1338" s="4" t="s">
        <v>8</v>
      </c>
    </row>
    <row r="1339" spans="1:20" s="2" customFormat="1" ht="30" customHeight="1">
      <c r="A1339" s="72" t="s">
        <v>13</v>
      </c>
      <c r="B1339" s="75"/>
      <c r="C1339" s="75"/>
      <c r="D1339" s="121">
        <f>D1281</f>
        <v>45988</v>
      </c>
      <c r="E1339" s="122"/>
      <c r="F1339" s="122"/>
      <c r="G1339" s="123"/>
      <c r="H1339" s="124" t="s">
        <v>14</v>
      </c>
      <c r="I1339" s="125"/>
      <c r="J1339" s="121">
        <f>J1281</f>
        <v>46037</v>
      </c>
      <c r="K1339" s="122"/>
      <c r="L1339" s="122"/>
      <c r="M1339" s="123"/>
    </row>
    <row r="1340" spans="1:20" s="2" customFormat="1" ht="30" customHeight="1">
      <c r="A1340" s="72" t="s">
        <v>15</v>
      </c>
      <c r="B1340" s="114"/>
      <c r="C1340" s="114"/>
      <c r="D1340" s="72"/>
      <c r="E1340" s="72"/>
      <c r="F1340" s="72"/>
      <c r="G1340" s="72"/>
      <c r="H1340" s="64" t="s">
        <v>16</v>
      </c>
      <c r="I1340" s="115"/>
      <c r="J1340" s="116">
        <f>P1356</f>
        <v>0</v>
      </c>
      <c r="K1340" s="117"/>
      <c r="L1340" s="117"/>
      <c r="M1340" s="118"/>
    </row>
    <row r="1341" spans="1:20" s="2" customFormat="1" ht="30" customHeight="1">
      <c r="A1341" s="72" t="s">
        <v>17</v>
      </c>
      <c r="B1341" s="114"/>
      <c r="C1341" s="114"/>
      <c r="D1341" s="72">
        <f>D1340+D1283</f>
        <v>100.00000000000004</v>
      </c>
      <c r="E1341" s="72"/>
      <c r="F1341" s="72"/>
      <c r="G1341" s="72"/>
      <c r="H1341" s="64" t="s">
        <v>18</v>
      </c>
      <c r="I1341" s="115"/>
      <c r="J1341" s="116">
        <f>J1340+J1283</f>
        <v>25.469999999999992</v>
      </c>
      <c r="K1341" s="117"/>
      <c r="L1341" s="117"/>
      <c r="M1341" s="118"/>
    </row>
    <row r="1342" spans="1:20" s="2" customFormat="1" ht="30" customHeight="1">
      <c r="A1342" s="111" t="s">
        <v>19</v>
      </c>
      <c r="B1342" s="112"/>
      <c r="C1342" s="112"/>
      <c r="D1342" s="112"/>
      <c r="E1342" s="112"/>
      <c r="F1342" s="112"/>
      <c r="G1342" s="112"/>
      <c r="H1342" s="112"/>
      <c r="I1342" s="112"/>
      <c r="J1342" s="112"/>
      <c r="K1342" s="112"/>
      <c r="L1342" s="112"/>
      <c r="M1342" s="113"/>
    </row>
    <row r="1343" spans="1:20" s="2" customFormat="1" ht="30" customHeight="1">
      <c r="A1343" s="8" t="s">
        <v>20</v>
      </c>
      <c r="B1343" s="72" t="s">
        <v>21</v>
      </c>
      <c r="C1343" s="72"/>
      <c r="D1343" s="72"/>
      <c r="E1343" s="4" t="s">
        <v>22</v>
      </c>
      <c r="F1343" s="54" t="s">
        <v>23</v>
      </c>
      <c r="G1343" s="59"/>
      <c r="H1343" s="72" t="s">
        <v>24</v>
      </c>
      <c r="I1343" s="72"/>
      <c r="J1343" s="72" t="s">
        <v>25</v>
      </c>
      <c r="K1343" s="72"/>
      <c r="L1343" s="72" t="s">
        <v>26</v>
      </c>
      <c r="M1343" s="72"/>
      <c r="O1343" s="1" t="s">
        <v>27</v>
      </c>
      <c r="P1343" s="1" t="s">
        <v>28</v>
      </c>
      <c r="T1343" s="2" t="s">
        <v>29</v>
      </c>
    </row>
    <row r="1344" spans="1:20" s="2" customFormat="1" ht="24.95" customHeight="1">
      <c r="A1344" s="9" t="s">
        <v>30</v>
      </c>
      <c r="B1344" s="110" t="s">
        <v>31</v>
      </c>
      <c r="C1344" s="110"/>
      <c r="D1344" s="110"/>
      <c r="E1344" s="4"/>
      <c r="F1344" s="54"/>
      <c r="G1344" s="59"/>
      <c r="H1344" s="72"/>
      <c r="I1344" s="72"/>
      <c r="J1344" s="72"/>
      <c r="K1344" s="72"/>
      <c r="L1344" s="72"/>
      <c r="M1344" s="72"/>
    </row>
    <row r="1345" spans="1:20" ht="24.95" customHeight="1">
      <c r="A1345" s="10">
        <v>1</v>
      </c>
      <c r="B1345" s="66" t="s">
        <v>91</v>
      </c>
      <c r="C1345" s="67" t="s">
        <v>91</v>
      </c>
      <c r="D1345" s="68" t="s">
        <v>91</v>
      </c>
      <c r="E1345" s="4" t="s">
        <v>32</v>
      </c>
      <c r="F1345" s="69">
        <v>1</v>
      </c>
      <c r="G1345" s="70"/>
      <c r="H1345" s="69"/>
      <c r="I1345" s="70"/>
      <c r="J1345" s="71">
        <f>H1345+J1287</f>
        <v>1</v>
      </c>
      <c r="K1345" s="71"/>
      <c r="L1345" s="72"/>
      <c r="M1345" s="72"/>
      <c r="O1345" s="11">
        <v>4000</v>
      </c>
      <c r="P1345" s="11">
        <f>ROUND(H1345*O1345,0)</f>
        <v>0</v>
      </c>
      <c r="Q1345" s="12"/>
      <c r="S1345" s="11">
        <f>ROUND(J1345*O1345,0)</f>
        <v>4000</v>
      </c>
      <c r="T1345" s="13">
        <f>F1345-J1345</f>
        <v>0</v>
      </c>
    </row>
    <row r="1346" spans="1:20" ht="24.95" customHeight="1">
      <c r="A1346" s="10">
        <v>2</v>
      </c>
      <c r="B1346" s="66" t="s">
        <v>92</v>
      </c>
      <c r="C1346" s="67" t="s">
        <v>92</v>
      </c>
      <c r="D1346" s="68" t="s">
        <v>92</v>
      </c>
      <c r="E1346" s="4" t="s">
        <v>32</v>
      </c>
      <c r="F1346" s="69">
        <v>1</v>
      </c>
      <c r="G1346" s="70"/>
      <c r="H1346" s="69"/>
      <c r="I1346" s="70"/>
      <c r="J1346" s="71">
        <f t="shared" ref="J1346:J1353" si="157">H1346+J1288</f>
        <v>1</v>
      </c>
      <c r="K1346" s="71"/>
      <c r="L1346" s="72"/>
      <c r="M1346" s="72"/>
      <c r="O1346" s="11">
        <v>14334</v>
      </c>
      <c r="P1346" s="11">
        <f t="shared" ref="P1346:P1353" si="158">ROUND(H1346*O1346,0)</f>
        <v>0</v>
      </c>
      <c r="Q1346" s="12"/>
      <c r="S1346" s="11">
        <f t="shared" ref="S1346:S1353" si="159">ROUND(J1346*O1346,0)</f>
        <v>14334</v>
      </c>
      <c r="T1346" s="13">
        <f t="shared" ref="T1346:T1353" si="160">F1346-J1346</f>
        <v>0</v>
      </c>
    </row>
    <row r="1347" spans="1:20" ht="24.95" customHeight="1">
      <c r="A1347" s="10">
        <v>3</v>
      </c>
      <c r="B1347" s="66" t="s">
        <v>84</v>
      </c>
      <c r="C1347" s="67" t="s">
        <v>84</v>
      </c>
      <c r="D1347" s="68" t="s">
        <v>84</v>
      </c>
      <c r="E1347" s="4" t="s">
        <v>33</v>
      </c>
      <c r="F1347" s="69">
        <v>1</v>
      </c>
      <c r="G1347" s="70"/>
      <c r="H1347" s="69"/>
      <c r="I1347" s="70"/>
      <c r="J1347" s="71">
        <f t="shared" si="157"/>
        <v>0.5</v>
      </c>
      <c r="K1347" s="71"/>
      <c r="L1347" s="72"/>
      <c r="M1347" s="72"/>
      <c r="O1347" s="11">
        <v>7000</v>
      </c>
      <c r="P1347" s="11">
        <f t="shared" si="158"/>
        <v>0</v>
      </c>
      <c r="Q1347" s="12"/>
      <c r="S1347" s="11">
        <f t="shared" si="159"/>
        <v>3500</v>
      </c>
      <c r="T1347" s="13">
        <f t="shared" si="160"/>
        <v>0.5</v>
      </c>
    </row>
    <row r="1348" spans="1:20" ht="24.95" customHeight="1">
      <c r="A1348" s="10">
        <v>4</v>
      </c>
      <c r="B1348" s="66" t="s">
        <v>85</v>
      </c>
      <c r="C1348" s="67" t="s">
        <v>85</v>
      </c>
      <c r="D1348" s="68" t="s">
        <v>85</v>
      </c>
      <c r="E1348" s="4" t="s">
        <v>34</v>
      </c>
      <c r="F1348" s="69">
        <v>1</v>
      </c>
      <c r="G1348" s="70"/>
      <c r="H1348" s="69"/>
      <c r="I1348" s="70"/>
      <c r="J1348" s="71">
        <f t="shared" si="157"/>
        <v>1</v>
      </c>
      <c r="K1348" s="71"/>
      <c r="L1348" s="72"/>
      <c r="M1348" s="72"/>
      <c r="O1348" s="11">
        <v>74000</v>
      </c>
      <c r="P1348" s="11">
        <f t="shared" si="158"/>
        <v>0</v>
      </c>
      <c r="Q1348" s="12"/>
      <c r="S1348" s="11">
        <f t="shared" si="159"/>
        <v>74000</v>
      </c>
      <c r="T1348" s="13">
        <f t="shared" si="160"/>
        <v>0</v>
      </c>
    </row>
    <row r="1349" spans="1:20" ht="24.95" customHeight="1">
      <c r="A1349" s="10">
        <v>5</v>
      </c>
      <c r="B1349" s="66" t="s">
        <v>86</v>
      </c>
      <c r="C1349" s="67" t="s">
        <v>86</v>
      </c>
      <c r="D1349" s="68" t="s">
        <v>86</v>
      </c>
      <c r="E1349" s="4" t="s">
        <v>93</v>
      </c>
      <c r="F1349" s="69">
        <v>396</v>
      </c>
      <c r="G1349" s="70"/>
      <c r="H1349" s="69"/>
      <c r="I1349" s="70"/>
      <c r="J1349" s="71">
        <f t="shared" si="157"/>
        <v>350</v>
      </c>
      <c r="K1349" s="71"/>
      <c r="L1349" s="72"/>
      <c r="M1349" s="72"/>
      <c r="O1349" s="11">
        <v>200</v>
      </c>
      <c r="P1349" s="11">
        <f t="shared" si="158"/>
        <v>0</v>
      </c>
      <c r="Q1349" s="12"/>
      <c r="S1349" s="11">
        <f t="shared" si="159"/>
        <v>70000</v>
      </c>
      <c r="T1349" s="13">
        <f t="shared" si="160"/>
        <v>46</v>
      </c>
    </row>
    <row r="1350" spans="1:20" ht="24.95" customHeight="1">
      <c r="A1350" s="10">
        <v>6</v>
      </c>
      <c r="B1350" s="66" t="s">
        <v>97</v>
      </c>
      <c r="C1350" s="67" t="s">
        <v>87</v>
      </c>
      <c r="D1350" s="68" t="s">
        <v>87</v>
      </c>
      <c r="E1350" s="4" t="s">
        <v>35</v>
      </c>
      <c r="F1350" s="69">
        <v>80</v>
      </c>
      <c r="G1350" s="70">
        <v>183.6</v>
      </c>
      <c r="H1350" s="69"/>
      <c r="I1350" s="70"/>
      <c r="J1350" s="71">
        <f t="shared" si="157"/>
        <v>78</v>
      </c>
      <c r="K1350" s="71"/>
      <c r="L1350" s="54"/>
      <c r="M1350" s="59"/>
      <c r="O1350" s="11">
        <v>1463</v>
      </c>
      <c r="P1350" s="11">
        <f t="shared" si="158"/>
        <v>0</v>
      </c>
      <c r="S1350" s="11">
        <f t="shared" si="159"/>
        <v>114114</v>
      </c>
      <c r="T1350" s="13">
        <f t="shared" si="160"/>
        <v>2</v>
      </c>
    </row>
    <row r="1351" spans="1:20" ht="24.95" customHeight="1">
      <c r="A1351" s="10">
        <v>7</v>
      </c>
      <c r="B1351" s="66" t="s">
        <v>88</v>
      </c>
      <c r="C1351" s="67" t="s">
        <v>88</v>
      </c>
      <c r="D1351" s="68" t="s">
        <v>88</v>
      </c>
      <c r="E1351" s="4" t="s">
        <v>94</v>
      </c>
      <c r="F1351" s="69">
        <v>126</v>
      </c>
      <c r="G1351" s="70">
        <v>19</v>
      </c>
      <c r="H1351" s="69"/>
      <c r="I1351" s="70"/>
      <c r="J1351" s="71">
        <f t="shared" si="157"/>
        <v>0</v>
      </c>
      <c r="K1351" s="71"/>
      <c r="L1351" s="54"/>
      <c r="M1351" s="59"/>
      <c r="O1351" s="11">
        <v>6350</v>
      </c>
      <c r="P1351" s="11">
        <f t="shared" si="158"/>
        <v>0</v>
      </c>
      <c r="S1351" s="11">
        <f t="shared" si="159"/>
        <v>0</v>
      </c>
      <c r="T1351" s="13">
        <f t="shared" si="160"/>
        <v>126</v>
      </c>
    </row>
    <row r="1352" spans="1:20" ht="24.95" customHeight="1">
      <c r="A1352" s="10">
        <v>8</v>
      </c>
      <c r="B1352" s="66" t="s">
        <v>89</v>
      </c>
      <c r="C1352" s="67" t="s">
        <v>89</v>
      </c>
      <c r="D1352" s="68" t="s">
        <v>89</v>
      </c>
      <c r="E1352" s="4" t="s">
        <v>95</v>
      </c>
      <c r="F1352" s="69">
        <v>1</v>
      </c>
      <c r="G1352" s="70">
        <v>1192</v>
      </c>
      <c r="H1352" s="69"/>
      <c r="I1352" s="70"/>
      <c r="J1352" s="71">
        <f t="shared" si="157"/>
        <v>0.3</v>
      </c>
      <c r="K1352" s="71"/>
      <c r="L1352" s="54"/>
      <c r="M1352" s="59"/>
      <c r="O1352" s="11">
        <v>47600</v>
      </c>
      <c r="P1352" s="11">
        <f t="shared" si="158"/>
        <v>0</v>
      </c>
      <c r="S1352" s="11">
        <f t="shared" si="159"/>
        <v>14280</v>
      </c>
      <c r="T1352" s="13">
        <f t="shared" si="160"/>
        <v>0.7</v>
      </c>
    </row>
    <row r="1353" spans="1:20" ht="24.95" customHeight="1">
      <c r="A1353" s="10">
        <v>9</v>
      </c>
      <c r="B1353" s="66" t="s">
        <v>90</v>
      </c>
      <c r="C1353" s="67" t="s">
        <v>90</v>
      </c>
      <c r="D1353" s="68" t="s">
        <v>90</v>
      </c>
      <c r="E1353" s="4" t="s">
        <v>96</v>
      </c>
      <c r="F1353" s="69">
        <v>1</v>
      </c>
      <c r="G1353" s="70">
        <v>1261</v>
      </c>
      <c r="H1353" s="69"/>
      <c r="I1353" s="70"/>
      <c r="J1353" s="71">
        <f t="shared" si="157"/>
        <v>0</v>
      </c>
      <c r="K1353" s="71"/>
      <c r="L1353" s="54"/>
      <c r="M1353" s="59"/>
      <c r="O1353" s="11">
        <v>10000</v>
      </c>
      <c r="P1353" s="11">
        <f t="shared" si="158"/>
        <v>0</v>
      </c>
      <c r="S1353" s="11">
        <f t="shared" si="159"/>
        <v>0</v>
      </c>
      <c r="T1353" s="13">
        <f t="shared" si="160"/>
        <v>1</v>
      </c>
    </row>
    <row r="1354" spans="1:20" ht="24.95" customHeight="1">
      <c r="A1354" s="14"/>
      <c r="B1354" s="15"/>
      <c r="C1354" s="16"/>
      <c r="D1354" s="17"/>
      <c r="E1354" s="4"/>
      <c r="F1354" s="18"/>
      <c r="G1354" s="19"/>
      <c r="H1354" s="105"/>
      <c r="I1354" s="106"/>
      <c r="J1354" s="105"/>
      <c r="K1354" s="106"/>
      <c r="L1354" s="54"/>
      <c r="M1354" s="59"/>
      <c r="N1354" s="20"/>
      <c r="P1354" s="21" t="s">
        <v>37</v>
      </c>
      <c r="Q1354" s="22">
        <f>SUM(P1345:P1353)</f>
        <v>0</v>
      </c>
      <c r="R1354" s="23"/>
      <c r="S1354" s="24">
        <f>SUM(S1345:S1353)</f>
        <v>294228</v>
      </c>
      <c r="T1354" s="13"/>
    </row>
    <row r="1355" spans="1:20" ht="24.95" customHeight="1">
      <c r="A1355" s="107"/>
      <c r="B1355" s="108"/>
      <c r="C1355" s="108"/>
      <c r="D1355" s="109"/>
      <c r="E1355" s="4"/>
      <c r="F1355" s="54"/>
      <c r="G1355" s="59"/>
      <c r="H1355" s="72"/>
      <c r="I1355" s="72"/>
      <c r="J1355" s="72"/>
      <c r="K1355" s="72"/>
      <c r="L1355" s="72"/>
      <c r="M1355" s="72"/>
      <c r="O1355" t="s">
        <v>38</v>
      </c>
      <c r="P1355" s="24">
        <f>Q1354</f>
        <v>0</v>
      </c>
      <c r="T1355" s="13"/>
    </row>
    <row r="1356" spans="1:20" ht="24.95" customHeight="1">
      <c r="A1356" s="97"/>
      <c r="B1356" s="98"/>
      <c r="C1356" s="98"/>
      <c r="D1356" s="99"/>
      <c r="E1356" s="4"/>
      <c r="F1356" s="54"/>
      <c r="G1356" s="59"/>
      <c r="H1356" s="72"/>
      <c r="I1356" s="72"/>
      <c r="J1356" s="72"/>
      <c r="K1356" s="72"/>
      <c r="L1356" s="72"/>
      <c r="M1356" s="72"/>
      <c r="O1356" t="s">
        <v>39</v>
      </c>
      <c r="P1356" s="23">
        <f>ROUND(P1355/1153274,4)*100</f>
        <v>0</v>
      </c>
      <c r="T1356" s="13"/>
    </row>
    <row r="1357" spans="1:20" ht="24.95" customHeight="1">
      <c r="A1357" s="25"/>
      <c r="B1357" s="63" t="s">
        <v>40</v>
      </c>
      <c r="C1357" s="63"/>
      <c r="D1357" s="59"/>
      <c r="E1357" s="26"/>
      <c r="F1357" s="100"/>
      <c r="G1357" s="101"/>
      <c r="H1357" s="100"/>
      <c r="I1357" s="101"/>
      <c r="J1357" s="102"/>
      <c r="K1357" s="102"/>
      <c r="L1357" s="103">
        <f>P1355</f>
        <v>0</v>
      </c>
      <c r="M1357" s="104"/>
      <c r="T1357" s="13"/>
    </row>
    <row r="1358" spans="1:20" ht="24.95" customHeight="1" thickBot="1">
      <c r="A1358" s="27"/>
      <c r="B1358" s="85" t="s">
        <v>41</v>
      </c>
      <c r="C1358" s="85"/>
      <c r="D1358" s="86"/>
      <c r="E1358" s="28"/>
      <c r="F1358" s="87"/>
      <c r="G1358" s="88"/>
      <c r="H1358" s="87"/>
      <c r="I1358" s="88"/>
      <c r="J1358" s="87"/>
      <c r="K1358" s="88"/>
      <c r="L1358" s="89">
        <f>L1357+L1300</f>
        <v>294228</v>
      </c>
      <c r="M1358" s="90"/>
      <c r="T1358" s="13"/>
    </row>
    <row r="1359" spans="1:20" ht="24.95" customHeight="1">
      <c r="A1359" s="29"/>
      <c r="B1359" s="91" t="s">
        <v>42</v>
      </c>
      <c r="C1359" s="91"/>
      <c r="D1359" s="92"/>
      <c r="E1359" s="30"/>
      <c r="F1359" s="93"/>
      <c r="G1359" s="94"/>
      <c r="H1359" s="95"/>
      <c r="I1359" s="95"/>
      <c r="J1359" s="95"/>
      <c r="K1359" s="95"/>
      <c r="L1359" s="95"/>
      <c r="M1359" s="96"/>
      <c r="T1359" s="13"/>
    </row>
    <row r="1360" spans="1:20" ht="24.95" customHeight="1">
      <c r="A1360" s="31"/>
      <c r="B1360" s="76" t="s">
        <v>43</v>
      </c>
      <c r="C1360" s="76"/>
      <c r="D1360" s="77"/>
      <c r="E1360" s="4"/>
      <c r="F1360" s="54"/>
      <c r="G1360" s="59"/>
      <c r="H1360" s="72"/>
      <c r="I1360" s="72"/>
      <c r="J1360" s="72"/>
      <c r="K1360" s="72"/>
      <c r="L1360" s="72"/>
      <c r="M1360" s="78"/>
      <c r="T1360" s="13"/>
    </row>
    <row r="1361" spans="1:20" ht="24.95" customHeight="1" thickBot="1">
      <c r="A1361" s="32"/>
      <c r="B1361" s="79" t="s">
        <v>44</v>
      </c>
      <c r="C1361" s="79"/>
      <c r="D1361" s="80"/>
      <c r="E1361" s="33"/>
      <c r="F1361" s="81"/>
      <c r="G1361" s="82"/>
      <c r="H1361" s="83"/>
      <c r="I1361" s="83"/>
      <c r="J1361" s="83"/>
      <c r="K1361" s="83"/>
      <c r="L1361" s="83"/>
      <c r="M1361" s="84"/>
      <c r="T1361" s="13"/>
    </row>
    <row r="1362" spans="1:20" ht="24.95" customHeight="1">
      <c r="A1362" s="73" t="s">
        <v>45</v>
      </c>
      <c r="B1362" s="74"/>
      <c r="C1362" s="74"/>
      <c r="D1362" s="74"/>
      <c r="E1362" s="74"/>
      <c r="F1362" s="74"/>
      <c r="G1362" s="74"/>
      <c r="H1362" s="74"/>
      <c r="I1362" s="74"/>
      <c r="J1362" s="74"/>
      <c r="K1362" s="74"/>
      <c r="L1362" s="74"/>
      <c r="M1362" s="74"/>
      <c r="T1362" s="13"/>
    </row>
    <row r="1363" spans="1:20" ht="24.95" customHeight="1">
      <c r="A1363" s="72" t="s">
        <v>46</v>
      </c>
      <c r="B1363" s="75"/>
      <c r="C1363" s="75"/>
      <c r="D1363" s="75"/>
      <c r="E1363" s="4" t="s">
        <v>22</v>
      </c>
      <c r="F1363" s="72" t="s">
        <v>47</v>
      </c>
      <c r="G1363" s="72"/>
      <c r="H1363" s="72" t="s">
        <v>48</v>
      </c>
      <c r="I1363" s="72"/>
      <c r="J1363" s="72" t="s">
        <v>49</v>
      </c>
      <c r="K1363" s="72"/>
      <c r="L1363" s="72" t="s">
        <v>50</v>
      </c>
      <c r="M1363" s="72"/>
      <c r="T1363" s="13"/>
    </row>
    <row r="1364" spans="1:20" ht="24.95" customHeight="1">
      <c r="A1364" s="10">
        <v>6</v>
      </c>
      <c r="B1364" s="66" t="s">
        <v>97</v>
      </c>
      <c r="C1364" s="67" t="s">
        <v>51</v>
      </c>
      <c r="D1364" s="68" t="s">
        <v>51</v>
      </c>
      <c r="E1364" s="4" t="s">
        <v>35</v>
      </c>
      <c r="F1364" s="69">
        <v>80</v>
      </c>
      <c r="G1364" s="70">
        <v>1261</v>
      </c>
      <c r="H1364" s="71">
        <f>H1350</f>
        <v>0</v>
      </c>
      <c r="I1364" s="71"/>
      <c r="J1364" s="71">
        <f>H1364+J1306</f>
        <v>78</v>
      </c>
      <c r="K1364" s="71"/>
      <c r="L1364" s="72"/>
      <c r="M1364" s="72"/>
      <c r="T1364" s="13"/>
    </row>
    <row r="1365" spans="1:20" ht="24.95" customHeight="1">
      <c r="A1365" s="10">
        <v>7</v>
      </c>
      <c r="B1365" s="66" t="s">
        <v>88</v>
      </c>
      <c r="C1365" s="67" t="s">
        <v>88</v>
      </c>
      <c r="D1365" s="68" t="s">
        <v>88</v>
      </c>
      <c r="E1365" s="4" t="s">
        <v>98</v>
      </c>
      <c r="F1365" s="69">
        <v>126</v>
      </c>
      <c r="G1365" s="70"/>
      <c r="H1365" s="71">
        <f>H1351</f>
        <v>0</v>
      </c>
      <c r="I1365" s="71"/>
      <c r="J1365" s="71">
        <f t="shared" ref="J1365:J1366" si="161">H1365+J1307</f>
        <v>0</v>
      </c>
      <c r="K1365" s="71"/>
      <c r="L1365" s="72"/>
      <c r="M1365" s="72"/>
      <c r="T1365" s="13"/>
    </row>
    <row r="1366" spans="1:20" ht="24.95" customHeight="1">
      <c r="A1366" s="10">
        <v>8</v>
      </c>
      <c r="B1366" s="66" t="s">
        <v>89</v>
      </c>
      <c r="C1366" s="67" t="s">
        <v>89</v>
      </c>
      <c r="D1366" s="68" t="s">
        <v>89</v>
      </c>
      <c r="E1366" s="4" t="s">
        <v>36</v>
      </c>
      <c r="F1366" s="69">
        <v>1</v>
      </c>
      <c r="G1366" s="70"/>
      <c r="H1366" s="71">
        <f>H1352</f>
        <v>0</v>
      </c>
      <c r="I1366" s="71"/>
      <c r="J1366" s="71">
        <f t="shared" si="161"/>
        <v>0.3</v>
      </c>
      <c r="K1366" s="71"/>
      <c r="L1366" s="72"/>
      <c r="M1366" s="72"/>
      <c r="T1366" s="13"/>
    </row>
    <row r="1367" spans="1:20" ht="24.95" customHeight="1">
      <c r="A1367" s="51" t="s">
        <v>52</v>
      </c>
      <c r="B1367" s="52"/>
      <c r="C1367" s="52"/>
      <c r="D1367" s="52"/>
      <c r="E1367" s="52"/>
      <c r="F1367" s="52"/>
      <c r="G1367" s="52"/>
      <c r="H1367" s="52"/>
      <c r="I1367" s="52"/>
      <c r="J1367" s="52"/>
      <c r="K1367" s="52"/>
      <c r="L1367" s="52"/>
      <c r="M1367" s="53"/>
      <c r="T1367" s="13"/>
    </row>
    <row r="1368" spans="1:20" ht="24.95" customHeight="1">
      <c r="A1368" s="54" t="s">
        <v>53</v>
      </c>
      <c r="B1368" s="63"/>
      <c r="C1368" s="63"/>
      <c r="D1368" s="59"/>
      <c r="E1368" s="4" t="s">
        <v>54</v>
      </c>
      <c r="F1368" s="54" t="s">
        <v>55</v>
      </c>
      <c r="G1368" s="59"/>
      <c r="H1368" s="54" t="s">
        <v>56</v>
      </c>
      <c r="I1368" s="59"/>
      <c r="J1368" s="54" t="s">
        <v>48</v>
      </c>
      <c r="K1368" s="59"/>
      <c r="L1368" s="64" t="s">
        <v>49</v>
      </c>
      <c r="M1368" s="65"/>
      <c r="T1368" s="13"/>
    </row>
    <row r="1369" spans="1:20" ht="24.95" customHeight="1">
      <c r="A1369" s="54" t="s">
        <v>57</v>
      </c>
      <c r="B1369" s="55"/>
      <c r="C1369" s="55"/>
      <c r="D1369" s="56"/>
      <c r="E1369" s="4"/>
      <c r="F1369" s="57">
        <f>E1369+F1311</f>
        <v>28</v>
      </c>
      <c r="G1369" s="58"/>
      <c r="H1369" s="54" t="s">
        <v>58</v>
      </c>
      <c r="I1369" s="59"/>
      <c r="J1369" s="54"/>
      <c r="K1369" s="59"/>
      <c r="L1369" s="57">
        <f>J1369+L1311</f>
        <v>15</v>
      </c>
      <c r="M1369" s="58"/>
      <c r="T1369" s="13"/>
    </row>
    <row r="1370" spans="1:20" ht="24.95" customHeight="1">
      <c r="A1370" s="54" t="s">
        <v>59</v>
      </c>
      <c r="B1370" s="55"/>
      <c r="C1370" s="55"/>
      <c r="D1370" s="56"/>
      <c r="E1370" s="4"/>
      <c r="F1370" s="57">
        <f t="shared" ref="F1370:F1372" si="162">E1370+F1312</f>
        <v>0</v>
      </c>
      <c r="G1370" s="58"/>
      <c r="H1370" s="54" t="s">
        <v>60</v>
      </c>
      <c r="I1370" s="59"/>
      <c r="J1370" s="54"/>
      <c r="K1370" s="59"/>
      <c r="L1370" s="57">
        <f t="shared" ref="L1370:L1372" si="163">J1370+L1312</f>
        <v>0</v>
      </c>
      <c r="M1370" s="58"/>
      <c r="T1370" s="13"/>
    </row>
    <row r="1371" spans="1:20" ht="24.95" customHeight="1">
      <c r="A1371" s="54" t="s">
        <v>61</v>
      </c>
      <c r="B1371" s="55"/>
      <c r="C1371" s="55"/>
      <c r="D1371" s="56"/>
      <c r="E1371" s="4"/>
      <c r="F1371" s="57">
        <f t="shared" si="162"/>
        <v>2</v>
      </c>
      <c r="G1371" s="58"/>
      <c r="H1371" s="54" t="s">
        <v>62</v>
      </c>
      <c r="I1371" s="59"/>
      <c r="J1371" s="54"/>
      <c r="K1371" s="59"/>
      <c r="L1371" s="57">
        <f t="shared" si="163"/>
        <v>5</v>
      </c>
      <c r="M1371" s="58"/>
      <c r="T1371" s="13"/>
    </row>
    <row r="1372" spans="1:20" ht="24.95" customHeight="1">
      <c r="A1372" s="54" t="s">
        <v>63</v>
      </c>
      <c r="B1372" s="55"/>
      <c r="C1372" s="55"/>
      <c r="D1372" s="56"/>
      <c r="E1372" s="4"/>
      <c r="F1372" s="57">
        <f t="shared" si="162"/>
        <v>4</v>
      </c>
      <c r="G1372" s="58"/>
      <c r="H1372" s="54" t="s">
        <v>64</v>
      </c>
      <c r="I1372" s="59"/>
      <c r="J1372" s="54"/>
      <c r="K1372" s="59"/>
      <c r="L1372" s="57">
        <f t="shared" si="163"/>
        <v>1</v>
      </c>
      <c r="M1372" s="58"/>
      <c r="T1372" s="13"/>
    </row>
    <row r="1373" spans="1:20" ht="64.5" customHeight="1">
      <c r="A1373" s="60" t="s">
        <v>65</v>
      </c>
      <c r="B1373" s="61"/>
      <c r="C1373" s="61"/>
      <c r="D1373" s="61"/>
      <c r="E1373" s="61"/>
      <c r="F1373" s="61"/>
      <c r="G1373" s="61"/>
      <c r="H1373" s="61"/>
      <c r="I1373" s="61"/>
      <c r="J1373" s="61"/>
      <c r="K1373" s="61"/>
      <c r="L1373" s="61"/>
      <c r="M1373" s="62"/>
      <c r="T1373" s="13"/>
    </row>
    <row r="1374" spans="1:20" ht="24.95" customHeight="1">
      <c r="A1374" s="46" t="s">
        <v>66</v>
      </c>
      <c r="B1374" s="47"/>
      <c r="C1374" s="47"/>
      <c r="D1374" s="47"/>
      <c r="E1374" s="47"/>
      <c r="F1374" s="47"/>
      <c r="G1374" s="47"/>
      <c r="H1374" s="47"/>
      <c r="I1374" s="47"/>
      <c r="J1374" s="47"/>
      <c r="K1374" s="47"/>
      <c r="L1374" s="47"/>
      <c r="M1374" s="48"/>
      <c r="T1374" s="13"/>
    </row>
    <row r="1375" spans="1:20" ht="24.95" customHeight="1">
      <c r="A1375" s="27"/>
      <c r="B1375" s="34" t="s">
        <v>67</v>
      </c>
      <c r="C1375" s="34"/>
      <c r="D1375" s="34"/>
      <c r="E1375" s="34"/>
      <c r="F1375" s="34"/>
      <c r="G1375" s="35"/>
      <c r="H1375" s="34"/>
      <c r="I1375" s="34"/>
      <c r="J1375" s="34"/>
      <c r="K1375" s="34"/>
      <c r="L1375" s="34"/>
      <c r="M1375" s="36"/>
      <c r="T1375" s="13"/>
    </row>
    <row r="1376" spans="1:20" ht="24.95" customHeight="1">
      <c r="A1376" s="27"/>
      <c r="B1376" s="34" t="s">
        <v>81</v>
      </c>
      <c r="C1376" s="34"/>
      <c r="D1376" s="34"/>
      <c r="E1376" s="34"/>
      <c r="F1376" s="34"/>
      <c r="G1376" s="35"/>
      <c r="H1376" s="34"/>
      <c r="I1376" s="34"/>
      <c r="J1376" s="34"/>
      <c r="K1376" s="34"/>
      <c r="L1376" s="34"/>
      <c r="M1376" s="36"/>
      <c r="T1376" s="13"/>
    </row>
    <row r="1377" spans="1:20" ht="24.95" customHeight="1">
      <c r="A1377" s="27"/>
      <c r="B1377" s="34" t="s">
        <v>68</v>
      </c>
      <c r="C1377" s="34"/>
      <c r="D1377" s="34"/>
      <c r="E1377" s="34"/>
      <c r="F1377" s="34"/>
      <c r="G1377" s="35"/>
      <c r="H1377" s="34"/>
      <c r="I1377" s="34"/>
      <c r="J1377" s="34"/>
      <c r="K1377" s="34"/>
      <c r="L1377" s="34"/>
      <c r="M1377" s="36"/>
      <c r="T1377" s="13"/>
    </row>
    <row r="1378" spans="1:20" ht="24.95" customHeight="1">
      <c r="A1378" s="27"/>
      <c r="B1378" s="34" t="s">
        <v>82</v>
      </c>
      <c r="C1378" s="34"/>
      <c r="D1378" s="34"/>
      <c r="E1378" s="34"/>
      <c r="F1378" s="34"/>
      <c r="G1378" s="35"/>
      <c r="H1378" s="34"/>
      <c r="I1378" s="34"/>
      <c r="J1378" s="34"/>
      <c r="K1378" s="34"/>
      <c r="L1378" s="34"/>
      <c r="M1378" s="36"/>
      <c r="T1378" s="13"/>
    </row>
    <row r="1379" spans="1:20" ht="24.95" customHeight="1">
      <c r="A1379" s="27"/>
      <c r="B1379" s="34" t="s">
        <v>99</v>
      </c>
      <c r="C1379" s="34"/>
      <c r="D1379" s="34"/>
      <c r="E1379" s="34"/>
      <c r="F1379" s="34"/>
      <c r="G1379" s="35"/>
      <c r="H1379" s="34"/>
      <c r="I1379" s="34"/>
      <c r="J1379" s="34"/>
      <c r="K1379" s="34"/>
      <c r="L1379" s="34"/>
      <c r="M1379" s="36"/>
      <c r="T1379" s="13"/>
    </row>
    <row r="1380" spans="1:20" ht="24.95" customHeight="1">
      <c r="A1380" s="37"/>
      <c r="B1380" s="49" t="s">
        <v>69</v>
      </c>
      <c r="C1380" s="49"/>
      <c r="D1380" s="49"/>
      <c r="E1380" s="49"/>
      <c r="F1380" s="49"/>
      <c r="G1380" s="49"/>
      <c r="H1380" s="49"/>
      <c r="I1380" s="49"/>
      <c r="J1380" s="49"/>
      <c r="K1380" s="49"/>
      <c r="L1380" s="49"/>
      <c r="M1380" s="50"/>
      <c r="T1380" s="13"/>
    </row>
    <row r="1381" spans="1:20" ht="44.25" customHeight="1">
      <c r="A1381" s="51" t="s">
        <v>70</v>
      </c>
      <c r="B1381" s="52"/>
      <c r="C1381" s="52"/>
      <c r="D1381" s="52"/>
      <c r="E1381" s="52"/>
      <c r="F1381" s="52"/>
      <c r="G1381" s="52"/>
      <c r="H1381" s="52"/>
      <c r="I1381" s="52"/>
      <c r="J1381" s="52"/>
      <c r="K1381" s="52"/>
      <c r="L1381" s="52"/>
      <c r="M1381" s="53"/>
      <c r="T1381" s="13"/>
    </row>
    <row r="1382" spans="1:20" ht="48" customHeight="1">
      <c r="A1382" s="51" t="s">
        <v>71</v>
      </c>
      <c r="B1382" s="52"/>
      <c r="C1382" s="52"/>
      <c r="D1382" s="52"/>
      <c r="E1382" s="52"/>
      <c r="F1382" s="52"/>
      <c r="G1382" s="52"/>
      <c r="H1382" s="52"/>
      <c r="I1382" s="52"/>
      <c r="J1382" s="52"/>
      <c r="K1382" s="52"/>
      <c r="L1382" s="52"/>
      <c r="M1382" s="53"/>
      <c r="T1382" s="13"/>
    </row>
    <row r="1383" spans="1:20" ht="81" customHeight="1">
      <c r="A1383" s="51" t="s">
        <v>80</v>
      </c>
      <c r="B1383" s="52"/>
      <c r="C1383" s="52"/>
      <c r="D1383" s="52"/>
      <c r="E1383" s="52"/>
      <c r="F1383" s="52"/>
      <c r="G1383" s="52"/>
      <c r="H1383" s="52"/>
      <c r="I1383" s="52"/>
      <c r="J1383" s="52"/>
      <c r="K1383" s="52"/>
      <c r="L1383" s="52"/>
      <c r="M1383" s="53"/>
      <c r="T1383" s="13"/>
    </row>
    <row r="1384" spans="1:20" ht="100.5" customHeight="1">
      <c r="A1384" s="51" t="s">
        <v>72</v>
      </c>
      <c r="B1384" s="52"/>
      <c r="C1384" s="52"/>
      <c r="D1384" s="52"/>
      <c r="E1384" s="52"/>
      <c r="F1384" s="52"/>
      <c r="G1384" s="52"/>
      <c r="H1384" s="52"/>
      <c r="I1384" s="52"/>
      <c r="J1384" s="52"/>
      <c r="K1384" s="52"/>
      <c r="L1384" s="52"/>
      <c r="M1384" s="53"/>
      <c r="T1384" s="13"/>
    </row>
    <row r="1385" spans="1:20" ht="12" customHeight="1">
      <c r="A1385" s="41" t="s">
        <v>73</v>
      </c>
      <c r="B1385" s="41"/>
      <c r="C1385" s="42"/>
      <c r="D1385" s="42"/>
      <c r="E1385" s="42"/>
      <c r="F1385" s="42"/>
      <c r="G1385" s="42"/>
      <c r="H1385" s="42"/>
      <c r="I1385" s="42"/>
      <c r="J1385" s="42"/>
      <c r="K1385" s="42"/>
      <c r="L1385" s="42"/>
      <c r="M1385" s="38"/>
      <c r="T1385" s="13"/>
    </row>
    <row r="1386" spans="1:20" ht="12" customHeight="1">
      <c r="A1386" s="43" t="s">
        <v>74</v>
      </c>
      <c r="B1386" s="43"/>
      <c r="C1386" s="40"/>
      <c r="D1386" s="40"/>
      <c r="E1386" s="40"/>
      <c r="F1386" s="40"/>
      <c r="G1386" s="40"/>
      <c r="H1386" s="40"/>
      <c r="I1386" s="40"/>
      <c r="J1386" s="40"/>
      <c r="K1386" s="40"/>
      <c r="L1386" s="38"/>
      <c r="M1386" s="38"/>
      <c r="T1386" s="13"/>
    </row>
    <row r="1387" spans="1:20" ht="12" customHeight="1">
      <c r="A1387" s="44" t="s">
        <v>75</v>
      </c>
      <c r="B1387" s="44"/>
      <c r="C1387" s="44"/>
      <c r="D1387" s="44"/>
      <c r="E1387" s="44"/>
      <c r="F1387" s="44"/>
      <c r="G1387" s="44"/>
      <c r="H1387" s="44"/>
      <c r="I1387" s="44"/>
      <c r="J1387" s="44"/>
      <c r="K1387" s="44"/>
      <c r="L1387" s="44"/>
      <c r="M1387" s="44"/>
      <c r="T1387" s="13"/>
    </row>
    <row r="1388" spans="1:20" ht="12" customHeight="1">
      <c r="A1388" s="39" t="s">
        <v>76</v>
      </c>
      <c r="B1388" s="39"/>
      <c r="C1388" s="39"/>
      <c r="D1388" s="39"/>
      <c r="E1388" s="39"/>
      <c r="F1388" s="39"/>
      <c r="G1388" s="39"/>
      <c r="H1388" s="39"/>
      <c r="I1388" s="39"/>
      <c r="J1388" s="39"/>
      <c r="K1388" s="39"/>
      <c r="L1388" s="39"/>
      <c r="M1388" s="39"/>
      <c r="T1388" s="13"/>
    </row>
    <row r="1389" spans="1:20" ht="12" customHeight="1">
      <c r="A1389" s="39" t="s">
        <v>77</v>
      </c>
      <c r="B1389" s="40"/>
      <c r="C1389" s="40"/>
      <c r="D1389" s="40"/>
      <c r="E1389" s="40"/>
      <c r="F1389" s="40"/>
      <c r="G1389" s="40"/>
      <c r="H1389" s="40"/>
      <c r="I1389" s="40"/>
      <c r="J1389" s="40"/>
      <c r="K1389" s="40"/>
      <c r="L1389" s="40"/>
      <c r="M1389" s="40"/>
      <c r="T1389" s="13"/>
    </row>
    <row r="1390" spans="1:20" ht="12" customHeight="1">
      <c r="A1390" s="45" t="s">
        <v>78</v>
      </c>
      <c r="B1390" s="40"/>
      <c r="C1390" s="40"/>
      <c r="D1390" s="40"/>
      <c r="E1390" s="40"/>
      <c r="F1390" s="40"/>
      <c r="G1390" s="40"/>
      <c r="H1390" s="40"/>
      <c r="I1390" s="40"/>
      <c r="J1390" s="40"/>
      <c r="K1390" s="40"/>
      <c r="L1390" s="40"/>
      <c r="M1390" s="40"/>
      <c r="T1390" s="13"/>
    </row>
    <row r="1391" spans="1:20" ht="12" customHeight="1">
      <c r="A1391" s="39" t="s">
        <v>79</v>
      </c>
      <c r="B1391" s="40"/>
      <c r="C1391" s="40"/>
      <c r="D1391" s="40"/>
      <c r="E1391" s="40"/>
      <c r="F1391" s="40"/>
      <c r="G1391" s="40"/>
      <c r="H1391" s="40"/>
      <c r="I1391" s="40"/>
      <c r="J1391" s="40"/>
      <c r="K1391" s="40"/>
      <c r="L1391" s="40"/>
      <c r="M1391" s="40"/>
      <c r="T1391" s="13"/>
    </row>
    <row r="1392" spans="1:20" ht="409.5" customHeight="1"/>
    <row r="1393" spans="1:20" s="2" customFormat="1" ht="35.1" customHeight="1">
      <c r="A1393" s="126" t="s">
        <v>0</v>
      </c>
      <c r="B1393" s="126"/>
      <c r="C1393" s="1">
        <f>C1335+1</f>
        <v>60</v>
      </c>
      <c r="G1393" s="3"/>
    </row>
    <row r="1394" spans="1:20" s="2" customFormat="1" ht="35.1" customHeight="1">
      <c r="A1394" s="126" t="s">
        <v>1</v>
      </c>
      <c r="B1394" s="126"/>
      <c r="C1394" s="2" t="s">
        <v>2</v>
      </c>
      <c r="E1394" s="2" t="s">
        <v>3</v>
      </c>
      <c r="G1394" s="3"/>
      <c r="H1394" s="127" t="s">
        <v>4</v>
      </c>
      <c r="I1394" s="128"/>
      <c r="J1394" s="129">
        <f>J1336+1</f>
        <v>46047</v>
      </c>
      <c r="K1394" s="130"/>
      <c r="L1394" s="131">
        <f>J1394</f>
        <v>46047</v>
      </c>
      <c r="M1394" s="132"/>
    </row>
    <row r="1395" spans="1:20" s="2" customFormat="1" ht="30" customHeight="1">
      <c r="A1395" s="72" t="s">
        <v>5</v>
      </c>
      <c r="B1395" s="114"/>
      <c r="C1395" s="119" t="s">
        <v>83</v>
      </c>
      <c r="D1395" s="119"/>
      <c r="E1395" s="119"/>
      <c r="F1395" s="119"/>
      <c r="G1395" s="119"/>
      <c r="H1395" s="54" t="s">
        <v>6</v>
      </c>
      <c r="I1395" s="59"/>
      <c r="J1395" s="120"/>
      <c r="K1395" s="120"/>
      <c r="L1395" s="120"/>
      <c r="M1395" s="120"/>
    </row>
    <row r="1396" spans="1:20" s="1" customFormat="1" ht="30" customHeight="1">
      <c r="A1396" s="72" t="s">
        <v>7</v>
      </c>
      <c r="B1396" s="114"/>
      <c r="C1396" s="4">
        <v>50</v>
      </c>
      <c r="D1396" s="4" t="s">
        <v>8</v>
      </c>
      <c r="E1396" s="4" t="s">
        <v>9</v>
      </c>
      <c r="F1396" s="4">
        <f>F1338+1</f>
        <v>60</v>
      </c>
      <c r="G1396" s="5" t="s">
        <v>8</v>
      </c>
      <c r="H1396" s="4" t="s">
        <v>10</v>
      </c>
      <c r="I1396" s="4">
        <f>C1396-F1396+L1396</f>
        <v>-10</v>
      </c>
      <c r="J1396" s="4" t="s">
        <v>11</v>
      </c>
      <c r="K1396" s="6" t="s">
        <v>12</v>
      </c>
      <c r="L1396" s="7">
        <f>L1338</f>
        <v>0</v>
      </c>
      <c r="M1396" s="4" t="s">
        <v>8</v>
      </c>
    </row>
    <row r="1397" spans="1:20" s="2" customFormat="1" ht="30" customHeight="1">
      <c r="A1397" s="72" t="s">
        <v>13</v>
      </c>
      <c r="B1397" s="75"/>
      <c r="C1397" s="75"/>
      <c r="D1397" s="121">
        <f>D1339</f>
        <v>45988</v>
      </c>
      <c r="E1397" s="122"/>
      <c r="F1397" s="122"/>
      <c r="G1397" s="123"/>
      <c r="H1397" s="124" t="s">
        <v>14</v>
      </c>
      <c r="I1397" s="125"/>
      <c r="J1397" s="121">
        <f>J1339</f>
        <v>46037</v>
      </c>
      <c r="K1397" s="122"/>
      <c r="L1397" s="122"/>
      <c r="M1397" s="123"/>
    </row>
    <row r="1398" spans="1:20" s="2" customFormat="1" ht="30" customHeight="1">
      <c r="A1398" s="72" t="s">
        <v>15</v>
      </c>
      <c r="B1398" s="114"/>
      <c r="C1398" s="114"/>
      <c r="D1398" s="72"/>
      <c r="E1398" s="72"/>
      <c r="F1398" s="72"/>
      <c r="G1398" s="72"/>
      <c r="H1398" s="64" t="s">
        <v>16</v>
      </c>
      <c r="I1398" s="115"/>
      <c r="J1398" s="116">
        <f>P1414</f>
        <v>0</v>
      </c>
      <c r="K1398" s="117"/>
      <c r="L1398" s="117"/>
      <c r="M1398" s="118"/>
    </row>
    <row r="1399" spans="1:20" s="2" customFormat="1" ht="30" customHeight="1">
      <c r="A1399" s="72" t="s">
        <v>17</v>
      </c>
      <c r="B1399" s="114"/>
      <c r="C1399" s="114"/>
      <c r="D1399" s="72">
        <f>D1398+D1341</f>
        <v>100.00000000000004</v>
      </c>
      <c r="E1399" s="72"/>
      <c r="F1399" s="72"/>
      <c r="G1399" s="72"/>
      <c r="H1399" s="64" t="s">
        <v>18</v>
      </c>
      <c r="I1399" s="115"/>
      <c r="J1399" s="116">
        <f>J1398+J1341</f>
        <v>25.469999999999992</v>
      </c>
      <c r="K1399" s="117"/>
      <c r="L1399" s="117"/>
      <c r="M1399" s="118"/>
    </row>
    <row r="1400" spans="1:20" s="2" customFormat="1" ht="30" customHeight="1">
      <c r="A1400" s="111" t="s">
        <v>19</v>
      </c>
      <c r="B1400" s="112"/>
      <c r="C1400" s="112"/>
      <c r="D1400" s="112"/>
      <c r="E1400" s="112"/>
      <c r="F1400" s="112"/>
      <c r="G1400" s="112"/>
      <c r="H1400" s="112"/>
      <c r="I1400" s="112"/>
      <c r="J1400" s="112"/>
      <c r="K1400" s="112"/>
      <c r="L1400" s="112"/>
      <c r="M1400" s="113"/>
    </row>
    <row r="1401" spans="1:20" s="2" customFormat="1" ht="30" customHeight="1">
      <c r="A1401" s="8" t="s">
        <v>20</v>
      </c>
      <c r="B1401" s="72" t="s">
        <v>21</v>
      </c>
      <c r="C1401" s="72"/>
      <c r="D1401" s="72"/>
      <c r="E1401" s="4" t="s">
        <v>22</v>
      </c>
      <c r="F1401" s="54" t="s">
        <v>23</v>
      </c>
      <c r="G1401" s="59"/>
      <c r="H1401" s="72" t="s">
        <v>24</v>
      </c>
      <c r="I1401" s="72"/>
      <c r="J1401" s="72" t="s">
        <v>25</v>
      </c>
      <c r="K1401" s="72"/>
      <c r="L1401" s="72" t="s">
        <v>26</v>
      </c>
      <c r="M1401" s="72"/>
      <c r="O1401" s="1" t="s">
        <v>27</v>
      </c>
      <c r="P1401" s="1" t="s">
        <v>28</v>
      </c>
      <c r="T1401" s="2" t="s">
        <v>29</v>
      </c>
    </row>
    <row r="1402" spans="1:20" s="2" customFormat="1" ht="24.95" customHeight="1">
      <c r="A1402" s="9" t="s">
        <v>30</v>
      </c>
      <c r="B1402" s="110" t="s">
        <v>31</v>
      </c>
      <c r="C1402" s="110"/>
      <c r="D1402" s="110"/>
      <c r="E1402" s="4"/>
      <c r="F1402" s="54"/>
      <c r="G1402" s="59"/>
      <c r="H1402" s="72"/>
      <c r="I1402" s="72"/>
      <c r="J1402" s="72"/>
      <c r="K1402" s="72"/>
      <c r="L1402" s="72"/>
      <c r="M1402" s="72"/>
    </row>
    <row r="1403" spans="1:20" ht="24.95" customHeight="1">
      <c r="A1403" s="10">
        <v>1</v>
      </c>
      <c r="B1403" s="66" t="s">
        <v>91</v>
      </c>
      <c r="C1403" s="67" t="s">
        <v>91</v>
      </c>
      <c r="D1403" s="68" t="s">
        <v>91</v>
      </c>
      <c r="E1403" s="4" t="s">
        <v>32</v>
      </c>
      <c r="F1403" s="69">
        <v>1</v>
      </c>
      <c r="G1403" s="70"/>
      <c r="H1403" s="69"/>
      <c r="I1403" s="70"/>
      <c r="J1403" s="71">
        <f>H1403+J1345</f>
        <v>1</v>
      </c>
      <c r="K1403" s="71"/>
      <c r="L1403" s="72"/>
      <c r="M1403" s="72"/>
      <c r="O1403" s="11">
        <v>4000</v>
      </c>
      <c r="P1403" s="11">
        <f>ROUND(H1403*O1403,0)</f>
        <v>0</v>
      </c>
      <c r="Q1403" s="12"/>
      <c r="S1403" s="11">
        <f>ROUND(J1403*O1403,0)</f>
        <v>4000</v>
      </c>
      <c r="T1403" s="13">
        <f>F1403-J1403</f>
        <v>0</v>
      </c>
    </row>
    <row r="1404" spans="1:20" ht="24.95" customHeight="1">
      <c r="A1404" s="10">
        <v>2</v>
      </c>
      <c r="B1404" s="66" t="s">
        <v>92</v>
      </c>
      <c r="C1404" s="67" t="s">
        <v>92</v>
      </c>
      <c r="D1404" s="68" t="s">
        <v>92</v>
      </c>
      <c r="E1404" s="4" t="s">
        <v>32</v>
      </c>
      <c r="F1404" s="69">
        <v>1</v>
      </c>
      <c r="G1404" s="70"/>
      <c r="H1404" s="69"/>
      <c r="I1404" s="70"/>
      <c r="J1404" s="71">
        <f t="shared" ref="J1404:J1411" si="164">H1404+J1346</f>
        <v>1</v>
      </c>
      <c r="K1404" s="71"/>
      <c r="L1404" s="72"/>
      <c r="M1404" s="72"/>
      <c r="O1404" s="11">
        <v>14334</v>
      </c>
      <c r="P1404" s="11">
        <f t="shared" ref="P1404:P1411" si="165">ROUND(H1404*O1404,0)</f>
        <v>0</v>
      </c>
      <c r="Q1404" s="12"/>
      <c r="S1404" s="11">
        <f t="shared" ref="S1404:S1411" si="166">ROUND(J1404*O1404,0)</f>
        <v>14334</v>
      </c>
      <c r="T1404" s="13">
        <f t="shared" ref="T1404:T1411" si="167">F1404-J1404</f>
        <v>0</v>
      </c>
    </row>
    <row r="1405" spans="1:20" ht="24.95" customHeight="1">
      <c r="A1405" s="10">
        <v>3</v>
      </c>
      <c r="B1405" s="66" t="s">
        <v>84</v>
      </c>
      <c r="C1405" s="67" t="s">
        <v>84</v>
      </c>
      <c r="D1405" s="68" t="s">
        <v>84</v>
      </c>
      <c r="E1405" s="4" t="s">
        <v>33</v>
      </c>
      <c r="F1405" s="69">
        <v>1</v>
      </c>
      <c r="G1405" s="70"/>
      <c r="H1405" s="69"/>
      <c r="I1405" s="70"/>
      <c r="J1405" s="71">
        <f t="shared" si="164"/>
        <v>0.5</v>
      </c>
      <c r="K1405" s="71"/>
      <c r="L1405" s="72"/>
      <c r="M1405" s="72"/>
      <c r="O1405" s="11">
        <v>7000</v>
      </c>
      <c r="P1405" s="11">
        <f t="shared" si="165"/>
        <v>0</v>
      </c>
      <c r="Q1405" s="12"/>
      <c r="S1405" s="11">
        <f t="shared" si="166"/>
        <v>3500</v>
      </c>
      <c r="T1405" s="13">
        <f t="shared" si="167"/>
        <v>0.5</v>
      </c>
    </row>
    <row r="1406" spans="1:20" ht="24.95" customHeight="1">
      <c r="A1406" s="10">
        <v>4</v>
      </c>
      <c r="B1406" s="66" t="s">
        <v>85</v>
      </c>
      <c r="C1406" s="67" t="s">
        <v>85</v>
      </c>
      <c r="D1406" s="68" t="s">
        <v>85</v>
      </c>
      <c r="E1406" s="4" t="s">
        <v>34</v>
      </c>
      <c r="F1406" s="69">
        <v>1</v>
      </c>
      <c r="G1406" s="70"/>
      <c r="H1406" s="69"/>
      <c r="I1406" s="70"/>
      <c r="J1406" s="71">
        <f t="shared" si="164"/>
        <v>1</v>
      </c>
      <c r="K1406" s="71"/>
      <c r="L1406" s="72"/>
      <c r="M1406" s="72"/>
      <c r="O1406" s="11">
        <v>74000</v>
      </c>
      <c r="P1406" s="11">
        <f t="shared" si="165"/>
        <v>0</v>
      </c>
      <c r="Q1406" s="12"/>
      <c r="S1406" s="11">
        <f t="shared" si="166"/>
        <v>74000</v>
      </c>
      <c r="T1406" s="13">
        <f t="shared" si="167"/>
        <v>0</v>
      </c>
    </row>
    <row r="1407" spans="1:20" ht="24.95" customHeight="1">
      <c r="A1407" s="10">
        <v>5</v>
      </c>
      <c r="B1407" s="66" t="s">
        <v>86</v>
      </c>
      <c r="C1407" s="67" t="s">
        <v>86</v>
      </c>
      <c r="D1407" s="68" t="s">
        <v>86</v>
      </c>
      <c r="E1407" s="4" t="s">
        <v>93</v>
      </c>
      <c r="F1407" s="69">
        <v>396</v>
      </c>
      <c r="G1407" s="70"/>
      <c r="H1407" s="69"/>
      <c r="I1407" s="70"/>
      <c r="J1407" s="71">
        <f t="shared" si="164"/>
        <v>350</v>
      </c>
      <c r="K1407" s="71"/>
      <c r="L1407" s="72"/>
      <c r="M1407" s="72"/>
      <c r="O1407" s="11">
        <v>200</v>
      </c>
      <c r="P1407" s="11">
        <f t="shared" si="165"/>
        <v>0</v>
      </c>
      <c r="Q1407" s="12"/>
      <c r="S1407" s="11">
        <f t="shared" si="166"/>
        <v>70000</v>
      </c>
      <c r="T1407" s="13">
        <f t="shared" si="167"/>
        <v>46</v>
      </c>
    </row>
    <row r="1408" spans="1:20" ht="24.95" customHeight="1">
      <c r="A1408" s="10">
        <v>6</v>
      </c>
      <c r="B1408" s="66" t="s">
        <v>97</v>
      </c>
      <c r="C1408" s="67" t="s">
        <v>87</v>
      </c>
      <c r="D1408" s="68" t="s">
        <v>87</v>
      </c>
      <c r="E1408" s="4" t="s">
        <v>35</v>
      </c>
      <c r="F1408" s="69">
        <v>80</v>
      </c>
      <c r="G1408" s="70">
        <v>183.6</v>
      </c>
      <c r="H1408" s="69"/>
      <c r="I1408" s="70"/>
      <c r="J1408" s="71">
        <f t="shared" si="164"/>
        <v>78</v>
      </c>
      <c r="K1408" s="71"/>
      <c r="L1408" s="54"/>
      <c r="M1408" s="59"/>
      <c r="O1408" s="11">
        <v>1463</v>
      </c>
      <c r="P1408" s="11">
        <f t="shared" si="165"/>
        <v>0</v>
      </c>
      <c r="S1408" s="11">
        <f t="shared" si="166"/>
        <v>114114</v>
      </c>
      <c r="T1408" s="13">
        <f t="shared" si="167"/>
        <v>2</v>
      </c>
    </row>
    <row r="1409" spans="1:20" ht="24.95" customHeight="1">
      <c r="A1409" s="10">
        <v>7</v>
      </c>
      <c r="B1409" s="66" t="s">
        <v>88</v>
      </c>
      <c r="C1409" s="67" t="s">
        <v>88</v>
      </c>
      <c r="D1409" s="68" t="s">
        <v>88</v>
      </c>
      <c r="E1409" s="4" t="s">
        <v>94</v>
      </c>
      <c r="F1409" s="69">
        <v>126</v>
      </c>
      <c r="G1409" s="70">
        <v>19</v>
      </c>
      <c r="H1409" s="69"/>
      <c r="I1409" s="70"/>
      <c r="J1409" s="71">
        <f t="shared" si="164"/>
        <v>0</v>
      </c>
      <c r="K1409" s="71"/>
      <c r="L1409" s="54"/>
      <c r="M1409" s="59"/>
      <c r="O1409" s="11">
        <v>6350</v>
      </c>
      <c r="P1409" s="11">
        <f t="shared" si="165"/>
        <v>0</v>
      </c>
      <c r="S1409" s="11">
        <f t="shared" si="166"/>
        <v>0</v>
      </c>
      <c r="T1409" s="13">
        <f t="shared" si="167"/>
        <v>126</v>
      </c>
    </row>
    <row r="1410" spans="1:20" ht="24.95" customHeight="1">
      <c r="A1410" s="10">
        <v>8</v>
      </c>
      <c r="B1410" s="66" t="s">
        <v>89</v>
      </c>
      <c r="C1410" s="67" t="s">
        <v>89</v>
      </c>
      <c r="D1410" s="68" t="s">
        <v>89</v>
      </c>
      <c r="E1410" s="4" t="s">
        <v>95</v>
      </c>
      <c r="F1410" s="69">
        <v>1</v>
      </c>
      <c r="G1410" s="70">
        <v>1192</v>
      </c>
      <c r="H1410" s="69"/>
      <c r="I1410" s="70"/>
      <c r="J1410" s="71">
        <f t="shared" si="164"/>
        <v>0.3</v>
      </c>
      <c r="K1410" s="71"/>
      <c r="L1410" s="54"/>
      <c r="M1410" s="59"/>
      <c r="O1410" s="11">
        <v>47600</v>
      </c>
      <c r="P1410" s="11">
        <f t="shared" si="165"/>
        <v>0</v>
      </c>
      <c r="S1410" s="11">
        <f t="shared" si="166"/>
        <v>14280</v>
      </c>
      <c r="T1410" s="13">
        <f t="shared" si="167"/>
        <v>0.7</v>
      </c>
    </row>
    <row r="1411" spans="1:20" ht="24.95" customHeight="1">
      <c r="A1411" s="10">
        <v>9</v>
      </c>
      <c r="B1411" s="66" t="s">
        <v>90</v>
      </c>
      <c r="C1411" s="67" t="s">
        <v>90</v>
      </c>
      <c r="D1411" s="68" t="s">
        <v>90</v>
      </c>
      <c r="E1411" s="4" t="s">
        <v>96</v>
      </c>
      <c r="F1411" s="69">
        <v>1</v>
      </c>
      <c r="G1411" s="70">
        <v>1261</v>
      </c>
      <c r="H1411" s="69"/>
      <c r="I1411" s="70"/>
      <c r="J1411" s="71">
        <f t="shared" si="164"/>
        <v>0</v>
      </c>
      <c r="K1411" s="71"/>
      <c r="L1411" s="54"/>
      <c r="M1411" s="59"/>
      <c r="O1411" s="11">
        <v>10000</v>
      </c>
      <c r="P1411" s="11">
        <f t="shared" si="165"/>
        <v>0</v>
      </c>
      <c r="S1411" s="11">
        <f t="shared" si="166"/>
        <v>0</v>
      </c>
      <c r="T1411" s="13">
        <f t="shared" si="167"/>
        <v>1</v>
      </c>
    </row>
    <row r="1412" spans="1:20" ht="24.95" customHeight="1">
      <c r="A1412" s="14"/>
      <c r="B1412" s="15"/>
      <c r="C1412" s="16"/>
      <c r="D1412" s="17"/>
      <c r="E1412" s="4"/>
      <c r="F1412" s="18"/>
      <c r="G1412" s="19"/>
      <c r="H1412" s="105"/>
      <c r="I1412" s="106"/>
      <c r="J1412" s="105"/>
      <c r="K1412" s="106"/>
      <c r="L1412" s="54"/>
      <c r="M1412" s="59"/>
      <c r="N1412" s="20"/>
      <c r="P1412" s="21" t="s">
        <v>37</v>
      </c>
      <c r="Q1412" s="22">
        <f>SUM(P1403:P1411)</f>
        <v>0</v>
      </c>
      <c r="R1412" s="23"/>
      <c r="S1412" s="24">
        <f>SUM(S1403:S1411)</f>
        <v>294228</v>
      </c>
      <c r="T1412" s="13"/>
    </row>
    <row r="1413" spans="1:20" ht="24.95" customHeight="1">
      <c r="A1413" s="107"/>
      <c r="B1413" s="108"/>
      <c r="C1413" s="108"/>
      <c r="D1413" s="109"/>
      <c r="E1413" s="4"/>
      <c r="F1413" s="54"/>
      <c r="G1413" s="59"/>
      <c r="H1413" s="72"/>
      <c r="I1413" s="72"/>
      <c r="J1413" s="72"/>
      <c r="K1413" s="72"/>
      <c r="L1413" s="72"/>
      <c r="M1413" s="72"/>
      <c r="O1413" t="s">
        <v>38</v>
      </c>
      <c r="P1413" s="24">
        <f>Q1412</f>
        <v>0</v>
      </c>
      <c r="T1413" s="13"/>
    </row>
    <row r="1414" spans="1:20" ht="24.95" customHeight="1">
      <c r="A1414" s="97"/>
      <c r="B1414" s="98"/>
      <c r="C1414" s="98"/>
      <c r="D1414" s="99"/>
      <c r="E1414" s="4"/>
      <c r="F1414" s="54"/>
      <c r="G1414" s="59"/>
      <c r="H1414" s="72"/>
      <c r="I1414" s="72"/>
      <c r="J1414" s="72"/>
      <c r="K1414" s="72"/>
      <c r="L1414" s="72"/>
      <c r="M1414" s="72"/>
      <c r="O1414" t="s">
        <v>39</v>
      </c>
      <c r="P1414" s="23">
        <f>ROUND(P1413/1153274,4)*100</f>
        <v>0</v>
      </c>
      <c r="T1414" s="13"/>
    </row>
    <row r="1415" spans="1:20" ht="24.95" customHeight="1">
      <c r="A1415" s="25"/>
      <c r="B1415" s="63" t="s">
        <v>40</v>
      </c>
      <c r="C1415" s="63"/>
      <c r="D1415" s="59"/>
      <c r="E1415" s="26"/>
      <c r="F1415" s="100"/>
      <c r="G1415" s="101"/>
      <c r="H1415" s="100"/>
      <c r="I1415" s="101"/>
      <c r="J1415" s="102"/>
      <c r="K1415" s="102"/>
      <c r="L1415" s="103">
        <f>P1413</f>
        <v>0</v>
      </c>
      <c r="M1415" s="104"/>
      <c r="T1415" s="13"/>
    </row>
    <row r="1416" spans="1:20" ht="24.95" customHeight="1" thickBot="1">
      <c r="A1416" s="27"/>
      <c r="B1416" s="85" t="s">
        <v>41</v>
      </c>
      <c r="C1416" s="85"/>
      <c r="D1416" s="86"/>
      <c r="E1416" s="28"/>
      <c r="F1416" s="87"/>
      <c r="G1416" s="88"/>
      <c r="H1416" s="87"/>
      <c r="I1416" s="88"/>
      <c r="J1416" s="87"/>
      <c r="K1416" s="88"/>
      <c r="L1416" s="89">
        <f>L1415+L1358</f>
        <v>294228</v>
      </c>
      <c r="M1416" s="90"/>
      <c r="T1416" s="13"/>
    </row>
    <row r="1417" spans="1:20" ht="24.95" customHeight="1">
      <c r="A1417" s="29"/>
      <c r="B1417" s="91" t="s">
        <v>42</v>
      </c>
      <c r="C1417" s="91"/>
      <c r="D1417" s="92"/>
      <c r="E1417" s="30"/>
      <c r="F1417" s="93"/>
      <c r="G1417" s="94"/>
      <c r="H1417" s="95"/>
      <c r="I1417" s="95"/>
      <c r="J1417" s="95"/>
      <c r="K1417" s="95"/>
      <c r="L1417" s="95"/>
      <c r="M1417" s="96"/>
      <c r="T1417" s="13"/>
    </row>
    <row r="1418" spans="1:20" ht="24.95" customHeight="1">
      <c r="A1418" s="31"/>
      <c r="B1418" s="76" t="s">
        <v>43</v>
      </c>
      <c r="C1418" s="76"/>
      <c r="D1418" s="77"/>
      <c r="E1418" s="4"/>
      <c r="F1418" s="54"/>
      <c r="G1418" s="59"/>
      <c r="H1418" s="72"/>
      <c r="I1418" s="72"/>
      <c r="J1418" s="72"/>
      <c r="K1418" s="72"/>
      <c r="L1418" s="72"/>
      <c r="M1418" s="78"/>
      <c r="T1418" s="13"/>
    </row>
    <row r="1419" spans="1:20" ht="24.95" customHeight="1" thickBot="1">
      <c r="A1419" s="32"/>
      <c r="B1419" s="79" t="s">
        <v>44</v>
      </c>
      <c r="C1419" s="79"/>
      <c r="D1419" s="80"/>
      <c r="E1419" s="33"/>
      <c r="F1419" s="81"/>
      <c r="G1419" s="82"/>
      <c r="H1419" s="83"/>
      <c r="I1419" s="83"/>
      <c r="J1419" s="83"/>
      <c r="K1419" s="83"/>
      <c r="L1419" s="83"/>
      <c r="M1419" s="84"/>
      <c r="T1419" s="13"/>
    </row>
    <row r="1420" spans="1:20" ht="24.95" customHeight="1">
      <c r="A1420" s="73" t="s">
        <v>45</v>
      </c>
      <c r="B1420" s="74"/>
      <c r="C1420" s="74"/>
      <c r="D1420" s="74"/>
      <c r="E1420" s="74"/>
      <c r="F1420" s="74"/>
      <c r="G1420" s="74"/>
      <c r="H1420" s="74"/>
      <c r="I1420" s="74"/>
      <c r="J1420" s="74"/>
      <c r="K1420" s="74"/>
      <c r="L1420" s="74"/>
      <c r="M1420" s="74"/>
      <c r="T1420" s="13"/>
    </row>
    <row r="1421" spans="1:20" ht="24.95" customHeight="1">
      <c r="A1421" s="72" t="s">
        <v>46</v>
      </c>
      <c r="B1421" s="75"/>
      <c r="C1421" s="75"/>
      <c r="D1421" s="75"/>
      <c r="E1421" s="4" t="s">
        <v>22</v>
      </c>
      <c r="F1421" s="72" t="s">
        <v>47</v>
      </c>
      <c r="G1421" s="72"/>
      <c r="H1421" s="72" t="s">
        <v>48</v>
      </c>
      <c r="I1421" s="72"/>
      <c r="J1421" s="72" t="s">
        <v>49</v>
      </c>
      <c r="K1421" s="72"/>
      <c r="L1421" s="72" t="s">
        <v>50</v>
      </c>
      <c r="M1421" s="72"/>
      <c r="T1421" s="13"/>
    </row>
    <row r="1422" spans="1:20" ht="24.95" customHeight="1">
      <c r="A1422" s="10">
        <v>6</v>
      </c>
      <c r="B1422" s="66" t="s">
        <v>97</v>
      </c>
      <c r="C1422" s="67" t="s">
        <v>51</v>
      </c>
      <c r="D1422" s="68" t="s">
        <v>51</v>
      </c>
      <c r="E1422" s="4" t="s">
        <v>35</v>
      </c>
      <c r="F1422" s="69">
        <v>80</v>
      </c>
      <c r="G1422" s="70">
        <v>1261</v>
      </c>
      <c r="H1422" s="71">
        <f>H1408</f>
        <v>0</v>
      </c>
      <c r="I1422" s="71"/>
      <c r="J1422" s="71">
        <f>H1422+J1364</f>
        <v>78</v>
      </c>
      <c r="K1422" s="71"/>
      <c r="L1422" s="72"/>
      <c r="M1422" s="72"/>
      <c r="T1422" s="13"/>
    </row>
    <row r="1423" spans="1:20" ht="24.95" customHeight="1">
      <c r="A1423" s="10">
        <v>7</v>
      </c>
      <c r="B1423" s="66" t="s">
        <v>88</v>
      </c>
      <c r="C1423" s="67" t="s">
        <v>88</v>
      </c>
      <c r="D1423" s="68" t="s">
        <v>88</v>
      </c>
      <c r="E1423" s="4" t="s">
        <v>98</v>
      </c>
      <c r="F1423" s="69">
        <v>126</v>
      </c>
      <c r="G1423" s="70"/>
      <c r="H1423" s="71">
        <f>H1409</f>
        <v>0</v>
      </c>
      <c r="I1423" s="71"/>
      <c r="J1423" s="71">
        <f t="shared" ref="J1423:J1424" si="168">H1423+J1365</f>
        <v>0</v>
      </c>
      <c r="K1423" s="71"/>
      <c r="L1423" s="72"/>
      <c r="M1423" s="72"/>
      <c r="T1423" s="13"/>
    </row>
    <row r="1424" spans="1:20" ht="24.95" customHeight="1">
      <c r="A1424" s="10">
        <v>8</v>
      </c>
      <c r="B1424" s="66" t="s">
        <v>89</v>
      </c>
      <c r="C1424" s="67" t="s">
        <v>89</v>
      </c>
      <c r="D1424" s="68" t="s">
        <v>89</v>
      </c>
      <c r="E1424" s="4" t="s">
        <v>36</v>
      </c>
      <c r="F1424" s="69">
        <v>1</v>
      </c>
      <c r="G1424" s="70"/>
      <c r="H1424" s="71">
        <f>H1410</f>
        <v>0</v>
      </c>
      <c r="I1424" s="71"/>
      <c r="J1424" s="71">
        <f t="shared" si="168"/>
        <v>0.3</v>
      </c>
      <c r="K1424" s="71"/>
      <c r="L1424" s="72"/>
      <c r="M1424" s="72"/>
      <c r="T1424" s="13"/>
    </row>
    <row r="1425" spans="1:20" ht="24.95" customHeight="1">
      <c r="A1425" s="51" t="s">
        <v>52</v>
      </c>
      <c r="B1425" s="52"/>
      <c r="C1425" s="52"/>
      <c r="D1425" s="52"/>
      <c r="E1425" s="52"/>
      <c r="F1425" s="52"/>
      <c r="G1425" s="52"/>
      <c r="H1425" s="52"/>
      <c r="I1425" s="52"/>
      <c r="J1425" s="52"/>
      <c r="K1425" s="52"/>
      <c r="L1425" s="52"/>
      <c r="M1425" s="53"/>
      <c r="T1425" s="13"/>
    </row>
    <row r="1426" spans="1:20" ht="24.95" customHeight="1">
      <c r="A1426" s="54" t="s">
        <v>53</v>
      </c>
      <c r="B1426" s="63"/>
      <c r="C1426" s="63"/>
      <c r="D1426" s="59"/>
      <c r="E1426" s="4" t="s">
        <v>54</v>
      </c>
      <c r="F1426" s="54" t="s">
        <v>55</v>
      </c>
      <c r="G1426" s="59"/>
      <c r="H1426" s="54" t="s">
        <v>56</v>
      </c>
      <c r="I1426" s="59"/>
      <c r="J1426" s="54" t="s">
        <v>48</v>
      </c>
      <c r="K1426" s="59"/>
      <c r="L1426" s="64" t="s">
        <v>49</v>
      </c>
      <c r="M1426" s="65"/>
      <c r="T1426" s="13"/>
    </row>
    <row r="1427" spans="1:20" ht="24.95" customHeight="1">
      <c r="A1427" s="54" t="s">
        <v>57</v>
      </c>
      <c r="B1427" s="55"/>
      <c r="C1427" s="55"/>
      <c r="D1427" s="56"/>
      <c r="E1427" s="4"/>
      <c r="F1427" s="57">
        <f>E1427+F1369</f>
        <v>28</v>
      </c>
      <c r="G1427" s="58"/>
      <c r="H1427" s="54" t="s">
        <v>58</v>
      </c>
      <c r="I1427" s="59"/>
      <c r="J1427" s="54"/>
      <c r="K1427" s="59"/>
      <c r="L1427" s="57">
        <f>J1427+L1369</f>
        <v>15</v>
      </c>
      <c r="M1427" s="58"/>
      <c r="T1427" s="13"/>
    </row>
    <row r="1428" spans="1:20" ht="24.95" customHeight="1">
      <c r="A1428" s="54" t="s">
        <v>59</v>
      </c>
      <c r="B1428" s="55"/>
      <c r="C1428" s="55"/>
      <c r="D1428" s="56"/>
      <c r="E1428" s="4"/>
      <c r="F1428" s="57">
        <f t="shared" ref="F1428:F1430" si="169">E1428+F1370</f>
        <v>0</v>
      </c>
      <c r="G1428" s="58"/>
      <c r="H1428" s="54" t="s">
        <v>60</v>
      </c>
      <c r="I1428" s="59"/>
      <c r="J1428" s="54"/>
      <c r="K1428" s="59"/>
      <c r="L1428" s="57">
        <f t="shared" ref="L1428:L1430" si="170">J1428+L1370</f>
        <v>0</v>
      </c>
      <c r="M1428" s="58"/>
      <c r="T1428" s="13"/>
    </row>
    <row r="1429" spans="1:20" ht="24.95" customHeight="1">
      <c r="A1429" s="54" t="s">
        <v>61</v>
      </c>
      <c r="B1429" s="55"/>
      <c r="C1429" s="55"/>
      <c r="D1429" s="56"/>
      <c r="E1429" s="4"/>
      <c r="F1429" s="57">
        <f t="shared" si="169"/>
        <v>2</v>
      </c>
      <c r="G1429" s="58"/>
      <c r="H1429" s="54" t="s">
        <v>62</v>
      </c>
      <c r="I1429" s="59"/>
      <c r="J1429" s="54"/>
      <c r="K1429" s="59"/>
      <c r="L1429" s="57">
        <f t="shared" si="170"/>
        <v>5</v>
      </c>
      <c r="M1429" s="58"/>
      <c r="T1429" s="13"/>
    </row>
    <row r="1430" spans="1:20" ht="24.95" customHeight="1">
      <c r="A1430" s="54" t="s">
        <v>63</v>
      </c>
      <c r="B1430" s="55"/>
      <c r="C1430" s="55"/>
      <c r="D1430" s="56"/>
      <c r="E1430" s="4"/>
      <c r="F1430" s="57">
        <f t="shared" si="169"/>
        <v>4</v>
      </c>
      <c r="G1430" s="58"/>
      <c r="H1430" s="54" t="s">
        <v>64</v>
      </c>
      <c r="I1430" s="59"/>
      <c r="J1430" s="54"/>
      <c r="K1430" s="59"/>
      <c r="L1430" s="57">
        <f t="shared" si="170"/>
        <v>1</v>
      </c>
      <c r="M1430" s="58"/>
      <c r="T1430" s="13"/>
    </row>
    <row r="1431" spans="1:20" ht="64.5" customHeight="1">
      <c r="A1431" s="60" t="s">
        <v>65</v>
      </c>
      <c r="B1431" s="61"/>
      <c r="C1431" s="61"/>
      <c r="D1431" s="61"/>
      <c r="E1431" s="61"/>
      <c r="F1431" s="61"/>
      <c r="G1431" s="61"/>
      <c r="H1431" s="61"/>
      <c r="I1431" s="61"/>
      <c r="J1431" s="61"/>
      <c r="K1431" s="61"/>
      <c r="L1431" s="61"/>
      <c r="M1431" s="62"/>
      <c r="T1431" s="13"/>
    </row>
    <row r="1432" spans="1:20" ht="24.95" customHeight="1">
      <c r="A1432" s="46" t="s">
        <v>66</v>
      </c>
      <c r="B1432" s="47"/>
      <c r="C1432" s="47"/>
      <c r="D1432" s="47"/>
      <c r="E1432" s="47"/>
      <c r="F1432" s="47"/>
      <c r="G1432" s="47"/>
      <c r="H1432" s="47"/>
      <c r="I1432" s="47"/>
      <c r="J1432" s="47"/>
      <c r="K1432" s="47"/>
      <c r="L1432" s="47"/>
      <c r="M1432" s="48"/>
      <c r="T1432" s="13"/>
    </row>
    <row r="1433" spans="1:20" ht="24.95" customHeight="1">
      <c r="A1433" s="27"/>
      <c r="B1433" s="34" t="s">
        <v>67</v>
      </c>
      <c r="C1433" s="34"/>
      <c r="D1433" s="34"/>
      <c r="E1433" s="34"/>
      <c r="F1433" s="34"/>
      <c r="G1433" s="35"/>
      <c r="H1433" s="34"/>
      <c r="I1433" s="34"/>
      <c r="J1433" s="34"/>
      <c r="K1433" s="34"/>
      <c r="L1433" s="34"/>
      <c r="M1433" s="36"/>
      <c r="T1433" s="13"/>
    </row>
    <row r="1434" spans="1:20" ht="24.95" customHeight="1">
      <c r="A1434" s="27"/>
      <c r="B1434" s="34" t="s">
        <v>81</v>
      </c>
      <c r="C1434" s="34"/>
      <c r="D1434" s="34"/>
      <c r="E1434" s="34"/>
      <c r="F1434" s="34"/>
      <c r="G1434" s="35"/>
      <c r="H1434" s="34"/>
      <c r="I1434" s="34"/>
      <c r="J1434" s="34"/>
      <c r="K1434" s="34"/>
      <c r="L1434" s="34"/>
      <c r="M1434" s="36"/>
      <c r="T1434" s="13"/>
    </row>
    <row r="1435" spans="1:20" ht="24.95" customHeight="1">
      <c r="A1435" s="27"/>
      <c r="B1435" s="34" t="s">
        <v>68</v>
      </c>
      <c r="C1435" s="34"/>
      <c r="D1435" s="34"/>
      <c r="E1435" s="34"/>
      <c r="F1435" s="34"/>
      <c r="G1435" s="35"/>
      <c r="H1435" s="34"/>
      <c r="I1435" s="34"/>
      <c r="J1435" s="34"/>
      <c r="K1435" s="34"/>
      <c r="L1435" s="34"/>
      <c r="M1435" s="36"/>
      <c r="T1435" s="13"/>
    </row>
    <row r="1436" spans="1:20" ht="24.95" customHeight="1">
      <c r="A1436" s="27"/>
      <c r="B1436" s="34" t="s">
        <v>82</v>
      </c>
      <c r="C1436" s="34"/>
      <c r="D1436" s="34"/>
      <c r="E1436" s="34"/>
      <c r="F1436" s="34"/>
      <c r="G1436" s="35"/>
      <c r="H1436" s="34"/>
      <c r="I1436" s="34"/>
      <c r="J1436" s="34"/>
      <c r="K1436" s="34"/>
      <c r="L1436" s="34"/>
      <c r="M1436" s="36"/>
      <c r="T1436" s="13"/>
    </row>
    <row r="1437" spans="1:20" ht="24.95" customHeight="1">
      <c r="A1437" s="27"/>
      <c r="B1437" s="34" t="s">
        <v>99</v>
      </c>
      <c r="C1437" s="34"/>
      <c r="D1437" s="34"/>
      <c r="E1437" s="34"/>
      <c r="F1437" s="34"/>
      <c r="G1437" s="35"/>
      <c r="H1437" s="34"/>
      <c r="I1437" s="34"/>
      <c r="J1437" s="34"/>
      <c r="K1437" s="34"/>
      <c r="L1437" s="34"/>
      <c r="M1437" s="36"/>
      <c r="T1437" s="13"/>
    </row>
    <row r="1438" spans="1:20" ht="24.95" customHeight="1">
      <c r="A1438" s="37"/>
      <c r="B1438" s="49" t="s">
        <v>69</v>
      </c>
      <c r="C1438" s="49"/>
      <c r="D1438" s="49"/>
      <c r="E1438" s="49"/>
      <c r="F1438" s="49"/>
      <c r="G1438" s="49"/>
      <c r="H1438" s="49"/>
      <c r="I1438" s="49"/>
      <c r="J1438" s="49"/>
      <c r="K1438" s="49"/>
      <c r="L1438" s="49"/>
      <c r="M1438" s="50"/>
      <c r="T1438" s="13"/>
    </row>
    <row r="1439" spans="1:20" ht="44.25" customHeight="1">
      <c r="A1439" s="51" t="s">
        <v>70</v>
      </c>
      <c r="B1439" s="52"/>
      <c r="C1439" s="52"/>
      <c r="D1439" s="52"/>
      <c r="E1439" s="52"/>
      <c r="F1439" s="52"/>
      <c r="G1439" s="52"/>
      <c r="H1439" s="52"/>
      <c r="I1439" s="52"/>
      <c r="J1439" s="52"/>
      <c r="K1439" s="52"/>
      <c r="L1439" s="52"/>
      <c r="M1439" s="53"/>
      <c r="T1439" s="13"/>
    </row>
    <row r="1440" spans="1:20" ht="48" customHeight="1">
      <c r="A1440" s="51" t="s">
        <v>71</v>
      </c>
      <c r="B1440" s="52"/>
      <c r="C1440" s="52"/>
      <c r="D1440" s="52"/>
      <c r="E1440" s="52"/>
      <c r="F1440" s="52"/>
      <c r="G1440" s="52"/>
      <c r="H1440" s="52"/>
      <c r="I1440" s="52"/>
      <c r="J1440" s="52"/>
      <c r="K1440" s="52"/>
      <c r="L1440" s="52"/>
      <c r="M1440" s="53"/>
      <c r="T1440" s="13"/>
    </row>
    <row r="1441" spans="1:20" ht="81" customHeight="1">
      <c r="A1441" s="51" t="s">
        <v>80</v>
      </c>
      <c r="B1441" s="52"/>
      <c r="C1441" s="52"/>
      <c r="D1441" s="52"/>
      <c r="E1441" s="52"/>
      <c r="F1441" s="52"/>
      <c r="G1441" s="52"/>
      <c r="H1441" s="52"/>
      <c r="I1441" s="52"/>
      <c r="J1441" s="52"/>
      <c r="K1441" s="52"/>
      <c r="L1441" s="52"/>
      <c r="M1441" s="53"/>
      <c r="T1441" s="13"/>
    </row>
    <row r="1442" spans="1:20" ht="100.5" customHeight="1">
      <c r="A1442" s="51" t="s">
        <v>72</v>
      </c>
      <c r="B1442" s="52"/>
      <c r="C1442" s="52"/>
      <c r="D1442" s="52"/>
      <c r="E1442" s="52"/>
      <c r="F1442" s="52"/>
      <c r="G1442" s="52"/>
      <c r="H1442" s="52"/>
      <c r="I1442" s="52"/>
      <c r="J1442" s="52"/>
      <c r="K1442" s="52"/>
      <c r="L1442" s="52"/>
      <c r="M1442" s="53"/>
      <c r="T1442" s="13"/>
    </row>
    <row r="1443" spans="1:20" ht="12" customHeight="1">
      <c r="A1443" s="41" t="s">
        <v>73</v>
      </c>
      <c r="B1443" s="41"/>
      <c r="C1443" s="42"/>
      <c r="D1443" s="42"/>
      <c r="E1443" s="42"/>
      <c r="F1443" s="42"/>
      <c r="G1443" s="42"/>
      <c r="H1443" s="42"/>
      <c r="I1443" s="42"/>
      <c r="J1443" s="42"/>
      <c r="K1443" s="42"/>
      <c r="L1443" s="42"/>
      <c r="M1443" s="38"/>
      <c r="T1443" s="13"/>
    </row>
    <row r="1444" spans="1:20" ht="12" customHeight="1">
      <c r="A1444" s="43" t="s">
        <v>74</v>
      </c>
      <c r="B1444" s="43"/>
      <c r="C1444" s="40"/>
      <c r="D1444" s="40"/>
      <c r="E1444" s="40"/>
      <c r="F1444" s="40"/>
      <c r="G1444" s="40"/>
      <c r="H1444" s="40"/>
      <c r="I1444" s="40"/>
      <c r="J1444" s="40"/>
      <c r="K1444" s="40"/>
      <c r="L1444" s="38"/>
      <c r="M1444" s="38"/>
      <c r="T1444" s="13"/>
    </row>
    <row r="1445" spans="1:20" ht="12" customHeight="1">
      <c r="A1445" s="44" t="s">
        <v>75</v>
      </c>
      <c r="B1445" s="44"/>
      <c r="C1445" s="44"/>
      <c r="D1445" s="44"/>
      <c r="E1445" s="44"/>
      <c r="F1445" s="44"/>
      <c r="G1445" s="44"/>
      <c r="H1445" s="44"/>
      <c r="I1445" s="44"/>
      <c r="J1445" s="44"/>
      <c r="K1445" s="44"/>
      <c r="L1445" s="44"/>
      <c r="M1445" s="44"/>
      <c r="T1445" s="13"/>
    </row>
    <row r="1446" spans="1:20" ht="12" customHeight="1">
      <c r="A1446" s="39" t="s">
        <v>76</v>
      </c>
      <c r="B1446" s="39"/>
      <c r="C1446" s="39"/>
      <c r="D1446" s="39"/>
      <c r="E1446" s="39"/>
      <c r="F1446" s="39"/>
      <c r="G1446" s="39"/>
      <c r="H1446" s="39"/>
      <c r="I1446" s="39"/>
      <c r="J1446" s="39"/>
      <c r="K1446" s="39"/>
      <c r="L1446" s="39"/>
      <c r="M1446" s="39"/>
      <c r="T1446" s="13"/>
    </row>
    <row r="1447" spans="1:20" ht="12" customHeight="1">
      <c r="A1447" s="39" t="s">
        <v>77</v>
      </c>
      <c r="B1447" s="40"/>
      <c r="C1447" s="40"/>
      <c r="D1447" s="40"/>
      <c r="E1447" s="40"/>
      <c r="F1447" s="40"/>
      <c r="G1447" s="40"/>
      <c r="H1447" s="40"/>
      <c r="I1447" s="40"/>
      <c r="J1447" s="40"/>
      <c r="K1447" s="40"/>
      <c r="L1447" s="40"/>
      <c r="M1447" s="40"/>
      <c r="T1447" s="13"/>
    </row>
    <row r="1448" spans="1:20" ht="12" customHeight="1">
      <c r="A1448" s="45" t="s">
        <v>78</v>
      </c>
      <c r="B1448" s="40"/>
      <c r="C1448" s="40"/>
      <c r="D1448" s="40"/>
      <c r="E1448" s="40"/>
      <c r="F1448" s="40"/>
      <c r="G1448" s="40"/>
      <c r="H1448" s="40"/>
      <c r="I1448" s="40"/>
      <c r="J1448" s="40"/>
      <c r="K1448" s="40"/>
      <c r="L1448" s="40"/>
      <c r="M1448" s="40"/>
      <c r="T1448" s="13"/>
    </row>
    <row r="1449" spans="1:20" ht="12" customHeight="1">
      <c r="A1449" s="39" t="s">
        <v>79</v>
      </c>
      <c r="B1449" s="40"/>
      <c r="C1449" s="40"/>
      <c r="D1449" s="40"/>
      <c r="E1449" s="40"/>
      <c r="F1449" s="40"/>
      <c r="G1449" s="40"/>
      <c r="H1449" s="40"/>
      <c r="I1449" s="40"/>
      <c r="J1449" s="40"/>
      <c r="K1449" s="40"/>
      <c r="L1449" s="40"/>
      <c r="M1449" s="40"/>
      <c r="T1449" s="13"/>
    </row>
    <row r="1450" spans="1:20" ht="409.5" customHeight="1"/>
    <row r="1451" spans="1:20" s="2" customFormat="1" ht="35.1" customHeight="1">
      <c r="A1451" s="126" t="s">
        <v>0</v>
      </c>
      <c r="B1451" s="126"/>
      <c r="C1451" s="1">
        <f>C1393+1</f>
        <v>61</v>
      </c>
      <c r="G1451" s="3"/>
    </row>
    <row r="1452" spans="1:20" s="2" customFormat="1" ht="35.1" customHeight="1">
      <c r="A1452" s="126" t="s">
        <v>1</v>
      </c>
      <c r="B1452" s="126"/>
      <c r="C1452" s="2" t="s">
        <v>2</v>
      </c>
      <c r="E1452" s="2" t="s">
        <v>3</v>
      </c>
      <c r="G1452" s="3"/>
      <c r="H1452" s="127" t="s">
        <v>4</v>
      </c>
      <c r="I1452" s="128"/>
      <c r="J1452" s="129">
        <f>J1394+1</f>
        <v>46048</v>
      </c>
      <c r="K1452" s="130"/>
      <c r="L1452" s="131">
        <f>J1452</f>
        <v>46048</v>
      </c>
      <c r="M1452" s="132"/>
    </row>
    <row r="1453" spans="1:20" s="2" customFormat="1" ht="30" customHeight="1">
      <c r="A1453" s="72" t="s">
        <v>5</v>
      </c>
      <c r="B1453" s="114"/>
      <c r="C1453" s="119" t="s">
        <v>83</v>
      </c>
      <c r="D1453" s="119"/>
      <c r="E1453" s="119"/>
      <c r="F1453" s="119"/>
      <c r="G1453" s="119"/>
      <c r="H1453" s="54" t="s">
        <v>6</v>
      </c>
      <c r="I1453" s="59"/>
      <c r="J1453" s="120"/>
      <c r="K1453" s="120"/>
      <c r="L1453" s="120"/>
      <c r="M1453" s="120"/>
    </row>
    <row r="1454" spans="1:20" s="1" customFormat="1" ht="30" customHeight="1">
      <c r="A1454" s="72" t="s">
        <v>7</v>
      </c>
      <c r="B1454" s="114"/>
      <c r="C1454" s="4">
        <v>50</v>
      </c>
      <c r="D1454" s="4" t="s">
        <v>8</v>
      </c>
      <c r="E1454" s="4" t="s">
        <v>9</v>
      </c>
      <c r="F1454" s="4">
        <f>F1396+1</f>
        <v>61</v>
      </c>
      <c r="G1454" s="5" t="s">
        <v>8</v>
      </c>
      <c r="H1454" s="4" t="s">
        <v>10</v>
      </c>
      <c r="I1454" s="4">
        <f>C1454-F1454+L1454</f>
        <v>-11</v>
      </c>
      <c r="J1454" s="4" t="s">
        <v>11</v>
      </c>
      <c r="K1454" s="6" t="s">
        <v>12</v>
      </c>
      <c r="L1454" s="7">
        <f>L1396</f>
        <v>0</v>
      </c>
      <c r="M1454" s="4" t="s">
        <v>8</v>
      </c>
    </row>
    <row r="1455" spans="1:20" s="2" customFormat="1" ht="30" customHeight="1">
      <c r="A1455" s="72" t="s">
        <v>13</v>
      </c>
      <c r="B1455" s="75"/>
      <c r="C1455" s="75"/>
      <c r="D1455" s="121">
        <f>D1397</f>
        <v>45988</v>
      </c>
      <c r="E1455" s="122"/>
      <c r="F1455" s="122"/>
      <c r="G1455" s="123"/>
      <c r="H1455" s="124" t="s">
        <v>14</v>
      </c>
      <c r="I1455" s="125"/>
      <c r="J1455" s="121">
        <f>J1397</f>
        <v>46037</v>
      </c>
      <c r="K1455" s="122"/>
      <c r="L1455" s="122"/>
      <c r="M1455" s="123"/>
    </row>
    <row r="1456" spans="1:20" s="2" customFormat="1" ht="30" customHeight="1">
      <c r="A1456" s="72" t="s">
        <v>15</v>
      </c>
      <c r="B1456" s="114"/>
      <c r="C1456" s="114"/>
      <c r="D1456" s="72"/>
      <c r="E1456" s="72"/>
      <c r="F1456" s="72"/>
      <c r="G1456" s="72"/>
      <c r="H1456" s="64" t="s">
        <v>16</v>
      </c>
      <c r="I1456" s="115"/>
      <c r="J1456" s="116">
        <f>P1472</f>
        <v>0</v>
      </c>
      <c r="K1456" s="117"/>
      <c r="L1456" s="117"/>
      <c r="M1456" s="118"/>
    </row>
    <row r="1457" spans="1:20" s="2" customFormat="1" ht="30" customHeight="1">
      <c r="A1457" s="72" t="s">
        <v>17</v>
      </c>
      <c r="B1457" s="114"/>
      <c r="C1457" s="114"/>
      <c r="D1457" s="72">
        <f>D1456+D1399</f>
        <v>100.00000000000004</v>
      </c>
      <c r="E1457" s="72"/>
      <c r="F1457" s="72"/>
      <c r="G1457" s="72"/>
      <c r="H1457" s="64" t="s">
        <v>18</v>
      </c>
      <c r="I1457" s="115"/>
      <c r="J1457" s="116">
        <f>J1456+J1399</f>
        <v>25.469999999999992</v>
      </c>
      <c r="K1457" s="117"/>
      <c r="L1457" s="117"/>
      <c r="M1457" s="118"/>
    </row>
    <row r="1458" spans="1:20" s="2" customFormat="1" ht="30" customHeight="1">
      <c r="A1458" s="111" t="s">
        <v>19</v>
      </c>
      <c r="B1458" s="112"/>
      <c r="C1458" s="112"/>
      <c r="D1458" s="112"/>
      <c r="E1458" s="112"/>
      <c r="F1458" s="112"/>
      <c r="G1458" s="112"/>
      <c r="H1458" s="112"/>
      <c r="I1458" s="112"/>
      <c r="J1458" s="112"/>
      <c r="K1458" s="112"/>
      <c r="L1458" s="112"/>
      <c r="M1458" s="113"/>
    </row>
    <row r="1459" spans="1:20" s="2" customFormat="1" ht="30" customHeight="1">
      <c r="A1459" s="8" t="s">
        <v>20</v>
      </c>
      <c r="B1459" s="72" t="s">
        <v>21</v>
      </c>
      <c r="C1459" s="72"/>
      <c r="D1459" s="72"/>
      <c r="E1459" s="4" t="s">
        <v>22</v>
      </c>
      <c r="F1459" s="54" t="s">
        <v>23</v>
      </c>
      <c r="G1459" s="59"/>
      <c r="H1459" s="72" t="s">
        <v>24</v>
      </c>
      <c r="I1459" s="72"/>
      <c r="J1459" s="72" t="s">
        <v>25</v>
      </c>
      <c r="K1459" s="72"/>
      <c r="L1459" s="72" t="s">
        <v>26</v>
      </c>
      <c r="M1459" s="72"/>
      <c r="O1459" s="1" t="s">
        <v>27</v>
      </c>
      <c r="P1459" s="1" t="s">
        <v>28</v>
      </c>
      <c r="T1459" s="2" t="s">
        <v>29</v>
      </c>
    </row>
    <row r="1460" spans="1:20" s="2" customFormat="1" ht="24.95" customHeight="1">
      <c r="A1460" s="9" t="s">
        <v>30</v>
      </c>
      <c r="B1460" s="110" t="s">
        <v>31</v>
      </c>
      <c r="C1460" s="110"/>
      <c r="D1460" s="110"/>
      <c r="E1460" s="4"/>
      <c r="F1460" s="54"/>
      <c r="G1460" s="59"/>
      <c r="H1460" s="72"/>
      <c r="I1460" s="72"/>
      <c r="J1460" s="72"/>
      <c r="K1460" s="72"/>
      <c r="L1460" s="72"/>
      <c r="M1460" s="72"/>
    </row>
    <row r="1461" spans="1:20" ht="24.95" customHeight="1">
      <c r="A1461" s="10">
        <v>1</v>
      </c>
      <c r="B1461" s="66" t="s">
        <v>91</v>
      </c>
      <c r="C1461" s="67" t="s">
        <v>91</v>
      </c>
      <c r="D1461" s="68" t="s">
        <v>91</v>
      </c>
      <c r="E1461" s="4" t="s">
        <v>32</v>
      </c>
      <c r="F1461" s="69">
        <v>1</v>
      </c>
      <c r="G1461" s="70"/>
      <c r="H1461" s="69"/>
      <c r="I1461" s="70"/>
      <c r="J1461" s="71">
        <f>H1461+J1403</f>
        <v>1</v>
      </c>
      <c r="K1461" s="71"/>
      <c r="L1461" s="72"/>
      <c r="M1461" s="72"/>
      <c r="O1461" s="11">
        <v>4000</v>
      </c>
      <c r="P1461" s="11">
        <f>ROUND(H1461*O1461,0)</f>
        <v>0</v>
      </c>
      <c r="Q1461" s="12"/>
      <c r="S1461" s="11">
        <f>ROUND(J1461*O1461,0)</f>
        <v>4000</v>
      </c>
      <c r="T1461" s="13">
        <f>F1461-J1461</f>
        <v>0</v>
      </c>
    </row>
    <row r="1462" spans="1:20" ht="24.95" customHeight="1">
      <c r="A1462" s="10">
        <v>2</v>
      </c>
      <c r="B1462" s="66" t="s">
        <v>92</v>
      </c>
      <c r="C1462" s="67" t="s">
        <v>92</v>
      </c>
      <c r="D1462" s="68" t="s">
        <v>92</v>
      </c>
      <c r="E1462" s="4" t="s">
        <v>32</v>
      </c>
      <c r="F1462" s="69">
        <v>1</v>
      </c>
      <c r="G1462" s="70"/>
      <c r="H1462" s="69"/>
      <c r="I1462" s="70"/>
      <c r="J1462" s="71">
        <f t="shared" ref="J1462:J1469" si="171">H1462+J1404</f>
        <v>1</v>
      </c>
      <c r="K1462" s="71"/>
      <c r="L1462" s="72"/>
      <c r="M1462" s="72"/>
      <c r="O1462" s="11">
        <v>14334</v>
      </c>
      <c r="P1462" s="11">
        <f t="shared" ref="P1462:P1469" si="172">ROUND(H1462*O1462,0)</f>
        <v>0</v>
      </c>
      <c r="Q1462" s="12"/>
      <c r="S1462" s="11">
        <f t="shared" ref="S1462:S1469" si="173">ROUND(J1462*O1462,0)</f>
        <v>14334</v>
      </c>
      <c r="T1462" s="13">
        <f t="shared" ref="T1462:T1469" si="174">F1462-J1462</f>
        <v>0</v>
      </c>
    </row>
    <row r="1463" spans="1:20" ht="24.95" customHeight="1">
      <c r="A1463" s="10">
        <v>3</v>
      </c>
      <c r="B1463" s="66" t="s">
        <v>84</v>
      </c>
      <c r="C1463" s="67" t="s">
        <v>84</v>
      </c>
      <c r="D1463" s="68" t="s">
        <v>84</v>
      </c>
      <c r="E1463" s="4" t="s">
        <v>33</v>
      </c>
      <c r="F1463" s="69">
        <v>1</v>
      </c>
      <c r="G1463" s="70"/>
      <c r="H1463" s="69"/>
      <c r="I1463" s="70"/>
      <c r="J1463" s="71">
        <f t="shared" si="171"/>
        <v>0.5</v>
      </c>
      <c r="K1463" s="71"/>
      <c r="L1463" s="72"/>
      <c r="M1463" s="72"/>
      <c r="O1463" s="11">
        <v>7000</v>
      </c>
      <c r="P1463" s="11">
        <f t="shared" si="172"/>
        <v>0</v>
      </c>
      <c r="Q1463" s="12"/>
      <c r="S1463" s="11">
        <f t="shared" si="173"/>
        <v>3500</v>
      </c>
      <c r="T1463" s="13">
        <f t="shared" si="174"/>
        <v>0.5</v>
      </c>
    </row>
    <row r="1464" spans="1:20" ht="24.95" customHeight="1">
      <c r="A1464" s="10">
        <v>4</v>
      </c>
      <c r="B1464" s="66" t="s">
        <v>85</v>
      </c>
      <c r="C1464" s="67" t="s">
        <v>85</v>
      </c>
      <c r="D1464" s="68" t="s">
        <v>85</v>
      </c>
      <c r="E1464" s="4" t="s">
        <v>34</v>
      </c>
      <c r="F1464" s="69">
        <v>1</v>
      </c>
      <c r="G1464" s="70"/>
      <c r="H1464" s="69"/>
      <c r="I1464" s="70"/>
      <c r="J1464" s="71">
        <f t="shared" si="171"/>
        <v>1</v>
      </c>
      <c r="K1464" s="71"/>
      <c r="L1464" s="72"/>
      <c r="M1464" s="72"/>
      <c r="O1464" s="11">
        <v>74000</v>
      </c>
      <c r="P1464" s="11">
        <f t="shared" si="172"/>
        <v>0</v>
      </c>
      <c r="Q1464" s="12"/>
      <c r="S1464" s="11">
        <f t="shared" si="173"/>
        <v>74000</v>
      </c>
      <c r="T1464" s="13">
        <f t="shared" si="174"/>
        <v>0</v>
      </c>
    </row>
    <row r="1465" spans="1:20" ht="24.95" customHeight="1">
      <c r="A1465" s="10">
        <v>5</v>
      </c>
      <c r="B1465" s="66" t="s">
        <v>86</v>
      </c>
      <c r="C1465" s="67" t="s">
        <v>86</v>
      </c>
      <c r="D1465" s="68" t="s">
        <v>86</v>
      </c>
      <c r="E1465" s="4" t="s">
        <v>93</v>
      </c>
      <c r="F1465" s="69">
        <v>396</v>
      </c>
      <c r="G1465" s="70"/>
      <c r="H1465" s="69"/>
      <c r="I1465" s="70"/>
      <c r="J1465" s="71">
        <f t="shared" si="171"/>
        <v>350</v>
      </c>
      <c r="K1465" s="71"/>
      <c r="L1465" s="72"/>
      <c r="M1465" s="72"/>
      <c r="O1465" s="11">
        <v>200</v>
      </c>
      <c r="P1465" s="11">
        <f t="shared" si="172"/>
        <v>0</v>
      </c>
      <c r="Q1465" s="12"/>
      <c r="S1465" s="11">
        <f t="shared" si="173"/>
        <v>70000</v>
      </c>
      <c r="T1465" s="13">
        <f t="shared" si="174"/>
        <v>46</v>
      </c>
    </row>
    <row r="1466" spans="1:20" ht="24.95" customHeight="1">
      <c r="A1466" s="10">
        <v>6</v>
      </c>
      <c r="B1466" s="66" t="s">
        <v>97</v>
      </c>
      <c r="C1466" s="67" t="s">
        <v>87</v>
      </c>
      <c r="D1466" s="68" t="s">
        <v>87</v>
      </c>
      <c r="E1466" s="4" t="s">
        <v>35</v>
      </c>
      <c r="F1466" s="69">
        <v>80</v>
      </c>
      <c r="G1466" s="70">
        <v>183.6</v>
      </c>
      <c r="H1466" s="69"/>
      <c r="I1466" s="70"/>
      <c r="J1466" s="71">
        <f t="shared" si="171"/>
        <v>78</v>
      </c>
      <c r="K1466" s="71"/>
      <c r="L1466" s="54"/>
      <c r="M1466" s="59"/>
      <c r="O1466" s="11">
        <v>1463</v>
      </c>
      <c r="P1466" s="11">
        <f t="shared" si="172"/>
        <v>0</v>
      </c>
      <c r="S1466" s="11">
        <f t="shared" si="173"/>
        <v>114114</v>
      </c>
      <c r="T1466" s="13">
        <f t="shared" si="174"/>
        <v>2</v>
      </c>
    </row>
    <row r="1467" spans="1:20" ht="24.95" customHeight="1">
      <c r="A1467" s="10">
        <v>7</v>
      </c>
      <c r="B1467" s="66" t="s">
        <v>88</v>
      </c>
      <c r="C1467" s="67" t="s">
        <v>88</v>
      </c>
      <c r="D1467" s="68" t="s">
        <v>88</v>
      </c>
      <c r="E1467" s="4" t="s">
        <v>94</v>
      </c>
      <c r="F1467" s="69">
        <v>126</v>
      </c>
      <c r="G1467" s="70">
        <v>19</v>
      </c>
      <c r="H1467" s="69"/>
      <c r="I1467" s="70"/>
      <c r="J1467" s="71">
        <f t="shared" si="171"/>
        <v>0</v>
      </c>
      <c r="K1467" s="71"/>
      <c r="L1467" s="54"/>
      <c r="M1467" s="59"/>
      <c r="O1467" s="11">
        <v>6350</v>
      </c>
      <c r="P1467" s="11">
        <f t="shared" si="172"/>
        <v>0</v>
      </c>
      <c r="S1467" s="11">
        <f t="shared" si="173"/>
        <v>0</v>
      </c>
      <c r="T1467" s="13">
        <f t="shared" si="174"/>
        <v>126</v>
      </c>
    </row>
    <row r="1468" spans="1:20" ht="24.95" customHeight="1">
      <c r="A1468" s="10">
        <v>8</v>
      </c>
      <c r="B1468" s="66" t="s">
        <v>89</v>
      </c>
      <c r="C1468" s="67" t="s">
        <v>89</v>
      </c>
      <c r="D1468" s="68" t="s">
        <v>89</v>
      </c>
      <c r="E1468" s="4" t="s">
        <v>95</v>
      </c>
      <c r="F1468" s="69">
        <v>1</v>
      </c>
      <c r="G1468" s="70">
        <v>1192</v>
      </c>
      <c r="H1468" s="69"/>
      <c r="I1468" s="70"/>
      <c r="J1468" s="71">
        <f t="shared" si="171"/>
        <v>0.3</v>
      </c>
      <c r="K1468" s="71"/>
      <c r="L1468" s="54"/>
      <c r="M1468" s="59"/>
      <c r="O1468" s="11">
        <v>47600</v>
      </c>
      <c r="P1468" s="11">
        <f t="shared" si="172"/>
        <v>0</v>
      </c>
      <c r="S1468" s="11">
        <f t="shared" si="173"/>
        <v>14280</v>
      </c>
      <c r="T1468" s="13">
        <f t="shared" si="174"/>
        <v>0.7</v>
      </c>
    </row>
    <row r="1469" spans="1:20" ht="24.95" customHeight="1">
      <c r="A1469" s="10">
        <v>9</v>
      </c>
      <c r="B1469" s="66" t="s">
        <v>90</v>
      </c>
      <c r="C1469" s="67" t="s">
        <v>90</v>
      </c>
      <c r="D1469" s="68" t="s">
        <v>90</v>
      </c>
      <c r="E1469" s="4" t="s">
        <v>96</v>
      </c>
      <c r="F1469" s="69">
        <v>1</v>
      </c>
      <c r="G1469" s="70">
        <v>1261</v>
      </c>
      <c r="H1469" s="69"/>
      <c r="I1469" s="70"/>
      <c r="J1469" s="71">
        <f t="shared" si="171"/>
        <v>0</v>
      </c>
      <c r="K1469" s="71"/>
      <c r="L1469" s="54"/>
      <c r="M1469" s="59"/>
      <c r="O1469" s="11">
        <v>10000</v>
      </c>
      <c r="P1469" s="11">
        <f t="shared" si="172"/>
        <v>0</v>
      </c>
      <c r="S1469" s="11">
        <f t="shared" si="173"/>
        <v>0</v>
      </c>
      <c r="T1469" s="13">
        <f t="shared" si="174"/>
        <v>1</v>
      </c>
    </row>
    <row r="1470" spans="1:20" ht="24.95" customHeight="1">
      <c r="A1470" s="14"/>
      <c r="B1470" s="15"/>
      <c r="C1470" s="16"/>
      <c r="D1470" s="17"/>
      <c r="E1470" s="4"/>
      <c r="F1470" s="18"/>
      <c r="G1470" s="19"/>
      <c r="H1470" s="105"/>
      <c r="I1470" s="106"/>
      <c r="J1470" s="105"/>
      <c r="K1470" s="106"/>
      <c r="L1470" s="54"/>
      <c r="M1470" s="59"/>
      <c r="N1470" s="20"/>
      <c r="P1470" s="21" t="s">
        <v>37</v>
      </c>
      <c r="Q1470" s="22">
        <f>SUM(P1461:P1469)</f>
        <v>0</v>
      </c>
      <c r="R1470" s="23"/>
      <c r="S1470" s="24">
        <f>SUM(S1461:S1469)</f>
        <v>294228</v>
      </c>
      <c r="T1470" s="13"/>
    </row>
    <row r="1471" spans="1:20" ht="24.95" customHeight="1">
      <c r="A1471" s="107"/>
      <c r="B1471" s="108"/>
      <c r="C1471" s="108"/>
      <c r="D1471" s="109"/>
      <c r="E1471" s="4"/>
      <c r="F1471" s="54"/>
      <c r="G1471" s="59"/>
      <c r="H1471" s="72"/>
      <c r="I1471" s="72"/>
      <c r="J1471" s="72"/>
      <c r="K1471" s="72"/>
      <c r="L1471" s="72"/>
      <c r="M1471" s="72"/>
      <c r="O1471" t="s">
        <v>38</v>
      </c>
      <c r="P1471" s="24">
        <f>Q1470</f>
        <v>0</v>
      </c>
      <c r="T1471" s="13"/>
    </row>
    <row r="1472" spans="1:20" ht="24.95" customHeight="1">
      <c r="A1472" s="97"/>
      <c r="B1472" s="98"/>
      <c r="C1472" s="98"/>
      <c r="D1472" s="99"/>
      <c r="E1472" s="4"/>
      <c r="F1472" s="54"/>
      <c r="G1472" s="59"/>
      <c r="H1472" s="72"/>
      <c r="I1472" s="72"/>
      <c r="J1472" s="72"/>
      <c r="K1472" s="72"/>
      <c r="L1472" s="72"/>
      <c r="M1472" s="72"/>
      <c r="O1472" t="s">
        <v>39</v>
      </c>
      <c r="P1472" s="23">
        <f>ROUND(P1471/1153274,4)*100</f>
        <v>0</v>
      </c>
      <c r="T1472" s="13"/>
    </row>
    <row r="1473" spans="1:20" ht="24.95" customHeight="1">
      <c r="A1473" s="25"/>
      <c r="B1473" s="63" t="s">
        <v>40</v>
      </c>
      <c r="C1473" s="63"/>
      <c r="D1473" s="59"/>
      <c r="E1473" s="26"/>
      <c r="F1473" s="100"/>
      <c r="G1473" s="101"/>
      <c r="H1473" s="100"/>
      <c r="I1473" s="101"/>
      <c r="J1473" s="102"/>
      <c r="K1473" s="102"/>
      <c r="L1473" s="103">
        <f>P1471</f>
        <v>0</v>
      </c>
      <c r="M1473" s="104"/>
      <c r="T1473" s="13"/>
    </row>
    <row r="1474" spans="1:20" ht="24.95" customHeight="1" thickBot="1">
      <c r="A1474" s="27"/>
      <c r="B1474" s="85" t="s">
        <v>41</v>
      </c>
      <c r="C1474" s="85"/>
      <c r="D1474" s="86"/>
      <c r="E1474" s="28"/>
      <c r="F1474" s="87"/>
      <c r="G1474" s="88"/>
      <c r="H1474" s="87"/>
      <c r="I1474" s="88"/>
      <c r="J1474" s="87"/>
      <c r="K1474" s="88"/>
      <c r="L1474" s="89">
        <f>L1473+L1416</f>
        <v>294228</v>
      </c>
      <c r="M1474" s="90"/>
      <c r="T1474" s="13"/>
    </row>
    <row r="1475" spans="1:20" ht="24.95" customHeight="1">
      <c r="A1475" s="29"/>
      <c r="B1475" s="91" t="s">
        <v>42</v>
      </c>
      <c r="C1475" s="91"/>
      <c r="D1475" s="92"/>
      <c r="E1475" s="30"/>
      <c r="F1475" s="93"/>
      <c r="G1475" s="94"/>
      <c r="H1475" s="95"/>
      <c r="I1475" s="95"/>
      <c r="J1475" s="95"/>
      <c r="K1475" s="95"/>
      <c r="L1475" s="95"/>
      <c r="M1475" s="96"/>
      <c r="T1475" s="13"/>
    </row>
    <row r="1476" spans="1:20" ht="24.95" customHeight="1">
      <c r="A1476" s="31"/>
      <c r="B1476" s="76" t="s">
        <v>43</v>
      </c>
      <c r="C1476" s="76"/>
      <c r="D1476" s="77"/>
      <c r="E1476" s="4"/>
      <c r="F1476" s="54"/>
      <c r="G1476" s="59"/>
      <c r="H1476" s="72"/>
      <c r="I1476" s="72"/>
      <c r="J1476" s="72"/>
      <c r="K1476" s="72"/>
      <c r="L1476" s="72"/>
      <c r="M1476" s="78"/>
      <c r="T1476" s="13"/>
    </row>
    <row r="1477" spans="1:20" ht="24.95" customHeight="1" thickBot="1">
      <c r="A1477" s="32"/>
      <c r="B1477" s="79" t="s">
        <v>44</v>
      </c>
      <c r="C1477" s="79"/>
      <c r="D1477" s="80"/>
      <c r="E1477" s="33"/>
      <c r="F1477" s="81"/>
      <c r="G1477" s="82"/>
      <c r="H1477" s="83"/>
      <c r="I1477" s="83"/>
      <c r="J1477" s="83"/>
      <c r="K1477" s="83"/>
      <c r="L1477" s="83"/>
      <c r="M1477" s="84"/>
      <c r="T1477" s="13"/>
    </row>
    <row r="1478" spans="1:20" ht="24.95" customHeight="1">
      <c r="A1478" s="73" t="s">
        <v>45</v>
      </c>
      <c r="B1478" s="74"/>
      <c r="C1478" s="74"/>
      <c r="D1478" s="74"/>
      <c r="E1478" s="74"/>
      <c r="F1478" s="74"/>
      <c r="G1478" s="74"/>
      <c r="H1478" s="74"/>
      <c r="I1478" s="74"/>
      <c r="J1478" s="74"/>
      <c r="K1478" s="74"/>
      <c r="L1478" s="74"/>
      <c r="M1478" s="74"/>
      <c r="T1478" s="13"/>
    </row>
    <row r="1479" spans="1:20" ht="24.95" customHeight="1">
      <c r="A1479" s="72" t="s">
        <v>46</v>
      </c>
      <c r="B1479" s="75"/>
      <c r="C1479" s="75"/>
      <c r="D1479" s="75"/>
      <c r="E1479" s="4" t="s">
        <v>22</v>
      </c>
      <c r="F1479" s="72" t="s">
        <v>47</v>
      </c>
      <c r="G1479" s="72"/>
      <c r="H1479" s="72" t="s">
        <v>48</v>
      </c>
      <c r="I1479" s="72"/>
      <c r="J1479" s="72" t="s">
        <v>49</v>
      </c>
      <c r="K1479" s="72"/>
      <c r="L1479" s="72" t="s">
        <v>50</v>
      </c>
      <c r="M1479" s="72"/>
      <c r="T1479" s="13"/>
    </row>
    <row r="1480" spans="1:20" ht="24.95" customHeight="1">
      <c r="A1480" s="10">
        <v>6</v>
      </c>
      <c r="B1480" s="66" t="s">
        <v>97</v>
      </c>
      <c r="C1480" s="67" t="s">
        <v>51</v>
      </c>
      <c r="D1480" s="68" t="s">
        <v>51</v>
      </c>
      <c r="E1480" s="4" t="s">
        <v>35</v>
      </c>
      <c r="F1480" s="69">
        <v>80</v>
      </c>
      <c r="G1480" s="70">
        <v>1261</v>
      </c>
      <c r="H1480" s="71">
        <f>H1466</f>
        <v>0</v>
      </c>
      <c r="I1480" s="71"/>
      <c r="J1480" s="71">
        <f>H1480+J1422</f>
        <v>78</v>
      </c>
      <c r="K1480" s="71"/>
      <c r="L1480" s="72"/>
      <c r="M1480" s="72"/>
      <c r="T1480" s="13"/>
    </row>
    <row r="1481" spans="1:20" ht="24.95" customHeight="1">
      <c r="A1481" s="10">
        <v>7</v>
      </c>
      <c r="B1481" s="66" t="s">
        <v>88</v>
      </c>
      <c r="C1481" s="67" t="s">
        <v>88</v>
      </c>
      <c r="D1481" s="68" t="s">
        <v>88</v>
      </c>
      <c r="E1481" s="4" t="s">
        <v>98</v>
      </c>
      <c r="F1481" s="69">
        <v>126</v>
      </c>
      <c r="G1481" s="70"/>
      <c r="H1481" s="71">
        <f>H1467</f>
        <v>0</v>
      </c>
      <c r="I1481" s="71"/>
      <c r="J1481" s="71">
        <f t="shared" ref="J1481:J1482" si="175">H1481+J1423</f>
        <v>0</v>
      </c>
      <c r="K1481" s="71"/>
      <c r="L1481" s="72"/>
      <c r="M1481" s="72"/>
      <c r="T1481" s="13"/>
    </row>
    <row r="1482" spans="1:20" ht="24.95" customHeight="1">
      <c r="A1482" s="10">
        <v>8</v>
      </c>
      <c r="B1482" s="66" t="s">
        <v>89</v>
      </c>
      <c r="C1482" s="67" t="s">
        <v>89</v>
      </c>
      <c r="D1482" s="68" t="s">
        <v>89</v>
      </c>
      <c r="E1482" s="4" t="s">
        <v>36</v>
      </c>
      <c r="F1482" s="69">
        <v>1</v>
      </c>
      <c r="G1482" s="70"/>
      <c r="H1482" s="71">
        <f>H1468</f>
        <v>0</v>
      </c>
      <c r="I1482" s="71"/>
      <c r="J1482" s="71">
        <f t="shared" si="175"/>
        <v>0.3</v>
      </c>
      <c r="K1482" s="71"/>
      <c r="L1482" s="72"/>
      <c r="M1482" s="72"/>
      <c r="T1482" s="13"/>
    </row>
    <row r="1483" spans="1:20" ht="24.95" customHeight="1">
      <c r="A1483" s="51" t="s">
        <v>52</v>
      </c>
      <c r="B1483" s="52"/>
      <c r="C1483" s="52"/>
      <c r="D1483" s="52"/>
      <c r="E1483" s="52"/>
      <c r="F1483" s="52"/>
      <c r="G1483" s="52"/>
      <c r="H1483" s="52"/>
      <c r="I1483" s="52"/>
      <c r="J1483" s="52"/>
      <c r="K1483" s="52"/>
      <c r="L1483" s="52"/>
      <c r="M1483" s="53"/>
      <c r="T1483" s="13"/>
    </row>
    <row r="1484" spans="1:20" ht="24.95" customHeight="1">
      <c r="A1484" s="54" t="s">
        <v>53</v>
      </c>
      <c r="B1484" s="63"/>
      <c r="C1484" s="63"/>
      <c r="D1484" s="59"/>
      <c r="E1484" s="4" t="s">
        <v>54</v>
      </c>
      <c r="F1484" s="54" t="s">
        <v>55</v>
      </c>
      <c r="G1484" s="59"/>
      <c r="H1484" s="54" t="s">
        <v>56</v>
      </c>
      <c r="I1484" s="59"/>
      <c r="J1484" s="54" t="s">
        <v>48</v>
      </c>
      <c r="K1484" s="59"/>
      <c r="L1484" s="64" t="s">
        <v>49</v>
      </c>
      <c r="M1484" s="65"/>
      <c r="T1484" s="13"/>
    </row>
    <row r="1485" spans="1:20" ht="24.95" customHeight="1">
      <c r="A1485" s="54" t="s">
        <v>57</v>
      </c>
      <c r="B1485" s="55"/>
      <c r="C1485" s="55"/>
      <c r="D1485" s="56"/>
      <c r="E1485" s="4"/>
      <c r="F1485" s="57">
        <f>E1485+F1427</f>
        <v>28</v>
      </c>
      <c r="G1485" s="58"/>
      <c r="H1485" s="54" t="s">
        <v>58</v>
      </c>
      <c r="I1485" s="59"/>
      <c r="J1485" s="54"/>
      <c r="K1485" s="59"/>
      <c r="L1485" s="57">
        <f>J1485+L1427</f>
        <v>15</v>
      </c>
      <c r="M1485" s="58"/>
      <c r="T1485" s="13"/>
    </row>
    <row r="1486" spans="1:20" ht="24.95" customHeight="1">
      <c r="A1486" s="54" t="s">
        <v>59</v>
      </c>
      <c r="B1486" s="55"/>
      <c r="C1486" s="55"/>
      <c r="D1486" s="56"/>
      <c r="E1486" s="4"/>
      <c r="F1486" s="57">
        <f t="shared" ref="F1486:F1488" si="176">E1486+F1428</f>
        <v>0</v>
      </c>
      <c r="G1486" s="58"/>
      <c r="H1486" s="54" t="s">
        <v>60</v>
      </c>
      <c r="I1486" s="59"/>
      <c r="J1486" s="54"/>
      <c r="K1486" s="59"/>
      <c r="L1486" s="57">
        <f t="shared" ref="L1486:L1488" si="177">J1486+L1428</f>
        <v>0</v>
      </c>
      <c r="M1486" s="58"/>
      <c r="T1486" s="13"/>
    </row>
    <row r="1487" spans="1:20" ht="24.95" customHeight="1">
      <c r="A1487" s="54" t="s">
        <v>61</v>
      </c>
      <c r="B1487" s="55"/>
      <c r="C1487" s="55"/>
      <c r="D1487" s="56"/>
      <c r="E1487" s="4"/>
      <c r="F1487" s="57">
        <f t="shared" si="176"/>
        <v>2</v>
      </c>
      <c r="G1487" s="58"/>
      <c r="H1487" s="54" t="s">
        <v>62</v>
      </c>
      <c r="I1487" s="59"/>
      <c r="J1487" s="54"/>
      <c r="K1487" s="59"/>
      <c r="L1487" s="57">
        <f t="shared" si="177"/>
        <v>5</v>
      </c>
      <c r="M1487" s="58"/>
      <c r="T1487" s="13"/>
    </row>
    <row r="1488" spans="1:20" ht="24.95" customHeight="1">
      <c r="A1488" s="54" t="s">
        <v>63</v>
      </c>
      <c r="B1488" s="55"/>
      <c r="C1488" s="55"/>
      <c r="D1488" s="56"/>
      <c r="E1488" s="4"/>
      <c r="F1488" s="57">
        <f t="shared" si="176"/>
        <v>4</v>
      </c>
      <c r="G1488" s="58"/>
      <c r="H1488" s="54" t="s">
        <v>64</v>
      </c>
      <c r="I1488" s="59"/>
      <c r="J1488" s="54"/>
      <c r="K1488" s="59"/>
      <c r="L1488" s="57">
        <f t="shared" si="177"/>
        <v>1</v>
      </c>
      <c r="M1488" s="58"/>
      <c r="T1488" s="13"/>
    </row>
    <row r="1489" spans="1:20" ht="64.5" customHeight="1">
      <c r="A1489" s="60" t="s">
        <v>65</v>
      </c>
      <c r="B1489" s="61"/>
      <c r="C1489" s="61"/>
      <c r="D1489" s="61"/>
      <c r="E1489" s="61"/>
      <c r="F1489" s="61"/>
      <c r="G1489" s="61"/>
      <c r="H1489" s="61"/>
      <c r="I1489" s="61"/>
      <c r="J1489" s="61"/>
      <c r="K1489" s="61"/>
      <c r="L1489" s="61"/>
      <c r="M1489" s="62"/>
      <c r="T1489" s="13"/>
    </row>
    <row r="1490" spans="1:20" ht="24.95" customHeight="1">
      <c r="A1490" s="46" t="s">
        <v>66</v>
      </c>
      <c r="B1490" s="47"/>
      <c r="C1490" s="47"/>
      <c r="D1490" s="47"/>
      <c r="E1490" s="47"/>
      <c r="F1490" s="47"/>
      <c r="G1490" s="47"/>
      <c r="H1490" s="47"/>
      <c r="I1490" s="47"/>
      <c r="J1490" s="47"/>
      <c r="K1490" s="47"/>
      <c r="L1490" s="47"/>
      <c r="M1490" s="48"/>
      <c r="T1490" s="13"/>
    </row>
    <row r="1491" spans="1:20" ht="24.95" customHeight="1">
      <c r="A1491" s="27"/>
      <c r="B1491" s="34" t="s">
        <v>67</v>
      </c>
      <c r="C1491" s="34"/>
      <c r="D1491" s="34"/>
      <c r="E1491" s="34"/>
      <c r="F1491" s="34"/>
      <c r="G1491" s="35"/>
      <c r="H1491" s="34"/>
      <c r="I1491" s="34"/>
      <c r="J1491" s="34"/>
      <c r="K1491" s="34"/>
      <c r="L1491" s="34"/>
      <c r="M1491" s="36"/>
      <c r="T1491" s="13"/>
    </row>
    <row r="1492" spans="1:20" ht="24.95" customHeight="1">
      <c r="A1492" s="27"/>
      <c r="B1492" s="34" t="s">
        <v>81</v>
      </c>
      <c r="C1492" s="34"/>
      <c r="D1492" s="34"/>
      <c r="E1492" s="34"/>
      <c r="F1492" s="34"/>
      <c r="G1492" s="35"/>
      <c r="H1492" s="34"/>
      <c r="I1492" s="34"/>
      <c r="J1492" s="34"/>
      <c r="K1492" s="34"/>
      <c r="L1492" s="34"/>
      <c r="M1492" s="36"/>
      <c r="T1492" s="13"/>
    </row>
    <row r="1493" spans="1:20" ht="24.95" customHeight="1">
      <c r="A1493" s="27"/>
      <c r="B1493" s="34" t="s">
        <v>68</v>
      </c>
      <c r="C1493" s="34"/>
      <c r="D1493" s="34"/>
      <c r="E1493" s="34"/>
      <c r="F1493" s="34"/>
      <c r="G1493" s="35"/>
      <c r="H1493" s="34"/>
      <c r="I1493" s="34"/>
      <c r="J1493" s="34"/>
      <c r="K1493" s="34"/>
      <c r="L1493" s="34"/>
      <c r="M1493" s="36"/>
      <c r="T1493" s="13"/>
    </row>
    <row r="1494" spans="1:20" ht="24.95" customHeight="1">
      <c r="A1494" s="27"/>
      <c r="B1494" s="34" t="s">
        <v>82</v>
      </c>
      <c r="C1494" s="34"/>
      <c r="D1494" s="34"/>
      <c r="E1494" s="34"/>
      <c r="F1494" s="34"/>
      <c r="G1494" s="35"/>
      <c r="H1494" s="34"/>
      <c r="I1494" s="34"/>
      <c r="J1494" s="34"/>
      <c r="K1494" s="34"/>
      <c r="L1494" s="34"/>
      <c r="M1494" s="36"/>
      <c r="T1494" s="13"/>
    </row>
    <row r="1495" spans="1:20" ht="24.95" customHeight="1">
      <c r="A1495" s="27"/>
      <c r="B1495" s="34" t="s">
        <v>99</v>
      </c>
      <c r="C1495" s="34"/>
      <c r="D1495" s="34"/>
      <c r="E1495" s="34"/>
      <c r="F1495" s="34"/>
      <c r="G1495" s="35"/>
      <c r="H1495" s="34"/>
      <c r="I1495" s="34"/>
      <c r="J1495" s="34"/>
      <c r="K1495" s="34"/>
      <c r="L1495" s="34"/>
      <c r="M1495" s="36"/>
      <c r="T1495" s="13"/>
    </row>
    <row r="1496" spans="1:20" ht="24.95" customHeight="1">
      <c r="A1496" s="37"/>
      <c r="B1496" s="49" t="s">
        <v>69</v>
      </c>
      <c r="C1496" s="49"/>
      <c r="D1496" s="49"/>
      <c r="E1496" s="49"/>
      <c r="F1496" s="49"/>
      <c r="G1496" s="49"/>
      <c r="H1496" s="49"/>
      <c r="I1496" s="49"/>
      <c r="J1496" s="49"/>
      <c r="K1496" s="49"/>
      <c r="L1496" s="49"/>
      <c r="M1496" s="50"/>
      <c r="T1496" s="13"/>
    </row>
    <row r="1497" spans="1:20" ht="44.25" customHeight="1">
      <c r="A1497" s="51" t="s">
        <v>70</v>
      </c>
      <c r="B1497" s="52"/>
      <c r="C1497" s="52"/>
      <c r="D1497" s="52"/>
      <c r="E1497" s="52"/>
      <c r="F1497" s="52"/>
      <c r="G1497" s="52"/>
      <c r="H1497" s="52"/>
      <c r="I1497" s="52"/>
      <c r="J1497" s="52"/>
      <c r="K1497" s="52"/>
      <c r="L1497" s="52"/>
      <c r="M1497" s="53"/>
      <c r="T1497" s="13"/>
    </row>
    <row r="1498" spans="1:20" ht="48" customHeight="1">
      <c r="A1498" s="51" t="s">
        <v>71</v>
      </c>
      <c r="B1498" s="52"/>
      <c r="C1498" s="52"/>
      <c r="D1498" s="52"/>
      <c r="E1498" s="52"/>
      <c r="F1498" s="52"/>
      <c r="G1498" s="52"/>
      <c r="H1498" s="52"/>
      <c r="I1498" s="52"/>
      <c r="J1498" s="52"/>
      <c r="K1498" s="52"/>
      <c r="L1498" s="52"/>
      <c r="M1498" s="53"/>
      <c r="T1498" s="13"/>
    </row>
    <row r="1499" spans="1:20" ht="81" customHeight="1">
      <c r="A1499" s="51" t="s">
        <v>80</v>
      </c>
      <c r="B1499" s="52"/>
      <c r="C1499" s="52"/>
      <c r="D1499" s="52"/>
      <c r="E1499" s="52"/>
      <c r="F1499" s="52"/>
      <c r="G1499" s="52"/>
      <c r="H1499" s="52"/>
      <c r="I1499" s="52"/>
      <c r="J1499" s="52"/>
      <c r="K1499" s="52"/>
      <c r="L1499" s="52"/>
      <c r="M1499" s="53"/>
      <c r="T1499" s="13"/>
    </row>
    <row r="1500" spans="1:20" ht="100.5" customHeight="1">
      <c r="A1500" s="51" t="s">
        <v>72</v>
      </c>
      <c r="B1500" s="52"/>
      <c r="C1500" s="52"/>
      <c r="D1500" s="52"/>
      <c r="E1500" s="52"/>
      <c r="F1500" s="52"/>
      <c r="G1500" s="52"/>
      <c r="H1500" s="52"/>
      <c r="I1500" s="52"/>
      <c r="J1500" s="52"/>
      <c r="K1500" s="52"/>
      <c r="L1500" s="52"/>
      <c r="M1500" s="53"/>
      <c r="T1500" s="13"/>
    </row>
    <row r="1501" spans="1:20" ht="12" customHeight="1">
      <c r="A1501" s="41" t="s">
        <v>73</v>
      </c>
      <c r="B1501" s="41"/>
      <c r="C1501" s="42"/>
      <c r="D1501" s="42"/>
      <c r="E1501" s="42"/>
      <c r="F1501" s="42"/>
      <c r="G1501" s="42"/>
      <c r="H1501" s="42"/>
      <c r="I1501" s="42"/>
      <c r="J1501" s="42"/>
      <c r="K1501" s="42"/>
      <c r="L1501" s="42"/>
      <c r="M1501" s="38"/>
      <c r="T1501" s="13"/>
    </row>
    <row r="1502" spans="1:20" ht="12" customHeight="1">
      <c r="A1502" s="43" t="s">
        <v>74</v>
      </c>
      <c r="B1502" s="43"/>
      <c r="C1502" s="40"/>
      <c r="D1502" s="40"/>
      <c r="E1502" s="40"/>
      <c r="F1502" s="40"/>
      <c r="G1502" s="40"/>
      <c r="H1502" s="40"/>
      <c r="I1502" s="40"/>
      <c r="J1502" s="40"/>
      <c r="K1502" s="40"/>
      <c r="L1502" s="38"/>
      <c r="M1502" s="38"/>
      <c r="T1502" s="13"/>
    </row>
    <row r="1503" spans="1:20" ht="12" customHeight="1">
      <c r="A1503" s="44" t="s">
        <v>75</v>
      </c>
      <c r="B1503" s="44"/>
      <c r="C1503" s="44"/>
      <c r="D1503" s="44"/>
      <c r="E1503" s="44"/>
      <c r="F1503" s="44"/>
      <c r="G1503" s="44"/>
      <c r="H1503" s="44"/>
      <c r="I1503" s="44"/>
      <c r="J1503" s="44"/>
      <c r="K1503" s="44"/>
      <c r="L1503" s="44"/>
      <c r="M1503" s="44"/>
      <c r="T1503" s="13"/>
    </row>
    <row r="1504" spans="1:20" ht="12" customHeight="1">
      <c r="A1504" s="39" t="s">
        <v>76</v>
      </c>
      <c r="B1504" s="39"/>
      <c r="C1504" s="39"/>
      <c r="D1504" s="39"/>
      <c r="E1504" s="39"/>
      <c r="F1504" s="39"/>
      <c r="G1504" s="39"/>
      <c r="H1504" s="39"/>
      <c r="I1504" s="39"/>
      <c r="J1504" s="39"/>
      <c r="K1504" s="39"/>
      <c r="L1504" s="39"/>
      <c r="M1504" s="39"/>
      <c r="T1504" s="13"/>
    </row>
    <row r="1505" spans="1:20" ht="12" customHeight="1">
      <c r="A1505" s="39" t="s">
        <v>77</v>
      </c>
      <c r="B1505" s="40"/>
      <c r="C1505" s="40"/>
      <c r="D1505" s="40"/>
      <c r="E1505" s="40"/>
      <c r="F1505" s="40"/>
      <c r="G1505" s="40"/>
      <c r="H1505" s="40"/>
      <c r="I1505" s="40"/>
      <c r="J1505" s="40"/>
      <c r="K1505" s="40"/>
      <c r="L1505" s="40"/>
      <c r="M1505" s="40"/>
      <c r="T1505" s="13"/>
    </row>
    <row r="1506" spans="1:20" ht="12" customHeight="1">
      <c r="A1506" s="45" t="s">
        <v>78</v>
      </c>
      <c r="B1506" s="40"/>
      <c r="C1506" s="40"/>
      <c r="D1506" s="40"/>
      <c r="E1506" s="40"/>
      <c r="F1506" s="40"/>
      <c r="G1506" s="40"/>
      <c r="H1506" s="40"/>
      <c r="I1506" s="40"/>
      <c r="J1506" s="40"/>
      <c r="K1506" s="40"/>
      <c r="L1506" s="40"/>
      <c r="M1506" s="40"/>
      <c r="T1506" s="13"/>
    </row>
    <row r="1507" spans="1:20" ht="12" customHeight="1">
      <c r="A1507" s="39" t="s">
        <v>79</v>
      </c>
      <c r="B1507" s="40"/>
      <c r="C1507" s="40"/>
      <c r="D1507" s="40"/>
      <c r="E1507" s="40"/>
      <c r="F1507" s="40"/>
      <c r="G1507" s="40"/>
      <c r="H1507" s="40"/>
      <c r="I1507" s="40"/>
      <c r="J1507" s="40"/>
      <c r="K1507" s="40"/>
      <c r="L1507" s="40"/>
      <c r="M1507" s="40"/>
      <c r="T1507" s="13"/>
    </row>
    <row r="1508" spans="1:20" ht="409.5" customHeight="1"/>
    <row r="1509" spans="1:20" s="2" customFormat="1" ht="35.1" customHeight="1">
      <c r="A1509" s="126" t="s">
        <v>0</v>
      </c>
      <c r="B1509" s="126"/>
      <c r="C1509" s="1">
        <f>C1451+1</f>
        <v>62</v>
      </c>
      <c r="G1509" s="3"/>
    </row>
    <row r="1510" spans="1:20" s="2" customFormat="1" ht="35.1" customHeight="1">
      <c r="A1510" s="126" t="s">
        <v>1</v>
      </c>
      <c r="B1510" s="126"/>
      <c r="C1510" s="2" t="s">
        <v>2</v>
      </c>
      <c r="E1510" s="2" t="s">
        <v>3</v>
      </c>
      <c r="G1510" s="3"/>
      <c r="H1510" s="127" t="s">
        <v>4</v>
      </c>
      <c r="I1510" s="128"/>
      <c r="J1510" s="129">
        <f>J1452+1</f>
        <v>46049</v>
      </c>
      <c r="K1510" s="130"/>
      <c r="L1510" s="131">
        <f>J1510</f>
        <v>46049</v>
      </c>
      <c r="M1510" s="132"/>
    </row>
    <row r="1511" spans="1:20" s="2" customFormat="1" ht="30" customHeight="1">
      <c r="A1511" s="72" t="s">
        <v>5</v>
      </c>
      <c r="B1511" s="114"/>
      <c r="C1511" s="119" t="s">
        <v>83</v>
      </c>
      <c r="D1511" s="119"/>
      <c r="E1511" s="119"/>
      <c r="F1511" s="119"/>
      <c r="G1511" s="119"/>
      <c r="H1511" s="54" t="s">
        <v>6</v>
      </c>
      <c r="I1511" s="59"/>
      <c r="J1511" s="120"/>
      <c r="K1511" s="120"/>
      <c r="L1511" s="120"/>
      <c r="M1511" s="120"/>
    </row>
    <row r="1512" spans="1:20" s="1" customFormat="1" ht="30" customHeight="1">
      <c r="A1512" s="72" t="s">
        <v>7</v>
      </c>
      <c r="B1512" s="114"/>
      <c r="C1512" s="4">
        <v>50</v>
      </c>
      <c r="D1512" s="4" t="s">
        <v>8</v>
      </c>
      <c r="E1512" s="4" t="s">
        <v>9</v>
      </c>
      <c r="F1512" s="4">
        <f>F1454+1</f>
        <v>62</v>
      </c>
      <c r="G1512" s="5" t="s">
        <v>8</v>
      </c>
      <c r="H1512" s="4" t="s">
        <v>10</v>
      </c>
      <c r="I1512" s="4">
        <f>C1512-F1512+L1512</f>
        <v>-12</v>
      </c>
      <c r="J1512" s="4" t="s">
        <v>11</v>
      </c>
      <c r="K1512" s="6" t="s">
        <v>12</v>
      </c>
      <c r="L1512" s="7">
        <f>L1454</f>
        <v>0</v>
      </c>
      <c r="M1512" s="4" t="s">
        <v>8</v>
      </c>
    </row>
    <row r="1513" spans="1:20" s="2" customFormat="1" ht="30" customHeight="1">
      <c r="A1513" s="72" t="s">
        <v>13</v>
      </c>
      <c r="B1513" s="75"/>
      <c r="C1513" s="75"/>
      <c r="D1513" s="121">
        <f>D1455</f>
        <v>45988</v>
      </c>
      <c r="E1513" s="122"/>
      <c r="F1513" s="122"/>
      <c r="G1513" s="123"/>
      <c r="H1513" s="124" t="s">
        <v>14</v>
      </c>
      <c r="I1513" s="125"/>
      <c r="J1513" s="121">
        <f>J1455</f>
        <v>46037</v>
      </c>
      <c r="K1513" s="122"/>
      <c r="L1513" s="122"/>
      <c r="M1513" s="123"/>
    </row>
    <row r="1514" spans="1:20" s="2" customFormat="1" ht="30" customHeight="1">
      <c r="A1514" s="72" t="s">
        <v>15</v>
      </c>
      <c r="B1514" s="114"/>
      <c r="C1514" s="114"/>
      <c r="D1514" s="72"/>
      <c r="E1514" s="72"/>
      <c r="F1514" s="72"/>
      <c r="G1514" s="72"/>
      <c r="H1514" s="64" t="s">
        <v>16</v>
      </c>
      <c r="I1514" s="115"/>
      <c r="J1514" s="116">
        <f>P1530</f>
        <v>0</v>
      </c>
      <c r="K1514" s="117"/>
      <c r="L1514" s="117"/>
      <c r="M1514" s="118"/>
    </row>
    <row r="1515" spans="1:20" s="2" customFormat="1" ht="30" customHeight="1">
      <c r="A1515" s="72" t="s">
        <v>17</v>
      </c>
      <c r="B1515" s="114"/>
      <c r="C1515" s="114"/>
      <c r="D1515" s="72">
        <f>D1514+D1457</f>
        <v>100.00000000000004</v>
      </c>
      <c r="E1515" s="72"/>
      <c r="F1515" s="72"/>
      <c r="G1515" s="72"/>
      <c r="H1515" s="64" t="s">
        <v>18</v>
      </c>
      <c r="I1515" s="115"/>
      <c r="J1515" s="116">
        <f>J1514+J1457</f>
        <v>25.469999999999992</v>
      </c>
      <c r="K1515" s="117"/>
      <c r="L1515" s="117"/>
      <c r="M1515" s="118"/>
    </row>
    <row r="1516" spans="1:20" s="2" customFormat="1" ht="30" customHeight="1">
      <c r="A1516" s="111" t="s">
        <v>19</v>
      </c>
      <c r="B1516" s="112"/>
      <c r="C1516" s="112"/>
      <c r="D1516" s="112"/>
      <c r="E1516" s="112"/>
      <c r="F1516" s="112"/>
      <c r="G1516" s="112"/>
      <c r="H1516" s="112"/>
      <c r="I1516" s="112"/>
      <c r="J1516" s="112"/>
      <c r="K1516" s="112"/>
      <c r="L1516" s="112"/>
      <c r="M1516" s="113"/>
    </row>
    <row r="1517" spans="1:20" s="2" customFormat="1" ht="30" customHeight="1">
      <c r="A1517" s="8" t="s">
        <v>20</v>
      </c>
      <c r="B1517" s="72" t="s">
        <v>21</v>
      </c>
      <c r="C1517" s="72"/>
      <c r="D1517" s="72"/>
      <c r="E1517" s="4" t="s">
        <v>22</v>
      </c>
      <c r="F1517" s="54" t="s">
        <v>23</v>
      </c>
      <c r="G1517" s="59"/>
      <c r="H1517" s="72" t="s">
        <v>24</v>
      </c>
      <c r="I1517" s="72"/>
      <c r="J1517" s="72" t="s">
        <v>25</v>
      </c>
      <c r="K1517" s="72"/>
      <c r="L1517" s="72" t="s">
        <v>26</v>
      </c>
      <c r="M1517" s="72"/>
      <c r="O1517" s="1" t="s">
        <v>27</v>
      </c>
      <c r="P1517" s="1" t="s">
        <v>28</v>
      </c>
      <c r="T1517" s="2" t="s">
        <v>29</v>
      </c>
    </row>
    <row r="1518" spans="1:20" s="2" customFormat="1" ht="24.95" customHeight="1">
      <c r="A1518" s="9" t="s">
        <v>30</v>
      </c>
      <c r="B1518" s="110" t="s">
        <v>31</v>
      </c>
      <c r="C1518" s="110"/>
      <c r="D1518" s="110"/>
      <c r="E1518" s="4"/>
      <c r="F1518" s="54"/>
      <c r="G1518" s="59"/>
      <c r="H1518" s="72"/>
      <c r="I1518" s="72"/>
      <c r="J1518" s="72"/>
      <c r="K1518" s="72"/>
      <c r="L1518" s="72"/>
      <c r="M1518" s="72"/>
    </row>
    <row r="1519" spans="1:20" ht="24.95" customHeight="1">
      <c r="A1519" s="10">
        <v>1</v>
      </c>
      <c r="B1519" s="66" t="s">
        <v>91</v>
      </c>
      <c r="C1519" s="67" t="s">
        <v>91</v>
      </c>
      <c r="D1519" s="68" t="s">
        <v>91</v>
      </c>
      <c r="E1519" s="4" t="s">
        <v>32</v>
      </c>
      <c r="F1519" s="69">
        <v>1</v>
      </c>
      <c r="G1519" s="70"/>
      <c r="H1519" s="69"/>
      <c r="I1519" s="70"/>
      <c r="J1519" s="71">
        <f>H1519+J1461</f>
        <v>1</v>
      </c>
      <c r="K1519" s="71"/>
      <c r="L1519" s="72"/>
      <c r="M1519" s="72"/>
      <c r="O1519" s="11">
        <v>4000</v>
      </c>
      <c r="P1519" s="11">
        <f>ROUND(H1519*O1519,0)</f>
        <v>0</v>
      </c>
      <c r="Q1519" s="12"/>
      <c r="S1519" s="11">
        <f>ROUND(J1519*O1519,0)</f>
        <v>4000</v>
      </c>
      <c r="T1519" s="13">
        <f>F1519-J1519</f>
        <v>0</v>
      </c>
    </row>
    <row r="1520" spans="1:20" ht="24.95" customHeight="1">
      <c r="A1520" s="10">
        <v>2</v>
      </c>
      <c r="B1520" s="66" t="s">
        <v>92</v>
      </c>
      <c r="C1520" s="67" t="s">
        <v>92</v>
      </c>
      <c r="D1520" s="68" t="s">
        <v>92</v>
      </c>
      <c r="E1520" s="4" t="s">
        <v>32</v>
      </c>
      <c r="F1520" s="69">
        <v>1</v>
      </c>
      <c r="G1520" s="70"/>
      <c r="H1520" s="69"/>
      <c r="I1520" s="70"/>
      <c r="J1520" s="71">
        <f t="shared" ref="J1520:J1527" si="178">H1520+J1462</f>
        <v>1</v>
      </c>
      <c r="K1520" s="71"/>
      <c r="L1520" s="72"/>
      <c r="M1520" s="72"/>
      <c r="O1520" s="11">
        <v>14334</v>
      </c>
      <c r="P1520" s="11">
        <f t="shared" ref="P1520:P1527" si="179">ROUND(H1520*O1520,0)</f>
        <v>0</v>
      </c>
      <c r="Q1520" s="12"/>
      <c r="S1520" s="11">
        <f t="shared" ref="S1520:S1527" si="180">ROUND(J1520*O1520,0)</f>
        <v>14334</v>
      </c>
      <c r="T1520" s="13">
        <f t="shared" ref="T1520:T1527" si="181">F1520-J1520</f>
        <v>0</v>
      </c>
    </row>
    <row r="1521" spans="1:20" ht="24.95" customHeight="1">
      <c r="A1521" s="10">
        <v>3</v>
      </c>
      <c r="B1521" s="66" t="s">
        <v>84</v>
      </c>
      <c r="C1521" s="67" t="s">
        <v>84</v>
      </c>
      <c r="D1521" s="68" t="s">
        <v>84</v>
      </c>
      <c r="E1521" s="4" t="s">
        <v>33</v>
      </c>
      <c r="F1521" s="69">
        <v>1</v>
      </c>
      <c r="G1521" s="70"/>
      <c r="H1521" s="69"/>
      <c r="I1521" s="70"/>
      <c r="J1521" s="71">
        <f t="shared" si="178"/>
        <v>0.5</v>
      </c>
      <c r="K1521" s="71"/>
      <c r="L1521" s="72"/>
      <c r="M1521" s="72"/>
      <c r="O1521" s="11">
        <v>7000</v>
      </c>
      <c r="P1521" s="11">
        <f t="shared" si="179"/>
        <v>0</v>
      </c>
      <c r="Q1521" s="12"/>
      <c r="S1521" s="11">
        <f t="shared" si="180"/>
        <v>3500</v>
      </c>
      <c r="T1521" s="13">
        <f t="shared" si="181"/>
        <v>0.5</v>
      </c>
    </row>
    <row r="1522" spans="1:20" ht="24.95" customHeight="1">
      <c r="A1522" s="10">
        <v>4</v>
      </c>
      <c r="B1522" s="66" t="s">
        <v>85</v>
      </c>
      <c r="C1522" s="67" t="s">
        <v>85</v>
      </c>
      <c r="D1522" s="68" t="s">
        <v>85</v>
      </c>
      <c r="E1522" s="4" t="s">
        <v>34</v>
      </c>
      <c r="F1522" s="69">
        <v>1</v>
      </c>
      <c r="G1522" s="70"/>
      <c r="H1522" s="69"/>
      <c r="I1522" s="70"/>
      <c r="J1522" s="71">
        <f t="shared" si="178"/>
        <v>1</v>
      </c>
      <c r="K1522" s="71"/>
      <c r="L1522" s="72"/>
      <c r="M1522" s="72"/>
      <c r="O1522" s="11">
        <v>74000</v>
      </c>
      <c r="P1522" s="11">
        <f t="shared" si="179"/>
        <v>0</v>
      </c>
      <c r="Q1522" s="12"/>
      <c r="S1522" s="11">
        <f t="shared" si="180"/>
        <v>74000</v>
      </c>
      <c r="T1522" s="13">
        <f t="shared" si="181"/>
        <v>0</v>
      </c>
    </row>
    <row r="1523" spans="1:20" ht="24.95" customHeight="1">
      <c r="A1523" s="10">
        <v>5</v>
      </c>
      <c r="B1523" s="66" t="s">
        <v>86</v>
      </c>
      <c r="C1523" s="67" t="s">
        <v>86</v>
      </c>
      <c r="D1523" s="68" t="s">
        <v>86</v>
      </c>
      <c r="E1523" s="4" t="s">
        <v>93</v>
      </c>
      <c r="F1523" s="69">
        <v>396</v>
      </c>
      <c r="G1523" s="70"/>
      <c r="H1523" s="69"/>
      <c r="I1523" s="70"/>
      <c r="J1523" s="71">
        <f t="shared" si="178"/>
        <v>350</v>
      </c>
      <c r="K1523" s="71"/>
      <c r="L1523" s="72"/>
      <c r="M1523" s="72"/>
      <c r="O1523" s="11">
        <v>200</v>
      </c>
      <c r="P1523" s="11">
        <f t="shared" si="179"/>
        <v>0</v>
      </c>
      <c r="Q1523" s="12"/>
      <c r="S1523" s="11">
        <f t="shared" si="180"/>
        <v>70000</v>
      </c>
      <c r="T1523" s="13">
        <f t="shared" si="181"/>
        <v>46</v>
      </c>
    </row>
    <row r="1524" spans="1:20" ht="24.95" customHeight="1">
      <c r="A1524" s="10">
        <v>6</v>
      </c>
      <c r="B1524" s="66" t="s">
        <v>97</v>
      </c>
      <c r="C1524" s="67" t="s">
        <v>87</v>
      </c>
      <c r="D1524" s="68" t="s">
        <v>87</v>
      </c>
      <c r="E1524" s="4" t="s">
        <v>35</v>
      </c>
      <c r="F1524" s="69">
        <v>80</v>
      </c>
      <c r="G1524" s="70">
        <v>183.6</v>
      </c>
      <c r="H1524" s="69"/>
      <c r="I1524" s="70"/>
      <c r="J1524" s="71">
        <f t="shared" si="178"/>
        <v>78</v>
      </c>
      <c r="K1524" s="71"/>
      <c r="L1524" s="54"/>
      <c r="M1524" s="59"/>
      <c r="O1524" s="11">
        <v>1463</v>
      </c>
      <c r="P1524" s="11">
        <f t="shared" si="179"/>
        <v>0</v>
      </c>
      <c r="S1524" s="11">
        <f t="shared" si="180"/>
        <v>114114</v>
      </c>
      <c r="T1524" s="13">
        <f t="shared" si="181"/>
        <v>2</v>
      </c>
    </row>
    <row r="1525" spans="1:20" ht="24.95" customHeight="1">
      <c r="A1525" s="10">
        <v>7</v>
      </c>
      <c r="B1525" s="66" t="s">
        <v>88</v>
      </c>
      <c r="C1525" s="67" t="s">
        <v>88</v>
      </c>
      <c r="D1525" s="68" t="s">
        <v>88</v>
      </c>
      <c r="E1525" s="4" t="s">
        <v>94</v>
      </c>
      <c r="F1525" s="69">
        <v>126</v>
      </c>
      <c r="G1525" s="70">
        <v>19</v>
      </c>
      <c r="H1525" s="69"/>
      <c r="I1525" s="70"/>
      <c r="J1525" s="71">
        <f t="shared" si="178"/>
        <v>0</v>
      </c>
      <c r="K1525" s="71"/>
      <c r="L1525" s="54"/>
      <c r="M1525" s="59"/>
      <c r="O1525" s="11">
        <v>6350</v>
      </c>
      <c r="P1525" s="11">
        <f t="shared" si="179"/>
        <v>0</v>
      </c>
      <c r="S1525" s="11">
        <f t="shared" si="180"/>
        <v>0</v>
      </c>
      <c r="T1525" s="13">
        <f t="shared" si="181"/>
        <v>126</v>
      </c>
    </row>
    <row r="1526" spans="1:20" ht="24.95" customHeight="1">
      <c r="A1526" s="10">
        <v>8</v>
      </c>
      <c r="B1526" s="66" t="s">
        <v>89</v>
      </c>
      <c r="C1526" s="67" t="s">
        <v>89</v>
      </c>
      <c r="D1526" s="68" t="s">
        <v>89</v>
      </c>
      <c r="E1526" s="4" t="s">
        <v>95</v>
      </c>
      <c r="F1526" s="69">
        <v>1</v>
      </c>
      <c r="G1526" s="70">
        <v>1192</v>
      </c>
      <c r="H1526" s="69"/>
      <c r="I1526" s="70"/>
      <c r="J1526" s="71">
        <f t="shared" si="178"/>
        <v>0.3</v>
      </c>
      <c r="K1526" s="71"/>
      <c r="L1526" s="54"/>
      <c r="M1526" s="59"/>
      <c r="O1526" s="11">
        <v>47600</v>
      </c>
      <c r="P1526" s="11">
        <f t="shared" si="179"/>
        <v>0</v>
      </c>
      <c r="S1526" s="11">
        <f t="shared" si="180"/>
        <v>14280</v>
      </c>
      <c r="T1526" s="13">
        <f t="shared" si="181"/>
        <v>0.7</v>
      </c>
    </row>
    <row r="1527" spans="1:20" ht="24.95" customHeight="1">
      <c r="A1527" s="10">
        <v>9</v>
      </c>
      <c r="B1527" s="66" t="s">
        <v>90</v>
      </c>
      <c r="C1527" s="67" t="s">
        <v>90</v>
      </c>
      <c r="D1527" s="68" t="s">
        <v>90</v>
      </c>
      <c r="E1527" s="4" t="s">
        <v>96</v>
      </c>
      <c r="F1527" s="69">
        <v>1</v>
      </c>
      <c r="G1527" s="70">
        <v>1261</v>
      </c>
      <c r="H1527" s="69"/>
      <c r="I1527" s="70"/>
      <c r="J1527" s="71">
        <f t="shared" si="178"/>
        <v>0</v>
      </c>
      <c r="K1527" s="71"/>
      <c r="L1527" s="54"/>
      <c r="M1527" s="59"/>
      <c r="O1527" s="11">
        <v>10000</v>
      </c>
      <c r="P1527" s="11">
        <f t="shared" si="179"/>
        <v>0</v>
      </c>
      <c r="S1527" s="11">
        <f t="shared" si="180"/>
        <v>0</v>
      </c>
      <c r="T1527" s="13">
        <f t="shared" si="181"/>
        <v>1</v>
      </c>
    </row>
    <row r="1528" spans="1:20" ht="24.95" customHeight="1">
      <c r="A1528" s="14"/>
      <c r="B1528" s="15"/>
      <c r="C1528" s="16"/>
      <c r="D1528" s="17"/>
      <c r="E1528" s="4"/>
      <c r="F1528" s="18"/>
      <c r="G1528" s="19"/>
      <c r="H1528" s="105"/>
      <c r="I1528" s="106"/>
      <c r="J1528" s="105"/>
      <c r="K1528" s="106"/>
      <c r="L1528" s="54"/>
      <c r="M1528" s="59"/>
      <c r="N1528" s="20"/>
      <c r="P1528" s="21" t="s">
        <v>37</v>
      </c>
      <c r="Q1528" s="22">
        <f>SUM(P1519:P1527)</f>
        <v>0</v>
      </c>
      <c r="R1528" s="23"/>
      <c r="S1528" s="24">
        <f>SUM(S1519:S1527)</f>
        <v>294228</v>
      </c>
      <c r="T1528" s="13"/>
    </row>
    <row r="1529" spans="1:20" ht="24.95" customHeight="1">
      <c r="A1529" s="107"/>
      <c r="B1529" s="108"/>
      <c r="C1529" s="108"/>
      <c r="D1529" s="109"/>
      <c r="E1529" s="4"/>
      <c r="F1529" s="54"/>
      <c r="G1529" s="59"/>
      <c r="H1529" s="72"/>
      <c r="I1529" s="72"/>
      <c r="J1529" s="72"/>
      <c r="K1529" s="72"/>
      <c r="L1529" s="72"/>
      <c r="M1529" s="72"/>
      <c r="O1529" t="s">
        <v>38</v>
      </c>
      <c r="P1529" s="24">
        <f>Q1528</f>
        <v>0</v>
      </c>
      <c r="T1529" s="13"/>
    </row>
    <row r="1530" spans="1:20" ht="24.95" customHeight="1">
      <c r="A1530" s="97"/>
      <c r="B1530" s="98"/>
      <c r="C1530" s="98"/>
      <c r="D1530" s="99"/>
      <c r="E1530" s="4"/>
      <c r="F1530" s="54"/>
      <c r="G1530" s="59"/>
      <c r="H1530" s="72"/>
      <c r="I1530" s="72"/>
      <c r="J1530" s="72"/>
      <c r="K1530" s="72"/>
      <c r="L1530" s="72"/>
      <c r="M1530" s="72"/>
      <c r="O1530" t="s">
        <v>39</v>
      </c>
      <c r="P1530" s="23">
        <f>ROUND(P1529/1153274,4)*100</f>
        <v>0</v>
      </c>
      <c r="T1530" s="13"/>
    </row>
    <row r="1531" spans="1:20" ht="24.95" customHeight="1">
      <c r="A1531" s="25"/>
      <c r="B1531" s="63" t="s">
        <v>40</v>
      </c>
      <c r="C1531" s="63"/>
      <c r="D1531" s="59"/>
      <c r="E1531" s="26"/>
      <c r="F1531" s="100"/>
      <c r="G1531" s="101"/>
      <c r="H1531" s="100"/>
      <c r="I1531" s="101"/>
      <c r="J1531" s="102"/>
      <c r="K1531" s="102"/>
      <c r="L1531" s="103">
        <f>P1529</f>
        <v>0</v>
      </c>
      <c r="M1531" s="104"/>
      <c r="T1531" s="13"/>
    </row>
    <row r="1532" spans="1:20" ht="24.95" customHeight="1" thickBot="1">
      <c r="A1532" s="27"/>
      <c r="B1532" s="85" t="s">
        <v>41</v>
      </c>
      <c r="C1532" s="85"/>
      <c r="D1532" s="86"/>
      <c r="E1532" s="28"/>
      <c r="F1532" s="87"/>
      <c r="G1532" s="88"/>
      <c r="H1532" s="87"/>
      <c r="I1532" s="88"/>
      <c r="J1532" s="87"/>
      <c r="K1532" s="88"/>
      <c r="L1532" s="89">
        <f>L1531+L1474</f>
        <v>294228</v>
      </c>
      <c r="M1532" s="90"/>
      <c r="T1532" s="13"/>
    </row>
    <row r="1533" spans="1:20" ht="24.95" customHeight="1">
      <c r="A1533" s="29"/>
      <c r="B1533" s="91" t="s">
        <v>42</v>
      </c>
      <c r="C1533" s="91"/>
      <c r="D1533" s="92"/>
      <c r="E1533" s="30"/>
      <c r="F1533" s="93"/>
      <c r="G1533" s="94"/>
      <c r="H1533" s="95"/>
      <c r="I1533" s="95"/>
      <c r="J1533" s="95"/>
      <c r="K1533" s="95"/>
      <c r="L1533" s="95"/>
      <c r="M1533" s="96"/>
      <c r="T1533" s="13"/>
    </row>
    <row r="1534" spans="1:20" ht="24.95" customHeight="1">
      <c r="A1534" s="31"/>
      <c r="B1534" s="76" t="s">
        <v>43</v>
      </c>
      <c r="C1534" s="76"/>
      <c r="D1534" s="77"/>
      <c r="E1534" s="4"/>
      <c r="F1534" s="54"/>
      <c r="G1534" s="59"/>
      <c r="H1534" s="72"/>
      <c r="I1534" s="72"/>
      <c r="J1534" s="72"/>
      <c r="K1534" s="72"/>
      <c r="L1534" s="72"/>
      <c r="M1534" s="78"/>
      <c r="T1534" s="13"/>
    </row>
    <row r="1535" spans="1:20" ht="24.95" customHeight="1" thickBot="1">
      <c r="A1535" s="32"/>
      <c r="B1535" s="79" t="s">
        <v>44</v>
      </c>
      <c r="C1535" s="79"/>
      <c r="D1535" s="80"/>
      <c r="E1535" s="33"/>
      <c r="F1535" s="81"/>
      <c r="G1535" s="82"/>
      <c r="H1535" s="83"/>
      <c r="I1535" s="83"/>
      <c r="J1535" s="83"/>
      <c r="K1535" s="83"/>
      <c r="L1535" s="83"/>
      <c r="M1535" s="84"/>
      <c r="T1535" s="13"/>
    </row>
    <row r="1536" spans="1:20" ht="24.95" customHeight="1">
      <c r="A1536" s="73" t="s">
        <v>45</v>
      </c>
      <c r="B1536" s="74"/>
      <c r="C1536" s="74"/>
      <c r="D1536" s="74"/>
      <c r="E1536" s="74"/>
      <c r="F1536" s="74"/>
      <c r="G1536" s="74"/>
      <c r="H1536" s="74"/>
      <c r="I1536" s="74"/>
      <c r="J1536" s="74"/>
      <c r="K1536" s="74"/>
      <c r="L1536" s="74"/>
      <c r="M1536" s="74"/>
      <c r="T1536" s="13"/>
    </row>
    <row r="1537" spans="1:20" ht="24.95" customHeight="1">
      <c r="A1537" s="72" t="s">
        <v>46</v>
      </c>
      <c r="B1537" s="75"/>
      <c r="C1537" s="75"/>
      <c r="D1537" s="75"/>
      <c r="E1537" s="4" t="s">
        <v>22</v>
      </c>
      <c r="F1537" s="72" t="s">
        <v>47</v>
      </c>
      <c r="G1537" s="72"/>
      <c r="H1537" s="72" t="s">
        <v>48</v>
      </c>
      <c r="I1537" s="72"/>
      <c r="J1537" s="72" t="s">
        <v>49</v>
      </c>
      <c r="K1537" s="72"/>
      <c r="L1537" s="72" t="s">
        <v>50</v>
      </c>
      <c r="M1537" s="72"/>
      <c r="T1537" s="13"/>
    </row>
    <row r="1538" spans="1:20" ht="24.95" customHeight="1">
      <c r="A1538" s="10">
        <v>6</v>
      </c>
      <c r="B1538" s="66" t="s">
        <v>97</v>
      </c>
      <c r="C1538" s="67" t="s">
        <v>51</v>
      </c>
      <c r="D1538" s="68" t="s">
        <v>51</v>
      </c>
      <c r="E1538" s="4" t="s">
        <v>35</v>
      </c>
      <c r="F1538" s="69">
        <v>80</v>
      </c>
      <c r="G1538" s="70">
        <v>1261</v>
      </c>
      <c r="H1538" s="71">
        <f>H1524</f>
        <v>0</v>
      </c>
      <c r="I1538" s="71"/>
      <c r="J1538" s="71">
        <f>H1538+J1480</f>
        <v>78</v>
      </c>
      <c r="K1538" s="71"/>
      <c r="L1538" s="72"/>
      <c r="M1538" s="72"/>
      <c r="T1538" s="13"/>
    </row>
    <row r="1539" spans="1:20" ht="24.95" customHeight="1">
      <c r="A1539" s="10">
        <v>7</v>
      </c>
      <c r="B1539" s="66" t="s">
        <v>88</v>
      </c>
      <c r="C1539" s="67" t="s">
        <v>88</v>
      </c>
      <c r="D1539" s="68" t="s">
        <v>88</v>
      </c>
      <c r="E1539" s="4" t="s">
        <v>98</v>
      </c>
      <c r="F1539" s="69">
        <v>126</v>
      </c>
      <c r="G1539" s="70"/>
      <c r="H1539" s="71">
        <f>H1525</f>
        <v>0</v>
      </c>
      <c r="I1539" s="71"/>
      <c r="J1539" s="71">
        <f t="shared" ref="J1539:J1540" si="182">H1539+J1481</f>
        <v>0</v>
      </c>
      <c r="K1539" s="71"/>
      <c r="L1539" s="72"/>
      <c r="M1539" s="72"/>
      <c r="T1539" s="13"/>
    </row>
    <row r="1540" spans="1:20" ht="24.95" customHeight="1">
      <c r="A1540" s="10">
        <v>8</v>
      </c>
      <c r="B1540" s="66" t="s">
        <v>89</v>
      </c>
      <c r="C1540" s="67" t="s">
        <v>89</v>
      </c>
      <c r="D1540" s="68" t="s">
        <v>89</v>
      </c>
      <c r="E1540" s="4" t="s">
        <v>36</v>
      </c>
      <c r="F1540" s="69">
        <v>1</v>
      </c>
      <c r="G1540" s="70"/>
      <c r="H1540" s="71">
        <f>H1526</f>
        <v>0</v>
      </c>
      <c r="I1540" s="71"/>
      <c r="J1540" s="71">
        <f t="shared" si="182"/>
        <v>0.3</v>
      </c>
      <c r="K1540" s="71"/>
      <c r="L1540" s="72"/>
      <c r="M1540" s="72"/>
      <c r="T1540" s="13"/>
    </row>
    <row r="1541" spans="1:20" ht="24.95" customHeight="1">
      <c r="A1541" s="51" t="s">
        <v>52</v>
      </c>
      <c r="B1541" s="52"/>
      <c r="C1541" s="52"/>
      <c r="D1541" s="52"/>
      <c r="E1541" s="52"/>
      <c r="F1541" s="52"/>
      <c r="G1541" s="52"/>
      <c r="H1541" s="52"/>
      <c r="I1541" s="52"/>
      <c r="J1541" s="52"/>
      <c r="K1541" s="52"/>
      <c r="L1541" s="52"/>
      <c r="M1541" s="53"/>
      <c r="T1541" s="13"/>
    </row>
    <row r="1542" spans="1:20" ht="24.95" customHeight="1">
      <c r="A1542" s="54" t="s">
        <v>53</v>
      </c>
      <c r="B1542" s="63"/>
      <c r="C1542" s="63"/>
      <c r="D1542" s="59"/>
      <c r="E1542" s="4" t="s">
        <v>54</v>
      </c>
      <c r="F1542" s="54" t="s">
        <v>55</v>
      </c>
      <c r="G1542" s="59"/>
      <c r="H1542" s="54" t="s">
        <v>56</v>
      </c>
      <c r="I1542" s="59"/>
      <c r="J1542" s="54" t="s">
        <v>48</v>
      </c>
      <c r="K1542" s="59"/>
      <c r="L1542" s="64" t="s">
        <v>49</v>
      </c>
      <c r="M1542" s="65"/>
      <c r="T1542" s="13"/>
    </row>
    <row r="1543" spans="1:20" ht="24.95" customHeight="1">
      <c r="A1543" s="54" t="s">
        <v>57</v>
      </c>
      <c r="B1543" s="55"/>
      <c r="C1543" s="55"/>
      <c r="D1543" s="56"/>
      <c r="E1543" s="4"/>
      <c r="F1543" s="57">
        <f>E1543+F1485</f>
        <v>28</v>
      </c>
      <c r="G1543" s="58"/>
      <c r="H1543" s="54" t="s">
        <v>58</v>
      </c>
      <c r="I1543" s="59"/>
      <c r="J1543" s="54"/>
      <c r="K1543" s="59"/>
      <c r="L1543" s="57">
        <f>J1543+L1485</f>
        <v>15</v>
      </c>
      <c r="M1543" s="58"/>
      <c r="T1543" s="13"/>
    </row>
    <row r="1544" spans="1:20" ht="24.95" customHeight="1">
      <c r="A1544" s="54" t="s">
        <v>59</v>
      </c>
      <c r="B1544" s="55"/>
      <c r="C1544" s="55"/>
      <c r="D1544" s="56"/>
      <c r="E1544" s="4"/>
      <c r="F1544" s="57">
        <f t="shared" ref="F1544:F1546" si="183">E1544+F1486</f>
        <v>0</v>
      </c>
      <c r="G1544" s="58"/>
      <c r="H1544" s="54" t="s">
        <v>60</v>
      </c>
      <c r="I1544" s="59"/>
      <c r="J1544" s="54"/>
      <c r="K1544" s="59"/>
      <c r="L1544" s="57">
        <f t="shared" ref="L1544:L1546" si="184">J1544+L1486</f>
        <v>0</v>
      </c>
      <c r="M1544" s="58"/>
      <c r="T1544" s="13"/>
    </row>
    <row r="1545" spans="1:20" ht="24.95" customHeight="1">
      <c r="A1545" s="54" t="s">
        <v>61</v>
      </c>
      <c r="B1545" s="55"/>
      <c r="C1545" s="55"/>
      <c r="D1545" s="56"/>
      <c r="E1545" s="4"/>
      <c r="F1545" s="57">
        <f t="shared" si="183"/>
        <v>2</v>
      </c>
      <c r="G1545" s="58"/>
      <c r="H1545" s="54" t="s">
        <v>62</v>
      </c>
      <c r="I1545" s="59"/>
      <c r="J1545" s="54"/>
      <c r="K1545" s="59"/>
      <c r="L1545" s="57">
        <f t="shared" si="184"/>
        <v>5</v>
      </c>
      <c r="M1545" s="58"/>
      <c r="T1545" s="13"/>
    </row>
    <row r="1546" spans="1:20" ht="24.95" customHeight="1">
      <c r="A1546" s="54" t="s">
        <v>63</v>
      </c>
      <c r="B1546" s="55"/>
      <c r="C1546" s="55"/>
      <c r="D1546" s="56"/>
      <c r="E1546" s="4"/>
      <c r="F1546" s="57">
        <f t="shared" si="183"/>
        <v>4</v>
      </c>
      <c r="G1546" s="58"/>
      <c r="H1546" s="54" t="s">
        <v>64</v>
      </c>
      <c r="I1546" s="59"/>
      <c r="J1546" s="54"/>
      <c r="K1546" s="59"/>
      <c r="L1546" s="57">
        <f t="shared" si="184"/>
        <v>1</v>
      </c>
      <c r="M1546" s="58"/>
      <c r="T1546" s="13"/>
    </row>
    <row r="1547" spans="1:20" ht="64.5" customHeight="1">
      <c r="A1547" s="60" t="s">
        <v>65</v>
      </c>
      <c r="B1547" s="61"/>
      <c r="C1547" s="61"/>
      <c r="D1547" s="61"/>
      <c r="E1547" s="61"/>
      <c r="F1547" s="61"/>
      <c r="G1547" s="61"/>
      <c r="H1547" s="61"/>
      <c r="I1547" s="61"/>
      <c r="J1547" s="61"/>
      <c r="K1547" s="61"/>
      <c r="L1547" s="61"/>
      <c r="M1547" s="62"/>
      <c r="T1547" s="13"/>
    </row>
    <row r="1548" spans="1:20" ht="24.95" customHeight="1">
      <c r="A1548" s="46" t="s">
        <v>66</v>
      </c>
      <c r="B1548" s="47"/>
      <c r="C1548" s="47"/>
      <c r="D1548" s="47"/>
      <c r="E1548" s="47"/>
      <c r="F1548" s="47"/>
      <c r="G1548" s="47"/>
      <c r="H1548" s="47"/>
      <c r="I1548" s="47"/>
      <c r="J1548" s="47"/>
      <c r="K1548" s="47"/>
      <c r="L1548" s="47"/>
      <c r="M1548" s="48"/>
      <c r="T1548" s="13"/>
    </row>
    <row r="1549" spans="1:20" ht="24.95" customHeight="1">
      <c r="A1549" s="27"/>
      <c r="B1549" s="34" t="s">
        <v>67</v>
      </c>
      <c r="C1549" s="34"/>
      <c r="D1549" s="34"/>
      <c r="E1549" s="34"/>
      <c r="F1549" s="34"/>
      <c r="G1549" s="35"/>
      <c r="H1549" s="34"/>
      <c r="I1549" s="34"/>
      <c r="J1549" s="34"/>
      <c r="K1549" s="34"/>
      <c r="L1549" s="34"/>
      <c r="M1549" s="36"/>
      <c r="T1549" s="13"/>
    </row>
    <row r="1550" spans="1:20" ht="24.95" customHeight="1">
      <c r="A1550" s="27"/>
      <c r="B1550" s="34" t="s">
        <v>81</v>
      </c>
      <c r="C1550" s="34"/>
      <c r="D1550" s="34"/>
      <c r="E1550" s="34"/>
      <c r="F1550" s="34"/>
      <c r="G1550" s="35"/>
      <c r="H1550" s="34"/>
      <c r="I1550" s="34"/>
      <c r="J1550" s="34"/>
      <c r="K1550" s="34"/>
      <c r="L1550" s="34"/>
      <c r="M1550" s="36"/>
      <c r="T1550" s="13"/>
    </row>
    <row r="1551" spans="1:20" ht="24.95" customHeight="1">
      <c r="A1551" s="27"/>
      <c r="B1551" s="34" t="s">
        <v>68</v>
      </c>
      <c r="C1551" s="34"/>
      <c r="D1551" s="34"/>
      <c r="E1551" s="34"/>
      <c r="F1551" s="34"/>
      <c r="G1551" s="35"/>
      <c r="H1551" s="34"/>
      <c r="I1551" s="34"/>
      <c r="J1551" s="34"/>
      <c r="K1551" s="34"/>
      <c r="L1551" s="34"/>
      <c r="M1551" s="36"/>
      <c r="T1551" s="13"/>
    </row>
    <row r="1552" spans="1:20" ht="24.95" customHeight="1">
      <c r="A1552" s="27"/>
      <c r="B1552" s="34" t="s">
        <v>82</v>
      </c>
      <c r="C1552" s="34"/>
      <c r="D1552" s="34"/>
      <c r="E1552" s="34"/>
      <c r="F1552" s="34"/>
      <c r="G1552" s="35"/>
      <c r="H1552" s="34"/>
      <c r="I1552" s="34"/>
      <c r="J1552" s="34"/>
      <c r="K1552" s="34"/>
      <c r="L1552" s="34"/>
      <c r="M1552" s="36"/>
      <c r="T1552" s="13"/>
    </row>
    <row r="1553" spans="1:20" ht="24.95" customHeight="1">
      <c r="A1553" s="27"/>
      <c r="B1553" s="34" t="s">
        <v>99</v>
      </c>
      <c r="C1553" s="34"/>
      <c r="D1553" s="34"/>
      <c r="E1553" s="34"/>
      <c r="F1553" s="34"/>
      <c r="G1553" s="35"/>
      <c r="H1553" s="34"/>
      <c r="I1553" s="34"/>
      <c r="J1553" s="34"/>
      <c r="K1553" s="34"/>
      <c r="L1553" s="34"/>
      <c r="M1553" s="36"/>
      <c r="T1553" s="13"/>
    </row>
    <row r="1554" spans="1:20" ht="24.95" customHeight="1">
      <c r="A1554" s="37"/>
      <c r="B1554" s="49" t="s">
        <v>69</v>
      </c>
      <c r="C1554" s="49"/>
      <c r="D1554" s="49"/>
      <c r="E1554" s="49"/>
      <c r="F1554" s="49"/>
      <c r="G1554" s="49"/>
      <c r="H1554" s="49"/>
      <c r="I1554" s="49"/>
      <c r="J1554" s="49"/>
      <c r="K1554" s="49"/>
      <c r="L1554" s="49"/>
      <c r="M1554" s="50"/>
      <c r="T1554" s="13"/>
    </row>
    <row r="1555" spans="1:20" ht="44.25" customHeight="1">
      <c r="A1555" s="51" t="s">
        <v>70</v>
      </c>
      <c r="B1555" s="52"/>
      <c r="C1555" s="52"/>
      <c r="D1555" s="52"/>
      <c r="E1555" s="52"/>
      <c r="F1555" s="52"/>
      <c r="G1555" s="52"/>
      <c r="H1555" s="52"/>
      <c r="I1555" s="52"/>
      <c r="J1555" s="52"/>
      <c r="K1555" s="52"/>
      <c r="L1555" s="52"/>
      <c r="M1555" s="53"/>
      <c r="T1555" s="13"/>
    </row>
    <row r="1556" spans="1:20" ht="48" customHeight="1">
      <c r="A1556" s="51" t="s">
        <v>71</v>
      </c>
      <c r="B1556" s="52"/>
      <c r="C1556" s="52"/>
      <c r="D1556" s="52"/>
      <c r="E1556" s="52"/>
      <c r="F1556" s="52"/>
      <c r="G1556" s="52"/>
      <c r="H1556" s="52"/>
      <c r="I1556" s="52"/>
      <c r="J1556" s="52"/>
      <c r="K1556" s="52"/>
      <c r="L1556" s="52"/>
      <c r="M1556" s="53"/>
      <c r="T1556" s="13"/>
    </row>
    <row r="1557" spans="1:20" ht="81" customHeight="1">
      <c r="A1557" s="51" t="s">
        <v>80</v>
      </c>
      <c r="B1557" s="52"/>
      <c r="C1557" s="52"/>
      <c r="D1557" s="52"/>
      <c r="E1557" s="52"/>
      <c r="F1557" s="52"/>
      <c r="G1557" s="52"/>
      <c r="H1557" s="52"/>
      <c r="I1557" s="52"/>
      <c r="J1557" s="52"/>
      <c r="K1557" s="52"/>
      <c r="L1557" s="52"/>
      <c r="M1557" s="53"/>
      <c r="T1557" s="13"/>
    </row>
    <row r="1558" spans="1:20" ht="100.5" customHeight="1">
      <c r="A1558" s="51" t="s">
        <v>72</v>
      </c>
      <c r="B1558" s="52"/>
      <c r="C1558" s="52"/>
      <c r="D1558" s="52"/>
      <c r="E1558" s="52"/>
      <c r="F1558" s="52"/>
      <c r="G1558" s="52"/>
      <c r="H1558" s="52"/>
      <c r="I1558" s="52"/>
      <c r="J1558" s="52"/>
      <c r="K1558" s="52"/>
      <c r="L1558" s="52"/>
      <c r="M1558" s="53"/>
      <c r="T1558" s="13"/>
    </row>
    <row r="1559" spans="1:20" ht="12" customHeight="1">
      <c r="A1559" s="41" t="s">
        <v>73</v>
      </c>
      <c r="B1559" s="41"/>
      <c r="C1559" s="42"/>
      <c r="D1559" s="42"/>
      <c r="E1559" s="42"/>
      <c r="F1559" s="42"/>
      <c r="G1559" s="42"/>
      <c r="H1559" s="42"/>
      <c r="I1559" s="42"/>
      <c r="J1559" s="42"/>
      <c r="K1559" s="42"/>
      <c r="L1559" s="42"/>
      <c r="M1559" s="38"/>
      <c r="T1559" s="13"/>
    </row>
    <row r="1560" spans="1:20" ht="12" customHeight="1">
      <c r="A1560" s="43" t="s">
        <v>74</v>
      </c>
      <c r="B1560" s="43"/>
      <c r="C1560" s="40"/>
      <c r="D1560" s="40"/>
      <c r="E1560" s="40"/>
      <c r="F1560" s="40"/>
      <c r="G1560" s="40"/>
      <c r="H1560" s="40"/>
      <c r="I1560" s="40"/>
      <c r="J1560" s="40"/>
      <c r="K1560" s="40"/>
      <c r="L1560" s="38"/>
      <c r="M1560" s="38"/>
      <c r="T1560" s="13"/>
    </row>
    <row r="1561" spans="1:20" ht="12" customHeight="1">
      <c r="A1561" s="44" t="s">
        <v>75</v>
      </c>
      <c r="B1561" s="44"/>
      <c r="C1561" s="44"/>
      <c r="D1561" s="44"/>
      <c r="E1561" s="44"/>
      <c r="F1561" s="44"/>
      <c r="G1561" s="44"/>
      <c r="H1561" s="44"/>
      <c r="I1561" s="44"/>
      <c r="J1561" s="44"/>
      <c r="K1561" s="44"/>
      <c r="L1561" s="44"/>
      <c r="M1561" s="44"/>
      <c r="T1561" s="13"/>
    </row>
    <row r="1562" spans="1:20" ht="12" customHeight="1">
      <c r="A1562" s="39" t="s">
        <v>76</v>
      </c>
      <c r="B1562" s="39"/>
      <c r="C1562" s="39"/>
      <c r="D1562" s="39"/>
      <c r="E1562" s="39"/>
      <c r="F1562" s="39"/>
      <c r="G1562" s="39"/>
      <c r="H1562" s="39"/>
      <c r="I1562" s="39"/>
      <c r="J1562" s="39"/>
      <c r="K1562" s="39"/>
      <c r="L1562" s="39"/>
      <c r="M1562" s="39"/>
      <c r="T1562" s="13"/>
    </row>
    <row r="1563" spans="1:20" ht="12" customHeight="1">
      <c r="A1563" s="39" t="s">
        <v>77</v>
      </c>
      <c r="B1563" s="40"/>
      <c r="C1563" s="40"/>
      <c r="D1563" s="40"/>
      <c r="E1563" s="40"/>
      <c r="F1563" s="40"/>
      <c r="G1563" s="40"/>
      <c r="H1563" s="40"/>
      <c r="I1563" s="40"/>
      <c r="J1563" s="40"/>
      <c r="K1563" s="40"/>
      <c r="L1563" s="40"/>
      <c r="M1563" s="40"/>
      <c r="T1563" s="13"/>
    </row>
    <row r="1564" spans="1:20" ht="12" customHeight="1">
      <c r="A1564" s="45" t="s">
        <v>78</v>
      </c>
      <c r="B1564" s="40"/>
      <c r="C1564" s="40"/>
      <c r="D1564" s="40"/>
      <c r="E1564" s="40"/>
      <c r="F1564" s="40"/>
      <c r="G1564" s="40"/>
      <c r="H1564" s="40"/>
      <c r="I1564" s="40"/>
      <c r="J1564" s="40"/>
      <c r="K1564" s="40"/>
      <c r="L1564" s="40"/>
      <c r="M1564" s="40"/>
      <c r="T1564" s="13"/>
    </row>
    <row r="1565" spans="1:20" ht="12" customHeight="1">
      <c r="A1565" s="39" t="s">
        <v>79</v>
      </c>
      <c r="B1565" s="40"/>
      <c r="C1565" s="40"/>
      <c r="D1565" s="40"/>
      <c r="E1565" s="40"/>
      <c r="F1565" s="40"/>
      <c r="G1565" s="40"/>
      <c r="H1565" s="40"/>
      <c r="I1565" s="40"/>
      <c r="J1565" s="40"/>
      <c r="K1565" s="40"/>
      <c r="L1565" s="40"/>
      <c r="M1565" s="40"/>
      <c r="T1565" s="13"/>
    </row>
    <row r="1566" spans="1:20" ht="409.5" customHeight="1"/>
    <row r="1567" spans="1:20" s="2" customFormat="1" ht="35.1" customHeight="1">
      <c r="A1567" s="126" t="s">
        <v>0</v>
      </c>
      <c r="B1567" s="126"/>
      <c r="C1567" s="1">
        <f>C1509+1</f>
        <v>63</v>
      </c>
      <c r="G1567" s="3"/>
    </row>
    <row r="1568" spans="1:20" s="2" customFormat="1" ht="35.1" customHeight="1">
      <c r="A1568" s="126" t="s">
        <v>1</v>
      </c>
      <c r="B1568" s="126"/>
      <c r="C1568" s="2" t="s">
        <v>2</v>
      </c>
      <c r="E1568" s="2" t="s">
        <v>3</v>
      </c>
      <c r="G1568" s="3"/>
      <c r="H1568" s="127" t="s">
        <v>4</v>
      </c>
      <c r="I1568" s="128"/>
      <c r="J1568" s="129">
        <f>J1510+1</f>
        <v>46050</v>
      </c>
      <c r="K1568" s="130"/>
      <c r="L1568" s="131">
        <f>J1568</f>
        <v>46050</v>
      </c>
      <c r="M1568" s="132"/>
    </row>
    <row r="1569" spans="1:20" s="2" customFormat="1" ht="30" customHeight="1">
      <c r="A1569" s="72" t="s">
        <v>5</v>
      </c>
      <c r="B1569" s="114"/>
      <c r="C1569" s="119" t="s">
        <v>83</v>
      </c>
      <c r="D1569" s="119"/>
      <c r="E1569" s="119"/>
      <c r="F1569" s="119"/>
      <c r="G1569" s="119"/>
      <c r="H1569" s="54" t="s">
        <v>6</v>
      </c>
      <c r="I1569" s="59"/>
      <c r="J1569" s="120"/>
      <c r="K1569" s="120"/>
      <c r="L1569" s="120"/>
      <c r="M1569" s="120"/>
    </row>
    <row r="1570" spans="1:20" s="1" customFormat="1" ht="30" customHeight="1">
      <c r="A1570" s="72" t="s">
        <v>7</v>
      </c>
      <c r="B1570" s="114"/>
      <c r="C1570" s="4">
        <v>50</v>
      </c>
      <c r="D1570" s="4" t="s">
        <v>8</v>
      </c>
      <c r="E1570" s="4" t="s">
        <v>9</v>
      </c>
      <c r="F1570" s="4">
        <f>F1512+1</f>
        <v>63</v>
      </c>
      <c r="G1570" s="5" t="s">
        <v>8</v>
      </c>
      <c r="H1570" s="4" t="s">
        <v>10</v>
      </c>
      <c r="I1570" s="4">
        <f>C1570-F1570+L1570</f>
        <v>-13</v>
      </c>
      <c r="J1570" s="4" t="s">
        <v>11</v>
      </c>
      <c r="K1570" s="6" t="s">
        <v>12</v>
      </c>
      <c r="L1570" s="7">
        <f>L1512</f>
        <v>0</v>
      </c>
      <c r="M1570" s="4" t="s">
        <v>8</v>
      </c>
    </row>
    <row r="1571" spans="1:20" s="2" customFormat="1" ht="30" customHeight="1">
      <c r="A1571" s="72" t="s">
        <v>13</v>
      </c>
      <c r="B1571" s="75"/>
      <c r="C1571" s="75"/>
      <c r="D1571" s="121">
        <f>D1513</f>
        <v>45988</v>
      </c>
      <c r="E1571" s="122"/>
      <c r="F1571" s="122"/>
      <c r="G1571" s="123"/>
      <c r="H1571" s="124" t="s">
        <v>14</v>
      </c>
      <c r="I1571" s="125"/>
      <c r="J1571" s="121">
        <f>J1513</f>
        <v>46037</v>
      </c>
      <c r="K1571" s="122"/>
      <c r="L1571" s="122"/>
      <c r="M1571" s="123"/>
    </row>
    <row r="1572" spans="1:20" s="2" customFormat="1" ht="30" customHeight="1">
      <c r="A1572" s="72" t="s">
        <v>15</v>
      </c>
      <c r="B1572" s="114"/>
      <c r="C1572" s="114"/>
      <c r="D1572" s="72"/>
      <c r="E1572" s="72"/>
      <c r="F1572" s="72"/>
      <c r="G1572" s="72"/>
      <c r="H1572" s="64" t="s">
        <v>16</v>
      </c>
      <c r="I1572" s="115"/>
      <c r="J1572" s="116">
        <f>P1588</f>
        <v>0</v>
      </c>
      <c r="K1572" s="117"/>
      <c r="L1572" s="117"/>
      <c r="M1572" s="118"/>
    </row>
    <row r="1573" spans="1:20" s="2" customFormat="1" ht="30" customHeight="1">
      <c r="A1573" s="72" t="s">
        <v>17</v>
      </c>
      <c r="B1573" s="114"/>
      <c r="C1573" s="114"/>
      <c r="D1573" s="72">
        <f>D1572+D1515</f>
        <v>100.00000000000004</v>
      </c>
      <c r="E1573" s="72"/>
      <c r="F1573" s="72"/>
      <c r="G1573" s="72"/>
      <c r="H1573" s="64" t="s">
        <v>18</v>
      </c>
      <c r="I1573" s="115"/>
      <c r="J1573" s="116">
        <f>J1572+J1515</f>
        <v>25.469999999999992</v>
      </c>
      <c r="K1573" s="117"/>
      <c r="L1573" s="117"/>
      <c r="M1573" s="118"/>
    </row>
    <row r="1574" spans="1:20" s="2" customFormat="1" ht="30" customHeight="1">
      <c r="A1574" s="111" t="s">
        <v>19</v>
      </c>
      <c r="B1574" s="112"/>
      <c r="C1574" s="112"/>
      <c r="D1574" s="112"/>
      <c r="E1574" s="112"/>
      <c r="F1574" s="112"/>
      <c r="G1574" s="112"/>
      <c r="H1574" s="112"/>
      <c r="I1574" s="112"/>
      <c r="J1574" s="112"/>
      <c r="K1574" s="112"/>
      <c r="L1574" s="112"/>
      <c r="M1574" s="113"/>
    </row>
    <row r="1575" spans="1:20" s="2" customFormat="1" ht="30" customHeight="1">
      <c r="A1575" s="8" t="s">
        <v>20</v>
      </c>
      <c r="B1575" s="72" t="s">
        <v>21</v>
      </c>
      <c r="C1575" s="72"/>
      <c r="D1575" s="72"/>
      <c r="E1575" s="4" t="s">
        <v>22</v>
      </c>
      <c r="F1575" s="54" t="s">
        <v>23</v>
      </c>
      <c r="G1575" s="59"/>
      <c r="H1575" s="72" t="s">
        <v>24</v>
      </c>
      <c r="I1575" s="72"/>
      <c r="J1575" s="72" t="s">
        <v>25</v>
      </c>
      <c r="K1575" s="72"/>
      <c r="L1575" s="72" t="s">
        <v>26</v>
      </c>
      <c r="M1575" s="72"/>
      <c r="O1575" s="1" t="s">
        <v>27</v>
      </c>
      <c r="P1575" s="1" t="s">
        <v>28</v>
      </c>
      <c r="T1575" s="2" t="s">
        <v>29</v>
      </c>
    </row>
    <row r="1576" spans="1:20" s="2" customFormat="1" ht="24.95" customHeight="1">
      <c r="A1576" s="9" t="s">
        <v>30</v>
      </c>
      <c r="B1576" s="110" t="s">
        <v>31</v>
      </c>
      <c r="C1576" s="110"/>
      <c r="D1576" s="110"/>
      <c r="E1576" s="4"/>
      <c r="F1576" s="54"/>
      <c r="G1576" s="59"/>
      <c r="H1576" s="72"/>
      <c r="I1576" s="72"/>
      <c r="J1576" s="72"/>
      <c r="K1576" s="72"/>
      <c r="L1576" s="72"/>
      <c r="M1576" s="72"/>
    </row>
    <row r="1577" spans="1:20" ht="24.95" customHeight="1">
      <c r="A1577" s="10">
        <v>1</v>
      </c>
      <c r="B1577" s="66" t="s">
        <v>91</v>
      </c>
      <c r="C1577" s="67" t="s">
        <v>91</v>
      </c>
      <c r="D1577" s="68" t="s">
        <v>91</v>
      </c>
      <c r="E1577" s="4" t="s">
        <v>32</v>
      </c>
      <c r="F1577" s="69">
        <v>1</v>
      </c>
      <c r="G1577" s="70"/>
      <c r="H1577" s="69"/>
      <c r="I1577" s="70"/>
      <c r="J1577" s="71">
        <f>H1577+J1519</f>
        <v>1</v>
      </c>
      <c r="K1577" s="71"/>
      <c r="L1577" s="72"/>
      <c r="M1577" s="72"/>
      <c r="O1577" s="11">
        <v>4000</v>
      </c>
      <c r="P1577" s="11">
        <f>ROUND(H1577*O1577,0)</f>
        <v>0</v>
      </c>
      <c r="Q1577" s="12"/>
      <c r="S1577" s="11">
        <f>ROUND(J1577*O1577,0)</f>
        <v>4000</v>
      </c>
      <c r="T1577" s="13">
        <f>F1577-J1577</f>
        <v>0</v>
      </c>
    </row>
    <row r="1578" spans="1:20" ht="24.95" customHeight="1">
      <c r="A1578" s="10">
        <v>2</v>
      </c>
      <c r="B1578" s="66" t="s">
        <v>92</v>
      </c>
      <c r="C1578" s="67" t="s">
        <v>92</v>
      </c>
      <c r="D1578" s="68" t="s">
        <v>92</v>
      </c>
      <c r="E1578" s="4" t="s">
        <v>32</v>
      </c>
      <c r="F1578" s="69">
        <v>1</v>
      </c>
      <c r="G1578" s="70"/>
      <c r="H1578" s="69"/>
      <c r="I1578" s="70"/>
      <c r="J1578" s="71">
        <f t="shared" ref="J1578:J1585" si="185">H1578+J1520</f>
        <v>1</v>
      </c>
      <c r="K1578" s="71"/>
      <c r="L1578" s="72"/>
      <c r="M1578" s="72"/>
      <c r="O1578" s="11">
        <v>14334</v>
      </c>
      <c r="P1578" s="11">
        <f t="shared" ref="P1578:P1585" si="186">ROUND(H1578*O1578,0)</f>
        <v>0</v>
      </c>
      <c r="Q1578" s="12"/>
      <c r="S1578" s="11">
        <f t="shared" ref="S1578:S1585" si="187">ROUND(J1578*O1578,0)</f>
        <v>14334</v>
      </c>
      <c r="T1578" s="13">
        <f t="shared" ref="T1578:T1585" si="188">F1578-J1578</f>
        <v>0</v>
      </c>
    </row>
    <row r="1579" spans="1:20" ht="24.95" customHeight="1">
      <c r="A1579" s="10">
        <v>3</v>
      </c>
      <c r="B1579" s="66" t="s">
        <v>84</v>
      </c>
      <c r="C1579" s="67" t="s">
        <v>84</v>
      </c>
      <c r="D1579" s="68" t="s">
        <v>84</v>
      </c>
      <c r="E1579" s="4" t="s">
        <v>33</v>
      </c>
      <c r="F1579" s="69">
        <v>1</v>
      </c>
      <c r="G1579" s="70"/>
      <c r="H1579" s="69"/>
      <c r="I1579" s="70"/>
      <c r="J1579" s="71">
        <f t="shared" si="185"/>
        <v>0.5</v>
      </c>
      <c r="K1579" s="71"/>
      <c r="L1579" s="72"/>
      <c r="M1579" s="72"/>
      <c r="O1579" s="11">
        <v>7000</v>
      </c>
      <c r="P1579" s="11">
        <f t="shared" si="186"/>
        <v>0</v>
      </c>
      <c r="Q1579" s="12"/>
      <c r="S1579" s="11">
        <f t="shared" si="187"/>
        <v>3500</v>
      </c>
      <c r="T1579" s="13">
        <f t="shared" si="188"/>
        <v>0.5</v>
      </c>
    </row>
    <row r="1580" spans="1:20" ht="24.95" customHeight="1">
      <c r="A1580" s="10">
        <v>4</v>
      </c>
      <c r="B1580" s="66" t="s">
        <v>85</v>
      </c>
      <c r="C1580" s="67" t="s">
        <v>85</v>
      </c>
      <c r="D1580" s="68" t="s">
        <v>85</v>
      </c>
      <c r="E1580" s="4" t="s">
        <v>34</v>
      </c>
      <c r="F1580" s="69">
        <v>1</v>
      </c>
      <c r="G1580" s="70"/>
      <c r="H1580" s="69"/>
      <c r="I1580" s="70"/>
      <c r="J1580" s="71">
        <f t="shared" si="185"/>
        <v>1</v>
      </c>
      <c r="K1580" s="71"/>
      <c r="L1580" s="72"/>
      <c r="M1580" s="72"/>
      <c r="O1580" s="11">
        <v>74000</v>
      </c>
      <c r="P1580" s="11">
        <f t="shared" si="186"/>
        <v>0</v>
      </c>
      <c r="Q1580" s="12"/>
      <c r="S1580" s="11">
        <f t="shared" si="187"/>
        <v>74000</v>
      </c>
      <c r="T1580" s="13">
        <f t="shared" si="188"/>
        <v>0</v>
      </c>
    </row>
    <row r="1581" spans="1:20" ht="24.95" customHeight="1">
      <c r="A1581" s="10">
        <v>5</v>
      </c>
      <c r="B1581" s="66" t="s">
        <v>86</v>
      </c>
      <c r="C1581" s="67" t="s">
        <v>86</v>
      </c>
      <c r="D1581" s="68" t="s">
        <v>86</v>
      </c>
      <c r="E1581" s="4" t="s">
        <v>93</v>
      </c>
      <c r="F1581" s="69">
        <v>396</v>
      </c>
      <c r="G1581" s="70"/>
      <c r="H1581" s="69"/>
      <c r="I1581" s="70"/>
      <c r="J1581" s="71">
        <f t="shared" si="185"/>
        <v>350</v>
      </c>
      <c r="K1581" s="71"/>
      <c r="L1581" s="72"/>
      <c r="M1581" s="72"/>
      <c r="O1581" s="11">
        <v>200</v>
      </c>
      <c r="P1581" s="11">
        <f t="shared" si="186"/>
        <v>0</v>
      </c>
      <c r="Q1581" s="12"/>
      <c r="S1581" s="11">
        <f t="shared" si="187"/>
        <v>70000</v>
      </c>
      <c r="T1581" s="13">
        <f t="shared" si="188"/>
        <v>46</v>
      </c>
    </row>
    <row r="1582" spans="1:20" ht="24.95" customHeight="1">
      <c r="A1582" s="10">
        <v>6</v>
      </c>
      <c r="B1582" s="66" t="s">
        <v>97</v>
      </c>
      <c r="C1582" s="67" t="s">
        <v>87</v>
      </c>
      <c r="D1582" s="68" t="s">
        <v>87</v>
      </c>
      <c r="E1582" s="4" t="s">
        <v>35</v>
      </c>
      <c r="F1582" s="69">
        <v>80</v>
      </c>
      <c r="G1582" s="70">
        <v>183.6</v>
      </c>
      <c r="H1582" s="69"/>
      <c r="I1582" s="70"/>
      <c r="J1582" s="71">
        <f t="shared" si="185"/>
        <v>78</v>
      </c>
      <c r="K1582" s="71"/>
      <c r="L1582" s="54"/>
      <c r="M1582" s="59"/>
      <c r="O1582" s="11">
        <v>1463</v>
      </c>
      <c r="P1582" s="11">
        <f t="shared" si="186"/>
        <v>0</v>
      </c>
      <c r="S1582" s="11">
        <f t="shared" si="187"/>
        <v>114114</v>
      </c>
      <c r="T1582" s="13">
        <f t="shared" si="188"/>
        <v>2</v>
      </c>
    </row>
    <row r="1583" spans="1:20" ht="24.95" customHeight="1">
      <c r="A1583" s="10">
        <v>7</v>
      </c>
      <c r="B1583" s="66" t="s">
        <v>88</v>
      </c>
      <c r="C1583" s="67" t="s">
        <v>88</v>
      </c>
      <c r="D1583" s="68" t="s">
        <v>88</v>
      </c>
      <c r="E1583" s="4" t="s">
        <v>94</v>
      </c>
      <c r="F1583" s="69">
        <v>126</v>
      </c>
      <c r="G1583" s="70">
        <v>19</v>
      </c>
      <c r="H1583" s="69"/>
      <c r="I1583" s="70"/>
      <c r="J1583" s="71">
        <f t="shared" si="185"/>
        <v>0</v>
      </c>
      <c r="K1583" s="71"/>
      <c r="L1583" s="54"/>
      <c r="M1583" s="59"/>
      <c r="O1583" s="11">
        <v>6350</v>
      </c>
      <c r="P1583" s="11">
        <f t="shared" si="186"/>
        <v>0</v>
      </c>
      <c r="S1583" s="11">
        <f t="shared" si="187"/>
        <v>0</v>
      </c>
      <c r="T1583" s="13">
        <f t="shared" si="188"/>
        <v>126</v>
      </c>
    </row>
    <row r="1584" spans="1:20" ht="24.95" customHeight="1">
      <c r="A1584" s="10">
        <v>8</v>
      </c>
      <c r="B1584" s="66" t="s">
        <v>89</v>
      </c>
      <c r="C1584" s="67" t="s">
        <v>89</v>
      </c>
      <c r="D1584" s="68" t="s">
        <v>89</v>
      </c>
      <c r="E1584" s="4" t="s">
        <v>95</v>
      </c>
      <c r="F1584" s="69">
        <v>1</v>
      </c>
      <c r="G1584" s="70">
        <v>1192</v>
      </c>
      <c r="H1584" s="69"/>
      <c r="I1584" s="70"/>
      <c r="J1584" s="71">
        <f t="shared" si="185"/>
        <v>0.3</v>
      </c>
      <c r="K1584" s="71"/>
      <c r="L1584" s="54"/>
      <c r="M1584" s="59"/>
      <c r="O1584" s="11">
        <v>47600</v>
      </c>
      <c r="P1584" s="11">
        <f t="shared" si="186"/>
        <v>0</v>
      </c>
      <c r="S1584" s="11">
        <f t="shared" si="187"/>
        <v>14280</v>
      </c>
      <c r="T1584" s="13">
        <f t="shared" si="188"/>
        <v>0.7</v>
      </c>
    </row>
    <row r="1585" spans="1:20" ht="24.95" customHeight="1">
      <c r="A1585" s="10">
        <v>9</v>
      </c>
      <c r="B1585" s="66" t="s">
        <v>90</v>
      </c>
      <c r="C1585" s="67" t="s">
        <v>90</v>
      </c>
      <c r="D1585" s="68" t="s">
        <v>90</v>
      </c>
      <c r="E1585" s="4" t="s">
        <v>96</v>
      </c>
      <c r="F1585" s="69">
        <v>1</v>
      </c>
      <c r="G1585" s="70">
        <v>1261</v>
      </c>
      <c r="H1585" s="69"/>
      <c r="I1585" s="70"/>
      <c r="J1585" s="71">
        <f t="shared" si="185"/>
        <v>0</v>
      </c>
      <c r="K1585" s="71"/>
      <c r="L1585" s="54"/>
      <c r="M1585" s="59"/>
      <c r="O1585" s="11">
        <v>10000</v>
      </c>
      <c r="P1585" s="11">
        <f t="shared" si="186"/>
        <v>0</v>
      </c>
      <c r="S1585" s="11">
        <f t="shared" si="187"/>
        <v>0</v>
      </c>
      <c r="T1585" s="13">
        <f t="shared" si="188"/>
        <v>1</v>
      </c>
    </row>
    <row r="1586" spans="1:20" ht="24.95" customHeight="1">
      <c r="A1586" s="14"/>
      <c r="B1586" s="15"/>
      <c r="C1586" s="16"/>
      <c r="D1586" s="17"/>
      <c r="E1586" s="4"/>
      <c r="F1586" s="18"/>
      <c r="G1586" s="19"/>
      <c r="H1586" s="105"/>
      <c r="I1586" s="106"/>
      <c r="J1586" s="105"/>
      <c r="K1586" s="106"/>
      <c r="L1586" s="54"/>
      <c r="M1586" s="59"/>
      <c r="N1586" s="20"/>
      <c r="P1586" s="21" t="s">
        <v>37</v>
      </c>
      <c r="Q1586" s="22">
        <f>SUM(P1577:P1585)</f>
        <v>0</v>
      </c>
      <c r="R1586" s="23"/>
      <c r="S1586" s="24">
        <f>SUM(S1577:S1585)</f>
        <v>294228</v>
      </c>
      <c r="T1586" s="13"/>
    </row>
    <row r="1587" spans="1:20" ht="24.95" customHeight="1">
      <c r="A1587" s="107"/>
      <c r="B1587" s="108"/>
      <c r="C1587" s="108"/>
      <c r="D1587" s="109"/>
      <c r="E1587" s="4"/>
      <c r="F1587" s="54"/>
      <c r="G1587" s="59"/>
      <c r="H1587" s="72"/>
      <c r="I1587" s="72"/>
      <c r="J1587" s="72"/>
      <c r="K1587" s="72"/>
      <c r="L1587" s="72"/>
      <c r="M1587" s="72"/>
      <c r="O1587" t="s">
        <v>38</v>
      </c>
      <c r="P1587" s="24">
        <f>Q1586</f>
        <v>0</v>
      </c>
      <c r="T1587" s="13"/>
    </row>
    <row r="1588" spans="1:20" ht="24.95" customHeight="1">
      <c r="A1588" s="97"/>
      <c r="B1588" s="98"/>
      <c r="C1588" s="98"/>
      <c r="D1588" s="99"/>
      <c r="E1588" s="4"/>
      <c r="F1588" s="54"/>
      <c r="G1588" s="59"/>
      <c r="H1588" s="72"/>
      <c r="I1588" s="72"/>
      <c r="J1588" s="72"/>
      <c r="K1588" s="72"/>
      <c r="L1588" s="72"/>
      <c r="M1588" s="72"/>
      <c r="O1588" t="s">
        <v>39</v>
      </c>
      <c r="P1588" s="23">
        <f>ROUND(P1587/1153274,4)*100</f>
        <v>0</v>
      </c>
      <c r="T1588" s="13"/>
    </row>
    <row r="1589" spans="1:20" ht="24.95" customHeight="1">
      <c r="A1589" s="25"/>
      <c r="B1589" s="63" t="s">
        <v>40</v>
      </c>
      <c r="C1589" s="63"/>
      <c r="D1589" s="59"/>
      <c r="E1589" s="26"/>
      <c r="F1589" s="100"/>
      <c r="G1589" s="101"/>
      <c r="H1589" s="100"/>
      <c r="I1589" s="101"/>
      <c r="J1589" s="102"/>
      <c r="K1589" s="102"/>
      <c r="L1589" s="103">
        <f>P1587</f>
        <v>0</v>
      </c>
      <c r="M1589" s="104"/>
      <c r="T1589" s="13"/>
    </row>
    <row r="1590" spans="1:20" ht="24.95" customHeight="1" thickBot="1">
      <c r="A1590" s="27"/>
      <c r="B1590" s="85" t="s">
        <v>41</v>
      </c>
      <c r="C1590" s="85"/>
      <c r="D1590" s="86"/>
      <c r="E1590" s="28"/>
      <c r="F1590" s="87"/>
      <c r="G1590" s="88"/>
      <c r="H1590" s="87"/>
      <c r="I1590" s="88"/>
      <c r="J1590" s="87"/>
      <c r="K1590" s="88"/>
      <c r="L1590" s="89">
        <f>L1589+L1532</f>
        <v>294228</v>
      </c>
      <c r="M1590" s="90"/>
      <c r="T1590" s="13"/>
    </row>
    <row r="1591" spans="1:20" ht="24.95" customHeight="1">
      <c r="A1591" s="29"/>
      <c r="B1591" s="91" t="s">
        <v>42</v>
      </c>
      <c r="C1591" s="91"/>
      <c r="D1591" s="92"/>
      <c r="E1591" s="30"/>
      <c r="F1591" s="93"/>
      <c r="G1591" s="94"/>
      <c r="H1591" s="95"/>
      <c r="I1591" s="95"/>
      <c r="J1591" s="95"/>
      <c r="K1591" s="95"/>
      <c r="L1591" s="95"/>
      <c r="M1591" s="96"/>
      <c r="T1591" s="13"/>
    </row>
    <row r="1592" spans="1:20" ht="24.95" customHeight="1">
      <c r="A1592" s="31"/>
      <c r="B1592" s="76" t="s">
        <v>43</v>
      </c>
      <c r="C1592" s="76"/>
      <c r="D1592" s="77"/>
      <c r="E1592" s="4"/>
      <c r="F1592" s="54"/>
      <c r="G1592" s="59"/>
      <c r="H1592" s="72"/>
      <c r="I1592" s="72"/>
      <c r="J1592" s="72"/>
      <c r="K1592" s="72"/>
      <c r="L1592" s="72"/>
      <c r="M1592" s="78"/>
      <c r="T1592" s="13"/>
    </row>
    <row r="1593" spans="1:20" ht="24.95" customHeight="1" thickBot="1">
      <c r="A1593" s="32"/>
      <c r="B1593" s="79" t="s">
        <v>44</v>
      </c>
      <c r="C1593" s="79"/>
      <c r="D1593" s="80"/>
      <c r="E1593" s="33"/>
      <c r="F1593" s="81"/>
      <c r="G1593" s="82"/>
      <c r="H1593" s="83"/>
      <c r="I1593" s="83"/>
      <c r="J1593" s="83"/>
      <c r="K1593" s="83"/>
      <c r="L1593" s="83"/>
      <c r="M1593" s="84"/>
      <c r="T1593" s="13"/>
    </row>
    <row r="1594" spans="1:20" ht="24.95" customHeight="1">
      <c r="A1594" s="73" t="s">
        <v>45</v>
      </c>
      <c r="B1594" s="74"/>
      <c r="C1594" s="74"/>
      <c r="D1594" s="74"/>
      <c r="E1594" s="74"/>
      <c r="F1594" s="74"/>
      <c r="G1594" s="74"/>
      <c r="H1594" s="74"/>
      <c r="I1594" s="74"/>
      <c r="J1594" s="74"/>
      <c r="K1594" s="74"/>
      <c r="L1594" s="74"/>
      <c r="M1594" s="74"/>
      <c r="T1594" s="13"/>
    </row>
    <row r="1595" spans="1:20" ht="24.95" customHeight="1">
      <c r="A1595" s="72" t="s">
        <v>46</v>
      </c>
      <c r="B1595" s="75"/>
      <c r="C1595" s="75"/>
      <c r="D1595" s="75"/>
      <c r="E1595" s="4" t="s">
        <v>22</v>
      </c>
      <c r="F1595" s="72" t="s">
        <v>47</v>
      </c>
      <c r="G1595" s="72"/>
      <c r="H1595" s="72" t="s">
        <v>48</v>
      </c>
      <c r="I1595" s="72"/>
      <c r="J1595" s="72" t="s">
        <v>49</v>
      </c>
      <c r="K1595" s="72"/>
      <c r="L1595" s="72" t="s">
        <v>50</v>
      </c>
      <c r="M1595" s="72"/>
      <c r="T1595" s="13"/>
    </row>
    <row r="1596" spans="1:20" ht="24.95" customHeight="1">
      <c r="A1596" s="10">
        <v>6</v>
      </c>
      <c r="B1596" s="66" t="s">
        <v>97</v>
      </c>
      <c r="C1596" s="67" t="s">
        <v>51</v>
      </c>
      <c r="D1596" s="68" t="s">
        <v>51</v>
      </c>
      <c r="E1596" s="4" t="s">
        <v>35</v>
      </c>
      <c r="F1596" s="69">
        <v>80</v>
      </c>
      <c r="G1596" s="70">
        <v>1261</v>
      </c>
      <c r="H1596" s="71">
        <f>H1582</f>
        <v>0</v>
      </c>
      <c r="I1596" s="71"/>
      <c r="J1596" s="71">
        <f>H1596+J1538</f>
        <v>78</v>
      </c>
      <c r="K1596" s="71"/>
      <c r="L1596" s="72"/>
      <c r="M1596" s="72"/>
      <c r="T1596" s="13"/>
    </row>
    <row r="1597" spans="1:20" ht="24.95" customHeight="1">
      <c r="A1597" s="10">
        <v>7</v>
      </c>
      <c r="B1597" s="66" t="s">
        <v>88</v>
      </c>
      <c r="C1597" s="67" t="s">
        <v>88</v>
      </c>
      <c r="D1597" s="68" t="s">
        <v>88</v>
      </c>
      <c r="E1597" s="4" t="s">
        <v>98</v>
      </c>
      <c r="F1597" s="69">
        <v>126</v>
      </c>
      <c r="G1597" s="70"/>
      <c r="H1597" s="71">
        <f>H1583</f>
        <v>0</v>
      </c>
      <c r="I1597" s="71"/>
      <c r="J1597" s="71">
        <f t="shared" ref="J1597:J1598" si="189">H1597+J1539</f>
        <v>0</v>
      </c>
      <c r="K1597" s="71"/>
      <c r="L1597" s="72"/>
      <c r="M1597" s="72"/>
      <c r="T1597" s="13"/>
    </row>
    <row r="1598" spans="1:20" ht="24.95" customHeight="1">
      <c r="A1598" s="10">
        <v>8</v>
      </c>
      <c r="B1598" s="66" t="s">
        <v>89</v>
      </c>
      <c r="C1598" s="67" t="s">
        <v>89</v>
      </c>
      <c r="D1598" s="68" t="s">
        <v>89</v>
      </c>
      <c r="E1598" s="4" t="s">
        <v>36</v>
      </c>
      <c r="F1598" s="69">
        <v>1</v>
      </c>
      <c r="G1598" s="70"/>
      <c r="H1598" s="71">
        <f>H1584</f>
        <v>0</v>
      </c>
      <c r="I1598" s="71"/>
      <c r="J1598" s="71">
        <f t="shared" si="189"/>
        <v>0.3</v>
      </c>
      <c r="K1598" s="71"/>
      <c r="L1598" s="72"/>
      <c r="M1598" s="72"/>
      <c r="T1598" s="13"/>
    </row>
    <row r="1599" spans="1:20" ht="24.95" customHeight="1">
      <c r="A1599" s="51" t="s">
        <v>52</v>
      </c>
      <c r="B1599" s="52"/>
      <c r="C1599" s="52"/>
      <c r="D1599" s="52"/>
      <c r="E1599" s="52"/>
      <c r="F1599" s="52"/>
      <c r="G1599" s="52"/>
      <c r="H1599" s="52"/>
      <c r="I1599" s="52"/>
      <c r="J1599" s="52"/>
      <c r="K1599" s="52"/>
      <c r="L1599" s="52"/>
      <c r="M1599" s="53"/>
      <c r="T1599" s="13"/>
    </row>
    <row r="1600" spans="1:20" ht="24.95" customHeight="1">
      <c r="A1600" s="54" t="s">
        <v>53</v>
      </c>
      <c r="B1600" s="63"/>
      <c r="C1600" s="63"/>
      <c r="D1600" s="59"/>
      <c r="E1600" s="4" t="s">
        <v>54</v>
      </c>
      <c r="F1600" s="54" t="s">
        <v>55</v>
      </c>
      <c r="G1600" s="59"/>
      <c r="H1600" s="54" t="s">
        <v>56</v>
      </c>
      <c r="I1600" s="59"/>
      <c r="J1600" s="54" t="s">
        <v>48</v>
      </c>
      <c r="K1600" s="59"/>
      <c r="L1600" s="64" t="s">
        <v>49</v>
      </c>
      <c r="M1600" s="65"/>
      <c r="T1600" s="13"/>
    </row>
    <row r="1601" spans="1:20" ht="24.95" customHeight="1">
      <c r="A1601" s="54" t="s">
        <v>57</v>
      </c>
      <c r="B1601" s="55"/>
      <c r="C1601" s="55"/>
      <c r="D1601" s="56"/>
      <c r="E1601" s="4"/>
      <c r="F1601" s="57">
        <f>E1601+F1543</f>
        <v>28</v>
      </c>
      <c r="G1601" s="58"/>
      <c r="H1601" s="54" t="s">
        <v>58</v>
      </c>
      <c r="I1601" s="59"/>
      <c r="J1601" s="54"/>
      <c r="K1601" s="59"/>
      <c r="L1601" s="57">
        <f>J1601+L1543</f>
        <v>15</v>
      </c>
      <c r="M1601" s="58"/>
      <c r="T1601" s="13"/>
    </row>
    <row r="1602" spans="1:20" ht="24.95" customHeight="1">
      <c r="A1602" s="54" t="s">
        <v>59</v>
      </c>
      <c r="B1602" s="55"/>
      <c r="C1602" s="55"/>
      <c r="D1602" s="56"/>
      <c r="E1602" s="4"/>
      <c r="F1602" s="57">
        <f t="shared" ref="F1602:F1604" si="190">E1602+F1544</f>
        <v>0</v>
      </c>
      <c r="G1602" s="58"/>
      <c r="H1602" s="54" t="s">
        <v>60</v>
      </c>
      <c r="I1602" s="59"/>
      <c r="J1602" s="54"/>
      <c r="K1602" s="59"/>
      <c r="L1602" s="57">
        <f t="shared" ref="L1602:L1604" si="191">J1602+L1544</f>
        <v>0</v>
      </c>
      <c r="M1602" s="58"/>
      <c r="T1602" s="13"/>
    </row>
    <row r="1603" spans="1:20" ht="24.95" customHeight="1">
      <c r="A1603" s="54" t="s">
        <v>61</v>
      </c>
      <c r="B1603" s="55"/>
      <c r="C1603" s="55"/>
      <c r="D1603" s="56"/>
      <c r="E1603" s="4"/>
      <c r="F1603" s="57">
        <f t="shared" si="190"/>
        <v>2</v>
      </c>
      <c r="G1603" s="58"/>
      <c r="H1603" s="54" t="s">
        <v>62</v>
      </c>
      <c r="I1603" s="59"/>
      <c r="J1603" s="54"/>
      <c r="K1603" s="59"/>
      <c r="L1603" s="57">
        <f t="shared" si="191"/>
        <v>5</v>
      </c>
      <c r="M1603" s="58"/>
      <c r="T1603" s="13"/>
    </row>
    <row r="1604" spans="1:20" ht="24.95" customHeight="1">
      <c r="A1604" s="54" t="s">
        <v>63</v>
      </c>
      <c r="B1604" s="55"/>
      <c r="C1604" s="55"/>
      <c r="D1604" s="56"/>
      <c r="E1604" s="4"/>
      <c r="F1604" s="57">
        <f t="shared" si="190"/>
        <v>4</v>
      </c>
      <c r="G1604" s="58"/>
      <c r="H1604" s="54" t="s">
        <v>64</v>
      </c>
      <c r="I1604" s="59"/>
      <c r="J1604" s="54"/>
      <c r="K1604" s="59"/>
      <c r="L1604" s="57">
        <f t="shared" si="191"/>
        <v>1</v>
      </c>
      <c r="M1604" s="58"/>
      <c r="T1604" s="13"/>
    </row>
    <row r="1605" spans="1:20" ht="64.5" customHeight="1">
      <c r="A1605" s="60" t="s">
        <v>65</v>
      </c>
      <c r="B1605" s="61"/>
      <c r="C1605" s="61"/>
      <c r="D1605" s="61"/>
      <c r="E1605" s="61"/>
      <c r="F1605" s="61"/>
      <c r="G1605" s="61"/>
      <c r="H1605" s="61"/>
      <c r="I1605" s="61"/>
      <c r="J1605" s="61"/>
      <c r="K1605" s="61"/>
      <c r="L1605" s="61"/>
      <c r="M1605" s="62"/>
      <c r="T1605" s="13"/>
    </row>
    <row r="1606" spans="1:20" ht="24.95" customHeight="1">
      <c r="A1606" s="46" t="s">
        <v>66</v>
      </c>
      <c r="B1606" s="47"/>
      <c r="C1606" s="47"/>
      <c r="D1606" s="47"/>
      <c r="E1606" s="47"/>
      <c r="F1606" s="47"/>
      <c r="G1606" s="47"/>
      <c r="H1606" s="47"/>
      <c r="I1606" s="47"/>
      <c r="J1606" s="47"/>
      <c r="K1606" s="47"/>
      <c r="L1606" s="47"/>
      <c r="M1606" s="48"/>
      <c r="T1606" s="13"/>
    </row>
    <row r="1607" spans="1:20" ht="24.95" customHeight="1">
      <c r="A1607" s="27"/>
      <c r="B1607" s="34" t="s">
        <v>67</v>
      </c>
      <c r="C1607" s="34"/>
      <c r="D1607" s="34"/>
      <c r="E1607" s="34"/>
      <c r="F1607" s="34"/>
      <c r="G1607" s="35"/>
      <c r="H1607" s="34"/>
      <c r="I1607" s="34"/>
      <c r="J1607" s="34"/>
      <c r="K1607" s="34"/>
      <c r="L1607" s="34"/>
      <c r="M1607" s="36"/>
      <c r="T1607" s="13"/>
    </row>
    <row r="1608" spans="1:20" ht="24.95" customHeight="1">
      <c r="A1608" s="27"/>
      <c r="B1608" s="34" t="s">
        <v>81</v>
      </c>
      <c r="C1608" s="34"/>
      <c r="D1608" s="34"/>
      <c r="E1608" s="34"/>
      <c r="F1608" s="34"/>
      <c r="G1608" s="35"/>
      <c r="H1608" s="34"/>
      <c r="I1608" s="34"/>
      <c r="J1608" s="34"/>
      <c r="K1608" s="34"/>
      <c r="L1608" s="34"/>
      <c r="M1608" s="36"/>
      <c r="T1608" s="13"/>
    </row>
    <row r="1609" spans="1:20" ht="24.95" customHeight="1">
      <c r="A1609" s="27"/>
      <c r="B1609" s="34" t="s">
        <v>68</v>
      </c>
      <c r="C1609" s="34"/>
      <c r="D1609" s="34"/>
      <c r="E1609" s="34"/>
      <c r="F1609" s="34"/>
      <c r="G1609" s="35"/>
      <c r="H1609" s="34"/>
      <c r="I1609" s="34"/>
      <c r="J1609" s="34"/>
      <c r="K1609" s="34"/>
      <c r="L1609" s="34"/>
      <c r="M1609" s="36"/>
      <c r="T1609" s="13"/>
    </row>
    <row r="1610" spans="1:20" ht="24.95" customHeight="1">
      <c r="A1610" s="27"/>
      <c r="B1610" s="34" t="s">
        <v>82</v>
      </c>
      <c r="C1610" s="34"/>
      <c r="D1610" s="34"/>
      <c r="E1610" s="34"/>
      <c r="F1610" s="34"/>
      <c r="G1610" s="35"/>
      <c r="H1610" s="34"/>
      <c r="I1610" s="34"/>
      <c r="J1610" s="34"/>
      <c r="K1610" s="34"/>
      <c r="L1610" s="34"/>
      <c r="M1610" s="36"/>
      <c r="T1610" s="13"/>
    </row>
    <row r="1611" spans="1:20" ht="24.95" customHeight="1">
      <c r="A1611" s="27"/>
      <c r="B1611" s="34" t="s">
        <v>99</v>
      </c>
      <c r="C1611" s="34"/>
      <c r="D1611" s="34"/>
      <c r="E1611" s="34"/>
      <c r="F1611" s="34"/>
      <c r="G1611" s="35"/>
      <c r="H1611" s="34"/>
      <c r="I1611" s="34"/>
      <c r="J1611" s="34"/>
      <c r="K1611" s="34"/>
      <c r="L1611" s="34"/>
      <c r="M1611" s="36"/>
      <c r="T1611" s="13"/>
    </row>
    <row r="1612" spans="1:20" ht="24.95" customHeight="1">
      <c r="A1612" s="37"/>
      <c r="B1612" s="49" t="s">
        <v>69</v>
      </c>
      <c r="C1612" s="49"/>
      <c r="D1612" s="49"/>
      <c r="E1612" s="49"/>
      <c r="F1612" s="49"/>
      <c r="G1612" s="49"/>
      <c r="H1612" s="49"/>
      <c r="I1612" s="49"/>
      <c r="J1612" s="49"/>
      <c r="K1612" s="49"/>
      <c r="L1612" s="49"/>
      <c r="M1612" s="50"/>
      <c r="T1612" s="13"/>
    </row>
    <row r="1613" spans="1:20" ht="44.25" customHeight="1">
      <c r="A1613" s="51" t="s">
        <v>70</v>
      </c>
      <c r="B1613" s="52"/>
      <c r="C1613" s="52"/>
      <c r="D1613" s="52"/>
      <c r="E1613" s="52"/>
      <c r="F1613" s="52"/>
      <c r="G1613" s="52"/>
      <c r="H1613" s="52"/>
      <c r="I1613" s="52"/>
      <c r="J1613" s="52"/>
      <c r="K1613" s="52"/>
      <c r="L1613" s="52"/>
      <c r="M1613" s="53"/>
      <c r="T1613" s="13"/>
    </row>
    <row r="1614" spans="1:20" ht="48" customHeight="1">
      <c r="A1614" s="51" t="s">
        <v>71</v>
      </c>
      <c r="B1614" s="52"/>
      <c r="C1614" s="52"/>
      <c r="D1614" s="52"/>
      <c r="E1614" s="52"/>
      <c r="F1614" s="52"/>
      <c r="G1614" s="52"/>
      <c r="H1614" s="52"/>
      <c r="I1614" s="52"/>
      <c r="J1614" s="52"/>
      <c r="K1614" s="52"/>
      <c r="L1614" s="52"/>
      <c r="M1614" s="53"/>
      <c r="T1614" s="13"/>
    </row>
    <row r="1615" spans="1:20" ht="81" customHeight="1">
      <c r="A1615" s="51" t="s">
        <v>80</v>
      </c>
      <c r="B1615" s="52"/>
      <c r="C1615" s="52"/>
      <c r="D1615" s="52"/>
      <c r="E1615" s="52"/>
      <c r="F1615" s="52"/>
      <c r="G1615" s="52"/>
      <c r="H1615" s="52"/>
      <c r="I1615" s="52"/>
      <c r="J1615" s="52"/>
      <c r="K1615" s="52"/>
      <c r="L1615" s="52"/>
      <c r="M1615" s="53"/>
      <c r="T1615" s="13"/>
    </row>
    <row r="1616" spans="1:20" ht="100.5" customHeight="1">
      <c r="A1616" s="51" t="s">
        <v>72</v>
      </c>
      <c r="B1616" s="52"/>
      <c r="C1616" s="52"/>
      <c r="D1616" s="52"/>
      <c r="E1616" s="52"/>
      <c r="F1616" s="52"/>
      <c r="G1616" s="52"/>
      <c r="H1616" s="52"/>
      <c r="I1616" s="52"/>
      <c r="J1616" s="52"/>
      <c r="K1616" s="52"/>
      <c r="L1616" s="52"/>
      <c r="M1616" s="53"/>
      <c r="T1616" s="13"/>
    </row>
    <row r="1617" spans="1:20" ht="12" customHeight="1">
      <c r="A1617" s="41" t="s">
        <v>73</v>
      </c>
      <c r="B1617" s="41"/>
      <c r="C1617" s="42"/>
      <c r="D1617" s="42"/>
      <c r="E1617" s="42"/>
      <c r="F1617" s="42"/>
      <c r="G1617" s="42"/>
      <c r="H1617" s="42"/>
      <c r="I1617" s="42"/>
      <c r="J1617" s="42"/>
      <c r="K1617" s="42"/>
      <c r="L1617" s="42"/>
      <c r="M1617" s="38"/>
      <c r="T1617" s="13"/>
    </row>
    <row r="1618" spans="1:20" ht="12" customHeight="1">
      <c r="A1618" s="43" t="s">
        <v>74</v>
      </c>
      <c r="B1618" s="43"/>
      <c r="C1618" s="40"/>
      <c r="D1618" s="40"/>
      <c r="E1618" s="40"/>
      <c r="F1618" s="40"/>
      <c r="G1618" s="40"/>
      <c r="H1618" s="40"/>
      <c r="I1618" s="40"/>
      <c r="J1618" s="40"/>
      <c r="K1618" s="40"/>
      <c r="L1618" s="38"/>
      <c r="M1618" s="38"/>
      <c r="T1618" s="13"/>
    </row>
    <row r="1619" spans="1:20" ht="12" customHeight="1">
      <c r="A1619" s="44" t="s">
        <v>75</v>
      </c>
      <c r="B1619" s="44"/>
      <c r="C1619" s="44"/>
      <c r="D1619" s="44"/>
      <c r="E1619" s="44"/>
      <c r="F1619" s="44"/>
      <c r="G1619" s="44"/>
      <c r="H1619" s="44"/>
      <c r="I1619" s="44"/>
      <c r="J1619" s="44"/>
      <c r="K1619" s="44"/>
      <c r="L1619" s="44"/>
      <c r="M1619" s="44"/>
      <c r="T1619" s="13"/>
    </row>
    <row r="1620" spans="1:20" ht="12" customHeight="1">
      <c r="A1620" s="39" t="s">
        <v>76</v>
      </c>
      <c r="B1620" s="39"/>
      <c r="C1620" s="39"/>
      <c r="D1620" s="39"/>
      <c r="E1620" s="39"/>
      <c r="F1620" s="39"/>
      <c r="G1620" s="39"/>
      <c r="H1620" s="39"/>
      <c r="I1620" s="39"/>
      <c r="J1620" s="39"/>
      <c r="K1620" s="39"/>
      <c r="L1620" s="39"/>
      <c r="M1620" s="39"/>
      <c r="T1620" s="13"/>
    </row>
    <row r="1621" spans="1:20" ht="12" customHeight="1">
      <c r="A1621" s="39" t="s">
        <v>77</v>
      </c>
      <c r="B1621" s="40"/>
      <c r="C1621" s="40"/>
      <c r="D1621" s="40"/>
      <c r="E1621" s="40"/>
      <c r="F1621" s="40"/>
      <c r="G1621" s="40"/>
      <c r="H1621" s="40"/>
      <c r="I1621" s="40"/>
      <c r="J1621" s="40"/>
      <c r="K1621" s="40"/>
      <c r="L1621" s="40"/>
      <c r="M1621" s="40"/>
      <c r="T1621" s="13"/>
    </row>
    <row r="1622" spans="1:20" ht="12" customHeight="1">
      <c r="A1622" s="45" t="s">
        <v>78</v>
      </c>
      <c r="B1622" s="40"/>
      <c r="C1622" s="40"/>
      <c r="D1622" s="40"/>
      <c r="E1622" s="40"/>
      <c r="F1622" s="40"/>
      <c r="G1622" s="40"/>
      <c r="H1622" s="40"/>
      <c r="I1622" s="40"/>
      <c r="J1622" s="40"/>
      <c r="K1622" s="40"/>
      <c r="L1622" s="40"/>
      <c r="M1622" s="40"/>
      <c r="T1622" s="13"/>
    </row>
    <row r="1623" spans="1:20" ht="12" customHeight="1">
      <c r="A1623" s="39" t="s">
        <v>79</v>
      </c>
      <c r="B1623" s="40"/>
      <c r="C1623" s="40"/>
      <c r="D1623" s="40"/>
      <c r="E1623" s="40"/>
      <c r="F1623" s="40"/>
      <c r="G1623" s="40"/>
      <c r="H1623" s="40"/>
      <c r="I1623" s="40"/>
      <c r="J1623" s="40"/>
      <c r="K1623" s="40"/>
      <c r="L1623" s="40"/>
      <c r="M1623" s="40"/>
      <c r="T1623" s="13"/>
    </row>
    <row r="1624" spans="1:20" ht="409.5" customHeight="1"/>
    <row r="1625" spans="1:20" s="2" customFormat="1" ht="35.1" customHeight="1">
      <c r="A1625" s="126" t="s">
        <v>0</v>
      </c>
      <c r="B1625" s="126"/>
      <c r="C1625" s="1">
        <f>C1567+1</f>
        <v>64</v>
      </c>
      <c r="G1625" s="3"/>
    </row>
    <row r="1626" spans="1:20" s="2" customFormat="1" ht="35.1" customHeight="1">
      <c r="A1626" s="126" t="s">
        <v>1</v>
      </c>
      <c r="B1626" s="126"/>
      <c r="C1626" s="2" t="s">
        <v>2</v>
      </c>
      <c r="E1626" s="2" t="s">
        <v>3</v>
      </c>
      <c r="G1626" s="3"/>
      <c r="H1626" s="127" t="s">
        <v>4</v>
      </c>
      <c r="I1626" s="128"/>
      <c r="J1626" s="129">
        <f>J1568+1</f>
        <v>46051</v>
      </c>
      <c r="K1626" s="130"/>
      <c r="L1626" s="131">
        <f>J1626</f>
        <v>46051</v>
      </c>
      <c r="M1626" s="132"/>
    </row>
    <row r="1627" spans="1:20" s="2" customFormat="1" ht="30" customHeight="1">
      <c r="A1627" s="72" t="s">
        <v>5</v>
      </c>
      <c r="B1627" s="114"/>
      <c r="C1627" s="119" t="s">
        <v>83</v>
      </c>
      <c r="D1627" s="119"/>
      <c r="E1627" s="119"/>
      <c r="F1627" s="119"/>
      <c r="G1627" s="119"/>
      <c r="H1627" s="54" t="s">
        <v>6</v>
      </c>
      <c r="I1627" s="59"/>
      <c r="J1627" s="120"/>
      <c r="K1627" s="120"/>
      <c r="L1627" s="120"/>
      <c r="M1627" s="120"/>
    </row>
    <row r="1628" spans="1:20" s="1" customFormat="1" ht="30" customHeight="1">
      <c r="A1628" s="72" t="s">
        <v>7</v>
      </c>
      <c r="B1628" s="114"/>
      <c r="C1628" s="4">
        <v>50</v>
      </c>
      <c r="D1628" s="4" t="s">
        <v>8</v>
      </c>
      <c r="E1628" s="4" t="s">
        <v>9</v>
      </c>
      <c r="F1628" s="4">
        <f>F1570+1</f>
        <v>64</v>
      </c>
      <c r="G1628" s="5" t="s">
        <v>8</v>
      </c>
      <c r="H1628" s="4" t="s">
        <v>10</v>
      </c>
      <c r="I1628" s="4">
        <f>C1628-F1628+L1628</f>
        <v>-14</v>
      </c>
      <c r="J1628" s="4" t="s">
        <v>11</v>
      </c>
      <c r="K1628" s="6" t="s">
        <v>12</v>
      </c>
      <c r="L1628" s="7">
        <f>L1570</f>
        <v>0</v>
      </c>
      <c r="M1628" s="4" t="s">
        <v>8</v>
      </c>
    </row>
    <row r="1629" spans="1:20" s="2" customFormat="1" ht="30" customHeight="1">
      <c r="A1629" s="72" t="s">
        <v>13</v>
      </c>
      <c r="B1629" s="75"/>
      <c r="C1629" s="75"/>
      <c r="D1629" s="121">
        <f>D1571</f>
        <v>45988</v>
      </c>
      <c r="E1629" s="122"/>
      <c r="F1629" s="122"/>
      <c r="G1629" s="123"/>
      <c r="H1629" s="124" t="s">
        <v>14</v>
      </c>
      <c r="I1629" s="125"/>
      <c r="J1629" s="121">
        <f>J1571</f>
        <v>46037</v>
      </c>
      <c r="K1629" s="122"/>
      <c r="L1629" s="122"/>
      <c r="M1629" s="123"/>
    </row>
    <row r="1630" spans="1:20" s="2" customFormat="1" ht="30" customHeight="1">
      <c r="A1630" s="72" t="s">
        <v>15</v>
      </c>
      <c r="B1630" s="114"/>
      <c r="C1630" s="114"/>
      <c r="D1630" s="72"/>
      <c r="E1630" s="72"/>
      <c r="F1630" s="72"/>
      <c r="G1630" s="72"/>
      <c r="H1630" s="64" t="s">
        <v>16</v>
      </c>
      <c r="I1630" s="115"/>
      <c r="J1630" s="116">
        <f>P1646</f>
        <v>0</v>
      </c>
      <c r="K1630" s="117"/>
      <c r="L1630" s="117"/>
      <c r="M1630" s="118"/>
    </row>
    <row r="1631" spans="1:20" s="2" customFormat="1" ht="30" customHeight="1">
      <c r="A1631" s="72" t="s">
        <v>17</v>
      </c>
      <c r="B1631" s="114"/>
      <c r="C1631" s="114"/>
      <c r="D1631" s="72">
        <f>D1630+D1573</f>
        <v>100.00000000000004</v>
      </c>
      <c r="E1631" s="72"/>
      <c r="F1631" s="72"/>
      <c r="G1631" s="72"/>
      <c r="H1631" s="64" t="s">
        <v>18</v>
      </c>
      <c r="I1631" s="115"/>
      <c r="J1631" s="116">
        <f>J1630+J1573</f>
        <v>25.469999999999992</v>
      </c>
      <c r="K1631" s="117"/>
      <c r="L1631" s="117"/>
      <c r="M1631" s="118"/>
    </row>
    <row r="1632" spans="1:20" s="2" customFormat="1" ht="30" customHeight="1">
      <c r="A1632" s="111" t="s">
        <v>19</v>
      </c>
      <c r="B1632" s="112"/>
      <c r="C1632" s="112"/>
      <c r="D1632" s="112"/>
      <c r="E1632" s="112"/>
      <c r="F1632" s="112"/>
      <c r="G1632" s="112"/>
      <c r="H1632" s="112"/>
      <c r="I1632" s="112"/>
      <c r="J1632" s="112"/>
      <c r="K1632" s="112"/>
      <c r="L1632" s="112"/>
      <c r="M1632" s="113"/>
    </row>
    <row r="1633" spans="1:20" s="2" customFormat="1" ht="30" customHeight="1">
      <c r="A1633" s="8" t="s">
        <v>20</v>
      </c>
      <c r="B1633" s="72" t="s">
        <v>21</v>
      </c>
      <c r="C1633" s="72"/>
      <c r="D1633" s="72"/>
      <c r="E1633" s="4" t="s">
        <v>22</v>
      </c>
      <c r="F1633" s="54" t="s">
        <v>23</v>
      </c>
      <c r="G1633" s="59"/>
      <c r="H1633" s="72" t="s">
        <v>24</v>
      </c>
      <c r="I1633" s="72"/>
      <c r="J1633" s="72" t="s">
        <v>25</v>
      </c>
      <c r="K1633" s="72"/>
      <c r="L1633" s="72" t="s">
        <v>26</v>
      </c>
      <c r="M1633" s="72"/>
      <c r="O1633" s="1" t="s">
        <v>27</v>
      </c>
      <c r="P1633" s="1" t="s">
        <v>28</v>
      </c>
      <c r="T1633" s="2" t="s">
        <v>29</v>
      </c>
    </row>
    <row r="1634" spans="1:20" s="2" customFormat="1" ht="24.95" customHeight="1">
      <c r="A1634" s="9" t="s">
        <v>30</v>
      </c>
      <c r="B1634" s="110" t="s">
        <v>31</v>
      </c>
      <c r="C1634" s="110"/>
      <c r="D1634" s="110"/>
      <c r="E1634" s="4"/>
      <c r="F1634" s="54"/>
      <c r="G1634" s="59"/>
      <c r="H1634" s="72"/>
      <c r="I1634" s="72"/>
      <c r="J1634" s="72"/>
      <c r="K1634" s="72"/>
      <c r="L1634" s="72"/>
      <c r="M1634" s="72"/>
    </row>
    <row r="1635" spans="1:20" ht="24.95" customHeight="1">
      <c r="A1635" s="10">
        <v>1</v>
      </c>
      <c r="B1635" s="66" t="s">
        <v>91</v>
      </c>
      <c r="C1635" s="67" t="s">
        <v>91</v>
      </c>
      <c r="D1635" s="68" t="s">
        <v>91</v>
      </c>
      <c r="E1635" s="4" t="s">
        <v>32</v>
      </c>
      <c r="F1635" s="69">
        <v>1</v>
      </c>
      <c r="G1635" s="70"/>
      <c r="H1635" s="69"/>
      <c r="I1635" s="70"/>
      <c r="J1635" s="71">
        <f>H1635+J1577</f>
        <v>1</v>
      </c>
      <c r="K1635" s="71"/>
      <c r="L1635" s="72"/>
      <c r="M1635" s="72"/>
      <c r="O1635" s="11">
        <v>4000</v>
      </c>
      <c r="P1635" s="11">
        <f>ROUND(H1635*O1635,0)</f>
        <v>0</v>
      </c>
      <c r="Q1635" s="12"/>
      <c r="S1635" s="11">
        <f>ROUND(J1635*O1635,0)</f>
        <v>4000</v>
      </c>
      <c r="T1635" s="13">
        <f>F1635-J1635</f>
        <v>0</v>
      </c>
    </row>
    <row r="1636" spans="1:20" ht="24.95" customHeight="1">
      <c r="A1636" s="10">
        <v>2</v>
      </c>
      <c r="B1636" s="66" t="s">
        <v>92</v>
      </c>
      <c r="C1636" s="67" t="s">
        <v>92</v>
      </c>
      <c r="D1636" s="68" t="s">
        <v>92</v>
      </c>
      <c r="E1636" s="4" t="s">
        <v>32</v>
      </c>
      <c r="F1636" s="69">
        <v>1</v>
      </c>
      <c r="G1636" s="70"/>
      <c r="H1636" s="69"/>
      <c r="I1636" s="70"/>
      <c r="J1636" s="71">
        <f t="shared" ref="J1636:J1643" si="192">H1636+J1578</f>
        <v>1</v>
      </c>
      <c r="K1636" s="71"/>
      <c r="L1636" s="72"/>
      <c r="M1636" s="72"/>
      <c r="O1636" s="11">
        <v>14334</v>
      </c>
      <c r="P1636" s="11">
        <f t="shared" ref="P1636:P1643" si="193">ROUND(H1636*O1636,0)</f>
        <v>0</v>
      </c>
      <c r="Q1636" s="12"/>
      <c r="S1636" s="11">
        <f t="shared" ref="S1636:S1643" si="194">ROUND(J1636*O1636,0)</f>
        <v>14334</v>
      </c>
      <c r="T1636" s="13">
        <f t="shared" ref="T1636:T1643" si="195">F1636-J1636</f>
        <v>0</v>
      </c>
    </row>
    <row r="1637" spans="1:20" ht="24.95" customHeight="1">
      <c r="A1637" s="10">
        <v>3</v>
      </c>
      <c r="B1637" s="66" t="s">
        <v>84</v>
      </c>
      <c r="C1637" s="67" t="s">
        <v>84</v>
      </c>
      <c r="D1637" s="68" t="s">
        <v>84</v>
      </c>
      <c r="E1637" s="4" t="s">
        <v>33</v>
      </c>
      <c r="F1637" s="69">
        <v>1</v>
      </c>
      <c r="G1637" s="70"/>
      <c r="H1637" s="69"/>
      <c r="I1637" s="70"/>
      <c r="J1637" s="71">
        <f t="shared" si="192"/>
        <v>0.5</v>
      </c>
      <c r="K1637" s="71"/>
      <c r="L1637" s="72"/>
      <c r="M1637" s="72"/>
      <c r="O1637" s="11">
        <v>7000</v>
      </c>
      <c r="P1637" s="11">
        <f t="shared" si="193"/>
        <v>0</v>
      </c>
      <c r="Q1637" s="12"/>
      <c r="S1637" s="11">
        <f t="shared" si="194"/>
        <v>3500</v>
      </c>
      <c r="T1637" s="13">
        <f t="shared" si="195"/>
        <v>0.5</v>
      </c>
    </row>
    <row r="1638" spans="1:20" ht="24.95" customHeight="1">
      <c r="A1638" s="10">
        <v>4</v>
      </c>
      <c r="B1638" s="66" t="s">
        <v>85</v>
      </c>
      <c r="C1638" s="67" t="s">
        <v>85</v>
      </c>
      <c r="D1638" s="68" t="s">
        <v>85</v>
      </c>
      <c r="E1638" s="4" t="s">
        <v>34</v>
      </c>
      <c r="F1638" s="69">
        <v>1</v>
      </c>
      <c r="G1638" s="70"/>
      <c r="H1638" s="69"/>
      <c r="I1638" s="70"/>
      <c r="J1638" s="71">
        <f t="shared" si="192"/>
        <v>1</v>
      </c>
      <c r="K1638" s="71"/>
      <c r="L1638" s="72"/>
      <c r="M1638" s="72"/>
      <c r="O1638" s="11">
        <v>74000</v>
      </c>
      <c r="P1638" s="11">
        <f t="shared" si="193"/>
        <v>0</v>
      </c>
      <c r="Q1638" s="12"/>
      <c r="S1638" s="11">
        <f t="shared" si="194"/>
        <v>74000</v>
      </c>
      <c r="T1638" s="13">
        <f t="shared" si="195"/>
        <v>0</v>
      </c>
    </row>
    <row r="1639" spans="1:20" ht="24.95" customHeight="1">
      <c r="A1639" s="10">
        <v>5</v>
      </c>
      <c r="B1639" s="66" t="s">
        <v>86</v>
      </c>
      <c r="C1639" s="67" t="s">
        <v>86</v>
      </c>
      <c r="D1639" s="68" t="s">
        <v>86</v>
      </c>
      <c r="E1639" s="4" t="s">
        <v>93</v>
      </c>
      <c r="F1639" s="69">
        <v>396</v>
      </c>
      <c r="G1639" s="70"/>
      <c r="H1639" s="69"/>
      <c r="I1639" s="70"/>
      <c r="J1639" s="71">
        <f t="shared" si="192"/>
        <v>350</v>
      </c>
      <c r="K1639" s="71"/>
      <c r="L1639" s="72"/>
      <c r="M1639" s="72"/>
      <c r="O1639" s="11">
        <v>200</v>
      </c>
      <c r="P1639" s="11">
        <f t="shared" si="193"/>
        <v>0</v>
      </c>
      <c r="Q1639" s="12"/>
      <c r="S1639" s="11">
        <f t="shared" si="194"/>
        <v>70000</v>
      </c>
      <c r="T1639" s="13">
        <f t="shared" si="195"/>
        <v>46</v>
      </c>
    </row>
    <row r="1640" spans="1:20" ht="24.95" customHeight="1">
      <c r="A1640" s="10">
        <v>6</v>
      </c>
      <c r="B1640" s="66" t="s">
        <v>97</v>
      </c>
      <c r="C1640" s="67" t="s">
        <v>87</v>
      </c>
      <c r="D1640" s="68" t="s">
        <v>87</v>
      </c>
      <c r="E1640" s="4" t="s">
        <v>35</v>
      </c>
      <c r="F1640" s="69">
        <v>80</v>
      </c>
      <c r="G1640" s="70">
        <v>183.6</v>
      </c>
      <c r="H1640" s="69"/>
      <c r="I1640" s="70"/>
      <c r="J1640" s="71">
        <f t="shared" si="192"/>
        <v>78</v>
      </c>
      <c r="K1640" s="71"/>
      <c r="L1640" s="54"/>
      <c r="M1640" s="59"/>
      <c r="O1640" s="11">
        <v>1463</v>
      </c>
      <c r="P1640" s="11">
        <f t="shared" si="193"/>
        <v>0</v>
      </c>
      <c r="S1640" s="11">
        <f t="shared" si="194"/>
        <v>114114</v>
      </c>
      <c r="T1640" s="13">
        <f t="shared" si="195"/>
        <v>2</v>
      </c>
    </row>
    <row r="1641" spans="1:20" ht="24.95" customHeight="1">
      <c r="A1641" s="10">
        <v>7</v>
      </c>
      <c r="B1641" s="66" t="s">
        <v>88</v>
      </c>
      <c r="C1641" s="67" t="s">
        <v>88</v>
      </c>
      <c r="D1641" s="68" t="s">
        <v>88</v>
      </c>
      <c r="E1641" s="4" t="s">
        <v>94</v>
      </c>
      <c r="F1641" s="69">
        <v>126</v>
      </c>
      <c r="G1641" s="70">
        <v>19</v>
      </c>
      <c r="H1641" s="69"/>
      <c r="I1641" s="70"/>
      <c r="J1641" s="71">
        <f t="shared" si="192"/>
        <v>0</v>
      </c>
      <c r="K1641" s="71"/>
      <c r="L1641" s="54"/>
      <c r="M1641" s="59"/>
      <c r="O1641" s="11">
        <v>6350</v>
      </c>
      <c r="P1641" s="11">
        <f t="shared" si="193"/>
        <v>0</v>
      </c>
      <c r="S1641" s="11">
        <f t="shared" si="194"/>
        <v>0</v>
      </c>
      <c r="T1641" s="13">
        <f t="shared" si="195"/>
        <v>126</v>
      </c>
    </row>
    <row r="1642" spans="1:20" ht="24.95" customHeight="1">
      <c r="A1642" s="10">
        <v>8</v>
      </c>
      <c r="B1642" s="66" t="s">
        <v>89</v>
      </c>
      <c r="C1642" s="67" t="s">
        <v>89</v>
      </c>
      <c r="D1642" s="68" t="s">
        <v>89</v>
      </c>
      <c r="E1642" s="4" t="s">
        <v>95</v>
      </c>
      <c r="F1642" s="69">
        <v>1</v>
      </c>
      <c r="G1642" s="70">
        <v>1192</v>
      </c>
      <c r="H1642" s="69"/>
      <c r="I1642" s="70"/>
      <c r="J1642" s="71">
        <f t="shared" si="192"/>
        <v>0.3</v>
      </c>
      <c r="K1642" s="71"/>
      <c r="L1642" s="54"/>
      <c r="M1642" s="59"/>
      <c r="O1642" s="11">
        <v>47600</v>
      </c>
      <c r="P1642" s="11">
        <f t="shared" si="193"/>
        <v>0</v>
      </c>
      <c r="S1642" s="11">
        <f t="shared" si="194"/>
        <v>14280</v>
      </c>
      <c r="T1642" s="13">
        <f t="shared" si="195"/>
        <v>0.7</v>
      </c>
    </row>
    <row r="1643" spans="1:20" ht="24.95" customHeight="1">
      <c r="A1643" s="10">
        <v>9</v>
      </c>
      <c r="B1643" s="66" t="s">
        <v>90</v>
      </c>
      <c r="C1643" s="67" t="s">
        <v>90</v>
      </c>
      <c r="D1643" s="68" t="s">
        <v>90</v>
      </c>
      <c r="E1643" s="4" t="s">
        <v>96</v>
      </c>
      <c r="F1643" s="69">
        <v>1</v>
      </c>
      <c r="G1643" s="70">
        <v>1261</v>
      </c>
      <c r="H1643" s="69"/>
      <c r="I1643" s="70"/>
      <c r="J1643" s="71">
        <f t="shared" si="192"/>
        <v>0</v>
      </c>
      <c r="K1643" s="71"/>
      <c r="L1643" s="54"/>
      <c r="M1643" s="59"/>
      <c r="O1643" s="11">
        <v>10000</v>
      </c>
      <c r="P1643" s="11">
        <f t="shared" si="193"/>
        <v>0</v>
      </c>
      <c r="S1643" s="11">
        <f t="shared" si="194"/>
        <v>0</v>
      </c>
      <c r="T1643" s="13">
        <f t="shared" si="195"/>
        <v>1</v>
      </c>
    </row>
    <row r="1644" spans="1:20" ht="24.95" customHeight="1">
      <c r="A1644" s="14"/>
      <c r="B1644" s="15"/>
      <c r="C1644" s="16"/>
      <c r="D1644" s="17"/>
      <c r="E1644" s="4"/>
      <c r="F1644" s="18"/>
      <c r="G1644" s="19"/>
      <c r="H1644" s="105"/>
      <c r="I1644" s="106"/>
      <c r="J1644" s="105"/>
      <c r="K1644" s="106"/>
      <c r="L1644" s="54"/>
      <c r="M1644" s="59"/>
      <c r="N1644" s="20"/>
      <c r="P1644" s="21" t="s">
        <v>37</v>
      </c>
      <c r="Q1644" s="22">
        <f>SUM(P1635:P1643)</f>
        <v>0</v>
      </c>
      <c r="R1644" s="23"/>
      <c r="S1644" s="24">
        <f>SUM(S1635:S1643)</f>
        <v>294228</v>
      </c>
      <c r="T1644" s="13"/>
    </row>
    <row r="1645" spans="1:20" ht="24.95" customHeight="1">
      <c r="A1645" s="107"/>
      <c r="B1645" s="108"/>
      <c r="C1645" s="108"/>
      <c r="D1645" s="109"/>
      <c r="E1645" s="4"/>
      <c r="F1645" s="54"/>
      <c r="G1645" s="59"/>
      <c r="H1645" s="72"/>
      <c r="I1645" s="72"/>
      <c r="J1645" s="72"/>
      <c r="K1645" s="72"/>
      <c r="L1645" s="72"/>
      <c r="M1645" s="72"/>
      <c r="O1645" t="s">
        <v>38</v>
      </c>
      <c r="P1645" s="24">
        <f>Q1644</f>
        <v>0</v>
      </c>
      <c r="T1645" s="13"/>
    </row>
    <row r="1646" spans="1:20" ht="24.95" customHeight="1">
      <c r="A1646" s="97"/>
      <c r="B1646" s="98"/>
      <c r="C1646" s="98"/>
      <c r="D1646" s="99"/>
      <c r="E1646" s="4"/>
      <c r="F1646" s="54"/>
      <c r="G1646" s="59"/>
      <c r="H1646" s="72"/>
      <c r="I1646" s="72"/>
      <c r="J1646" s="72"/>
      <c r="K1646" s="72"/>
      <c r="L1646" s="72"/>
      <c r="M1646" s="72"/>
      <c r="O1646" t="s">
        <v>39</v>
      </c>
      <c r="P1646" s="23">
        <f>ROUND(P1645/1153274,4)*100</f>
        <v>0</v>
      </c>
      <c r="T1646" s="13"/>
    </row>
    <row r="1647" spans="1:20" ht="24.95" customHeight="1">
      <c r="A1647" s="25"/>
      <c r="B1647" s="63" t="s">
        <v>40</v>
      </c>
      <c r="C1647" s="63"/>
      <c r="D1647" s="59"/>
      <c r="E1647" s="26"/>
      <c r="F1647" s="100"/>
      <c r="G1647" s="101"/>
      <c r="H1647" s="100"/>
      <c r="I1647" s="101"/>
      <c r="J1647" s="102"/>
      <c r="K1647" s="102"/>
      <c r="L1647" s="103">
        <f>P1645</f>
        <v>0</v>
      </c>
      <c r="M1647" s="104"/>
      <c r="T1647" s="13"/>
    </row>
    <row r="1648" spans="1:20" ht="24.95" customHeight="1" thickBot="1">
      <c r="A1648" s="27"/>
      <c r="B1648" s="85" t="s">
        <v>41</v>
      </c>
      <c r="C1648" s="85"/>
      <c r="D1648" s="86"/>
      <c r="E1648" s="28"/>
      <c r="F1648" s="87"/>
      <c r="G1648" s="88"/>
      <c r="H1648" s="87"/>
      <c r="I1648" s="88"/>
      <c r="J1648" s="87"/>
      <c r="K1648" s="88"/>
      <c r="L1648" s="89">
        <f>L1647+L1590</f>
        <v>294228</v>
      </c>
      <c r="M1648" s="90"/>
      <c r="T1648" s="13"/>
    </row>
    <row r="1649" spans="1:20" ht="24.95" customHeight="1">
      <c r="A1649" s="29"/>
      <c r="B1649" s="91" t="s">
        <v>42</v>
      </c>
      <c r="C1649" s="91"/>
      <c r="D1649" s="92"/>
      <c r="E1649" s="30"/>
      <c r="F1649" s="93"/>
      <c r="G1649" s="94"/>
      <c r="H1649" s="95"/>
      <c r="I1649" s="95"/>
      <c r="J1649" s="95"/>
      <c r="K1649" s="95"/>
      <c r="L1649" s="95"/>
      <c r="M1649" s="96"/>
      <c r="T1649" s="13"/>
    </row>
    <row r="1650" spans="1:20" ht="24.95" customHeight="1">
      <c r="A1650" s="31"/>
      <c r="B1650" s="76" t="s">
        <v>43</v>
      </c>
      <c r="C1650" s="76"/>
      <c r="D1650" s="77"/>
      <c r="E1650" s="4"/>
      <c r="F1650" s="54"/>
      <c r="G1650" s="59"/>
      <c r="H1650" s="72"/>
      <c r="I1650" s="72"/>
      <c r="J1650" s="72"/>
      <c r="K1650" s="72"/>
      <c r="L1650" s="72"/>
      <c r="M1650" s="78"/>
      <c r="T1650" s="13"/>
    </row>
    <row r="1651" spans="1:20" ht="24.95" customHeight="1" thickBot="1">
      <c r="A1651" s="32"/>
      <c r="B1651" s="79" t="s">
        <v>44</v>
      </c>
      <c r="C1651" s="79"/>
      <c r="D1651" s="80"/>
      <c r="E1651" s="33"/>
      <c r="F1651" s="81"/>
      <c r="G1651" s="82"/>
      <c r="H1651" s="83"/>
      <c r="I1651" s="83"/>
      <c r="J1651" s="83"/>
      <c r="K1651" s="83"/>
      <c r="L1651" s="83"/>
      <c r="M1651" s="84"/>
      <c r="T1651" s="13"/>
    </row>
    <row r="1652" spans="1:20" ht="24.95" customHeight="1">
      <c r="A1652" s="73" t="s">
        <v>45</v>
      </c>
      <c r="B1652" s="74"/>
      <c r="C1652" s="74"/>
      <c r="D1652" s="74"/>
      <c r="E1652" s="74"/>
      <c r="F1652" s="74"/>
      <c r="G1652" s="74"/>
      <c r="H1652" s="74"/>
      <c r="I1652" s="74"/>
      <c r="J1652" s="74"/>
      <c r="K1652" s="74"/>
      <c r="L1652" s="74"/>
      <c r="M1652" s="74"/>
      <c r="T1652" s="13"/>
    </row>
    <row r="1653" spans="1:20" ht="24.95" customHeight="1">
      <c r="A1653" s="72" t="s">
        <v>46</v>
      </c>
      <c r="B1653" s="75"/>
      <c r="C1653" s="75"/>
      <c r="D1653" s="75"/>
      <c r="E1653" s="4" t="s">
        <v>22</v>
      </c>
      <c r="F1653" s="72" t="s">
        <v>47</v>
      </c>
      <c r="G1653" s="72"/>
      <c r="H1653" s="72" t="s">
        <v>48</v>
      </c>
      <c r="I1653" s="72"/>
      <c r="J1653" s="72" t="s">
        <v>49</v>
      </c>
      <c r="K1653" s="72"/>
      <c r="L1653" s="72" t="s">
        <v>50</v>
      </c>
      <c r="M1653" s="72"/>
      <c r="T1653" s="13"/>
    </row>
    <row r="1654" spans="1:20" ht="24.95" customHeight="1">
      <c r="A1654" s="10">
        <v>6</v>
      </c>
      <c r="B1654" s="66" t="s">
        <v>97</v>
      </c>
      <c r="C1654" s="67" t="s">
        <v>51</v>
      </c>
      <c r="D1654" s="68" t="s">
        <v>51</v>
      </c>
      <c r="E1654" s="4" t="s">
        <v>35</v>
      </c>
      <c r="F1654" s="69">
        <v>80</v>
      </c>
      <c r="G1654" s="70">
        <v>1261</v>
      </c>
      <c r="H1654" s="71">
        <f>H1640</f>
        <v>0</v>
      </c>
      <c r="I1654" s="71"/>
      <c r="J1654" s="71">
        <f>H1654+J1596</f>
        <v>78</v>
      </c>
      <c r="K1654" s="71"/>
      <c r="L1654" s="72"/>
      <c r="M1654" s="72"/>
      <c r="T1654" s="13"/>
    </row>
    <row r="1655" spans="1:20" ht="24.95" customHeight="1">
      <c r="A1655" s="10">
        <v>7</v>
      </c>
      <c r="B1655" s="66" t="s">
        <v>88</v>
      </c>
      <c r="C1655" s="67" t="s">
        <v>88</v>
      </c>
      <c r="D1655" s="68" t="s">
        <v>88</v>
      </c>
      <c r="E1655" s="4" t="s">
        <v>98</v>
      </c>
      <c r="F1655" s="69">
        <v>126</v>
      </c>
      <c r="G1655" s="70"/>
      <c r="H1655" s="71">
        <f>H1641</f>
        <v>0</v>
      </c>
      <c r="I1655" s="71"/>
      <c r="J1655" s="71">
        <f t="shared" ref="J1655:J1656" si="196">H1655+J1597</f>
        <v>0</v>
      </c>
      <c r="K1655" s="71"/>
      <c r="L1655" s="72"/>
      <c r="M1655" s="72"/>
      <c r="T1655" s="13"/>
    </row>
    <row r="1656" spans="1:20" ht="24.95" customHeight="1">
      <c r="A1656" s="10">
        <v>8</v>
      </c>
      <c r="B1656" s="66" t="s">
        <v>89</v>
      </c>
      <c r="C1656" s="67" t="s">
        <v>89</v>
      </c>
      <c r="D1656" s="68" t="s">
        <v>89</v>
      </c>
      <c r="E1656" s="4" t="s">
        <v>36</v>
      </c>
      <c r="F1656" s="69">
        <v>1</v>
      </c>
      <c r="G1656" s="70"/>
      <c r="H1656" s="71">
        <f>H1642</f>
        <v>0</v>
      </c>
      <c r="I1656" s="71"/>
      <c r="J1656" s="71">
        <f t="shared" si="196"/>
        <v>0.3</v>
      </c>
      <c r="K1656" s="71"/>
      <c r="L1656" s="72"/>
      <c r="M1656" s="72"/>
      <c r="T1656" s="13"/>
    </row>
    <row r="1657" spans="1:20" ht="24.95" customHeight="1">
      <c r="A1657" s="51" t="s">
        <v>52</v>
      </c>
      <c r="B1657" s="52"/>
      <c r="C1657" s="52"/>
      <c r="D1657" s="52"/>
      <c r="E1657" s="52"/>
      <c r="F1657" s="52"/>
      <c r="G1657" s="52"/>
      <c r="H1657" s="52"/>
      <c r="I1657" s="52"/>
      <c r="J1657" s="52"/>
      <c r="K1657" s="52"/>
      <c r="L1657" s="52"/>
      <c r="M1657" s="53"/>
      <c r="T1657" s="13"/>
    </row>
    <row r="1658" spans="1:20" ht="24.95" customHeight="1">
      <c r="A1658" s="54" t="s">
        <v>53</v>
      </c>
      <c r="B1658" s="63"/>
      <c r="C1658" s="63"/>
      <c r="D1658" s="59"/>
      <c r="E1658" s="4" t="s">
        <v>54</v>
      </c>
      <c r="F1658" s="54" t="s">
        <v>55</v>
      </c>
      <c r="G1658" s="59"/>
      <c r="H1658" s="54" t="s">
        <v>56</v>
      </c>
      <c r="I1658" s="59"/>
      <c r="J1658" s="54" t="s">
        <v>48</v>
      </c>
      <c r="K1658" s="59"/>
      <c r="L1658" s="64" t="s">
        <v>49</v>
      </c>
      <c r="M1658" s="65"/>
      <c r="T1658" s="13"/>
    </row>
    <row r="1659" spans="1:20" ht="24.95" customHeight="1">
      <c r="A1659" s="54" t="s">
        <v>57</v>
      </c>
      <c r="B1659" s="55"/>
      <c r="C1659" s="55"/>
      <c r="D1659" s="56"/>
      <c r="E1659" s="4"/>
      <c r="F1659" s="57">
        <f>E1659+F1601</f>
        <v>28</v>
      </c>
      <c r="G1659" s="58"/>
      <c r="H1659" s="54" t="s">
        <v>58</v>
      </c>
      <c r="I1659" s="59"/>
      <c r="J1659" s="54"/>
      <c r="K1659" s="59"/>
      <c r="L1659" s="57">
        <f>J1659+L1601</f>
        <v>15</v>
      </c>
      <c r="M1659" s="58"/>
      <c r="T1659" s="13"/>
    </row>
    <row r="1660" spans="1:20" ht="24.95" customHeight="1">
      <c r="A1660" s="54" t="s">
        <v>59</v>
      </c>
      <c r="B1660" s="55"/>
      <c r="C1660" s="55"/>
      <c r="D1660" s="56"/>
      <c r="E1660" s="4"/>
      <c r="F1660" s="57">
        <f t="shared" ref="F1660:F1662" si="197">E1660+F1602</f>
        <v>0</v>
      </c>
      <c r="G1660" s="58"/>
      <c r="H1660" s="54" t="s">
        <v>60</v>
      </c>
      <c r="I1660" s="59"/>
      <c r="J1660" s="54"/>
      <c r="K1660" s="59"/>
      <c r="L1660" s="57">
        <f t="shared" ref="L1660:L1662" si="198">J1660+L1602</f>
        <v>0</v>
      </c>
      <c r="M1660" s="58"/>
      <c r="T1660" s="13"/>
    </row>
    <row r="1661" spans="1:20" ht="24.95" customHeight="1">
      <c r="A1661" s="54" t="s">
        <v>61</v>
      </c>
      <c r="B1661" s="55"/>
      <c r="C1661" s="55"/>
      <c r="D1661" s="56"/>
      <c r="E1661" s="4"/>
      <c r="F1661" s="57">
        <f t="shared" si="197"/>
        <v>2</v>
      </c>
      <c r="G1661" s="58"/>
      <c r="H1661" s="54" t="s">
        <v>62</v>
      </c>
      <c r="I1661" s="59"/>
      <c r="J1661" s="54"/>
      <c r="K1661" s="59"/>
      <c r="L1661" s="57">
        <f t="shared" si="198"/>
        <v>5</v>
      </c>
      <c r="M1661" s="58"/>
      <c r="T1661" s="13"/>
    </row>
    <row r="1662" spans="1:20" ht="24.95" customHeight="1">
      <c r="A1662" s="54" t="s">
        <v>63</v>
      </c>
      <c r="B1662" s="55"/>
      <c r="C1662" s="55"/>
      <c r="D1662" s="56"/>
      <c r="E1662" s="4"/>
      <c r="F1662" s="57">
        <f t="shared" si="197"/>
        <v>4</v>
      </c>
      <c r="G1662" s="58"/>
      <c r="H1662" s="54" t="s">
        <v>64</v>
      </c>
      <c r="I1662" s="59"/>
      <c r="J1662" s="54"/>
      <c r="K1662" s="59"/>
      <c r="L1662" s="57">
        <f t="shared" si="198"/>
        <v>1</v>
      </c>
      <c r="M1662" s="58"/>
      <c r="T1662" s="13"/>
    </row>
    <row r="1663" spans="1:20" ht="64.5" customHeight="1">
      <c r="A1663" s="60" t="s">
        <v>65</v>
      </c>
      <c r="B1663" s="61"/>
      <c r="C1663" s="61"/>
      <c r="D1663" s="61"/>
      <c r="E1663" s="61"/>
      <c r="F1663" s="61"/>
      <c r="G1663" s="61"/>
      <c r="H1663" s="61"/>
      <c r="I1663" s="61"/>
      <c r="J1663" s="61"/>
      <c r="K1663" s="61"/>
      <c r="L1663" s="61"/>
      <c r="M1663" s="62"/>
      <c r="T1663" s="13"/>
    </row>
    <row r="1664" spans="1:20" ht="24.95" customHeight="1">
      <c r="A1664" s="46" t="s">
        <v>66</v>
      </c>
      <c r="B1664" s="47"/>
      <c r="C1664" s="47"/>
      <c r="D1664" s="47"/>
      <c r="E1664" s="47"/>
      <c r="F1664" s="47"/>
      <c r="G1664" s="47"/>
      <c r="H1664" s="47"/>
      <c r="I1664" s="47"/>
      <c r="J1664" s="47"/>
      <c r="K1664" s="47"/>
      <c r="L1664" s="47"/>
      <c r="M1664" s="48"/>
      <c r="T1664" s="13"/>
    </row>
    <row r="1665" spans="1:20" ht="24.95" customHeight="1">
      <c r="A1665" s="27"/>
      <c r="B1665" s="34" t="s">
        <v>67</v>
      </c>
      <c r="C1665" s="34"/>
      <c r="D1665" s="34"/>
      <c r="E1665" s="34"/>
      <c r="F1665" s="34"/>
      <c r="G1665" s="35"/>
      <c r="H1665" s="34"/>
      <c r="I1665" s="34"/>
      <c r="J1665" s="34"/>
      <c r="K1665" s="34"/>
      <c r="L1665" s="34"/>
      <c r="M1665" s="36"/>
      <c r="T1665" s="13"/>
    </row>
    <row r="1666" spans="1:20" ht="24.95" customHeight="1">
      <c r="A1666" s="27"/>
      <c r="B1666" s="34" t="s">
        <v>81</v>
      </c>
      <c r="C1666" s="34"/>
      <c r="D1666" s="34"/>
      <c r="E1666" s="34"/>
      <c r="F1666" s="34"/>
      <c r="G1666" s="35"/>
      <c r="H1666" s="34"/>
      <c r="I1666" s="34"/>
      <c r="J1666" s="34"/>
      <c r="K1666" s="34"/>
      <c r="L1666" s="34"/>
      <c r="M1666" s="36"/>
      <c r="T1666" s="13"/>
    </row>
    <row r="1667" spans="1:20" ht="24.95" customHeight="1">
      <c r="A1667" s="27"/>
      <c r="B1667" s="34" t="s">
        <v>68</v>
      </c>
      <c r="C1667" s="34"/>
      <c r="D1667" s="34"/>
      <c r="E1667" s="34"/>
      <c r="F1667" s="34"/>
      <c r="G1667" s="35"/>
      <c r="H1667" s="34"/>
      <c r="I1667" s="34"/>
      <c r="J1667" s="34"/>
      <c r="K1667" s="34"/>
      <c r="L1667" s="34"/>
      <c r="M1667" s="36"/>
      <c r="T1667" s="13"/>
    </row>
    <row r="1668" spans="1:20" ht="24.95" customHeight="1">
      <c r="A1668" s="27"/>
      <c r="B1668" s="34" t="s">
        <v>82</v>
      </c>
      <c r="C1668" s="34"/>
      <c r="D1668" s="34"/>
      <c r="E1668" s="34"/>
      <c r="F1668" s="34"/>
      <c r="G1668" s="35"/>
      <c r="H1668" s="34"/>
      <c r="I1668" s="34"/>
      <c r="J1668" s="34"/>
      <c r="K1668" s="34"/>
      <c r="L1668" s="34"/>
      <c r="M1668" s="36"/>
      <c r="T1668" s="13"/>
    </row>
    <row r="1669" spans="1:20" ht="24.95" customHeight="1">
      <c r="A1669" s="27"/>
      <c r="B1669" s="34" t="s">
        <v>99</v>
      </c>
      <c r="C1669" s="34"/>
      <c r="D1669" s="34"/>
      <c r="E1669" s="34"/>
      <c r="F1669" s="34"/>
      <c r="G1669" s="35"/>
      <c r="H1669" s="34"/>
      <c r="I1669" s="34"/>
      <c r="J1669" s="34"/>
      <c r="K1669" s="34"/>
      <c r="L1669" s="34"/>
      <c r="M1669" s="36"/>
      <c r="T1669" s="13"/>
    </row>
    <row r="1670" spans="1:20" ht="24.95" customHeight="1">
      <c r="A1670" s="37"/>
      <c r="B1670" s="49" t="s">
        <v>69</v>
      </c>
      <c r="C1670" s="49"/>
      <c r="D1670" s="49"/>
      <c r="E1670" s="49"/>
      <c r="F1670" s="49"/>
      <c r="G1670" s="49"/>
      <c r="H1670" s="49"/>
      <c r="I1670" s="49"/>
      <c r="J1670" s="49"/>
      <c r="K1670" s="49"/>
      <c r="L1670" s="49"/>
      <c r="M1670" s="50"/>
      <c r="T1670" s="13"/>
    </row>
    <row r="1671" spans="1:20" ht="44.25" customHeight="1">
      <c r="A1671" s="51" t="s">
        <v>70</v>
      </c>
      <c r="B1671" s="52"/>
      <c r="C1671" s="52"/>
      <c r="D1671" s="52"/>
      <c r="E1671" s="52"/>
      <c r="F1671" s="52"/>
      <c r="G1671" s="52"/>
      <c r="H1671" s="52"/>
      <c r="I1671" s="52"/>
      <c r="J1671" s="52"/>
      <c r="K1671" s="52"/>
      <c r="L1671" s="52"/>
      <c r="M1671" s="53"/>
      <c r="T1671" s="13"/>
    </row>
    <row r="1672" spans="1:20" ht="48" customHeight="1">
      <c r="A1672" s="51" t="s">
        <v>71</v>
      </c>
      <c r="B1672" s="52"/>
      <c r="C1672" s="52"/>
      <c r="D1672" s="52"/>
      <c r="E1672" s="52"/>
      <c r="F1672" s="52"/>
      <c r="G1672" s="52"/>
      <c r="H1672" s="52"/>
      <c r="I1672" s="52"/>
      <c r="J1672" s="52"/>
      <c r="K1672" s="52"/>
      <c r="L1672" s="52"/>
      <c r="M1672" s="53"/>
      <c r="T1672" s="13"/>
    </row>
    <row r="1673" spans="1:20" ht="81" customHeight="1">
      <c r="A1673" s="51" t="s">
        <v>80</v>
      </c>
      <c r="B1673" s="52"/>
      <c r="C1673" s="52"/>
      <c r="D1673" s="52"/>
      <c r="E1673" s="52"/>
      <c r="F1673" s="52"/>
      <c r="G1673" s="52"/>
      <c r="H1673" s="52"/>
      <c r="I1673" s="52"/>
      <c r="J1673" s="52"/>
      <c r="K1673" s="52"/>
      <c r="L1673" s="52"/>
      <c r="M1673" s="53"/>
      <c r="T1673" s="13"/>
    </row>
    <row r="1674" spans="1:20" ht="100.5" customHeight="1">
      <c r="A1674" s="51" t="s">
        <v>72</v>
      </c>
      <c r="B1674" s="52"/>
      <c r="C1674" s="52"/>
      <c r="D1674" s="52"/>
      <c r="E1674" s="52"/>
      <c r="F1674" s="52"/>
      <c r="G1674" s="52"/>
      <c r="H1674" s="52"/>
      <c r="I1674" s="52"/>
      <c r="J1674" s="52"/>
      <c r="K1674" s="52"/>
      <c r="L1674" s="52"/>
      <c r="M1674" s="53"/>
      <c r="T1674" s="13"/>
    </row>
    <row r="1675" spans="1:20" ht="12" customHeight="1">
      <c r="A1675" s="41" t="s">
        <v>73</v>
      </c>
      <c r="B1675" s="41"/>
      <c r="C1675" s="42"/>
      <c r="D1675" s="42"/>
      <c r="E1675" s="42"/>
      <c r="F1675" s="42"/>
      <c r="G1675" s="42"/>
      <c r="H1675" s="42"/>
      <c r="I1675" s="42"/>
      <c r="J1675" s="42"/>
      <c r="K1675" s="42"/>
      <c r="L1675" s="42"/>
      <c r="M1675" s="38"/>
      <c r="T1675" s="13"/>
    </row>
    <row r="1676" spans="1:20" ht="12" customHeight="1">
      <c r="A1676" s="43" t="s">
        <v>74</v>
      </c>
      <c r="B1676" s="43"/>
      <c r="C1676" s="40"/>
      <c r="D1676" s="40"/>
      <c r="E1676" s="40"/>
      <c r="F1676" s="40"/>
      <c r="G1676" s="40"/>
      <c r="H1676" s="40"/>
      <c r="I1676" s="40"/>
      <c r="J1676" s="40"/>
      <c r="K1676" s="40"/>
      <c r="L1676" s="38"/>
      <c r="M1676" s="38"/>
      <c r="T1676" s="13"/>
    </row>
    <row r="1677" spans="1:20" ht="12" customHeight="1">
      <c r="A1677" s="44" t="s">
        <v>75</v>
      </c>
      <c r="B1677" s="44"/>
      <c r="C1677" s="44"/>
      <c r="D1677" s="44"/>
      <c r="E1677" s="44"/>
      <c r="F1677" s="44"/>
      <c r="G1677" s="44"/>
      <c r="H1677" s="44"/>
      <c r="I1677" s="44"/>
      <c r="J1677" s="44"/>
      <c r="K1677" s="44"/>
      <c r="L1677" s="44"/>
      <c r="M1677" s="44"/>
      <c r="T1677" s="13"/>
    </row>
    <row r="1678" spans="1:20" ht="12" customHeight="1">
      <c r="A1678" s="39" t="s">
        <v>76</v>
      </c>
      <c r="B1678" s="39"/>
      <c r="C1678" s="39"/>
      <c r="D1678" s="39"/>
      <c r="E1678" s="39"/>
      <c r="F1678" s="39"/>
      <c r="G1678" s="39"/>
      <c r="H1678" s="39"/>
      <c r="I1678" s="39"/>
      <c r="J1678" s="39"/>
      <c r="K1678" s="39"/>
      <c r="L1678" s="39"/>
      <c r="M1678" s="39"/>
      <c r="T1678" s="13"/>
    </row>
    <row r="1679" spans="1:20" ht="12" customHeight="1">
      <c r="A1679" s="39" t="s">
        <v>77</v>
      </c>
      <c r="B1679" s="40"/>
      <c r="C1679" s="40"/>
      <c r="D1679" s="40"/>
      <c r="E1679" s="40"/>
      <c r="F1679" s="40"/>
      <c r="G1679" s="40"/>
      <c r="H1679" s="40"/>
      <c r="I1679" s="40"/>
      <c r="J1679" s="40"/>
      <c r="K1679" s="40"/>
      <c r="L1679" s="40"/>
      <c r="M1679" s="40"/>
      <c r="T1679" s="13"/>
    </row>
    <row r="1680" spans="1:20" ht="12" customHeight="1">
      <c r="A1680" s="45" t="s">
        <v>78</v>
      </c>
      <c r="B1680" s="40"/>
      <c r="C1680" s="40"/>
      <c r="D1680" s="40"/>
      <c r="E1680" s="40"/>
      <c r="F1680" s="40"/>
      <c r="G1680" s="40"/>
      <c r="H1680" s="40"/>
      <c r="I1680" s="40"/>
      <c r="J1680" s="40"/>
      <c r="K1680" s="40"/>
      <c r="L1680" s="40"/>
      <c r="M1680" s="40"/>
      <c r="T1680" s="13"/>
    </row>
    <row r="1681" spans="1:20" ht="12" customHeight="1">
      <c r="A1681" s="39" t="s">
        <v>79</v>
      </c>
      <c r="B1681" s="40"/>
      <c r="C1681" s="40"/>
      <c r="D1681" s="40"/>
      <c r="E1681" s="40"/>
      <c r="F1681" s="40"/>
      <c r="G1681" s="40"/>
      <c r="H1681" s="40"/>
      <c r="I1681" s="40"/>
      <c r="J1681" s="40"/>
      <c r="K1681" s="40"/>
      <c r="L1681" s="40"/>
      <c r="M1681" s="40"/>
      <c r="T1681" s="13"/>
    </row>
    <row r="1682" spans="1:20" ht="409.5" customHeight="1"/>
    <row r="1683" spans="1:20" s="2" customFormat="1" ht="35.1" customHeight="1">
      <c r="A1683" s="126" t="s">
        <v>0</v>
      </c>
      <c r="B1683" s="126"/>
      <c r="C1683" s="1">
        <f>C1625+1</f>
        <v>65</v>
      </c>
      <c r="G1683" s="3"/>
    </row>
    <row r="1684" spans="1:20" s="2" customFormat="1" ht="35.1" customHeight="1">
      <c r="A1684" s="126" t="s">
        <v>1</v>
      </c>
      <c r="B1684" s="126"/>
      <c r="C1684" s="2" t="s">
        <v>2</v>
      </c>
      <c r="E1684" s="2" t="s">
        <v>3</v>
      </c>
      <c r="G1684" s="3"/>
      <c r="H1684" s="127" t="s">
        <v>4</v>
      </c>
      <c r="I1684" s="128"/>
      <c r="J1684" s="129">
        <f>J1626+1</f>
        <v>46052</v>
      </c>
      <c r="K1684" s="130"/>
      <c r="L1684" s="131">
        <f>J1684</f>
        <v>46052</v>
      </c>
      <c r="M1684" s="132"/>
    </row>
    <row r="1685" spans="1:20" s="2" customFormat="1" ht="30" customHeight="1">
      <c r="A1685" s="72" t="s">
        <v>5</v>
      </c>
      <c r="B1685" s="114"/>
      <c r="C1685" s="119" t="s">
        <v>83</v>
      </c>
      <c r="D1685" s="119"/>
      <c r="E1685" s="119"/>
      <c r="F1685" s="119"/>
      <c r="G1685" s="119"/>
      <c r="H1685" s="54" t="s">
        <v>6</v>
      </c>
      <c r="I1685" s="59"/>
      <c r="J1685" s="120"/>
      <c r="K1685" s="120"/>
      <c r="L1685" s="120"/>
      <c r="M1685" s="120"/>
    </row>
    <row r="1686" spans="1:20" s="1" customFormat="1" ht="30" customHeight="1">
      <c r="A1686" s="72" t="s">
        <v>7</v>
      </c>
      <c r="B1686" s="114"/>
      <c r="C1686" s="4">
        <v>50</v>
      </c>
      <c r="D1686" s="4" t="s">
        <v>8</v>
      </c>
      <c r="E1686" s="4" t="s">
        <v>9</v>
      </c>
      <c r="F1686" s="4">
        <f>F1628+1</f>
        <v>65</v>
      </c>
      <c r="G1686" s="5" t="s">
        <v>8</v>
      </c>
      <c r="H1686" s="4" t="s">
        <v>10</v>
      </c>
      <c r="I1686" s="4">
        <f>C1686-F1686+L1686</f>
        <v>-15</v>
      </c>
      <c r="J1686" s="4" t="s">
        <v>11</v>
      </c>
      <c r="K1686" s="6" t="s">
        <v>12</v>
      </c>
      <c r="L1686" s="7">
        <f>L1628</f>
        <v>0</v>
      </c>
      <c r="M1686" s="4" t="s">
        <v>8</v>
      </c>
    </row>
    <row r="1687" spans="1:20" s="2" customFormat="1" ht="30" customHeight="1">
      <c r="A1687" s="72" t="s">
        <v>13</v>
      </c>
      <c r="B1687" s="75"/>
      <c r="C1687" s="75"/>
      <c r="D1687" s="121">
        <f>D1629</f>
        <v>45988</v>
      </c>
      <c r="E1687" s="122"/>
      <c r="F1687" s="122"/>
      <c r="G1687" s="123"/>
      <c r="H1687" s="124" t="s">
        <v>14</v>
      </c>
      <c r="I1687" s="125"/>
      <c r="J1687" s="121">
        <f>J1629</f>
        <v>46037</v>
      </c>
      <c r="K1687" s="122"/>
      <c r="L1687" s="122"/>
      <c r="M1687" s="123"/>
    </row>
    <row r="1688" spans="1:20" s="2" customFormat="1" ht="30" customHeight="1">
      <c r="A1688" s="72" t="s">
        <v>15</v>
      </c>
      <c r="B1688" s="114"/>
      <c r="C1688" s="114"/>
      <c r="D1688" s="72"/>
      <c r="E1688" s="72"/>
      <c r="F1688" s="72"/>
      <c r="G1688" s="72"/>
      <c r="H1688" s="64" t="s">
        <v>16</v>
      </c>
      <c r="I1688" s="115"/>
      <c r="J1688" s="116">
        <f>P1704</f>
        <v>0</v>
      </c>
      <c r="K1688" s="117"/>
      <c r="L1688" s="117"/>
      <c r="M1688" s="118"/>
    </row>
    <row r="1689" spans="1:20" s="2" customFormat="1" ht="30" customHeight="1">
      <c r="A1689" s="72" t="s">
        <v>17</v>
      </c>
      <c r="B1689" s="114"/>
      <c r="C1689" s="114"/>
      <c r="D1689" s="72">
        <f>D1688+D1631</f>
        <v>100.00000000000004</v>
      </c>
      <c r="E1689" s="72"/>
      <c r="F1689" s="72"/>
      <c r="G1689" s="72"/>
      <c r="H1689" s="64" t="s">
        <v>18</v>
      </c>
      <c r="I1689" s="115"/>
      <c r="J1689" s="116">
        <f>J1688+J1631</f>
        <v>25.469999999999992</v>
      </c>
      <c r="K1689" s="117"/>
      <c r="L1689" s="117"/>
      <c r="M1689" s="118"/>
    </row>
    <row r="1690" spans="1:20" s="2" customFormat="1" ht="30" customHeight="1">
      <c r="A1690" s="111" t="s">
        <v>19</v>
      </c>
      <c r="B1690" s="112"/>
      <c r="C1690" s="112"/>
      <c r="D1690" s="112"/>
      <c r="E1690" s="112"/>
      <c r="F1690" s="112"/>
      <c r="G1690" s="112"/>
      <c r="H1690" s="112"/>
      <c r="I1690" s="112"/>
      <c r="J1690" s="112"/>
      <c r="K1690" s="112"/>
      <c r="L1690" s="112"/>
      <c r="M1690" s="113"/>
    </row>
    <row r="1691" spans="1:20" s="2" customFormat="1" ht="30" customHeight="1">
      <c r="A1691" s="8" t="s">
        <v>20</v>
      </c>
      <c r="B1691" s="72" t="s">
        <v>21</v>
      </c>
      <c r="C1691" s="72"/>
      <c r="D1691" s="72"/>
      <c r="E1691" s="4" t="s">
        <v>22</v>
      </c>
      <c r="F1691" s="54" t="s">
        <v>23</v>
      </c>
      <c r="G1691" s="59"/>
      <c r="H1691" s="72" t="s">
        <v>24</v>
      </c>
      <c r="I1691" s="72"/>
      <c r="J1691" s="72" t="s">
        <v>25</v>
      </c>
      <c r="K1691" s="72"/>
      <c r="L1691" s="72" t="s">
        <v>26</v>
      </c>
      <c r="M1691" s="72"/>
      <c r="O1691" s="1" t="s">
        <v>27</v>
      </c>
      <c r="P1691" s="1" t="s">
        <v>28</v>
      </c>
      <c r="T1691" s="2" t="s">
        <v>29</v>
      </c>
    </row>
    <row r="1692" spans="1:20" s="2" customFormat="1" ht="24.95" customHeight="1">
      <c r="A1692" s="9" t="s">
        <v>30</v>
      </c>
      <c r="B1692" s="110" t="s">
        <v>31</v>
      </c>
      <c r="C1692" s="110"/>
      <c r="D1692" s="110"/>
      <c r="E1692" s="4"/>
      <c r="F1692" s="54"/>
      <c r="G1692" s="59"/>
      <c r="H1692" s="72"/>
      <c r="I1692" s="72"/>
      <c r="J1692" s="72"/>
      <c r="K1692" s="72"/>
      <c r="L1692" s="72"/>
      <c r="M1692" s="72"/>
    </row>
    <row r="1693" spans="1:20" ht="24.95" customHeight="1">
      <c r="A1693" s="10">
        <v>1</v>
      </c>
      <c r="B1693" s="66" t="s">
        <v>91</v>
      </c>
      <c r="C1693" s="67" t="s">
        <v>91</v>
      </c>
      <c r="D1693" s="68" t="s">
        <v>91</v>
      </c>
      <c r="E1693" s="4" t="s">
        <v>32</v>
      </c>
      <c r="F1693" s="69">
        <v>1</v>
      </c>
      <c r="G1693" s="70"/>
      <c r="H1693" s="69"/>
      <c r="I1693" s="70"/>
      <c r="J1693" s="71">
        <f>H1693+J1635</f>
        <v>1</v>
      </c>
      <c r="K1693" s="71"/>
      <c r="L1693" s="72"/>
      <c r="M1693" s="72"/>
      <c r="O1693" s="11">
        <v>4000</v>
      </c>
      <c r="P1693" s="11">
        <f>ROUND(H1693*O1693,0)</f>
        <v>0</v>
      </c>
      <c r="Q1693" s="12"/>
      <c r="S1693" s="11">
        <f>ROUND(J1693*O1693,0)</f>
        <v>4000</v>
      </c>
      <c r="T1693" s="13">
        <f>F1693-J1693</f>
        <v>0</v>
      </c>
    </row>
    <row r="1694" spans="1:20" ht="24.95" customHeight="1">
      <c r="A1694" s="10">
        <v>2</v>
      </c>
      <c r="B1694" s="66" t="s">
        <v>92</v>
      </c>
      <c r="C1694" s="67" t="s">
        <v>92</v>
      </c>
      <c r="D1694" s="68" t="s">
        <v>92</v>
      </c>
      <c r="E1694" s="4" t="s">
        <v>32</v>
      </c>
      <c r="F1694" s="69">
        <v>1</v>
      </c>
      <c r="G1694" s="70"/>
      <c r="H1694" s="69"/>
      <c r="I1694" s="70"/>
      <c r="J1694" s="71">
        <f t="shared" ref="J1694:J1701" si="199">H1694+J1636</f>
        <v>1</v>
      </c>
      <c r="K1694" s="71"/>
      <c r="L1694" s="72"/>
      <c r="M1694" s="72"/>
      <c r="O1694" s="11">
        <v>14334</v>
      </c>
      <c r="P1694" s="11">
        <f t="shared" ref="P1694:P1701" si="200">ROUND(H1694*O1694,0)</f>
        <v>0</v>
      </c>
      <c r="Q1694" s="12"/>
      <c r="S1694" s="11">
        <f t="shared" ref="S1694:S1701" si="201">ROUND(J1694*O1694,0)</f>
        <v>14334</v>
      </c>
      <c r="T1694" s="13">
        <f t="shared" ref="T1694:T1701" si="202">F1694-J1694</f>
        <v>0</v>
      </c>
    </row>
    <row r="1695" spans="1:20" ht="24.95" customHeight="1">
      <c r="A1695" s="10">
        <v>3</v>
      </c>
      <c r="B1695" s="66" t="s">
        <v>84</v>
      </c>
      <c r="C1695" s="67" t="s">
        <v>84</v>
      </c>
      <c r="D1695" s="68" t="s">
        <v>84</v>
      </c>
      <c r="E1695" s="4" t="s">
        <v>33</v>
      </c>
      <c r="F1695" s="69">
        <v>1</v>
      </c>
      <c r="G1695" s="70"/>
      <c r="H1695" s="69"/>
      <c r="I1695" s="70"/>
      <c r="J1695" s="71">
        <f t="shared" si="199"/>
        <v>0.5</v>
      </c>
      <c r="K1695" s="71"/>
      <c r="L1695" s="72"/>
      <c r="M1695" s="72"/>
      <c r="O1695" s="11">
        <v>7000</v>
      </c>
      <c r="P1695" s="11">
        <f t="shared" si="200"/>
        <v>0</v>
      </c>
      <c r="Q1695" s="12"/>
      <c r="S1695" s="11">
        <f t="shared" si="201"/>
        <v>3500</v>
      </c>
      <c r="T1695" s="13">
        <f t="shared" si="202"/>
        <v>0.5</v>
      </c>
    </row>
    <row r="1696" spans="1:20" ht="24.95" customHeight="1">
      <c r="A1696" s="10">
        <v>4</v>
      </c>
      <c r="B1696" s="66" t="s">
        <v>85</v>
      </c>
      <c r="C1696" s="67" t="s">
        <v>85</v>
      </c>
      <c r="D1696" s="68" t="s">
        <v>85</v>
      </c>
      <c r="E1696" s="4" t="s">
        <v>34</v>
      </c>
      <c r="F1696" s="69">
        <v>1</v>
      </c>
      <c r="G1696" s="70"/>
      <c r="H1696" s="69"/>
      <c r="I1696" s="70"/>
      <c r="J1696" s="71">
        <f t="shared" si="199"/>
        <v>1</v>
      </c>
      <c r="K1696" s="71"/>
      <c r="L1696" s="72"/>
      <c r="M1696" s="72"/>
      <c r="O1696" s="11">
        <v>74000</v>
      </c>
      <c r="P1696" s="11">
        <f t="shared" si="200"/>
        <v>0</v>
      </c>
      <c r="Q1696" s="12"/>
      <c r="S1696" s="11">
        <f t="shared" si="201"/>
        <v>74000</v>
      </c>
      <c r="T1696" s="13">
        <f t="shared" si="202"/>
        <v>0</v>
      </c>
    </row>
    <row r="1697" spans="1:20" ht="24.95" customHeight="1">
      <c r="A1697" s="10">
        <v>5</v>
      </c>
      <c r="B1697" s="66" t="s">
        <v>86</v>
      </c>
      <c r="C1697" s="67" t="s">
        <v>86</v>
      </c>
      <c r="D1697" s="68" t="s">
        <v>86</v>
      </c>
      <c r="E1697" s="4" t="s">
        <v>93</v>
      </c>
      <c r="F1697" s="69">
        <v>396</v>
      </c>
      <c r="G1697" s="70"/>
      <c r="H1697" s="69"/>
      <c r="I1697" s="70"/>
      <c r="J1697" s="71">
        <f t="shared" si="199"/>
        <v>350</v>
      </c>
      <c r="K1697" s="71"/>
      <c r="L1697" s="72"/>
      <c r="M1697" s="72"/>
      <c r="O1697" s="11">
        <v>200</v>
      </c>
      <c r="P1697" s="11">
        <f t="shared" si="200"/>
        <v>0</v>
      </c>
      <c r="Q1697" s="12"/>
      <c r="S1697" s="11">
        <f t="shared" si="201"/>
        <v>70000</v>
      </c>
      <c r="T1697" s="13">
        <f t="shared" si="202"/>
        <v>46</v>
      </c>
    </row>
    <row r="1698" spans="1:20" ht="24.95" customHeight="1">
      <c r="A1698" s="10">
        <v>6</v>
      </c>
      <c r="B1698" s="66" t="s">
        <v>97</v>
      </c>
      <c r="C1698" s="67" t="s">
        <v>87</v>
      </c>
      <c r="D1698" s="68" t="s">
        <v>87</v>
      </c>
      <c r="E1698" s="4" t="s">
        <v>35</v>
      </c>
      <c r="F1698" s="69">
        <v>80</v>
      </c>
      <c r="G1698" s="70">
        <v>183.6</v>
      </c>
      <c r="H1698" s="69"/>
      <c r="I1698" s="70"/>
      <c r="J1698" s="71">
        <f t="shared" si="199"/>
        <v>78</v>
      </c>
      <c r="K1698" s="71"/>
      <c r="L1698" s="54"/>
      <c r="M1698" s="59"/>
      <c r="O1698" s="11">
        <v>1463</v>
      </c>
      <c r="P1698" s="11">
        <f t="shared" si="200"/>
        <v>0</v>
      </c>
      <c r="S1698" s="11">
        <f t="shared" si="201"/>
        <v>114114</v>
      </c>
      <c r="T1698" s="13">
        <f t="shared" si="202"/>
        <v>2</v>
      </c>
    </row>
    <row r="1699" spans="1:20" ht="24.95" customHeight="1">
      <c r="A1699" s="10">
        <v>7</v>
      </c>
      <c r="B1699" s="66" t="s">
        <v>88</v>
      </c>
      <c r="C1699" s="67" t="s">
        <v>88</v>
      </c>
      <c r="D1699" s="68" t="s">
        <v>88</v>
      </c>
      <c r="E1699" s="4" t="s">
        <v>94</v>
      </c>
      <c r="F1699" s="69">
        <v>126</v>
      </c>
      <c r="G1699" s="70">
        <v>19</v>
      </c>
      <c r="H1699" s="69"/>
      <c r="I1699" s="70"/>
      <c r="J1699" s="71">
        <f t="shared" si="199"/>
        <v>0</v>
      </c>
      <c r="K1699" s="71"/>
      <c r="L1699" s="54"/>
      <c r="M1699" s="59"/>
      <c r="O1699" s="11">
        <v>6350</v>
      </c>
      <c r="P1699" s="11">
        <f t="shared" si="200"/>
        <v>0</v>
      </c>
      <c r="S1699" s="11">
        <f t="shared" si="201"/>
        <v>0</v>
      </c>
      <c r="T1699" s="13">
        <f t="shared" si="202"/>
        <v>126</v>
      </c>
    </row>
    <row r="1700" spans="1:20" ht="24.95" customHeight="1">
      <c r="A1700" s="10">
        <v>8</v>
      </c>
      <c r="B1700" s="66" t="s">
        <v>89</v>
      </c>
      <c r="C1700" s="67" t="s">
        <v>89</v>
      </c>
      <c r="D1700" s="68" t="s">
        <v>89</v>
      </c>
      <c r="E1700" s="4" t="s">
        <v>95</v>
      </c>
      <c r="F1700" s="69">
        <v>1</v>
      </c>
      <c r="G1700" s="70">
        <v>1192</v>
      </c>
      <c r="H1700" s="69"/>
      <c r="I1700" s="70"/>
      <c r="J1700" s="71">
        <f t="shared" si="199"/>
        <v>0.3</v>
      </c>
      <c r="K1700" s="71"/>
      <c r="L1700" s="54"/>
      <c r="M1700" s="59"/>
      <c r="O1700" s="11">
        <v>47600</v>
      </c>
      <c r="P1700" s="11">
        <f t="shared" si="200"/>
        <v>0</v>
      </c>
      <c r="S1700" s="11">
        <f t="shared" si="201"/>
        <v>14280</v>
      </c>
      <c r="T1700" s="13">
        <f t="shared" si="202"/>
        <v>0.7</v>
      </c>
    </row>
    <row r="1701" spans="1:20" ht="24.95" customHeight="1">
      <c r="A1701" s="10">
        <v>9</v>
      </c>
      <c r="B1701" s="66" t="s">
        <v>90</v>
      </c>
      <c r="C1701" s="67" t="s">
        <v>90</v>
      </c>
      <c r="D1701" s="68" t="s">
        <v>90</v>
      </c>
      <c r="E1701" s="4" t="s">
        <v>96</v>
      </c>
      <c r="F1701" s="69">
        <v>1</v>
      </c>
      <c r="G1701" s="70">
        <v>1261</v>
      </c>
      <c r="H1701" s="69"/>
      <c r="I1701" s="70"/>
      <c r="J1701" s="71">
        <f t="shared" si="199"/>
        <v>0</v>
      </c>
      <c r="K1701" s="71"/>
      <c r="L1701" s="54"/>
      <c r="M1701" s="59"/>
      <c r="O1701" s="11">
        <v>10000</v>
      </c>
      <c r="P1701" s="11">
        <f t="shared" si="200"/>
        <v>0</v>
      </c>
      <c r="S1701" s="11">
        <f t="shared" si="201"/>
        <v>0</v>
      </c>
      <c r="T1701" s="13">
        <f t="shared" si="202"/>
        <v>1</v>
      </c>
    </row>
    <row r="1702" spans="1:20" ht="24.95" customHeight="1">
      <c r="A1702" s="14"/>
      <c r="B1702" s="15"/>
      <c r="C1702" s="16"/>
      <c r="D1702" s="17"/>
      <c r="E1702" s="4"/>
      <c r="F1702" s="18"/>
      <c r="G1702" s="19"/>
      <c r="H1702" s="105"/>
      <c r="I1702" s="106"/>
      <c r="J1702" s="105"/>
      <c r="K1702" s="106"/>
      <c r="L1702" s="54"/>
      <c r="M1702" s="59"/>
      <c r="N1702" s="20"/>
      <c r="P1702" s="21" t="s">
        <v>37</v>
      </c>
      <c r="Q1702" s="22">
        <f>SUM(P1693:P1701)</f>
        <v>0</v>
      </c>
      <c r="R1702" s="23"/>
      <c r="S1702" s="24">
        <f>SUM(S1693:S1701)</f>
        <v>294228</v>
      </c>
      <c r="T1702" s="13"/>
    </row>
    <row r="1703" spans="1:20" ht="24.95" customHeight="1">
      <c r="A1703" s="107"/>
      <c r="B1703" s="108"/>
      <c r="C1703" s="108"/>
      <c r="D1703" s="109"/>
      <c r="E1703" s="4"/>
      <c r="F1703" s="54"/>
      <c r="G1703" s="59"/>
      <c r="H1703" s="72"/>
      <c r="I1703" s="72"/>
      <c r="J1703" s="72"/>
      <c r="K1703" s="72"/>
      <c r="L1703" s="72"/>
      <c r="M1703" s="72"/>
      <c r="O1703" t="s">
        <v>38</v>
      </c>
      <c r="P1703" s="24">
        <f>Q1702</f>
        <v>0</v>
      </c>
      <c r="T1703" s="13"/>
    </row>
    <row r="1704" spans="1:20" ht="24.95" customHeight="1">
      <c r="A1704" s="97"/>
      <c r="B1704" s="98"/>
      <c r="C1704" s="98"/>
      <c r="D1704" s="99"/>
      <c r="E1704" s="4"/>
      <c r="F1704" s="54"/>
      <c r="G1704" s="59"/>
      <c r="H1704" s="72"/>
      <c r="I1704" s="72"/>
      <c r="J1704" s="72"/>
      <c r="K1704" s="72"/>
      <c r="L1704" s="72"/>
      <c r="M1704" s="72"/>
      <c r="O1704" t="s">
        <v>39</v>
      </c>
      <c r="P1704" s="23">
        <f>ROUND(P1703/1153274,4)*100</f>
        <v>0</v>
      </c>
      <c r="T1704" s="13"/>
    </row>
    <row r="1705" spans="1:20" ht="24.95" customHeight="1">
      <c r="A1705" s="25"/>
      <c r="B1705" s="63" t="s">
        <v>40</v>
      </c>
      <c r="C1705" s="63"/>
      <c r="D1705" s="59"/>
      <c r="E1705" s="26"/>
      <c r="F1705" s="100"/>
      <c r="G1705" s="101"/>
      <c r="H1705" s="100"/>
      <c r="I1705" s="101"/>
      <c r="J1705" s="102"/>
      <c r="K1705" s="102"/>
      <c r="L1705" s="103">
        <f>P1703</f>
        <v>0</v>
      </c>
      <c r="M1705" s="104"/>
      <c r="T1705" s="13"/>
    </row>
    <row r="1706" spans="1:20" ht="24.95" customHeight="1" thickBot="1">
      <c r="A1706" s="27"/>
      <c r="B1706" s="85" t="s">
        <v>41</v>
      </c>
      <c r="C1706" s="85"/>
      <c r="D1706" s="86"/>
      <c r="E1706" s="28"/>
      <c r="F1706" s="87"/>
      <c r="G1706" s="88"/>
      <c r="H1706" s="87"/>
      <c r="I1706" s="88"/>
      <c r="J1706" s="87"/>
      <c r="K1706" s="88"/>
      <c r="L1706" s="89">
        <f>L1705+L1648</f>
        <v>294228</v>
      </c>
      <c r="M1706" s="90"/>
      <c r="T1706" s="13"/>
    </row>
    <row r="1707" spans="1:20" ht="24.95" customHeight="1">
      <c r="A1707" s="29"/>
      <c r="B1707" s="91" t="s">
        <v>42</v>
      </c>
      <c r="C1707" s="91"/>
      <c r="D1707" s="92"/>
      <c r="E1707" s="30"/>
      <c r="F1707" s="93"/>
      <c r="G1707" s="94"/>
      <c r="H1707" s="95"/>
      <c r="I1707" s="95"/>
      <c r="J1707" s="95"/>
      <c r="K1707" s="95"/>
      <c r="L1707" s="95"/>
      <c r="M1707" s="96"/>
      <c r="T1707" s="13"/>
    </row>
    <row r="1708" spans="1:20" ht="24.95" customHeight="1">
      <c r="A1708" s="31"/>
      <c r="B1708" s="76" t="s">
        <v>43</v>
      </c>
      <c r="C1708" s="76"/>
      <c r="D1708" s="77"/>
      <c r="E1708" s="4"/>
      <c r="F1708" s="54"/>
      <c r="G1708" s="59"/>
      <c r="H1708" s="72"/>
      <c r="I1708" s="72"/>
      <c r="J1708" s="72"/>
      <c r="K1708" s="72"/>
      <c r="L1708" s="72"/>
      <c r="M1708" s="78"/>
      <c r="T1708" s="13"/>
    </row>
    <row r="1709" spans="1:20" ht="24.95" customHeight="1" thickBot="1">
      <c r="A1709" s="32"/>
      <c r="B1709" s="79" t="s">
        <v>44</v>
      </c>
      <c r="C1709" s="79"/>
      <c r="D1709" s="80"/>
      <c r="E1709" s="33"/>
      <c r="F1709" s="81"/>
      <c r="G1709" s="82"/>
      <c r="H1709" s="83"/>
      <c r="I1709" s="83"/>
      <c r="J1709" s="83"/>
      <c r="K1709" s="83"/>
      <c r="L1709" s="83"/>
      <c r="M1709" s="84"/>
      <c r="T1709" s="13"/>
    </row>
    <row r="1710" spans="1:20" ht="24.95" customHeight="1">
      <c r="A1710" s="73" t="s">
        <v>45</v>
      </c>
      <c r="B1710" s="74"/>
      <c r="C1710" s="74"/>
      <c r="D1710" s="74"/>
      <c r="E1710" s="74"/>
      <c r="F1710" s="74"/>
      <c r="G1710" s="74"/>
      <c r="H1710" s="74"/>
      <c r="I1710" s="74"/>
      <c r="J1710" s="74"/>
      <c r="K1710" s="74"/>
      <c r="L1710" s="74"/>
      <c r="M1710" s="74"/>
      <c r="T1710" s="13"/>
    </row>
    <row r="1711" spans="1:20" ht="24.95" customHeight="1">
      <c r="A1711" s="72" t="s">
        <v>46</v>
      </c>
      <c r="B1711" s="75"/>
      <c r="C1711" s="75"/>
      <c r="D1711" s="75"/>
      <c r="E1711" s="4" t="s">
        <v>22</v>
      </c>
      <c r="F1711" s="72" t="s">
        <v>47</v>
      </c>
      <c r="G1711" s="72"/>
      <c r="H1711" s="72" t="s">
        <v>48</v>
      </c>
      <c r="I1711" s="72"/>
      <c r="J1711" s="72" t="s">
        <v>49</v>
      </c>
      <c r="K1711" s="72"/>
      <c r="L1711" s="72" t="s">
        <v>50</v>
      </c>
      <c r="M1711" s="72"/>
      <c r="T1711" s="13"/>
    </row>
    <row r="1712" spans="1:20" ht="24.95" customHeight="1">
      <c r="A1712" s="10">
        <v>6</v>
      </c>
      <c r="B1712" s="66" t="s">
        <v>97</v>
      </c>
      <c r="C1712" s="67" t="s">
        <v>51</v>
      </c>
      <c r="D1712" s="68" t="s">
        <v>51</v>
      </c>
      <c r="E1712" s="4" t="s">
        <v>35</v>
      </c>
      <c r="F1712" s="69">
        <v>80</v>
      </c>
      <c r="G1712" s="70">
        <v>1261</v>
      </c>
      <c r="H1712" s="71">
        <f>H1698</f>
        <v>0</v>
      </c>
      <c r="I1712" s="71"/>
      <c r="J1712" s="71">
        <f>H1712+J1654</f>
        <v>78</v>
      </c>
      <c r="K1712" s="71"/>
      <c r="L1712" s="72"/>
      <c r="M1712" s="72"/>
      <c r="T1712" s="13"/>
    </row>
    <row r="1713" spans="1:20" ht="24.95" customHeight="1">
      <c r="A1713" s="10">
        <v>7</v>
      </c>
      <c r="B1713" s="66" t="s">
        <v>88</v>
      </c>
      <c r="C1713" s="67" t="s">
        <v>88</v>
      </c>
      <c r="D1713" s="68" t="s">
        <v>88</v>
      </c>
      <c r="E1713" s="4" t="s">
        <v>98</v>
      </c>
      <c r="F1713" s="69">
        <v>126</v>
      </c>
      <c r="G1713" s="70"/>
      <c r="H1713" s="71">
        <f>H1699</f>
        <v>0</v>
      </c>
      <c r="I1713" s="71"/>
      <c r="J1713" s="71">
        <f t="shared" ref="J1713:J1714" si="203">H1713+J1655</f>
        <v>0</v>
      </c>
      <c r="K1713" s="71"/>
      <c r="L1713" s="72"/>
      <c r="M1713" s="72"/>
      <c r="T1713" s="13"/>
    </row>
    <row r="1714" spans="1:20" ht="24.95" customHeight="1">
      <c r="A1714" s="10">
        <v>8</v>
      </c>
      <c r="B1714" s="66" t="s">
        <v>89</v>
      </c>
      <c r="C1714" s="67" t="s">
        <v>89</v>
      </c>
      <c r="D1714" s="68" t="s">
        <v>89</v>
      </c>
      <c r="E1714" s="4" t="s">
        <v>36</v>
      </c>
      <c r="F1714" s="69">
        <v>1</v>
      </c>
      <c r="G1714" s="70"/>
      <c r="H1714" s="71">
        <f>H1700</f>
        <v>0</v>
      </c>
      <c r="I1714" s="71"/>
      <c r="J1714" s="71">
        <f t="shared" si="203"/>
        <v>0.3</v>
      </c>
      <c r="K1714" s="71"/>
      <c r="L1714" s="72"/>
      <c r="M1714" s="72"/>
      <c r="T1714" s="13"/>
    </row>
    <row r="1715" spans="1:20" ht="24.95" customHeight="1">
      <c r="A1715" s="51" t="s">
        <v>52</v>
      </c>
      <c r="B1715" s="52"/>
      <c r="C1715" s="52"/>
      <c r="D1715" s="52"/>
      <c r="E1715" s="52"/>
      <c r="F1715" s="52"/>
      <c r="G1715" s="52"/>
      <c r="H1715" s="52"/>
      <c r="I1715" s="52"/>
      <c r="J1715" s="52"/>
      <c r="K1715" s="52"/>
      <c r="L1715" s="52"/>
      <c r="M1715" s="53"/>
      <c r="T1715" s="13"/>
    </row>
    <row r="1716" spans="1:20" ht="24.95" customHeight="1">
      <c r="A1716" s="54" t="s">
        <v>53</v>
      </c>
      <c r="B1716" s="63"/>
      <c r="C1716" s="63"/>
      <c r="D1716" s="59"/>
      <c r="E1716" s="4" t="s">
        <v>54</v>
      </c>
      <c r="F1716" s="54" t="s">
        <v>55</v>
      </c>
      <c r="G1716" s="59"/>
      <c r="H1716" s="54" t="s">
        <v>56</v>
      </c>
      <c r="I1716" s="59"/>
      <c r="J1716" s="54" t="s">
        <v>48</v>
      </c>
      <c r="K1716" s="59"/>
      <c r="L1716" s="64" t="s">
        <v>49</v>
      </c>
      <c r="M1716" s="65"/>
      <c r="T1716" s="13"/>
    </row>
    <row r="1717" spans="1:20" ht="24.95" customHeight="1">
      <c r="A1717" s="54" t="s">
        <v>57</v>
      </c>
      <c r="B1717" s="55"/>
      <c r="C1717" s="55"/>
      <c r="D1717" s="56"/>
      <c r="E1717" s="4"/>
      <c r="F1717" s="57">
        <f>E1717+F1659</f>
        <v>28</v>
      </c>
      <c r="G1717" s="58"/>
      <c r="H1717" s="54" t="s">
        <v>58</v>
      </c>
      <c r="I1717" s="59"/>
      <c r="J1717" s="54"/>
      <c r="K1717" s="59"/>
      <c r="L1717" s="57">
        <f>J1717+L1659</f>
        <v>15</v>
      </c>
      <c r="M1717" s="58"/>
      <c r="T1717" s="13"/>
    </row>
    <row r="1718" spans="1:20" ht="24.95" customHeight="1">
      <c r="A1718" s="54" t="s">
        <v>59</v>
      </c>
      <c r="B1718" s="55"/>
      <c r="C1718" s="55"/>
      <c r="D1718" s="56"/>
      <c r="E1718" s="4"/>
      <c r="F1718" s="57">
        <f t="shared" ref="F1718:F1720" si="204">E1718+F1660</f>
        <v>0</v>
      </c>
      <c r="G1718" s="58"/>
      <c r="H1718" s="54" t="s">
        <v>60</v>
      </c>
      <c r="I1718" s="59"/>
      <c r="J1718" s="54"/>
      <c r="K1718" s="59"/>
      <c r="L1718" s="57">
        <f t="shared" ref="L1718:L1720" si="205">J1718+L1660</f>
        <v>0</v>
      </c>
      <c r="M1718" s="58"/>
      <c r="T1718" s="13"/>
    </row>
    <row r="1719" spans="1:20" ht="24.95" customHeight="1">
      <c r="A1719" s="54" t="s">
        <v>61</v>
      </c>
      <c r="B1719" s="55"/>
      <c r="C1719" s="55"/>
      <c r="D1719" s="56"/>
      <c r="E1719" s="4"/>
      <c r="F1719" s="57">
        <f t="shared" si="204"/>
        <v>2</v>
      </c>
      <c r="G1719" s="58"/>
      <c r="H1719" s="54" t="s">
        <v>62</v>
      </c>
      <c r="I1719" s="59"/>
      <c r="J1719" s="54"/>
      <c r="K1719" s="59"/>
      <c r="L1719" s="57">
        <f t="shared" si="205"/>
        <v>5</v>
      </c>
      <c r="M1719" s="58"/>
      <c r="T1719" s="13"/>
    </row>
    <row r="1720" spans="1:20" ht="24.95" customHeight="1">
      <c r="A1720" s="54" t="s">
        <v>63</v>
      </c>
      <c r="B1720" s="55"/>
      <c r="C1720" s="55"/>
      <c r="D1720" s="56"/>
      <c r="E1720" s="4"/>
      <c r="F1720" s="57">
        <f t="shared" si="204"/>
        <v>4</v>
      </c>
      <c r="G1720" s="58"/>
      <c r="H1720" s="54" t="s">
        <v>64</v>
      </c>
      <c r="I1720" s="59"/>
      <c r="J1720" s="54"/>
      <c r="K1720" s="59"/>
      <c r="L1720" s="57">
        <f t="shared" si="205"/>
        <v>1</v>
      </c>
      <c r="M1720" s="58"/>
      <c r="T1720" s="13"/>
    </row>
    <row r="1721" spans="1:20" ht="64.5" customHeight="1">
      <c r="A1721" s="60" t="s">
        <v>65</v>
      </c>
      <c r="B1721" s="61"/>
      <c r="C1721" s="61"/>
      <c r="D1721" s="61"/>
      <c r="E1721" s="61"/>
      <c r="F1721" s="61"/>
      <c r="G1721" s="61"/>
      <c r="H1721" s="61"/>
      <c r="I1721" s="61"/>
      <c r="J1721" s="61"/>
      <c r="K1721" s="61"/>
      <c r="L1721" s="61"/>
      <c r="M1721" s="62"/>
      <c r="T1721" s="13"/>
    </row>
    <row r="1722" spans="1:20" ht="24.95" customHeight="1">
      <c r="A1722" s="46" t="s">
        <v>66</v>
      </c>
      <c r="B1722" s="47"/>
      <c r="C1722" s="47"/>
      <c r="D1722" s="47"/>
      <c r="E1722" s="47"/>
      <c r="F1722" s="47"/>
      <c r="G1722" s="47"/>
      <c r="H1722" s="47"/>
      <c r="I1722" s="47"/>
      <c r="J1722" s="47"/>
      <c r="K1722" s="47"/>
      <c r="L1722" s="47"/>
      <c r="M1722" s="48"/>
      <c r="T1722" s="13"/>
    </row>
    <row r="1723" spans="1:20" ht="24.95" customHeight="1">
      <c r="A1723" s="27"/>
      <c r="B1723" s="34" t="s">
        <v>67</v>
      </c>
      <c r="C1723" s="34"/>
      <c r="D1723" s="34"/>
      <c r="E1723" s="34"/>
      <c r="F1723" s="34"/>
      <c r="G1723" s="35"/>
      <c r="H1723" s="34"/>
      <c r="I1723" s="34"/>
      <c r="J1723" s="34"/>
      <c r="K1723" s="34"/>
      <c r="L1723" s="34"/>
      <c r="M1723" s="36"/>
      <c r="T1723" s="13"/>
    </row>
    <row r="1724" spans="1:20" ht="24.95" customHeight="1">
      <c r="A1724" s="27"/>
      <c r="B1724" s="34" t="s">
        <v>81</v>
      </c>
      <c r="C1724" s="34"/>
      <c r="D1724" s="34"/>
      <c r="E1724" s="34"/>
      <c r="F1724" s="34"/>
      <c r="G1724" s="35"/>
      <c r="H1724" s="34"/>
      <c r="I1724" s="34"/>
      <c r="J1724" s="34"/>
      <c r="K1724" s="34"/>
      <c r="L1724" s="34"/>
      <c r="M1724" s="36"/>
      <c r="T1724" s="13"/>
    </row>
    <row r="1725" spans="1:20" ht="24.95" customHeight="1">
      <c r="A1725" s="27"/>
      <c r="B1725" s="34" t="s">
        <v>68</v>
      </c>
      <c r="C1725" s="34"/>
      <c r="D1725" s="34"/>
      <c r="E1725" s="34"/>
      <c r="F1725" s="34"/>
      <c r="G1725" s="35"/>
      <c r="H1725" s="34"/>
      <c r="I1725" s="34"/>
      <c r="J1725" s="34"/>
      <c r="K1725" s="34"/>
      <c r="L1725" s="34"/>
      <c r="M1725" s="36"/>
      <c r="T1725" s="13"/>
    </row>
    <row r="1726" spans="1:20" ht="24.95" customHeight="1">
      <c r="A1726" s="27"/>
      <c r="B1726" s="34" t="s">
        <v>82</v>
      </c>
      <c r="C1726" s="34"/>
      <c r="D1726" s="34"/>
      <c r="E1726" s="34"/>
      <c r="F1726" s="34"/>
      <c r="G1726" s="35"/>
      <c r="H1726" s="34"/>
      <c r="I1726" s="34"/>
      <c r="J1726" s="34"/>
      <c r="K1726" s="34"/>
      <c r="L1726" s="34"/>
      <c r="M1726" s="36"/>
      <c r="T1726" s="13"/>
    </row>
    <row r="1727" spans="1:20" ht="24.95" customHeight="1">
      <c r="A1727" s="27"/>
      <c r="B1727" s="34" t="s">
        <v>99</v>
      </c>
      <c r="C1727" s="34"/>
      <c r="D1727" s="34"/>
      <c r="E1727" s="34"/>
      <c r="F1727" s="34"/>
      <c r="G1727" s="35"/>
      <c r="H1727" s="34"/>
      <c r="I1727" s="34"/>
      <c r="J1727" s="34"/>
      <c r="K1727" s="34"/>
      <c r="L1727" s="34"/>
      <c r="M1727" s="36"/>
      <c r="T1727" s="13"/>
    </row>
    <row r="1728" spans="1:20" ht="24.95" customHeight="1">
      <c r="A1728" s="37"/>
      <c r="B1728" s="49" t="s">
        <v>69</v>
      </c>
      <c r="C1728" s="49"/>
      <c r="D1728" s="49"/>
      <c r="E1728" s="49"/>
      <c r="F1728" s="49"/>
      <c r="G1728" s="49"/>
      <c r="H1728" s="49"/>
      <c r="I1728" s="49"/>
      <c r="J1728" s="49"/>
      <c r="K1728" s="49"/>
      <c r="L1728" s="49"/>
      <c r="M1728" s="50"/>
      <c r="T1728" s="13"/>
    </row>
    <row r="1729" spans="1:20" ht="44.25" customHeight="1">
      <c r="A1729" s="51" t="s">
        <v>70</v>
      </c>
      <c r="B1729" s="52"/>
      <c r="C1729" s="52"/>
      <c r="D1729" s="52"/>
      <c r="E1729" s="52"/>
      <c r="F1729" s="52"/>
      <c r="G1729" s="52"/>
      <c r="H1729" s="52"/>
      <c r="I1729" s="52"/>
      <c r="J1729" s="52"/>
      <c r="K1729" s="52"/>
      <c r="L1729" s="52"/>
      <c r="M1729" s="53"/>
      <c r="T1729" s="13"/>
    </row>
    <row r="1730" spans="1:20" ht="48" customHeight="1">
      <c r="A1730" s="51" t="s">
        <v>71</v>
      </c>
      <c r="B1730" s="52"/>
      <c r="C1730" s="52"/>
      <c r="D1730" s="52"/>
      <c r="E1730" s="52"/>
      <c r="F1730" s="52"/>
      <c r="G1730" s="52"/>
      <c r="H1730" s="52"/>
      <c r="I1730" s="52"/>
      <c r="J1730" s="52"/>
      <c r="K1730" s="52"/>
      <c r="L1730" s="52"/>
      <c r="M1730" s="53"/>
      <c r="T1730" s="13"/>
    </row>
    <row r="1731" spans="1:20" ht="81" customHeight="1">
      <c r="A1731" s="51" t="s">
        <v>80</v>
      </c>
      <c r="B1731" s="52"/>
      <c r="C1731" s="52"/>
      <c r="D1731" s="52"/>
      <c r="E1731" s="52"/>
      <c r="F1731" s="52"/>
      <c r="G1731" s="52"/>
      <c r="H1731" s="52"/>
      <c r="I1731" s="52"/>
      <c r="J1731" s="52"/>
      <c r="K1731" s="52"/>
      <c r="L1731" s="52"/>
      <c r="M1731" s="53"/>
      <c r="T1731" s="13"/>
    </row>
    <row r="1732" spans="1:20" ht="100.5" customHeight="1">
      <c r="A1732" s="51" t="s">
        <v>72</v>
      </c>
      <c r="B1732" s="52"/>
      <c r="C1732" s="52"/>
      <c r="D1732" s="52"/>
      <c r="E1732" s="52"/>
      <c r="F1732" s="52"/>
      <c r="G1732" s="52"/>
      <c r="H1732" s="52"/>
      <c r="I1732" s="52"/>
      <c r="J1732" s="52"/>
      <c r="K1732" s="52"/>
      <c r="L1732" s="52"/>
      <c r="M1732" s="53"/>
      <c r="T1732" s="13"/>
    </row>
    <row r="1733" spans="1:20" ht="12" customHeight="1">
      <c r="A1733" s="41" t="s">
        <v>73</v>
      </c>
      <c r="B1733" s="41"/>
      <c r="C1733" s="42"/>
      <c r="D1733" s="42"/>
      <c r="E1733" s="42"/>
      <c r="F1733" s="42"/>
      <c r="G1733" s="42"/>
      <c r="H1733" s="42"/>
      <c r="I1733" s="42"/>
      <c r="J1733" s="42"/>
      <c r="K1733" s="42"/>
      <c r="L1733" s="42"/>
      <c r="M1733" s="38"/>
      <c r="T1733" s="13"/>
    </row>
    <row r="1734" spans="1:20" ht="12" customHeight="1">
      <c r="A1734" s="43" t="s">
        <v>74</v>
      </c>
      <c r="B1734" s="43"/>
      <c r="C1734" s="40"/>
      <c r="D1734" s="40"/>
      <c r="E1734" s="40"/>
      <c r="F1734" s="40"/>
      <c r="G1734" s="40"/>
      <c r="H1734" s="40"/>
      <c r="I1734" s="40"/>
      <c r="J1734" s="40"/>
      <c r="K1734" s="40"/>
      <c r="L1734" s="38"/>
      <c r="M1734" s="38"/>
      <c r="T1734" s="13"/>
    </row>
    <row r="1735" spans="1:20" ht="12" customHeight="1">
      <c r="A1735" s="44" t="s">
        <v>75</v>
      </c>
      <c r="B1735" s="44"/>
      <c r="C1735" s="44"/>
      <c r="D1735" s="44"/>
      <c r="E1735" s="44"/>
      <c r="F1735" s="44"/>
      <c r="G1735" s="44"/>
      <c r="H1735" s="44"/>
      <c r="I1735" s="44"/>
      <c r="J1735" s="44"/>
      <c r="K1735" s="44"/>
      <c r="L1735" s="44"/>
      <c r="M1735" s="44"/>
      <c r="T1735" s="13"/>
    </row>
    <row r="1736" spans="1:20" ht="12" customHeight="1">
      <c r="A1736" s="39" t="s">
        <v>76</v>
      </c>
      <c r="B1736" s="39"/>
      <c r="C1736" s="39"/>
      <c r="D1736" s="39"/>
      <c r="E1736" s="39"/>
      <c r="F1736" s="39"/>
      <c r="G1736" s="39"/>
      <c r="H1736" s="39"/>
      <c r="I1736" s="39"/>
      <c r="J1736" s="39"/>
      <c r="K1736" s="39"/>
      <c r="L1736" s="39"/>
      <c r="M1736" s="39"/>
      <c r="T1736" s="13"/>
    </row>
    <row r="1737" spans="1:20" ht="12" customHeight="1">
      <c r="A1737" s="39" t="s">
        <v>77</v>
      </c>
      <c r="B1737" s="40"/>
      <c r="C1737" s="40"/>
      <c r="D1737" s="40"/>
      <c r="E1737" s="40"/>
      <c r="F1737" s="40"/>
      <c r="G1737" s="40"/>
      <c r="H1737" s="40"/>
      <c r="I1737" s="40"/>
      <c r="J1737" s="40"/>
      <c r="K1737" s="40"/>
      <c r="L1737" s="40"/>
      <c r="M1737" s="40"/>
      <c r="T1737" s="13"/>
    </row>
    <row r="1738" spans="1:20" ht="12" customHeight="1">
      <c r="A1738" s="45" t="s">
        <v>78</v>
      </c>
      <c r="B1738" s="40"/>
      <c r="C1738" s="40"/>
      <c r="D1738" s="40"/>
      <c r="E1738" s="40"/>
      <c r="F1738" s="40"/>
      <c r="G1738" s="40"/>
      <c r="H1738" s="40"/>
      <c r="I1738" s="40"/>
      <c r="J1738" s="40"/>
      <c r="K1738" s="40"/>
      <c r="L1738" s="40"/>
      <c r="M1738" s="40"/>
      <c r="T1738" s="13"/>
    </row>
    <row r="1739" spans="1:20" ht="12" customHeight="1">
      <c r="A1739" s="39" t="s">
        <v>79</v>
      </c>
      <c r="B1739" s="40"/>
      <c r="C1739" s="40"/>
      <c r="D1739" s="40"/>
      <c r="E1739" s="40"/>
      <c r="F1739" s="40"/>
      <c r="G1739" s="40"/>
      <c r="H1739" s="40"/>
      <c r="I1739" s="40"/>
      <c r="J1739" s="40"/>
      <c r="K1739" s="40"/>
      <c r="L1739" s="40"/>
      <c r="M1739" s="40"/>
      <c r="T1739" s="13"/>
    </row>
    <row r="1740" spans="1:20" ht="409.5" customHeight="1"/>
    <row r="1741" spans="1:20" s="2" customFormat="1" ht="35.1" customHeight="1">
      <c r="A1741" s="126" t="s">
        <v>0</v>
      </c>
      <c r="B1741" s="126"/>
      <c r="C1741" s="1">
        <f>C1683+1</f>
        <v>66</v>
      </c>
      <c r="G1741" s="3"/>
    </row>
    <row r="1742" spans="1:20" s="2" customFormat="1" ht="35.1" customHeight="1">
      <c r="A1742" s="126" t="s">
        <v>1</v>
      </c>
      <c r="B1742" s="126"/>
      <c r="C1742" s="2" t="s">
        <v>2</v>
      </c>
      <c r="E1742" s="2" t="s">
        <v>3</v>
      </c>
      <c r="G1742" s="3"/>
      <c r="H1742" s="127" t="s">
        <v>4</v>
      </c>
      <c r="I1742" s="128"/>
      <c r="J1742" s="129">
        <f>J1684+1</f>
        <v>46053</v>
      </c>
      <c r="K1742" s="130"/>
      <c r="L1742" s="131">
        <f>J1742</f>
        <v>46053</v>
      </c>
      <c r="M1742" s="132"/>
    </row>
    <row r="1743" spans="1:20" s="2" customFormat="1" ht="30" customHeight="1">
      <c r="A1743" s="72" t="s">
        <v>5</v>
      </c>
      <c r="B1743" s="114"/>
      <c r="C1743" s="119" t="s">
        <v>83</v>
      </c>
      <c r="D1743" s="119"/>
      <c r="E1743" s="119"/>
      <c r="F1743" s="119"/>
      <c r="G1743" s="119"/>
      <c r="H1743" s="54" t="s">
        <v>6</v>
      </c>
      <c r="I1743" s="59"/>
      <c r="J1743" s="120"/>
      <c r="K1743" s="120"/>
      <c r="L1743" s="120"/>
      <c r="M1743" s="120"/>
    </row>
    <row r="1744" spans="1:20" s="1" customFormat="1" ht="30" customHeight="1">
      <c r="A1744" s="72" t="s">
        <v>7</v>
      </c>
      <c r="B1744" s="114"/>
      <c r="C1744" s="4">
        <v>50</v>
      </c>
      <c r="D1744" s="4" t="s">
        <v>8</v>
      </c>
      <c r="E1744" s="4" t="s">
        <v>9</v>
      </c>
      <c r="F1744" s="4">
        <f>F1686+1</f>
        <v>66</v>
      </c>
      <c r="G1744" s="5" t="s">
        <v>8</v>
      </c>
      <c r="H1744" s="4" t="s">
        <v>10</v>
      </c>
      <c r="I1744" s="4">
        <f>C1744-F1744+L1744</f>
        <v>-16</v>
      </c>
      <c r="J1744" s="4" t="s">
        <v>11</v>
      </c>
      <c r="K1744" s="6" t="s">
        <v>12</v>
      </c>
      <c r="L1744" s="7">
        <f>L1686</f>
        <v>0</v>
      </c>
      <c r="M1744" s="4" t="s">
        <v>8</v>
      </c>
    </row>
    <row r="1745" spans="1:20" s="2" customFormat="1" ht="30" customHeight="1">
      <c r="A1745" s="72" t="s">
        <v>13</v>
      </c>
      <c r="B1745" s="75"/>
      <c r="C1745" s="75"/>
      <c r="D1745" s="121">
        <f>D1687</f>
        <v>45988</v>
      </c>
      <c r="E1745" s="122"/>
      <c r="F1745" s="122"/>
      <c r="G1745" s="123"/>
      <c r="H1745" s="124" t="s">
        <v>14</v>
      </c>
      <c r="I1745" s="125"/>
      <c r="J1745" s="121">
        <f>J1687</f>
        <v>46037</v>
      </c>
      <c r="K1745" s="122"/>
      <c r="L1745" s="122"/>
      <c r="M1745" s="123"/>
    </row>
    <row r="1746" spans="1:20" s="2" customFormat="1" ht="30" customHeight="1">
      <c r="A1746" s="72" t="s">
        <v>15</v>
      </c>
      <c r="B1746" s="114"/>
      <c r="C1746" s="114"/>
      <c r="D1746" s="72"/>
      <c r="E1746" s="72"/>
      <c r="F1746" s="72"/>
      <c r="G1746" s="72"/>
      <c r="H1746" s="64" t="s">
        <v>16</v>
      </c>
      <c r="I1746" s="115"/>
      <c r="J1746" s="116">
        <f>P1762</f>
        <v>0</v>
      </c>
      <c r="K1746" s="117"/>
      <c r="L1746" s="117"/>
      <c r="M1746" s="118"/>
    </row>
    <row r="1747" spans="1:20" s="2" customFormat="1" ht="30" customHeight="1">
      <c r="A1747" s="72" t="s">
        <v>17</v>
      </c>
      <c r="B1747" s="114"/>
      <c r="C1747" s="114"/>
      <c r="D1747" s="72">
        <f>D1746+D1689</f>
        <v>100.00000000000004</v>
      </c>
      <c r="E1747" s="72"/>
      <c r="F1747" s="72"/>
      <c r="G1747" s="72"/>
      <c r="H1747" s="64" t="s">
        <v>18</v>
      </c>
      <c r="I1747" s="115"/>
      <c r="J1747" s="116">
        <f>J1746+J1688</f>
        <v>0</v>
      </c>
      <c r="K1747" s="117"/>
      <c r="L1747" s="117"/>
      <c r="M1747" s="118"/>
    </row>
    <row r="1748" spans="1:20" s="2" customFormat="1" ht="30" customHeight="1">
      <c r="A1748" s="111" t="s">
        <v>19</v>
      </c>
      <c r="B1748" s="112"/>
      <c r="C1748" s="112"/>
      <c r="D1748" s="112"/>
      <c r="E1748" s="112"/>
      <c r="F1748" s="112"/>
      <c r="G1748" s="112"/>
      <c r="H1748" s="112"/>
      <c r="I1748" s="112"/>
      <c r="J1748" s="112"/>
      <c r="K1748" s="112"/>
      <c r="L1748" s="112"/>
      <c r="M1748" s="113"/>
    </row>
    <row r="1749" spans="1:20" s="2" customFormat="1" ht="30" customHeight="1">
      <c r="A1749" s="8" t="s">
        <v>20</v>
      </c>
      <c r="B1749" s="72" t="s">
        <v>21</v>
      </c>
      <c r="C1749" s="72"/>
      <c r="D1749" s="72"/>
      <c r="E1749" s="4" t="s">
        <v>22</v>
      </c>
      <c r="F1749" s="54" t="s">
        <v>23</v>
      </c>
      <c r="G1749" s="59"/>
      <c r="H1749" s="72" t="s">
        <v>24</v>
      </c>
      <c r="I1749" s="72"/>
      <c r="J1749" s="72" t="s">
        <v>25</v>
      </c>
      <c r="K1749" s="72"/>
      <c r="L1749" s="72" t="s">
        <v>26</v>
      </c>
      <c r="M1749" s="72"/>
      <c r="O1749" s="1" t="s">
        <v>27</v>
      </c>
      <c r="P1749" s="1" t="s">
        <v>28</v>
      </c>
      <c r="T1749" s="2" t="s">
        <v>29</v>
      </c>
    </row>
    <row r="1750" spans="1:20" s="2" customFormat="1" ht="24.95" customHeight="1">
      <c r="A1750" s="9" t="s">
        <v>30</v>
      </c>
      <c r="B1750" s="110" t="s">
        <v>31</v>
      </c>
      <c r="C1750" s="110"/>
      <c r="D1750" s="110"/>
      <c r="E1750" s="4"/>
      <c r="F1750" s="54"/>
      <c r="G1750" s="59"/>
      <c r="H1750" s="72"/>
      <c r="I1750" s="72"/>
      <c r="J1750" s="72"/>
      <c r="K1750" s="72"/>
      <c r="L1750" s="72"/>
      <c r="M1750" s="72"/>
    </row>
    <row r="1751" spans="1:20" ht="24.95" customHeight="1">
      <c r="A1751" s="10">
        <v>1</v>
      </c>
      <c r="B1751" s="66" t="s">
        <v>91</v>
      </c>
      <c r="C1751" s="67" t="s">
        <v>91</v>
      </c>
      <c r="D1751" s="68" t="s">
        <v>91</v>
      </c>
      <c r="E1751" s="4" t="s">
        <v>32</v>
      </c>
      <c r="F1751" s="69">
        <v>1</v>
      </c>
      <c r="G1751" s="70"/>
      <c r="H1751" s="69"/>
      <c r="I1751" s="70"/>
      <c r="J1751" s="71">
        <f>H1751+J1693</f>
        <v>1</v>
      </c>
      <c r="K1751" s="71"/>
      <c r="L1751" s="72"/>
      <c r="M1751" s="72"/>
      <c r="O1751" s="11">
        <v>4000</v>
      </c>
      <c r="P1751" s="11">
        <f>ROUND(H1751*O1751,0)</f>
        <v>0</v>
      </c>
      <c r="Q1751" s="12"/>
      <c r="S1751" s="11">
        <f>ROUND(J1751*O1751,0)</f>
        <v>4000</v>
      </c>
      <c r="T1751" s="13">
        <f>F1751-J1751</f>
        <v>0</v>
      </c>
    </row>
    <row r="1752" spans="1:20" ht="24.95" customHeight="1">
      <c r="A1752" s="10">
        <v>2</v>
      </c>
      <c r="B1752" s="66" t="s">
        <v>92</v>
      </c>
      <c r="C1752" s="67" t="s">
        <v>92</v>
      </c>
      <c r="D1752" s="68" t="s">
        <v>92</v>
      </c>
      <c r="E1752" s="4" t="s">
        <v>32</v>
      </c>
      <c r="F1752" s="69">
        <v>1</v>
      </c>
      <c r="G1752" s="70"/>
      <c r="H1752" s="69"/>
      <c r="I1752" s="70"/>
      <c r="J1752" s="71">
        <f t="shared" ref="J1752:J1759" si="206">H1752+J1694</f>
        <v>1</v>
      </c>
      <c r="K1752" s="71"/>
      <c r="L1752" s="72"/>
      <c r="M1752" s="72"/>
      <c r="O1752" s="11">
        <v>14334</v>
      </c>
      <c r="P1752" s="11">
        <f t="shared" ref="P1752:P1759" si="207">ROUND(H1752*O1752,0)</f>
        <v>0</v>
      </c>
      <c r="Q1752" s="12"/>
      <c r="S1752" s="11">
        <f t="shared" ref="S1752:S1759" si="208">ROUND(J1752*O1752,0)</f>
        <v>14334</v>
      </c>
      <c r="T1752" s="13">
        <f t="shared" ref="T1752:T1759" si="209">F1752-J1752</f>
        <v>0</v>
      </c>
    </row>
    <row r="1753" spans="1:20" ht="24.95" customHeight="1">
      <c r="A1753" s="10">
        <v>3</v>
      </c>
      <c r="B1753" s="66" t="s">
        <v>84</v>
      </c>
      <c r="C1753" s="67" t="s">
        <v>84</v>
      </c>
      <c r="D1753" s="68" t="s">
        <v>84</v>
      </c>
      <c r="E1753" s="4" t="s">
        <v>33</v>
      </c>
      <c r="F1753" s="69">
        <v>1</v>
      </c>
      <c r="G1753" s="70"/>
      <c r="H1753" s="69"/>
      <c r="I1753" s="70"/>
      <c r="J1753" s="71">
        <f t="shared" si="206"/>
        <v>0.5</v>
      </c>
      <c r="K1753" s="71"/>
      <c r="L1753" s="72"/>
      <c r="M1753" s="72"/>
      <c r="O1753" s="11">
        <v>7000</v>
      </c>
      <c r="P1753" s="11">
        <f t="shared" si="207"/>
        <v>0</v>
      </c>
      <c r="Q1753" s="12"/>
      <c r="S1753" s="11">
        <f t="shared" si="208"/>
        <v>3500</v>
      </c>
      <c r="T1753" s="13">
        <f t="shared" si="209"/>
        <v>0.5</v>
      </c>
    </row>
    <row r="1754" spans="1:20" ht="24.95" customHeight="1">
      <c r="A1754" s="10">
        <v>4</v>
      </c>
      <c r="B1754" s="66" t="s">
        <v>85</v>
      </c>
      <c r="C1754" s="67" t="s">
        <v>85</v>
      </c>
      <c r="D1754" s="68" t="s">
        <v>85</v>
      </c>
      <c r="E1754" s="4" t="s">
        <v>34</v>
      </c>
      <c r="F1754" s="69">
        <v>1</v>
      </c>
      <c r="G1754" s="70"/>
      <c r="H1754" s="69"/>
      <c r="I1754" s="70"/>
      <c r="J1754" s="71">
        <f t="shared" si="206"/>
        <v>1</v>
      </c>
      <c r="K1754" s="71"/>
      <c r="L1754" s="72"/>
      <c r="M1754" s="72"/>
      <c r="O1754" s="11">
        <v>74000</v>
      </c>
      <c r="P1754" s="11">
        <f t="shared" si="207"/>
        <v>0</v>
      </c>
      <c r="Q1754" s="12"/>
      <c r="S1754" s="11">
        <f t="shared" si="208"/>
        <v>74000</v>
      </c>
      <c r="T1754" s="13">
        <f t="shared" si="209"/>
        <v>0</v>
      </c>
    </row>
    <row r="1755" spans="1:20" ht="24.95" customHeight="1">
      <c r="A1755" s="10">
        <v>5</v>
      </c>
      <c r="B1755" s="66" t="s">
        <v>86</v>
      </c>
      <c r="C1755" s="67" t="s">
        <v>86</v>
      </c>
      <c r="D1755" s="68" t="s">
        <v>86</v>
      </c>
      <c r="E1755" s="4" t="s">
        <v>93</v>
      </c>
      <c r="F1755" s="69">
        <v>396</v>
      </c>
      <c r="G1755" s="70"/>
      <c r="H1755" s="69"/>
      <c r="I1755" s="70"/>
      <c r="J1755" s="71">
        <f t="shared" si="206"/>
        <v>350</v>
      </c>
      <c r="K1755" s="71"/>
      <c r="L1755" s="72"/>
      <c r="M1755" s="72"/>
      <c r="O1755" s="11">
        <v>200</v>
      </c>
      <c r="P1755" s="11">
        <f t="shared" si="207"/>
        <v>0</v>
      </c>
      <c r="Q1755" s="12"/>
      <c r="S1755" s="11">
        <f t="shared" si="208"/>
        <v>70000</v>
      </c>
      <c r="T1755" s="13">
        <f t="shared" si="209"/>
        <v>46</v>
      </c>
    </row>
    <row r="1756" spans="1:20" ht="24.95" customHeight="1">
      <c r="A1756" s="10">
        <v>6</v>
      </c>
      <c r="B1756" s="66" t="s">
        <v>97</v>
      </c>
      <c r="C1756" s="67" t="s">
        <v>87</v>
      </c>
      <c r="D1756" s="68" t="s">
        <v>87</v>
      </c>
      <c r="E1756" s="4" t="s">
        <v>35</v>
      </c>
      <c r="F1756" s="69">
        <v>80</v>
      </c>
      <c r="G1756" s="70">
        <v>183.6</v>
      </c>
      <c r="H1756" s="69"/>
      <c r="I1756" s="70"/>
      <c r="J1756" s="71">
        <f t="shared" si="206"/>
        <v>78</v>
      </c>
      <c r="K1756" s="71"/>
      <c r="L1756" s="54"/>
      <c r="M1756" s="59"/>
      <c r="O1756" s="11">
        <v>1463</v>
      </c>
      <c r="P1756" s="11">
        <f t="shared" si="207"/>
        <v>0</v>
      </c>
      <c r="S1756" s="11">
        <f t="shared" si="208"/>
        <v>114114</v>
      </c>
      <c r="T1756" s="13">
        <f t="shared" si="209"/>
        <v>2</v>
      </c>
    </row>
    <row r="1757" spans="1:20" ht="24.95" customHeight="1">
      <c r="A1757" s="10">
        <v>7</v>
      </c>
      <c r="B1757" s="66" t="s">
        <v>88</v>
      </c>
      <c r="C1757" s="67" t="s">
        <v>88</v>
      </c>
      <c r="D1757" s="68" t="s">
        <v>88</v>
      </c>
      <c r="E1757" s="4" t="s">
        <v>94</v>
      </c>
      <c r="F1757" s="69">
        <v>126</v>
      </c>
      <c r="G1757" s="70">
        <v>19</v>
      </c>
      <c r="H1757" s="69"/>
      <c r="I1757" s="70"/>
      <c r="J1757" s="71">
        <f t="shared" si="206"/>
        <v>0</v>
      </c>
      <c r="K1757" s="71"/>
      <c r="L1757" s="54"/>
      <c r="M1757" s="59"/>
      <c r="O1757" s="11">
        <v>6350</v>
      </c>
      <c r="P1757" s="11">
        <f t="shared" si="207"/>
        <v>0</v>
      </c>
      <c r="S1757" s="11">
        <f t="shared" si="208"/>
        <v>0</v>
      </c>
      <c r="T1757" s="13">
        <f t="shared" si="209"/>
        <v>126</v>
      </c>
    </row>
    <row r="1758" spans="1:20" ht="24.95" customHeight="1">
      <c r="A1758" s="10">
        <v>8</v>
      </c>
      <c r="B1758" s="66" t="s">
        <v>89</v>
      </c>
      <c r="C1758" s="67" t="s">
        <v>89</v>
      </c>
      <c r="D1758" s="68" t="s">
        <v>89</v>
      </c>
      <c r="E1758" s="4" t="s">
        <v>95</v>
      </c>
      <c r="F1758" s="69">
        <v>1</v>
      </c>
      <c r="G1758" s="70">
        <v>1192</v>
      </c>
      <c r="H1758" s="69"/>
      <c r="I1758" s="70"/>
      <c r="J1758" s="71">
        <f t="shared" si="206"/>
        <v>0.3</v>
      </c>
      <c r="K1758" s="71"/>
      <c r="L1758" s="54"/>
      <c r="M1758" s="59"/>
      <c r="O1758" s="11">
        <v>47600</v>
      </c>
      <c r="P1758" s="11">
        <f t="shared" si="207"/>
        <v>0</v>
      </c>
      <c r="S1758" s="11">
        <f t="shared" si="208"/>
        <v>14280</v>
      </c>
      <c r="T1758" s="13">
        <f t="shared" si="209"/>
        <v>0.7</v>
      </c>
    </row>
    <row r="1759" spans="1:20" ht="24.95" customHeight="1">
      <c r="A1759" s="10">
        <v>9</v>
      </c>
      <c r="B1759" s="66" t="s">
        <v>90</v>
      </c>
      <c r="C1759" s="67" t="s">
        <v>90</v>
      </c>
      <c r="D1759" s="68" t="s">
        <v>90</v>
      </c>
      <c r="E1759" s="4" t="s">
        <v>96</v>
      </c>
      <c r="F1759" s="69">
        <v>1</v>
      </c>
      <c r="G1759" s="70">
        <v>1261</v>
      </c>
      <c r="H1759" s="69"/>
      <c r="I1759" s="70"/>
      <c r="J1759" s="71">
        <f t="shared" si="206"/>
        <v>0</v>
      </c>
      <c r="K1759" s="71"/>
      <c r="L1759" s="54"/>
      <c r="M1759" s="59"/>
      <c r="O1759" s="11">
        <v>10000</v>
      </c>
      <c r="P1759" s="11">
        <f t="shared" si="207"/>
        <v>0</v>
      </c>
      <c r="S1759" s="11">
        <f t="shared" si="208"/>
        <v>0</v>
      </c>
      <c r="T1759" s="13">
        <f t="shared" si="209"/>
        <v>1</v>
      </c>
    </row>
    <row r="1760" spans="1:20" ht="24.95" customHeight="1">
      <c r="A1760" s="14"/>
      <c r="B1760" s="15"/>
      <c r="C1760" s="16"/>
      <c r="D1760" s="17"/>
      <c r="E1760" s="4"/>
      <c r="F1760" s="18"/>
      <c r="G1760" s="19"/>
      <c r="H1760" s="105"/>
      <c r="I1760" s="106"/>
      <c r="J1760" s="105"/>
      <c r="K1760" s="106"/>
      <c r="L1760" s="54"/>
      <c r="M1760" s="59"/>
      <c r="N1760" s="20"/>
      <c r="P1760" s="21" t="s">
        <v>37</v>
      </c>
      <c r="Q1760" s="22">
        <f>SUM(P1751:P1759)</f>
        <v>0</v>
      </c>
      <c r="R1760" s="23"/>
      <c r="S1760" s="24">
        <f>SUM(S1751:S1759)</f>
        <v>294228</v>
      </c>
      <c r="T1760" s="13"/>
    </row>
    <row r="1761" spans="1:20" ht="24.95" customHeight="1">
      <c r="A1761" s="107"/>
      <c r="B1761" s="108"/>
      <c r="C1761" s="108"/>
      <c r="D1761" s="109"/>
      <c r="E1761" s="4"/>
      <c r="F1761" s="54"/>
      <c r="G1761" s="59"/>
      <c r="H1761" s="72"/>
      <c r="I1761" s="72"/>
      <c r="J1761" s="72"/>
      <c r="K1761" s="72"/>
      <c r="L1761" s="72"/>
      <c r="M1761" s="72"/>
      <c r="O1761" t="s">
        <v>38</v>
      </c>
      <c r="P1761" s="24">
        <f>Q1760</f>
        <v>0</v>
      </c>
      <c r="T1761" s="13"/>
    </row>
    <row r="1762" spans="1:20" ht="24.95" customHeight="1">
      <c r="A1762" s="97"/>
      <c r="B1762" s="98"/>
      <c r="C1762" s="98"/>
      <c r="D1762" s="99"/>
      <c r="E1762" s="4"/>
      <c r="F1762" s="54"/>
      <c r="G1762" s="59"/>
      <c r="H1762" s="72"/>
      <c r="I1762" s="72"/>
      <c r="J1762" s="72"/>
      <c r="K1762" s="72"/>
      <c r="L1762" s="72"/>
      <c r="M1762" s="72"/>
      <c r="O1762" t="s">
        <v>39</v>
      </c>
      <c r="P1762" s="23">
        <f>ROUND(P1761/1153274,4)*100</f>
        <v>0</v>
      </c>
      <c r="T1762" s="13"/>
    </row>
    <row r="1763" spans="1:20" ht="24.95" customHeight="1">
      <c r="A1763" s="25"/>
      <c r="B1763" s="63" t="s">
        <v>40</v>
      </c>
      <c r="C1763" s="63"/>
      <c r="D1763" s="59"/>
      <c r="E1763" s="26"/>
      <c r="F1763" s="100"/>
      <c r="G1763" s="101"/>
      <c r="H1763" s="100"/>
      <c r="I1763" s="101"/>
      <c r="J1763" s="102"/>
      <c r="K1763" s="102"/>
      <c r="L1763" s="103">
        <f>P1761</f>
        <v>0</v>
      </c>
      <c r="M1763" s="104"/>
      <c r="T1763" s="13"/>
    </row>
    <row r="1764" spans="1:20" ht="24.95" customHeight="1" thickBot="1">
      <c r="A1764" s="27"/>
      <c r="B1764" s="85" t="s">
        <v>41</v>
      </c>
      <c r="C1764" s="85"/>
      <c r="D1764" s="86"/>
      <c r="E1764" s="28"/>
      <c r="F1764" s="87"/>
      <c r="G1764" s="88"/>
      <c r="H1764" s="87"/>
      <c r="I1764" s="88"/>
      <c r="J1764" s="87"/>
      <c r="K1764" s="88"/>
      <c r="L1764" s="89">
        <f>L1763+L1706</f>
        <v>294228</v>
      </c>
      <c r="M1764" s="90"/>
      <c r="T1764" s="13"/>
    </row>
    <row r="1765" spans="1:20" ht="24.95" customHeight="1">
      <c r="A1765" s="29"/>
      <c r="B1765" s="91" t="s">
        <v>42</v>
      </c>
      <c r="C1765" s="91"/>
      <c r="D1765" s="92"/>
      <c r="E1765" s="30"/>
      <c r="F1765" s="93"/>
      <c r="G1765" s="94"/>
      <c r="H1765" s="95"/>
      <c r="I1765" s="95"/>
      <c r="J1765" s="95"/>
      <c r="K1765" s="95"/>
      <c r="L1765" s="95"/>
      <c r="M1765" s="96"/>
      <c r="T1765" s="13"/>
    </row>
    <row r="1766" spans="1:20" ht="24.95" customHeight="1">
      <c r="A1766" s="31"/>
      <c r="B1766" s="76" t="s">
        <v>43</v>
      </c>
      <c r="C1766" s="76"/>
      <c r="D1766" s="77"/>
      <c r="E1766" s="4"/>
      <c r="F1766" s="54"/>
      <c r="G1766" s="59"/>
      <c r="H1766" s="72"/>
      <c r="I1766" s="72"/>
      <c r="J1766" s="72"/>
      <c r="K1766" s="72"/>
      <c r="L1766" s="72"/>
      <c r="M1766" s="78"/>
      <c r="T1766" s="13"/>
    </row>
    <row r="1767" spans="1:20" ht="24.95" customHeight="1" thickBot="1">
      <c r="A1767" s="32"/>
      <c r="B1767" s="79" t="s">
        <v>44</v>
      </c>
      <c r="C1767" s="79"/>
      <c r="D1767" s="80"/>
      <c r="E1767" s="33"/>
      <c r="F1767" s="81"/>
      <c r="G1767" s="82"/>
      <c r="H1767" s="83"/>
      <c r="I1767" s="83"/>
      <c r="J1767" s="83"/>
      <c r="K1767" s="83"/>
      <c r="L1767" s="83"/>
      <c r="M1767" s="84"/>
      <c r="T1767" s="13"/>
    </row>
    <row r="1768" spans="1:20" ht="24.95" customHeight="1">
      <c r="A1768" s="73" t="s">
        <v>45</v>
      </c>
      <c r="B1768" s="74"/>
      <c r="C1768" s="74"/>
      <c r="D1768" s="74"/>
      <c r="E1768" s="74"/>
      <c r="F1768" s="74"/>
      <c r="G1768" s="74"/>
      <c r="H1768" s="74"/>
      <c r="I1768" s="74"/>
      <c r="J1768" s="74"/>
      <c r="K1768" s="74"/>
      <c r="L1768" s="74"/>
      <c r="M1768" s="74"/>
      <c r="T1768" s="13"/>
    </row>
    <row r="1769" spans="1:20" ht="24.95" customHeight="1">
      <c r="A1769" s="72" t="s">
        <v>46</v>
      </c>
      <c r="B1769" s="75"/>
      <c r="C1769" s="75"/>
      <c r="D1769" s="75"/>
      <c r="E1769" s="4" t="s">
        <v>22</v>
      </c>
      <c r="F1769" s="72" t="s">
        <v>47</v>
      </c>
      <c r="G1769" s="72"/>
      <c r="H1769" s="72" t="s">
        <v>48</v>
      </c>
      <c r="I1769" s="72"/>
      <c r="J1769" s="72" t="s">
        <v>49</v>
      </c>
      <c r="K1769" s="72"/>
      <c r="L1769" s="72" t="s">
        <v>50</v>
      </c>
      <c r="M1769" s="72"/>
      <c r="T1769" s="13"/>
    </row>
    <row r="1770" spans="1:20" ht="24.95" customHeight="1">
      <c r="A1770" s="10">
        <v>6</v>
      </c>
      <c r="B1770" s="66" t="s">
        <v>97</v>
      </c>
      <c r="C1770" s="67" t="s">
        <v>51</v>
      </c>
      <c r="D1770" s="68" t="s">
        <v>51</v>
      </c>
      <c r="E1770" s="4" t="s">
        <v>35</v>
      </c>
      <c r="F1770" s="69">
        <v>80</v>
      </c>
      <c r="G1770" s="70">
        <v>1261</v>
      </c>
      <c r="H1770" s="71">
        <f>H1756</f>
        <v>0</v>
      </c>
      <c r="I1770" s="71"/>
      <c r="J1770" s="71">
        <f>H1770+J1712</f>
        <v>78</v>
      </c>
      <c r="K1770" s="71"/>
      <c r="L1770" s="72"/>
      <c r="M1770" s="72"/>
      <c r="T1770" s="13"/>
    </row>
    <row r="1771" spans="1:20" ht="24.95" customHeight="1">
      <c r="A1771" s="10">
        <v>7</v>
      </c>
      <c r="B1771" s="66" t="s">
        <v>88</v>
      </c>
      <c r="C1771" s="67" t="s">
        <v>88</v>
      </c>
      <c r="D1771" s="68" t="s">
        <v>88</v>
      </c>
      <c r="E1771" s="4" t="s">
        <v>98</v>
      </c>
      <c r="F1771" s="69">
        <v>126</v>
      </c>
      <c r="G1771" s="70"/>
      <c r="H1771" s="71">
        <f>H1757</f>
        <v>0</v>
      </c>
      <c r="I1771" s="71"/>
      <c r="J1771" s="71">
        <f t="shared" ref="J1771:J1772" si="210">H1771+J1713</f>
        <v>0</v>
      </c>
      <c r="K1771" s="71"/>
      <c r="L1771" s="72"/>
      <c r="M1771" s="72"/>
      <c r="T1771" s="13"/>
    </row>
    <row r="1772" spans="1:20" ht="24.95" customHeight="1">
      <c r="A1772" s="10">
        <v>8</v>
      </c>
      <c r="B1772" s="66" t="s">
        <v>89</v>
      </c>
      <c r="C1772" s="67" t="s">
        <v>89</v>
      </c>
      <c r="D1772" s="68" t="s">
        <v>89</v>
      </c>
      <c r="E1772" s="4" t="s">
        <v>36</v>
      </c>
      <c r="F1772" s="69">
        <v>1</v>
      </c>
      <c r="G1772" s="70"/>
      <c r="H1772" s="71">
        <f>H1758</f>
        <v>0</v>
      </c>
      <c r="I1772" s="71"/>
      <c r="J1772" s="71">
        <f t="shared" si="210"/>
        <v>0.3</v>
      </c>
      <c r="K1772" s="71"/>
      <c r="L1772" s="72"/>
      <c r="M1772" s="72"/>
      <c r="T1772" s="13"/>
    </row>
    <row r="1773" spans="1:20" ht="24.95" customHeight="1">
      <c r="A1773" s="51" t="s">
        <v>52</v>
      </c>
      <c r="B1773" s="52"/>
      <c r="C1773" s="52"/>
      <c r="D1773" s="52"/>
      <c r="E1773" s="52"/>
      <c r="F1773" s="52"/>
      <c r="G1773" s="52"/>
      <c r="H1773" s="52"/>
      <c r="I1773" s="52"/>
      <c r="J1773" s="52"/>
      <c r="K1773" s="52"/>
      <c r="L1773" s="52"/>
      <c r="M1773" s="53"/>
      <c r="T1773" s="13"/>
    </row>
    <row r="1774" spans="1:20" ht="24.95" customHeight="1">
      <c r="A1774" s="54" t="s">
        <v>53</v>
      </c>
      <c r="B1774" s="63"/>
      <c r="C1774" s="63"/>
      <c r="D1774" s="59"/>
      <c r="E1774" s="4" t="s">
        <v>54</v>
      </c>
      <c r="F1774" s="54" t="s">
        <v>55</v>
      </c>
      <c r="G1774" s="59"/>
      <c r="H1774" s="54" t="s">
        <v>56</v>
      </c>
      <c r="I1774" s="59"/>
      <c r="J1774" s="54" t="s">
        <v>48</v>
      </c>
      <c r="K1774" s="59"/>
      <c r="L1774" s="64" t="s">
        <v>49</v>
      </c>
      <c r="M1774" s="65"/>
      <c r="T1774" s="13"/>
    </row>
    <row r="1775" spans="1:20" ht="24.95" customHeight="1">
      <c r="A1775" s="54" t="s">
        <v>57</v>
      </c>
      <c r="B1775" s="55"/>
      <c r="C1775" s="55"/>
      <c r="D1775" s="56"/>
      <c r="E1775" s="4"/>
      <c r="F1775" s="57">
        <f>E1775+F1717</f>
        <v>28</v>
      </c>
      <c r="G1775" s="58"/>
      <c r="H1775" s="54" t="s">
        <v>58</v>
      </c>
      <c r="I1775" s="59"/>
      <c r="J1775" s="54"/>
      <c r="K1775" s="59"/>
      <c r="L1775" s="57">
        <f>J1775+L1717</f>
        <v>15</v>
      </c>
      <c r="M1775" s="58"/>
      <c r="T1775" s="13"/>
    </row>
    <row r="1776" spans="1:20" ht="24.95" customHeight="1">
      <c r="A1776" s="54" t="s">
        <v>59</v>
      </c>
      <c r="B1776" s="55"/>
      <c r="C1776" s="55"/>
      <c r="D1776" s="56"/>
      <c r="E1776" s="4"/>
      <c r="F1776" s="57">
        <f t="shared" ref="F1776:F1778" si="211">E1776+F1718</f>
        <v>0</v>
      </c>
      <c r="G1776" s="58"/>
      <c r="H1776" s="54" t="s">
        <v>60</v>
      </c>
      <c r="I1776" s="59"/>
      <c r="J1776" s="54"/>
      <c r="K1776" s="59"/>
      <c r="L1776" s="57">
        <f t="shared" ref="L1776:L1778" si="212">J1776+L1718</f>
        <v>0</v>
      </c>
      <c r="M1776" s="58"/>
      <c r="T1776" s="13"/>
    </row>
    <row r="1777" spans="1:20" ht="24.95" customHeight="1">
      <c r="A1777" s="54" t="s">
        <v>61</v>
      </c>
      <c r="B1777" s="55"/>
      <c r="C1777" s="55"/>
      <c r="D1777" s="56"/>
      <c r="E1777" s="4"/>
      <c r="F1777" s="57">
        <f t="shared" si="211"/>
        <v>2</v>
      </c>
      <c r="G1777" s="58"/>
      <c r="H1777" s="54" t="s">
        <v>62</v>
      </c>
      <c r="I1777" s="59"/>
      <c r="J1777" s="54"/>
      <c r="K1777" s="59"/>
      <c r="L1777" s="57">
        <f t="shared" si="212"/>
        <v>5</v>
      </c>
      <c r="M1777" s="58"/>
      <c r="T1777" s="13"/>
    </row>
    <row r="1778" spans="1:20" ht="24.95" customHeight="1">
      <c r="A1778" s="54" t="s">
        <v>63</v>
      </c>
      <c r="B1778" s="55"/>
      <c r="C1778" s="55"/>
      <c r="D1778" s="56"/>
      <c r="E1778" s="4"/>
      <c r="F1778" s="57">
        <f t="shared" si="211"/>
        <v>4</v>
      </c>
      <c r="G1778" s="58"/>
      <c r="H1778" s="54" t="s">
        <v>64</v>
      </c>
      <c r="I1778" s="59"/>
      <c r="J1778" s="54"/>
      <c r="K1778" s="59"/>
      <c r="L1778" s="57">
        <f t="shared" si="212"/>
        <v>1</v>
      </c>
      <c r="M1778" s="58"/>
      <c r="T1778" s="13"/>
    </row>
    <row r="1779" spans="1:20" ht="64.5" customHeight="1">
      <c r="A1779" s="60" t="s">
        <v>65</v>
      </c>
      <c r="B1779" s="61"/>
      <c r="C1779" s="61"/>
      <c r="D1779" s="61"/>
      <c r="E1779" s="61"/>
      <c r="F1779" s="61"/>
      <c r="G1779" s="61"/>
      <c r="H1779" s="61"/>
      <c r="I1779" s="61"/>
      <c r="J1779" s="61"/>
      <c r="K1779" s="61"/>
      <c r="L1779" s="61"/>
      <c r="M1779" s="62"/>
      <c r="T1779" s="13"/>
    </row>
    <row r="1780" spans="1:20" ht="24.95" customHeight="1">
      <c r="A1780" s="46" t="s">
        <v>66</v>
      </c>
      <c r="B1780" s="47"/>
      <c r="C1780" s="47"/>
      <c r="D1780" s="47"/>
      <c r="E1780" s="47"/>
      <c r="F1780" s="47"/>
      <c r="G1780" s="47"/>
      <c r="H1780" s="47"/>
      <c r="I1780" s="47"/>
      <c r="J1780" s="47"/>
      <c r="K1780" s="47"/>
      <c r="L1780" s="47"/>
      <c r="M1780" s="48"/>
      <c r="T1780" s="13"/>
    </row>
    <row r="1781" spans="1:20" ht="24.95" customHeight="1">
      <c r="A1781" s="27"/>
      <c r="B1781" s="34" t="s">
        <v>67</v>
      </c>
      <c r="C1781" s="34"/>
      <c r="D1781" s="34"/>
      <c r="E1781" s="34"/>
      <c r="F1781" s="34"/>
      <c r="G1781" s="35"/>
      <c r="H1781" s="34"/>
      <c r="I1781" s="34"/>
      <c r="J1781" s="34"/>
      <c r="K1781" s="34"/>
      <c r="L1781" s="34"/>
      <c r="M1781" s="36"/>
      <c r="T1781" s="13"/>
    </row>
    <row r="1782" spans="1:20" ht="24.95" customHeight="1">
      <c r="A1782" s="27"/>
      <c r="B1782" s="34" t="s">
        <v>81</v>
      </c>
      <c r="C1782" s="34"/>
      <c r="D1782" s="34"/>
      <c r="E1782" s="34"/>
      <c r="F1782" s="34"/>
      <c r="G1782" s="35"/>
      <c r="H1782" s="34"/>
      <c r="I1782" s="34"/>
      <c r="J1782" s="34"/>
      <c r="K1782" s="34"/>
      <c r="L1782" s="34"/>
      <c r="M1782" s="36"/>
      <c r="T1782" s="13"/>
    </row>
    <row r="1783" spans="1:20" ht="24.95" customHeight="1">
      <c r="A1783" s="27"/>
      <c r="B1783" s="34" t="s">
        <v>68</v>
      </c>
      <c r="C1783" s="34"/>
      <c r="D1783" s="34"/>
      <c r="E1783" s="34"/>
      <c r="F1783" s="34"/>
      <c r="G1783" s="35"/>
      <c r="H1783" s="34"/>
      <c r="I1783" s="34"/>
      <c r="J1783" s="34"/>
      <c r="K1783" s="34"/>
      <c r="L1783" s="34"/>
      <c r="M1783" s="36"/>
      <c r="T1783" s="13"/>
    </row>
    <row r="1784" spans="1:20" ht="24.95" customHeight="1">
      <c r="A1784" s="27"/>
      <c r="B1784" s="34" t="s">
        <v>82</v>
      </c>
      <c r="C1784" s="34"/>
      <c r="D1784" s="34"/>
      <c r="E1784" s="34"/>
      <c r="F1784" s="34"/>
      <c r="G1784" s="35"/>
      <c r="H1784" s="34"/>
      <c r="I1784" s="34"/>
      <c r="J1784" s="34"/>
      <c r="K1784" s="34"/>
      <c r="L1784" s="34"/>
      <c r="M1784" s="36"/>
      <c r="T1784" s="13"/>
    </row>
    <row r="1785" spans="1:20" ht="24.95" customHeight="1">
      <c r="A1785" s="27"/>
      <c r="B1785" s="34" t="s">
        <v>99</v>
      </c>
      <c r="C1785" s="34"/>
      <c r="D1785" s="34"/>
      <c r="E1785" s="34"/>
      <c r="F1785" s="34"/>
      <c r="G1785" s="35"/>
      <c r="H1785" s="34"/>
      <c r="I1785" s="34"/>
      <c r="J1785" s="34"/>
      <c r="K1785" s="34"/>
      <c r="L1785" s="34"/>
      <c r="M1785" s="36"/>
      <c r="T1785" s="13"/>
    </row>
    <row r="1786" spans="1:20" ht="24.95" customHeight="1">
      <c r="A1786" s="37"/>
      <c r="B1786" s="49" t="s">
        <v>69</v>
      </c>
      <c r="C1786" s="49"/>
      <c r="D1786" s="49"/>
      <c r="E1786" s="49"/>
      <c r="F1786" s="49"/>
      <c r="G1786" s="49"/>
      <c r="H1786" s="49"/>
      <c r="I1786" s="49"/>
      <c r="J1786" s="49"/>
      <c r="K1786" s="49"/>
      <c r="L1786" s="49"/>
      <c r="M1786" s="50"/>
      <c r="T1786" s="13"/>
    </row>
    <row r="1787" spans="1:20" ht="44.25" customHeight="1">
      <c r="A1787" s="51" t="s">
        <v>70</v>
      </c>
      <c r="B1787" s="52"/>
      <c r="C1787" s="52"/>
      <c r="D1787" s="52"/>
      <c r="E1787" s="52"/>
      <c r="F1787" s="52"/>
      <c r="G1787" s="52"/>
      <c r="H1787" s="52"/>
      <c r="I1787" s="52"/>
      <c r="J1787" s="52"/>
      <c r="K1787" s="52"/>
      <c r="L1787" s="52"/>
      <c r="M1787" s="53"/>
      <c r="T1787" s="13"/>
    </row>
    <row r="1788" spans="1:20" ht="48" customHeight="1">
      <c r="A1788" s="51" t="s">
        <v>71</v>
      </c>
      <c r="B1788" s="52"/>
      <c r="C1788" s="52"/>
      <c r="D1788" s="52"/>
      <c r="E1788" s="52"/>
      <c r="F1788" s="52"/>
      <c r="G1788" s="52"/>
      <c r="H1788" s="52"/>
      <c r="I1788" s="52"/>
      <c r="J1788" s="52"/>
      <c r="K1788" s="52"/>
      <c r="L1788" s="52"/>
      <c r="M1788" s="53"/>
      <c r="T1788" s="13"/>
    </row>
    <row r="1789" spans="1:20" ht="81" customHeight="1">
      <c r="A1789" s="51" t="s">
        <v>80</v>
      </c>
      <c r="B1789" s="52"/>
      <c r="C1789" s="52"/>
      <c r="D1789" s="52"/>
      <c r="E1789" s="52"/>
      <c r="F1789" s="52"/>
      <c r="G1789" s="52"/>
      <c r="H1789" s="52"/>
      <c r="I1789" s="52"/>
      <c r="J1789" s="52"/>
      <c r="K1789" s="52"/>
      <c r="L1789" s="52"/>
      <c r="M1789" s="53"/>
      <c r="T1789" s="13"/>
    </row>
    <row r="1790" spans="1:20" ht="100.5" customHeight="1">
      <c r="A1790" s="51" t="s">
        <v>72</v>
      </c>
      <c r="B1790" s="52"/>
      <c r="C1790" s="52"/>
      <c r="D1790" s="52"/>
      <c r="E1790" s="52"/>
      <c r="F1790" s="52"/>
      <c r="G1790" s="52"/>
      <c r="H1790" s="52"/>
      <c r="I1790" s="52"/>
      <c r="J1790" s="52"/>
      <c r="K1790" s="52"/>
      <c r="L1790" s="52"/>
      <c r="M1790" s="53"/>
      <c r="T1790" s="13"/>
    </row>
    <row r="1791" spans="1:20" ht="12" customHeight="1">
      <c r="A1791" s="41" t="s">
        <v>73</v>
      </c>
      <c r="B1791" s="41"/>
      <c r="C1791" s="42"/>
      <c r="D1791" s="42"/>
      <c r="E1791" s="42"/>
      <c r="F1791" s="42"/>
      <c r="G1791" s="42"/>
      <c r="H1791" s="42"/>
      <c r="I1791" s="42"/>
      <c r="J1791" s="42"/>
      <c r="K1791" s="42"/>
      <c r="L1791" s="42"/>
      <c r="M1791" s="38"/>
      <c r="T1791" s="13"/>
    </row>
    <row r="1792" spans="1:20" ht="12" customHeight="1">
      <c r="A1792" s="43" t="s">
        <v>74</v>
      </c>
      <c r="B1792" s="43"/>
      <c r="C1792" s="40"/>
      <c r="D1792" s="40"/>
      <c r="E1792" s="40"/>
      <c r="F1792" s="40"/>
      <c r="G1792" s="40"/>
      <c r="H1792" s="40"/>
      <c r="I1792" s="40"/>
      <c r="J1792" s="40"/>
      <c r="K1792" s="40"/>
      <c r="L1792" s="38"/>
      <c r="M1792" s="38"/>
      <c r="T1792" s="13"/>
    </row>
    <row r="1793" spans="1:20" ht="12" customHeight="1">
      <c r="A1793" s="44" t="s">
        <v>75</v>
      </c>
      <c r="B1793" s="44"/>
      <c r="C1793" s="44"/>
      <c r="D1793" s="44"/>
      <c r="E1793" s="44"/>
      <c r="F1793" s="44"/>
      <c r="G1793" s="44"/>
      <c r="H1793" s="44"/>
      <c r="I1793" s="44"/>
      <c r="J1793" s="44"/>
      <c r="K1793" s="44"/>
      <c r="L1793" s="44"/>
      <c r="M1793" s="44"/>
      <c r="T1793" s="13"/>
    </row>
    <row r="1794" spans="1:20" ht="12" customHeight="1">
      <c r="A1794" s="39" t="s">
        <v>76</v>
      </c>
      <c r="B1794" s="39"/>
      <c r="C1794" s="39"/>
      <c r="D1794" s="39"/>
      <c r="E1794" s="39"/>
      <c r="F1794" s="39"/>
      <c r="G1794" s="39"/>
      <c r="H1794" s="39"/>
      <c r="I1794" s="39"/>
      <c r="J1794" s="39"/>
      <c r="K1794" s="39"/>
      <c r="L1794" s="39"/>
      <c r="M1794" s="39"/>
      <c r="T1794" s="13"/>
    </row>
    <row r="1795" spans="1:20" ht="12" customHeight="1">
      <c r="A1795" s="39" t="s">
        <v>77</v>
      </c>
      <c r="B1795" s="40"/>
      <c r="C1795" s="40"/>
      <c r="D1795" s="40"/>
      <c r="E1795" s="40"/>
      <c r="F1795" s="40"/>
      <c r="G1795" s="40"/>
      <c r="H1795" s="40"/>
      <c r="I1795" s="40"/>
      <c r="J1795" s="40"/>
      <c r="K1795" s="40"/>
      <c r="L1795" s="40"/>
      <c r="M1795" s="40"/>
      <c r="T1795" s="13"/>
    </row>
    <row r="1796" spans="1:20" ht="12" customHeight="1">
      <c r="A1796" s="45" t="s">
        <v>78</v>
      </c>
      <c r="B1796" s="40"/>
      <c r="C1796" s="40"/>
      <c r="D1796" s="40"/>
      <c r="E1796" s="40"/>
      <c r="F1796" s="40"/>
      <c r="G1796" s="40"/>
      <c r="H1796" s="40"/>
      <c r="I1796" s="40"/>
      <c r="J1796" s="40"/>
      <c r="K1796" s="40"/>
      <c r="L1796" s="40"/>
      <c r="M1796" s="40"/>
      <c r="T1796" s="13"/>
    </row>
    <row r="1797" spans="1:20" ht="12" customHeight="1">
      <c r="A1797" s="39" t="s">
        <v>79</v>
      </c>
      <c r="B1797" s="40"/>
      <c r="C1797" s="40"/>
      <c r="D1797" s="40"/>
      <c r="E1797" s="40"/>
      <c r="F1797" s="40"/>
      <c r="G1797" s="40"/>
      <c r="H1797" s="40"/>
      <c r="I1797" s="40"/>
      <c r="J1797" s="40"/>
      <c r="K1797" s="40"/>
      <c r="L1797" s="40"/>
      <c r="M1797" s="40"/>
      <c r="T1797" s="13"/>
    </row>
    <row r="1798" spans="1:20" ht="409.5" customHeight="1"/>
  </sheetData>
  <mergeCells count="5487">
    <mergeCell ref="A4:B4"/>
    <mergeCell ref="A5:C5"/>
    <mergeCell ref="D5:G5"/>
    <mergeCell ref="H5:I5"/>
    <mergeCell ref="J5:M5"/>
    <mergeCell ref="A6:C6"/>
    <mergeCell ref="D6:G6"/>
    <mergeCell ref="H6:I6"/>
    <mergeCell ref="J6:M6"/>
    <mergeCell ref="A1:B1"/>
    <mergeCell ref="A2:B2"/>
    <mergeCell ref="H2:I2"/>
    <mergeCell ref="J2:K2"/>
    <mergeCell ref="L2:M2"/>
    <mergeCell ref="A3:B3"/>
    <mergeCell ref="C3:G3"/>
    <mergeCell ref="H3:I3"/>
    <mergeCell ref="J3:M3"/>
    <mergeCell ref="B10:D10"/>
    <mergeCell ref="F10:G10"/>
    <mergeCell ref="H10:I10"/>
    <mergeCell ref="J10:K10"/>
    <mergeCell ref="L10:M10"/>
    <mergeCell ref="B11:D11"/>
    <mergeCell ref="F11:G11"/>
    <mergeCell ref="H11:I11"/>
    <mergeCell ref="J11:K11"/>
    <mergeCell ref="L11:M11"/>
    <mergeCell ref="A7:C7"/>
    <mergeCell ref="D7:G7"/>
    <mergeCell ref="H7:I7"/>
    <mergeCell ref="J7:M7"/>
    <mergeCell ref="A8:M8"/>
    <mergeCell ref="B9:D9"/>
    <mergeCell ref="F9:G9"/>
    <mergeCell ref="H9:I9"/>
    <mergeCell ref="J9:K9"/>
    <mergeCell ref="L9:M9"/>
    <mergeCell ref="B14:D14"/>
    <mergeCell ref="F14:G14"/>
    <mergeCell ref="H14:I14"/>
    <mergeCell ref="J14:K14"/>
    <mergeCell ref="L14:M14"/>
    <mergeCell ref="B15:D15"/>
    <mergeCell ref="F15:G15"/>
    <mergeCell ref="H15:I15"/>
    <mergeCell ref="J15:K15"/>
    <mergeCell ref="L15:M15"/>
    <mergeCell ref="B12:D12"/>
    <mergeCell ref="F12:G12"/>
    <mergeCell ref="H12:I12"/>
    <mergeCell ref="J12:K12"/>
    <mergeCell ref="L12:M12"/>
    <mergeCell ref="B13:D13"/>
    <mergeCell ref="F13:G13"/>
    <mergeCell ref="H13:I13"/>
    <mergeCell ref="J13:K13"/>
    <mergeCell ref="L13:M13"/>
    <mergeCell ref="B18:D18"/>
    <mergeCell ref="F18:G18"/>
    <mergeCell ref="H18:I18"/>
    <mergeCell ref="J18:K18"/>
    <mergeCell ref="L18:M18"/>
    <mergeCell ref="B19:D19"/>
    <mergeCell ref="F19:G19"/>
    <mergeCell ref="H19:I19"/>
    <mergeCell ref="J19:K19"/>
    <mergeCell ref="L19:M19"/>
    <mergeCell ref="B16:D16"/>
    <mergeCell ref="F16:G16"/>
    <mergeCell ref="H16:I16"/>
    <mergeCell ref="J16:K16"/>
    <mergeCell ref="L16:M16"/>
    <mergeCell ref="B17:D17"/>
    <mergeCell ref="F17:G17"/>
    <mergeCell ref="H17:I17"/>
    <mergeCell ref="J17:K17"/>
    <mergeCell ref="L17:M17"/>
    <mergeCell ref="A22:D22"/>
    <mergeCell ref="F22:G22"/>
    <mergeCell ref="H22:I22"/>
    <mergeCell ref="J22:K22"/>
    <mergeCell ref="L22:M22"/>
    <mergeCell ref="B23:D23"/>
    <mergeCell ref="F23:G23"/>
    <mergeCell ref="H23:I23"/>
    <mergeCell ref="J23:K23"/>
    <mergeCell ref="L23:M23"/>
    <mergeCell ref="H20:I20"/>
    <mergeCell ref="J20:K20"/>
    <mergeCell ref="L20:M20"/>
    <mergeCell ref="A21:D21"/>
    <mergeCell ref="F21:G21"/>
    <mergeCell ref="H21:I21"/>
    <mergeCell ref="J21:K21"/>
    <mergeCell ref="L21:M21"/>
    <mergeCell ref="A28:M28"/>
    <mergeCell ref="A29:D29"/>
    <mergeCell ref="F29:G29"/>
    <mergeCell ref="H29:I29"/>
    <mergeCell ref="J29:K29"/>
    <mergeCell ref="L29:M29"/>
    <mergeCell ref="B26:D26"/>
    <mergeCell ref="F26:G26"/>
    <mergeCell ref="H26:I26"/>
    <mergeCell ref="J26:K26"/>
    <mergeCell ref="L26:M26"/>
    <mergeCell ref="B27:D27"/>
    <mergeCell ref="F27:G27"/>
    <mergeCell ref="H27:I27"/>
    <mergeCell ref="J27:K27"/>
    <mergeCell ref="L27:M27"/>
    <mergeCell ref="B24:D24"/>
    <mergeCell ref="F24:G24"/>
    <mergeCell ref="H24:I24"/>
    <mergeCell ref="J24:K24"/>
    <mergeCell ref="L24:M24"/>
    <mergeCell ref="B25:D25"/>
    <mergeCell ref="F25:G25"/>
    <mergeCell ref="H25:I25"/>
    <mergeCell ref="J25:K25"/>
    <mergeCell ref="L25:M25"/>
    <mergeCell ref="A34:D34"/>
    <mergeCell ref="F34:G34"/>
    <mergeCell ref="H34:I34"/>
    <mergeCell ref="J34:K34"/>
    <mergeCell ref="L34:M34"/>
    <mergeCell ref="A35:D35"/>
    <mergeCell ref="F35:G35"/>
    <mergeCell ref="H35:I35"/>
    <mergeCell ref="J35:K35"/>
    <mergeCell ref="L35:M35"/>
    <mergeCell ref="B32:D32"/>
    <mergeCell ref="F32:G32"/>
    <mergeCell ref="H32:I32"/>
    <mergeCell ref="J32:K32"/>
    <mergeCell ref="L32:M32"/>
    <mergeCell ref="A33:M33"/>
    <mergeCell ref="B30:D30"/>
    <mergeCell ref="F30:G30"/>
    <mergeCell ref="H30:I30"/>
    <mergeCell ref="J30:K30"/>
    <mergeCell ref="L30:M30"/>
    <mergeCell ref="B31:D31"/>
    <mergeCell ref="F31:G31"/>
    <mergeCell ref="H31:I31"/>
    <mergeCell ref="J31:K31"/>
    <mergeCell ref="L31:M31"/>
    <mergeCell ref="A40:M40"/>
    <mergeCell ref="B46:M46"/>
    <mergeCell ref="A47:M47"/>
    <mergeCell ref="A48:M48"/>
    <mergeCell ref="A49:M49"/>
    <mergeCell ref="A50:M50"/>
    <mergeCell ref="A38:D38"/>
    <mergeCell ref="F38:G38"/>
    <mergeCell ref="H38:I38"/>
    <mergeCell ref="J38:K38"/>
    <mergeCell ref="L38:M38"/>
    <mergeCell ref="A39:M39"/>
    <mergeCell ref="A36:D36"/>
    <mergeCell ref="F36:G36"/>
    <mergeCell ref="H36:I36"/>
    <mergeCell ref="J36:K36"/>
    <mergeCell ref="L36:M36"/>
    <mergeCell ref="A37:D37"/>
    <mergeCell ref="F37:G37"/>
    <mergeCell ref="H37:I37"/>
    <mergeCell ref="J37:K37"/>
    <mergeCell ref="L37:M37"/>
    <mergeCell ref="A61:B61"/>
    <mergeCell ref="C61:G61"/>
    <mergeCell ref="H61:I61"/>
    <mergeCell ref="J61:M61"/>
    <mergeCell ref="A62:B62"/>
    <mergeCell ref="A63:C63"/>
    <mergeCell ref="D63:G63"/>
    <mergeCell ref="H63:I63"/>
    <mergeCell ref="J63:M63"/>
    <mergeCell ref="A57:M57"/>
    <mergeCell ref="A59:B59"/>
    <mergeCell ref="A60:B60"/>
    <mergeCell ref="H60:I60"/>
    <mergeCell ref="J60:K60"/>
    <mergeCell ref="L60:M60"/>
    <mergeCell ref="A51:L51"/>
    <mergeCell ref="A52:K52"/>
    <mergeCell ref="A53:M53"/>
    <mergeCell ref="A54:M54"/>
    <mergeCell ref="A55:M55"/>
    <mergeCell ref="A56:M56"/>
    <mergeCell ref="B68:D68"/>
    <mergeCell ref="F68:G68"/>
    <mergeCell ref="H68:I68"/>
    <mergeCell ref="J68:K68"/>
    <mergeCell ref="L68:M68"/>
    <mergeCell ref="B69:D69"/>
    <mergeCell ref="F69:G69"/>
    <mergeCell ref="H69:I69"/>
    <mergeCell ref="J69:K69"/>
    <mergeCell ref="L69:M69"/>
    <mergeCell ref="A66:M66"/>
    <mergeCell ref="B67:D67"/>
    <mergeCell ref="F67:G67"/>
    <mergeCell ref="H67:I67"/>
    <mergeCell ref="J67:K67"/>
    <mergeCell ref="L67:M67"/>
    <mergeCell ref="A64:C64"/>
    <mergeCell ref="D64:G64"/>
    <mergeCell ref="H64:I64"/>
    <mergeCell ref="J64:M64"/>
    <mergeCell ref="A65:C65"/>
    <mergeCell ref="D65:G65"/>
    <mergeCell ref="H65:I65"/>
    <mergeCell ref="J65:M65"/>
    <mergeCell ref="B72:D72"/>
    <mergeCell ref="F72:G72"/>
    <mergeCell ref="H72:I72"/>
    <mergeCell ref="J72:K72"/>
    <mergeCell ref="L72:M72"/>
    <mergeCell ref="B73:D73"/>
    <mergeCell ref="F73:G73"/>
    <mergeCell ref="H73:I73"/>
    <mergeCell ref="J73:K73"/>
    <mergeCell ref="L73:M73"/>
    <mergeCell ref="B70:D70"/>
    <mergeCell ref="F70:G70"/>
    <mergeCell ref="H70:I70"/>
    <mergeCell ref="J70:K70"/>
    <mergeCell ref="L70:M70"/>
    <mergeCell ref="B71:D71"/>
    <mergeCell ref="F71:G71"/>
    <mergeCell ref="H71:I71"/>
    <mergeCell ref="J71:K71"/>
    <mergeCell ref="L71:M71"/>
    <mergeCell ref="B76:D76"/>
    <mergeCell ref="F76:G76"/>
    <mergeCell ref="H76:I76"/>
    <mergeCell ref="J76:K76"/>
    <mergeCell ref="L76:M76"/>
    <mergeCell ref="B77:D77"/>
    <mergeCell ref="F77:G77"/>
    <mergeCell ref="H77:I77"/>
    <mergeCell ref="J77:K77"/>
    <mergeCell ref="L77:M77"/>
    <mergeCell ref="B74:D74"/>
    <mergeCell ref="F74:G74"/>
    <mergeCell ref="H74:I74"/>
    <mergeCell ref="J74:K74"/>
    <mergeCell ref="L74:M74"/>
    <mergeCell ref="B75:D75"/>
    <mergeCell ref="F75:G75"/>
    <mergeCell ref="H75:I75"/>
    <mergeCell ref="J75:K75"/>
    <mergeCell ref="L75:M75"/>
    <mergeCell ref="A80:D80"/>
    <mergeCell ref="F80:G80"/>
    <mergeCell ref="H80:I80"/>
    <mergeCell ref="J80:K80"/>
    <mergeCell ref="L80:M80"/>
    <mergeCell ref="B81:D81"/>
    <mergeCell ref="F81:G81"/>
    <mergeCell ref="H81:I81"/>
    <mergeCell ref="J81:K81"/>
    <mergeCell ref="L81:M81"/>
    <mergeCell ref="H78:I78"/>
    <mergeCell ref="J78:K78"/>
    <mergeCell ref="L78:M78"/>
    <mergeCell ref="A79:D79"/>
    <mergeCell ref="F79:G79"/>
    <mergeCell ref="H79:I79"/>
    <mergeCell ref="J79:K79"/>
    <mergeCell ref="L79:M79"/>
    <mergeCell ref="A86:M86"/>
    <mergeCell ref="A87:D87"/>
    <mergeCell ref="F87:G87"/>
    <mergeCell ref="H87:I87"/>
    <mergeCell ref="J87:K87"/>
    <mergeCell ref="L87:M87"/>
    <mergeCell ref="B84:D84"/>
    <mergeCell ref="F84:G84"/>
    <mergeCell ref="H84:I84"/>
    <mergeCell ref="J84:K84"/>
    <mergeCell ref="L84:M84"/>
    <mergeCell ref="B85:D85"/>
    <mergeCell ref="F85:G85"/>
    <mergeCell ref="H85:I85"/>
    <mergeCell ref="J85:K85"/>
    <mergeCell ref="L85:M85"/>
    <mergeCell ref="B82:D82"/>
    <mergeCell ref="F82:G82"/>
    <mergeCell ref="H82:I82"/>
    <mergeCell ref="J82:K82"/>
    <mergeCell ref="L82:M82"/>
    <mergeCell ref="B83:D83"/>
    <mergeCell ref="F83:G83"/>
    <mergeCell ref="H83:I83"/>
    <mergeCell ref="J83:K83"/>
    <mergeCell ref="L83:M83"/>
    <mergeCell ref="A92:D92"/>
    <mergeCell ref="F92:G92"/>
    <mergeCell ref="H92:I92"/>
    <mergeCell ref="J92:K92"/>
    <mergeCell ref="L92:M92"/>
    <mergeCell ref="A93:D93"/>
    <mergeCell ref="F93:G93"/>
    <mergeCell ref="H93:I93"/>
    <mergeCell ref="J93:K93"/>
    <mergeCell ref="L93:M93"/>
    <mergeCell ref="B90:D90"/>
    <mergeCell ref="F90:G90"/>
    <mergeCell ref="H90:I90"/>
    <mergeCell ref="J90:K90"/>
    <mergeCell ref="L90:M90"/>
    <mergeCell ref="A91:M91"/>
    <mergeCell ref="B88:D88"/>
    <mergeCell ref="F88:G88"/>
    <mergeCell ref="H88:I88"/>
    <mergeCell ref="J88:K88"/>
    <mergeCell ref="L88:M88"/>
    <mergeCell ref="B89:D89"/>
    <mergeCell ref="F89:G89"/>
    <mergeCell ref="H89:I89"/>
    <mergeCell ref="J89:K89"/>
    <mergeCell ref="L89:M89"/>
    <mergeCell ref="A98:M98"/>
    <mergeCell ref="B104:M104"/>
    <mergeCell ref="A105:M105"/>
    <mergeCell ref="A106:M106"/>
    <mergeCell ref="A107:M107"/>
    <mergeCell ref="A108:M108"/>
    <mergeCell ref="A96:D96"/>
    <mergeCell ref="F96:G96"/>
    <mergeCell ref="H96:I96"/>
    <mergeCell ref="J96:K96"/>
    <mergeCell ref="L96:M96"/>
    <mergeCell ref="A97:M97"/>
    <mergeCell ref="A94:D94"/>
    <mergeCell ref="F94:G94"/>
    <mergeCell ref="H94:I94"/>
    <mergeCell ref="J94:K94"/>
    <mergeCell ref="L94:M94"/>
    <mergeCell ref="A95:D95"/>
    <mergeCell ref="F95:G95"/>
    <mergeCell ref="H95:I95"/>
    <mergeCell ref="J95:K95"/>
    <mergeCell ref="L95:M95"/>
    <mergeCell ref="A119:B119"/>
    <mergeCell ref="C119:G119"/>
    <mergeCell ref="H119:I119"/>
    <mergeCell ref="J119:M119"/>
    <mergeCell ref="A120:B120"/>
    <mergeCell ref="A121:C121"/>
    <mergeCell ref="D121:G121"/>
    <mergeCell ref="H121:I121"/>
    <mergeCell ref="J121:M121"/>
    <mergeCell ref="A115:M115"/>
    <mergeCell ref="A117:B117"/>
    <mergeCell ref="A118:B118"/>
    <mergeCell ref="H118:I118"/>
    <mergeCell ref="J118:K118"/>
    <mergeCell ref="L118:M118"/>
    <mergeCell ref="A109:L109"/>
    <mergeCell ref="A110:K110"/>
    <mergeCell ref="A111:M111"/>
    <mergeCell ref="A112:M112"/>
    <mergeCell ref="A113:M113"/>
    <mergeCell ref="A114:M114"/>
    <mergeCell ref="B126:D126"/>
    <mergeCell ref="F126:G126"/>
    <mergeCell ref="H126:I126"/>
    <mergeCell ref="J126:K126"/>
    <mergeCell ref="L126:M126"/>
    <mergeCell ref="B127:D127"/>
    <mergeCell ref="F127:G127"/>
    <mergeCell ref="H127:I127"/>
    <mergeCell ref="J127:K127"/>
    <mergeCell ref="L127:M127"/>
    <mergeCell ref="A124:M124"/>
    <mergeCell ref="B125:D125"/>
    <mergeCell ref="F125:G125"/>
    <mergeCell ref="H125:I125"/>
    <mergeCell ref="J125:K125"/>
    <mergeCell ref="L125:M125"/>
    <mergeCell ref="A122:C122"/>
    <mergeCell ref="D122:G122"/>
    <mergeCell ref="H122:I122"/>
    <mergeCell ref="J122:M122"/>
    <mergeCell ref="A123:C123"/>
    <mergeCell ref="D123:G123"/>
    <mergeCell ref="H123:I123"/>
    <mergeCell ref="J123:M123"/>
    <mergeCell ref="B130:D130"/>
    <mergeCell ref="F130:G130"/>
    <mergeCell ref="H130:I130"/>
    <mergeCell ref="J130:K130"/>
    <mergeCell ref="L130:M130"/>
    <mergeCell ref="B131:D131"/>
    <mergeCell ref="F131:G131"/>
    <mergeCell ref="H131:I131"/>
    <mergeCell ref="J131:K131"/>
    <mergeCell ref="L131:M131"/>
    <mergeCell ref="B128:D128"/>
    <mergeCell ref="F128:G128"/>
    <mergeCell ref="H128:I128"/>
    <mergeCell ref="J128:K128"/>
    <mergeCell ref="L128:M128"/>
    <mergeCell ref="B129:D129"/>
    <mergeCell ref="F129:G129"/>
    <mergeCell ref="H129:I129"/>
    <mergeCell ref="J129:K129"/>
    <mergeCell ref="L129:M129"/>
    <mergeCell ref="B134:D134"/>
    <mergeCell ref="F134:G134"/>
    <mergeCell ref="H134:I134"/>
    <mergeCell ref="J134:K134"/>
    <mergeCell ref="L134:M134"/>
    <mergeCell ref="B135:D135"/>
    <mergeCell ref="F135:G135"/>
    <mergeCell ref="H135:I135"/>
    <mergeCell ref="J135:K135"/>
    <mergeCell ref="L135:M135"/>
    <mergeCell ref="B132:D132"/>
    <mergeCell ref="F132:G132"/>
    <mergeCell ref="H132:I132"/>
    <mergeCell ref="J132:K132"/>
    <mergeCell ref="L132:M132"/>
    <mergeCell ref="B133:D133"/>
    <mergeCell ref="F133:G133"/>
    <mergeCell ref="H133:I133"/>
    <mergeCell ref="J133:K133"/>
    <mergeCell ref="L133:M133"/>
    <mergeCell ref="A138:D138"/>
    <mergeCell ref="F138:G138"/>
    <mergeCell ref="H138:I138"/>
    <mergeCell ref="J138:K138"/>
    <mergeCell ref="L138:M138"/>
    <mergeCell ref="B139:D139"/>
    <mergeCell ref="F139:G139"/>
    <mergeCell ref="H139:I139"/>
    <mergeCell ref="J139:K139"/>
    <mergeCell ref="L139:M139"/>
    <mergeCell ref="H136:I136"/>
    <mergeCell ref="J136:K136"/>
    <mergeCell ref="L136:M136"/>
    <mergeCell ref="A137:D137"/>
    <mergeCell ref="F137:G137"/>
    <mergeCell ref="H137:I137"/>
    <mergeCell ref="J137:K137"/>
    <mergeCell ref="L137:M137"/>
    <mergeCell ref="A144:M144"/>
    <mergeCell ref="A145:D145"/>
    <mergeCell ref="F145:G145"/>
    <mergeCell ref="H145:I145"/>
    <mergeCell ref="J145:K145"/>
    <mergeCell ref="L145:M145"/>
    <mergeCell ref="B142:D142"/>
    <mergeCell ref="F142:G142"/>
    <mergeCell ref="H142:I142"/>
    <mergeCell ref="J142:K142"/>
    <mergeCell ref="L142:M142"/>
    <mergeCell ref="B143:D143"/>
    <mergeCell ref="F143:G143"/>
    <mergeCell ref="H143:I143"/>
    <mergeCell ref="J143:K143"/>
    <mergeCell ref="L143:M143"/>
    <mergeCell ref="B140:D140"/>
    <mergeCell ref="F140:G140"/>
    <mergeCell ref="H140:I140"/>
    <mergeCell ref="J140:K140"/>
    <mergeCell ref="L140:M140"/>
    <mergeCell ref="B141:D141"/>
    <mergeCell ref="F141:G141"/>
    <mergeCell ref="H141:I141"/>
    <mergeCell ref="J141:K141"/>
    <mergeCell ref="L141:M141"/>
    <mergeCell ref="A150:D150"/>
    <mergeCell ref="F150:G150"/>
    <mergeCell ref="H150:I150"/>
    <mergeCell ref="J150:K150"/>
    <mergeCell ref="L150:M150"/>
    <mergeCell ref="A151:D151"/>
    <mergeCell ref="F151:G151"/>
    <mergeCell ref="H151:I151"/>
    <mergeCell ref="J151:K151"/>
    <mergeCell ref="L151:M151"/>
    <mergeCell ref="B148:D148"/>
    <mergeCell ref="F148:G148"/>
    <mergeCell ref="H148:I148"/>
    <mergeCell ref="J148:K148"/>
    <mergeCell ref="L148:M148"/>
    <mergeCell ref="A149:M149"/>
    <mergeCell ref="B146:D146"/>
    <mergeCell ref="F146:G146"/>
    <mergeCell ref="H146:I146"/>
    <mergeCell ref="J146:K146"/>
    <mergeCell ref="L146:M146"/>
    <mergeCell ref="B147:D147"/>
    <mergeCell ref="F147:G147"/>
    <mergeCell ref="H147:I147"/>
    <mergeCell ref="J147:K147"/>
    <mergeCell ref="L147:M147"/>
    <mergeCell ref="A156:M156"/>
    <mergeCell ref="B162:M162"/>
    <mergeCell ref="A163:M163"/>
    <mergeCell ref="A164:M164"/>
    <mergeCell ref="A165:M165"/>
    <mergeCell ref="A166:M166"/>
    <mergeCell ref="A154:D154"/>
    <mergeCell ref="F154:G154"/>
    <mergeCell ref="H154:I154"/>
    <mergeCell ref="J154:K154"/>
    <mergeCell ref="L154:M154"/>
    <mergeCell ref="A155:M155"/>
    <mergeCell ref="A152:D152"/>
    <mergeCell ref="F152:G152"/>
    <mergeCell ref="H152:I152"/>
    <mergeCell ref="J152:K152"/>
    <mergeCell ref="L152:M152"/>
    <mergeCell ref="A153:D153"/>
    <mergeCell ref="F153:G153"/>
    <mergeCell ref="H153:I153"/>
    <mergeCell ref="J153:K153"/>
    <mergeCell ref="L153:M153"/>
    <mergeCell ref="A177:B177"/>
    <mergeCell ref="C177:G177"/>
    <mergeCell ref="H177:I177"/>
    <mergeCell ref="J177:M177"/>
    <mergeCell ref="A178:B178"/>
    <mergeCell ref="A179:C179"/>
    <mergeCell ref="D179:G179"/>
    <mergeCell ref="H179:I179"/>
    <mergeCell ref="J179:M179"/>
    <mergeCell ref="A173:M173"/>
    <mergeCell ref="A175:B175"/>
    <mergeCell ref="A176:B176"/>
    <mergeCell ref="H176:I176"/>
    <mergeCell ref="J176:K176"/>
    <mergeCell ref="L176:M176"/>
    <mergeCell ref="A167:L167"/>
    <mergeCell ref="A168:K168"/>
    <mergeCell ref="A169:M169"/>
    <mergeCell ref="A170:M170"/>
    <mergeCell ref="A171:M171"/>
    <mergeCell ref="A172:M172"/>
    <mergeCell ref="B184:D184"/>
    <mergeCell ref="F184:G184"/>
    <mergeCell ref="H184:I184"/>
    <mergeCell ref="J184:K184"/>
    <mergeCell ref="L184:M184"/>
    <mergeCell ref="B185:D185"/>
    <mergeCell ref="F185:G185"/>
    <mergeCell ref="H185:I185"/>
    <mergeCell ref="J185:K185"/>
    <mergeCell ref="L185:M185"/>
    <mergeCell ref="A182:M182"/>
    <mergeCell ref="B183:D183"/>
    <mergeCell ref="F183:G183"/>
    <mergeCell ref="H183:I183"/>
    <mergeCell ref="J183:K183"/>
    <mergeCell ref="L183:M183"/>
    <mergeCell ref="A180:C180"/>
    <mergeCell ref="D180:G180"/>
    <mergeCell ref="H180:I180"/>
    <mergeCell ref="J180:M180"/>
    <mergeCell ref="A181:C181"/>
    <mergeCell ref="D181:G181"/>
    <mergeCell ref="H181:I181"/>
    <mergeCell ref="J181:M181"/>
    <mergeCell ref="B188:D188"/>
    <mergeCell ref="F188:G188"/>
    <mergeCell ref="H188:I188"/>
    <mergeCell ref="J188:K188"/>
    <mergeCell ref="L188:M188"/>
    <mergeCell ref="B189:D189"/>
    <mergeCell ref="F189:G189"/>
    <mergeCell ref="H189:I189"/>
    <mergeCell ref="J189:K189"/>
    <mergeCell ref="L189:M189"/>
    <mergeCell ref="B186:D186"/>
    <mergeCell ref="F186:G186"/>
    <mergeCell ref="H186:I186"/>
    <mergeCell ref="J186:K186"/>
    <mergeCell ref="L186:M186"/>
    <mergeCell ref="B187:D187"/>
    <mergeCell ref="F187:G187"/>
    <mergeCell ref="H187:I187"/>
    <mergeCell ref="J187:K187"/>
    <mergeCell ref="L187:M187"/>
    <mergeCell ref="B192:D192"/>
    <mergeCell ref="F192:G192"/>
    <mergeCell ref="H192:I192"/>
    <mergeCell ref="J192:K192"/>
    <mergeCell ref="L192:M192"/>
    <mergeCell ref="B193:D193"/>
    <mergeCell ref="F193:G193"/>
    <mergeCell ref="H193:I193"/>
    <mergeCell ref="J193:K193"/>
    <mergeCell ref="L193:M193"/>
    <mergeCell ref="B190:D190"/>
    <mergeCell ref="F190:G190"/>
    <mergeCell ref="H190:I190"/>
    <mergeCell ref="J190:K190"/>
    <mergeCell ref="L190:M190"/>
    <mergeCell ref="B191:D191"/>
    <mergeCell ref="F191:G191"/>
    <mergeCell ref="H191:I191"/>
    <mergeCell ref="J191:K191"/>
    <mergeCell ref="L191:M191"/>
    <mergeCell ref="A196:D196"/>
    <mergeCell ref="F196:G196"/>
    <mergeCell ref="H196:I196"/>
    <mergeCell ref="J196:K196"/>
    <mergeCell ref="L196:M196"/>
    <mergeCell ref="B197:D197"/>
    <mergeCell ref="F197:G197"/>
    <mergeCell ref="H197:I197"/>
    <mergeCell ref="J197:K197"/>
    <mergeCell ref="L197:M197"/>
    <mergeCell ref="H194:I194"/>
    <mergeCell ref="J194:K194"/>
    <mergeCell ref="L194:M194"/>
    <mergeCell ref="A195:D195"/>
    <mergeCell ref="F195:G195"/>
    <mergeCell ref="H195:I195"/>
    <mergeCell ref="J195:K195"/>
    <mergeCell ref="L195:M195"/>
    <mergeCell ref="A202:M202"/>
    <mergeCell ref="A203:D203"/>
    <mergeCell ref="F203:G203"/>
    <mergeCell ref="H203:I203"/>
    <mergeCell ref="J203:K203"/>
    <mergeCell ref="L203:M203"/>
    <mergeCell ref="B200:D200"/>
    <mergeCell ref="F200:G200"/>
    <mergeCell ref="H200:I200"/>
    <mergeCell ref="J200:K200"/>
    <mergeCell ref="L200:M200"/>
    <mergeCell ref="B201:D201"/>
    <mergeCell ref="F201:G201"/>
    <mergeCell ref="H201:I201"/>
    <mergeCell ref="J201:K201"/>
    <mergeCell ref="L201:M201"/>
    <mergeCell ref="B198:D198"/>
    <mergeCell ref="F198:G198"/>
    <mergeCell ref="H198:I198"/>
    <mergeCell ref="J198:K198"/>
    <mergeCell ref="L198:M198"/>
    <mergeCell ref="B199:D199"/>
    <mergeCell ref="F199:G199"/>
    <mergeCell ref="H199:I199"/>
    <mergeCell ref="J199:K199"/>
    <mergeCell ref="L199:M199"/>
    <mergeCell ref="A208:D208"/>
    <mergeCell ref="F208:G208"/>
    <mergeCell ref="H208:I208"/>
    <mergeCell ref="J208:K208"/>
    <mergeCell ref="L208:M208"/>
    <mergeCell ref="A209:D209"/>
    <mergeCell ref="F209:G209"/>
    <mergeCell ref="H209:I209"/>
    <mergeCell ref="J209:K209"/>
    <mergeCell ref="L209:M209"/>
    <mergeCell ref="B206:D206"/>
    <mergeCell ref="F206:G206"/>
    <mergeCell ref="H206:I206"/>
    <mergeCell ref="J206:K206"/>
    <mergeCell ref="L206:M206"/>
    <mergeCell ref="A207:M207"/>
    <mergeCell ref="B204:D204"/>
    <mergeCell ref="F204:G204"/>
    <mergeCell ref="H204:I204"/>
    <mergeCell ref="J204:K204"/>
    <mergeCell ref="L204:M204"/>
    <mergeCell ref="B205:D205"/>
    <mergeCell ref="F205:G205"/>
    <mergeCell ref="H205:I205"/>
    <mergeCell ref="J205:K205"/>
    <mergeCell ref="L205:M205"/>
    <mergeCell ref="A214:M214"/>
    <mergeCell ref="B220:M220"/>
    <mergeCell ref="A221:M221"/>
    <mergeCell ref="A222:M222"/>
    <mergeCell ref="A223:M223"/>
    <mergeCell ref="A224:M224"/>
    <mergeCell ref="A212:D212"/>
    <mergeCell ref="F212:G212"/>
    <mergeCell ref="H212:I212"/>
    <mergeCell ref="J212:K212"/>
    <mergeCell ref="L212:M212"/>
    <mergeCell ref="A213:M213"/>
    <mergeCell ref="A210:D210"/>
    <mergeCell ref="F210:G210"/>
    <mergeCell ref="H210:I210"/>
    <mergeCell ref="J210:K210"/>
    <mergeCell ref="L210:M210"/>
    <mergeCell ref="A211:D211"/>
    <mergeCell ref="F211:G211"/>
    <mergeCell ref="H211:I211"/>
    <mergeCell ref="J211:K211"/>
    <mergeCell ref="L211:M211"/>
    <mergeCell ref="A235:B235"/>
    <mergeCell ref="C235:G235"/>
    <mergeCell ref="H235:I235"/>
    <mergeCell ref="J235:M235"/>
    <mergeCell ref="A236:B236"/>
    <mergeCell ref="A237:C237"/>
    <mergeCell ref="D237:G237"/>
    <mergeCell ref="H237:I237"/>
    <mergeCell ref="J237:M237"/>
    <mergeCell ref="A231:M231"/>
    <mergeCell ref="A233:B233"/>
    <mergeCell ref="A234:B234"/>
    <mergeCell ref="H234:I234"/>
    <mergeCell ref="J234:K234"/>
    <mergeCell ref="L234:M234"/>
    <mergeCell ref="A225:L225"/>
    <mergeCell ref="A226:K226"/>
    <mergeCell ref="A227:M227"/>
    <mergeCell ref="A228:M228"/>
    <mergeCell ref="A229:M229"/>
    <mergeCell ref="A230:M230"/>
    <mergeCell ref="B242:D242"/>
    <mergeCell ref="F242:G242"/>
    <mergeCell ref="H242:I242"/>
    <mergeCell ref="J242:K242"/>
    <mergeCell ref="L242:M242"/>
    <mergeCell ref="B243:D243"/>
    <mergeCell ref="F243:G243"/>
    <mergeCell ref="H243:I243"/>
    <mergeCell ref="J243:K243"/>
    <mergeCell ref="L243:M243"/>
    <mergeCell ref="A240:M240"/>
    <mergeCell ref="B241:D241"/>
    <mergeCell ref="F241:G241"/>
    <mergeCell ref="H241:I241"/>
    <mergeCell ref="J241:K241"/>
    <mergeCell ref="L241:M241"/>
    <mergeCell ref="A238:C238"/>
    <mergeCell ref="D238:G238"/>
    <mergeCell ref="H238:I238"/>
    <mergeCell ref="J238:M238"/>
    <mergeCell ref="A239:C239"/>
    <mergeCell ref="D239:G239"/>
    <mergeCell ref="H239:I239"/>
    <mergeCell ref="J239:M239"/>
    <mergeCell ref="B246:D246"/>
    <mergeCell ref="F246:G246"/>
    <mergeCell ref="H246:I246"/>
    <mergeCell ref="J246:K246"/>
    <mergeCell ref="L246:M246"/>
    <mergeCell ref="B247:D247"/>
    <mergeCell ref="F247:G247"/>
    <mergeCell ref="H247:I247"/>
    <mergeCell ref="J247:K247"/>
    <mergeCell ref="L247:M247"/>
    <mergeCell ref="B244:D244"/>
    <mergeCell ref="F244:G244"/>
    <mergeCell ref="H244:I244"/>
    <mergeCell ref="J244:K244"/>
    <mergeCell ref="L244:M244"/>
    <mergeCell ref="B245:D245"/>
    <mergeCell ref="F245:G245"/>
    <mergeCell ref="H245:I245"/>
    <mergeCell ref="J245:K245"/>
    <mergeCell ref="L245:M245"/>
    <mergeCell ref="B250:D250"/>
    <mergeCell ref="F250:G250"/>
    <mergeCell ref="H250:I250"/>
    <mergeCell ref="J250:K250"/>
    <mergeCell ref="L250:M250"/>
    <mergeCell ref="B251:D251"/>
    <mergeCell ref="F251:G251"/>
    <mergeCell ref="H251:I251"/>
    <mergeCell ref="J251:K251"/>
    <mergeCell ref="L251:M251"/>
    <mergeCell ref="B248:D248"/>
    <mergeCell ref="F248:G248"/>
    <mergeCell ref="H248:I248"/>
    <mergeCell ref="J248:K248"/>
    <mergeCell ref="L248:M248"/>
    <mergeCell ref="B249:D249"/>
    <mergeCell ref="F249:G249"/>
    <mergeCell ref="H249:I249"/>
    <mergeCell ref="J249:K249"/>
    <mergeCell ref="L249:M249"/>
    <mergeCell ref="A254:D254"/>
    <mergeCell ref="F254:G254"/>
    <mergeCell ref="H254:I254"/>
    <mergeCell ref="J254:K254"/>
    <mergeCell ref="L254:M254"/>
    <mergeCell ref="B255:D255"/>
    <mergeCell ref="F255:G255"/>
    <mergeCell ref="H255:I255"/>
    <mergeCell ref="J255:K255"/>
    <mergeCell ref="L255:M255"/>
    <mergeCell ref="H252:I252"/>
    <mergeCell ref="J252:K252"/>
    <mergeCell ref="L252:M252"/>
    <mergeCell ref="A253:D253"/>
    <mergeCell ref="F253:G253"/>
    <mergeCell ref="H253:I253"/>
    <mergeCell ref="J253:K253"/>
    <mergeCell ref="L253:M253"/>
    <mergeCell ref="A260:M260"/>
    <mergeCell ref="A261:D261"/>
    <mergeCell ref="F261:G261"/>
    <mergeCell ref="H261:I261"/>
    <mergeCell ref="J261:K261"/>
    <mergeCell ref="L261:M261"/>
    <mergeCell ref="B258:D258"/>
    <mergeCell ref="F258:G258"/>
    <mergeCell ref="H258:I258"/>
    <mergeCell ref="J258:K258"/>
    <mergeCell ref="L258:M258"/>
    <mergeCell ref="B259:D259"/>
    <mergeCell ref="F259:G259"/>
    <mergeCell ref="H259:I259"/>
    <mergeCell ref="J259:K259"/>
    <mergeCell ref="L259:M259"/>
    <mergeCell ref="B256:D256"/>
    <mergeCell ref="F256:G256"/>
    <mergeCell ref="H256:I256"/>
    <mergeCell ref="J256:K256"/>
    <mergeCell ref="L256:M256"/>
    <mergeCell ref="B257:D257"/>
    <mergeCell ref="F257:G257"/>
    <mergeCell ref="H257:I257"/>
    <mergeCell ref="J257:K257"/>
    <mergeCell ref="L257:M257"/>
    <mergeCell ref="A266:D266"/>
    <mergeCell ref="F266:G266"/>
    <mergeCell ref="H266:I266"/>
    <mergeCell ref="J266:K266"/>
    <mergeCell ref="L266:M266"/>
    <mergeCell ref="A267:D267"/>
    <mergeCell ref="F267:G267"/>
    <mergeCell ref="H267:I267"/>
    <mergeCell ref="J267:K267"/>
    <mergeCell ref="L267:M267"/>
    <mergeCell ref="B264:D264"/>
    <mergeCell ref="F264:G264"/>
    <mergeCell ref="H264:I264"/>
    <mergeCell ref="J264:K264"/>
    <mergeCell ref="L264:M264"/>
    <mergeCell ref="A265:M265"/>
    <mergeCell ref="B262:D262"/>
    <mergeCell ref="F262:G262"/>
    <mergeCell ref="H262:I262"/>
    <mergeCell ref="J262:K262"/>
    <mergeCell ref="L262:M262"/>
    <mergeCell ref="B263:D263"/>
    <mergeCell ref="F263:G263"/>
    <mergeCell ref="H263:I263"/>
    <mergeCell ref="J263:K263"/>
    <mergeCell ref="L263:M263"/>
    <mergeCell ref="A272:M272"/>
    <mergeCell ref="B278:M278"/>
    <mergeCell ref="A279:M279"/>
    <mergeCell ref="A280:M280"/>
    <mergeCell ref="A281:M281"/>
    <mergeCell ref="A282:M282"/>
    <mergeCell ref="A270:D270"/>
    <mergeCell ref="F270:G270"/>
    <mergeCell ref="H270:I270"/>
    <mergeCell ref="J270:K270"/>
    <mergeCell ref="L270:M270"/>
    <mergeCell ref="A271:M271"/>
    <mergeCell ref="A268:D268"/>
    <mergeCell ref="F268:G268"/>
    <mergeCell ref="H268:I268"/>
    <mergeCell ref="J268:K268"/>
    <mergeCell ref="L268:M268"/>
    <mergeCell ref="A269:D269"/>
    <mergeCell ref="F269:G269"/>
    <mergeCell ref="H269:I269"/>
    <mergeCell ref="J269:K269"/>
    <mergeCell ref="L269:M269"/>
    <mergeCell ref="A293:B293"/>
    <mergeCell ref="C293:G293"/>
    <mergeCell ref="H293:I293"/>
    <mergeCell ref="J293:M293"/>
    <mergeCell ref="A294:B294"/>
    <mergeCell ref="A295:C295"/>
    <mergeCell ref="D295:G295"/>
    <mergeCell ref="H295:I295"/>
    <mergeCell ref="J295:M295"/>
    <mergeCell ref="A289:M289"/>
    <mergeCell ref="A291:B291"/>
    <mergeCell ref="A292:B292"/>
    <mergeCell ref="H292:I292"/>
    <mergeCell ref="J292:K292"/>
    <mergeCell ref="L292:M292"/>
    <mergeCell ref="A283:L283"/>
    <mergeCell ref="A284:K284"/>
    <mergeCell ref="A285:M285"/>
    <mergeCell ref="A286:M286"/>
    <mergeCell ref="A287:M287"/>
    <mergeCell ref="A288:M288"/>
    <mergeCell ref="B300:D300"/>
    <mergeCell ref="F300:G300"/>
    <mergeCell ref="H300:I300"/>
    <mergeCell ref="J300:K300"/>
    <mergeCell ref="L300:M300"/>
    <mergeCell ref="B301:D301"/>
    <mergeCell ref="F301:G301"/>
    <mergeCell ref="H301:I301"/>
    <mergeCell ref="J301:K301"/>
    <mergeCell ref="L301:M301"/>
    <mergeCell ref="A298:M298"/>
    <mergeCell ref="B299:D299"/>
    <mergeCell ref="F299:G299"/>
    <mergeCell ref="H299:I299"/>
    <mergeCell ref="J299:K299"/>
    <mergeCell ref="L299:M299"/>
    <mergeCell ref="A296:C296"/>
    <mergeCell ref="D296:G296"/>
    <mergeCell ref="H296:I296"/>
    <mergeCell ref="J296:M296"/>
    <mergeCell ref="A297:C297"/>
    <mergeCell ref="D297:G297"/>
    <mergeCell ref="H297:I297"/>
    <mergeCell ref="J297:M297"/>
    <mergeCell ref="B304:D304"/>
    <mergeCell ref="F304:G304"/>
    <mergeCell ref="H304:I304"/>
    <mergeCell ref="J304:K304"/>
    <mergeCell ref="L304:M304"/>
    <mergeCell ref="B305:D305"/>
    <mergeCell ref="F305:G305"/>
    <mergeCell ref="H305:I305"/>
    <mergeCell ref="J305:K305"/>
    <mergeCell ref="L305:M305"/>
    <mergeCell ref="B302:D302"/>
    <mergeCell ref="F302:G302"/>
    <mergeCell ref="H302:I302"/>
    <mergeCell ref="J302:K302"/>
    <mergeCell ref="L302:M302"/>
    <mergeCell ref="B303:D303"/>
    <mergeCell ref="F303:G303"/>
    <mergeCell ref="H303:I303"/>
    <mergeCell ref="J303:K303"/>
    <mergeCell ref="L303:M303"/>
    <mergeCell ref="B308:D308"/>
    <mergeCell ref="F308:G308"/>
    <mergeCell ref="H308:I308"/>
    <mergeCell ref="J308:K308"/>
    <mergeCell ref="L308:M308"/>
    <mergeCell ref="B309:D309"/>
    <mergeCell ref="F309:G309"/>
    <mergeCell ref="H309:I309"/>
    <mergeCell ref="J309:K309"/>
    <mergeCell ref="L309:M309"/>
    <mergeCell ref="B306:D306"/>
    <mergeCell ref="F306:G306"/>
    <mergeCell ref="H306:I306"/>
    <mergeCell ref="J306:K306"/>
    <mergeCell ref="L306:M306"/>
    <mergeCell ref="B307:D307"/>
    <mergeCell ref="F307:G307"/>
    <mergeCell ref="H307:I307"/>
    <mergeCell ref="J307:K307"/>
    <mergeCell ref="L307:M307"/>
    <mergeCell ref="A312:D312"/>
    <mergeCell ref="F312:G312"/>
    <mergeCell ref="H312:I312"/>
    <mergeCell ref="J312:K312"/>
    <mergeCell ref="L312:M312"/>
    <mergeCell ref="B313:D313"/>
    <mergeCell ref="F313:G313"/>
    <mergeCell ref="H313:I313"/>
    <mergeCell ref="J313:K313"/>
    <mergeCell ref="L313:M313"/>
    <mergeCell ref="H310:I310"/>
    <mergeCell ref="J310:K310"/>
    <mergeCell ref="L310:M310"/>
    <mergeCell ref="A311:D311"/>
    <mergeCell ref="F311:G311"/>
    <mergeCell ref="H311:I311"/>
    <mergeCell ref="J311:K311"/>
    <mergeCell ref="L311:M311"/>
    <mergeCell ref="A318:M318"/>
    <mergeCell ref="A319:D319"/>
    <mergeCell ref="F319:G319"/>
    <mergeCell ref="H319:I319"/>
    <mergeCell ref="J319:K319"/>
    <mergeCell ref="L319:M319"/>
    <mergeCell ref="B316:D316"/>
    <mergeCell ref="F316:G316"/>
    <mergeCell ref="H316:I316"/>
    <mergeCell ref="J316:K316"/>
    <mergeCell ref="L316:M316"/>
    <mergeCell ref="B317:D317"/>
    <mergeCell ref="F317:G317"/>
    <mergeCell ref="H317:I317"/>
    <mergeCell ref="J317:K317"/>
    <mergeCell ref="L317:M317"/>
    <mergeCell ref="B314:D314"/>
    <mergeCell ref="F314:G314"/>
    <mergeCell ref="H314:I314"/>
    <mergeCell ref="J314:K314"/>
    <mergeCell ref="L314:M314"/>
    <mergeCell ref="B315:D315"/>
    <mergeCell ref="F315:G315"/>
    <mergeCell ref="H315:I315"/>
    <mergeCell ref="J315:K315"/>
    <mergeCell ref="L315:M315"/>
    <mergeCell ref="A324:D324"/>
    <mergeCell ref="F324:G324"/>
    <mergeCell ref="H324:I324"/>
    <mergeCell ref="J324:K324"/>
    <mergeCell ref="L324:M324"/>
    <mergeCell ref="A325:D325"/>
    <mergeCell ref="F325:G325"/>
    <mergeCell ref="H325:I325"/>
    <mergeCell ref="J325:K325"/>
    <mergeCell ref="L325:M325"/>
    <mergeCell ref="B322:D322"/>
    <mergeCell ref="F322:G322"/>
    <mergeCell ref="H322:I322"/>
    <mergeCell ref="J322:K322"/>
    <mergeCell ref="L322:M322"/>
    <mergeCell ref="A323:M323"/>
    <mergeCell ref="B320:D320"/>
    <mergeCell ref="F320:G320"/>
    <mergeCell ref="H320:I320"/>
    <mergeCell ref="J320:K320"/>
    <mergeCell ref="L320:M320"/>
    <mergeCell ref="B321:D321"/>
    <mergeCell ref="F321:G321"/>
    <mergeCell ref="H321:I321"/>
    <mergeCell ref="J321:K321"/>
    <mergeCell ref="L321:M321"/>
    <mergeCell ref="A330:M330"/>
    <mergeCell ref="B336:M336"/>
    <mergeCell ref="A337:M337"/>
    <mergeCell ref="A338:M338"/>
    <mergeCell ref="A339:M339"/>
    <mergeCell ref="A340:M340"/>
    <mergeCell ref="A328:D328"/>
    <mergeCell ref="F328:G328"/>
    <mergeCell ref="H328:I328"/>
    <mergeCell ref="J328:K328"/>
    <mergeCell ref="L328:M328"/>
    <mergeCell ref="A329:M329"/>
    <mergeCell ref="A326:D326"/>
    <mergeCell ref="F326:G326"/>
    <mergeCell ref="H326:I326"/>
    <mergeCell ref="J326:K326"/>
    <mergeCell ref="L326:M326"/>
    <mergeCell ref="A327:D327"/>
    <mergeCell ref="F327:G327"/>
    <mergeCell ref="H327:I327"/>
    <mergeCell ref="J327:K327"/>
    <mergeCell ref="L327:M327"/>
    <mergeCell ref="A351:B351"/>
    <mergeCell ref="C351:G351"/>
    <mergeCell ref="H351:I351"/>
    <mergeCell ref="J351:M351"/>
    <mergeCell ref="A352:B352"/>
    <mergeCell ref="A353:C353"/>
    <mergeCell ref="D353:G353"/>
    <mergeCell ref="H353:I353"/>
    <mergeCell ref="J353:M353"/>
    <mergeCell ref="A347:M347"/>
    <mergeCell ref="A349:B349"/>
    <mergeCell ref="A350:B350"/>
    <mergeCell ref="H350:I350"/>
    <mergeCell ref="J350:K350"/>
    <mergeCell ref="L350:M350"/>
    <mergeCell ref="A341:L341"/>
    <mergeCell ref="A342:K342"/>
    <mergeCell ref="A343:M343"/>
    <mergeCell ref="A344:M344"/>
    <mergeCell ref="A345:M345"/>
    <mergeCell ref="A346:M346"/>
    <mergeCell ref="B358:D358"/>
    <mergeCell ref="F358:G358"/>
    <mergeCell ref="H358:I358"/>
    <mergeCell ref="J358:K358"/>
    <mergeCell ref="L358:M358"/>
    <mergeCell ref="B359:D359"/>
    <mergeCell ref="F359:G359"/>
    <mergeCell ref="H359:I359"/>
    <mergeCell ref="J359:K359"/>
    <mergeCell ref="L359:M359"/>
    <mergeCell ref="A356:M356"/>
    <mergeCell ref="B357:D357"/>
    <mergeCell ref="F357:G357"/>
    <mergeCell ref="H357:I357"/>
    <mergeCell ref="J357:K357"/>
    <mergeCell ref="L357:M357"/>
    <mergeCell ref="A354:C354"/>
    <mergeCell ref="D354:G354"/>
    <mergeCell ref="H354:I354"/>
    <mergeCell ref="J354:M354"/>
    <mergeCell ref="A355:C355"/>
    <mergeCell ref="D355:G355"/>
    <mergeCell ref="H355:I355"/>
    <mergeCell ref="J355:M355"/>
    <mergeCell ref="B362:D362"/>
    <mergeCell ref="F362:G362"/>
    <mergeCell ref="H362:I362"/>
    <mergeCell ref="J362:K362"/>
    <mergeCell ref="L362:M362"/>
    <mergeCell ref="B363:D363"/>
    <mergeCell ref="F363:G363"/>
    <mergeCell ref="H363:I363"/>
    <mergeCell ref="J363:K363"/>
    <mergeCell ref="L363:M363"/>
    <mergeCell ref="B360:D360"/>
    <mergeCell ref="F360:G360"/>
    <mergeCell ref="H360:I360"/>
    <mergeCell ref="J360:K360"/>
    <mergeCell ref="L360:M360"/>
    <mergeCell ref="B361:D361"/>
    <mergeCell ref="F361:G361"/>
    <mergeCell ref="H361:I361"/>
    <mergeCell ref="J361:K361"/>
    <mergeCell ref="L361:M361"/>
    <mergeCell ref="B366:D366"/>
    <mergeCell ref="F366:G366"/>
    <mergeCell ref="H366:I366"/>
    <mergeCell ref="J366:K366"/>
    <mergeCell ref="L366:M366"/>
    <mergeCell ref="B367:D367"/>
    <mergeCell ref="F367:G367"/>
    <mergeCell ref="H367:I367"/>
    <mergeCell ref="J367:K367"/>
    <mergeCell ref="L367:M367"/>
    <mergeCell ref="B364:D364"/>
    <mergeCell ref="F364:G364"/>
    <mergeCell ref="H364:I364"/>
    <mergeCell ref="J364:K364"/>
    <mergeCell ref="L364:M364"/>
    <mergeCell ref="B365:D365"/>
    <mergeCell ref="F365:G365"/>
    <mergeCell ref="H365:I365"/>
    <mergeCell ref="J365:K365"/>
    <mergeCell ref="L365:M365"/>
    <mergeCell ref="A370:D370"/>
    <mergeCell ref="F370:G370"/>
    <mergeCell ref="H370:I370"/>
    <mergeCell ref="J370:K370"/>
    <mergeCell ref="L370:M370"/>
    <mergeCell ref="B371:D371"/>
    <mergeCell ref="F371:G371"/>
    <mergeCell ref="H371:I371"/>
    <mergeCell ref="J371:K371"/>
    <mergeCell ref="L371:M371"/>
    <mergeCell ref="H368:I368"/>
    <mergeCell ref="J368:K368"/>
    <mergeCell ref="L368:M368"/>
    <mergeCell ref="A369:D369"/>
    <mergeCell ref="F369:G369"/>
    <mergeCell ref="H369:I369"/>
    <mergeCell ref="J369:K369"/>
    <mergeCell ref="L369:M369"/>
    <mergeCell ref="A376:M376"/>
    <mergeCell ref="A377:D377"/>
    <mergeCell ref="F377:G377"/>
    <mergeCell ref="H377:I377"/>
    <mergeCell ref="J377:K377"/>
    <mergeCell ref="L377:M377"/>
    <mergeCell ref="B374:D374"/>
    <mergeCell ref="F374:G374"/>
    <mergeCell ref="H374:I374"/>
    <mergeCell ref="J374:K374"/>
    <mergeCell ref="L374:M374"/>
    <mergeCell ref="B375:D375"/>
    <mergeCell ref="F375:G375"/>
    <mergeCell ref="H375:I375"/>
    <mergeCell ref="J375:K375"/>
    <mergeCell ref="L375:M375"/>
    <mergeCell ref="B372:D372"/>
    <mergeCell ref="F372:G372"/>
    <mergeCell ref="H372:I372"/>
    <mergeCell ref="J372:K372"/>
    <mergeCell ref="L372:M372"/>
    <mergeCell ref="B373:D373"/>
    <mergeCell ref="F373:G373"/>
    <mergeCell ref="H373:I373"/>
    <mergeCell ref="J373:K373"/>
    <mergeCell ref="L373:M373"/>
    <mergeCell ref="A382:D382"/>
    <mergeCell ref="F382:G382"/>
    <mergeCell ref="H382:I382"/>
    <mergeCell ref="J382:K382"/>
    <mergeCell ref="L382:M382"/>
    <mergeCell ref="A383:D383"/>
    <mergeCell ref="F383:G383"/>
    <mergeCell ref="H383:I383"/>
    <mergeCell ref="J383:K383"/>
    <mergeCell ref="L383:M383"/>
    <mergeCell ref="B380:D380"/>
    <mergeCell ref="F380:G380"/>
    <mergeCell ref="H380:I380"/>
    <mergeCell ref="J380:K380"/>
    <mergeCell ref="L380:M380"/>
    <mergeCell ref="A381:M381"/>
    <mergeCell ref="B378:D378"/>
    <mergeCell ref="F378:G378"/>
    <mergeCell ref="H378:I378"/>
    <mergeCell ref="J378:K378"/>
    <mergeCell ref="L378:M378"/>
    <mergeCell ref="B379:D379"/>
    <mergeCell ref="F379:G379"/>
    <mergeCell ref="H379:I379"/>
    <mergeCell ref="J379:K379"/>
    <mergeCell ref="L379:M379"/>
    <mergeCell ref="A388:M388"/>
    <mergeCell ref="B394:M394"/>
    <mergeCell ref="A395:M395"/>
    <mergeCell ref="A396:M396"/>
    <mergeCell ref="A397:M397"/>
    <mergeCell ref="A398:M398"/>
    <mergeCell ref="A386:D386"/>
    <mergeCell ref="F386:G386"/>
    <mergeCell ref="H386:I386"/>
    <mergeCell ref="J386:K386"/>
    <mergeCell ref="L386:M386"/>
    <mergeCell ref="A387:M387"/>
    <mergeCell ref="A384:D384"/>
    <mergeCell ref="F384:G384"/>
    <mergeCell ref="H384:I384"/>
    <mergeCell ref="J384:K384"/>
    <mergeCell ref="L384:M384"/>
    <mergeCell ref="A385:D385"/>
    <mergeCell ref="F385:G385"/>
    <mergeCell ref="H385:I385"/>
    <mergeCell ref="J385:K385"/>
    <mergeCell ref="L385:M385"/>
    <mergeCell ref="A409:B409"/>
    <mergeCell ref="C409:G409"/>
    <mergeCell ref="H409:I409"/>
    <mergeCell ref="J409:M409"/>
    <mergeCell ref="A410:B410"/>
    <mergeCell ref="A411:C411"/>
    <mergeCell ref="D411:G411"/>
    <mergeCell ref="H411:I411"/>
    <mergeCell ref="J411:M411"/>
    <mergeCell ref="A405:M405"/>
    <mergeCell ref="A407:B407"/>
    <mergeCell ref="A408:B408"/>
    <mergeCell ref="H408:I408"/>
    <mergeCell ref="J408:K408"/>
    <mergeCell ref="L408:M408"/>
    <mergeCell ref="A399:L399"/>
    <mergeCell ref="A400:K400"/>
    <mergeCell ref="A401:M401"/>
    <mergeCell ref="A402:M402"/>
    <mergeCell ref="A403:M403"/>
    <mergeCell ref="A404:M404"/>
    <mergeCell ref="B416:D416"/>
    <mergeCell ref="F416:G416"/>
    <mergeCell ref="H416:I416"/>
    <mergeCell ref="J416:K416"/>
    <mergeCell ref="L416:M416"/>
    <mergeCell ref="B417:D417"/>
    <mergeCell ref="F417:G417"/>
    <mergeCell ref="H417:I417"/>
    <mergeCell ref="J417:K417"/>
    <mergeCell ref="L417:M417"/>
    <mergeCell ref="A414:M414"/>
    <mergeCell ref="B415:D415"/>
    <mergeCell ref="F415:G415"/>
    <mergeCell ref="H415:I415"/>
    <mergeCell ref="J415:K415"/>
    <mergeCell ref="L415:M415"/>
    <mergeCell ref="A412:C412"/>
    <mergeCell ref="D412:G412"/>
    <mergeCell ref="H412:I412"/>
    <mergeCell ref="J412:M412"/>
    <mergeCell ref="A413:C413"/>
    <mergeCell ref="D413:G413"/>
    <mergeCell ref="H413:I413"/>
    <mergeCell ref="J413:M413"/>
    <mergeCell ref="B420:D420"/>
    <mergeCell ref="F420:G420"/>
    <mergeCell ref="H420:I420"/>
    <mergeCell ref="J420:K420"/>
    <mergeCell ref="L420:M420"/>
    <mergeCell ref="B421:D421"/>
    <mergeCell ref="F421:G421"/>
    <mergeCell ref="H421:I421"/>
    <mergeCell ref="J421:K421"/>
    <mergeCell ref="L421:M421"/>
    <mergeCell ref="B418:D418"/>
    <mergeCell ref="F418:G418"/>
    <mergeCell ref="H418:I418"/>
    <mergeCell ref="J418:K418"/>
    <mergeCell ref="L418:M418"/>
    <mergeCell ref="B419:D419"/>
    <mergeCell ref="F419:G419"/>
    <mergeCell ref="H419:I419"/>
    <mergeCell ref="J419:K419"/>
    <mergeCell ref="L419:M419"/>
    <mergeCell ref="B424:D424"/>
    <mergeCell ref="F424:G424"/>
    <mergeCell ref="H424:I424"/>
    <mergeCell ref="J424:K424"/>
    <mergeCell ref="L424:M424"/>
    <mergeCell ref="B425:D425"/>
    <mergeCell ref="F425:G425"/>
    <mergeCell ref="H425:I425"/>
    <mergeCell ref="J425:K425"/>
    <mergeCell ref="L425:M425"/>
    <mergeCell ref="B422:D422"/>
    <mergeCell ref="F422:G422"/>
    <mergeCell ref="H422:I422"/>
    <mergeCell ref="J422:K422"/>
    <mergeCell ref="L422:M422"/>
    <mergeCell ref="B423:D423"/>
    <mergeCell ref="F423:G423"/>
    <mergeCell ref="H423:I423"/>
    <mergeCell ref="J423:K423"/>
    <mergeCell ref="L423:M423"/>
    <mergeCell ref="A428:D428"/>
    <mergeCell ref="F428:G428"/>
    <mergeCell ref="H428:I428"/>
    <mergeCell ref="J428:K428"/>
    <mergeCell ref="L428:M428"/>
    <mergeCell ref="B429:D429"/>
    <mergeCell ref="F429:G429"/>
    <mergeCell ref="H429:I429"/>
    <mergeCell ref="J429:K429"/>
    <mergeCell ref="L429:M429"/>
    <mergeCell ref="H426:I426"/>
    <mergeCell ref="J426:K426"/>
    <mergeCell ref="L426:M426"/>
    <mergeCell ref="A427:D427"/>
    <mergeCell ref="F427:G427"/>
    <mergeCell ref="H427:I427"/>
    <mergeCell ref="J427:K427"/>
    <mergeCell ref="L427:M427"/>
    <mergeCell ref="A434:M434"/>
    <mergeCell ref="A435:D435"/>
    <mergeCell ref="F435:G435"/>
    <mergeCell ref="H435:I435"/>
    <mergeCell ref="J435:K435"/>
    <mergeCell ref="L435:M435"/>
    <mergeCell ref="B432:D432"/>
    <mergeCell ref="F432:G432"/>
    <mergeCell ref="H432:I432"/>
    <mergeCell ref="J432:K432"/>
    <mergeCell ref="L432:M432"/>
    <mergeCell ref="B433:D433"/>
    <mergeCell ref="F433:G433"/>
    <mergeCell ref="H433:I433"/>
    <mergeCell ref="J433:K433"/>
    <mergeCell ref="L433:M433"/>
    <mergeCell ref="B430:D430"/>
    <mergeCell ref="F430:G430"/>
    <mergeCell ref="H430:I430"/>
    <mergeCell ref="J430:K430"/>
    <mergeCell ref="L430:M430"/>
    <mergeCell ref="B431:D431"/>
    <mergeCell ref="F431:G431"/>
    <mergeCell ref="H431:I431"/>
    <mergeCell ref="J431:K431"/>
    <mergeCell ref="L431:M431"/>
    <mergeCell ref="A440:D440"/>
    <mergeCell ref="F440:G440"/>
    <mergeCell ref="H440:I440"/>
    <mergeCell ref="J440:K440"/>
    <mergeCell ref="L440:M440"/>
    <mergeCell ref="A441:D441"/>
    <mergeCell ref="F441:G441"/>
    <mergeCell ref="H441:I441"/>
    <mergeCell ref="J441:K441"/>
    <mergeCell ref="L441:M441"/>
    <mergeCell ref="B438:D438"/>
    <mergeCell ref="F438:G438"/>
    <mergeCell ref="H438:I438"/>
    <mergeCell ref="J438:K438"/>
    <mergeCell ref="L438:M438"/>
    <mergeCell ref="A439:M439"/>
    <mergeCell ref="B436:D436"/>
    <mergeCell ref="F436:G436"/>
    <mergeCell ref="H436:I436"/>
    <mergeCell ref="J436:K436"/>
    <mergeCell ref="L436:M436"/>
    <mergeCell ref="B437:D437"/>
    <mergeCell ref="F437:G437"/>
    <mergeCell ref="H437:I437"/>
    <mergeCell ref="J437:K437"/>
    <mergeCell ref="L437:M437"/>
    <mergeCell ref="A446:M446"/>
    <mergeCell ref="B452:M452"/>
    <mergeCell ref="A453:M453"/>
    <mergeCell ref="A454:M454"/>
    <mergeCell ref="A455:M455"/>
    <mergeCell ref="A456:M456"/>
    <mergeCell ref="A444:D444"/>
    <mergeCell ref="F444:G444"/>
    <mergeCell ref="H444:I444"/>
    <mergeCell ref="J444:K444"/>
    <mergeCell ref="L444:M444"/>
    <mergeCell ref="A445:M445"/>
    <mergeCell ref="A442:D442"/>
    <mergeCell ref="F442:G442"/>
    <mergeCell ref="H442:I442"/>
    <mergeCell ref="J442:K442"/>
    <mergeCell ref="L442:M442"/>
    <mergeCell ref="A443:D443"/>
    <mergeCell ref="F443:G443"/>
    <mergeCell ref="H443:I443"/>
    <mergeCell ref="J443:K443"/>
    <mergeCell ref="L443:M443"/>
    <mergeCell ref="A467:B467"/>
    <mergeCell ref="C467:G467"/>
    <mergeCell ref="H467:I467"/>
    <mergeCell ref="J467:M467"/>
    <mergeCell ref="A468:B468"/>
    <mergeCell ref="A469:C469"/>
    <mergeCell ref="D469:G469"/>
    <mergeCell ref="H469:I469"/>
    <mergeCell ref="J469:M469"/>
    <mergeCell ref="A463:M463"/>
    <mergeCell ref="A465:B465"/>
    <mergeCell ref="A466:B466"/>
    <mergeCell ref="H466:I466"/>
    <mergeCell ref="J466:K466"/>
    <mergeCell ref="L466:M466"/>
    <mergeCell ref="A457:L457"/>
    <mergeCell ref="A458:K458"/>
    <mergeCell ref="A459:M459"/>
    <mergeCell ref="A460:M460"/>
    <mergeCell ref="A461:M461"/>
    <mergeCell ref="A462:M462"/>
    <mergeCell ref="B474:D474"/>
    <mergeCell ref="F474:G474"/>
    <mergeCell ref="H474:I474"/>
    <mergeCell ref="J474:K474"/>
    <mergeCell ref="L474:M474"/>
    <mergeCell ref="B475:D475"/>
    <mergeCell ref="F475:G475"/>
    <mergeCell ref="H475:I475"/>
    <mergeCell ref="J475:K475"/>
    <mergeCell ref="L475:M475"/>
    <mergeCell ref="A472:M472"/>
    <mergeCell ref="B473:D473"/>
    <mergeCell ref="F473:G473"/>
    <mergeCell ref="H473:I473"/>
    <mergeCell ref="J473:K473"/>
    <mergeCell ref="L473:M473"/>
    <mergeCell ref="A470:C470"/>
    <mergeCell ref="D470:G470"/>
    <mergeCell ref="H470:I470"/>
    <mergeCell ref="J470:M470"/>
    <mergeCell ref="A471:C471"/>
    <mergeCell ref="D471:G471"/>
    <mergeCell ref="H471:I471"/>
    <mergeCell ref="J471:M471"/>
    <mergeCell ref="B478:D478"/>
    <mergeCell ref="F478:G478"/>
    <mergeCell ref="H478:I478"/>
    <mergeCell ref="J478:K478"/>
    <mergeCell ref="L478:M478"/>
    <mergeCell ref="B479:D479"/>
    <mergeCell ref="F479:G479"/>
    <mergeCell ref="H479:I479"/>
    <mergeCell ref="J479:K479"/>
    <mergeCell ref="L479:M479"/>
    <mergeCell ref="B476:D476"/>
    <mergeCell ref="F476:G476"/>
    <mergeCell ref="H476:I476"/>
    <mergeCell ref="J476:K476"/>
    <mergeCell ref="L476:M476"/>
    <mergeCell ref="B477:D477"/>
    <mergeCell ref="F477:G477"/>
    <mergeCell ref="H477:I477"/>
    <mergeCell ref="J477:K477"/>
    <mergeCell ref="L477:M477"/>
    <mergeCell ref="B482:D482"/>
    <mergeCell ref="F482:G482"/>
    <mergeCell ref="H482:I482"/>
    <mergeCell ref="J482:K482"/>
    <mergeCell ref="L482:M482"/>
    <mergeCell ref="B483:D483"/>
    <mergeCell ref="F483:G483"/>
    <mergeCell ref="H483:I483"/>
    <mergeCell ref="J483:K483"/>
    <mergeCell ref="L483:M483"/>
    <mergeCell ref="B480:D480"/>
    <mergeCell ref="F480:G480"/>
    <mergeCell ref="H480:I480"/>
    <mergeCell ref="J480:K480"/>
    <mergeCell ref="L480:M480"/>
    <mergeCell ref="B481:D481"/>
    <mergeCell ref="F481:G481"/>
    <mergeCell ref="H481:I481"/>
    <mergeCell ref="J481:K481"/>
    <mergeCell ref="L481:M481"/>
    <mergeCell ref="A486:D486"/>
    <mergeCell ref="F486:G486"/>
    <mergeCell ref="H486:I486"/>
    <mergeCell ref="J486:K486"/>
    <mergeCell ref="L486:M486"/>
    <mergeCell ref="B487:D487"/>
    <mergeCell ref="F487:G487"/>
    <mergeCell ref="H487:I487"/>
    <mergeCell ref="J487:K487"/>
    <mergeCell ref="L487:M487"/>
    <mergeCell ref="H484:I484"/>
    <mergeCell ref="J484:K484"/>
    <mergeCell ref="L484:M484"/>
    <mergeCell ref="A485:D485"/>
    <mergeCell ref="F485:G485"/>
    <mergeCell ref="H485:I485"/>
    <mergeCell ref="J485:K485"/>
    <mergeCell ref="L485:M485"/>
    <mergeCell ref="A492:M492"/>
    <mergeCell ref="A493:D493"/>
    <mergeCell ref="F493:G493"/>
    <mergeCell ref="H493:I493"/>
    <mergeCell ref="J493:K493"/>
    <mergeCell ref="L493:M493"/>
    <mergeCell ref="B490:D490"/>
    <mergeCell ref="F490:G490"/>
    <mergeCell ref="H490:I490"/>
    <mergeCell ref="J490:K490"/>
    <mergeCell ref="L490:M490"/>
    <mergeCell ref="B491:D491"/>
    <mergeCell ref="F491:G491"/>
    <mergeCell ref="H491:I491"/>
    <mergeCell ref="J491:K491"/>
    <mergeCell ref="L491:M491"/>
    <mergeCell ref="B488:D488"/>
    <mergeCell ref="F488:G488"/>
    <mergeCell ref="H488:I488"/>
    <mergeCell ref="J488:K488"/>
    <mergeCell ref="L488:M488"/>
    <mergeCell ref="B489:D489"/>
    <mergeCell ref="F489:G489"/>
    <mergeCell ref="H489:I489"/>
    <mergeCell ref="J489:K489"/>
    <mergeCell ref="L489:M489"/>
    <mergeCell ref="A498:D498"/>
    <mergeCell ref="F498:G498"/>
    <mergeCell ref="H498:I498"/>
    <mergeCell ref="J498:K498"/>
    <mergeCell ref="L498:M498"/>
    <mergeCell ref="A499:D499"/>
    <mergeCell ref="F499:G499"/>
    <mergeCell ref="H499:I499"/>
    <mergeCell ref="J499:K499"/>
    <mergeCell ref="L499:M499"/>
    <mergeCell ref="B496:D496"/>
    <mergeCell ref="F496:G496"/>
    <mergeCell ref="H496:I496"/>
    <mergeCell ref="J496:K496"/>
    <mergeCell ref="L496:M496"/>
    <mergeCell ref="A497:M497"/>
    <mergeCell ref="B494:D494"/>
    <mergeCell ref="F494:G494"/>
    <mergeCell ref="H494:I494"/>
    <mergeCell ref="J494:K494"/>
    <mergeCell ref="L494:M494"/>
    <mergeCell ref="B495:D495"/>
    <mergeCell ref="F495:G495"/>
    <mergeCell ref="H495:I495"/>
    <mergeCell ref="J495:K495"/>
    <mergeCell ref="L495:M495"/>
    <mergeCell ref="A504:M504"/>
    <mergeCell ref="B510:M510"/>
    <mergeCell ref="A511:M511"/>
    <mergeCell ref="A512:M512"/>
    <mergeCell ref="A513:M513"/>
    <mergeCell ref="A514:M514"/>
    <mergeCell ref="A502:D502"/>
    <mergeCell ref="F502:G502"/>
    <mergeCell ref="H502:I502"/>
    <mergeCell ref="J502:K502"/>
    <mergeCell ref="L502:M502"/>
    <mergeCell ref="A503:M503"/>
    <mergeCell ref="A500:D500"/>
    <mergeCell ref="F500:G500"/>
    <mergeCell ref="H500:I500"/>
    <mergeCell ref="J500:K500"/>
    <mergeCell ref="L500:M500"/>
    <mergeCell ref="A501:D501"/>
    <mergeCell ref="F501:G501"/>
    <mergeCell ref="H501:I501"/>
    <mergeCell ref="J501:K501"/>
    <mergeCell ref="L501:M501"/>
    <mergeCell ref="A525:B525"/>
    <mergeCell ref="C525:G525"/>
    <mergeCell ref="H525:I525"/>
    <mergeCell ref="J525:M525"/>
    <mergeCell ref="A526:B526"/>
    <mergeCell ref="A527:C527"/>
    <mergeCell ref="D527:G527"/>
    <mergeCell ref="H527:I527"/>
    <mergeCell ref="J527:M527"/>
    <mergeCell ref="A521:M521"/>
    <mergeCell ref="A523:B523"/>
    <mergeCell ref="A524:B524"/>
    <mergeCell ref="H524:I524"/>
    <mergeCell ref="J524:K524"/>
    <mergeCell ref="L524:M524"/>
    <mergeCell ref="A515:L515"/>
    <mergeCell ref="A516:K516"/>
    <mergeCell ref="A517:M517"/>
    <mergeCell ref="A518:M518"/>
    <mergeCell ref="A519:M519"/>
    <mergeCell ref="A520:M520"/>
    <mergeCell ref="B532:D532"/>
    <mergeCell ref="F532:G532"/>
    <mergeCell ref="H532:I532"/>
    <mergeCell ref="J532:K532"/>
    <mergeCell ref="L532:M532"/>
    <mergeCell ref="B533:D533"/>
    <mergeCell ref="F533:G533"/>
    <mergeCell ref="H533:I533"/>
    <mergeCell ref="J533:K533"/>
    <mergeCell ref="L533:M533"/>
    <mergeCell ref="A530:M530"/>
    <mergeCell ref="B531:D531"/>
    <mergeCell ref="F531:G531"/>
    <mergeCell ref="H531:I531"/>
    <mergeCell ref="J531:K531"/>
    <mergeCell ref="L531:M531"/>
    <mergeCell ref="A528:C528"/>
    <mergeCell ref="D528:G528"/>
    <mergeCell ref="H528:I528"/>
    <mergeCell ref="J528:M528"/>
    <mergeCell ref="A529:C529"/>
    <mergeCell ref="D529:G529"/>
    <mergeCell ref="H529:I529"/>
    <mergeCell ref="J529:M529"/>
    <mergeCell ref="B536:D536"/>
    <mergeCell ref="F536:G536"/>
    <mergeCell ref="H536:I536"/>
    <mergeCell ref="J536:K536"/>
    <mergeCell ref="L536:M536"/>
    <mergeCell ref="B537:D537"/>
    <mergeCell ref="F537:G537"/>
    <mergeCell ref="H537:I537"/>
    <mergeCell ref="J537:K537"/>
    <mergeCell ref="L537:M537"/>
    <mergeCell ref="B534:D534"/>
    <mergeCell ref="F534:G534"/>
    <mergeCell ref="H534:I534"/>
    <mergeCell ref="J534:K534"/>
    <mergeCell ref="L534:M534"/>
    <mergeCell ref="B535:D535"/>
    <mergeCell ref="F535:G535"/>
    <mergeCell ref="H535:I535"/>
    <mergeCell ref="J535:K535"/>
    <mergeCell ref="L535:M535"/>
    <mergeCell ref="B540:D540"/>
    <mergeCell ref="F540:G540"/>
    <mergeCell ref="H540:I540"/>
    <mergeCell ref="J540:K540"/>
    <mergeCell ref="L540:M540"/>
    <mergeCell ref="B541:D541"/>
    <mergeCell ref="F541:G541"/>
    <mergeCell ref="H541:I541"/>
    <mergeCell ref="J541:K541"/>
    <mergeCell ref="L541:M541"/>
    <mergeCell ref="B538:D538"/>
    <mergeCell ref="F538:G538"/>
    <mergeCell ref="H538:I538"/>
    <mergeCell ref="J538:K538"/>
    <mergeCell ref="L538:M538"/>
    <mergeCell ref="B539:D539"/>
    <mergeCell ref="F539:G539"/>
    <mergeCell ref="H539:I539"/>
    <mergeCell ref="J539:K539"/>
    <mergeCell ref="L539:M539"/>
    <mergeCell ref="A544:D544"/>
    <mergeCell ref="F544:G544"/>
    <mergeCell ref="H544:I544"/>
    <mergeCell ref="J544:K544"/>
    <mergeCell ref="L544:M544"/>
    <mergeCell ref="B545:D545"/>
    <mergeCell ref="F545:G545"/>
    <mergeCell ref="H545:I545"/>
    <mergeCell ref="J545:K545"/>
    <mergeCell ref="L545:M545"/>
    <mergeCell ref="H542:I542"/>
    <mergeCell ref="J542:K542"/>
    <mergeCell ref="L542:M542"/>
    <mergeCell ref="A543:D543"/>
    <mergeCell ref="F543:G543"/>
    <mergeCell ref="H543:I543"/>
    <mergeCell ref="J543:K543"/>
    <mergeCell ref="L543:M543"/>
    <mergeCell ref="A550:M550"/>
    <mergeCell ref="A551:D551"/>
    <mergeCell ref="F551:G551"/>
    <mergeCell ref="H551:I551"/>
    <mergeCell ref="J551:K551"/>
    <mergeCell ref="L551:M551"/>
    <mergeCell ref="B548:D548"/>
    <mergeCell ref="F548:G548"/>
    <mergeCell ref="H548:I548"/>
    <mergeCell ref="J548:K548"/>
    <mergeCell ref="L548:M548"/>
    <mergeCell ref="B549:D549"/>
    <mergeCell ref="F549:G549"/>
    <mergeCell ref="H549:I549"/>
    <mergeCell ref="J549:K549"/>
    <mergeCell ref="L549:M549"/>
    <mergeCell ref="B546:D546"/>
    <mergeCell ref="F546:G546"/>
    <mergeCell ref="H546:I546"/>
    <mergeCell ref="J546:K546"/>
    <mergeCell ref="L546:M546"/>
    <mergeCell ref="B547:D547"/>
    <mergeCell ref="F547:G547"/>
    <mergeCell ref="H547:I547"/>
    <mergeCell ref="J547:K547"/>
    <mergeCell ref="L547:M547"/>
    <mergeCell ref="A556:D556"/>
    <mergeCell ref="F556:G556"/>
    <mergeCell ref="H556:I556"/>
    <mergeCell ref="J556:K556"/>
    <mergeCell ref="L556:M556"/>
    <mergeCell ref="A557:D557"/>
    <mergeCell ref="F557:G557"/>
    <mergeCell ref="H557:I557"/>
    <mergeCell ref="J557:K557"/>
    <mergeCell ref="L557:M557"/>
    <mergeCell ref="B554:D554"/>
    <mergeCell ref="F554:G554"/>
    <mergeCell ref="H554:I554"/>
    <mergeCell ref="J554:K554"/>
    <mergeCell ref="L554:M554"/>
    <mergeCell ref="A555:M555"/>
    <mergeCell ref="B552:D552"/>
    <mergeCell ref="F552:G552"/>
    <mergeCell ref="H552:I552"/>
    <mergeCell ref="J552:K552"/>
    <mergeCell ref="L552:M552"/>
    <mergeCell ref="B553:D553"/>
    <mergeCell ref="F553:G553"/>
    <mergeCell ref="H553:I553"/>
    <mergeCell ref="J553:K553"/>
    <mergeCell ref="L553:M553"/>
    <mergeCell ref="A562:M562"/>
    <mergeCell ref="B568:M568"/>
    <mergeCell ref="A569:M569"/>
    <mergeCell ref="A570:M570"/>
    <mergeCell ref="A571:M571"/>
    <mergeCell ref="A572:M572"/>
    <mergeCell ref="A560:D560"/>
    <mergeCell ref="F560:G560"/>
    <mergeCell ref="H560:I560"/>
    <mergeCell ref="J560:K560"/>
    <mergeCell ref="L560:M560"/>
    <mergeCell ref="A561:M561"/>
    <mergeCell ref="A558:D558"/>
    <mergeCell ref="F558:G558"/>
    <mergeCell ref="H558:I558"/>
    <mergeCell ref="J558:K558"/>
    <mergeCell ref="L558:M558"/>
    <mergeCell ref="A559:D559"/>
    <mergeCell ref="F559:G559"/>
    <mergeCell ref="H559:I559"/>
    <mergeCell ref="J559:K559"/>
    <mergeCell ref="L559:M559"/>
    <mergeCell ref="A583:B583"/>
    <mergeCell ref="C583:G583"/>
    <mergeCell ref="H583:I583"/>
    <mergeCell ref="J583:M583"/>
    <mergeCell ref="A584:B584"/>
    <mergeCell ref="A585:C585"/>
    <mergeCell ref="D585:G585"/>
    <mergeCell ref="H585:I585"/>
    <mergeCell ref="J585:M585"/>
    <mergeCell ref="A579:M579"/>
    <mergeCell ref="A581:B581"/>
    <mergeCell ref="A582:B582"/>
    <mergeCell ref="H582:I582"/>
    <mergeCell ref="J582:K582"/>
    <mergeCell ref="L582:M582"/>
    <mergeCell ref="A573:L573"/>
    <mergeCell ref="A574:K574"/>
    <mergeCell ref="A575:M575"/>
    <mergeCell ref="A576:M576"/>
    <mergeCell ref="A577:M577"/>
    <mergeCell ref="A578:M578"/>
    <mergeCell ref="B590:D590"/>
    <mergeCell ref="F590:G590"/>
    <mergeCell ref="H590:I590"/>
    <mergeCell ref="J590:K590"/>
    <mergeCell ref="L590:M590"/>
    <mergeCell ref="B591:D591"/>
    <mergeCell ref="F591:G591"/>
    <mergeCell ref="H591:I591"/>
    <mergeCell ref="J591:K591"/>
    <mergeCell ref="L591:M591"/>
    <mergeCell ref="A588:M588"/>
    <mergeCell ref="B589:D589"/>
    <mergeCell ref="F589:G589"/>
    <mergeCell ref="H589:I589"/>
    <mergeCell ref="J589:K589"/>
    <mergeCell ref="L589:M589"/>
    <mergeCell ref="A586:C586"/>
    <mergeCell ref="D586:G586"/>
    <mergeCell ref="H586:I586"/>
    <mergeCell ref="J586:M586"/>
    <mergeCell ref="A587:C587"/>
    <mergeCell ref="D587:G587"/>
    <mergeCell ref="H587:I587"/>
    <mergeCell ref="J587:M587"/>
    <mergeCell ref="B594:D594"/>
    <mergeCell ref="F594:G594"/>
    <mergeCell ref="H594:I594"/>
    <mergeCell ref="J594:K594"/>
    <mergeCell ref="L594:M594"/>
    <mergeCell ref="B595:D595"/>
    <mergeCell ref="F595:G595"/>
    <mergeCell ref="H595:I595"/>
    <mergeCell ref="J595:K595"/>
    <mergeCell ref="L595:M595"/>
    <mergeCell ref="B592:D592"/>
    <mergeCell ref="F592:G592"/>
    <mergeCell ref="H592:I592"/>
    <mergeCell ref="J592:K592"/>
    <mergeCell ref="L592:M592"/>
    <mergeCell ref="B593:D593"/>
    <mergeCell ref="F593:G593"/>
    <mergeCell ref="H593:I593"/>
    <mergeCell ref="J593:K593"/>
    <mergeCell ref="L593:M593"/>
    <mergeCell ref="B598:D598"/>
    <mergeCell ref="F598:G598"/>
    <mergeCell ref="H598:I598"/>
    <mergeCell ref="J598:K598"/>
    <mergeCell ref="L598:M598"/>
    <mergeCell ref="B599:D599"/>
    <mergeCell ref="F599:G599"/>
    <mergeCell ref="H599:I599"/>
    <mergeCell ref="J599:K599"/>
    <mergeCell ref="L599:M599"/>
    <mergeCell ref="B596:D596"/>
    <mergeCell ref="F596:G596"/>
    <mergeCell ref="H596:I596"/>
    <mergeCell ref="J596:K596"/>
    <mergeCell ref="L596:M596"/>
    <mergeCell ref="B597:D597"/>
    <mergeCell ref="F597:G597"/>
    <mergeCell ref="H597:I597"/>
    <mergeCell ref="J597:K597"/>
    <mergeCell ref="L597:M597"/>
    <mergeCell ref="A602:D602"/>
    <mergeCell ref="F602:G602"/>
    <mergeCell ref="H602:I602"/>
    <mergeCell ref="J602:K602"/>
    <mergeCell ref="L602:M602"/>
    <mergeCell ref="B603:D603"/>
    <mergeCell ref="F603:G603"/>
    <mergeCell ref="H603:I603"/>
    <mergeCell ref="J603:K603"/>
    <mergeCell ref="L603:M603"/>
    <mergeCell ref="H600:I600"/>
    <mergeCell ref="J600:K600"/>
    <mergeCell ref="L600:M600"/>
    <mergeCell ref="A601:D601"/>
    <mergeCell ref="F601:G601"/>
    <mergeCell ref="H601:I601"/>
    <mergeCell ref="J601:K601"/>
    <mergeCell ref="L601:M601"/>
    <mergeCell ref="A608:M608"/>
    <mergeCell ref="A609:D609"/>
    <mergeCell ref="F609:G609"/>
    <mergeCell ref="H609:I609"/>
    <mergeCell ref="J609:K609"/>
    <mergeCell ref="L609:M609"/>
    <mergeCell ref="B606:D606"/>
    <mergeCell ref="F606:G606"/>
    <mergeCell ref="H606:I606"/>
    <mergeCell ref="J606:K606"/>
    <mergeCell ref="L606:M606"/>
    <mergeCell ref="B607:D607"/>
    <mergeCell ref="F607:G607"/>
    <mergeCell ref="H607:I607"/>
    <mergeCell ref="J607:K607"/>
    <mergeCell ref="L607:M607"/>
    <mergeCell ref="B604:D604"/>
    <mergeCell ref="F604:G604"/>
    <mergeCell ref="H604:I604"/>
    <mergeCell ref="J604:K604"/>
    <mergeCell ref="L604:M604"/>
    <mergeCell ref="B605:D605"/>
    <mergeCell ref="F605:G605"/>
    <mergeCell ref="H605:I605"/>
    <mergeCell ref="J605:K605"/>
    <mergeCell ref="L605:M605"/>
    <mergeCell ref="A614:D614"/>
    <mergeCell ref="F614:G614"/>
    <mergeCell ref="H614:I614"/>
    <mergeCell ref="J614:K614"/>
    <mergeCell ref="L614:M614"/>
    <mergeCell ref="A615:D615"/>
    <mergeCell ref="F615:G615"/>
    <mergeCell ref="H615:I615"/>
    <mergeCell ref="J615:K615"/>
    <mergeCell ref="L615:M615"/>
    <mergeCell ref="B612:D612"/>
    <mergeCell ref="F612:G612"/>
    <mergeCell ref="H612:I612"/>
    <mergeCell ref="J612:K612"/>
    <mergeCell ref="L612:M612"/>
    <mergeCell ref="A613:M613"/>
    <mergeCell ref="B610:D610"/>
    <mergeCell ref="F610:G610"/>
    <mergeCell ref="H610:I610"/>
    <mergeCell ref="J610:K610"/>
    <mergeCell ref="L610:M610"/>
    <mergeCell ref="B611:D611"/>
    <mergeCell ref="F611:G611"/>
    <mergeCell ref="H611:I611"/>
    <mergeCell ref="J611:K611"/>
    <mergeCell ref="L611:M611"/>
    <mergeCell ref="A620:M620"/>
    <mergeCell ref="B626:M626"/>
    <mergeCell ref="A627:M627"/>
    <mergeCell ref="A628:M628"/>
    <mergeCell ref="A629:M629"/>
    <mergeCell ref="A630:M630"/>
    <mergeCell ref="A618:D618"/>
    <mergeCell ref="F618:G618"/>
    <mergeCell ref="H618:I618"/>
    <mergeCell ref="J618:K618"/>
    <mergeCell ref="L618:M618"/>
    <mergeCell ref="A619:M619"/>
    <mergeCell ref="A616:D616"/>
    <mergeCell ref="F616:G616"/>
    <mergeCell ref="H616:I616"/>
    <mergeCell ref="J616:K616"/>
    <mergeCell ref="L616:M616"/>
    <mergeCell ref="A617:D617"/>
    <mergeCell ref="F617:G617"/>
    <mergeCell ref="H617:I617"/>
    <mergeCell ref="J617:K617"/>
    <mergeCell ref="L617:M617"/>
    <mergeCell ref="A641:B641"/>
    <mergeCell ref="C641:G641"/>
    <mergeCell ref="H641:I641"/>
    <mergeCell ref="J641:M641"/>
    <mergeCell ref="A642:B642"/>
    <mergeCell ref="A643:C643"/>
    <mergeCell ref="D643:G643"/>
    <mergeCell ref="H643:I643"/>
    <mergeCell ref="J643:M643"/>
    <mergeCell ref="A637:M637"/>
    <mergeCell ref="A639:B639"/>
    <mergeCell ref="A640:B640"/>
    <mergeCell ref="H640:I640"/>
    <mergeCell ref="J640:K640"/>
    <mergeCell ref="L640:M640"/>
    <mergeCell ref="A631:L631"/>
    <mergeCell ref="A632:K632"/>
    <mergeCell ref="A633:M633"/>
    <mergeCell ref="A634:M634"/>
    <mergeCell ref="A635:M635"/>
    <mergeCell ref="A636:M636"/>
    <mergeCell ref="B648:D648"/>
    <mergeCell ref="F648:G648"/>
    <mergeCell ref="H648:I648"/>
    <mergeCell ref="J648:K648"/>
    <mergeCell ref="L648:M648"/>
    <mergeCell ref="B649:D649"/>
    <mergeCell ref="F649:G649"/>
    <mergeCell ref="H649:I649"/>
    <mergeCell ref="J649:K649"/>
    <mergeCell ref="L649:M649"/>
    <mergeCell ref="A646:M646"/>
    <mergeCell ref="B647:D647"/>
    <mergeCell ref="F647:G647"/>
    <mergeCell ref="H647:I647"/>
    <mergeCell ref="J647:K647"/>
    <mergeCell ref="L647:M647"/>
    <mergeCell ref="A644:C644"/>
    <mergeCell ref="D644:G644"/>
    <mergeCell ref="H644:I644"/>
    <mergeCell ref="J644:M644"/>
    <mergeCell ref="A645:C645"/>
    <mergeCell ref="D645:G645"/>
    <mergeCell ref="H645:I645"/>
    <mergeCell ref="J645:M645"/>
    <mergeCell ref="B652:D652"/>
    <mergeCell ref="F652:G652"/>
    <mergeCell ref="H652:I652"/>
    <mergeCell ref="J652:K652"/>
    <mergeCell ref="L652:M652"/>
    <mergeCell ref="B653:D653"/>
    <mergeCell ref="F653:G653"/>
    <mergeCell ref="H653:I653"/>
    <mergeCell ref="J653:K653"/>
    <mergeCell ref="L653:M653"/>
    <mergeCell ref="B650:D650"/>
    <mergeCell ref="F650:G650"/>
    <mergeCell ref="H650:I650"/>
    <mergeCell ref="J650:K650"/>
    <mergeCell ref="L650:M650"/>
    <mergeCell ref="B651:D651"/>
    <mergeCell ref="F651:G651"/>
    <mergeCell ref="H651:I651"/>
    <mergeCell ref="J651:K651"/>
    <mergeCell ref="L651:M651"/>
    <mergeCell ref="B656:D656"/>
    <mergeCell ref="F656:G656"/>
    <mergeCell ref="H656:I656"/>
    <mergeCell ref="J656:K656"/>
    <mergeCell ref="L656:M656"/>
    <mergeCell ref="B657:D657"/>
    <mergeCell ref="F657:G657"/>
    <mergeCell ref="H657:I657"/>
    <mergeCell ref="J657:K657"/>
    <mergeCell ref="L657:M657"/>
    <mergeCell ref="B654:D654"/>
    <mergeCell ref="F654:G654"/>
    <mergeCell ref="H654:I654"/>
    <mergeCell ref="J654:K654"/>
    <mergeCell ref="L654:M654"/>
    <mergeCell ref="B655:D655"/>
    <mergeCell ref="F655:G655"/>
    <mergeCell ref="H655:I655"/>
    <mergeCell ref="J655:K655"/>
    <mergeCell ref="L655:M655"/>
    <mergeCell ref="A660:D660"/>
    <mergeCell ref="F660:G660"/>
    <mergeCell ref="H660:I660"/>
    <mergeCell ref="J660:K660"/>
    <mergeCell ref="L660:M660"/>
    <mergeCell ref="B661:D661"/>
    <mergeCell ref="F661:G661"/>
    <mergeCell ref="H661:I661"/>
    <mergeCell ref="J661:K661"/>
    <mergeCell ref="L661:M661"/>
    <mergeCell ref="H658:I658"/>
    <mergeCell ref="J658:K658"/>
    <mergeCell ref="L658:M658"/>
    <mergeCell ref="A659:D659"/>
    <mergeCell ref="F659:G659"/>
    <mergeCell ref="H659:I659"/>
    <mergeCell ref="J659:K659"/>
    <mergeCell ref="L659:M659"/>
    <mergeCell ref="A666:M666"/>
    <mergeCell ref="A667:D667"/>
    <mergeCell ref="F667:G667"/>
    <mergeCell ref="H667:I667"/>
    <mergeCell ref="J667:K667"/>
    <mergeCell ref="L667:M667"/>
    <mergeCell ref="B664:D664"/>
    <mergeCell ref="F664:G664"/>
    <mergeCell ref="H664:I664"/>
    <mergeCell ref="J664:K664"/>
    <mergeCell ref="L664:M664"/>
    <mergeCell ref="B665:D665"/>
    <mergeCell ref="F665:G665"/>
    <mergeCell ref="H665:I665"/>
    <mergeCell ref="J665:K665"/>
    <mergeCell ref="L665:M665"/>
    <mergeCell ref="B662:D662"/>
    <mergeCell ref="F662:G662"/>
    <mergeCell ref="H662:I662"/>
    <mergeCell ref="J662:K662"/>
    <mergeCell ref="L662:M662"/>
    <mergeCell ref="B663:D663"/>
    <mergeCell ref="F663:G663"/>
    <mergeCell ref="H663:I663"/>
    <mergeCell ref="J663:K663"/>
    <mergeCell ref="L663:M663"/>
    <mergeCell ref="A672:D672"/>
    <mergeCell ref="F672:G672"/>
    <mergeCell ref="H672:I672"/>
    <mergeCell ref="J672:K672"/>
    <mergeCell ref="L672:M672"/>
    <mergeCell ref="A673:D673"/>
    <mergeCell ref="F673:G673"/>
    <mergeCell ref="H673:I673"/>
    <mergeCell ref="J673:K673"/>
    <mergeCell ref="L673:M673"/>
    <mergeCell ref="B670:D670"/>
    <mergeCell ref="F670:G670"/>
    <mergeCell ref="H670:I670"/>
    <mergeCell ref="J670:K670"/>
    <mergeCell ref="L670:M670"/>
    <mergeCell ref="A671:M671"/>
    <mergeCell ref="B668:D668"/>
    <mergeCell ref="F668:G668"/>
    <mergeCell ref="H668:I668"/>
    <mergeCell ref="J668:K668"/>
    <mergeCell ref="L668:M668"/>
    <mergeCell ref="B669:D669"/>
    <mergeCell ref="F669:G669"/>
    <mergeCell ref="H669:I669"/>
    <mergeCell ref="J669:K669"/>
    <mergeCell ref="L669:M669"/>
    <mergeCell ref="A678:M678"/>
    <mergeCell ref="B684:M684"/>
    <mergeCell ref="A685:M685"/>
    <mergeCell ref="A686:M686"/>
    <mergeCell ref="A687:M687"/>
    <mergeCell ref="A688:M688"/>
    <mergeCell ref="A676:D676"/>
    <mergeCell ref="F676:G676"/>
    <mergeCell ref="H676:I676"/>
    <mergeCell ref="J676:K676"/>
    <mergeCell ref="L676:M676"/>
    <mergeCell ref="A677:M677"/>
    <mergeCell ref="A674:D674"/>
    <mergeCell ref="F674:G674"/>
    <mergeCell ref="H674:I674"/>
    <mergeCell ref="J674:K674"/>
    <mergeCell ref="L674:M674"/>
    <mergeCell ref="A675:D675"/>
    <mergeCell ref="F675:G675"/>
    <mergeCell ref="H675:I675"/>
    <mergeCell ref="J675:K675"/>
    <mergeCell ref="L675:M675"/>
    <mergeCell ref="A699:B699"/>
    <mergeCell ref="C699:G699"/>
    <mergeCell ref="H699:I699"/>
    <mergeCell ref="J699:M699"/>
    <mergeCell ref="A700:B700"/>
    <mergeCell ref="A701:C701"/>
    <mergeCell ref="D701:G701"/>
    <mergeCell ref="H701:I701"/>
    <mergeCell ref="J701:M701"/>
    <mergeCell ref="A695:M695"/>
    <mergeCell ref="A697:B697"/>
    <mergeCell ref="A698:B698"/>
    <mergeCell ref="H698:I698"/>
    <mergeCell ref="J698:K698"/>
    <mergeCell ref="L698:M698"/>
    <mergeCell ref="A689:L689"/>
    <mergeCell ref="A690:K690"/>
    <mergeCell ref="A691:M691"/>
    <mergeCell ref="A692:M692"/>
    <mergeCell ref="A693:M693"/>
    <mergeCell ref="A694:M694"/>
    <mergeCell ref="B706:D706"/>
    <mergeCell ref="F706:G706"/>
    <mergeCell ref="H706:I706"/>
    <mergeCell ref="J706:K706"/>
    <mergeCell ref="L706:M706"/>
    <mergeCell ref="B707:D707"/>
    <mergeCell ref="F707:G707"/>
    <mergeCell ref="H707:I707"/>
    <mergeCell ref="J707:K707"/>
    <mergeCell ref="L707:M707"/>
    <mergeCell ref="A704:M704"/>
    <mergeCell ref="B705:D705"/>
    <mergeCell ref="F705:G705"/>
    <mergeCell ref="H705:I705"/>
    <mergeCell ref="J705:K705"/>
    <mergeCell ref="L705:M705"/>
    <mergeCell ref="A702:C702"/>
    <mergeCell ref="D702:G702"/>
    <mergeCell ref="H702:I702"/>
    <mergeCell ref="J702:M702"/>
    <mergeCell ref="A703:C703"/>
    <mergeCell ref="D703:G703"/>
    <mergeCell ref="H703:I703"/>
    <mergeCell ref="J703:M703"/>
    <mergeCell ref="B710:D710"/>
    <mergeCell ref="F710:G710"/>
    <mergeCell ref="H710:I710"/>
    <mergeCell ref="J710:K710"/>
    <mergeCell ref="L710:M710"/>
    <mergeCell ref="B711:D711"/>
    <mergeCell ref="F711:G711"/>
    <mergeCell ref="H711:I711"/>
    <mergeCell ref="J711:K711"/>
    <mergeCell ref="L711:M711"/>
    <mergeCell ref="B708:D708"/>
    <mergeCell ref="F708:G708"/>
    <mergeCell ref="H708:I708"/>
    <mergeCell ref="J708:K708"/>
    <mergeCell ref="L708:M708"/>
    <mergeCell ref="B709:D709"/>
    <mergeCell ref="F709:G709"/>
    <mergeCell ref="H709:I709"/>
    <mergeCell ref="J709:K709"/>
    <mergeCell ref="L709:M709"/>
    <mergeCell ref="B714:D714"/>
    <mergeCell ref="F714:G714"/>
    <mergeCell ref="H714:I714"/>
    <mergeCell ref="J714:K714"/>
    <mergeCell ref="L714:M714"/>
    <mergeCell ref="B715:D715"/>
    <mergeCell ref="F715:G715"/>
    <mergeCell ref="H715:I715"/>
    <mergeCell ref="J715:K715"/>
    <mergeCell ref="L715:M715"/>
    <mergeCell ref="B712:D712"/>
    <mergeCell ref="F712:G712"/>
    <mergeCell ref="H712:I712"/>
    <mergeCell ref="J712:K712"/>
    <mergeCell ref="L712:M712"/>
    <mergeCell ref="B713:D713"/>
    <mergeCell ref="F713:G713"/>
    <mergeCell ref="H713:I713"/>
    <mergeCell ref="J713:K713"/>
    <mergeCell ref="L713:M713"/>
    <mergeCell ref="A718:D718"/>
    <mergeCell ref="F718:G718"/>
    <mergeCell ref="H718:I718"/>
    <mergeCell ref="J718:K718"/>
    <mergeCell ref="L718:M718"/>
    <mergeCell ref="B719:D719"/>
    <mergeCell ref="F719:G719"/>
    <mergeCell ref="H719:I719"/>
    <mergeCell ref="J719:K719"/>
    <mergeCell ref="L719:M719"/>
    <mergeCell ref="H716:I716"/>
    <mergeCell ref="J716:K716"/>
    <mergeCell ref="L716:M716"/>
    <mergeCell ref="A717:D717"/>
    <mergeCell ref="F717:G717"/>
    <mergeCell ref="H717:I717"/>
    <mergeCell ref="J717:K717"/>
    <mergeCell ref="L717:M717"/>
    <mergeCell ref="A724:M724"/>
    <mergeCell ref="A725:D725"/>
    <mergeCell ref="F725:G725"/>
    <mergeCell ref="H725:I725"/>
    <mergeCell ref="J725:K725"/>
    <mergeCell ref="L725:M725"/>
    <mergeCell ref="B722:D722"/>
    <mergeCell ref="F722:G722"/>
    <mergeCell ref="H722:I722"/>
    <mergeCell ref="J722:K722"/>
    <mergeCell ref="L722:M722"/>
    <mergeCell ref="B723:D723"/>
    <mergeCell ref="F723:G723"/>
    <mergeCell ref="H723:I723"/>
    <mergeCell ref="J723:K723"/>
    <mergeCell ref="L723:M723"/>
    <mergeCell ref="B720:D720"/>
    <mergeCell ref="F720:G720"/>
    <mergeCell ref="H720:I720"/>
    <mergeCell ref="J720:K720"/>
    <mergeCell ref="L720:M720"/>
    <mergeCell ref="B721:D721"/>
    <mergeCell ref="F721:G721"/>
    <mergeCell ref="H721:I721"/>
    <mergeCell ref="J721:K721"/>
    <mergeCell ref="L721:M721"/>
    <mergeCell ref="A730:D730"/>
    <mergeCell ref="F730:G730"/>
    <mergeCell ref="H730:I730"/>
    <mergeCell ref="J730:K730"/>
    <mergeCell ref="L730:M730"/>
    <mergeCell ref="A731:D731"/>
    <mergeCell ref="F731:G731"/>
    <mergeCell ref="H731:I731"/>
    <mergeCell ref="J731:K731"/>
    <mergeCell ref="L731:M731"/>
    <mergeCell ref="B728:D728"/>
    <mergeCell ref="F728:G728"/>
    <mergeCell ref="H728:I728"/>
    <mergeCell ref="J728:K728"/>
    <mergeCell ref="L728:M728"/>
    <mergeCell ref="A729:M729"/>
    <mergeCell ref="B726:D726"/>
    <mergeCell ref="F726:G726"/>
    <mergeCell ref="H726:I726"/>
    <mergeCell ref="J726:K726"/>
    <mergeCell ref="L726:M726"/>
    <mergeCell ref="B727:D727"/>
    <mergeCell ref="F727:G727"/>
    <mergeCell ref="H727:I727"/>
    <mergeCell ref="J727:K727"/>
    <mergeCell ref="L727:M727"/>
    <mergeCell ref="A736:M736"/>
    <mergeCell ref="B742:M742"/>
    <mergeCell ref="A743:M743"/>
    <mergeCell ref="A744:M744"/>
    <mergeCell ref="A745:M745"/>
    <mergeCell ref="A746:M746"/>
    <mergeCell ref="A734:D734"/>
    <mergeCell ref="F734:G734"/>
    <mergeCell ref="H734:I734"/>
    <mergeCell ref="J734:K734"/>
    <mergeCell ref="L734:M734"/>
    <mergeCell ref="A735:M735"/>
    <mergeCell ref="A732:D732"/>
    <mergeCell ref="F732:G732"/>
    <mergeCell ref="H732:I732"/>
    <mergeCell ref="J732:K732"/>
    <mergeCell ref="L732:M732"/>
    <mergeCell ref="A733:D733"/>
    <mergeCell ref="F733:G733"/>
    <mergeCell ref="H733:I733"/>
    <mergeCell ref="J733:K733"/>
    <mergeCell ref="L733:M733"/>
    <mergeCell ref="A757:B757"/>
    <mergeCell ref="C757:G757"/>
    <mergeCell ref="H757:I757"/>
    <mergeCell ref="J757:M757"/>
    <mergeCell ref="A758:B758"/>
    <mergeCell ref="A759:C759"/>
    <mergeCell ref="D759:G759"/>
    <mergeCell ref="H759:I759"/>
    <mergeCell ref="J759:M759"/>
    <mergeCell ref="A753:M753"/>
    <mergeCell ref="A755:B755"/>
    <mergeCell ref="A756:B756"/>
    <mergeCell ref="H756:I756"/>
    <mergeCell ref="J756:K756"/>
    <mergeCell ref="L756:M756"/>
    <mergeCell ref="A747:L747"/>
    <mergeCell ref="A748:K748"/>
    <mergeCell ref="A749:M749"/>
    <mergeCell ref="A750:M750"/>
    <mergeCell ref="A751:M751"/>
    <mergeCell ref="A752:M752"/>
    <mergeCell ref="B764:D764"/>
    <mergeCell ref="F764:G764"/>
    <mergeCell ref="H764:I764"/>
    <mergeCell ref="J764:K764"/>
    <mergeCell ref="L764:M764"/>
    <mergeCell ref="B765:D765"/>
    <mergeCell ref="F765:G765"/>
    <mergeCell ref="H765:I765"/>
    <mergeCell ref="J765:K765"/>
    <mergeCell ref="L765:M765"/>
    <mergeCell ref="A762:M762"/>
    <mergeCell ref="B763:D763"/>
    <mergeCell ref="F763:G763"/>
    <mergeCell ref="H763:I763"/>
    <mergeCell ref="J763:K763"/>
    <mergeCell ref="L763:M763"/>
    <mergeCell ref="A760:C760"/>
    <mergeCell ref="D760:G760"/>
    <mergeCell ref="H760:I760"/>
    <mergeCell ref="J760:M760"/>
    <mergeCell ref="A761:C761"/>
    <mergeCell ref="D761:G761"/>
    <mergeCell ref="H761:I761"/>
    <mergeCell ref="J761:M761"/>
    <mergeCell ref="B768:D768"/>
    <mergeCell ref="F768:G768"/>
    <mergeCell ref="H768:I768"/>
    <mergeCell ref="J768:K768"/>
    <mergeCell ref="L768:M768"/>
    <mergeCell ref="B769:D769"/>
    <mergeCell ref="F769:G769"/>
    <mergeCell ref="H769:I769"/>
    <mergeCell ref="J769:K769"/>
    <mergeCell ref="L769:M769"/>
    <mergeCell ref="B766:D766"/>
    <mergeCell ref="F766:G766"/>
    <mergeCell ref="H766:I766"/>
    <mergeCell ref="J766:K766"/>
    <mergeCell ref="L766:M766"/>
    <mergeCell ref="B767:D767"/>
    <mergeCell ref="F767:G767"/>
    <mergeCell ref="H767:I767"/>
    <mergeCell ref="J767:K767"/>
    <mergeCell ref="L767:M767"/>
    <mergeCell ref="B772:D772"/>
    <mergeCell ref="F772:G772"/>
    <mergeCell ref="H772:I772"/>
    <mergeCell ref="J772:K772"/>
    <mergeCell ref="L772:M772"/>
    <mergeCell ref="B773:D773"/>
    <mergeCell ref="F773:G773"/>
    <mergeCell ref="H773:I773"/>
    <mergeCell ref="J773:K773"/>
    <mergeCell ref="L773:M773"/>
    <mergeCell ref="B770:D770"/>
    <mergeCell ref="F770:G770"/>
    <mergeCell ref="H770:I770"/>
    <mergeCell ref="J770:K770"/>
    <mergeCell ref="L770:M770"/>
    <mergeCell ref="B771:D771"/>
    <mergeCell ref="F771:G771"/>
    <mergeCell ref="H771:I771"/>
    <mergeCell ref="J771:K771"/>
    <mergeCell ref="L771:M771"/>
    <mergeCell ref="A776:D776"/>
    <mergeCell ref="F776:G776"/>
    <mergeCell ref="H776:I776"/>
    <mergeCell ref="J776:K776"/>
    <mergeCell ref="L776:M776"/>
    <mergeCell ref="B777:D777"/>
    <mergeCell ref="F777:G777"/>
    <mergeCell ref="H777:I777"/>
    <mergeCell ref="J777:K777"/>
    <mergeCell ref="L777:M777"/>
    <mergeCell ref="H774:I774"/>
    <mergeCell ref="J774:K774"/>
    <mergeCell ref="L774:M774"/>
    <mergeCell ref="A775:D775"/>
    <mergeCell ref="F775:G775"/>
    <mergeCell ref="H775:I775"/>
    <mergeCell ref="J775:K775"/>
    <mergeCell ref="L775:M775"/>
    <mergeCell ref="A782:M782"/>
    <mergeCell ref="A783:D783"/>
    <mergeCell ref="F783:G783"/>
    <mergeCell ref="H783:I783"/>
    <mergeCell ref="J783:K783"/>
    <mergeCell ref="L783:M783"/>
    <mergeCell ref="B780:D780"/>
    <mergeCell ref="F780:G780"/>
    <mergeCell ref="H780:I780"/>
    <mergeCell ref="J780:K780"/>
    <mergeCell ref="L780:M780"/>
    <mergeCell ref="B781:D781"/>
    <mergeCell ref="F781:G781"/>
    <mergeCell ref="H781:I781"/>
    <mergeCell ref="J781:K781"/>
    <mergeCell ref="L781:M781"/>
    <mergeCell ref="B778:D778"/>
    <mergeCell ref="F778:G778"/>
    <mergeCell ref="H778:I778"/>
    <mergeCell ref="J778:K778"/>
    <mergeCell ref="L778:M778"/>
    <mergeCell ref="B779:D779"/>
    <mergeCell ref="F779:G779"/>
    <mergeCell ref="H779:I779"/>
    <mergeCell ref="J779:K779"/>
    <mergeCell ref="L779:M779"/>
    <mergeCell ref="A788:D788"/>
    <mergeCell ref="F788:G788"/>
    <mergeCell ref="H788:I788"/>
    <mergeCell ref="J788:K788"/>
    <mergeCell ref="L788:M788"/>
    <mergeCell ref="A789:D789"/>
    <mergeCell ref="F789:G789"/>
    <mergeCell ref="H789:I789"/>
    <mergeCell ref="J789:K789"/>
    <mergeCell ref="L789:M789"/>
    <mergeCell ref="B786:D786"/>
    <mergeCell ref="F786:G786"/>
    <mergeCell ref="H786:I786"/>
    <mergeCell ref="J786:K786"/>
    <mergeCell ref="L786:M786"/>
    <mergeCell ref="A787:M787"/>
    <mergeCell ref="B784:D784"/>
    <mergeCell ref="F784:G784"/>
    <mergeCell ref="H784:I784"/>
    <mergeCell ref="J784:K784"/>
    <mergeCell ref="L784:M784"/>
    <mergeCell ref="B785:D785"/>
    <mergeCell ref="F785:G785"/>
    <mergeCell ref="H785:I785"/>
    <mergeCell ref="J785:K785"/>
    <mergeCell ref="L785:M785"/>
    <mergeCell ref="A794:M794"/>
    <mergeCell ref="B800:M800"/>
    <mergeCell ref="A801:M801"/>
    <mergeCell ref="A802:M802"/>
    <mergeCell ref="A803:M803"/>
    <mergeCell ref="A804:M804"/>
    <mergeCell ref="A792:D792"/>
    <mergeCell ref="F792:G792"/>
    <mergeCell ref="H792:I792"/>
    <mergeCell ref="J792:K792"/>
    <mergeCell ref="L792:M792"/>
    <mergeCell ref="A793:M793"/>
    <mergeCell ref="A790:D790"/>
    <mergeCell ref="F790:G790"/>
    <mergeCell ref="H790:I790"/>
    <mergeCell ref="J790:K790"/>
    <mergeCell ref="L790:M790"/>
    <mergeCell ref="A791:D791"/>
    <mergeCell ref="F791:G791"/>
    <mergeCell ref="H791:I791"/>
    <mergeCell ref="J791:K791"/>
    <mergeCell ref="L791:M791"/>
    <mergeCell ref="A815:B815"/>
    <mergeCell ref="C815:G815"/>
    <mergeCell ref="H815:I815"/>
    <mergeCell ref="J815:M815"/>
    <mergeCell ref="A816:B816"/>
    <mergeCell ref="A817:C817"/>
    <mergeCell ref="D817:G817"/>
    <mergeCell ref="H817:I817"/>
    <mergeCell ref="J817:M817"/>
    <mergeCell ref="A811:M811"/>
    <mergeCell ref="A813:B813"/>
    <mergeCell ref="A814:B814"/>
    <mergeCell ref="H814:I814"/>
    <mergeCell ref="J814:K814"/>
    <mergeCell ref="L814:M814"/>
    <mergeCell ref="A805:L805"/>
    <mergeCell ref="A806:K806"/>
    <mergeCell ref="A807:M807"/>
    <mergeCell ref="A808:M808"/>
    <mergeCell ref="A809:M809"/>
    <mergeCell ref="A810:M810"/>
    <mergeCell ref="B822:D822"/>
    <mergeCell ref="F822:G822"/>
    <mergeCell ref="H822:I822"/>
    <mergeCell ref="J822:K822"/>
    <mergeCell ref="L822:M822"/>
    <mergeCell ref="B823:D823"/>
    <mergeCell ref="F823:G823"/>
    <mergeCell ref="H823:I823"/>
    <mergeCell ref="J823:K823"/>
    <mergeCell ref="L823:M823"/>
    <mergeCell ref="A820:M820"/>
    <mergeCell ref="B821:D821"/>
    <mergeCell ref="F821:G821"/>
    <mergeCell ref="H821:I821"/>
    <mergeCell ref="J821:K821"/>
    <mergeCell ref="L821:M821"/>
    <mergeCell ref="A818:C818"/>
    <mergeCell ref="D818:G818"/>
    <mergeCell ref="H818:I818"/>
    <mergeCell ref="J818:M818"/>
    <mergeCell ref="A819:C819"/>
    <mergeCell ref="D819:G819"/>
    <mergeCell ref="H819:I819"/>
    <mergeCell ref="J819:M819"/>
    <mergeCell ref="B826:D826"/>
    <mergeCell ref="F826:G826"/>
    <mergeCell ref="H826:I826"/>
    <mergeCell ref="J826:K826"/>
    <mergeCell ref="L826:M826"/>
    <mergeCell ref="B827:D827"/>
    <mergeCell ref="F827:G827"/>
    <mergeCell ref="H827:I827"/>
    <mergeCell ref="J827:K827"/>
    <mergeCell ref="L827:M827"/>
    <mergeCell ref="B824:D824"/>
    <mergeCell ref="F824:G824"/>
    <mergeCell ref="H824:I824"/>
    <mergeCell ref="J824:K824"/>
    <mergeCell ref="L824:M824"/>
    <mergeCell ref="B825:D825"/>
    <mergeCell ref="F825:G825"/>
    <mergeCell ref="H825:I825"/>
    <mergeCell ref="J825:K825"/>
    <mergeCell ref="L825:M825"/>
    <mergeCell ref="B830:D830"/>
    <mergeCell ref="F830:G830"/>
    <mergeCell ref="H830:I830"/>
    <mergeCell ref="J830:K830"/>
    <mergeCell ref="L830:M830"/>
    <mergeCell ref="B831:D831"/>
    <mergeCell ref="F831:G831"/>
    <mergeCell ref="H831:I831"/>
    <mergeCell ref="J831:K831"/>
    <mergeCell ref="L831:M831"/>
    <mergeCell ref="B828:D828"/>
    <mergeCell ref="F828:G828"/>
    <mergeCell ref="H828:I828"/>
    <mergeCell ref="J828:K828"/>
    <mergeCell ref="L828:M828"/>
    <mergeCell ref="B829:D829"/>
    <mergeCell ref="F829:G829"/>
    <mergeCell ref="H829:I829"/>
    <mergeCell ref="J829:K829"/>
    <mergeCell ref="L829:M829"/>
    <mergeCell ref="A834:D834"/>
    <mergeCell ref="F834:G834"/>
    <mergeCell ref="H834:I834"/>
    <mergeCell ref="J834:K834"/>
    <mergeCell ref="L834:M834"/>
    <mergeCell ref="B835:D835"/>
    <mergeCell ref="F835:G835"/>
    <mergeCell ref="H835:I835"/>
    <mergeCell ref="J835:K835"/>
    <mergeCell ref="L835:M835"/>
    <mergeCell ref="H832:I832"/>
    <mergeCell ref="J832:K832"/>
    <mergeCell ref="L832:M832"/>
    <mergeCell ref="A833:D833"/>
    <mergeCell ref="F833:G833"/>
    <mergeCell ref="H833:I833"/>
    <mergeCell ref="J833:K833"/>
    <mergeCell ref="L833:M833"/>
    <mergeCell ref="A840:M840"/>
    <mergeCell ref="A841:D841"/>
    <mergeCell ref="F841:G841"/>
    <mergeCell ref="H841:I841"/>
    <mergeCell ref="J841:K841"/>
    <mergeCell ref="L841:M841"/>
    <mergeCell ref="B838:D838"/>
    <mergeCell ref="F838:G838"/>
    <mergeCell ref="H838:I838"/>
    <mergeCell ref="J838:K838"/>
    <mergeCell ref="L838:M838"/>
    <mergeCell ref="B839:D839"/>
    <mergeCell ref="F839:G839"/>
    <mergeCell ref="H839:I839"/>
    <mergeCell ref="J839:K839"/>
    <mergeCell ref="L839:M839"/>
    <mergeCell ref="B836:D836"/>
    <mergeCell ref="F836:G836"/>
    <mergeCell ref="H836:I836"/>
    <mergeCell ref="J836:K836"/>
    <mergeCell ref="L836:M836"/>
    <mergeCell ref="B837:D837"/>
    <mergeCell ref="F837:G837"/>
    <mergeCell ref="H837:I837"/>
    <mergeCell ref="J837:K837"/>
    <mergeCell ref="L837:M837"/>
    <mergeCell ref="A846:D846"/>
    <mergeCell ref="F846:G846"/>
    <mergeCell ref="H846:I846"/>
    <mergeCell ref="J846:K846"/>
    <mergeCell ref="L846:M846"/>
    <mergeCell ref="A847:D847"/>
    <mergeCell ref="F847:G847"/>
    <mergeCell ref="H847:I847"/>
    <mergeCell ref="J847:K847"/>
    <mergeCell ref="L847:M847"/>
    <mergeCell ref="B844:D844"/>
    <mergeCell ref="F844:G844"/>
    <mergeCell ref="H844:I844"/>
    <mergeCell ref="J844:K844"/>
    <mergeCell ref="L844:M844"/>
    <mergeCell ref="A845:M845"/>
    <mergeCell ref="B842:D842"/>
    <mergeCell ref="F842:G842"/>
    <mergeCell ref="H842:I842"/>
    <mergeCell ref="J842:K842"/>
    <mergeCell ref="L842:M842"/>
    <mergeCell ref="B843:D843"/>
    <mergeCell ref="F843:G843"/>
    <mergeCell ref="H843:I843"/>
    <mergeCell ref="J843:K843"/>
    <mergeCell ref="L843:M843"/>
    <mergeCell ref="A852:M852"/>
    <mergeCell ref="B858:M858"/>
    <mergeCell ref="A859:M859"/>
    <mergeCell ref="A860:M860"/>
    <mergeCell ref="A861:M861"/>
    <mergeCell ref="A862:M862"/>
    <mergeCell ref="A850:D850"/>
    <mergeCell ref="F850:G850"/>
    <mergeCell ref="H850:I850"/>
    <mergeCell ref="J850:K850"/>
    <mergeCell ref="L850:M850"/>
    <mergeCell ref="A851:M851"/>
    <mergeCell ref="A848:D848"/>
    <mergeCell ref="F848:G848"/>
    <mergeCell ref="H848:I848"/>
    <mergeCell ref="J848:K848"/>
    <mergeCell ref="L848:M848"/>
    <mergeCell ref="A849:D849"/>
    <mergeCell ref="F849:G849"/>
    <mergeCell ref="H849:I849"/>
    <mergeCell ref="J849:K849"/>
    <mergeCell ref="L849:M849"/>
    <mergeCell ref="A873:B873"/>
    <mergeCell ref="C873:G873"/>
    <mergeCell ref="H873:I873"/>
    <mergeCell ref="J873:M873"/>
    <mergeCell ref="A874:B874"/>
    <mergeCell ref="A875:C875"/>
    <mergeCell ref="D875:G875"/>
    <mergeCell ref="H875:I875"/>
    <mergeCell ref="J875:M875"/>
    <mergeCell ref="A869:M869"/>
    <mergeCell ref="A871:B871"/>
    <mergeCell ref="A872:B872"/>
    <mergeCell ref="H872:I872"/>
    <mergeCell ref="J872:K872"/>
    <mergeCell ref="L872:M872"/>
    <mergeCell ref="A863:L863"/>
    <mergeCell ref="A864:K864"/>
    <mergeCell ref="A865:M865"/>
    <mergeCell ref="A866:M866"/>
    <mergeCell ref="A867:M867"/>
    <mergeCell ref="A868:M868"/>
    <mergeCell ref="B880:D880"/>
    <mergeCell ref="F880:G880"/>
    <mergeCell ref="H880:I880"/>
    <mergeCell ref="J880:K880"/>
    <mergeCell ref="L880:M880"/>
    <mergeCell ref="B881:D881"/>
    <mergeCell ref="F881:G881"/>
    <mergeCell ref="H881:I881"/>
    <mergeCell ref="J881:K881"/>
    <mergeCell ref="L881:M881"/>
    <mergeCell ref="A878:M878"/>
    <mergeCell ref="B879:D879"/>
    <mergeCell ref="F879:G879"/>
    <mergeCell ref="H879:I879"/>
    <mergeCell ref="J879:K879"/>
    <mergeCell ref="L879:M879"/>
    <mergeCell ref="A876:C876"/>
    <mergeCell ref="D876:G876"/>
    <mergeCell ref="H876:I876"/>
    <mergeCell ref="J876:M876"/>
    <mergeCell ref="A877:C877"/>
    <mergeCell ref="D877:G877"/>
    <mergeCell ref="H877:I877"/>
    <mergeCell ref="J877:M877"/>
    <mergeCell ref="B884:D884"/>
    <mergeCell ref="F884:G884"/>
    <mergeCell ref="H884:I884"/>
    <mergeCell ref="J884:K884"/>
    <mergeCell ref="L884:M884"/>
    <mergeCell ref="B885:D885"/>
    <mergeCell ref="F885:G885"/>
    <mergeCell ref="H885:I885"/>
    <mergeCell ref="J885:K885"/>
    <mergeCell ref="L885:M885"/>
    <mergeCell ref="B882:D882"/>
    <mergeCell ref="F882:G882"/>
    <mergeCell ref="H882:I882"/>
    <mergeCell ref="J882:K882"/>
    <mergeCell ref="L882:M882"/>
    <mergeCell ref="B883:D883"/>
    <mergeCell ref="F883:G883"/>
    <mergeCell ref="H883:I883"/>
    <mergeCell ref="J883:K883"/>
    <mergeCell ref="L883:M883"/>
    <mergeCell ref="B888:D888"/>
    <mergeCell ref="F888:G888"/>
    <mergeCell ref="H888:I888"/>
    <mergeCell ref="J888:K888"/>
    <mergeCell ref="L888:M888"/>
    <mergeCell ref="B889:D889"/>
    <mergeCell ref="F889:G889"/>
    <mergeCell ref="H889:I889"/>
    <mergeCell ref="J889:K889"/>
    <mergeCell ref="L889:M889"/>
    <mergeCell ref="B886:D886"/>
    <mergeCell ref="F886:G886"/>
    <mergeCell ref="H886:I886"/>
    <mergeCell ref="J886:K886"/>
    <mergeCell ref="L886:M886"/>
    <mergeCell ref="B887:D887"/>
    <mergeCell ref="F887:G887"/>
    <mergeCell ref="H887:I887"/>
    <mergeCell ref="J887:K887"/>
    <mergeCell ref="L887:M887"/>
    <mergeCell ref="A892:D892"/>
    <mergeCell ref="F892:G892"/>
    <mergeCell ref="H892:I892"/>
    <mergeCell ref="J892:K892"/>
    <mergeCell ref="L892:M892"/>
    <mergeCell ref="B893:D893"/>
    <mergeCell ref="F893:G893"/>
    <mergeCell ref="H893:I893"/>
    <mergeCell ref="J893:K893"/>
    <mergeCell ref="L893:M893"/>
    <mergeCell ref="H890:I890"/>
    <mergeCell ref="J890:K890"/>
    <mergeCell ref="L890:M890"/>
    <mergeCell ref="A891:D891"/>
    <mergeCell ref="F891:G891"/>
    <mergeCell ref="H891:I891"/>
    <mergeCell ref="J891:K891"/>
    <mergeCell ref="L891:M891"/>
    <mergeCell ref="A898:M898"/>
    <mergeCell ref="A899:D899"/>
    <mergeCell ref="F899:G899"/>
    <mergeCell ref="H899:I899"/>
    <mergeCell ref="J899:K899"/>
    <mergeCell ref="L899:M899"/>
    <mergeCell ref="B896:D896"/>
    <mergeCell ref="F896:G896"/>
    <mergeCell ref="H896:I896"/>
    <mergeCell ref="J896:K896"/>
    <mergeCell ref="L896:M896"/>
    <mergeCell ref="B897:D897"/>
    <mergeCell ref="F897:G897"/>
    <mergeCell ref="H897:I897"/>
    <mergeCell ref="J897:K897"/>
    <mergeCell ref="L897:M897"/>
    <mergeCell ref="B894:D894"/>
    <mergeCell ref="F894:G894"/>
    <mergeCell ref="H894:I894"/>
    <mergeCell ref="J894:K894"/>
    <mergeCell ref="L894:M894"/>
    <mergeCell ref="B895:D895"/>
    <mergeCell ref="F895:G895"/>
    <mergeCell ref="H895:I895"/>
    <mergeCell ref="J895:K895"/>
    <mergeCell ref="L895:M895"/>
    <mergeCell ref="A904:D904"/>
    <mergeCell ref="F904:G904"/>
    <mergeCell ref="H904:I904"/>
    <mergeCell ref="J904:K904"/>
    <mergeCell ref="L904:M904"/>
    <mergeCell ref="A905:D905"/>
    <mergeCell ref="F905:G905"/>
    <mergeCell ref="H905:I905"/>
    <mergeCell ref="J905:K905"/>
    <mergeCell ref="L905:M905"/>
    <mergeCell ref="B902:D902"/>
    <mergeCell ref="F902:G902"/>
    <mergeCell ref="H902:I902"/>
    <mergeCell ref="J902:K902"/>
    <mergeCell ref="L902:M902"/>
    <mergeCell ref="A903:M903"/>
    <mergeCell ref="B900:D900"/>
    <mergeCell ref="F900:G900"/>
    <mergeCell ref="H900:I900"/>
    <mergeCell ref="J900:K900"/>
    <mergeCell ref="L900:M900"/>
    <mergeCell ref="B901:D901"/>
    <mergeCell ref="F901:G901"/>
    <mergeCell ref="H901:I901"/>
    <mergeCell ref="J901:K901"/>
    <mergeCell ref="L901:M901"/>
    <mergeCell ref="A910:M910"/>
    <mergeCell ref="B916:M916"/>
    <mergeCell ref="A917:M917"/>
    <mergeCell ref="A918:M918"/>
    <mergeCell ref="A919:M919"/>
    <mergeCell ref="A920:M920"/>
    <mergeCell ref="A908:D908"/>
    <mergeCell ref="F908:G908"/>
    <mergeCell ref="H908:I908"/>
    <mergeCell ref="J908:K908"/>
    <mergeCell ref="L908:M908"/>
    <mergeCell ref="A909:M909"/>
    <mergeCell ref="A906:D906"/>
    <mergeCell ref="F906:G906"/>
    <mergeCell ref="H906:I906"/>
    <mergeCell ref="J906:K906"/>
    <mergeCell ref="L906:M906"/>
    <mergeCell ref="A907:D907"/>
    <mergeCell ref="F907:G907"/>
    <mergeCell ref="H907:I907"/>
    <mergeCell ref="J907:K907"/>
    <mergeCell ref="L907:M907"/>
    <mergeCell ref="A931:B931"/>
    <mergeCell ref="C931:G931"/>
    <mergeCell ref="H931:I931"/>
    <mergeCell ref="J931:M931"/>
    <mergeCell ref="A932:B932"/>
    <mergeCell ref="A933:C933"/>
    <mergeCell ref="D933:G933"/>
    <mergeCell ref="H933:I933"/>
    <mergeCell ref="J933:M933"/>
    <mergeCell ref="A927:M927"/>
    <mergeCell ref="A929:B929"/>
    <mergeCell ref="A930:B930"/>
    <mergeCell ref="H930:I930"/>
    <mergeCell ref="J930:K930"/>
    <mergeCell ref="L930:M930"/>
    <mergeCell ref="A921:L921"/>
    <mergeCell ref="A922:K922"/>
    <mergeCell ref="A923:M923"/>
    <mergeCell ref="A924:M924"/>
    <mergeCell ref="A925:M925"/>
    <mergeCell ref="A926:M926"/>
    <mergeCell ref="B938:D938"/>
    <mergeCell ref="F938:G938"/>
    <mergeCell ref="H938:I938"/>
    <mergeCell ref="J938:K938"/>
    <mergeCell ref="L938:M938"/>
    <mergeCell ref="B939:D939"/>
    <mergeCell ref="F939:G939"/>
    <mergeCell ref="H939:I939"/>
    <mergeCell ref="J939:K939"/>
    <mergeCell ref="L939:M939"/>
    <mergeCell ref="A936:M936"/>
    <mergeCell ref="B937:D937"/>
    <mergeCell ref="F937:G937"/>
    <mergeCell ref="H937:I937"/>
    <mergeCell ref="J937:K937"/>
    <mergeCell ref="L937:M937"/>
    <mergeCell ref="A934:C934"/>
    <mergeCell ref="D934:G934"/>
    <mergeCell ref="H934:I934"/>
    <mergeCell ref="J934:M934"/>
    <mergeCell ref="A935:C935"/>
    <mergeCell ref="D935:G935"/>
    <mergeCell ref="H935:I935"/>
    <mergeCell ref="J935:M935"/>
    <mergeCell ref="B942:D942"/>
    <mergeCell ref="F942:G942"/>
    <mergeCell ref="H942:I942"/>
    <mergeCell ref="J942:K942"/>
    <mergeCell ref="L942:M942"/>
    <mergeCell ref="B943:D943"/>
    <mergeCell ref="F943:G943"/>
    <mergeCell ref="H943:I943"/>
    <mergeCell ref="J943:K943"/>
    <mergeCell ref="L943:M943"/>
    <mergeCell ref="B940:D940"/>
    <mergeCell ref="F940:G940"/>
    <mergeCell ref="H940:I940"/>
    <mergeCell ref="J940:K940"/>
    <mergeCell ref="L940:M940"/>
    <mergeCell ref="B941:D941"/>
    <mergeCell ref="F941:G941"/>
    <mergeCell ref="H941:I941"/>
    <mergeCell ref="J941:K941"/>
    <mergeCell ref="L941:M941"/>
    <mergeCell ref="B946:D946"/>
    <mergeCell ref="F946:G946"/>
    <mergeCell ref="H946:I946"/>
    <mergeCell ref="J946:K946"/>
    <mergeCell ref="L946:M946"/>
    <mergeCell ref="B947:D947"/>
    <mergeCell ref="F947:G947"/>
    <mergeCell ref="H947:I947"/>
    <mergeCell ref="J947:K947"/>
    <mergeCell ref="L947:M947"/>
    <mergeCell ref="B944:D944"/>
    <mergeCell ref="F944:G944"/>
    <mergeCell ref="H944:I944"/>
    <mergeCell ref="J944:K944"/>
    <mergeCell ref="L944:M944"/>
    <mergeCell ref="B945:D945"/>
    <mergeCell ref="F945:G945"/>
    <mergeCell ref="H945:I945"/>
    <mergeCell ref="J945:K945"/>
    <mergeCell ref="L945:M945"/>
    <mergeCell ref="A950:D950"/>
    <mergeCell ref="F950:G950"/>
    <mergeCell ref="H950:I950"/>
    <mergeCell ref="J950:K950"/>
    <mergeCell ref="L950:M950"/>
    <mergeCell ref="B951:D951"/>
    <mergeCell ref="F951:G951"/>
    <mergeCell ref="H951:I951"/>
    <mergeCell ref="J951:K951"/>
    <mergeCell ref="L951:M951"/>
    <mergeCell ref="H948:I948"/>
    <mergeCell ref="J948:K948"/>
    <mergeCell ref="L948:M948"/>
    <mergeCell ref="A949:D949"/>
    <mergeCell ref="F949:G949"/>
    <mergeCell ref="H949:I949"/>
    <mergeCell ref="J949:K949"/>
    <mergeCell ref="L949:M949"/>
    <mergeCell ref="A956:M956"/>
    <mergeCell ref="A957:D957"/>
    <mergeCell ref="F957:G957"/>
    <mergeCell ref="H957:I957"/>
    <mergeCell ref="J957:K957"/>
    <mergeCell ref="L957:M957"/>
    <mergeCell ref="B954:D954"/>
    <mergeCell ref="F954:G954"/>
    <mergeCell ref="H954:I954"/>
    <mergeCell ref="J954:K954"/>
    <mergeCell ref="L954:M954"/>
    <mergeCell ref="B955:D955"/>
    <mergeCell ref="F955:G955"/>
    <mergeCell ref="H955:I955"/>
    <mergeCell ref="J955:K955"/>
    <mergeCell ref="L955:M955"/>
    <mergeCell ref="B952:D952"/>
    <mergeCell ref="F952:G952"/>
    <mergeCell ref="H952:I952"/>
    <mergeCell ref="J952:K952"/>
    <mergeCell ref="L952:M952"/>
    <mergeCell ref="B953:D953"/>
    <mergeCell ref="F953:G953"/>
    <mergeCell ref="H953:I953"/>
    <mergeCell ref="J953:K953"/>
    <mergeCell ref="L953:M953"/>
    <mergeCell ref="A962:D962"/>
    <mergeCell ref="F962:G962"/>
    <mergeCell ref="H962:I962"/>
    <mergeCell ref="J962:K962"/>
    <mergeCell ref="L962:M962"/>
    <mergeCell ref="A963:D963"/>
    <mergeCell ref="F963:G963"/>
    <mergeCell ref="H963:I963"/>
    <mergeCell ref="J963:K963"/>
    <mergeCell ref="L963:M963"/>
    <mergeCell ref="B960:D960"/>
    <mergeCell ref="F960:G960"/>
    <mergeCell ref="H960:I960"/>
    <mergeCell ref="J960:K960"/>
    <mergeCell ref="L960:M960"/>
    <mergeCell ref="A961:M961"/>
    <mergeCell ref="B958:D958"/>
    <mergeCell ref="F958:G958"/>
    <mergeCell ref="H958:I958"/>
    <mergeCell ref="J958:K958"/>
    <mergeCell ref="L958:M958"/>
    <mergeCell ref="B959:D959"/>
    <mergeCell ref="F959:G959"/>
    <mergeCell ref="H959:I959"/>
    <mergeCell ref="J959:K959"/>
    <mergeCell ref="L959:M959"/>
    <mergeCell ref="A968:M968"/>
    <mergeCell ref="B974:M974"/>
    <mergeCell ref="A975:M975"/>
    <mergeCell ref="A976:M976"/>
    <mergeCell ref="A977:M977"/>
    <mergeCell ref="A978:M978"/>
    <mergeCell ref="A966:D966"/>
    <mergeCell ref="F966:G966"/>
    <mergeCell ref="H966:I966"/>
    <mergeCell ref="J966:K966"/>
    <mergeCell ref="L966:M966"/>
    <mergeCell ref="A967:M967"/>
    <mergeCell ref="A964:D964"/>
    <mergeCell ref="F964:G964"/>
    <mergeCell ref="H964:I964"/>
    <mergeCell ref="J964:K964"/>
    <mergeCell ref="L964:M964"/>
    <mergeCell ref="A965:D965"/>
    <mergeCell ref="F965:G965"/>
    <mergeCell ref="H965:I965"/>
    <mergeCell ref="J965:K965"/>
    <mergeCell ref="L965:M965"/>
    <mergeCell ref="A989:B989"/>
    <mergeCell ref="C989:G989"/>
    <mergeCell ref="H989:I989"/>
    <mergeCell ref="J989:M989"/>
    <mergeCell ref="A990:B990"/>
    <mergeCell ref="A991:C991"/>
    <mergeCell ref="D991:G991"/>
    <mergeCell ref="H991:I991"/>
    <mergeCell ref="J991:M991"/>
    <mergeCell ref="A985:M985"/>
    <mergeCell ref="A987:B987"/>
    <mergeCell ref="A988:B988"/>
    <mergeCell ref="H988:I988"/>
    <mergeCell ref="J988:K988"/>
    <mergeCell ref="L988:M988"/>
    <mergeCell ref="A979:L979"/>
    <mergeCell ref="A980:K980"/>
    <mergeCell ref="A981:M981"/>
    <mergeCell ref="A982:M982"/>
    <mergeCell ref="A983:M983"/>
    <mergeCell ref="A984:M984"/>
    <mergeCell ref="B996:D996"/>
    <mergeCell ref="F996:G996"/>
    <mergeCell ref="H996:I996"/>
    <mergeCell ref="J996:K996"/>
    <mergeCell ref="L996:M996"/>
    <mergeCell ref="B997:D997"/>
    <mergeCell ref="F997:G997"/>
    <mergeCell ref="H997:I997"/>
    <mergeCell ref="J997:K997"/>
    <mergeCell ref="L997:M997"/>
    <mergeCell ref="A994:M994"/>
    <mergeCell ref="B995:D995"/>
    <mergeCell ref="F995:G995"/>
    <mergeCell ref="H995:I995"/>
    <mergeCell ref="J995:K995"/>
    <mergeCell ref="L995:M995"/>
    <mergeCell ref="A992:C992"/>
    <mergeCell ref="D992:G992"/>
    <mergeCell ref="H992:I992"/>
    <mergeCell ref="J992:M992"/>
    <mergeCell ref="A993:C993"/>
    <mergeCell ref="D993:G993"/>
    <mergeCell ref="H993:I993"/>
    <mergeCell ref="J993:M993"/>
    <mergeCell ref="B1000:D1000"/>
    <mergeCell ref="F1000:G1000"/>
    <mergeCell ref="H1000:I1000"/>
    <mergeCell ref="J1000:K1000"/>
    <mergeCell ref="L1000:M1000"/>
    <mergeCell ref="B1001:D1001"/>
    <mergeCell ref="F1001:G1001"/>
    <mergeCell ref="H1001:I1001"/>
    <mergeCell ref="J1001:K1001"/>
    <mergeCell ref="L1001:M1001"/>
    <mergeCell ref="B998:D998"/>
    <mergeCell ref="F998:G998"/>
    <mergeCell ref="H998:I998"/>
    <mergeCell ref="J998:K998"/>
    <mergeCell ref="L998:M998"/>
    <mergeCell ref="B999:D999"/>
    <mergeCell ref="F999:G999"/>
    <mergeCell ref="H999:I999"/>
    <mergeCell ref="J999:K999"/>
    <mergeCell ref="L999:M999"/>
    <mergeCell ref="B1004:D1004"/>
    <mergeCell ref="F1004:G1004"/>
    <mergeCell ref="H1004:I1004"/>
    <mergeCell ref="J1004:K1004"/>
    <mergeCell ref="L1004:M1004"/>
    <mergeCell ref="B1005:D1005"/>
    <mergeCell ref="F1005:G1005"/>
    <mergeCell ref="H1005:I1005"/>
    <mergeCell ref="J1005:K1005"/>
    <mergeCell ref="L1005:M1005"/>
    <mergeCell ref="B1002:D1002"/>
    <mergeCell ref="F1002:G1002"/>
    <mergeCell ref="H1002:I1002"/>
    <mergeCell ref="J1002:K1002"/>
    <mergeCell ref="L1002:M1002"/>
    <mergeCell ref="B1003:D1003"/>
    <mergeCell ref="F1003:G1003"/>
    <mergeCell ref="H1003:I1003"/>
    <mergeCell ref="J1003:K1003"/>
    <mergeCell ref="L1003:M1003"/>
    <mergeCell ref="A1008:D1008"/>
    <mergeCell ref="F1008:G1008"/>
    <mergeCell ref="H1008:I1008"/>
    <mergeCell ref="J1008:K1008"/>
    <mergeCell ref="L1008:M1008"/>
    <mergeCell ref="B1009:D1009"/>
    <mergeCell ref="F1009:G1009"/>
    <mergeCell ref="H1009:I1009"/>
    <mergeCell ref="J1009:K1009"/>
    <mergeCell ref="L1009:M1009"/>
    <mergeCell ref="H1006:I1006"/>
    <mergeCell ref="J1006:K1006"/>
    <mergeCell ref="L1006:M1006"/>
    <mergeCell ref="A1007:D1007"/>
    <mergeCell ref="F1007:G1007"/>
    <mergeCell ref="H1007:I1007"/>
    <mergeCell ref="J1007:K1007"/>
    <mergeCell ref="L1007:M1007"/>
    <mergeCell ref="A1014:M1014"/>
    <mergeCell ref="A1015:D1015"/>
    <mergeCell ref="F1015:G1015"/>
    <mergeCell ref="H1015:I1015"/>
    <mergeCell ref="J1015:K1015"/>
    <mergeCell ref="L1015:M1015"/>
    <mergeCell ref="B1012:D1012"/>
    <mergeCell ref="F1012:G1012"/>
    <mergeCell ref="H1012:I1012"/>
    <mergeCell ref="J1012:K1012"/>
    <mergeCell ref="L1012:M1012"/>
    <mergeCell ref="B1013:D1013"/>
    <mergeCell ref="F1013:G1013"/>
    <mergeCell ref="H1013:I1013"/>
    <mergeCell ref="J1013:K1013"/>
    <mergeCell ref="L1013:M1013"/>
    <mergeCell ref="B1010:D1010"/>
    <mergeCell ref="F1010:G1010"/>
    <mergeCell ref="H1010:I1010"/>
    <mergeCell ref="J1010:K1010"/>
    <mergeCell ref="L1010:M1010"/>
    <mergeCell ref="B1011:D1011"/>
    <mergeCell ref="F1011:G1011"/>
    <mergeCell ref="H1011:I1011"/>
    <mergeCell ref="J1011:K1011"/>
    <mergeCell ref="L1011:M1011"/>
    <mergeCell ref="A1020:D1020"/>
    <mergeCell ref="F1020:G1020"/>
    <mergeCell ref="H1020:I1020"/>
    <mergeCell ref="J1020:K1020"/>
    <mergeCell ref="L1020:M1020"/>
    <mergeCell ref="A1021:D1021"/>
    <mergeCell ref="F1021:G1021"/>
    <mergeCell ref="H1021:I1021"/>
    <mergeCell ref="J1021:K1021"/>
    <mergeCell ref="L1021:M1021"/>
    <mergeCell ref="B1018:D1018"/>
    <mergeCell ref="F1018:G1018"/>
    <mergeCell ref="H1018:I1018"/>
    <mergeCell ref="J1018:K1018"/>
    <mergeCell ref="L1018:M1018"/>
    <mergeCell ref="A1019:M1019"/>
    <mergeCell ref="B1016:D1016"/>
    <mergeCell ref="F1016:G1016"/>
    <mergeCell ref="H1016:I1016"/>
    <mergeCell ref="J1016:K1016"/>
    <mergeCell ref="L1016:M1016"/>
    <mergeCell ref="B1017:D1017"/>
    <mergeCell ref="F1017:G1017"/>
    <mergeCell ref="H1017:I1017"/>
    <mergeCell ref="J1017:K1017"/>
    <mergeCell ref="L1017:M1017"/>
    <mergeCell ref="A1026:M1026"/>
    <mergeCell ref="B1032:M1032"/>
    <mergeCell ref="A1033:M1033"/>
    <mergeCell ref="A1034:M1034"/>
    <mergeCell ref="A1035:M1035"/>
    <mergeCell ref="A1036:M1036"/>
    <mergeCell ref="A1024:D1024"/>
    <mergeCell ref="F1024:G1024"/>
    <mergeCell ref="H1024:I1024"/>
    <mergeCell ref="J1024:K1024"/>
    <mergeCell ref="L1024:M1024"/>
    <mergeCell ref="A1025:M1025"/>
    <mergeCell ref="A1022:D1022"/>
    <mergeCell ref="F1022:G1022"/>
    <mergeCell ref="H1022:I1022"/>
    <mergeCell ref="J1022:K1022"/>
    <mergeCell ref="L1022:M1022"/>
    <mergeCell ref="A1023:D1023"/>
    <mergeCell ref="F1023:G1023"/>
    <mergeCell ref="H1023:I1023"/>
    <mergeCell ref="J1023:K1023"/>
    <mergeCell ref="L1023:M1023"/>
    <mergeCell ref="A1047:B1047"/>
    <mergeCell ref="C1047:G1047"/>
    <mergeCell ref="H1047:I1047"/>
    <mergeCell ref="J1047:M1047"/>
    <mergeCell ref="A1048:B1048"/>
    <mergeCell ref="A1049:C1049"/>
    <mergeCell ref="D1049:G1049"/>
    <mergeCell ref="H1049:I1049"/>
    <mergeCell ref="J1049:M1049"/>
    <mergeCell ref="A1043:M1043"/>
    <mergeCell ref="A1045:B1045"/>
    <mergeCell ref="A1046:B1046"/>
    <mergeCell ref="H1046:I1046"/>
    <mergeCell ref="J1046:K1046"/>
    <mergeCell ref="L1046:M1046"/>
    <mergeCell ref="A1037:L1037"/>
    <mergeCell ref="A1038:K1038"/>
    <mergeCell ref="A1039:M1039"/>
    <mergeCell ref="A1040:M1040"/>
    <mergeCell ref="A1041:M1041"/>
    <mergeCell ref="A1042:M1042"/>
    <mergeCell ref="B1054:D1054"/>
    <mergeCell ref="F1054:G1054"/>
    <mergeCell ref="H1054:I1054"/>
    <mergeCell ref="J1054:K1054"/>
    <mergeCell ref="L1054:M1054"/>
    <mergeCell ref="B1055:D1055"/>
    <mergeCell ref="F1055:G1055"/>
    <mergeCell ref="H1055:I1055"/>
    <mergeCell ref="J1055:K1055"/>
    <mergeCell ref="L1055:M1055"/>
    <mergeCell ref="A1052:M1052"/>
    <mergeCell ref="B1053:D1053"/>
    <mergeCell ref="F1053:G1053"/>
    <mergeCell ref="H1053:I1053"/>
    <mergeCell ref="J1053:K1053"/>
    <mergeCell ref="L1053:M1053"/>
    <mergeCell ref="A1050:C1050"/>
    <mergeCell ref="D1050:G1050"/>
    <mergeCell ref="H1050:I1050"/>
    <mergeCell ref="J1050:M1050"/>
    <mergeCell ref="A1051:C1051"/>
    <mergeCell ref="D1051:G1051"/>
    <mergeCell ref="H1051:I1051"/>
    <mergeCell ref="J1051:M1051"/>
    <mergeCell ref="B1058:D1058"/>
    <mergeCell ref="F1058:G1058"/>
    <mergeCell ref="H1058:I1058"/>
    <mergeCell ref="J1058:K1058"/>
    <mergeCell ref="L1058:M1058"/>
    <mergeCell ref="B1059:D1059"/>
    <mergeCell ref="F1059:G1059"/>
    <mergeCell ref="H1059:I1059"/>
    <mergeCell ref="J1059:K1059"/>
    <mergeCell ref="L1059:M1059"/>
    <mergeCell ref="B1056:D1056"/>
    <mergeCell ref="F1056:G1056"/>
    <mergeCell ref="H1056:I1056"/>
    <mergeCell ref="J1056:K1056"/>
    <mergeCell ref="L1056:M1056"/>
    <mergeCell ref="B1057:D1057"/>
    <mergeCell ref="F1057:G1057"/>
    <mergeCell ref="H1057:I1057"/>
    <mergeCell ref="J1057:K1057"/>
    <mergeCell ref="L1057:M1057"/>
    <mergeCell ref="B1062:D1062"/>
    <mergeCell ref="F1062:G1062"/>
    <mergeCell ref="H1062:I1062"/>
    <mergeCell ref="J1062:K1062"/>
    <mergeCell ref="L1062:M1062"/>
    <mergeCell ref="B1063:D1063"/>
    <mergeCell ref="F1063:G1063"/>
    <mergeCell ref="H1063:I1063"/>
    <mergeCell ref="J1063:K1063"/>
    <mergeCell ref="L1063:M1063"/>
    <mergeCell ref="B1060:D1060"/>
    <mergeCell ref="F1060:G1060"/>
    <mergeCell ref="H1060:I1060"/>
    <mergeCell ref="J1060:K1060"/>
    <mergeCell ref="L1060:M1060"/>
    <mergeCell ref="B1061:D1061"/>
    <mergeCell ref="F1061:G1061"/>
    <mergeCell ref="H1061:I1061"/>
    <mergeCell ref="J1061:K1061"/>
    <mergeCell ref="L1061:M1061"/>
    <mergeCell ref="A1066:D1066"/>
    <mergeCell ref="F1066:G1066"/>
    <mergeCell ref="H1066:I1066"/>
    <mergeCell ref="J1066:K1066"/>
    <mergeCell ref="L1066:M1066"/>
    <mergeCell ref="B1067:D1067"/>
    <mergeCell ref="F1067:G1067"/>
    <mergeCell ref="H1067:I1067"/>
    <mergeCell ref="J1067:K1067"/>
    <mergeCell ref="L1067:M1067"/>
    <mergeCell ref="H1064:I1064"/>
    <mergeCell ref="J1064:K1064"/>
    <mergeCell ref="L1064:M1064"/>
    <mergeCell ref="A1065:D1065"/>
    <mergeCell ref="F1065:G1065"/>
    <mergeCell ref="H1065:I1065"/>
    <mergeCell ref="J1065:K1065"/>
    <mergeCell ref="L1065:M1065"/>
    <mergeCell ref="A1072:M1072"/>
    <mergeCell ref="A1073:D1073"/>
    <mergeCell ref="F1073:G1073"/>
    <mergeCell ref="H1073:I1073"/>
    <mergeCell ref="J1073:K1073"/>
    <mergeCell ref="L1073:M1073"/>
    <mergeCell ref="B1070:D1070"/>
    <mergeCell ref="F1070:G1070"/>
    <mergeCell ref="H1070:I1070"/>
    <mergeCell ref="J1070:K1070"/>
    <mergeCell ref="L1070:M1070"/>
    <mergeCell ref="B1071:D1071"/>
    <mergeCell ref="F1071:G1071"/>
    <mergeCell ref="H1071:I1071"/>
    <mergeCell ref="J1071:K1071"/>
    <mergeCell ref="L1071:M1071"/>
    <mergeCell ref="B1068:D1068"/>
    <mergeCell ref="F1068:G1068"/>
    <mergeCell ref="H1068:I1068"/>
    <mergeCell ref="J1068:K1068"/>
    <mergeCell ref="L1068:M1068"/>
    <mergeCell ref="B1069:D1069"/>
    <mergeCell ref="F1069:G1069"/>
    <mergeCell ref="H1069:I1069"/>
    <mergeCell ref="J1069:K1069"/>
    <mergeCell ref="L1069:M1069"/>
    <mergeCell ref="A1078:D1078"/>
    <mergeCell ref="F1078:G1078"/>
    <mergeCell ref="H1078:I1078"/>
    <mergeCell ref="J1078:K1078"/>
    <mergeCell ref="L1078:M1078"/>
    <mergeCell ref="A1079:D1079"/>
    <mergeCell ref="F1079:G1079"/>
    <mergeCell ref="H1079:I1079"/>
    <mergeCell ref="J1079:K1079"/>
    <mergeCell ref="L1079:M1079"/>
    <mergeCell ref="B1076:D1076"/>
    <mergeCell ref="F1076:G1076"/>
    <mergeCell ref="H1076:I1076"/>
    <mergeCell ref="J1076:K1076"/>
    <mergeCell ref="L1076:M1076"/>
    <mergeCell ref="A1077:M1077"/>
    <mergeCell ref="B1074:D1074"/>
    <mergeCell ref="F1074:G1074"/>
    <mergeCell ref="H1074:I1074"/>
    <mergeCell ref="J1074:K1074"/>
    <mergeCell ref="L1074:M1074"/>
    <mergeCell ref="B1075:D1075"/>
    <mergeCell ref="F1075:G1075"/>
    <mergeCell ref="H1075:I1075"/>
    <mergeCell ref="J1075:K1075"/>
    <mergeCell ref="L1075:M1075"/>
    <mergeCell ref="A1084:M1084"/>
    <mergeCell ref="B1090:M1090"/>
    <mergeCell ref="A1091:M1091"/>
    <mergeCell ref="A1092:M1092"/>
    <mergeCell ref="A1093:M1093"/>
    <mergeCell ref="A1094:M1094"/>
    <mergeCell ref="A1082:D1082"/>
    <mergeCell ref="F1082:G1082"/>
    <mergeCell ref="H1082:I1082"/>
    <mergeCell ref="J1082:K1082"/>
    <mergeCell ref="L1082:M1082"/>
    <mergeCell ref="A1083:M1083"/>
    <mergeCell ref="A1080:D1080"/>
    <mergeCell ref="F1080:G1080"/>
    <mergeCell ref="H1080:I1080"/>
    <mergeCell ref="J1080:K1080"/>
    <mergeCell ref="L1080:M1080"/>
    <mergeCell ref="A1081:D1081"/>
    <mergeCell ref="F1081:G1081"/>
    <mergeCell ref="H1081:I1081"/>
    <mergeCell ref="J1081:K1081"/>
    <mergeCell ref="L1081:M1081"/>
    <mergeCell ref="A1105:B1105"/>
    <mergeCell ref="C1105:G1105"/>
    <mergeCell ref="H1105:I1105"/>
    <mergeCell ref="J1105:M1105"/>
    <mergeCell ref="A1106:B1106"/>
    <mergeCell ref="A1107:C1107"/>
    <mergeCell ref="D1107:G1107"/>
    <mergeCell ref="H1107:I1107"/>
    <mergeCell ref="J1107:M1107"/>
    <mergeCell ref="A1101:M1101"/>
    <mergeCell ref="A1103:B1103"/>
    <mergeCell ref="A1104:B1104"/>
    <mergeCell ref="H1104:I1104"/>
    <mergeCell ref="J1104:K1104"/>
    <mergeCell ref="L1104:M1104"/>
    <mergeCell ref="A1095:L1095"/>
    <mergeCell ref="A1096:K1096"/>
    <mergeCell ref="A1097:M1097"/>
    <mergeCell ref="A1098:M1098"/>
    <mergeCell ref="A1099:M1099"/>
    <mergeCell ref="A1100:M1100"/>
    <mergeCell ref="B1112:D1112"/>
    <mergeCell ref="F1112:G1112"/>
    <mergeCell ref="H1112:I1112"/>
    <mergeCell ref="J1112:K1112"/>
    <mergeCell ref="L1112:M1112"/>
    <mergeCell ref="B1113:D1113"/>
    <mergeCell ref="F1113:G1113"/>
    <mergeCell ref="H1113:I1113"/>
    <mergeCell ref="J1113:K1113"/>
    <mergeCell ref="L1113:M1113"/>
    <mergeCell ref="A1110:M1110"/>
    <mergeCell ref="B1111:D1111"/>
    <mergeCell ref="F1111:G1111"/>
    <mergeCell ref="H1111:I1111"/>
    <mergeCell ref="J1111:K1111"/>
    <mergeCell ref="L1111:M1111"/>
    <mergeCell ref="A1108:C1108"/>
    <mergeCell ref="D1108:G1108"/>
    <mergeCell ref="H1108:I1108"/>
    <mergeCell ref="J1108:M1108"/>
    <mergeCell ref="A1109:C1109"/>
    <mergeCell ref="D1109:G1109"/>
    <mergeCell ref="H1109:I1109"/>
    <mergeCell ref="J1109:M1109"/>
    <mergeCell ref="B1116:D1116"/>
    <mergeCell ref="F1116:G1116"/>
    <mergeCell ref="H1116:I1116"/>
    <mergeCell ref="J1116:K1116"/>
    <mergeCell ref="L1116:M1116"/>
    <mergeCell ref="B1117:D1117"/>
    <mergeCell ref="F1117:G1117"/>
    <mergeCell ref="H1117:I1117"/>
    <mergeCell ref="J1117:K1117"/>
    <mergeCell ref="L1117:M1117"/>
    <mergeCell ref="B1114:D1114"/>
    <mergeCell ref="F1114:G1114"/>
    <mergeCell ref="H1114:I1114"/>
    <mergeCell ref="J1114:K1114"/>
    <mergeCell ref="L1114:M1114"/>
    <mergeCell ref="B1115:D1115"/>
    <mergeCell ref="F1115:G1115"/>
    <mergeCell ref="H1115:I1115"/>
    <mergeCell ref="J1115:K1115"/>
    <mergeCell ref="L1115:M1115"/>
    <mergeCell ref="B1120:D1120"/>
    <mergeCell ref="F1120:G1120"/>
    <mergeCell ref="H1120:I1120"/>
    <mergeCell ref="J1120:K1120"/>
    <mergeCell ref="L1120:M1120"/>
    <mergeCell ref="B1121:D1121"/>
    <mergeCell ref="F1121:G1121"/>
    <mergeCell ref="H1121:I1121"/>
    <mergeCell ref="J1121:K1121"/>
    <mergeCell ref="L1121:M1121"/>
    <mergeCell ref="B1118:D1118"/>
    <mergeCell ref="F1118:G1118"/>
    <mergeCell ref="H1118:I1118"/>
    <mergeCell ref="J1118:K1118"/>
    <mergeCell ref="L1118:M1118"/>
    <mergeCell ref="B1119:D1119"/>
    <mergeCell ref="F1119:G1119"/>
    <mergeCell ref="H1119:I1119"/>
    <mergeCell ref="J1119:K1119"/>
    <mergeCell ref="L1119:M1119"/>
    <mergeCell ref="A1124:D1124"/>
    <mergeCell ref="F1124:G1124"/>
    <mergeCell ref="H1124:I1124"/>
    <mergeCell ref="J1124:K1124"/>
    <mergeCell ref="L1124:M1124"/>
    <mergeCell ref="B1125:D1125"/>
    <mergeCell ref="F1125:G1125"/>
    <mergeCell ref="H1125:I1125"/>
    <mergeCell ref="J1125:K1125"/>
    <mergeCell ref="L1125:M1125"/>
    <mergeCell ref="H1122:I1122"/>
    <mergeCell ref="J1122:K1122"/>
    <mergeCell ref="L1122:M1122"/>
    <mergeCell ref="A1123:D1123"/>
    <mergeCell ref="F1123:G1123"/>
    <mergeCell ref="H1123:I1123"/>
    <mergeCell ref="J1123:K1123"/>
    <mergeCell ref="L1123:M1123"/>
    <mergeCell ref="A1130:M1130"/>
    <mergeCell ref="A1131:D1131"/>
    <mergeCell ref="F1131:G1131"/>
    <mergeCell ref="H1131:I1131"/>
    <mergeCell ref="J1131:K1131"/>
    <mergeCell ref="L1131:M1131"/>
    <mergeCell ref="B1128:D1128"/>
    <mergeCell ref="F1128:G1128"/>
    <mergeCell ref="H1128:I1128"/>
    <mergeCell ref="J1128:K1128"/>
    <mergeCell ref="L1128:M1128"/>
    <mergeCell ref="B1129:D1129"/>
    <mergeCell ref="F1129:G1129"/>
    <mergeCell ref="H1129:I1129"/>
    <mergeCell ref="J1129:K1129"/>
    <mergeCell ref="L1129:M1129"/>
    <mergeCell ref="B1126:D1126"/>
    <mergeCell ref="F1126:G1126"/>
    <mergeCell ref="H1126:I1126"/>
    <mergeCell ref="J1126:K1126"/>
    <mergeCell ref="L1126:M1126"/>
    <mergeCell ref="B1127:D1127"/>
    <mergeCell ref="F1127:G1127"/>
    <mergeCell ref="H1127:I1127"/>
    <mergeCell ref="J1127:K1127"/>
    <mergeCell ref="L1127:M1127"/>
    <mergeCell ref="A1136:D1136"/>
    <mergeCell ref="F1136:G1136"/>
    <mergeCell ref="H1136:I1136"/>
    <mergeCell ref="J1136:K1136"/>
    <mergeCell ref="L1136:M1136"/>
    <mergeCell ref="A1137:D1137"/>
    <mergeCell ref="F1137:G1137"/>
    <mergeCell ref="H1137:I1137"/>
    <mergeCell ref="J1137:K1137"/>
    <mergeCell ref="L1137:M1137"/>
    <mergeCell ref="B1134:D1134"/>
    <mergeCell ref="F1134:G1134"/>
    <mergeCell ref="H1134:I1134"/>
    <mergeCell ref="J1134:K1134"/>
    <mergeCell ref="L1134:M1134"/>
    <mergeCell ref="A1135:M1135"/>
    <mergeCell ref="B1132:D1132"/>
    <mergeCell ref="F1132:G1132"/>
    <mergeCell ref="H1132:I1132"/>
    <mergeCell ref="J1132:K1132"/>
    <mergeCell ref="L1132:M1132"/>
    <mergeCell ref="B1133:D1133"/>
    <mergeCell ref="F1133:G1133"/>
    <mergeCell ref="H1133:I1133"/>
    <mergeCell ref="J1133:K1133"/>
    <mergeCell ref="L1133:M1133"/>
    <mergeCell ref="A1142:M1142"/>
    <mergeCell ref="B1148:M1148"/>
    <mergeCell ref="A1149:M1149"/>
    <mergeCell ref="A1150:M1150"/>
    <mergeCell ref="A1151:M1151"/>
    <mergeCell ref="A1152:M1152"/>
    <mergeCell ref="A1140:D1140"/>
    <mergeCell ref="F1140:G1140"/>
    <mergeCell ref="H1140:I1140"/>
    <mergeCell ref="J1140:K1140"/>
    <mergeCell ref="L1140:M1140"/>
    <mergeCell ref="A1141:M1141"/>
    <mergeCell ref="A1138:D1138"/>
    <mergeCell ref="F1138:G1138"/>
    <mergeCell ref="H1138:I1138"/>
    <mergeCell ref="J1138:K1138"/>
    <mergeCell ref="L1138:M1138"/>
    <mergeCell ref="A1139:D1139"/>
    <mergeCell ref="F1139:G1139"/>
    <mergeCell ref="H1139:I1139"/>
    <mergeCell ref="J1139:K1139"/>
    <mergeCell ref="L1139:M1139"/>
    <mergeCell ref="A1163:B1163"/>
    <mergeCell ref="C1163:G1163"/>
    <mergeCell ref="H1163:I1163"/>
    <mergeCell ref="J1163:M1163"/>
    <mergeCell ref="A1164:B1164"/>
    <mergeCell ref="A1165:C1165"/>
    <mergeCell ref="D1165:G1165"/>
    <mergeCell ref="H1165:I1165"/>
    <mergeCell ref="J1165:M1165"/>
    <mergeCell ref="A1159:M1159"/>
    <mergeCell ref="A1161:B1161"/>
    <mergeCell ref="A1162:B1162"/>
    <mergeCell ref="H1162:I1162"/>
    <mergeCell ref="J1162:K1162"/>
    <mergeCell ref="L1162:M1162"/>
    <mergeCell ref="A1153:L1153"/>
    <mergeCell ref="A1154:K1154"/>
    <mergeCell ref="A1155:M1155"/>
    <mergeCell ref="A1156:M1156"/>
    <mergeCell ref="A1157:M1157"/>
    <mergeCell ref="A1158:M1158"/>
    <mergeCell ref="B1170:D1170"/>
    <mergeCell ref="F1170:G1170"/>
    <mergeCell ref="H1170:I1170"/>
    <mergeCell ref="J1170:K1170"/>
    <mergeCell ref="L1170:M1170"/>
    <mergeCell ref="B1171:D1171"/>
    <mergeCell ref="F1171:G1171"/>
    <mergeCell ref="H1171:I1171"/>
    <mergeCell ref="J1171:K1171"/>
    <mergeCell ref="L1171:M1171"/>
    <mergeCell ref="A1168:M1168"/>
    <mergeCell ref="B1169:D1169"/>
    <mergeCell ref="F1169:G1169"/>
    <mergeCell ref="H1169:I1169"/>
    <mergeCell ref="J1169:K1169"/>
    <mergeCell ref="L1169:M1169"/>
    <mergeCell ref="A1166:C1166"/>
    <mergeCell ref="D1166:G1166"/>
    <mergeCell ref="H1166:I1166"/>
    <mergeCell ref="J1166:M1166"/>
    <mergeCell ref="A1167:C1167"/>
    <mergeCell ref="D1167:G1167"/>
    <mergeCell ref="H1167:I1167"/>
    <mergeCell ref="J1167:M1167"/>
    <mergeCell ref="B1174:D1174"/>
    <mergeCell ref="F1174:G1174"/>
    <mergeCell ref="H1174:I1174"/>
    <mergeCell ref="J1174:K1174"/>
    <mergeCell ref="L1174:M1174"/>
    <mergeCell ref="B1175:D1175"/>
    <mergeCell ref="F1175:G1175"/>
    <mergeCell ref="H1175:I1175"/>
    <mergeCell ref="J1175:K1175"/>
    <mergeCell ref="L1175:M1175"/>
    <mergeCell ref="B1172:D1172"/>
    <mergeCell ref="F1172:G1172"/>
    <mergeCell ref="H1172:I1172"/>
    <mergeCell ref="J1172:K1172"/>
    <mergeCell ref="L1172:M1172"/>
    <mergeCell ref="B1173:D1173"/>
    <mergeCell ref="F1173:G1173"/>
    <mergeCell ref="H1173:I1173"/>
    <mergeCell ref="J1173:K1173"/>
    <mergeCell ref="L1173:M1173"/>
    <mergeCell ref="B1178:D1178"/>
    <mergeCell ref="F1178:G1178"/>
    <mergeCell ref="H1178:I1178"/>
    <mergeCell ref="J1178:K1178"/>
    <mergeCell ref="L1178:M1178"/>
    <mergeCell ref="B1179:D1179"/>
    <mergeCell ref="F1179:G1179"/>
    <mergeCell ref="H1179:I1179"/>
    <mergeCell ref="J1179:K1179"/>
    <mergeCell ref="L1179:M1179"/>
    <mergeCell ref="B1176:D1176"/>
    <mergeCell ref="F1176:G1176"/>
    <mergeCell ref="H1176:I1176"/>
    <mergeCell ref="J1176:K1176"/>
    <mergeCell ref="L1176:M1176"/>
    <mergeCell ref="B1177:D1177"/>
    <mergeCell ref="F1177:G1177"/>
    <mergeCell ref="H1177:I1177"/>
    <mergeCell ref="J1177:K1177"/>
    <mergeCell ref="L1177:M1177"/>
    <mergeCell ref="A1182:D1182"/>
    <mergeCell ref="F1182:G1182"/>
    <mergeCell ref="H1182:I1182"/>
    <mergeCell ref="J1182:K1182"/>
    <mergeCell ref="L1182:M1182"/>
    <mergeCell ref="B1183:D1183"/>
    <mergeCell ref="F1183:G1183"/>
    <mergeCell ref="H1183:I1183"/>
    <mergeCell ref="J1183:K1183"/>
    <mergeCell ref="L1183:M1183"/>
    <mergeCell ref="H1180:I1180"/>
    <mergeCell ref="J1180:K1180"/>
    <mergeCell ref="L1180:M1180"/>
    <mergeCell ref="A1181:D1181"/>
    <mergeCell ref="F1181:G1181"/>
    <mergeCell ref="H1181:I1181"/>
    <mergeCell ref="J1181:K1181"/>
    <mergeCell ref="L1181:M1181"/>
    <mergeCell ref="A1188:M1188"/>
    <mergeCell ref="A1189:D1189"/>
    <mergeCell ref="F1189:G1189"/>
    <mergeCell ref="H1189:I1189"/>
    <mergeCell ref="J1189:K1189"/>
    <mergeCell ref="L1189:M1189"/>
    <mergeCell ref="B1186:D1186"/>
    <mergeCell ref="F1186:G1186"/>
    <mergeCell ref="H1186:I1186"/>
    <mergeCell ref="J1186:K1186"/>
    <mergeCell ref="L1186:M1186"/>
    <mergeCell ref="B1187:D1187"/>
    <mergeCell ref="F1187:G1187"/>
    <mergeCell ref="H1187:I1187"/>
    <mergeCell ref="J1187:K1187"/>
    <mergeCell ref="L1187:M1187"/>
    <mergeCell ref="B1184:D1184"/>
    <mergeCell ref="F1184:G1184"/>
    <mergeCell ref="H1184:I1184"/>
    <mergeCell ref="J1184:K1184"/>
    <mergeCell ref="L1184:M1184"/>
    <mergeCell ref="B1185:D1185"/>
    <mergeCell ref="F1185:G1185"/>
    <mergeCell ref="H1185:I1185"/>
    <mergeCell ref="J1185:K1185"/>
    <mergeCell ref="L1185:M1185"/>
    <mergeCell ref="A1194:D1194"/>
    <mergeCell ref="F1194:G1194"/>
    <mergeCell ref="H1194:I1194"/>
    <mergeCell ref="J1194:K1194"/>
    <mergeCell ref="L1194:M1194"/>
    <mergeCell ref="A1195:D1195"/>
    <mergeCell ref="F1195:G1195"/>
    <mergeCell ref="H1195:I1195"/>
    <mergeCell ref="J1195:K1195"/>
    <mergeCell ref="L1195:M1195"/>
    <mergeCell ref="B1192:D1192"/>
    <mergeCell ref="F1192:G1192"/>
    <mergeCell ref="H1192:I1192"/>
    <mergeCell ref="J1192:K1192"/>
    <mergeCell ref="L1192:M1192"/>
    <mergeCell ref="A1193:M1193"/>
    <mergeCell ref="B1190:D1190"/>
    <mergeCell ref="F1190:G1190"/>
    <mergeCell ref="H1190:I1190"/>
    <mergeCell ref="J1190:K1190"/>
    <mergeCell ref="L1190:M1190"/>
    <mergeCell ref="B1191:D1191"/>
    <mergeCell ref="F1191:G1191"/>
    <mergeCell ref="H1191:I1191"/>
    <mergeCell ref="J1191:K1191"/>
    <mergeCell ref="L1191:M1191"/>
    <mergeCell ref="A1200:M1200"/>
    <mergeCell ref="B1206:M1206"/>
    <mergeCell ref="A1207:M1207"/>
    <mergeCell ref="A1208:M1208"/>
    <mergeCell ref="A1209:M1209"/>
    <mergeCell ref="A1210:M1210"/>
    <mergeCell ref="A1198:D1198"/>
    <mergeCell ref="F1198:G1198"/>
    <mergeCell ref="H1198:I1198"/>
    <mergeCell ref="J1198:K1198"/>
    <mergeCell ref="L1198:M1198"/>
    <mergeCell ref="A1199:M1199"/>
    <mergeCell ref="A1196:D1196"/>
    <mergeCell ref="F1196:G1196"/>
    <mergeCell ref="H1196:I1196"/>
    <mergeCell ref="J1196:K1196"/>
    <mergeCell ref="L1196:M1196"/>
    <mergeCell ref="A1197:D1197"/>
    <mergeCell ref="F1197:G1197"/>
    <mergeCell ref="H1197:I1197"/>
    <mergeCell ref="J1197:K1197"/>
    <mergeCell ref="L1197:M1197"/>
    <mergeCell ref="A1221:B1221"/>
    <mergeCell ref="C1221:G1221"/>
    <mergeCell ref="H1221:I1221"/>
    <mergeCell ref="J1221:M1221"/>
    <mergeCell ref="A1222:B1222"/>
    <mergeCell ref="A1223:C1223"/>
    <mergeCell ref="D1223:G1223"/>
    <mergeCell ref="H1223:I1223"/>
    <mergeCell ref="J1223:M1223"/>
    <mergeCell ref="A1217:M1217"/>
    <mergeCell ref="A1219:B1219"/>
    <mergeCell ref="A1220:B1220"/>
    <mergeCell ref="H1220:I1220"/>
    <mergeCell ref="J1220:K1220"/>
    <mergeCell ref="L1220:M1220"/>
    <mergeCell ref="A1211:L1211"/>
    <mergeCell ref="A1212:K1212"/>
    <mergeCell ref="A1213:M1213"/>
    <mergeCell ref="A1214:M1214"/>
    <mergeCell ref="A1215:M1215"/>
    <mergeCell ref="A1216:M1216"/>
    <mergeCell ref="B1228:D1228"/>
    <mergeCell ref="F1228:G1228"/>
    <mergeCell ref="H1228:I1228"/>
    <mergeCell ref="J1228:K1228"/>
    <mergeCell ref="L1228:M1228"/>
    <mergeCell ref="B1229:D1229"/>
    <mergeCell ref="F1229:G1229"/>
    <mergeCell ref="H1229:I1229"/>
    <mergeCell ref="J1229:K1229"/>
    <mergeCell ref="L1229:M1229"/>
    <mergeCell ref="A1226:M1226"/>
    <mergeCell ref="B1227:D1227"/>
    <mergeCell ref="F1227:G1227"/>
    <mergeCell ref="H1227:I1227"/>
    <mergeCell ref="J1227:K1227"/>
    <mergeCell ref="L1227:M1227"/>
    <mergeCell ref="A1224:C1224"/>
    <mergeCell ref="D1224:G1224"/>
    <mergeCell ref="H1224:I1224"/>
    <mergeCell ref="J1224:M1224"/>
    <mergeCell ref="A1225:C1225"/>
    <mergeCell ref="D1225:G1225"/>
    <mergeCell ref="H1225:I1225"/>
    <mergeCell ref="J1225:M1225"/>
    <mergeCell ref="B1232:D1232"/>
    <mergeCell ref="F1232:G1232"/>
    <mergeCell ref="H1232:I1232"/>
    <mergeCell ref="J1232:K1232"/>
    <mergeCell ref="L1232:M1232"/>
    <mergeCell ref="B1233:D1233"/>
    <mergeCell ref="F1233:G1233"/>
    <mergeCell ref="H1233:I1233"/>
    <mergeCell ref="J1233:K1233"/>
    <mergeCell ref="L1233:M1233"/>
    <mergeCell ref="B1230:D1230"/>
    <mergeCell ref="F1230:G1230"/>
    <mergeCell ref="H1230:I1230"/>
    <mergeCell ref="J1230:K1230"/>
    <mergeCell ref="L1230:M1230"/>
    <mergeCell ref="B1231:D1231"/>
    <mergeCell ref="F1231:G1231"/>
    <mergeCell ref="H1231:I1231"/>
    <mergeCell ref="J1231:K1231"/>
    <mergeCell ref="L1231:M1231"/>
    <mergeCell ref="B1236:D1236"/>
    <mergeCell ref="F1236:G1236"/>
    <mergeCell ref="H1236:I1236"/>
    <mergeCell ref="J1236:K1236"/>
    <mergeCell ref="L1236:M1236"/>
    <mergeCell ref="B1237:D1237"/>
    <mergeCell ref="F1237:G1237"/>
    <mergeCell ref="H1237:I1237"/>
    <mergeCell ref="J1237:K1237"/>
    <mergeCell ref="L1237:M1237"/>
    <mergeCell ref="B1234:D1234"/>
    <mergeCell ref="F1234:G1234"/>
    <mergeCell ref="H1234:I1234"/>
    <mergeCell ref="J1234:K1234"/>
    <mergeCell ref="L1234:M1234"/>
    <mergeCell ref="B1235:D1235"/>
    <mergeCell ref="F1235:G1235"/>
    <mergeCell ref="H1235:I1235"/>
    <mergeCell ref="J1235:K1235"/>
    <mergeCell ref="L1235:M1235"/>
    <mergeCell ref="A1240:D1240"/>
    <mergeCell ref="F1240:G1240"/>
    <mergeCell ref="H1240:I1240"/>
    <mergeCell ref="J1240:K1240"/>
    <mergeCell ref="L1240:M1240"/>
    <mergeCell ref="B1241:D1241"/>
    <mergeCell ref="F1241:G1241"/>
    <mergeCell ref="H1241:I1241"/>
    <mergeCell ref="J1241:K1241"/>
    <mergeCell ref="L1241:M1241"/>
    <mergeCell ref="H1238:I1238"/>
    <mergeCell ref="J1238:K1238"/>
    <mergeCell ref="L1238:M1238"/>
    <mergeCell ref="A1239:D1239"/>
    <mergeCell ref="F1239:G1239"/>
    <mergeCell ref="H1239:I1239"/>
    <mergeCell ref="J1239:K1239"/>
    <mergeCell ref="L1239:M1239"/>
    <mergeCell ref="A1246:M1246"/>
    <mergeCell ref="A1247:D1247"/>
    <mergeCell ref="F1247:G1247"/>
    <mergeCell ref="H1247:I1247"/>
    <mergeCell ref="J1247:K1247"/>
    <mergeCell ref="L1247:M1247"/>
    <mergeCell ref="B1244:D1244"/>
    <mergeCell ref="F1244:G1244"/>
    <mergeCell ref="H1244:I1244"/>
    <mergeCell ref="J1244:K1244"/>
    <mergeCell ref="L1244:M1244"/>
    <mergeCell ref="B1245:D1245"/>
    <mergeCell ref="F1245:G1245"/>
    <mergeCell ref="H1245:I1245"/>
    <mergeCell ref="J1245:K1245"/>
    <mergeCell ref="L1245:M1245"/>
    <mergeCell ref="B1242:D1242"/>
    <mergeCell ref="F1242:G1242"/>
    <mergeCell ref="H1242:I1242"/>
    <mergeCell ref="J1242:K1242"/>
    <mergeCell ref="L1242:M1242"/>
    <mergeCell ref="B1243:D1243"/>
    <mergeCell ref="F1243:G1243"/>
    <mergeCell ref="H1243:I1243"/>
    <mergeCell ref="J1243:K1243"/>
    <mergeCell ref="L1243:M1243"/>
    <mergeCell ref="A1252:D1252"/>
    <mergeCell ref="F1252:G1252"/>
    <mergeCell ref="H1252:I1252"/>
    <mergeCell ref="J1252:K1252"/>
    <mergeCell ref="L1252:M1252"/>
    <mergeCell ref="A1253:D1253"/>
    <mergeCell ref="F1253:G1253"/>
    <mergeCell ref="H1253:I1253"/>
    <mergeCell ref="J1253:K1253"/>
    <mergeCell ref="L1253:M1253"/>
    <mergeCell ref="B1250:D1250"/>
    <mergeCell ref="F1250:G1250"/>
    <mergeCell ref="H1250:I1250"/>
    <mergeCell ref="J1250:K1250"/>
    <mergeCell ref="L1250:M1250"/>
    <mergeCell ref="A1251:M1251"/>
    <mergeCell ref="B1248:D1248"/>
    <mergeCell ref="F1248:G1248"/>
    <mergeCell ref="H1248:I1248"/>
    <mergeCell ref="J1248:K1248"/>
    <mergeCell ref="L1248:M1248"/>
    <mergeCell ref="B1249:D1249"/>
    <mergeCell ref="F1249:G1249"/>
    <mergeCell ref="H1249:I1249"/>
    <mergeCell ref="J1249:K1249"/>
    <mergeCell ref="L1249:M1249"/>
    <mergeCell ref="A1258:M1258"/>
    <mergeCell ref="B1264:M1264"/>
    <mergeCell ref="A1265:M1265"/>
    <mergeCell ref="A1266:M1266"/>
    <mergeCell ref="A1267:M1267"/>
    <mergeCell ref="A1268:M1268"/>
    <mergeCell ref="A1256:D1256"/>
    <mergeCell ref="F1256:G1256"/>
    <mergeCell ref="H1256:I1256"/>
    <mergeCell ref="J1256:K1256"/>
    <mergeCell ref="L1256:M1256"/>
    <mergeCell ref="A1257:M1257"/>
    <mergeCell ref="A1254:D1254"/>
    <mergeCell ref="F1254:G1254"/>
    <mergeCell ref="H1254:I1254"/>
    <mergeCell ref="J1254:K1254"/>
    <mergeCell ref="L1254:M1254"/>
    <mergeCell ref="A1255:D1255"/>
    <mergeCell ref="F1255:G1255"/>
    <mergeCell ref="H1255:I1255"/>
    <mergeCell ref="J1255:K1255"/>
    <mergeCell ref="L1255:M1255"/>
    <mergeCell ref="A1279:B1279"/>
    <mergeCell ref="C1279:G1279"/>
    <mergeCell ref="H1279:I1279"/>
    <mergeCell ref="J1279:M1279"/>
    <mergeCell ref="A1280:B1280"/>
    <mergeCell ref="A1281:C1281"/>
    <mergeCell ref="D1281:G1281"/>
    <mergeCell ref="H1281:I1281"/>
    <mergeCell ref="J1281:M1281"/>
    <mergeCell ref="A1275:M1275"/>
    <mergeCell ref="A1277:B1277"/>
    <mergeCell ref="A1278:B1278"/>
    <mergeCell ref="H1278:I1278"/>
    <mergeCell ref="J1278:K1278"/>
    <mergeCell ref="L1278:M1278"/>
    <mergeCell ref="A1269:L1269"/>
    <mergeCell ref="A1270:K1270"/>
    <mergeCell ref="A1271:M1271"/>
    <mergeCell ref="A1272:M1272"/>
    <mergeCell ref="A1273:M1273"/>
    <mergeCell ref="A1274:M1274"/>
    <mergeCell ref="B1286:D1286"/>
    <mergeCell ref="F1286:G1286"/>
    <mergeCell ref="H1286:I1286"/>
    <mergeCell ref="J1286:K1286"/>
    <mergeCell ref="L1286:M1286"/>
    <mergeCell ref="B1287:D1287"/>
    <mergeCell ref="F1287:G1287"/>
    <mergeCell ref="H1287:I1287"/>
    <mergeCell ref="J1287:K1287"/>
    <mergeCell ref="L1287:M1287"/>
    <mergeCell ref="A1284:M1284"/>
    <mergeCell ref="B1285:D1285"/>
    <mergeCell ref="F1285:G1285"/>
    <mergeCell ref="H1285:I1285"/>
    <mergeCell ref="J1285:K1285"/>
    <mergeCell ref="L1285:M1285"/>
    <mergeCell ref="A1282:C1282"/>
    <mergeCell ref="D1282:G1282"/>
    <mergeCell ref="H1282:I1282"/>
    <mergeCell ref="J1282:M1282"/>
    <mergeCell ref="A1283:C1283"/>
    <mergeCell ref="D1283:G1283"/>
    <mergeCell ref="H1283:I1283"/>
    <mergeCell ref="J1283:M1283"/>
    <mergeCell ref="B1290:D1290"/>
    <mergeCell ref="F1290:G1290"/>
    <mergeCell ref="H1290:I1290"/>
    <mergeCell ref="J1290:K1290"/>
    <mergeCell ref="L1290:M1290"/>
    <mergeCell ref="B1291:D1291"/>
    <mergeCell ref="F1291:G1291"/>
    <mergeCell ref="H1291:I1291"/>
    <mergeCell ref="J1291:K1291"/>
    <mergeCell ref="L1291:M1291"/>
    <mergeCell ref="B1288:D1288"/>
    <mergeCell ref="F1288:G1288"/>
    <mergeCell ref="H1288:I1288"/>
    <mergeCell ref="J1288:K1288"/>
    <mergeCell ref="L1288:M1288"/>
    <mergeCell ref="B1289:D1289"/>
    <mergeCell ref="F1289:G1289"/>
    <mergeCell ref="H1289:I1289"/>
    <mergeCell ref="J1289:K1289"/>
    <mergeCell ref="L1289:M1289"/>
    <mergeCell ref="B1294:D1294"/>
    <mergeCell ref="F1294:G1294"/>
    <mergeCell ref="H1294:I1294"/>
    <mergeCell ref="J1294:K1294"/>
    <mergeCell ref="L1294:M1294"/>
    <mergeCell ref="B1295:D1295"/>
    <mergeCell ref="F1295:G1295"/>
    <mergeCell ref="H1295:I1295"/>
    <mergeCell ref="J1295:K1295"/>
    <mergeCell ref="L1295:M1295"/>
    <mergeCell ref="B1292:D1292"/>
    <mergeCell ref="F1292:G1292"/>
    <mergeCell ref="H1292:I1292"/>
    <mergeCell ref="J1292:K1292"/>
    <mergeCell ref="L1292:M1292"/>
    <mergeCell ref="B1293:D1293"/>
    <mergeCell ref="F1293:G1293"/>
    <mergeCell ref="H1293:I1293"/>
    <mergeCell ref="J1293:K1293"/>
    <mergeCell ref="L1293:M1293"/>
    <mergeCell ref="A1298:D1298"/>
    <mergeCell ref="F1298:G1298"/>
    <mergeCell ref="H1298:I1298"/>
    <mergeCell ref="J1298:K1298"/>
    <mergeCell ref="L1298:M1298"/>
    <mergeCell ref="B1299:D1299"/>
    <mergeCell ref="F1299:G1299"/>
    <mergeCell ref="H1299:I1299"/>
    <mergeCell ref="J1299:K1299"/>
    <mergeCell ref="L1299:M1299"/>
    <mergeCell ref="H1296:I1296"/>
    <mergeCell ref="J1296:K1296"/>
    <mergeCell ref="L1296:M1296"/>
    <mergeCell ref="A1297:D1297"/>
    <mergeCell ref="F1297:G1297"/>
    <mergeCell ref="H1297:I1297"/>
    <mergeCell ref="J1297:K1297"/>
    <mergeCell ref="L1297:M1297"/>
    <mergeCell ref="A1304:M1304"/>
    <mergeCell ref="A1305:D1305"/>
    <mergeCell ref="F1305:G1305"/>
    <mergeCell ref="H1305:I1305"/>
    <mergeCell ref="J1305:K1305"/>
    <mergeCell ref="L1305:M1305"/>
    <mergeCell ref="B1302:D1302"/>
    <mergeCell ref="F1302:G1302"/>
    <mergeCell ref="H1302:I1302"/>
    <mergeCell ref="J1302:K1302"/>
    <mergeCell ref="L1302:M1302"/>
    <mergeCell ref="B1303:D1303"/>
    <mergeCell ref="F1303:G1303"/>
    <mergeCell ref="H1303:I1303"/>
    <mergeCell ref="J1303:K1303"/>
    <mergeCell ref="L1303:M1303"/>
    <mergeCell ref="B1300:D1300"/>
    <mergeCell ref="F1300:G1300"/>
    <mergeCell ref="H1300:I1300"/>
    <mergeCell ref="J1300:K1300"/>
    <mergeCell ref="L1300:M1300"/>
    <mergeCell ref="B1301:D1301"/>
    <mergeCell ref="F1301:G1301"/>
    <mergeCell ref="H1301:I1301"/>
    <mergeCell ref="J1301:K1301"/>
    <mergeCell ref="L1301:M1301"/>
    <mergeCell ref="A1310:D1310"/>
    <mergeCell ref="F1310:G1310"/>
    <mergeCell ref="H1310:I1310"/>
    <mergeCell ref="J1310:K1310"/>
    <mergeCell ref="L1310:M1310"/>
    <mergeCell ref="A1311:D1311"/>
    <mergeCell ref="F1311:G1311"/>
    <mergeCell ref="H1311:I1311"/>
    <mergeCell ref="J1311:K1311"/>
    <mergeCell ref="L1311:M1311"/>
    <mergeCell ref="B1308:D1308"/>
    <mergeCell ref="F1308:G1308"/>
    <mergeCell ref="H1308:I1308"/>
    <mergeCell ref="J1308:K1308"/>
    <mergeCell ref="L1308:M1308"/>
    <mergeCell ref="A1309:M1309"/>
    <mergeCell ref="B1306:D1306"/>
    <mergeCell ref="F1306:G1306"/>
    <mergeCell ref="H1306:I1306"/>
    <mergeCell ref="J1306:K1306"/>
    <mergeCell ref="L1306:M1306"/>
    <mergeCell ref="B1307:D1307"/>
    <mergeCell ref="F1307:G1307"/>
    <mergeCell ref="H1307:I1307"/>
    <mergeCell ref="J1307:K1307"/>
    <mergeCell ref="L1307:M1307"/>
    <mergeCell ref="A1316:M1316"/>
    <mergeCell ref="B1322:M1322"/>
    <mergeCell ref="A1323:M1323"/>
    <mergeCell ref="A1324:M1324"/>
    <mergeCell ref="A1325:M1325"/>
    <mergeCell ref="A1326:M1326"/>
    <mergeCell ref="A1314:D1314"/>
    <mergeCell ref="F1314:G1314"/>
    <mergeCell ref="H1314:I1314"/>
    <mergeCell ref="J1314:K1314"/>
    <mergeCell ref="L1314:M1314"/>
    <mergeCell ref="A1315:M1315"/>
    <mergeCell ref="A1312:D1312"/>
    <mergeCell ref="F1312:G1312"/>
    <mergeCell ref="H1312:I1312"/>
    <mergeCell ref="J1312:K1312"/>
    <mergeCell ref="L1312:M1312"/>
    <mergeCell ref="A1313:D1313"/>
    <mergeCell ref="F1313:G1313"/>
    <mergeCell ref="H1313:I1313"/>
    <mergeCell ref="J1313:K1313"/>
    <mergeCell ref="L1313:M1313"/>
    <mergeCell ref="A1337:B1337"/>
    <mergeCell ref="C1337:G1337"/>
    <mergeCell ref="H1337:I1337"/>
    <mergeCell ref="J1337:M1337"/>
    <mergeCell ref="A1338:B1338"/>
    <mergeCell ref="A1339:C1339"/>
    <mergeCell ref="D1339:G1339"/>
    <mergeCell ref="H1339:I1339"/>
    <mergeCell ref="J1339:M1339"/>
    <mergeCell ref="A1333:M1333"/>
    <mergeCell ref="A1335:B1335"/>
    <mergeCell ref="A1336:B1336"/>
    <mergeCell ref="H1336:I1336"/>
    <mergeCell ref="J1336:K1336"/>
    <mergeCell ref="L1336:M1336"/>
    <mergeCell ref="A1327:L1327"/>
    <mergeCell ref="A1328:K1328"/>
    <mergeCell ref="A1329:M1329"/>
    <mergeCell ref="A1330:M1330"/>
    <mergeCell ref="A1331:M1331"/>
    <mergeCell ref="A1332:M1332"/>
    <mergeCell ref="B1344:D1344"/>
    <mergeCell ref="F1344:G1344"/>
    <mergeCell ref="H1344:I1344"/>
    <mergeCell ref="J1344:K1344"/>
    <mergeCell ref="L1344:M1344"/>
    <mergeCell ref="B1345:D1345"/>
    <mergeCell ref="F1345:G1345"/>
    <mergeCell ref="H1345:I1345"/>
    <mergeCell ref="J1345:K1345"/>
    <mergeCell ref="L1345:M1345"/>
    <mergeCell ref="A1342:M1342"/>
    <mergeCell ref="B1343:D1343"/>
    <mergeCell ref="F1343:G1343"/>
    <mergeCell ref="H1343:I1343"/>
    <mergeCell ref="J1343:K1343"/>
    <mergeCell ref="L1343:M1343"/>
    <mergeCell ref="A1340:C1340"/>
    <mergeCell ref="D1340:G1340"/>
    <mergeCell ref="H1340:I1340"/>
    <mergeCell ref="J1340:M1340"/>
    <mergeCell ref="A1341:C1341"/>
    <mergeCell ref="D1341:G1341"/>
    <mergeCell ref="H1341:I1341"/>
    <mergeCell ref="J1341:M1341"/>
    <mergeCell ref="B1348:D1348"/>
    <mergeCell ref="F1348:G1348"/>
    <mergeCell ref="H1348:I1348"/>
    <mergeCell ref="J1348:K1348"/>
    <mergeCell ref="L1348:M1348"/>
    <mergeCell ref="B1349:D1349"/>
    <mergeCell ref="F1349:G1349"/>
    <mergeCell ref="H1349:I1349"/>
    <mergeCell ref="J1349:K1349"/>
    <mergeCell ref="L1349:M1349"/>
    <mergeCell ref="B1346:D1346"/>
    <mergeCell ref="F1346:G1346"/>
    <mergeCell ref="H1346:I1346"/>
    <mergeCell ref="J1346:K1346"/>
    <mergeCell ref="L1346:M1346"/>
    <mergeCell ref="B1347:D1347"/>
    <mergeCell ref="F1347:G1347"/>
    <mergeCell ref="H1347:I1347"/>
    <mergeCell ref="J1347:K1347"/>
    <mergeCell ref="L1347:M1347"/>
    <mergeCell ref="B1352:D1352"/>
    <mergeCell ref="F1352:G1352"/>
    <mergeCell ref="H1352:I1352"/>
    <mergeCell ref="J1352:K1352"/>
    <mergeCell ref="L1352:M1352"/>
    <mergeCell ref="B1353:D1353"/>
    <mergeCell ref="F1353:G1353"/>
    <mergeCell ref="H1353:I1353"/>
    <mergeCell ref="J1353:K1353"/>
    <mergeCell ref="L1353:M1353"/>
    <mergeCell ref="B1350:D1350"/>
    <mergeCell ref="F1350:G1350"/>
    <mergeCell ref="H1350:I1350"/>
    <mergeCell ref="J1350:K1350"/>
    <mergeCell ref="L1350:M1350"/>
    <mergeCell ref="B1351:D1351"/>
    <mergeCell ref="F1351:G1351"/>
    <mergeCell ref="H1351:I1351"/>
    <mergeCell ref="J1351:K1351"/>
    <mergeCell ref="L1351:M1351"/>
    <mergeCell ref="A1356:D1356"/>
    <mergeCell ref="F1356:G1356"/>
    <mergeCell ref="H1356:I1356"/>
    <mergeCell ref="J1356:K1356"/>
    <mergeCell ref="L1356:M1356"/>
    <mergeCell ref="B1357:D1357"/>
    <mergeCell ref="F1357:G1357"/>
    <mergeCell ref="H1357:I1357"/>
    <mergeCell ref="J1357:K1357"/>
    <mergeCell ref="L1357:M1357"/>
    <mergeCell ref="H1354:I1354"/>
    <mergeCell ref="J1354:K1354"/>
    <mergeCell ref="L1354:M1354"/>
    <mergeCell ref="A1355:D1355"/>
    <mergeCell ref="F1355:G1355"/>
    <mergeCell ref="H1355:I1355"/>
    <mergeCell ref="J1355:K1355"/>
    <mergeCell ref="L1355:M1355"/>
    <mergeCell ref="A1362:M1362"/>
    <mergeCell ref="A1363:D1363"/>
    <mergeCell ref="F1363:G1363"/>
    <mergeCell ref="H1363:I1363"/>
    <mergeCell ref="J1363:K1363"/>
    <mergeCell ref="L1363:M1363"/>
    <mergeCell ref="B1360:D1360"/>
    <mergeCell ref="F1360:G1360"/>
    <mergeCell ref="H1360:I1360"/>
    <mergeCell ref="J1360:K1360"/>
    <mergeCell ref="L1360:M1360"/>
    <mergeCell ref="B1361:D1361"/>
    <mergeCell ref="F1361:G1361"/>
    <mergeCell ref="H1361:I1361"/>
    <mergeCell ref="J1361:K1361"/>
    <mergeCell ref="L1361:M1361"/>
    <mergeCell ref="B1358:D1358"/>
    <mergeCell ref="F1358:G1358"/>
    <mergeCell ref="H1358:I1358"/>
    <mergeCell ref="J1358:K1358"/>
    <mergeCell ref="L1358:M1358"/>
    <mergeCell ref="B1359:D1359"/>
    <mergeCell ref="F1359:G1359"/>
    <mergeCell ref="H1359:I1359"/>
    <mergeCell ref="J1359:K1359"/>
    <mergeCell ref="L1359:M1359"/>
    <mergeCell ref="A1368:D1368"/>
    <mergeCell ref="F1368:G1368"/>
    <mergeCell ref="H1368:I1368"/>
    <mergeCell ref="J1368:K1368"/>
    <mergeCell ref="L1368:M1368"/>
    <mergeCell ref="A1369:D1369"/>
    <mergeCell ref="F1369:G1369"/>
    <mergeCell ref="H1369:I1369"/>
    <mergeCell ref="J1369:K1369"/>
    <mergeCell ref="L1369:M1369"/>
    <mergeCell ref="B1366:D1366"/>
    <mergeCell ref="F1366:G1366"/>
    <mergeCell ref="H1366:I1366"/>
    <mergeCell ref="J1366:K1366"/>
    <mergeCell ref="L1366:M1366"/>
    <mergeCell ref="A1367:M1367"/>
    <mergeCell ref="B1364:D1364"/>
    <mergeCell ref="F1364:G1364"/>
    <mergeCell ref="H1364:I1364"/>
    <mergeCell ref="J1364:K1364"/>
    <mergeCell ref="L1364:M1364"/>
    <mergeCell ref="B1365:D1365"/>
    <mergeCell ref="F1365:G1365"/>
    <mergeCell ref="H1365:I1365"/>
    <mergeCell ref="J1365:K1365"/>
    <mergeCell ref="L1365:M1365"/>
    <mergeCell ref="A1374:M1374"/>
    <mergeCell ref="B1380:M1380"/>
    <mergeCell ref="A1381:M1381"/>
    <mergeCell ref="A1382:M1382"/>
    <mergeCell ref="A1383:M1383"/>
    <mergeCell ref="A1384:M1384"/>
    <mergeCell ref="A1372:D1372"/>
    <mergeCell ref="F1372:G1372"/>
    <mergeCell ref="H1372:I1372"/>
    <mergeCell ref="J1372:K1372"/>
    <mergeCell ref="L1372:M1372"/>
    <mergeCell ref="A1373:M1373"/>
    <mergeCell ref="A1370:D1370"/>
    <mergeCell ref="F1370:G1370"/>
    <mergeCell ref="H1370:I1370"/>
    <mergeCell ref="J1370:K1370"/>
    <mergeCell ref="L1370:M1370"/>
    <mergeCell ref="A1371:D1371"/>
    <mergeCell ref="F1371:G1371"/>
    <mergeCell ref="H1371:I1371"/>
    <mergeCell ref="J1371:K1371"/>
    <mergeCell ref="L1371:M1371"/>
    <mergeCell ref="A1395:B1395"/>
    <mergeCell ref="C1395:G1395"/>
    <mergeCell ref="H1395:I1395"/>
    <mergeCell ref="J1395:M1395"/>
    <mergeCell ref="A1396:B1396"/>
    <mergeCell ref="A1397:C1397"/>
    <mergeCell ref="D1397:G1397"/>
    <mergeCell ref="H1397:I1397"/>
    <mergeCell ref="J1397:M1397"/>
    <mergeCell ref="A1391:M1391"/>
    <mergeCell ref="A1393:B1393"/>
    <mergeCell ref="A1394:B1394"/>
    <mergeCell ref="H1394:I1394"/>
    <mergeCell ref="J1394:K1394"/>
    <mergeCell ref="L1394:M1394"/>
    <mergeCell ref="A1385:L1385"/>
    <mergeCell ref="A1386:K1386"/>
    <mergeCell ref="A1387:M1387"/>
    <mergeCell ref="A1388:M1388"/>
    <mergeCell ref="A1389:M1389"/>
    <mergeCell ref="A1390:M1390"/>
    <mergeCell ref="B1402:D1402"/>
    <mergeCell ref="F1402:G1402"/>
    <mergeCell ref="H1402:I1402"/>
    <mergeCell ref="J1402:K1402"/>
    <mergeCell ref="L1402:M1402"/>
    <mergeCell ref="B1403:D1403"/>
    <mergeCell ref="F1403:G1403"/>
    <mergeCell ref="H1403:I1403"/>
    <mergeCell ref="J1403:K1403"/>
    <mergeCell ref="L1403:M1403"/>
    <mergeCell ref="A1400:M1400"/>
    <mergeCell ref="B1401:D1401"/>
    <mergeCell ref="F1401:G1401"/>
    <mergeCell ref="H1401:I1401"/>
    <mergeCell ref="J1401:K1401"/>
    <mergeCell ref="L1401:M1401"/>
    <mergeCell ref="A1398:C1398"/>
    <mergeCell ref="D1398:G1398"/>
    <mergeCell ref="H1398:I1398"/>
    <mergeCell ref="J1398:M1398"/>
    <mergeCell ref="A1399:C1399"/>
    <mergeCell ref="D1399:G1399"/>
    <mergeCell ref="H1399:I1399"/>
    <mergeCell ref="J1399:M1399"/>
    <mergeCell ref="B1406:D1406"/>
    <mergeCell ref="F1406:G1406"/>
    <mergeCell ref="H1406:I1406"/>
    <mergeCell ref="J1406:K1406"/>
    <mergeCell ref="L1406:M1406"/>
    <mergeCell ref="B1407:D1407"/>
    <mergeCell ref="F1407:G1407"/>
    <mergeCell ref="H1407:I1407"/>
    <mergeCell ref="J1407:K1407"/>
    <mergeCell ref="L1407:M1407"/>
    <mergeCell ref="B1404:D1404"/>
    <mergeCell ref="F1404:G1404"/>
    <mergeCell ref="H1404:I1404"/>
    <mergeCell ref="J1404:K1404"/>
    <mergeCell ref="L1404:M1404"/>
    <mergeCell ref="B1405:D1405"/>
    <mergeCell ref="F1405:G1405"/>
    <mergeCell ref="H1405:I1405"/>
    <mergeCell ref="J1405:K1405"/>
    <mergeCell ref="L1405:M1405"/>
    <mergeCell ref="B1410:D1410"/>
    <mergeCell ref="F1410:G1410"/>
    <mergeCell ref="H1410:I1410"/>
    <mergeCell ref="J1410:K1410"/>
    <mergeCell ref="L1410:M1410"/>
    <mergeCell ref="B1411:D1411"/>
    <mergeCell ref="F1411:G1411"/>
    <mergeCell ref="H1411:I1411"/>
    <mergeCell ref="J1411:K1411"/>
    <mergeCell ref="L1411:M1411"/>
    <mergeCell ref="B1408:D1408"/>
    <mergeCell ref="F1408:G1408"/>
    <mergeCell ref="H1408:I1408"/>
    <mergeCell ref="J1408:K1408"/>
    <mergeCell ref="L1408:M1408"/>
    <mergeCell ref="B1409:D1409"/>
    <mergeCell ref="F1409:G1409"/>
    <mergeCell ref="H1409:I1409"/>
    <mergeCell ref="J1409:K1409"/>
    <mergeCell ref="L1409:M1409"/>
    <mergeCell ref="A1414:D1414"/>
    <mergeCell ref="F1414:G1414"/>
    <mergeCell ref="H1414:I1414"/>
    <mergeCell ref="J1414:K1414"/>
    <mergeCell ref="L1414:M1414"/>
    <mergeCell ref="B1415:D1415"/>
    <mergeCell ref="F1415:G1415"/>
    <mergeCell ref="H1415:I1415"/>
    <mergeCell ref="J1415:K1415"/>
    <mergeCell ref="L1415:M1415"/>
    <mergeCell ref="H1412:I1412"/>
    <mergeCell ref="J1412:K1412"/>
    <mergeCell ref="L1412:M1412"/>
    <mergeCell ref="A1413:D1413"/>
    <mergeCell ref="F1413:G1413"/>
    <mergeCell ref="H1413:I1413"/>
    <mergeCell ref="J1413:K1413"/>
    <mergeCell ref="L1413:M1413"/>
    <mergeCell ref="A1420:M1420"/>
    <mergeCell ref="A1421:D1421"/>
    <mergeCell ref="F1421:G1421"/>
    <mergeCell ref="H1421:I1421"/>
    <mergeCell ref="J1421:K1421"/>
    <mergeCell ref="L1421:M1421"/>
    <mergeCell ref="B1418:D1418"/>
    <mergeCell ref="F1418:G1418"/>
    <mergeCell ref="H1418:I1418"/>
    <mergeCell ref="J1418:K1418"/>
    <mergeCell ref="L1418:M1418"/>
    <mergeCell ref="B1419:D1419"/>
    <mergeCell ref="F1419:G1419"/>
    <mergeCell ref="H1419:I1419"/>
    <mergeCell ref="J1419:K1419"/>
    <mergeCell ref="L1419:M1419"/>
    <mergeCell ref="B1416:D1416"/>
    <mergeCell ref="F1416:G1416"/>
    <mergeCell ref="H1416:I1416"/>
    <mergeCell ref="J1416:K1416"/>
    <mergeCell ref="L1416:M1416"/>
    <mergeCell ref="B1417:D1417"/>
    <mergeCell ref="F1417:G1417"/>
    <mergeCell ref="H1417:I1417"/>
    <mergeCell ref="J1417:K1417"/>
    <mergeCell ref="L1417:M1417"/>
    <mergeCell ref="A1426:D1426"/>
    <mergeCell ref="F1426:G1426"/>
    <mergeCell ref="H1426:I1426"/>
    <mergeCell ref="J1426:K1426"/>
    <mergeCell ref="L1426:M1426"/>
    <mergeCell ref="A1427:D1427"/>
    <mergeCell ref="F1427:G1427"/>
    <mergeCell ref="H1427:I1427"/>
    <mergeCell ref="J1427:K1427"/>
    <mergeCell ref="L1427:M1427"/>
    <mergeCell ref="B1424:D1424"/>
    <mergeCell ref="F1424:G1424"/>
    <mergeCell ref="H1424:I1424"/>
    <mergeCell ref="J1424:K1424"/>
    <mergeCell ref="L1424:M1424"/>
    <mergeCell ref="A1425:M1425"/>
    <mergeCell ref="B1422:D1422"/>
    <mergeCell ref="F1422:G1422"/>
    <mergeCell ref="H1422:I1422"/>
    <mergeCell ref="J1422:K1422"/>
    <mergeCell ref="L1422:M1422"/>
    <mergeCell ref="B1423:D1423"/>
    <mergeCell ref="F1423:G1423"/>
    <mergeCell ref="H1423:I1423"/>
    <mergeCell ref="J1423:K1423"/>
    <mergeCell ref="L1423:M1423"/>
    <mergeCell ref="A1432:M1432"/>
    <mergeCell ref="B1438:M1438"/>
    <mergeCell ref="A1439:M1439"/>
    <mergeCell ref="A1440:M1440"/>
    <mergeCell ref="A1441:M1441"/>
    <mergeCell ref="A1442:M1442"/>
    <mergeCell ref="A1430:D1430"/>
    <mergeCell ref="F1430:G1430"/>
    <mergeCell ref="H1430:I1430"/>
    <mergeCell ref="J1430:K1430"/>
    <mergeCell ref="L1430:M1430"/>
    <mergeCell ref="A1431:M1431"/>
    <mergeCell ref="A1428:D1428"/>
    <mergeCell ref="F1428:G1428"/>
    <mergeCell ref="H1428:I1428"/>
    <mergeCell ref="J1428:K1428"/>
    <mergeCell ref="L1428:M1428"/>
    <mergeCell ref="A1429:D1429"/>
    <mergeCell ref="F1429:G1429"/>
    <mergeCell ref="H1429:I1429"/>
    <mergeCell ref="J1429:K1429"/>
    <mergeCell ref="L1429:M1429"/>
    <mergeCell ref="A1453:B1453"/>
    <mergeCell ref="C1453:G1453"/>
    <mergeCell ref="H1453:I1453"/>
    <mergeCell ref="J1453:M1453"/>
    <mergeCell ref="A1454:B1454"/>
    <mergeCell ref="A1455:C1455"/>
    <mergeCell ref="D1455:G1455"/>
    <mergeCell ref="H1455:I1455"/>
    <mergeCell ref="J1455:M1455"/>
    <mergeCell ref="A1449:M1449"/>
    <mergeCell ref="A1451:B1451"/>
    <mergeCell ref="A1452:B1452"/>
    <mergeCell ref="H1452:I1452"/>
    <mergeCell ref="J1452:K1452"/>
    <mergeCell ref="L1452:M1452"/>
    <mergeCell ref="A1443:L1443"/>
    <mergeCell ref="A1444:K1444"/>
    <mergeCell ref="A1445:M1445"/>
    <mergeCell ref="A1446:M1446"/>
    <mergeCell ref="A1447:M1447"/>
    <mergeCell ref="A1448:M1448"/>
    <mergeCell ref="B1460:D1460"/>
    <mergeCell ref="F1460:G1460"/>
    <mergeCell ref="H1460:I1460"/>
    <mergeCell ref="J1460:K1460"/>
    <mergeCell ref="L1460:M1460"/>
    <mergeCell ref="B1461:D1461"/>
    <mergeCell ref="F1461:G1461"/>
    <mergeCell ref="H1461:I1461"/>
    <mergeCell ref="J1461:K1461"/>
    <mergeCell ref="L1461:M1461"/>
    <mergeCell ref="A1458:M1458"/>
    <mergeCell ref="B1459:D1459"/>
    <mergeCell ref="F1459:G1459"/>
    <mergeCell ref="H1459:I1459"/>
    <mergeCell ref="J1459:K1459"/>
    <mergeCell ref="L1459:M1459"/>
    <mergeCell ref="A1456:C1456"/>
    <mergeCell ref="D1456:G1456"/>
    <mergeCell ref="H1456:I1456"/>
    <mergeCell ref="J1456:M1456"/>
    <mergeCell ref="A1457:C1457"/>
    <mergeCell ref="D1457:G1457"/>
    <mergeCell ref="H1457:I1457"/>
    <mergeCell ref="J1457:M1457"/>
    <mergeCell ref="B1464:D1464"/>
    <mergeCell ref="F1464:G1464"/>
    <mergeCell ref="H1464:I1464"/>
    <mergeCell ref="J1464:K1464"/>
    <mergeCell ref="L1464:M1464"/>
    <mergeCell ref="B1465:D1465"/>
    <mergeCell ref="F1465:G1465"/>
    <mergeCell ref="H1465:I1465"/>
    <mergeCell ref="J1465:K1465"/>
    <mergeCell ref="L1465:M1465"/>
    <mergeCell ref="B1462:D1462"/>
    <mergeCell ref="F1462:G1462"/>
    <mergeCell ref="H1462:I1462"/>
    <mergeCell ref="J1462:K1462"/>
    <mergeCell ref="L1462:M1462"/>
    <mergeCell ref="B1463:D1463"/>
    <mergeCell ref="F1463:G1463"/>
    <mergeCell ref="H1463:I1463"/>
    <mergeCell ref="J1463:K1463"/>
    <mergeCell ref="L1463:M1463"/>
    <mergeCell ref="B1468:D1468"/>
    <mergeCell ref="F1468:G1468"/>
    <mergeCell ref="H1468:I1468"/>
    <mergeCell ref="J1468:K1468"/>
    <mergeCell ref="L1468:M1468"/>
    <mergeCell ref="B1469:D1469"/>
    <mergeCell ref="F1469:G1469"/>
    <mergeCell ref="H1469:I1469"/>
    <mergeCell ref="J1469:K1469"/>
    <mergeCell ref="L1469:M1469"/>
    <mergeCell ref="B1466:D1466"/>
    <mergeCell ref="F1466:G1466"/>
    <mergeCell ref="H1466:I1466"/>
    <mergeCell ref="J1466:K1466"/>
    <mergeCell ref="L1466:M1466"/>
    <mergeCell ref="B1467:D1467"/>
    <mergeCell ref="F1467:G1467"/>
    <mergeCell ref="H1467:I1467"/>
    <mergeCell ref="J1467:K1467"/>
    <mergeCell ref="L1467:M1467"/>
    <mergeCell ref="A1472:D1472"/>
    <mergeCell ref="F1472:G1472"/>
    <mergeCell ref="H1472:I1472"/>
    <mergeCell ref="J1472:K1472"/>
    <mergeCell ref="L1472:M1472"/>
    <mergeCell ref="B1473:D1473"/>
    <mergeCell ref="F1473:G1473"/>
    <mergeCell ref="H1473:I1473"/>
    <mergeCell ref="J1473:K1473"/>
    <mergeCell ref="L1473:M1473"/>
    <mergeCell ref="H1470:I1470"/>
    <mergeCell ref="J1470:K1470"/>
    <mergeCell ref="L1470:M1470"/>
    <mergeCell ref="A1471:D1471"/>
    <mergeCell ref="F1471:G1471"/>
    <mergeCell ref="H1471:I1471"/>
    <mergeCell ref="J1471:K1471"/>
    <mergeCell ref="L1471:M1471"/>
    <mergeCell ref="A1478:M1478"/>
    <mergeCell ref="A1479:D1479"/>
    <mergeCell ref="F1479:G1479"/>
    <mergeCell ref="H1479:I1479"/>
    <mergeCell ref="J1479:K1479"/>
    <mergeCell ref="L1479:M1479"/>
    <mergeCell ref="B1476:D1476"/>
    <mergeCell ref="F1476:G1476"/>
    <mergeCell ref="H1476:I1476"/>
    <mergeCell ref="J1476:K1476"/>
    <mergeCell ref="L1476:M1476"/>
    <mergeCell ref="B1477:D1477"/>
    <mergeCell ref="F1477:G1477"/>
    <mergeCell ref="H1477:I1477"/>
    <mergeCell ref="J1477:K1477"/>
    <mergeCell ref="L1477:M1477"/>
    <mergeCell ref="B1474:D1474"/>
    <mergeCell ref="F1474:G1474"/>
    <mergeCell ref="H1474:I1474"/>
    <mergeCell ref="J1474:K1474"/>
    <mergeCell ref="L1474:M1474"/>
    <mergeCell ref="B1475:D1475"/>
    <mergeCell ref="F1475:G1475"/>
    <mergeCell ref="H1475:I1475"/>
    <mergeCell ref="J1475:K1475"/>
    <mergeCell ref="L1475:M1475"/>
    <mergeCell ref="A1484:D1484"/>
    <mergeCell ref="F1484:G1484"/>
    <mergeCell ref="H1484:I1484"/>
    <mergeCell ref="J1484:K1484"/>
    <mergeCell ref="L1484:M1484"/>
    <mergeCell ref="A1485:D1485"/>
    <mergeCell ref="F1485:G1485"/>
    <mergeCell ref="H1485:I1485"/>
    <mergeCell ref="J1485:K1485"/>
    <mergeCell ref="L1485:M1485"/>
    <mergeCell ref="B1482:D1482"/>
    <mergeCell ref="F1482:G1482"/>
    <mergeCell ref="H1482:I1482"/>
    <mergeCell ref="J1482:K1482"/>
    <mergeCell ref="L1482:M1482"/>
    <mergeCell ref="A1483:M1483"/>
    <mergeCell ref="B1480:D1480"/>
    <mergeCell ref="F1480:G1480"/>
    <mergeCell ref="H1480:I1480"/>
    <mergeCell ref="J1480:K1480"/>
    <mergeCell ref="L1480:M1480"/>
    <mergeCell ref="B1481:D1481"/>
    <mergeCell ref="F1481:G1481"/>
    <mergeCell ref="H1481:I1481"/>
    <mergeCell ref="J1481:K1481"/>
    <mergeCell ref="L1481:M1481"/>
    <mergeCell ref="A1490:M1490"/>
    <mergeCell ref="B1496:M1496"/>
    <mergeCell ref="A1497:M1497"/>
    <mergeCell ref="A1498:M1498"/>
    <mergeCell ref="A1499:M1499"/>
    <mergeCell ref="A1500:M1500"/>
    <mergeCell ref="A1488:D1488"/>
    <mergeCell ref="F1488:G1488"/>
    <mergeCell ref="H1488:I1488"/>
    <mergeCell ref="J1488:K1488"/>
    <mergeCell ref="L1488:M1488"/>
    <mergeCell ref="A1489:M1489"/>
    <mergeCell ref="A1486:D1486"/>
    <mergeCell ref="F1486:G1486"/>
    <mergeCell ref="H1486:I1486"/>
    <mergeCell ref="J1486:K1486"/>
    <mergeCell ref="L1486:M1486"/>
    <mergeCell ref="A1487:D1487"/>
    <mergeCell ref="F1487:G1487"/>
    <mergeCell ref="H1487:I1487"/>
    <mergeCell ref="J1487:K1487"/>
    <mergeCell ref="L1487:M1487"/>
    <mergeCell ref="A1511:B1511"/>
    <mergeCell ref="C1511:G1511"/>
    <mergeCell ref="H1511:I1511"/>
    <mergeCell ref="J1511:M1511"/>
    <mergeCell ref="A1512:B1512"/>
    <mergeCell ref="A1513:C1513"/>
    <mergeCell ref="D1513:G1513"/>
    <mergeCell ref="H1513:I1513"/>
    <mergeCell ref="J1513:M1513"/>
    <mergeCell ref="A1507:M1507"/>
    <mergeCell ref="A1509:B1509"/>
    <mergeCell ref="A1510:B1510"/>
    <mergeCell ref="H1510:I1510"/>
    <mergeCell ref="J1510:K1510"/>
    <mergeCell ref="L1510:M1510"/>
    <mergeCell ref="A1501:L1501"/>
    <mergeCell ref="A1502:K1502"/>
    <mergeCell ref="A1503:M1503"/>
    <mergeCell ref="A1504:M1504"/>
    <mergeCell ref="A1505:M1505"/>
    <mergeCell ref="A1506:M1506"/>
    <mergeCell ref="B1518:D1518"/>
    <mergeCell ref="F1518:G1518"/>
    <mergeCell ref="H1518:I1518"/>
    <mergeCell ref="J1518:K1518"/>
    <mergeCell ref="L1518:M1518"/>
    <mergeCell ref="B1519:D1519"/>
    <mergeCell ref="F1519:G1519"/>
    <mergeCell ref="H1519:I1519"/>
    <mergeCell ref="J1519:K1519"/>
    <mergeCell ref="L1519:M1519"/>
    <mergeCell ref="A1516:M1516"/>
    <mergeCell ref="B1517:D1517"/>
    <mergeCell ref="F1517:G1517"/>
    <mergeCell ref="H1517:I1517"/>
    <mergeCell ref="J1517:K1517"/>
    <mergeCell ref="L1517:M1517"/>
    <mergeCell ref="A1514:C1514"/>
    <mergeCell ref="D1514:G1514"/>
    <mergeCell ref="H1514:I1514"/>
    <mergeCell ref="J1514:M1514"/>
    <mergeCell ref="A1515:C1515"/>
    <mergeCell ref="D1515:G1515"/>
    <mergeCell ref="H1515:I1515"/>
    <mergeCell ref="J1515:M1515"/>
    <mergeCell ref="B1522:D1522"/>
    <mergeCell ref="F1522:G1522"/>
    <mergeCell ref="H1522:I1522"/>
    <mergeCell ref="J1522:K1522"/>
    <mergeCell ref="L1522:M1522"/>
    <mergeCell ref="B1523:D1523"/>
    <mergeCell ref="F1523:G1523"/>
    <mergeCell ref="H1523:I1523"/>
    <mergeCell ref="J1523:K1523"/>
    <mergeCell ref="L1523:M1523"/>
    <mergeCell ref="B1520:D1520"/>
    <mergeCell ref="F1520:G1520"/>
    <mergeCell ref="H1520:I1520"/>
    <mergeCell ref="J1520:K1520"/>
    <mergeCell ref="L1520:M1520"/>
    <mergeCell ref="B1521:D1521"/>
    <mergeCell ref="F1521:G1521"/>
    <mergeCell ref="H1521:I1521"/>
    <mergeCell ref="J1521:K1521"/>
    <mergeCell ref="L1521:M1521"/>
    <mergeCell ref="B1526:D1526"/>
    <mergeCell ref="F1526:G1526"/>
    <mergeCell ref="H1526:I1526"/>
    <mergeCell ref="J1526:K1526"/>
    <mergeCell ref="L1526:M1526"/>
    <mergeCell ref="B1527:D1527"/>
    <mergeCell ref="F1527:G1527"/>
    <mergeCell ref="H1527:I1527"/>
    <mergeCell ref="J1527:K1527"/>
    <mergeCell ref="L1527:M1527"/>
    <mergeCell ref="B1524:D1524"/>
    <mergeCell ref="F1524:G1524"/>
    <mergeCell ref="H1524:I1524"/>
    <mergeCell ref="J1524:K1524"/>
    <mergeCell ref="L1524:M1524"/>
    <mergeCell ref="B1525:D1525"/>
    <mergeCell ref="F1525:G1525"/>
    <mergeCell ref="H1525:I1525"/>
    <mergeCell ref="J1525:K1525"/>
    <mergeCell ref="L1525:M1525"/>
    <mergeCell ref="A1530:D1530"/>
    <mergeCell ref="F1530:G1530"/>
    <mergeCell ref="H1530:I1530"/>
    <mergeCell ref="J1530:K1530"/>
    <mergeCell ref="L1530:M1530"/>
    <mergeCell ref="B1531:D1531"/>
    <mergeCell ref="F1531:G1531"/>
    <mergeCell ref="H1531:I1531"/>
    <mergeCell ref="J1531:K1531"/>
    <mergeCell ref="L1531:M1531"/>
    <mergeCell ref="H1528:I1528"/>
    <mergeCell ref="J1528:K1528"/>
    <mergeCell ref="L1528:M1528"/>
    <mergeCell ref="A1529:D1529"/>
    <mergeCell ref="F1529:G1529"/>
    <mergeCell ref="H1529:I1529"/>
    <mergeCell ref="J1529:K1529"/>
    <mergeCell ref="L1529:M1529"/>
    <mergeCell ref="A1536:M1536"/>
    <mergeCell ref="A1537:D1537"/>
    <mergeCell ref="F1537:G1537"/>
    <mergeCell ref="H1537:I1537"/>
    <mergeCell ref="J1537:K1537"/>
    <mergeCell ref="L1537:M1537"/>
    <mergeCell ref="B1534:D1534"/>
    <mergeCell ref="F1534:G1534"/>
    <mergeCell ref="H1534:I1534"/>
    <mergeCell ref="J1534:K1534"/>
    <mergeCell ref="L1534:M1534"/>
    <mergeCell ref="B1535:D1535"/>
    <mergeCell ref="F1535:G1535"/>
    <mergeCell ref="H1535:I1535"/>
    <mergeCell ref="J1535:K1535"/>
    <mergeCell ref="L1535:M1535"/>
    <mergeCell ref="B1532:D1532"/>
    <mergeCell ref="F1532:G1532"/>
    <mergeCell ref="H1532:I1532"/>
    <mergeCell ref="J1532:K1532"/>
    <mergeCell ref="L1532:M1532"/>
    <mergeCell ref="B1533:D1533"/>
    <mergeCell ref="F1533:G1533"/>
    <mergeCell ref="H1533:I1533"/>
    <mergeCell ref="J1533:K1533"/>
    <mergeCell ref="L1533:M1533"/>
    <mergeCell ref="A1542:D1542"/>
    <mergeCell ref="F1542:G1542"/>
    <mergeCell ref="H1542:I1542"/>
    <mergeCell ref="J1542:K1542"/>
    <mergeCell ref="L1542:M1542"/>
    <mergeCell ref="A1543:D1543"/>
    <mergeCell ref="F1543:G1543"/>
    <mergeCell ref="H1543:I1543"/>
    <mergeCell ref="J1543:K1543"/>
    <mergeCell ref="L1543:M1543"/>
    <mergeCell ref="B1540:D1540"/>
    <mergeCell ref="F1540:G1540"/>
    <mergeCell ref="H1540:I1540"/>
    <mergeCell ref="J1540:K1540"/>
    <mergeCell ref="L1540:M1540"/>
    <mergeCell ref="A1541:M1541"/>
    <mergeCell ref="B1538:D1538"/>
    <mergeCell ref="F1538:G1538"/>
    <mergeCell ref="H1538:I1538"/>
    <mergeCell ref="J1538:K1538"/>
    <mergeCell ref="L1538:M1538"/>
    <mergeCell ref="B1539:D1539"/>
    <mergeCell ref="F1539:G1539"/>
    <mergeCell ref="H1539:I1539"/>
    <mergeCell ref="J1539:K1539"/>
    <mergeCell ref="L1539:M1539"/>
    <mergeCell ref="A1548:M1548"/>
    <mergeCell ref="B1554:M1554"/>
    <mergeCell ref="A1555:M1555"/>
    <mergeCell ref="A1556:M1556"/>
    <mergeCell ref="A1557:M1557"/>
    <mergeCell ref="A1558:M1558"/>
    <mergeCell ref="A1546:D1546"/>
    <mergeCell ref="F1546:G1546"/>
    <mergeCell ref="H1546:I1546"/>
    <mergeCell ref="J1546:K1546"/>
    <mergeCell ref="L1546:M1546"/>
    <mergeCell ref="A1547:M1547"/>
    <mergeCell ref="A1544:D1544"/>
    <mergeCell ref="F1544:G1544"/>
    <mergeCell ref="H1544:I1544"/>
    <mergeCell ref="J1544:K1544"/>
    <mergeCell ref="L1544:M1544"/>
    <mergeCell ref="A1545:D1545"/>
    <mergeCell ref="F1545:G1545"/>
    <mergeCell ref="H1545:I1545"/>
    <mergeCell ref="J1545:K1545"/>
    <mergeCell ref="L1545:M1545"/>
    <mergeCell ref="A1569:B1569"/>
    <mergeCell ref="C1569:G1569"/>
    <mergeCell ref="H1569:I1569"/>
    <mergeCell ref="J1569:M1569"/>
    <mergeCell ref="A1570:B1570"/>
    <mergeCell ref="A1571:C1571"/>
    <mergeCell ref="D1571:G1571"/>
    <mergeCell ref="H1571:I1571"/>
    <mergeCell ref="J1571:M1571"/>
    <mergeCell ref="A1565:M1565"/>
    <mergeCell ref="A1567:B1567"/>
    <mergeCell ref="A1568:B1568"/>
    <mergeCell ref="H1568:I1568"/>
    <mergeCell ref="J1568:K1568"/>
    <mergeCell ref="L1568:M1568"/>
    <mergeCell ref="A1559:L1559"/>
    <mergeCell ref="A1560:K1560"/>
    <mergeCell ref="A1561:M1561"/>
    <mergeCell ref="A1562:M1562"/>
    <mergeCell ref="A1563:M1563"/>
    <mergeCell ref="A1564:M1564"/>
    <mergeCell ref="B1576:D1576"/>
    <mergeCell ref="F1576:G1576"/>
    <mergeCell ref="H1576:I1576"/>
    <mergeCell ref="J1576:K1576"/>
    <mergeCell ref="L1576:M1576"/>
    <mergeCell ref="B1577:D1577"/>
    <mergeCell ref="F1577:G1577"/>
    <mergeCell ref="H1577:I1577"/>
    <mergeCell ref="J1577:K1577"/>
    <mergeCell ref="L1577:M1577"/>
    <mergeCell ref="A1574:M1574"/>
    <mergeCell ref="B1575:D1575"/>
    <mergeCell ref="F1575:G1575"/>
    <mergeCell ref="H1575:I1575"/>
    <mergeCell ref="J1575:K1575"/>
    <mergeCell ref="L1575:M1575"/>
    <mergeCell ref="A1572:C1572"/>
    <mergeCell ref="D1572:G1572"/>
    <mergeCell ref="H1572:I1572"/>
    <mergeCell ref="J1572:M1572"/>
    <mergeCell ref="A1573:C1573"/>
    <mergeCell ref="D1573:G1573"/>
    <mergeCell ref="H1573:I1573"/>
    <mergeCell ref="J1573:M1573"/>
    <mergeCell ref="B1580:D1580"/>
    <mergeCell ref="F1580:G1580"/>
    <mergeCell ref="H1580:I1580"/>
    <mergeCell ref="J1580:K1580"/>
    <mergeCell ref="L1580:M1580"/>
    <mergeCell ref="B1581:D1581"/>
    <mergeCell ref="F1581:G1581"/>
    <mergeCell ref="H1581:I1581"/>
    <mergeCell ref="J1581:K1581"/>
    <mergeCell ref="L1581:M1581"/>
    <mergeCell ref="B1578:D1578"/>
    <mergeCell ref="F1578:G1578"/>
    <mergeCell ref="H1578:I1578"/>
    <mergeCell ref="J1578:K1578"/>
    <mergeCell ref="L1578:M1578"/>
    <mergeCell ref="B1579:D1579"/>
    <mergeCell ref="F1579:G1579"/>
    <mergeCell ref="H1579:I1579"/>
    <mergeCell ref="J1579:K1579"/>
    <mergeCell ref="L1579:M1579"/>
    <mergeCell ref="B1584:D1584"/>
    <mergeCell ref="F1584:G1584"/>
    <mergeCell ref="H1584:I1584"/>
    <mergeCell ref="J1584:K1584"/>
    <mergeCell ref="L1584:M1584"/>
    <mergeCell ref="B1585:D1585"/>
    <mergeCell ref="F1585:G1585"/>
    <mergeCell ref="H1585:I1585"/>
    <mergeCell ref="J1585:K1585"/>
    <mergeCell ref="L1585:M1585"/>
    <mergeCell ref="B1582:D1582"/>
    <mergeCell ref="F1582:G1582"/>
    <mergeCell ref="H1582:I1582"/>
    <mergeCell ref="J1582:K1582"/>
    <mergeCell ref="L1582:M1582"/>
    <mergeCell ref="B1583:D1583"/>
    <mergeCell ref="F1583:G1583"/>
    <mergeCell ref="H1583:I1583"/>
    <mergeCell ref="J1583:K1583"/>
    <mergeCell ref="L1583:M1583"/>
    <mergeCell ref="A1588:D1588"/>
    <mergeCell ref="F1588:G1588"/>
    <mergeCell ref="H1588:I1588"/>
    <mergeCell ref="J1588:K1588"/>
    <mergeCell ref="L1588:M1588"/>
    <mergeCell ref="B1589:D1589"/>
    <mergeCell ref="F1589:G1589"/>
    <mergeCell ref="H1589:I1589"/>
    <mergeCell ref="J1589:K1589"/>
    <mergeCell ref="L1589:M1589"/>
    <mergeCell ref="H1586:I1586"/>
    <mergeCell ref="J1586:K1586"/>
    <mergeCell ref="L1586:M1586"/>
    <mergeCell ref="A1587:D1587"/>
    <mergeCell ref="F1587:G1587"/>
    <mergeCell ref="H1587:I1587"/>
    <mergeCell ref="J1587:K1587"/>
    <mergeCell ref="L1587:M1587"/>
    <mergeCell ref="A1594:M1594"/>
    <mergeCell ref="A1595:D1595"/>
    <mergeCell ref="F1595:G1595"/>
    <mergeCell ref="H1595:I1595"/>
    <mergeCell ref="J1595:K1595"/>
    <mergeCell ref="L1595:M1595"/>
    <mergeCell ref="B1592:D1592"/>
    <mergeCell ref="F1592:G1592"/>
    <mergeCell ref="H1592:I1592"/>
    <mergeCell ref="J1592:K1592"/>
    <mergeCell ref="L1592:M1592"/>
    <mergeCell ref="B1593:D1593"/>
    <mergeCell ref="F1593:G1593"/>
    <mergeCell ref="H1593:I1593"/>
    <mergeCell ref="J1593:K1593"/>
    <mergeCell ref="L1593:M1593"/>
    <mergeCell ref="B1590:D1590"/>
    <mergeCell ref="F1590:G1590"/>
    <mergeCell ref="H1590:I1590"/>
    <mergeCell ref="J1590:K1590"/>
    <mergeCell ref="L1590:M1590"/>
    <mergeCell ref="B1591:D1591"/>
    <mergeCell ref="F1591:G1591"/>
    <mergeCell ref="H1591:I1591"/>
    <mergeCell ref="J1591:K1591"/>
    <mergeCell ref="L1591:M1591"/>
    <mergeCell ref="A1600:D1600"/>
    <mergeCell ref="F1600:G1600"/>
    <mergeCell ref="H1600:I1600"/>
    <mergeCell ref="J1600:K1600"/>
    <mergeCell ref="L1600:M1600"/>
    <mergeCell ref="A1601:D1601"/>
    <mergeCell ref="F1601:G1601"/>
    <mergeCell ref="H1601:I1601"/>
    <mergeCell ref="J1601:K1601"/>
    <mergeCell ref="L1601:M1601"/>
    <mergeCell ref="B1598:D1598"/>
    <mergeCell ref="F1598:G1598"/>
    <mergeCell ref="H1598:I1598"/>
    <mergeCell ref="J1598:K1598"/>
    <mergeCell ref="L1598:M1598"/>
    <mergeCell ref="A1599:M1599"/>
    <mergeCell ref="B1596:D1596"/>
    <mergeCell ref="F1596:G1596"/>
    <mergeCell ref="H1596:I1596"/>
    <mergeCell ref="J1596:K1596"/>
    <mergeCell ref="L1596:M1596"/>
    <mergeCell ref="B1597:D1597"/>
    <mergeCell ref="F1597:G1597"/>
    <mergeCell ref="H1597:I1597"/>
    <mergeCell ref="J1597:K1597"/>
    <mergeCell ref="L1597:M1597"/>
    <mergeCell ref="A1606:M1606"/>
    <mergeCell ref="B1612:M1612"/>
    <mergeCell ref="A1613:M1613"/>
    <mergeCell ref="A1614:M1614"/>
    <mergeCell ref="A1615:M1615"/>
    <mergeCell ref="A1616:M1616"/>
    <mergeCell ref="A1604:D1604"/>
    <mergeCell ref="F1604:G1604"/>
    <mergeCell ref="H1604:I1604"/>
    <mergeCell ref="J1604:K1604"/>
    <mergeCell ref="L1604:M1604"/>
    <mergeCell ref="A1605:M1605"/>
    <mergeCell ref="A1602:D1602"/>
    <mergeCell ref="F1602:G1602"/>
    <mergeCell ref="H1602:I1602"/>
    <mergeCell ref="J1602:K1602"/>
    <mergeCell ref="L1602:M1602"/>
    <mergeCell ref="A1603:D1603"/>
    <mergeCell ref="F1603:G1603"/>
    <mergeCell ref="H1603:I1603"/>
    <mergeCell ref="J1603:K1603"/>
    <mergeCell ref="L1603:M1603"/>
    <mergeCell ref="A1627:B1627"/>
    <mergeCell ref="C1627:G1627"/>
    <mergeCell ref="H1627:I1627"/>
    <mergeCell ref="J1627:M1627"/>
    <mergeCell ref="A1628:B1628"/>
    <mergeCell ref="A1629:C1629"/>
    <mergeCell ref="D1629:G1629"/>
    <mergeCell ref="H1629:I1629"/>
    <mergeCell ref="J1629:M1629"/>
    <mergeCell ref="A1623:M1623"/>
    <mergeCell ref="A1625:B1625"/>
    <mergeCell ref="A1626:B1626"/>
    <mergeCell ref="H1626:I1626"/>
    <mergeCell ref="J1626:K1626"/>
    <mergeCell ref="L1626:M1626"/>
    <mergeCell ref="A1617:L1617"/>
    <mergeCell ref="A1618:K1618"/>
    <mergeCell ref="A1619:M1619"/>
    <mergeCell ref="A1620:M1620"/>
    <mergeCell ref="A1621:M1621"/>
    <mergeCell ref="A1622:M1622"/>
    <mergeCell ref="B1634:D1634"/>
    <mergeCell ref="F1634:G1634"/>
    <mergeCell ref="H1634:I1634"/>
    <mergeCell ref="J1634:K1634"/>
    <mergeCell ref="L1634:M1634"/>
    <mergeCell ref="B1635:D1635"/>
    <mergeCell ref="F1635:G1635"/>
    <mergeCell ref="H1635:I1635"/>
    <mergeCell ref="J1635:K1635"/>
    <mergeCell ref="L1635:M1635"/>
    <mergeCell ref="A1632:M1632"/>
    <mergeCell ref="B1633:D1633"/>
    <mergeCell ref="F1633:G1633"/>
    <mergeCell ref="H1633:I1633"/>
    <mergeCell ref="J1633:K1633"/>
    <mergeCell ref="L1633:M1633"/>
    <mergeCell ref="A1630:C1630"/>
    <mergeCell ref="D1630:G1630"/>
    <mergeCell ref="H1630:I1630"/>
    <mergeCell ref="J1630:M1630"/>
    <mergeCell ref="A1631:C1631"/>
    <mergeCell ref="D1631:G1631"/>
    <mergeCell ref="H1631:I1631"/>
    <mergeCell ref="J1631:M1631"/>
    <mergeCell ref="B1638:D1638"/>
    <mergeCell ref="F1638:G1638"/>
    <mergeCell ref="H1638:I1638"/>
    <mergeCell ref="J1638:K1638"/>
    <mergeCell ref="L1638:M1638"/>
    <mergeCell ref="B1639:D1639"/>
    <mergeCell ref="F1639:G1639"/>
    <mergeCell ref="H1639:I1639"/>
    <mergeCell ref="J1639:K1639"/>
    <mergeCell ref="L1639:M1639"/>
    <mergeCell ref="B1636:D1636"/>
    <mergeCell ref="F1636:G1636"/>
    <mergeCell ref="H1636:I1636"/>
    <mergeCell ref="J1636:K1636"/>
    <mergeCell ref="L1636:M1636"/>
    <mergeCell ref="B1637:D1637"/>
    <mergeCell ref="F1637:G1637"/>
    <mergeCell ref="H1637:I1637"/>
    <mergeCell ref="J1637:K1637"/>
    <mergeCell ref="L1637:M1637"/>
    <mergeCell ref="B1642:D1642"/>
    <mergeCell ref="F1642:G1642"/>
    <mergeCell ref="H1642:I1642"/>
    <mergeCell ref="J1642:K1642"/>
    <mergeCell ref="L1642:M1642"/>
    <mergeCell ref="B1643:D1643"/>
    <mergeCell ref="F1643:G1643"/>
    <mergeCell ref="H1643:I1643"/>
    <mergeCell ref="J1643:K1643"/>
    <mergeCell ref="L1643:M1643"/>
    <mergeCell ref="B1640:D1640"/>
    <mergeCell ref="F1640:G1640"/>
    <mergeCell ref="H1640:I1640"/>
    <mergeCell ref="J1640:K1640"/>
    <mergeCell ref="L1640:M1640"/>
    <mergeCell ref="B1641:D1641"/>
    <mergeCell ref="F1641:G1641"/>
    <mergeCell ref="H1641:I1641"/>
    <mergeCell ref="J1641:K1641"/>
    <mergeCell ref="L1641:M1641"/>
    <mergeCell ref="A1646:D1646"/>
    <mergeCell ref="F1646:G1646"/>
    <mergeCell ref="H1646:I1646"/>
    <mergeCell ref="J1646:K1646"/>
    <mergeCell ref="L1646:M1646"/>
    <mergeCell ref="B1647:D1647"/>
    <mergeCell ref="F1647:G1647"/>
    <mergeCell ref="H1647:I1647"/>
    <mergeCell ref="J1647:K1647"/>
    <mergeCell ref="L1647:M1647"/>
    <mergeCell ref="H1644:I1644"/>
    <mergeCell ref="J1644:K1644"/>
    <mergeCell ref="L1644:M1644"/>
    <mergeCell ref="A1645:D1645"/>
    <mergeCell ref="F1645:G1645"/>
    <mergeCell ref="H1645:I1645"/>
    <mergeCell ref="J1645:K1645"/>
    <mergeCell ref="L1645:M1645"/>
    <mergeCell ref="A1652:M1652"/>
    <mergeCell ref="A1653:D1653"/>
    <mergeCell ref="F1653:G1653"/>
    <mergeCell ref="H1653:I1653"/>
    <mergeCell ref="J1653:K1653"/>
    <mergeCell ref="L1653:M1653"/>
    <mergeCell ref="B1650:D1650"/>
    <mergeCell ref="F1650:G1650"/>
    <mergeCell ref="H1650:I1650"/>
    <mergeCell ref="J1650:K1650"/>
    <mergeCell ref="L1650:M1650"/>
    <mergeCell ref="B1651:D1651"/>
    <mergeCell ref="F1651:G1651"/>
    <mergeCell ref="H1651:I1651"/>
    <mergeCell ref="J1651:K1651"/>
    <mergeCell ref="L1651:M1651"/>
    <mergeCell ref="B1648:D1648"/>
    <mergeCell ref="F1648:G1648"/>
    <mergeCell ref="H1648:I1648"/>
    <mergeCell ref="J1648:K1648"/>
    <mergeCell ref="L1648:M1648"/>
    <mergeCell ref="B1649:D1649"/>
    <mergeCell ref="F1649:G1649"/>
    <mergeCell ref="H1649:I1649"/>
    <mergeCell ref="J1649:K1649"/>
    <mergeCell ref="L1649:M1649"/>
    <mergeCell ref="A1658:D1658"/>
    <mergeCell ref="F1658:G1658"/>
    <mergeCell ref="H1658:I1658"/>
    <mergeCell ref="J1658:K1658"/>
    <mergeCell ref="L1658:M1658"/>
    <mergeCell ref="A1659:D1659"/>
    <mergeCell ref="F1659:G1659"/>
    <mergeCell ref="H1659:I1659"/>
    <mergeCell ref="J1659:K1659"/>
    <mergeCell ref="L1659:M1659"/>
    <mergeCell ref="B1656:D1656"/>
    <mergeCell ref="F1656:G1656"/>
    <mergeCell ref="H1656:I1656"/>
    <mergeCell ref="J1656:K1656"/>
    <mergeCell ref="L1656:M1656"/>
    <mergeCell ref="A1657:M1657"/>
    <mergeCell ref="B1654:D1654"/>
    <mergeCell ref="F1654:G1654"/>
    <mergeCell ref="H1654:I1654"/>
    <mergeCell ref="J1654:K1654"/>
    <mergeCell ref="L1654:M1654"/>
    <mergeCell ref="B1655:D1655"/>
    <mergeCell ref="F1655:G1655"/>
    <mergeCell ref="H1655:I1655"/>
    <mergeCell ref="J1655:K1655"/>
    <mergeCell ref="L1655:M1655"/>
    <mergeCell ref="A1664:M1664"/>
    <mergeCell ref="B1670:M1670"/>
    <mergeCell ref="A1671:M1671"/>
    <mergeCell ref="A1672:M1672"/>
    <mergeCell ref="A1673:M1673"/>
    <mergeCell ref="A1674:M1674"/>
    <mergeCell ref="A1662:D1662"/>
    <mergeCell ref="F1662:G1662"/>
    <mergeCell ref="H1662:I1662"/>
    <mergeCell ref="J1662:K1662"/>
    <mergeCell ref="L1662:M1662"/>
    <mergeCell ref="A1663:M1663"/>
    <mergeCell ref="A1660:D1660"/>
    <mergeCell ref="F1660:G1660"/>
    <mergeCell ref="H1660:I1660"/>
    <mergeCell ref="J1660:K1660"/>
    <mergeCell ref="L1660:M1660"/>
    <mergeCell ref="A1661:D1661"/>
    <mergeCell ref="F1661:G1661"/>
    <mergeCell ref="H1661:I1661"/>
    <mergeCell ref="J1661:K1661"/>
    <mergeCell ref="L1661:M1661"/>
    <mergeCell ref="A1685:B1685"/>
    <mergeCell ref="C1685:G1685"/>
    <mergeCell ref="H1685:I1685"/>
    <mergeCell ref="J1685:M1685"/>
    <mergeCell ref="A1686:B1686"/>
    <mergeCell ref="A1687:C1687"/>
    <mergeCell ref="D1687:G1687"/>
    <mergeCell ref="H1687:I1687"/>
    <mergeCell ref="J1687:M1687"/>
    <mergeCell ref="A1681:M1681"/>
    <mergeCell ref="A1683:B1683"/>
    <mergeCell ref="A1684:B1684"/>
    <mergeCell ref="H1684:I1684"/>
    <mergeCell ref="J1684:K1684"/>
    <mergeCell ref="L1684:M1684"/>
    <mergeCell ref="A1675:L1675"/>
    <mergeCell ref="A1676:K1676"/>
    <mergeCell ref="A1677:M1677"/>
    <mergeCell ref="A1678:M1678"/>
    <mergeCell ref="A1679:M1679"/>
    <mergeCell ref="A1680:M1680"/>
    <mergeCell ref="B1692:D1692"/>
    <mergeCell ref="F1692:G1692"/>
    <mergeCell ref="H1692:I1692"/>
    <mergeCell ref="J1692:K1692"/>
    <mergeCell ref="L1692:M1692"/>
    <mergeCell ref="B1693:D1693"/>
    <mergeCell ref="F1693:G1693"/>
    <mergeCell ref="H1693:I1693"/>
    <mergeCell ref="J1693:K1693"/>
    <mergeCell ref="L1693:M1693"/>
    <mergeCell ref="A1690:M1690"/>
    <mergeCell ref="B1691:D1691"/>
    <mergeCell ref="F1691:G1691"/>
    <mergeCell ref="H1691:I1691"/>
    <mergeCell ref="J1691:K1691"/>
    <mergeCell ref="L1691:M1691"/>
    <mergeCell ref="A1688:C1688"/>
    <mergeCell ref="D1688:G1688"/>
    <mergeCell ref="H1688:I1688"/>
    <mergeCell ref="J1688:M1688"/>
    <mergeCell ref="A1689:C1689"/>
    <mergeCell ref="D1689:G1689"/>
    <mergeCell ref="H1689:I1689"/>
    <mergeCell ref="J1689:M1689"/>
    <mergeCell ref="B1696:D1696"/>
    <mergeCell ref="F1696:G1696"/>
    <mergeCell ref="H1696:I1696"/>
    <mergeCell ref="J1696:K1696"/>
    <mergeCell ref="L1696:M1696"/>
    <mergeCell ref="B1697:D1697"/>
    <mergeCell ref="F1697:G1697"/>
    <mergeCell ref="H1697:I1697"/>
    <mergeCell ref="J1697:K1697"/>
    <mergeCell ref="L1697:M1697"/>
    <mergeCell ref="B1694:D1694"/>
    <mergeCell ref="F1694:G1694"/>
    <mergeCell ref="H1694:I1694"/>
    <mergeCell ref="J1694:K1694"/>
    <mergeCell ref="L1694:M1694"/>
    <mergeCell ref="B1695:D1695"/>
    <mergeCell ref="F1695:G1695"/>
    <mergeCell ref="H1695:I1695"/>
    <mergeCell ref="J1695:K1695"/>
    <mergeCell ref="L1695:M1695"/>
    <mergeCell ref="B1700:D1700"/>
    <mergeCell ref="F1700:G1700"/>
    <mergeCell ref="H1700:I1700"/>
    <mergeCell ref="J1700:K1700"/>
    <mergeCell ref="L1700:M1700"/>
    <mergeCell ref="B1701:D1701"/>
    <mergeCell ref="F1701:G1701"/>
    <mergeCell ref="H1701:I1701"/>
    <mergeCell ref="J1701:K1701"/>
    <mergeCell ref="L1701:M1701"/>
    <mergeCell ref="B1698:D1698"/>
    <mergeCell ref="F1698:G1698"/>
    <mergeCell ref="H1698:I1698"/>
    <mergeCell ref="J1698:K1698"/>
    <mergeCell ref="L1698:M1698"/>
    <mergeCell ref="B1699:D1699"/>
    <mergeCell ref="F1699:G1699"/>
    <mergeCell ref="H1699:I1699"/>
    <mergeCell ref="J1699:K1699"/>
    <mergeCell ref="L1699:M1699"/>
    <mergeCell ref="A1704:D1704"/>
    <mergeCell ref="F1704:G1704"/>
    <mergeCell ref="H1704:I1704"/>
    <mergeCell ref="J1704:K1704"/>
    <mergeCell ref="L1704:M1704"/>
    <mergeCell ref="B1705:D1705"/>
    <mergeCell ref="F1705:G1705"/>
    <mergeCell ref="H1705:I1705"/>
    <mergeCell ref="J1705:K1705"/>
    <mergeCell ref="L1705:M1705"/>
    <mergeCell ref="H1702:I1702"/>
    <mergeCell ref="J1702:K1702"/>
    <mergeCell ref="L1702:M1702"/>
    <mergeCell ref="A1703:D1703"/>
    <mergeCell ref="F1703:G1703"/>
    <mergeCell ref="H1703:I1703"/>
    <mergeCell ref="J1703:K1703"/>
    <mergeCell ref="L1703:M1703"/>
    <mergeCell ref="A1710:M1710"/>
    <mergeCell ref="A1711:D1711"/>
    <mergeCell ref="F1711:G1711"/>
    <mergeCell ref="H1711:I1711"/>
    <mergeCell ref="J1711:K1711"/>
    <mergeCell ref="L1711:M1711"/>
    <mergeCell ref="B1708:D1708"/>
    <mergeCell ref="F1708:G1708"/>
    <mergeCell ref="H1708:I1708"/>
    <mergeCell ref="J1708:K1708"/>
    <mergeCell ref="L1708:M1708"/>
    <mergeCell ref="B1709:D1709"/>
    <mergeCell ref="F1709:G1709"/>
    <mergeCell ref="H1709:I1709"/>
    <mergeCell ref="J1709:K1709"/>
    <mergeCell ref="L1709:M1709"/>
    <mergeCell ref="B1706:D1706"/>
    <mergeCell ref="F1706:G1706"/>
    <mergeCell ref="H1706:I1706"/>
    <mergeCell ref="J1706:K1706"/>
    <mergeCell ref="L1706:M1706"/>
    <mergeCell ref="B1707:D1707"/>
    <mergeCell ref="F1707:G1707"/>
    <mergeCell ref="H1707:I1707"/>
    <mergeCell ref="J1707:K1707"/>
    <mergeCell ref="L1707:M1707"/>
    <mergeCell ref="A1716:D1716"/>
    <mergeCell ref="F1716:G1716"/>
    <mergeCell ref="H1716:I1716"/>
    <mergeCell ref="J1716:K1716"/>
    <mergeCell ref="L1716:M1716"/>
    <mergeCell ref="A1717:D1717"/>
    <mergeCell ref="F1717:G1717"/>
    <mergeCell ref="H1717:I1717"/>
    <mergeCell ref="J1717:K1717"/>
    <mergeCell ref="L1717:M1717"/>
    <mergeCell ref="B1714:D1714"/>
    <mergeCell ref="F1714:G1714"/>
    <mergeCell ref="H1714:I1714"/>
    <mergeCell ref="J1714:K1714"/>
    <mergeCell ref="L1714:M1714"/>
    <mergeCell ref="A1715:M1715"/>
    <mergeCell ref="B1712:D1712"/>
    <mergeCell ref="F1712:G1712"/>
    <mergeCell ref="H1712:I1712"/>
    <mergeCell ref="J1712:K1712"/>
    <mergeCell ref="L1712:M1712"/>
    <mergeCell ref="B1713:D1713"/>
    <mergeCell ref="F1713:G1713"/>
    <mergeCell ref="H1713:I1713"/>
    <mergeCell ref="J1713:K1713"/>
    <mergeCell ref="L1713:M1713"/>
    <mergeCell ref="A1722:M1722"/>
    <mergeCell ref="B1728:M1728"/>
    <mergeCell ref="A1729:M1729"/>
    <mergeCell ref="A1730:M1730"/>
    <mergeCell ref="A1731:M1731"/>
    <mergeCell ref="A1732:M1732"/>
    <mergeCell ref="A1720:D1720"/>
    <mergeCell ref="F1720:G1720"/>
    <mergeCell ref="H1720:I1720"/>
    <mergeCell ref="J1720:K1720"/>
    <mergeCell ref="L1720:M1720"/>
    <mergeCell ref="A1721:M1721"/>
    <mergeCell ref="A1718:D1718"/>
    <mergeCell ref="F1718:G1718"/>
    <mergeCell ref="H1718:I1718"/>
    <mergeCell ref="J1718:K1718"/>
    <mergeCell ref="L1718:M1718"/>
    <mergeCell ref="A1719:D1719"/>
    <mergeCell ref="F1719:G1719"/>
    <mergeCell ref="H1719:I1719"/>
    <mergeCell ref="J1719:K1719"/>
    <mergeCell ref="L1719:M1719"/>
    <mergeCell ref="A1743:B1743"/>
    <mergeCell ref="C1743:G1743"/>
    <mergeCell ref="H1743:I1743"/>
    <mergeCell ref="J1743:M1743"/>
    <mergeCell ref="A1744:B1744"/>
    <mergeCell ref="A1745:C1745"/>
    <mergeCell ref="D1745:G1745"/>
    <mergeCell ref="H1745:I1745"/>
    <mergeCell ref="J1745:M1745"/>
    <mergeCell ref="A1739:M1739"/>
    <mergeCell ref="A1741:B1741"/>
    <mergeCell ref="A1742:B1742"/>
    <mergeCell ref="H1742:I1742"/>
    <mergeCell ref="J1742:K1742"/>
    <mergeCell ref="L1742:M1742"/>
    <mergeCell ref="A1733:L1733"/>
    <mergeCell ref="A1734:K1734"/>
    <mergeCell ref="A1735:M1735"/>
    <mergeCell ref="A1736:M1736"/>
    <mergeCell ref="A1737:M1737"/>
    <mergeCell ref="A1738:M1738"/>
    <mergeCell ref="B1750:D1750"/>
    <mergeCell ref="F1750:G1750"/>
    <mergeCell ref="H1750:I1750"/>
    <mergeCell ref="J1750:K1750"/>
    <mergeCell ref="L1750:M1750"/>
    <mergeCell ref="B1751:D1751"/>
    <mergeCell ref="F1751:G1751"/>
    <mergeCell ref="H1751:I1751"/>
    <mergeCell ref="J1751:K1751"/>
    <mergeCell ref="L1751:M1751"/>
    <mergeCell ref="A1748:M1748"/>
    <mergeCell ref="B1749:D1749"/>
    <mergeCell ref="F1749:G1749"/>
    <mergeCell ref="H1749:I1749"/>
    <mergeCell ref="J1749:K1749"/>
    <mergeCell ref="L1749:M1749"/>
    <mergeCell ref="A1746:C1746"/>
    <mergeCell ref="D1746:G1746"/>
    <mergeCell ref="H1746:I1746"/>
    <mergeCell ref="J1746:M1746"/>
    <mergeCell ref="A1747:C1747"/>
    <mergeCell ref="D1747:G1747"/>
    <mergeCell ref="H1747:I1747"/>
    <mergeCell ref="J1747:M1747"/>
    <mergeCell ref="B1754:D1754"/>
    <mergeCell ref="F1754:G1754"/>
    <mergeCell ref="H1754:I1754"/>
    <mergeCell ref="J1754:K1754"/>
    <mergeCell ref="L1754:M1754"/>
    <mergeCell ref="B1755:D1755"/>
    <mergeCell ref="F1755:G1755"/>
    <mergeCell ref="H1755:I1755"/>
    <mergeCell ref="J1755:K1755"/>
    <mergeCell ref="L1755:M1755"/>
    <mergeCell ref="B1752:D1752"/>
    <mergeCell ref="F1752:G1752"/>
    <mergeCell ref="H1752:I1752"/>
    <mergeCell ref="J1752:K1752"/>
    <mergeCell ref="L1752:M1752"/>
    <mergeCell ref="B1753:D1753"/>
    <mergeCell ref="F1753:G1753"/>
    <mergeCell ref="H1753:I1753"/>
    <mergeCell ref="J1753:K1753"/>
    <mergeCell ref="L1753:M1753"/>
    <mergeCell ref="B1758:D1758"/>
    <mergeCell ref="F1758:G1758"/>
    <mergeCell ref="H1758:I1758"/>
    <mergeCell ref="J1758:K1758"/>
    <mergeCell ref="L1758:M1758"/>
    <mergeCell ref="B1759:D1759"/>
    <mergeCell ref="F1759:G1759"/>
    <mergeCell ref="H1759:I1759"/>
    <mergeCell ref="J1759:K1759"/>
    <mergeCell ref="L1759:M1759"/>
    <mergeCell ref="B1756:D1756"/>
    <mergeCell ref="F1756:G1756"/>
    <mergeCell ref="H1756:I1756"/>
    <mergeCell ref="J1756:K1756"/>
    <mergeCell ref="L1756:M1756"/>
    <mergeCell ref="B1757:D1757"/>
    <mergeCell ref="F1757:G1757"/>
    <mergeCell ref="H1757:I1757"/>
    <mergeCell ref="J1757:K1757"/>
    <mergeCell ref="L1757:M1757"/>
    <mergeCell ref="A1762:D1762"/>
    <mergeCell ref="F1762:G1762"/>
    <mergeCell ref="H1762:I1762"/>
    <mergeCell ref="J1762:K1762"/>
    <mergeCell ref="L1762:M1762"/>
    <mergeCell ref="B1763:D1763"/>
    <mergeCell ref="F1763:G1763"/>
    <mergeCell ref="H1763:I1763"/>
    <mergeCell ref="J1763:K1763"/>
    <mergeCell ref="L1763:M1763"/>
    <mergeCell ref="H1760:I1760"/>
    <mergeCell ref="J1760:K1760"/>
    <mergeCell ref="L1760:M1760"/>
    <mergeCell ref="A1761:D1761"/>
    <mergeCell ref="F1761:G1761"/>
    <mergeCell ref="H1761:I1761"/>
    <mergeCell ref="J1761:K1761"/>
    <mergeCell ref="L1761:M1761"/>
    <mergeCell ref="B1766:D1766"/>
    <mergeCell ref="F1766:G1766"/>
    <mergeCell ref="H1766:I1766"/>
    <mergeCell ref="J1766:K1766"/>
    <mergeCell ref="L1766:M1766"/>
    <mergeCell ref="B1767:D1767"/>
    <mergeCell ref="F1767:G1767"/>
    <mergeCell ref="H1767:I1767"/>
    <mergeCell ref="J1767:K1767"/>
    <mergeCell ref="L1767:M1767"/>
    <mergeCell ref="B1764:D1764"/>
    <mergeCell ref="F1764:G1764"/>
    <mergeCell ref="H1764:I1764"/>
    <mergeCell ref="J1764:K1764"/>
    <mergeCell ref="L1764:M1764"/>
    <mergeCell ref="B1765:D1765"/>
    <mergeCell ref="F1765:G1765"/>
    <mergeCell ref="H1765:I1765"/>
    <mergeCell ref="J1765:K1765"/>
    <mergeCell ref="L1765:M1765"/>
    <mergeCell ref="B1772:D1772"/>
    <mergeCell ref="F1772:G1772"/>
    <mergeCell ref="H1772:I1772"/>
    <mergeCell ref="J1772:K1772"/>
    <mergeCell ref="L1772:M1772"/>
    <mergeCell ref="A1773:M1773"/>
    <mergeCell ref="B1770:D1770"/>
    <mergeCell ref="F1770:G1770"/>
    <mergeCell ref="H1770:I1770"/>
    <mergeCell ref="J1770:K1770"/>
    <mergeCell ref="L1770:M1770"/>
    <mergeCell ref="B1771:D1771"/>
    <mergeCell ref="F1771:G1771"/>
    <mergeCell ref="H1771:I1771"/>
    <mergeCell ref="J1771:K1771"/>
    <mergeCell ref="L1771:M1771"/>
    <mergeCell ref="A1768:M1768"/>
    <mergeCell ref="A1769:D1769"/>
    <mergeCell ref="F1769:G1769"/>
    <mergeCell ref="H1769:I1769"/>
    <mergeCell ref="J1769:K1769"/>
    <mergeCell ref="L1769:M1769"/>
    <mergeCell ref="A1776:D1776"/>
    <mergeCell ref="F1776:G1776"/>
    <mergeCell ref="H1776:I1776"/>
    <mergeCell ref="J1776:K1776"/>
    <mergeCell ref="L1776:M1776"/>
    <mergeCell ref="A1777:D1777"/>
    <mergeCell ref="F1777:G1777"/>
    <mergeCell ref="H1777:I1777"/>
    <mergeCell ref="J1777:K1777"/>
    <mergeCell ref="L1777:M1777"/>
    <mergeCell ref="A1774:D1774"/>
    <mergeCell ref="F1774:G1774"/>
    <mergeCell ref="H1774:I1774"/>
    <mergeCell ref="J1774:K1774"/>
    <mergeCell ref="L1774:M1774"/>
    <mergeCell ref="A1775:D1775"/>
    <mergeCell ref="F1775:G1775"/>
    <mergeCell ref="H1775:I1775"/>
    <mergeCell ref="J1775:K1775"/>
    <mergeCell ref="L1775:M1775"/>
    <mergeCell ref="A1797:M1797"/>
    <mergeCell ref="A1791:L1791"/>
    <mergeCell ref="A1792:K1792"/>
    <mergeCell ref="A1793:M1793"/>
    <mergeCell ref="A1794:M1794"/>
    <mergeCell ref="A1795:M1795"/>
    <mergeCell ref="A1796:M1796"/>
    <mergeCell ref="A1780:M1780"/>
    <mergeCell ref="B1786:M1786"/>
    <mergeCell ref="A1787:M1787"/>
    <mergeCell ref="A1788:M1788"/>
    <mergeCell ref="A1789:M1789"/>
    <mergeCell ref="A1790:M1790"/>
    <mergeCell ref="A1778:D1778"/>
    <mergeCell ref="F1778:G1778"/>
    <mergeCell ref="H1778:I1778"/>
    <mergeCell ref="J1778:K1778"/>
    <mergeCell ref="L1778:M1778"/>
    <mergeCell ref="A1779:M1779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75" orientation="portrait" horizontalDpi="1200" verticalDpi="1200" r:id="rId1"/>
  <headerFooter>
    <oddHeader>&amp;C&amp;"標楷體,標準"&amp;16公共工程
施工日誌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3</vt:i4>
      </vt:variant>
    </vt:vector>
  </HeadingPairs>
  <TitlesOfParts>
    <vt:vector size="6" baseType="lpstr">
      <vt:lpstr>11月</vt:lpstr>
      <vt:lpstr>12月</vt:lpstr>
      <vt:lpstr>115年1月</vt:lpstr>
      <vt:lpstr>'115年1月'!Print_Area</vt:lpstr>
      <vt:lpstr>'11月'!Print_Area</vt:lpstr>
      <vt:lpstr>'12月'!Print_Area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cp:lastPrinted>2025-12-31T02:04:36Z</cp:lastPrinted>
  <dcterms:created xsi:type="dcterms:W3CDTF">2025-11-18T01:36:35Z</dcterms:created>
  <dcterms:modified xsi:type="dcterms:W3CDTF">2025-12-31T02:04:56Z</dcterms:modified>
</cp:coreProperties>
</file>